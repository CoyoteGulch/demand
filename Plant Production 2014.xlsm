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0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omments1.xml" ContentType="application/vnd.openxmlformats-officedocument.spreadsheetml.comments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1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9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1955" yWindow="75" windowWidth="16845" windowHeight="11640" tabRatio="706" firstSheet="2" activeTab="10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0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45621"/>
</workbook>
</file>

<file path=xl/calcChain.xml><?xml version="1.0" encoding="utf-8"?>
<calcChain xmlns="http://schemas.openxmlformats.org/spreadsheetml/2006/main">
  <c r="K13" i="11" l="1"/>
  <c r="K14" i="11" l="1"/>
  <c r="K15" i="11"/>
  <c r="L15" i="11" s="1"/>
  <c r="M15" i="11" s="1"/>
  <c r="K16" i="11"/>
  <c r="L16" i="11" s="1"/>
  <c r="K17" i="11"/>
  <c r="L13" i="11"/>
  <c r="M13" i="11" s="1"/>
  <c r="L14" i="11"/>
  <c r="M14" i="11" s="1"/>
  <c r="X6" i="9" l="1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5" i="9"/>
  <c r="X6" i="7" l="1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5" i="7"/>
  <c r="K34" i="7" l="1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5" i="7"/>
  <c r="X35" i="5" l="1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U16" i="5"/>
  <c r="R16" i="5"/>
  <c r="O16" i="5"/>
  <c r="X15" i="5"/>
  <c r="U15" i="5"/>
  <c r="R15" i="5"/>
  <c r="O15" i="5"/>
  <c r="X14" i="5"/>
  <c r="U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E35" i="5"/>
  <c r="B35" i="5"/>
  <c r="K34" i="5"/>
  <c r="H34" i="5"/>
  <c r="E34" i="5"/>
  <c r="B34" i="5"/>
  <c r="K33" i="5"/>
  <c r="H33" i="5"/>
  <c r="E33" i="5"/>
  <c r="B33" i="5"/>
  <c r="K32" i="5"/>
  <c r="H32" i="5"/>
  <c r="E32" i="5"/>
  <c r="B32" i="5"/>
  <c r="K31" i="5"/>
  <c r="H31" i="5"/>
  <c r="E31" i="5"/>
  <c r="B31" i="5"/>
  <c r="K30" i="5"/>
  <c r="H30" i="5"/>
  <c r="E30" i="5"/>
  <c r="B30" i="5"/>
  <c r="K29" i="5"/>
  <c r="H29" i="5"/>
  <c r="E29" i="5"/>
  <c r="B29" i="5"/>
  <c r="K28" i="5"/>
  <c r="H28" i="5"/>
  <c r="E28" i="5"/>
  <c r="B28" i="5"/>
  <c r="K27" i="5"/>
  <c r="H27" i="5"/>
  <c r="E27" i="5"/>
  <c r="B27" i="5"/>
  <c r="K26" i="5"/>
  <c r="H26" i="5"/>
  <c r="E26" i="5"/>
  <c r="B26" i="5"/>
  <c r="K25" i="5"/>
  <c r="H25" i="5"/>
  <c r="E25" i="5"/>
  <c r="B25" i="5"/>
  <c r="K24" i="5"/>
  <c r="H24" i="5"/>
  <c r="E24" i="5"/>
  <c r="B24" i="5"/>
  <c r="K23" i="5"/>
  <c r="H23" i="5"/>
  <c r="E23" i="5"/>
  <c r="B23" i="5"/>
  <c r="K22" i="5"/>
  <c r="H22" i="5"/>
  <c r="E22" i="5"/>
  <c r="B22" i="5"/>
  <c r="K21" i="5"/>
  <c r="H21" i="5"/>
  <c r="E21" i="5"/>
  <c r="B21" i="5"/>
  <c r="K20" i="5"/>
  <c r="H20" i="5"/>
  <c r="E20" i="5"/>
  <c r="B20" i="5"/>
  <c r="K19" i="5"/>
  <c r="H19" i="5"/>
  <c r="E19" i="5"/>
  <c r="B19" i="5"/>
  <c r="K18" i="5"/>
  <c r="H18" i="5"/>
  <c r="E18" i="5"/>
  <c r="B18" i="5"/>
  <c r="K17" i="5"/>
  <c r="H17" i="5"/>
  <c r="E17" i="5"/>
  <c r="B17" i="5"/>
  <c r="K16" i="5"/>
  <c r="H16" i="5"/>
  <c r="E16" i="5"/>
  <c r="B16" i="5"/>
  <c r="K15" i="5"/>
  <c r="H15" i="5"/>
  <c r="E15" i="5"/>
  <c r="B15" i="5"/>
  <c r="K14" i="5"/>
  <c r="H14" i="5"/>
  <c r="E14" i="5"/>
  <c r="B14" i="5"/>
  <c r="K13" i="5"/>
  <c r="H13" i="5"/>
  <c r="E13" i="5"/>
  <c r="B13" i="5"/>
  <c r="K12" i="5"/>
  <c r="H12" i="5"/>
  <c r="E12" i="5"/>
  <c r="B12" i="5"/>
  <c r="K11" i="5"/>
  <c r="H11" i="5"/>
  <c r="E11" i="5"/>
  <c r="B11" i="5"/>
  <c r="K10" i="5"/>
  <c r="H10" i="5"/>
  <c r="E10" i="5"/>
  <c r="B10" i="5"/>
  <c r="K9" i="5"/>
  <c r="H9" i="5"/>
  <c r="E9" i="5"/>
  <c r="B9" i="5"/>
  <c r="K8" i="5"/>
  <c r="H8" i="5"/>
  <c r="E8" i="5"/>
  <c r="B8" i="5"/>
  <c r="K7" i="5"/>
  <c r="H7" i="5"/>
  <c r="E7" i="5"/>
  <c r="B7" i="5"/>
  <c r="K6" i="5"/>
  <c r="H6" i="5"/>
  <c r="E6" i="5"/>
  <c r="B6" i="5"/>
  <c r="K5" i="5"/>
  <c r="H5" i="5"/>
  <c r="E5" i="5"/>
  <c r="B5" i="5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E34" i="12"/>
  <c r="B34" i="12"/>
  <c r="K33" i="12"/>
  <c r="H33" i="12"/>
  <c r="E33" i="12"/>
  <c r="B33" i="12"/>
  <c r="K32" i="12"/>
  <c r="H32" i="12"/>
  <c r="E32" i="12"/>
  <c r="B32" i="12"/>
  <c r="K31" i="12"/>
  <c r="H31" i="12"/>
  <c r="E31" i="12"/>
  <c r="B31" i="12"/>
  <c r="K30" i="12"/>
  <c r="H30" i="12"/>
  <c r="E30" i="12"/>
  <c r="B30" i="12"/>
  <c r="K29" i="12"/>
  <c r="H29" i="12"/>
  <c r="E29" i="12"/>
  <c r="B29" i="12"/>
  <c r="K28" i="12"/>
  <c r="H28" i="12"/>
  <c r="E28" i="12"/>
  <c r="B28" i="12"/>
  <c r="K27" i="12"/>
  <c r="H27" i="12"/>
  <c r="E27" i="12"/>
  <c r="B27" i="12"/>
  <c r="K26" i="12"/>
  <c r="H26" i="12"/>
  <c r="E26" i="12"/>
  <c r="B26" i="12"/>
  <c r="K25" i="12"/>
  <c r="H25" i="12"/>
  <c r="E25" i="12"/>
  <c r="B25" i="12"/>
  <c r="K24" i="12"/>
  <c r="H24" i="12"/>
  <c r="E24" i="12"/>
  <c r="B24" i="12"/>
  <c r="K23" i="12"/>
  <c r="H23" i="12"/>
  <c r="E23" i="12"/>
  <c r="B23" i="12"/>
  <c r="K22" i="12"/>
  <c r="H22" i="12"/>
  <c r="E22" i="12"/>
  <c r="B22" i="12"/>
  <c r="K21" i="12"/>
  <c r="H21" i="12"/>
  <c r="E21" i="12"/>
  <c r="B21" i="12"/>
  <c r="K20" i="12"/>
  <c r="H20" i="12"/>
  <c r="E20" i="12"/>
  <c r="B20" i="12"/>
  <c r="K19" i="12"/>
  <c r="H19" i="12"/>
  <c r="E19" i="12"/>
  <c r="B19" i="12"/>
  <c r="K18" i="12"/>
  <c r="H18" i="12"/>
  <c r="E18" i="12"/>
  <c r="B18" i="12"/>
  <c r="K17" i="12"/>
  <c r="H17" i="12"/>
  <c r="E17" i="12"/>
  <c r="B17" i="12"/>
  <c r="K16" i="12"/>
  <c r="H16" i="12"/>
  <c r="E16" i="12"/>
  <c r="B16" i="12"/>
  <c r="K15" i="12"/>
  <c r="H15" i="12"/>
  <c r="E15" i="12"/>
  <c r="B15" i="12"/>
  <c r="K14" i="12"/>
  <c r="H14" i="12"/>
  <c r="E14" i="12"/>
  <c r="B14" i="12"/>
  <c r="K13" i="12"/>
  <c r="H13" i="12"/>
  <c r="E13" i="12"/>
  <c r="B13" i="12"/>
  <c r="K12" i="12"/>
  <c r="H12" i="12"/>
  <c r="E12" i="12"/>
  <c r="B12" i="12"/>
  <c r="K11" i="12"/>
  <c r="H11" i="12"/>
  <c r="E11" i="12"/>
  <c r="B11" i="12"/>
  <c r="K10" i="12"/>
  <c r="H10" i="12"/>
  <c r="E10" i="12"/>
  <c r="B10" i="12"/>
  <c r="K9" i="12"/>
  <c r="H9" i="12"/>
  <c r="E9" i="12"/>
  <c r="B9" i="12"/>
  <c r="K8" i="12"/>
  <c r="H8" i="12"/>
  <c r="E8" i="12"/>
  <c r="B8" i="12"/>
  <c r="K7" i="12"/>
  <c r="H7" i="12"/>
  <c r="E7" i="12"/>
  <c r="B7" i="12"/>
  <c r="K6" i="12"/>
  <c r="H6" i="12"/>
  <c r="E6" i="12"/>
  <c r="B6" i="12"/>
  <c r="K5" i="12"/>
  <c r="H5" i="12"/>
  <c r="E5" i="12"/>
  <c r="B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K35" i="11"/>
  <c r="H35" i="11"/>
  <c r="E35" i="11"/>
  <c r="B35" i="11"/>
  <c r="K34" i="11"/>
  <c r="H34" i="11"/>
  <c r="E34" i="11"/>
  <c r="B34" i="11"/>
  <c r="K33" i="11"/>
  <c r="H33" i="11"/>
  <c r="E33" i="11"/>
  <c r="B33" i="11"/>
  <c r="K32" i="11"/>
  <c r="H32" i="11"/>
  <c r="E32" i="11"/>
  <c r="B32" i="11"/>
  <c r="K31" i="11"/>
  <c r="H31" i="11"/>
  <c r="E31" i="11"/>
  <c r="B31" i="11"/>
  <c r="K30" i="11"/>
  <c r="H30" i="11"/>
  <c r="E30" i="11"/>
  <c r="B30" i="11"/>
  <c r="K29" i="11"/>
  <c r="H29" i="11"/>
  <c r="E29" i="11"/>
  <c r="B29" i="11"/>
  <c r="K28" i="11"/>
  <c r="H28" i="11"/>
  <c r="E28" i="11"/>
  <c r="B28" i="11"/>
  <c r="K27" i="11"/>
  <c r="H27" i="11"/>
  <c r="E27" i="11"/>
  <c r="B27" i="11"/>
  <c r="K26" i="11"/>
  <c r="H26" i="11"/>
  <c r="E26" i="11"/>
  <c r="B26" i="11"/>
  <c r="K25" i="11"/>
  <c r="H25" i="11"/>
  <c r="E25" i="11"/>
  <c r="B25" i="11"/>
  <c r="K24" i="11"/>
  <c r="H24" i="11"/>
  <c r="E24" i="11"/>
  <c r="B24" i="11"/>
  <c r="K23" i="11"/>
  <c r="H23" i="11"/>
  <c r="E23" i="11"/>
  <c r="B23" i="11"/>
  <c r="K22" i="11"/>
  <c r="H22" i="11"/>
  <c r="E22" i="11"/>
  <c r="B22" i="11"/>
  <c r="K21" i="11"/>
  <c r="H21" i="11"/>
  <c r="E21" i="11"/>
  <c r="B21" i="11"/>
  <c r="K20" i="11"/>
  <c r="H20" i="11"/>
  <c r="E20" i="11"/>
  <c r="B20" i="11"/>
  <c r="K19" i="11"/>
  <c r="H19" i="11"/>
  <c r="E19" i="11"/>
  <c r="B19" i="11"/>
  <c r="K18" i="11"/>
  <c r="H18" i="11"/>
  <c r="E18" i="11"/>
  <c r="B18" i="11"/>
  <c r="H17" i="11"/>
  <c r="E17" i="11"/>
  <c r="B17" i="11"/>
  <c r="H16" i="11"/>
  <c r="E16" i="11"/>
  <c r="B16" i="11"/>
  <c r="H15" i="11"/>
  <c r="E15" i="11"/>
  <c r="B15" i="11"/>
  <c r="H14" i="11"/>
  <c r="E14" i="11"/>
  <c r="B14" i="11"/>
  <c r="H13" i="11"/>
  <c r="E13" i="11"/>
  <c r="B13" i="11"/>
  <c r="K12" i="11"/>
  <c r="H12" i="11"/>
  <c r="E12" i="11"/>
  <c r="B12" i="11"/>
  <c r="K11" i="11"/>
  <c r="H11" i="11"/>
  <c r="E11" i="11"/>
  <c r="B11" i="11"/>
  <c r="K10" i="11"/>
  <c r="H10" i="11"/>
  <c r="E10" i="11"/>
  <c r="B10" i="11"/>
  <c r="K9" i="11"/>
  <c r="H9" i="11"/>
  <c r="E9" i="11"/>
  <c r="B9" i="11"/>
  <c r="K8" i="11"/>
  <c r="H8" i="11"/>
  <c r="E8" i="11"/>
  <c r="B8" i="11"/>
  <c r="K7" i="11"/>
  <c r="H7" i="11"/>
  <c r="E7" i="11"/>
  <c r="B7" i="11"/>
  <c r="K6" i="11"/>
  <c r="H6" i="11"/>
  <c r="E6" i="11"/>
  <c r="B6" i="11"/>
  <c r="K5" i="11"/>
  <c r="H5" i="11"/>
  <c r="E5" i="11"/>
  <c r="B5" i="11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X35" i="10"/>
  <c r="U35" i="10"/>
  <c r="R35" i="10"/>
  <c r="O35" i="10"/>
  <c r="X34" i="10"/>
  <c r="U34" i="10"/>
  <c r="R34" i="10"/>
  <c r="O34" i="10"/>
  <c r="X33" i="10"/>
  <c r="U33" i="10"/>
  <c r="R33" i="10"/>
  <c r="O33" i="10"/>
  <c r="X32" i="10"/>
  <c r="U32" i="10"/>
  <c r="R32" i="10"/>
  <c r="O32" i="10"/>
  <c r="X31" i="10"/>
  <c r="U31" i="10"/>
  <c r="R31" i="10"/>
  <c r="O31" i="10"/>
  <c r="X30" i="10"/>
  <c r="U30" i="10"/>
  <c r="R30" i="10"/>
  <c r="O30" i="10"/>
  <c r="X29" i="10"/>
  <c r="U29" i="10"/>
  <c r="R29" i="10"/>
  <c r="O29" i="10"/>
  <c r="X28" i="10"/>
  <c r="U28" i="10"/>
  <c r="R28" i="10"/>
  <c r="O28" i="10"/>
  <c r="X27" i="10"/>
  <c r="U27" i="10"/>
  <c r="R27" i="10"/>
  <c r="O27" i="10"/>
  <c r="X26" i="10"/>
  <c r="U26" i="10"/>
  <c r="R26" i="10"/>
  <c r="O26" i="10"/>
  <c r="X25" i="10"/>
  <c r="U25" i="10"/>
  <c r="R25" i="10"/>
  <c r="O25" i="10"/>
  <c r="X24" i="10"/>
  <c r="U24" i="10"/>
  <c r="R24" i="10"/>
  <c r="O24" i="10"/>
  <c r="X23" i="10"/>
  <c r="U23" i="10"/>
  <c r="R23" i="10"/>
  <c r="O23" i="10"/>
  <c r="X22" i="10"/>
  <c r="U22" i="10"/>
  <c r="R22" i="10"/>
  <c r="O22" i="10"/>
  <c r="X21" i="10"/>
  <c r="U21" i="10"/>
  <c r="R21" i="10"/>
  <c r="O21" i="10"/>
  <c r="X20" i="10"/>
  <c r="U20" i="10"/>
  <c r="R20" i="10"/>
  <c r="O20" i="10"/>
  <c r="X19" i="10"/>
  <c r="U19" i="10"/>
  <c r="R19" i="10"/>
  <c r="O19" i="10"/>
  <c r="X18" i="10"/>
  <c r="U18" i="10"/>
  <c r="R18" i="10"/>
  <c r="O18" i="10"/>
  <c r="X17" i="10"/>
  <c r="U17" i="10"/>
  <c r="R17" i="10"/>
  <c r="O17" i="10"/>
  <c r="X16" i="10"/>
  <c r="U16" i="10"/>
  <c r="R16" i="10"/>
  <c r="O16" i="10"/>
  <c r="X15" i="10"/>
  <c r="U15" i="10"/>
  <c r="R15" i="10"/>
  <c r="O15" i="10"/>
  <c r="X14" i="10"/>
  <c r="U14" i="10"/>
  <c r="R14" i="10"/>
  <c r="O14" i="10"/>
  <c r="X13" i="10"/>
  <c r="U13" i="10"/>
  <c r="R13" i="10"/>
  <c r="O13" i="10"/>
  <c r="X12" i="10"/>
  <c r="U12" i="10"/>
  <c r="R12" i="10"/>
  <c r="O12" i="10"/>
  <c r="X11" i="10"/>
  <c r="U11" i="10"/>
  <c r="R11" i="10"/>
  <c r="O11" i="10"/>
  <c r="X10" i="10"/>
  <c r="U10" i="10"/>
  <c r="R10" i="10"/>
  <c r="O10" i="10"/>
  <c r="X9" i="10"/>
  <c r="U9" i="10"/>
  <c r="R9" i="10"/>
  <c r="O9" i="10"/>
  <c r="X8" i="10"/>
  <c r="U8" i="10"/>
  <c r="R8" i="10"/>
  <c r="O8" i="10"/>
  <c r="X7" i="10"/>
  <c r="U7" i="10"/>
  <c r="R7" i="10"/>
  <c r="O7" i="10"/>
  <c r="X6" i="10"/>
  <c r="U6" i="10"/>
  <c r="R6" i="10"/>
  <c r="O6" i="10"/>
  <c r="X5" i="10"/>
  <c r="U5" i="10"/>
  <c r="R5" i="10"/>
  <c r="O5" i="10"/>
  <c r="K35" i="10"/>
  <c r="H35" i="10"/>
  <c r="E35" i="10"/>
  <c r="B35" i="10"/>
  <c r="K34" i="10"/>
  <c r="H34" i="10"/>
  <c r="E34" i="10"/>
  <c r="B34" i="10"/>
  <c r="K33" i="10"/>
  <c r="H33" i="10"/>
  <c r="E33" i="10"/>
  <c r="B33" i="10"/>
  <c r="K32" i="10"/>
  <c r="H32" i="10"/>
  <c r="E32" i="10"/>
  <c r="B32" i="10"/>
  <c r="K31" i="10"/>
  <c r="H31" i="10"/>
  <c r="E31" i="10"/>
  <c r="B31" i="10"/>
  <c r="K30" i="10"/>
  <c r="H30" i="10"/>
  <c r="E30" i="10"/>
  <c r="B30" i="10"/>
  <c r="K29" i="10"/>
  <c r="H29" i="10"/>
  <c r="E29" i="10"/>
  <c r="B29" i="10"/>
  <c r="K28" i="10"/>
  <c r="H28" i="10"/>
  <c r="E28" i="10"/>
  <c r="B28" i="10"/>
  <c r="K27" i="10"/>
  <c r="H27" i="10"/>
  <c r="E27" i="10"/>
  <c r="B27" i="10"/>
  <c r="K26" i="10"/>
  <c r="H26" i="10"/>
  <c r="E26" i="10"/>
  <c r="B26" i="10"/>
  <c r="K25" i="10"/>
  <c r="H25" i="10"/>
  <c r="E25" i="10"/>
  <c r="B25" i="10"/>
  <c r="K24" i="10"/>
  <c r="H24" i="10"/>
  <c r="E24" i="10"/>
  <c r="B24" i="10"/>
  <c r="K23" i="10"/>
  <c r="H23" i="10"/>
  <c r="E23" i="10"/>
  <c r="B23" i="10"/>
  <c r="K22" i="10"/>
  <c r="H22" i="10"/>
  <c r="E22" i="10"/>
  <c r="B22" i="10"/>
  <c r="K21" i="10"/>
  <c r="H21" i="10"/>
  <c r="E21" i="10"/>
  <c r="B21" i="10"/>
  <c r="K20" i="10"/>
  <c r="H20" i="10"/>
  <c r="E20" i="10"/>
  <c r="B20" i="10"/>
  <c r="K19" i="10"/>
  <c r="H19" i="10"/>
  <c r="E19" i="10"/>
  <c r="B19" i="10"/>
  <c r="K18" i="10"/>
  <c r="H18" i="10"/>
  <c r="E18" i="10"/>
  <c r="B18" i="10"/>
  <c r="K17" i="10"/>
  <c r="H17" i="10"/>
  <c r="E17" i="10"/>
  <c r="B17" i="10"/>
  <c r="K16" i="10"/>
  <c r="H16" i="10"/>
  <c r="E16" i="10"/>
  <c r="B16" i="10"/>
  <c r="K15" i="10"/>
  <c r="H15" i="10"/>
  <c r="E15" i="10"/>
  <c r="B15" i="10"/>
  <c r="K14" i="10"/>
  <c r="H14" i="10"/>
  <c r="E14" i="10"/>
  <c r="B14" i="10"/>
  <c r="K13" i="10"/>
  <c r="H13" i="10"/>
  <c r="E13" i="10"/>
  <c r="B13" i="10"/>
  <c r="K12" i="10"/>
  <c r="H12" i="10"/>
  <c r="E12" i="10"/>
  <c r="B12" i="10"/>
  <c r="K11" i="10"/>
  <c r="H11" i="10"/>
  <c r="E11" i="10"/>
  <c r="B11" i="10"/>
  <c r="K10" i="10"/>
  <c r="H10" i="10"/>
  <c r="E10" i="10"/>
  <c r="B10" i="10"/>
  <c r="K9" i="10"/>
  <c r="H9" i="10"/>
  <c r="E9" i="10"/>
  <c r="B9" i="10"/>
  <c r="K8" i="10"/>
  <c r="H8" i="10"/>
  <c r="E8" i="10"/>
  <c r="B8" i="10"/>
  <c r="K7" i="10"/>
  <c r="H7" i="10"/>
  <c r="E7" i="10"/>
  <c r="B7" i="10"/>
  <c r="K6" i="10"/>
  <c r="H6" i="10"/>
  <c r="E6" i="10"/>
  <c r="B6" i="10"/>
  <c r="K5" i="10"/>
  <c r="H5" i="10"/>
  <c r="E5" i="10"/>
  <c r="B5" i="10"/>
  <c r="U34" i="9"/>
  <c r="R34" i="9"/>
  <c r="O34" i="9"/>
  <c r="U33" i="9"/>
  <c r="R33" i="9"/>
  <c r="O33" i="9"/>
  <c r="U32" i="9"/>
  <c r="R32" i="9"/>
  <c r="O32" i="9"/>
  <c r="U31" i="9"/>
  <c r="R31" i="9"/>
  <c r="O31" i="9"/>
  <c r="U30" i="9"/>
  <c r="R30" i="9"/>
  <c r="O30" i="9"/>
  <c r="U29" i="9"/>
  <c r="R29" i="9"/>
  <c r="O29" i="9"/>
  <c r="U28" i="9"/>
  <c r="R28" i="9"/>
  <c r="O28" i="9"/>
  <c r="U27" i="9"/>
  <c r="R27" i="9"/>
  <c r="O27" i="9"/>
  <c r="U26" i="9"/>
  <c r="R26" i="9"/>
  <c r="O26" i="9"/>
  <c r="U25" i="9"/>
  <c r="R25" i="9"/>
  <c r="O25" i="9"/>
  <c r="U24" i="9"/>
  <c r="R24" i="9"/>
  <c r="O24" i="9"/>
  <c r="U23" i="9"/>
  <c r="R23" i="9"/>
  <c r="O23" i="9"/>
  <c r="U22" i="9"/>
  <c r="R22" i="9"/>
  <c r="O22" i="9"/>
  <c r="U21" i="9"/>
  <c r="R21" i="9"/>
  <c r="O21" i="9"/>
  <c r="U20" i="9"/>
  <c r="R20" i="9"/>
  <c r="O20" i="9"/>
  <c r="U19" i="9"/>
  <c r="R19" i="9"/>
  <c r="O19" i="9"/>
  <c r="U18" i="9"/>
  <c r="R18" i="9"/>
  <c r="O18" i="9"/>
  <c r="U17" i="9"/>
  <c r="R17" i="9"/>
  <c r="O17" i="9"/>
  <c r="U16" i="9"/>
  <c r="R16" i="9"/>
  <c r="O16" i="9"/>
  <c r="U15" i="9"/>
  <c r="R15" i="9"/>
  <c r="O15" i="9"/>
  <c r="U14" i="9"/>
  <c r="R14" i="9"/>
  <c r="O14" i="9"/>
  <c r="U13" i="9"/>
  <c r="R13" i="9"/>
  <c r="O13" i="9"/>
  <c r="U12" i="9"/>
  <c r="R12" i="9"/>
  <c r="O12" i="9"/>
  <c r="U11" i="9"/>
  <c r="R11" i="9"/>
  <c r="O11" i="9"/>
  <c r="U10" i="9"/>
  <c r="R10" i="9"/>
  <c r="O10" i="9"/>
  <c r="U9" i="9"/>
  <c r="R9" i="9"/>
  <c r="O9" i="9"/>
  <c r="U8" i="9"/>
  <c r="R8" i="9"/>
  <c r="O8" i="9"/>
  <c r="U7" i="9"/>
  <c r="R7" i="9"/>
  <c r="O7" i="9"/>
  <c r="U6" i="9"/>
  <c r="R6" i="9"/>
  <c r="O6" i="9"/>
  <c r="U5" i="9"/>
  <c r="R5" i="9"/>
  <c r="O5" i="9"/>
  <c r="H34" i="9"/>
  <c r="E34" i="9"/>
  <c r="B34" i="9"/>
  <c r="H33" i="9"/>
  <c r="E33" i="9"/>
  <c r="B33" i="9"/>
  <c r="H32" i="9"/>
  <c r="E32" i="9"/>
  <c r="B32" i="9"/>
  <c r="H31" i="9"/>
  <c r="E31" i="9"/>
  <c r="B31" i="9"/>
  <c r="H30" i="9"/>
  <c r="E30" i="9"/>
  <c r="B30" i="9"/>
  <c r="H29" i="9"/>
  <c r="E29" i="9"/>
  <c r="B29" i="9"/>
  <c r="H28" i="9"/>
  <c r="E28" i="9"/>
  <c r="B28" i="9"/>
  <c r="H27" i="9"/>
  <c r="E27" i="9"/>
  <c r="B27" i="9"/>
  <c r="H26" i="9"/>
  <c r="E26" i="9"/>
  <c r="B26" i="9"/>
  <c r="H25" i="9"/>
  <c r="E25" i="9"/>
  <c r="B25" i="9"/>
  <c r="H24" i="9"/>
  <c r="E24" i="9"/>
  <c r="B24" i="9"/>
  <c r="H23" i="9"/>
  <c r="E23" i="9"/>
  <c r="B23" i="9"/>
  <c r="H22" i="9"/>
  <c r="E22" i="9"/>
  <c r="B22" i="9"/>
  <c r="H21" i="9"/>
  <c r="E21" i="9"/>
  <c r="B21" i="9"/>
  <c r="H20" i="9"/>
  <c r="E20" i="9"/>
  <c r="B20" i="9"/>
  <c r="H19" i="9"/>
  <c r="E19" i="9"/>
  <c r="B19" i="9"/>
  <c r="H18" i="9"/>
  <c r="E18" i="9"/>
  <c r="B18" i="9"/>
  <c r="H17" i="9"/>
  <c r="E17" i="9"/>
  <c r="B17" i="9"/>
  <c r="H16" i="9"/>
  <c r="E16" i="9"/>
  <c r="B16" i="9"/>
  <c r="H15" i="9"/>
  <c r="E15" i="9"/>
  <c r="B15" i="9"/>
  <c r="H14" i="9"/>
  <c r="E14" i="9"/>
  <c r="B14" i="9"/>
  <c r="H13" i="9"/>
  <c r="E13" i="9"/>
  <c r="B13" i="9"/>
  <c r="H12" i="9"/>
  <c r="E12" i="9"/>
  <c r="B12" i="9"/>
  <c r="H11" i="9"/>
  <c r="E11" i="9"/>
  <c r="B11" i="9"/>
  <c r="H10" i="9"/>
  <c r="E10" i="9"/>
  <c r="B10" i="9"/>
  <c r="H9" i="9"/>
  <c r="E9" i="9"/>
  <c r="B9" i="9"/>
  <c r="H8" i="9"/>
  <c r="E8" i="9"/>
  <c r="B8" i="9"/>
  <c r="H7" i="9"/>
  <c r="E7" i="9"/>
  <c r="B7" i="9"/>
  <c r="H6" i="9"/>
  <c r="E6" i="9"/>
  <c r="B6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H31" i="8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U34" i="7"/>
  <c r="R34" i="7"/>
  <c r="O34" i="7"/>
  <c r="U33" i="7"/>
  <c r="R33" i="7"/>
  <c r="O33" i="7"/>
  <c r="U32" i="7"/>
  <c r="R32" i="7"/>
  <c r="O32" i="7"/>
  <c r="U31" i="7"/>
  <c r="R31" i="7"/>
  <c r="O31" i="7"/>
  <c r="U30" i="7"/>
  <c r="R30" i="7"/>
  <c r="O30" i="7"/>
  <c r="U29" i="7"/>
  <c r="R29" i="7"/>
  <c r="O29" i="7"/>
  <c r="U28" i="7"/>
  <c r="R28" i="7"/>
  <c r="O28" i="7"/>
  <c r="U27" i="7"/>
  <c r="R27" i="7"/>
  <c r="O27" i="7"/>
  <c r="U26" i="7"/>
  <c r="R26" i="7"/>
  <c r="O26" i="7"/>
  <c r="U25" i="7"/>
  <c r="R25" i="7"/>
  <c r="O25" i="7"/>
  <c r="U24" i="7"/>
  <c r="R24" i="7"/>
  <c r="O24" i="7"/>
  <c r="U23" i="7"/>
  <c r="R23" i="7"/>
  <c r="O23" i="7"/>
  <c r="U22" i="7"/>
  <c r="R22" i="7"/>
  <c r="O22" i="7"/>
  <c r="U21" i="7"/>
  <c r="R21" i="7"/>
  <c r="O21" i="7"/>
  <c r="U20" i="7"/>
  <c r="R20" i="7"/>
  <c r="O20" i="7"/>
  <c r="U19" i="7"/>
  <c r="R19" i="7"/>
  <c r="O19" i="7"/>
  <c r="U18" i="7"/>
  <c r="R18" i="7"/>
  <c r="O18" i="7"/>
  <c r="U17" i="7"/>
  <c r="R17" i="7"/>
  <c r="O17" i="7"/>
  <c r="U16" i="7"/>
  <c r="R16" i="7"/>
  <c r="O16" i="7"/>
  <c r="U15" i="7"/>
  <c r="R15" i="7"/>
  <c r="O15" i="7"/>
  <c r="U14" i="7"/>
  <c r="R14" i="7"/>
  <c r="O14" i="7"/>
  <c r="U13" i="7"/>
  <c r="R13" i="7"/>
  <c r="O13" i="7"/>
  <c r="U12" i="7"/>
  <c r="R12" i="7"/>
  <c r="O12" i="7"/>
  <c r="U11" i="7"/>
  <c r="R11" i="7"/>
  <c r="O11" i="7"/>
  <c r="U10" i="7"/>
  <c r="R10" i="7"/>
  <c r="O10" i="7"/>
  <c r="U9" i="7"/>
  <c r="R9" i="7"/>
  <c r="O9" i="7"/>
  <c r="U8" i="7"/>
  <c r="R8" i="7"/>
  <c r="O8" i="7"/>
  <c r="U7" i="7"/>
  <c r="R7" i="7"/>
  <c r="O7" i="7"/>
  <c r="U6" i="7"/>
  <c r="R6" i="7"/>
  <c r="O6" i="7"/>
  <c r="U5" i="7"/>
  <c r="R5" i="7"/>
  <c r="O5" i="7"/>
  <c r="H34" i="7"/>
  <c r="E34" i="7"/>
  <c r="B34" i="7"/>
  <c r="H33" i="7"/>
  <c r="E33" i="7"/>
  <c r="B33" i="7"/>
  <c r="H32" i="7"/>
  <c r="E32" i="7"/>
  <c r="B32" i="7"/>
  <c r="H31" i="7"/>
  <c r="E31" i="7"/>
  <c r="B31" i="7"/>
  <c r="H30" i="7"/>
  <c r="E30" i="7"/>
  <c r="B30" i="7"/>
  <c r="H29" i="7"/>
  <c r="E29" i="7"/>
  <c r="B29" i="7"/>
  <c r="H28" i="7"/>
  <c r="E28" i="7"/>
  <c r="B28" i="7"/>
  <c r="H27" i="7"/>
  <c r="E27" i="7"/>
  <c r="B27" i="7"/>
  <c r="H26" i="7"/>
  <c r="E26" i="7"/>
  <c r="B26" i="7"/>
  <c r="H25" i="7"/>
  <c r="E25" i="7"/>
  <c r="B25" i="7"/>
  <c r="H24" i="7"/>
  <c r="E24" i="7"/>
  <c r="B24" i="7"/>
  <c r="H23" i="7"/>
  <c r="E23" i="7"/>
  <c r="B23" i="7"/>
  <c r="H22" i="7"/>
  <c r="E22" i="7"/>
  <c r="B22" i="7"/>
  <c r="H21" i="7"/>
  <c r="E21" i="7"/>
  <c r="B21" i="7"/>
  <c r="H20" i="7"/>
  <c r="E20" i="7"/>
  <c r="B20" i="7"/>
  <c r="H19" i="7"/>
  <c r="E19" i="7"/>
  <c r="B19" i="7"/>
  <c r="H18" i="7"/>
  <c r="E18" i="7"/>
  <c r="B18" i="7"/>
  <c r="H17" i="7"/>
  <c r="E17" i="7"/>
  <c r="B17" i="7"/>
  <c r="H16" i="7"/>
  <c r="E16" i="7"/>
  <c r="B16" i="7"/>
  <c r="H15" i="7"/>
  <c r="E15" i="7"/>
  <c r="B15" i="7"/>
  <c r="H14" i="7"/>
  <c r="E14" i="7"/>
  <c r="B14" i="7"/>
  <c r="H13" i="7"/>
  <c r="E13" i="7"/>
  <c r="B13" i="7"/>
  <c r="H12" i="7"/>
  <c r="E12" i="7"/>
  <c r="B12" i="7"/>
  <c r="H11" i="7"/>
  <c r="E11" i="7"/>
  <c r="B11" i="7"/>
  <c r="H10" i="7"/>
  <c r="E10" i="7"/>
  <c r="B10" i="7"/>
  <c r="H9" i="7"/>
  <c r="E9" i="7"/>
  <c r="B9" i="7"/>
  <c r="H8" i="7"/>
  <c r="E8" i="7"/>
  <c r="B8" i="7"/>
  <c r="H7" i="7"/>
  <c r="E7" i="7"/>
  <c r="B7" i="7"/>
  <c r="H6" i="7"/>
  <c r="E6" i="7"/>
  <c r="B6" i="7"/>
  <c r="H5" i="7"/>
  <c r="E5" i="7"/>
  <c r="B5" i="7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K18" i="4" l="1"/>
  <c r="L18" i="4" s="1"/>
  <c r="M18" i="4" s="1"/>
  <c r="K19" i="4"/>
  <c r="L19" i="4" s="1"/>
  <c r="M19" i="4" s="1"/>
  <c r="K20" i="4"/>
  <c r="L20" i="4" s="1"/>
  <c r="M20" i="4" s="1"/>
  <c r="E35" i="1" l="1"/>
  <c r="X32" i="4" l="1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H20" i="4"/>
  <c r="E20" i="4"/>
  <c r="B20" i="4"/>
  <c r="H19" i="4"/>
  <c r="E19" i="4"/>
  <c r="B19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B35" i="1"/>
  <c r="K34" i="1"/>
  <c r="H34" i="1"/>
  <c r="B34" i="1"/>
  <c r="K33" i="1"/>
  <c r="H33" i="1"/>
  <c r="E33" i="1"/>
  <c r="B33" i="1"/>
  <c r="K32" i="1"/>
  <c r="H32" i="1"/>
  <c r="E32" i="1"/>
  <c r="B32" i="1"/>
  <c r="K31" i="1"/>
  <c r="E31" i="1"/>
  <c r="B31" i="1"/>
  <c r="K30" i="1"/>
  <c r="E30" i="1"/>
  <c r="B30" i="1"/>
  <c r="K29" i="1"/>
  <c r="E29" i="1"/>
  <c r="B29" i="1"/>
  <c r="K28" i="1"/>
  <c r="E28" i="1"/>
  <c r="B28" i="1"/>
  <c r="K27" i="1"/>
  <c r="E27" i="1"/>
  <c r="B27" i="1"/>
  <c r="K26" i="1"/>
  <c r="E26" i="1"/>
  <c r="B26" i="1"/>
  <c r="K25" i="1"/>
  <c r="E25" i="1"/>
  <c r="B25" i="1"/>
  <c r="K24" i="1"/>
  <c r="E24" i="1"/>
  <c r="B24" i="1"/>
  <c r="K23" i="1"/>
  <c r="E23" i="1"/>
  <c r="B23" i="1"/>
  <c r="K22" i="1"/>
  <c r="E22" i="1"/>
  <c r="B22" i="1"/>
  <c r="K21" i="1"/>
  <c r="E21" i="1"/>
  <c r="B21" i="1"/>
  <c r="K20" i="1"/>
  <c r="E20" i="1"/>
  <c r="B20" i="1"/>
  <c r="K19" i="1"/>
  <c r="E19" i="1"/>
  <c r="B19" i="1"/>
  <c r="K18" i="1"/>
  <c r="E18" i="1"/>
  <c r="B18" i="1"/>
  <c r="K17" i="1"/>
  <c r="E17" i="1"/>
  <c r="B17" i="1"/>
  <c r="K16" i="1"/>
  <c r="E16" i="1"/>
  <c r="B16" i="1"/>
  <c r="K15" i="1"/>
  <c r="E15" i="1"/>
  <c r="B15" i="1"/>
  <c r="K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L34" i="11" l="1"/>
  <c r="M34" i="11" s="1"/>
  <c r="L35" i="11"/>
  <c r="M35" i="11" s="1"/>
  <c r="H5" i="14"/>
  <c r="I5" i="14" s="1"/>
  <c r="H6" i="14"/>
  <c r="I6" i="14" s="1"/>
  <c r="H7" i="14"/>
  <c r="I7" i="14" s="1"/>
  <c r="H8" i="14"/>
  <c r="I8" i="14" s="1"/>
  <c r="H9" i="14"/>
  <c r="I9" i="14" s="1"/>
  <c r="H10" i="14"/>
  <c r="I10" i="14" s="1"/>
  <c r="H11" i="14"/>
  <c r="I11" i="14" s="1"/>
  <c r="H12" i="14"/>
  <c r="I12" i="14" s="1"/>
  <c r="H13" i="14"/>
  <c r="I13" i="14" s="1"/>
  <c r="H14" i="14"/>
  <c r="I14" i="14" s="1"/>
  <c r="H15" i="14"/>
  <c r="I15" i="14" s="1"/>
  <c r="H16" i="14"/>
  <c r="I16" i="14" s="1"/>
  <c r="H17" i="14"/>
  <c r="I17" i="14" s="1"/>
  <c r="H18" i="14"/>
  <c r="I18" i="14" s="1"/>
  <c r="H19" i="14"/>
  <c r="I19" i="14" s="1"/>
  <c r="X35" i="13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H34" i="14"/>
  <c r="I34" i="14" s="1"/>
  <c r="E34" i="14"/>
  <c r="B34" i="14"/>
  <c r="K33" i="14"/>
  <c r="H33" i="14"/>
  <c r="I33" i="14" s="1"/>
  <c r="E33" i="14"/>
  <c r="B33" i="14"/>
  <c r="K32" i="14"/>
  <c r="H32" i="14"/>
  <c r="I32" i="14" s="1"/>
  <c r="E32" i="14"/>
  <c r="B32" i="14"/>
  <c r="K31" i="14"/>
  <c r="H31" i="14"/>
  <c r="I31" i="14" s="1"/>
  <c r="E31" i="14"/>
  <c r="B31" i="14"/>
  <c r="K30" i="14"/>
  <c r="H30" i="14"/>
  <c r="I30" i="14" s="1"/>
  <c r="E30" i="14"/>
  <c r="B30" i="14"/>
  <c r="K29" i="14"/>
  <c r="H29" i="14"/>
  <c r="I29" i="14" s="1"/>
  <c r="E29" i="14"/>
  <c r="B29" i="14"/>
  <c r="K28" i="14"/>
  <c r="H28" i="14"/>
  <c r="I28" i="14" s="1"/>
  <c r="E28" i="14"/>
  <c r="B28" i="14"/>
  <c r="K27" i="14"/>
  <c r="H27" i="14"/>
  <c r="I27" i="14" s="1"/>
  <c r="E27" i="14"/>
  <c r="B27" i="14"/>
  <c r="K26" i="14"/>
  <c r="H26" i="14"/>
  <c r="I26" i="14" s="1"/>
  <c r="E26" i="14"/>
  <c r="B26" i="14"/>
  <c r="K25" i="14"/>
  <c r="H25" i="14"/>
  <c r="I25" i="14" s="1"/>
  <c r="E25" i="14"/>
  <c r="B25" i="14"/>
  <c r="K24" i="14"/>
  <c r="H24" i="14"/>
  <c r="I24" i="14" s="1"/>
  <c r="E24" i="14"/>
  <c r="B24" i="14"/>
  <c r="K23" i="14"/>
  <c r="H23" i="14"/>
  <c r="I23" i="14" s="1"/>
  <c r="E23" i="14"/>
  <c r="B23" i="14"/>
  <c r="K22" i="14"/>
  <c r="H22" i="14"/>
  <c r="I22" i="14" s="1"/>
  <c r="E22" i="14"/>
  <c r="B22" i="14"/>
  <c r="K21" i="14"/>
  <c r="H21" i="14"/>
  <c r="I21" i="14" s="1"/>
  <c r="E21" i="14"/>
  <c r="B21" i="14"/>
  <c r="K20" i="14"/>
  <c r="H20" i="14"/>
  <c r="I20" i="14" s="1"/>
  <c r="E20" i="14"/>
  <c r="B20" i="14"/>
  <c r="K19" i="14"/>
  <c r="E19" i="14"/>
  <c r="B19" i="14"/>
  <c r="K18" i="14"/>
  <c r="E18" i="14"/>
  <c r="B18" i="14"/>
  <c r="K17" i="14"/>
  <c r="E17" i="14"/>
  <c r="B17" i="14"/>
  <c r="K16" i="14"/>
  <c r="E16" i="14"/>
  <c r="B16" i="14"/>
  <c r="K15" i="14"/>
  <c r="E15" i="14"/>
  <c r="B15" i="14"/>
  <c r="K14" i="14"/>
  <c r="E14" i="14"/>
  <c r="B14" i="14"/>
  <c r="K13" i="14"/>
  <c r="E13" i="14"/>
  <c r="B13" i="14"/>
  <c r="K12" i="14"/>
  <c r="E12" i="14"/>
  <c r="B12" i="14"/>
  <c r="K11" i="14"/>
  <c r="E11" i="14"/>
  <c r="B11" i="14"/>
  <c r="K10" i="14"/>
  <c r="E10" i="14"/>
  <c r="B10" i="14"/>
  <c r="K9" i="14"/>
  <c r="E9" i="14"/>
  <c r="B9" i="14"/>
  <c r="K8" i="14"/>
  <c r="E8" i="14"/>
  <c r="B8" i="14"/>
  <c r="K7" i="14"/>
  <c r="E7" i="14"/>
  <c r="B7" i="14"/>
  <c r="K6" i="14"/>
  <c r="E6" i="14"/>
  <c r="B6" i="14"/>
  <c r="K5" i="14"/>
  <c r="E5" i="14"/>
  <c r="B5" i="14"/>
  <c r="L33" i="5" l="1"/>
  <c r="M33" i="5" s="1"/>
  <c r="L34" i="5"/>
  <c r="M34" i="5" s="1"/>
  <c r="L35" i="5"/>
  <c r="M35" i="5" s="1"/>
  <c r="P6" i="12" l="1"/>
  <c r="Q6" i="12" s="1"/>
  <c r="S6" i="12"/>
  <c r="T6" i="12" s="1"/>
  <c r="V6" i="12"/>
  <c r="W6" i="12" s="1"/>
  <c r="P7" i="12"/>
  <c r="Q7" i="12" s="1"/>
  <c r="S7" i="12"/>
  <c r="T7" i="12" s="1"/>
  <c r="V7" i="12"/>
  <c r="W7" i="12" s="1"/>
  <c r="P8" i="12"/>
  <c r="Q8" i="12" s="1"/>
  <c r="S8" i="12"/>
  <c r="T8" i="12" s="1"/>
  <c r="V8" i="12"/>
  <c r="W8" i="12" s="1"/>
  <c r="P9" i="12"/>
  <c r="Q9" i="12" s="1"/>
  <c r="S9" i="12"/>
  <c r="T9" i="12" s="1"/>
  <c r="V9" i="12"/>
  <c r="W9" i="12" s="1"/>
  <c r="P10" i="12"/>
  <c r="Q10" i="12" s="1"/>
  <c r="S10" i="12"/>
  <c r="T10" i="12" s="1"/>
  <c r="V10" i="12"/>
  <c r="W10" i="12" s="1"/>
  <c r="P11" i="12"/>
  <c r="Q11" i="12" s="1"/>
  <c r="S11" i="12"/>
  <c r="T11" i="12" s="1"/>
  <c r="V11" i="12"/>
  <c r="W11" i="12" s="1"/>
  <c r="P12" i="12"/>
  <c r="Q12" i="12" s="1"/>
  <c r="S12" i="12"/>
  <c r="T12" i="12" s="1"/>
  <c r="V12" i="12"/>
  <c r="W12" i="12" s="1"/>
  <c r="P13" i="12"/>
  <c r="Q13" i="12" s="1"/>
  <c r="S13" i="12"/>
  <c r="T13" i="12" s="1"/>
  <c r="V13" i="12"/>
  <c r="W13" i="12" s="1"/>
  <c r="P14" i="12"/>
  <c r="Q14" i="12" s="1"/>
  <c r="S14" i="12"/>
  <c r="T14" i="12" s="1"/>
  <c r="V14" i="12"/>
  <c r="W14" i="12" s="1"/>
  <c r="P15" i="12"/>
  <c r="Q15" i="12" s="1"/>
  <c r="S15" i="12"/>
  <c r="T15" i="12" s="1"/>
  <c r="V15" i="12"/>
  <c r="W15" i="12" s="1"/>
  <c r="P16" i="12"/>
  <c r="Q16" i="12" s="1"/>
  <c r="S16" i="12"/>
  <c r="T16" i="12" s="1"/>
  <c r="V16" i="12"/>
  <c r="W16" i="12" s="1"/>
  <c r="P17" i="12"/>
  <c r="Q17" i="12" s="1"/>
  <c r="S17" i="12"/>
  <c r="T17" i="12" s="1"/>
  <c r="V17" i="12"/>
  <c r="W17" i="12" s="1"/>
  <c r="P18" i="12"/>
  <c r="Q18" i="12" s="1"/>
  <c r="S18" i="12"/>
  <c r="T18" i="12" s="1"/>
  <c r="V18" i="12"/>
  <c r="W18" i="12" s="1"/>
  <c r="P19" i="12"/>
  <c r="Q19" i="12" s="1"/>
  <c r="S19" i="12"/>
  <c r="T19" i="12" s="1"/>
  <c r="V19" i="12"/>
  <c r="W19" i="12" s="1"/>
  <c r="P20" i="12"/>
  <c r="Q20" i="12" s="1"/>
  <c r="S20" i="12"/>
  <c r="T20" i="12" s="1"/>
  <c r="V20" i="12"/>
  <c r="W20" i="12" s="1"/>
  <c r="P21" i="12"/>
  <c r="Q21" i="12" s="1"/>
  <c r="S21" i="12"/>
  <c r="T21" i="12" s="1"/>
  <c r="V21" i="12"/>
  <c r="W21" i="12" s="1"/>
  <c r="P22" i="12"/>
  <c r="Q22" i="12" s="1"/>
  <c r="S22" i="12"/>
  <c r="T22" i="12" s="1"/>
  <c r="V22" i="12"/>
  <c r="W22" i="12" s="1"/>
  <c r="P23" i="12"/>
  <c r="Q23" i="12" s="1"/>
  <c r="S23" i="12"/>
  <c r="T23" i="12" s="1"/>
  <c r="V23" i="12"/>
  <c r="W23" i="12" s="1"/>
  <c r="P24" i="12"/>
  <c r="Q24" i="12" s="1"/>
  <c r="S24" i="12"/>
  <c r="T24" i="12" s="1"/>
  <c r="V24" i="12"/>
  <c r="W24" i="12" s="1"/>
  <c r="P25" i="12"/>
  <c r="Q25" i="12" s="1"/>
  <c r="S25" i="12"/>
  <c r="T25" i="12" s="1"/>
  <c r="V25" i="12"/>
  <c r="W25" i="12" s="1"/>
  <c r="P26" i="12"/>
  <c r="Q26" i="12" s="1"/>
  <c r="S26" i="12"/>
  <c r="T26" i="12" s="1"/>
  <c r="V26" i="12"/>
  <c r="W26" i="12" s="1"/>
  <c r="P27" i="12"/>
  <c r="Q27" i="12" s="1"/>
  <c r="S27" i="12"/>
  <c r="T27" i="12" s="1"/>
  <c r="V27" i="12"/>
  <c r="W27" i="12" s="1"/>
  <c r="P28" i="12"/>
  <c r="Q28" i="12" s="1"/>
  <c r="S28" i="12"/>
  <c r="T28" i="12" s="1"/>
  <c r="V28" i="12"/>
  <c r="W28" i="12" s="1"/>
  <c r="P29" i="12"/>
  <c r="Q29" i="12" s="1"/>
  <c r="S29" i="12"/>
  <c r="T29" i="12" s="1"/>
  <c r="V29" i="12"/>
  <c r="W29" i="12" s="1"/>
  <c r="P30" i="12"/>
  <c r="Q30" i="12" s="1"/>
  <c r="S30" i="12"/>
  <c r="T30" i="12" s="1"/>
  <c r="V30" i="12"/>
  <c r="W30" i="12" s="1"/>
  <c r="P31" i="12"/>
  <c r="Q31" i="12" s="1"/>
  <c r="S31" i="12"/>
  <c r="T31" i="12" s="1"/>
  <c r="V31" i="12"/>
  <c r="W31" i="12" s="1"/>
  <c r="P32" i="12"/>
  <c r="Q32" i="12" s="1"/>
  <c r="S32" i="12"/>
  <c r="T32" i="12" s="1"/>
  <c r="V32" i="12"/>
  <c r="W32" i="12" s="1"/>
  <c r="P33" i="12"/>
  <c r="Q33" i="12" s="1"/>
  <c r="S33" i="12"/>
  <c r="T33" i="12" s="1"/>
  <c r="V33" i="12"/>
  <c r="W33" i="12" s="1"/>
  <c r="P34" i="12"/>
  <c r="Q34" i="12" s="1"/>
  <c r="S34" i="12"/>
  <c r="T34" i="12" s="1"/>
  <c r="V34" i="12"/>
  <c r="W34" i="12" s="1"/>
  <c r="C6" i="12" l="1"/>
  <c r="D6" i="12" s="1"/>
  <c r="F6" i="12"/>
  <c r="G6" i="12" s="1"/>
  <c r="I6" i="12"/>
  <c r="J6" i="12" s="1"/>
  <c r="L6" i="12"/>
  <c r="M6" i="12" s="1"/>
  <c r="C7" i="12"/>
  <c r="D7" i="12" s="1"/>
  <c r="F7" i="12"/>
  <c r="G7" i="12" s="1"/>
  <c r="I7" i="12"/>
  <c r="J7" i="12" s="1"/>
  <c r="L7" i="12"/>
  <c r="M7" i="12" s="1"/>
  <c r="C8" i="12"/>
  <c r="D8" i="12" s="1"/>
  <c r="F8" i="12"/>
  <c r="G8" i="12" s="1"/>
  <c r="I8" i="12"/>
  <c r="J8" i="12" s="1"/>
  <c r="L8" i="12"/>
  <c r="M8" i="12" s="1"/>
  <c r="C9" i="12"/>
  <c r="D9" i="12" s="1"/>
  <c r="F9" i="12"/>
  <c r="G9" i="12" s="1"/>
  <c r="I9" i="12"/>
  <c r="J9" i="12" s="1"/>
  <c r="L9" i="12"/>
  <c r="M9" i="12" s="1"/>
  <c r="C10" i="12"/>
  <c r="D10" i="12" s="1"/>
  <c r="F10" i="12"/>
  <c r="G10" i="12" s="1"/>
  <c r="I10" i="12"/>
  <c r="J10" i="12" s="1"/>
  <c r="L10" i="12"/>
  <c r="M10" i="12" s="1"/>
  <c r="C11" i="12"/>
  <c r="D11" i="12" s="1"/>
  <c r="F11" i="12"/>
  <c r="G11" i="12" s="1"/>
  <c r="I11" i="12"/>
  <c r="J11" i="12" s="1"/>
  <c r="L11" i="12"/>
  <c r="M11" i="12" s="1"/>
  <c r="C12" i="12"/>
  <c r="D12" i="12" s="1"/>
  <c r="F12" i="12"/>
  <c r="G12" i="12" s="1"/>
  <c r="I12" i="12"/>
  <c r="J12" i="12" s="1"/>
  <c r="L12" i="12"/>
  <c r="M12" i="12" s="1"/>
  <c r="C13" i="12"/>
  <c r="D13" i="12" s="1"/>
  <c r="F13" i="12"/>
  <c r="G13" i="12" s="1"/>
  <c r="I13" i="12"/>
  <c r="J13" i="12" s="1"/>
  <c r="L13" i="12"/>
  <c r="M13" i="12" s="1"/>
  <c r="C14" i="12"/>
  <c r="D14" i="12" s="1"/>
  <c r="F14" i="12"/>
  <c r="G14" i="12" s="1"/>
  <c r="I14" i="12"/>
  <c r="J14" i="12" s="1"/>
  <c r="L14" i="12"/>
  <c r="M14" i="12" s="1"/>
  <c r="C15" i="12"/>
  <c r="D15" i="12" s="1"/>
  <c r="F15" i="12"/>
  <c r="G15" i="12" s="1"/>
  <c r="I15" i="12"/>
  <c r="J15" i="12" s="1"/>
  <c r="L15" i="12"/>
  <c r="M15" i="12" s="1"/>
  <c r="C16" i="12"/>
  <c r="D16" i="12" s="1"/>
  <c r="F16" i="12"/>
  <c r="G16" i="12" s="1"/>
  <c r="I16" i="12"/>
  <c r="J16" i="12" s="1"/>
  <c r="L16" i="12"/>
  <c r="M16" i="12" s="1"/>
  <c r="C17" i="12"/>
  <c r="D17" i="12" s="1"/>
  <c r="F17" i="12"/>
  <c r="G17" i="12" s="1"/>
  <c r="I17" i="12"/>
  <c r="J17" i="12" s="1"/>
  <c r="L17" i="12"/>
  <c r="M17" i="12" s="1"/>
  <c r="C18" i="12"/>
  <c r="D18" i="12" s="1"/>
  <c r="F18" i="12"/>
  <c r="G18" i="12" s="1"/>
  <c r="I18" i="12"/>
  <c r="J18" i="12" s="1"/>
  <c r="L18" i="12"/>
  <c r="M18" i="12" s="1"/>
  <c r="C19" i="12"/>
  <c r="D19" i="12" s="1"/>
  <c r="F19" i="12"/>
  <c r="G19" i="12" s="1"/>
  <c r="I19" i="12"/>
  <c r="J19" i="12" s="1"/>
  <c r="L19" i="12"/>
  <c r="M19" i="12" s="1"/>
  <c r="C20" i="12"/>
  <c r="D20" i="12" s="1"/>
  <c r="F20" i="12"/>
  <c r="G20" i="12" s="1"/>
  <c r="I20" i="12"/>
  <c r="J20" i="12" s="1"/>
  <c r="L20" i="12"/>
  <c r="M20" i="12" s="1"/>
  <c r="C21" i="12"/>
  <c r="D21" i="12" s="1"/>
  <c r="F21" i="12"/>
  <c r="G21" i="12" s="1"/>
  <c r="I21" i="12"/>
  <c r="J21" i="12" s="1"/>
  <c r="L21" i="12"/>
  <c r="M21" i="12" s="1"/>
  <c r="C22" i="12"/>
  <c r="D22" i="12" s="1"/>
  <c r="F22" i="12"/>
  <c r="G22" i="12" s="1"/>
  <c r="I22" i="12"/>
  <c r="J22" i="12" s="1"/>
  <c r="L22" i="12"/>
  <c r="M22" i="12" s="1"/>
  <c r="C23" i="12"/>
  <c r="D23" i="12" s="1"/>
  <c r="F23" i="12"/>
  <c r="G23" i="12" s="1"/>
  <c r="I23" i="12"/>
  <c r="J23" i="12" s="1"/>
  <c r="L23" i="12"/>
  <c r="M23" i="12" s="1"/>
  <c r="C24" i="12"/>
  <c r="D24" i="12" s="1"/>
  <c r="F24" i="12"/>
  <c r="G24" i="12" s="1"/>
  <c r="I24" i="12"/>
  <c r="J24" i="12" s="1"/>
  <c r="L24" i="12"/>
  <c r="M24" i="12" s="1"/>
  <c r="C25" i="12"/>
  <c r="D25" i="12" s="1"/>
  <c r="F25" i="12"/>
  <c r="G25" i="12" s="1"/>
  <c r="I25" i="12"/>
  <c r="J25" i="12" s="1"/>
  <c r="L25" i="12"/>
  <c r="M25" i="12" s="1"/>
  <c r="C26" i="12"/>
  <c r="D26" i="12" s="1"/>
  <c r="F26" i="12"/>
  <c r="G26" i="12" s="1"/>
  <c r="I26" i="12"/>
  <c r="J26" i="12" s="1"/>
  <c r="L26" i="12"/>
  <c r="M26" i="12" s="1"/>
  <c r="C27" i="12"/>
  <c r="D27" i="12" s="1"/>
  <c r="F27" i="12"/>
  <c r="G27" i="12" s="1"/>
  <c r="I27" i="12"/>
  <c r="J27" i="12" s="1"/>
  <c r="L27" i="12"/>
  <c r="M27" i="12" s="1"/>
  <c r="C28" i="12"/>
  <c r="D28" i="12" s="1"/>
  <c r="F28" i="12"/>
  <c r="G28" i="12" s="1"/>
  <c r="I28" i="12"/>
  <c r="J28" i="12" s="1"/>
  <c r="L28" i="12"/>
  <c r="M28" i="12" s="1"/>
  <c r="C29" i="12"/>
  <c r="D29" i="12" s="1"/>
  <c r="F29" i="12"/>
  <c r="G29" i="12" s="1"/>
  <c r="I29" i="12"/>
  <c r="J29" i="12" s="1"/>
  <c r="L29" i="12"/>
  <c r="M29" i="12" s="1"/>
  <c r="C30" i="12"/>
  <c r="D30" i="12" s="1"/>
  <c r="F30" i="12"/>
  <c r="G30" i="12" s="1"/>
  <c r="I30" i="12"/>
  <c r="J30" i="12" s="1"/>
  <c r="L30" i="12"/>
  <c r="M30" i="12" s="1"/>
  <c r="C31" i="12"/>
  <c r="D31" i="12" s="1"/>
  <c r="F31" i="12"/>
  <c r="G31" i="12" s="1"/>
  <c r="I31" i="12"/>
  <c r="J31" i="12" s="1"/>
  <c r="L31" i="12"/>
  <c r="M31" i="12" s="1"/>
  <c r="C32" i="12"/>
  <c r="D32" i="12" s="1"/>
  <c r="F32" i="12"/>
  <c r="G32" i="12" s="1"/>
  <c r="I32" i="12"/>
  <c r="J32" i="12" s="1"/>
  <c r="L32" i="12"/>
  <c r="M32" i="12" s="1"/>
  <c r="C33" i="12"/>
  <c r="D33" i="12" s="1"/>
  <c r="F33" i="12"/>
  <c r="G33" i="12" s="1"/>
  <c r="I33" i="12"/>
  <c r="J33" i="12" s="1"/>
  <c r="L33" i="12"/>
  <c r="M33" i="12" s="1"/>
  <c r="C34" i="12"/>
  <c r="D34" i="12" s="1"/>
  <c r="F34" i="12"/>
  <c r="G34" i="12" s="1"/>
  <c r="I34" i="12"/>
  <c r="J34" i="12" s="1"/>
  <c r="L34" i="12"/>
  <c r="M34" i="12" s="1"/>
  <c r="L33" i="11" l="1"/>
  <c r="M33" i="11" s="1"/>
  <c r="P6" i="11" l="1"/>
  <c r="Q6" i="11" s="1"/>
  <c r="S6" i="11"/>
  <c r="T6" i="11" s="1"/>
  <c r="V6" i="11"/>
  <c r="W6" i="11" s="1"/>
  <c r="Y6" i="11"/>
  <c r="Z6" i="11" s="1"/>
  <c r="P7" i="11"/>
  <c r="Q7" i="11" s="1"/>
  <c r="S7" i="11"/>
  <c r="T7" i="11" s="1"/>
  <c r="V7" i="11"/>
  <c r="W7" i="11" s="1"/>
  <c r="Y7" i="11"/>
  <c r="Z7" i="11" s="1"/>
  <c r="P8" i="11"/>
  <c r="Q8" i="11" s="1"/>
  <c r="S8" i="11"/>
  <c r="T8" i="11" s="1"/>
  <c r="V8" i="11"/>
  <c r="W8" i="11" s="1"/>
  <c r="Y8" i="11"/>
  <c r="Z8" i="11" s="1"/>
  <c r="P9" i="11"/>
  <c r="Q9" i="11" s="1"/>
  <c r="S9" i="11"/>
  <c r="T9" i="11" s="1"/>
  <c r="V9" i="11"/>
  <c r="W9" i="11" s="1"/>
  <c r="Y9" i="11"/>
  <c r="Z9" i="11" s="1"/>
  <c r="P10" i="11"/>
  <c r="Q10" i="11" s="1"/>
  <c r="S10" i="11"/>
  <c r="T10" i="11" s="1"/>
  <c r="V10" i="11"/>
  <c r="W10" i="11" s="1"/>
  <c r="Y10" i="11"/>
  <c r="Z10" i="11" s="1"/>
  <c r="P11" i="11"/>
  <c r="Q11" i="11" s="1"/>
  <c r="S11" i="11"/>
  <c r="T11" i="11" s="1"/>
  <c r="V11" i="11"/>
  <c r="W11" i="11" s="1"/>
  <c r="Y11" i="11"/>
  <c r="Z11" i="11" s="1"/>
  <c r="P12" i="11"/>
  <c r="Q12" i="11" s="1"/>
  <c r="S12" i="11"/>
  <c r="T12" i="11" s="1"/>
  <c r="V12" i="11"/>
  <c r="W12" i="11" s="1"/>
  <c r="Y12" i="11"/>
  <c r="Z12" i="11" s="1"/>
  <c r="P13" i="11"/>
  <c r="Q13" i="11" s="1"/>
  <c r="S13" i="11"/>
  <c r="T13" i="11" s="1"/>
  <c r="V13" i="11"/>
  <c r="W13" i="11" s="1"/>
  <c r="Y13" i="11"/>
  <c r="Z13" i="11" s="1"/>
  <c r="P14" i="11"/>
  <c r="Q14" i="11" s="1"/>
  <c r="S14" i="11"/>
  <c r="T14" i="11" s="1"/>
  <c r="V14" i="11"/>
  <c r="W14" i="11" s="1"/>
  <c r="Y14" i="11"/>
  <c r="Z14" i="11" s="1"/>
  <c r="P15" i="11"/>
  <c r="Q15" i="11" s="1"/>
  <c r="S15" i="11"/>
  <c r="T15" i="11" s="1"/>
  <c r="V15" i="11"/>
  <c r="W15" i="11" s="1"/>
  <c r="Y15" i="11"/>
  <c r="Z15" i="11" s="1"/>
  <c r="P16" i="11"/>
  <c r="Q16" i="11" s="1"/>
  <c r="S16" i="11"/>
  <c r="T16" i="11" s="1"/>
  <c r="V16" i="11"/>
  <c r="W16" i="11" s="1"/>
  <c r="Y16" i="11"/>
  <c r="Z16" i="11" s="1"/>
  <c r="P17" i="11"/>
  <c r="Q17" i="11" s="1"/>
  <c r="S17" i="11"/>
  <c r="T17" i="11" s="1"/>
  <c r="V17" i="11"/>
  <c r="W17" i="11" s="1"/>
  <c r="Y17" i="11"/>
  <c r="Z17" i="11" s="1"/>
  <c r="P18" i="11"/>
  <c r="Q18" i="11" s="1"/>
  <c r="S18" i="11"/>
  <c r="T18" i="11" s="1"/>
  <c r="V18" i="11"/>
  <c r="W18" i="11" s="1"/>
  <c r="Y18" i="11"/>
  <c r="Z18" i="11" s="1"/>
  <c r="P19" i="11"/>
  <c r="Q19" i="11" s="1"/>
  <c r="S19" i="11"/>
  <c r="T19" i="11" s="1"/>
  <c r="V19" i="11"/>
  <c r="W19" i="11" s="1"/>
  <c r="Y19" i="11"/>
  <c r="Z19" i="11" s="1"/>
  <c r="P20" i="11"/>
  <c r="Q20" i="11" s="1"/>
  <c r="S20" i="11"/>
  <c r="T20" i="11" s="1"/>
  <c r="V20" i="11"/>
  <c r="W20" i="11" s="1"/>
  <c r="Y20" i="11"/>
  <c r="Z20" i="11" s="1"/>
  <c r="P21" i="11"/>
  <c r="Q21" i="11" s="1"/>
  <c r="S21" i="11"/>
  <c r="T21" i="11" s="1"/>
  <c r="V21" i="11"/>
  <c r="W21" i="11" s="1"/>
  <c r="Y21" i="11"/>
  <c r="Z21" i="11" s="1"/>
  <c r="P22" i="11"/>
  <c r="Q22" i="11" s="1"/>
  <c r="S22" i="11"/>
  <c r="T22" i="11" s="1"/>
  <c r="V22" i="11"/>
  <c r="W22" i="11" s="1"/>
  <c r="Y22" i="11"/>
  <c r="Z22" i="11" s="1"/>
  <c r="P23" i="11"/>
  <c r="Q23" i="11" s="1"/>
  <c r="S23" i="11"/>
  <c r="T23" i="11" s="1"/>
  <c r="V23" i="11"/>
  <c r="W23" i="11" s="1"/>
  <c r="Y23" i="11"/>
  <c r="Z23" i="11" s="1"/>
  <c r="P24" i="11"/>
  <c r="Q24" i="11" s="1"/>
  <c r="S24" i="11"/>
  <c r="T24" i="11" s="1"/>
  <c r="V24" i="11"/>
  <c r="W24" i="11" s="1"/>
  <c r="Y24" i="11"/>
  <c r="Z24" i="11" s="1"/>
  <c r="P25" i="11"/>
  <c r="Q25" i="11" s="1"/>
  <c r="S25" i="11"/>
  <c r="T25" i="11" s="1"/>
  <c r="V25" i="11"/>
  <c r="W25" i="11" s="1"/>
  <c r="Y25" i="11"/>
  <c r="Z25" i="11" s="1"/>
  <c r="P26" i="11"/>
  <c r="Q26" i="11" s="1"/>
  <c r="S26" i="11"/>
  <c r="T26" i="11" s="1"/>
  <c r="V26" i="11"/>
  <c r="W26" i="11" s="1"/>
  <c r="Y26" i="11"/>
  <c r="Z26" i="11" s="1"/>
  <c r="P27" i="11"/>
  <c r="Q27" i="11" s="1"/>
  <c r="S27" i="11"/>
  <c r="T27" i="11" s="1"/>
  <c r="V27" i="11"/>
  <c r="W27" i="11" s="1"/>
  <c r="Y27" i="11"/>
  <c r="Z27" i="11" s="1"/>
  <c r="P28" i="11"/>
  <c r="Q28" i="11" s="1"/>
  <c r="S28" i="11"/>
  <c r="T28" i="11" s="1"/>
  <c r="V28" i="11"/>
  <c r="W28" i="11" s="1"/>
  <c r="Y28" i="11"/>
  <c r="Z28" i="11" s="1"/>
  <c r="P29" i="11"/>
  <c r="Q29" i="11" s="1"/>
  <c r="S29" i="11"/>
  <c r="T29" i="11" s="1"/>
  <c r="V29" i="11"/>
  <c r="W29" i="11" s="1"/>
  <c r="Y29" i="11"/>
  <c r="Z29" i="11" s="1"/>
  <c r="P30" i="11"/>
  <c r="Q30" i="11" s="1"/>
  <c r="S30" i="11"/>
  <c r="T30" i="11" s="1"/>
  <c r="V30" i="11"/>
  <c r="W30" i="11" s="1"/>
  <c r="Y30" i="11"/>
  <c r="Z30" i="11" s="1"/>
  <c r="P31" i="11"/>
  <c r="Q31" i="11" s="1"/>
  <c r="S31" i="11"/>
  <c r="T31" i="11" s="1"/>
  <c r="V31" i="11"/>
  <c r="W31" i="11" s="1"/>
  <c r="Y31" i="11"/>
  <c r="Z31" i="11" s="1"/>
  <c r="P32" i="11"/>
  <c r="Q32" i="11" s="1"/>
  <c r="S32" i="11"/>
  <c r="T32" i="11" s="1"/>
  <c r="V32" i="11"/>
  <c r="W32" i="11" s="1"/>
  <c r="Y32" i="11"/>
  <c r="Z32" i="11" s="1"/>
  <c r="P33" i="11"/>
  <c r="Q33" i="11" s="1"/>
  <c r="S33" i="11"/>
  <c r="T33" i="11" s="1"/>
  <c r="V33" i="11"/>
  <c r="W33" i="11" s="1"/>
  <c r="Y33" i="11"/>
  <c r="Z33" i="11" s="1"/>
  <c r="P34" i="11"/>
  <c r="Q34" i="11" s="1"/>
  <c r="S34" i="11"/>
  <c r="T34" i="11" s="1"/>
  <c r="V34" i="11"/>
  <c r="W34" i="11" s="1"/>
  <c r="Y34" i="11"/>
  <c r="Z34" i="11" s="1"/>
  <c r="P35" i="11"/>
  <c r="Q35" i="11" s="1"/>
  <c r="S35" i="11"/>
  <c r="T35" i="11" s="1"/>
  <c r="V35" i="11"/>
  <c r="W35" i="11" s="1"/>
  <c r="Y35" i="11"/>
  <c r="Z35" i="11" s="1"/>
  <c r="C6" i="11" l="1"/>
  <c r="D6" i="11" s="1"/>
  <c r="F6" i="11"/>
  <c r="G6" i="11" s="1"/>
  <c r="I6" i="11"/>
  <c r="J6" i="11" s="1"/>
  <c r="L6" i="11"/>
  <c r="M6" i="11" s="1"/>
  <c r="C7" i="11"/>
  <c r="D7" i="11" s="1"/>
  <c r="F7" i="11"/>
  <c r="G7" i="11" s="1"/>
  <c r="I7" i="11"/>
  <c r="J7" i="11" s="1"/>
  <c r="L7" i="11"/>
  <c r="M7" i="11" s="1"/>
  <c r="C8" i="11"/>
  <c r="D8" i="11" s="1"/>
  <c r="F8" i="11"/>
  <c r="G8" i="11" s="1"/>
  <c r="I8" i="11"/>
  <c r="J8" i="11" s="1"/>
  <c r="L8" i="11"/>
  <c r="M8" i="11" s="1"/>
  <c r="C9" i="11"/>
  <c r="D9" i="11" s="1"/>
  <c r="F9" i="11"/>
  <c r="G9" i="11" s="1"/>
  <c r="I9" i="11"/>
  <c r="J9" i="11" s="1"/>
  <c r="L9" i="11"/>
  <c r="M9" i="11" s="1"/>
  <c r="C10" i="11"/>
  <c r="D10" i="11" s="1"/>
  <c r="F10" i="11"/>
  <c r="G10" i="11" s="1"/>
  <c r="I10" i="11"/>
  <c r="J10" i="11" s="1"/>
  <c r="L10" i="11"/>
  <c r="M10" i="11" s="1"/>
  <c r="C11" i="11"/>
  <c r="D11" i="11" s="1"/>
  <c r="F11" i="11"/>
  <c r="G11" i="11" s="1"/>
  <c r="I11" i="11"/>
  <c r="J11" i="11" s="1"/>
  <c r="L11" i="11"/>
  <c r="M11" i="11" s="1"/>
  <c r="C12" i="11"/>
  <c r="D12" i="11" s="1"/>
  <c r="F12" i="11"/>
  <c r="G12" i="11" s="1"/>
  <c r="I12" i="11"/>
  <c r="J12" i="11" s="1"/>
  <c r="L12" i="11"/>
  <c r="M12" i="11" s="1"/>
  <c r="C13" i="11"/>
  <c r="D13" i="11" s="1"/>
  <c r="F13" i="11"/>
  <c r="G13" i="11" s="1"/>
  <c r="I13" i="11"/>
  <c r="J13" i="11" s="1"/>
  <c r="C14" i="11"/>
  <c r="D14" i="11" s="1"/>
  <c r="F14" i="11"/>
  <c r="G14" i="11" s="1"/>
  <c r="I14" i="11"/>
  <c r="J14" i="11" s="1"/>
  <c r="C15" i="11"/>
  <c r="D15" i="11" s="1"/>
  <c r="F15" i="11"/>
  <c r="G15" i="11" s="1"/>
  <c r="I15" i="11"/>
  <c r="J15" i="11" s="1"/>
  <c r="C16" i="11"/>
  <c r="D16" i="11" s="1"/>
  <c r="F16" i="11"/>
  <c r="G16" i="11" s="1"/>
  <c r="I16" i="11"/>
  <c r="J16" i="11" s="1"/>
  <c r="M16" i="11"/>
  <c r="C17" i="11"/>
  <c r="D17" i="11" s="1"/>
  <c r="F17" i="11"/>
  <c r="G17" i="11" s="1"/>
  <c r="I17" i="11"/>
  <c r="J17" i="11" s="1"/>
  <c r="L17" i="11"/>
  <c r="M17" i="11" s="1"/>
  <c r="C18" i="11"/>
  <c r="D18" i="11" s="1"/>
  <c r="F18" i="11"/>
  <c r="G18" i="11" s="1"/>
  <c r="I18" i="11"/>
  <c r="J18" i="11" s="1"/>
  <c r="L18" i="11"/>
  <c r="M18" i="11" s="1"/>
  <c r="C19" i="11"/>
  <c r="D19" i="11" s="1"/>
  <c r="F19" i="11"/>
  <c r="G19" i="11" s="1"/>
  <c r="I19" i="11"/>
  <c r="J19" i="11" s="1"/>
  <c r="L19" i="11"/>
  <c r="M19" i="11" s="1"/>
  <c r="C20" i="11"/>
  <c r="D20" i="11" s="1"/>
  <c r="F20" i="11"/>
  <c r="G20" i="11" s="1"/>
  <c r="I20" i="11"/>
  <c r="J20" i="11" s="1"/>
  <c r="L20" i="11"/>
  <c r="M20" i="11" s="1"/>
  <c r="C21" i="11"/>
  <c r="D21" i="11" s="1"/>
  <c r="F21" i="11"/>
  <c r="G21" i="11" s="1"/>
  <c r="I21" i="11"/>
  <c r="J21" i="11" s="1"/>
  <c r="L21" i="11"/>
  <c r="M21" i="11" s="1"/>
  <c r="C22" i="11"/>
  <c r="D22" i="11" s="1"/>
  <c r="F22" i="11"/>
  <c r="G22" i="11" s="1"/>
  <c r="I22" i="11"/>
  <c r="J22" i="11" s="1"/>
  <c r="L22" i="11"/>
  <c r="M22" i="11" s="1"/>
  <c r="C23" i="11"/>
  <c r="D23" i="11" s="1"/>
  <c r="F23" i="11"/>
  <c r="G23" i="11" s="1"/>
  <c r="I23" i="11"/>
  <c r="J23" i="11" s="1"/>
  <c r="L23" i="11"/>
  <c r="M23" i="11" s="1"/>
  <c r="C24" i="11"/>
  <c r="D24" i="11" s="1"/>
  <c r="F24" i="11"/>
  <c r="G24" i="11" s="1"/>
  <c r="I24" i="11"/>
  <c r="J24" i="11" s="1"/>
  <c r="L24" i="11"/>
  <c r="M24" i="11" s="1"/>
  <c r="C25" i="11"/>
  <c r="D25" i="11" s="1"/>
  <c r="F25" i="11"/>
  <c r="G25" i="11" s="1"/>
  <c r="I25" i="11"/>
  <c r="J25" i="11" s="1"/>
  <c r="L25" i="11"/>
  <c r="M25" i="11" s="1"/>
  <c r="C26" i="11"/>
  <c r="D26" i="11" s="1"/>
  <c r="F26" i="11"/>
  <c r="G26" i="11" s="1"/>
  <c r="I26" i="11"/>
  <c r="J26" i="11" s="1"/>
  <c r="L26" i="11"/>
  <c r="M26" i="11" s="1"/>
  <c r="C27" i="11"/>
  <c r="D27" i="11" s="1"/>
  <c r="F27" i="11"/>
  <c r="G27" i="11" s="1"/>
  <c r="I27" i="11"/>
  <c r="J27" i="11" s="1"/>
  <c r="L27" i="11"/>
  <c r="M27" i="11" s="1"/>
  <c r="C28" i="11"/>
  <c r="D28" i="11" s="1"/>
  <c r="F28" i="11"/>
  <c r="G28" i="11" s="1"/>
  <c r="I28" i="11"/>
  <c r="J28" i="11" s="1"/>
  <c r="L28" i="11"/>
  <c r="M28" i="11" s="1"/>
  <c r="C29" i="11"/>
  <c r="D29" i="11" s="1"/>
  <c r="F29" i="11"/>
  <c r="G29" i="11" s="1"/>
  <c r="I29" i="11"/>
  <c r="J29" i="11" s="1"/>
  <c r="L29" i="11"/>
  <c r="M29" i="11" s="1"/>
  <c r="C30" i="11"/>
  <c r="D30" i="11" s="1"/>
  <c r="F30" i="11"/>
  <c r="G30" i="11" s="1"/>
  <c r="I30" i="11"/>
  <c r="J30" i="11" s="1"/>
  <c r="L30" i="11"/>
  <c r="M30" i="11" s="1"/>
  <c r="C31" i="11"/>
  <c r="D31" i="11" s="1"/>
  <c r="F31" i="11"/>
  <c r="G31" i="11" s="1"/>
  <c r="I31" i="11"/>
  <c r="J31" i="11" s="1"/>
  <c r="L31" i="11"/>
  <c r="M31" i="11" s="1"/>
  <c r="C32" i="11"/>
  <c r="D32" i="11" s="1"/>
  <c r="F32" i="11"/>
  <c r="G32" i="11" s="1"/>
  <c r="I32" i="11"/>
  <c r="J32" i="11" s="1"/>
  <c r="L32" i="11"/>
  <c r="M32" i="11" s="1"/>
  <c r="C33" i="11"/>
  <c r="D33" i="11" s="1"/>
  <c r="F33" i="11"/>
  <c r="G33" i="11" s="1"/>
  <c r="I33" i="11"/>
  <c r="J33" i="11" s="1"/>
  <c r="C34" i="11"/>
  <c r="D34" i="11" s="1"/>
  <c r="F34" i="11"/>
  <c r="G34" i="11" s="1"/>
  <c r="I34" i="11"/>
  <c r="J34" i="11" s="1"/>
  <c r="C35" i="11"/>
  <c r="D35" i="11" s="1"/>
  <c r="F35" i="11"/>
  <c r="G35" i="11" s="1"/>
  <c r="I35" i="11"/>
  <c r="J35" i="11" s="1"/>
  <c r="S23" i="9" l="1"/>
  <c r="T23" i="9" s="1"/>
  <c r="C5" i="10" l="1"/>
  <c r="D5" i="10" s="1"/>
  <c r="C6" i="10"/>
  <c r="D6" i="10" s="1"/>
  <c r="I34" i="9" l="1"/>
  <c r="I33" i="9"/>
  <c r="I32" i="9"/>
  <c r="I31" i="9"/>
  <c r="I30" i="9"/>
  <c r="L11" i="7" l="1"/>
  <c r="L12" i="7"/>
  <c r="M12" i="7" l="1"/>
  <c r="M11" i="7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P9" i="7"/>
  <c r="P10" i="7"/>
  <c r="P11" i="7"/>
  <c r="P12" i="7"/>
  <c r="P13" i="7"/>
  <c r="Q13" i="7" l="1"/>
  <c r="Q11" i="7"/>
  <c r="Q9" i="7"/>
  <c r="Q12" i="7"/>
  <c r="Q10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30" i="6" l="1"/>
  <c r="I31" i="6"/>
  <c r="I32" i="6"/>
  <c r="I33" i="6"/>
  <c r="I34" i="6"/>
  <c r="I35" i="6"/>
  <c r="AB7" i="4" l="1"/>
  <c r="AB9" i="4"/>
  <c r="AB11" i="4"/>
  <c r="AB13" i="4"/>
  <c r="AB15" i="4"/>
  <c r="AB17" i="4"/>
  <c r="AB16" i="4" l="1"/>
  <c r="AB14" i="4"/>
  <c r="AB12" i="4"/>
  <c r="AB10" i="4"/>
  <c r="AB8" i="4"/>
  <c r="AB6" i="4"/>
  <c r="L21" i="1"/>
  <c r="M21" i="1" l="1"/>
  <c r="I35" i="13"/>
  <c r="I34" i="13"/>
  <c r="I30" i="13"/>
  <c r="I24" i="13"/>
  <c r="I23" i="13"/>
  <c r="I22" i="13"/>
  <c r="I21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F15" i="9" l="1"/>
  <c r="F16" i="9"/>
  <c r="I5" i="12" l="1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I11" i="9"/>
  <c r="I10" i="9"/>
  <c r="I35" i="8"/>
  <c r="I34" i="8"/>
  <c r="I33" i="8"/>
  <c r="I32" i="8"/>
  <c r="I31" i="8"/>
  <c r="I21" i="8"/>
  <c r="I20" i="8"/>
  <c r="J17" i="7"/>
  <c r="J16" i="7"/>
  <c r="J15" i="7"/>
  <c r="J14" i="7"/>
  <c r="I5" i="7"/>
  <c r="P35" i="9" l="1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V14" i="5"/>
  <c r="W14" i="5" s="1"/>
  <c r="V15" i="5"/>
  <c r="W15" i="5" s="1"/>
  <c r="V16" i="5"/>
  <c r="W16" i="5" s="1"/>
  <c r="L16" i="5"/>
  <c r="M16" i="5" s="1"/>
  <c r="L17" i="5"/>
  <c r="M17" i="5" s="1"/>
  <c r="L18" i="5"/>
  <c r="M18" i="5" s="1"/>
  <c r="L19" i="5"/>
  <c r="M19" i="5" s="1"/>
  <c r="L20" i="5"/>
  <c r="M20" i="5" s="1"/>
  <c r="AB33" i="7" l="1"/>
  <c r="AB31" i="7"/>
  <c r="AB29" i="7"/>
  <c r="AB27" i="7"/>
  <c r="AB25" i="7"/>
  <c r="AB23" i="7"/>
  <c r="AB21" i="7"/>
  <c r="AB19" i="7"/>
  <c r="AB17" i="7"/>
  <c r="AB15" i="7"/>
  <c r="AB13" i="7"/>
  <c r="AB11" i="7"/>
  <c r="AB9" i="7"/>
  <c r="AB7" i="7"/>
  <c r="AB5" i="7"/>
  <c r="AB31" i="4"/>
  <c r="AB29" i="4"/>
  <c r="AB27" i="4"/>
  <c r="AB25" i="4"/>
  <c r="AB23" i="4"/>
  <c r="AB21" i="4"/>
  <c r="AB19" i="4"/>
  <c r="AB5" i="4"/>
  <c r="AB34" i="1"/>
  <c r="AB32" i="1"/>
  <c r="AB30" i="1"/>
  <c r="AB28" i="1"/>
  <c r="AB26" i="1"/>
  <c r="AB24" i="1"/>
  <c r="AB22" i="1"/>
  <c r="AB20" i="1"/>
  <c r="AB18" i="1"/>
  <c r="AB16" i="1"/>
  <c r="AB14" i="1"/>
  <c r="AB12" i="1"/>
  <c r="AB10" i="1"/>
  <c r="AB8" i="1"/>
  <c r="AB6" i="1"/>
  <c r="AB35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B10" i="7"/>
  <c r="AB8" i="7"/>
  <c r="AB6" i="7"/>
  <c r="AB34" i="4"/>
  <c r="AB32" i="4"/>
  <c r="AB30" i="4"/>
  <c r="AB28" i="4"/>
  <c r="AB26" i="4"/>
  <c r="AB24" i="4"/>
  <c r="AB22" i="4"/>
  <c r="AB20" i="4"/>
  <c r="AB18" i="4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9" i="1"/>
  <c r="AB7" i="1"/>
  <c r="AB5" i="1"/>
  <c r="AB35" i="14"/>
  <c r="S16" i="14"/>
  <c r="P16" i="14"/>
  <c r="S14" i="14"/>
  <c r="P14" i="14"/>
  <c r="S12" i="14"/>
  <c r="P12" i="14"/>
  <c r="S10" i="14"/>
  <c r="P10" i="14"/>
  <c r="S8" i="14"/>
  <c r="P8" i="14"/>
  <c r="S6" i="14"/>
  <c r="P6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S5" i="14"/>
  <c r="S7" i="14"/>
  <c r="S9" i="14"/>
  <c r="S11" i="14"/>
  <c r="S13" i="14"/>
  <c r="S15" i="14"/>
  <c r="S17" i="14"/>
  <c r="P5" i="14"/>
  <c r="P7" i="14"/>
  <c r="P9" i="14"/>
  <c r="P11" i="14"/>
  <c r="P13" i="14"/>
  <c r="P15" i="14"/>
  <c r="C5" i="5" l="1"/>
  <c r="F5" i="5"/>
  <c r="G5" i="5" s="1"/>
  <c r="I5" i="5"/>
  <c r="J5" i="5" s="1"/>
  <c r="L5" i="5"/>
  <c r="M5" i="5" s="1"/>
  <c r="P5" i="5"/>
  <c r="Q5" i="5" s="1"/>
  <c r="S5" i="5"/>
  <c r="T5" i="5" s="1"/>
  <c r="V5" i="5"/>
  <c r="W5" i="5" s="1"/>
  <c r="Y5" i="5"/>
  <c r="Z5" i="5" s="1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AB6" i="5"/>
  <c r="C7" i="5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AB7" i="5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AB8" i="5"/>
  <c r="C9" i="5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AB9" i="5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AB10" i="5"/>
  <c r="C11" i="5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AB11" i="5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AB12" i="5"/>
  <c r="C13" i="5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AB13" i="5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Y14" i="5"/>
  <c r="Z14" i="5" s="1"/>
  <c r="AB14" i="5"/>
  <c r="C15" i="5"/>
  <c r="F15" i="5"/>
  <c r="G15" i="5" s="1"/>
  <c r="I15" i="5"/>
  <c r="J15" i="5" s="1"/>
  <c r="L15" i="5"/>
  <c r="M15" i="5" s="1"/>
  <c r="P15" i="5"/>
  <c r="Q15" i="5" s="1"/>
  <c r="S15" i="5"/>
  <c r="T15" i="5" s="1"/>
  <c r="Y15" i="5"/>
  <c r="Z15" i="5" s="1"/>
  <c r="AB15" i="5"/>
  <c r="C16" i="5"/>
  <c r="D16" i="5" s="1"/>
  <c r="F16" i="5"/>
  <c r="G16" i="5" s="1"/>
  <c r="I16" i="5"/>
  <c r="J16" i="5" s="1"/>
  <c r="P16" i="5"/>
  <c r="Q16" i="5" s="1"/>
  <c r="S16" i="5"/>
  <c r="T16" i="5" s="1"/>
  <c r="Y16" i="5"/>
  <c r="Z16" i="5" s="1"/>
  <c r="AB16" i="5"/>
  <c r="C17" i="5"/>
  <c r="F17" i="5"/>
  <c r="G17" i="5" s="1"/>
  <c r="I17" i="5"/>
  <c r="J17" i="5" s="1"/>
  <c r="P17" i="5"/>
  <c r="Q17" i="5" s="1"/>
  <c r="S17" i="5"/>
  <c r="T17" i="5" s="1"/>
  <c r="V17" i="5"/>
  <c r="W17" i="5" s="1"/>
  <c r="Y17" i="5"/>
  <c r="Z17" i="5" s="1"/>
  <c r="AB17" i="5"/>
  <c r="C18" i="5"/>
  <c r="D18" i="5" s="1"/>
  <c r="F18" i="5"/>
  <c r="G18" i="5" s="1"/>
  <c r="I18" i="5"/>
  <c r="J18" i="5" s="1"/>
  <c r="P18" i="5"/>
  <c r="Q18" i="5" s="1"/>
  <c r="S18" i="5"/>
  <c r="T18" i="5" s="1"/>
  <c r="V18" i="5"/>
  <c r="W18" i="5" s="1"/>
  <c r="Y18" i="5"/>
  <c r="Z18" i="5" s="1"/>
  <c r="AB18" i="5"/>
  <c r="C19" i="5"/>
  <c r="F19" i="5"/>
  <c r="G19" i="5" s="1"/>
  <c r="I19" i="5"/>
  <c r="J19" i="5" s="1"/>
  <c r="P19" i="5"/>
  <c r="Q19" i="5" s="1"/>
  <c r="S19" i="5"/>
  <c r="T19" i="5" s="1"/>
  <c r="V19" i="5"/>
  <c r="W19" i="5" s="1"/>
  <c r="Y19" i="5"/>
  <c r="Z19" i="5" s="1"/>
  <c r="AB19" i="5"/>
  <c r="C20" i="5"/>
  <c r="D20" i="5" s="1"/>
  <c r="F20" i="5"/>
  <c r="G20" i="5" s="1"/>
  <c r="I20" i="5"/>
  <c r="J20" i="5" s="1"/>
  <c r="P20" i="5"/>
  <c r="Q20" i="5" s="1"/>
  <c r="S20" i="5"/>
  <c r="T20" i="5" s="1"/>
  <c r="V20" i="5"/>
  <c r="W20" i="5" s="1"/>
  <c r="Y20" i="5"/>
  <c r="Z20" i="5" s="1"/>
  <c r="AB20" i="5"/>
  <c r="C21" i="5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AB22" i="5"/>
  <c r="C23" i="5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AB24" i="5"/>
  <c r="C25" i="5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AB26" i="5"/>
  <c r="C27" i="5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AB28" i="5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AB29" i="5"/>
  <c r="C30" i="5"/>
  <c r="F30" i="5"/>
  <c r="G30" i="5" s="1"/>
  <c r="I30" i="5"/>
  <c r="L30" i="5"/>
  <c r="M30" i="5" s="1"/>
  <c r="P30" i="5"/>
  <c r="S30" i="5"/>
  <c r="T30" i="5" s="1"/>
  <c r="V30" i="5"/>
  <c r="Y30" i="5"/>
  <c r="Z30" i="5" s="1"/>
  <c r="AB30" i="5"/>
  <c r="C31" i="5"/>
  <c r="D31" i="5" s="1"/>
  <c r="F31" i="5"/>
  <c r="I31" i="5"/>
  <c r="J31" i="5" s="1"/>
  <c r="L31" i="5"/>
  <c r="P31" i="5"/>
  <c r="Q31" i="5" s="1"/>
  <c r="S31" i="5"/>
  <c r="V31" i="5"/>
  <c r="W31" i="5" s="1"/>
  <c r="Y31" i="5"/>
  <c r="Z31" i="5" s="1"/>
  <c r="AB31" i="5"/>
  <c r="C32" i="5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AB32" i="5"/>
  <c r="C33" i="5"/>
  <c r="D33" i="5" s="1"/>
  <c r="F33" i="5"/>
  <c r="G33" i="5" s="1"/>
  <c r="I33" i="5"/>
  <c r="J33" i="5" s="1"/>
  <c r="P33" i="5"/>
  <c r="Q33" i="5" s="1"/>
  <c r="S33" i="5"/>
  <c r="T33" i="5" s="1"/>
  <c r="V33" i="5"/>
  <c r="W33" i="5" s="1"/>
  <c r="Y33" i="5"/>
  <c r="Z33" i="5" s="1"/>
  <c r="AB33" i="5"/>
  <c r="C34" i="5"/>
  <c r="F34" i="5"/>
  <c r="G34" i="5" s="1"/>
  <c r="I34" i="5"/>
  <c r="J34" i="5" s="1"/>
  <c r="P34" i="5"/>
  <c r="Q34" i="5" s="1"/>
  <c r="S34" i="5"/>
  <c r="T34" i="5" s="1"/>
  <c r="V34" i="5"/>
  <c r="W34" i="5" s="1"/>
  <c r="Y34" i="5"/>
  <c r="Z34" i="5" s="1"/>
  <c r="AB34" i="5"/>
  <c r="C35" i="5"/>
  <c r="D35" i="5" s="1"/>
  <c r="F35" i="5"/>
  <c r="G35" i="5" s="1"/>
  <c r="I35" i="5"/>
  <c r="J35" i="5" s="1"/>
  <c r="P35" i="5"/>
  <c r="Q35" i="5" s="1"/>
  <c r="S35" i="5"/>
  <c r="T35" i="5" s="1"/>
  <c r="V35" i="5"/>
  <c r="W35" i="5" s="1"/>
  <c r="Y35" i="5"/>
  <c r="Z35" i="5" s="1"/>
  <c r="AB35" i="5"/>
  <c r="C5" i="12"/>
  <c r="F5" i="12"/>
  <c r="G5" i="12" s="1"/>
  <c r="J5" i="12"/>
  <c r="L5" i="12"/>
  <c r="M5" i="12" s="1"/>
  <c r="P5" i="12"/>
  <c r="Q5" i="12" s="1"/>
  <c r="S5" i="12"/>
  <c r="T5" i="12" s="1"/>
  <c r="V5" i="12"/>
  <c r="W5" i="12" s="1"/>
  <c r="Y5" i="12"/>
  <c r="Z5" i="12" s="1"/>
  <c r="AB5" i="12"/>
  <c r="Y6" i="12"/>
  <c r="Z6" i="12" s="1"/>
  <c r="AB6" i="12"/>
  <c r="Y7" i="12"/>
  <c r="Z7" i="12" s="1"/>
  <c r="AB7" i="12"/>
  <c r="Y8" i="12"/>
  <c r="Z8" i="12" s="1"/>
  <c r="AB8" i="12"/>
  <c r="Y9" i="12"/>
  <c r="Z9" i="12" s="1"/>
  <c r="AB9" i="12"/>
  <c r="Y10" i="12"/>
  <c r="Z10" i="12" s="1"/>
  <c r="AB10" i="12"/>
  <c r="Y11" i="12"/>
  <c r="Z11" i="12" s="1"/>
  <c r="AB11" i="12"/>
  <c r="Y12" i="12"/>
  <c r="Z12" i="12" s="1"/>
  <c r="AB12" i="12"/>
  <c r="Y13" i="12"/>
  <c r="Z13" i="12" s="1"/>
  <c r="AB13" i="12"/>
  <c r="Y14" i="12"/>
  <c r="Z14" i="12" s="1"/>
  <c r="AB14" i="12"/>
  <c r="Y15" i="12"/>
  <c r="Z15" i="12" s="1"/>
  <c r="AB15" i="12"/>
  <c r="Y16" i="12"/>
  <c r="Z16" i="12" s="1"/>
  <c r="AB16" i="12"/>
  <c r="Y17" i="12"/>
  <c r="Z17" i="12" s="1"/>
  <c r="AB17" i="12"/>
  <c r="Y18" i="12"/>
  <c r="Z18" i="12" s="1"/>
  <c r="AB18" i="12"/>
  <c r="Y19" i="12"/>
  <c r="Z19" i="12" s="1"/>
  <c r="AB19" i="12"/>
  <c r="Y20" i="12"/>
  <c r="Z20" i="12" s="1"/>
  <c r="AB20" i="12"/>
  <c r="Y21" i="12"/>
  <c r="AB21" i="12"/>
  <c r="Y22" i="12"/>
  <c r="Z22" i="12" s="1"/>
  <c r="AB22" i="12"/>
  <c r="Y23" i="12"/>
  <c r="Z23" i="12" s="1"/>
  <c r="AB23" i="12"/>
  <c r="Y24" i="12"/>
  <c r="Z24" i="12" s="1"/>
  <c r="AB24" i="12"/>
  <c r="Y25" i="12"/>
  <c r="Z25" i="12" s="1"/>
  <c r="AB25" i="12"/>
  <c r="Y26" i="12"/>
  <c r="Z26" i="12" s="1"/>
  <c r="AB26" i="12"/>
  <c r="Y27" i="12"/>
  <c r="Z27" i="12" s="1"/>
  <c r="Y28" i="12"/>
  <c r="Z28" i="12" s="1"/>
  <c r="AB28" i="12"/>
  <c r="Y29" i="12"/>
  <c r="Z29" i="12" s="1"/>
  <c r="Y30" i="12"/>
  <c r="Z30" i="12" s="1"/>
  <c r="AB30" i="12"/>
  <c r="Y31" i="12"/>
  <c r="Z31" i="12" s="1"/>
  <c r="Y32" i="12"/>
  <c r="Z32" i="12" s="1"/>
  <c r="AB32" i="12"/>
  <c r="Y33" i="12"/>
  <c r="Z33" i="12" s="1"/>
  <c r="Y34" i="12"/>
  <c r="Z34" i="12" s="1"/>
  <c r="AB34" i="12"/>
  <c r="B35" i="12"/>
  <c r="E35" i="12"/>
  <c r="H35" i="12"/>
  <c r="K35" i="12"/>
  <c r="O35" i="12"/>
  <c r="U35" i="12"/>
  <c r="C5" i="11"/>
  <c r="F5" i="11"/>
  <c r="G5" i="11" s="1"/>
  <c r="I5" i="11"/>
  <c r="J5" i="11" s="1"/>
  <c r="L5" i="11"/>
  <c r="M5" i="11" s="1"/>
  <c r="P5" i="11"/>
  <c r="Q5" i="11" s="1"/>
  <c r="S5" i="11"/>
  <c r="T5" i="11" s="1"/>
  <c r="V5" i="11"/>
  <c r="W5" i="11" s="1"/>
  <c r="Y5" i="11"/>
  <c r="Z5" i="11" s="1"/>
  <c r="AB5" i="11"/>
  <c r="AB6" i="11"/>
  <c r="AB7" i="11"/>
  <c r="AB8" i="11"/>
  <c r="AB9" i="11"/>
  <c r="AB11" i="11"/>
  <c r="AB13" i="11"/>
  <c r="AB15" i="11"/>
  <c r="AB17" i="11"/>
  <c r="AB19" i="11"/>
  <c r="AB21" i="11"/>
  <c r="AB23" i="11"/>
  <c r="AB25" i="11"/>
  <c r="AB27" i="11"/>
  <c r="AB29" i="11"/>
  <c r="AB31" i="11"/>
  <c r="AB33" i="11"/>
  <c r="AB35" i="11"/>
  <c r="F5" i="10"/>
  <c r="G5" i="10" s="1"/>
  <c r="I5" i="10"/>
  <c r="J5" i="10" s="1"/>
  <c r="L5" i="10"/>
  <c r="M5" i="10" s="1"/>
  <c r="P5" i="10"/>
  <c r="Q5" i="10" s="1"/>
  <c r="S5" i="10"/>
  <c r="T5" i="10" s="1"/>
  <c r="V5" i="10"/>
  <c r="W5" i="10" s="1"/>
  <c r="Y5" i="10"/>
  <c r="Z5" i="10" s="1"/>
  <c r="AC5" i="10"/>
  <c r="AF5" i="10"/>
  <c r="F6" i="10"/>
  <c r="I6" i="10"/>
  <c r="J6" i="10" s="1"/>
  <c r="L6" i="10"/>
  <c r="P6" i="10"/>
  <c r="Q6" i="10" s="1"/>
  <c r="S6" i="10"/>
  <c r="V6" i="10"/>
  <c r="W6" i="10" s="1"/>
  <c r="Y6" i="10"/>
  <c r="AC6" i="10"/>
  <c r="AD6" i="10" s="1"/>
  <c r="AF6" i="10"/>
  <c r="C7" i="10"/>
  <c r="F7" i="10"/>
  <c r="G7" i="10" s="1"/>
  <c r="I7" i="10"/>
  <c r="L7" i="10"/>
  <c r="M7" i="10" s="1"/>
  <c r="P7" i="10"/>
  <c r="S7" i="10"/>
  <c r="T7" i="10" s="1"/>
  <c r="V7" i="10"/>
  <c r="Y7" i="10"/>
  <c r="Z7" i="10" s="1"/>
  <c r="AC7" i="10"/>
  <c r="AD7" i="10" s="1"/>
  <c r="C8" i="10"/>
  <c r="D8" i="10" s="1"/>
  <c r="F8" i="10"/>
  <c r="G8" i="10" s="1"/>
  <c r="I8" i="10"/>
  <c r="J8" i="10" s="1"/>
  <c r="L8" i="10"/>
  <c r="M8" i="10" s="1"/>
  <c r="P8" i="10"/>
  <c r="Q8" i="10" s="1"/>
  <c r="S8" i="10"/>
  <c r="T8" i="10" s="1"/>
  <c r="V8" i="10"/>
  <c r="W8" i="10" s="1"/>
  <c r="Y8" i="10"/>
  <c r="Z8" i="10" s="1"/>
  <c r="AC8" i="10"/>
  <c r="AD8" i="10" s="1"/>
  <c r="AF8" i="10"/>
  <c r="C9" i="10"/>
  <c r="F9" i="10"/>
  <c r="G9" i="10" s="1"/>
  <c r="I9" i="10"/>
  <c r="J9" i="10" s="1"/>
  <c r="L9" i="10"/>
  <c r="M9" i="10" s="1"/>
  <c r="P9" i="10"/>
  <c r="Q9" i="10" s="1"/>
  <c r="S9" i="10"/>
  <c r="T9" i="10" s="1"/>
  <c r="V9" i="10"/>
  <c r="W9" i="10" s="1"/>
  <c r="Y9" i="10"/>
  <c r="Z9" i="10" s="1"/>
  <c r="AC9" i="10"/>
  <c r="AD9" i="10" s="1"/>
  <c r="C10" i="10"/>
  <c r="D10" i="10" s="1"/>
  <c r="F10" i="10"/>
  <c r="G10" i="10" s="1"/>
  <c r="I10" i="10"/>
  <c r="J10" i="10" s="1"/>
  <c r="L10" i="10"/>
  <c r="M10" i="10" s="1"/>
  <c r="P10" i="10"/>
  <c r="Q10" i="10" s="1"/>
  <c r="S10" i="10"/>
  <c r="T10" i="10" s="1"/>
  <c r="V10" i="10"/>
  <c r="W10" i="10" s="1"/>
  <c r="Y10" i="10"/>
  <c r="Z10" i="10" s="1"/>
  <c r="AC10" i="10"/>
  <c r="AD10" i="10" s="1"/>
  <c r="AF10" i="10"/>
  <c r="C11" i="10"/>
  <c r="F11" i="10"/>
  <c r="G11" i="10" s="1"/>
  <c r="J11" i="10"/>
  <c r="L11" i="10"/>
  <c r="M11" i="10" s="1"/>
  <c r="P11" i="10"/>
  <c r="Q11" i="10" s="1"/>
  <c r="S11" i="10"/>
  <c r="T11" i="10" s="1"/>
  <c r="V11" i="10"/>
  <c r="W11" i="10" s="1"/>
  <c r="Y11" i="10"/>
  <c r="Z11" i="10" s="1"/>
  <c r="AC11" i="10"/>
  <c r="AD11" i="10" s="1"/>
  <c r="C12" i="10"/>
  <c r="D12" i="10" s="1"/>
  <c r="F12" i="10"/>
  <c r="G12" i="10" s="1"/>
  <c r="J12" i="10"/>
  <c r="L12" i="10"/>
  <c r="M12" i="10" s="1"/>
  <c r="P12" i="10"/>
  <c r="Q12" i="10" s="1"/>
  <c r="S12" i="10"/>
  <c r="T12" i="10" s="1"/>
  <c r="V12" i="10"/>
  <c r="W12" i="10" s="1"/>
  <c r="Y12" i="10"/>
  <c r="Z12" i="10" s="1"/>
  <c r="AC12" i="10"/>
  <c r="AD12" i="10" s="1"/>
  <c r="AF12" i="10"/>
  <c r="C13" i="10"/>
  <c r="F13" i="10"/>
  <c r="G13" i="10" s="1"/>
  <c r="J13" i="10"/>
  <c r="L13" i="10"/>
  <c r="M13" i="10" s="1"/>
  <c r="P13" i="10"/>
  <c r="Q13" i="10" s="1"/>
  <c r="S13" i="10"/>
  <c r="T13" i="10" s="1"/>
  <c r="V13" i="10"/>
  <c r="W13" i="10" s="1"/>
  <c r="Y13" i="10"/>
  <c r="Z13" i="10" s="1"/>
  <c r="AC13" i="10"/>
  <c r="AD13" i="10" s="1"/>
  <c r="C14" i="10"/>
  <c r="D14" i="10" s="1"/>
  <c r="F14" i="10"/>
  <c r="G14" i="10" s="1"/>
  <c r="J14" i="10"/>
  <c r="L14" i="10"/>
  <c r="M14" i="10" s="1"/>
  <c r="P14" i="10"/>
  <c r="Q14" i="10" s="1"/>
  <c r="S14" i="10"/>
  <c r="T14" i="10" s="1"/>
  <c r="V14" i="10"/>
  <c r="W14" i="10" s="1"/>
  <c r="Y14" i="10"/>
  <c r="Z14" i="10" s="1"/>
  <c r="AC14" i="10"/>
  <c r="AD14" i="10" s="1"/>
  <c r="AF14" i="10"/>
  <c r="C15" i="10"/>
  <c r="F15" i="10"/>
  <c r="G15" i="10" s="1"/>
  <c r="J15" i="10"/>
  <c r="L15" i="10"/>
  <c r="M15" i="10" s="1"/>
  <c r="P15" i="10"/>
  <c r="Q15" i="10" s="1"/>
  <c r="S15" i="10"/>
  <c r="T15" i="10" s="1"/>
  <c r="V15" i="10"/>
  <c r="W15" i="10" s="1"/>
  <c r="Y15" i="10"/>
  <c r="Z15" i="10" s="1"/>
  <c r="AC15" i="10"/>
  <c r="AD15" i="10" s="1"/>
  <c r="C16" i="10"/>
  <c r="D16" i="10" s="1"/>
  <c r="F16" i="10"/>
  <c r="G16" i="10" s="1"/>
  <c r="J16" i="10"/>
  <c r="L16" i="10"/>
  <c r="M16" i="10" s="1"/>
  <c r="P16" i="10"/>
  <c r="Q16" i="10" s="1"/>
  <c r="S16" i="10"/>
  <c r="T16" i="10" s="1"/>
  <c r="V16" i="10"/>
  <c r="W16" i="10" s="1"/>
  <c r="Y16" i="10"/>
  <c r="Z16" i="10" s="1"/>
  <c r="AC16" i="10"/>
  <c r="AD16" i="10" s="1"/>
  <c r="AF16" i="10"/>
  <c r="C17" i="10"/>
  <c r="F17" i="10"/>
  <c r="G17" i="10" s="1"/>
  <c r="J17" i="10"/>
  <c r="L17" i="10"/>
  <c r="M17" i="10" s="1"/>
  <c r="P17" i="10"/>
  <c r="Q17" i="10" s="1"/>
  <c r="S17" i="10"/>
  <c r="T17" i="10" s="1"/>
  <c r="V17" i="10"/>
  <c r="W17" i="10" s="1"/>
  <c r="Y17" i="10"/>
  <c r="Z17" i="10" s="1"/>
  <c r="AC17" i="10"/>
  <c r="AD17" i="10" s="1"/>
  <c r="C18" i="10"/>
  <c r="D18" i="10" s="1"/>
  <c r="F18" i="10"/>
  <c r="G18" i="10" s="1"/>
  <c r="J18" i="10"/>
  <c r="L18" i="10"/>
  <c r="M18" i="10" s="1"/>
  <c r="P18" i="10"/>
  <c r="Q18" i="10" s="1"/>
  <c r="S18" i="10"/>
  <c r="T18" i="10" s="1"/>
  <c r="V18" i="10"/>
  <c r="W18" i="10" s="1"/>
  <c r="Y18" i="10"/>
  <c r="Z18" i="10" s="1"/>
  <c r="AC18" i="10"/>
  <c r="AD18" i="10" s="1"/>
  <c r="AF18" i="10"/>
  <c r="C19" i="10"/>
  <c r="F19" i="10"/>
  <c r="G19" i="10" s="1"/>
  <c r="J19" i="10"/>
  <c r="L19" i="10"/>
  <c r="M19" i="10" s="1"/>
  <c r="P19" i="10"/>
  <c r="Q19" i="10" s="1"/>
  <c r="S19" i="10"/>
  <c r="T19" i="10" s="1"/>
  <c r="V19" i="10"/>
  <c r="W19" i="10" s="1"/>
  <c r="Y19" i="10"/>
  <c r="Z19" i="10" s="1"/>
  <c r="AC19" i="10"/>
  <c r="AD19" i="10" s="1"/>
  <c r="C20" i="10"/>
  <c r="D20" i="10" s="1"/>
  <c r="F20" i="10"/>
  <c r="G20" i="10" s="1"/>
  <c r="J20" i="10"/>
  <c r="L20" i="10"/>
  <c r="M20" i="10" s="1"/>
  <c r="P20" i="10"/>
  <c r="Q20" i="10" s="1"/>
  <c r="S20" i="10"/>
  <c r="T20" i="10" s="1"/>
  <c r="V20" i="10"/>
  <c r="W20" i="10" s="1"/>
  <c r="Y20" i="10"/>
  <c r="Z20" i="10" s="1"/>
  <c r="AC20" i="10"/>
  <c r="AD20" i="10" s="1"/>
  <c r="AF20" i="10"/>
  <c r="C21" i="10"/>
  <c r="F21" i="10"/>
  <c r="G21" i="10" s="1"/>
  <c r="J21" i="10"/>
  <c r="L21" i="10"/>
  <c r="M21" i="10" s="1"/>
  <c r="P21" i="10"/>
  <c r="Q21" i="10" s="1"/>
  <c r="S21" i="10"/>
  <c r="T21" i="10" s="1"/>
  <c r="V21" i="10"/>
  <c r="W21" i="10" s="1"/>
  <c r="Y21" i="10"/>
  <c r="Z21" i="10" s="1"/>
  <c r="AC21" i="10"/>
  <c r="AD21" i="10" s="1"/>
  <c r="C22" i="10"/>
  <c r="D22" i="10" s="1"/>
  <c r="F22" i="10"/>
  <c r="G22" i="10" s="1"/>
  <c r="J22" i="10"/>
  <c r="L22" i="10"/>
  <c r="M22" i="10" s="1"/>
  <c r="P22" i="10"/>
  <c r="Q22" i="10" s="1"/>
  <c r="S22" i="10"/>
  <c r="T22" i="10" s="1"/>
  <c r="V22" i="10"/>
  <c r="W22" i="10" s="1"/>
  <c r="Y22" i="10"/>
  <c r="Z22" i="10" s="1"/>
  <c r="AC22" i="10"/>
  <c r="AD22" i="10" s="1"/>
  <c r="AF22" i="10"/>
  <c r="C23" i="10"/>
  <c r="F23" i="10"/>
  <c r="G23" i="10" s="1"/>
  <c r="J23" i="10"/>
  <c r="L23" i="10"/>
  <c r="M23" i="10" s="1"/>
  <c r="P23" i="10"/>
  <c r="Q23" i="10" s="1"/>
  <c r="S23" i="10"/>
  <c r="T23" i="10" s="1"/>
  <c r="V23" i="10"/>
  <c r="W23" i="10" s="1"/>
  <c r="Y23" i="10"/>
  <c r="Z23" i="10" s="1"/>
  <c r="AC23" i="10"/>
  <c r="AD23" i="10" s="1"/>
  <c r="C24" i="10"/>
  <c r="D24" i="10" s="1"/>
  <c r="F24" i="10"/>
  <c r="G24" i="10" s="1"/>
  <c r="J24" i="10"/>
  <c r="L24" i="10"/>
  <c r="M24" i="10" s="1"/>
  <c r="P24" i="10"/>
  <c r="Q24" i="10" s="1"/>
  <c r="S24" i="10"/>
  <c r="T24" i="10" s="1"/>
  <c r="V24" i="10"/>
  <c r="W24" i="10" s="1"/>
  <c r="Y24" i="10"/>
  <c r="Z24" i="10" s="1"/>
  <c r="AC24" i="10"/>
  <c r="AD24" i="10" s="1"/>
  <c r="AF24" i="10"/>
  <c r="C25" i="10"/>
  <c r="F25" i="10"/>
  <c r="G25" i="10" s="1"/>
  <c r="J25" i="10"/>
  <c r="L25" i="10"/>
  <c r="M25" i="10" s="1"/>
  <c r="P25" i="10"/>
  <c r="Q25" i="10" s="1"/>
  <c r="S25" i="10"/>
  <c r="T25" i="10" s="1"/>
  <c r="V25" i="10"/>
  <c r="W25" i="10" s="1"/>
  <c r="Y25" i="10"/>
  <c r="Z25" i="10" s="1"/>
  <c r="AC25" i="10"/>
  <c r="AD25" i="10" s="1"/>
  <c r="C26" i="10"/>
  <c r="D26" i="10" s="1"/>
  <c r="F26" i="10"/>
  <c r="G26" i="10" s="1"/>
  <c r="J26" i="10"/>
  <c r="L26" i="10"/>
  <c r="M26" i="10" s="1"/>
  <c r="P26" i="10"/>
  <c r="Q26" i="10" s="1"/>
  <c r="S26" i="10"/>
  <c r="T26" i="10" s="1"/>
  <c r="V26" i="10"/>
  <c r="W26" i="10" s="1"/>
  <c r="Y26" i="10"/>
  <c r="Z26" i="10" s="1"/>
  <c r="AC26" i="10"/>
  <c r="AD26" i="10" s="1"/>
  <c r="AF26" i="10"/>
  <c r="C27" i="10"/>
  <c r="F27" i="10"/>
  <c r="G27" i="10" s="1"/>
  <c r="J27" i="10"/>
  <c r="L27" i="10"/>
  <c r="M27" i="10" s="1"/>
  <c r="P27" i="10"/>
  <c r="Q27" i="10" s="1"/>
  <c r="S27" i="10"/>
  <c r="T27" i="10" s="1"/>
  <c r="V27" i="10"/>
  <c r="W27" i="10" s="1"/>
  <c r="Y27" i="10"/>
  <c r="Z27" i="10" s="1"/>
  <c r="AC27" i="10"/>
  <c r="AD27" i="10" s="1"/>
  <c r="C28" i="10"/>
  <c r="D28" i="10" s="1"/>
  <c r="F28" i="10"/>
  <c r="G28" i="10" s="1"/>
  <c r="J28" i="10"/>
  <c r="L28" i="10"/>
  <c r="M28" i="10" s="1"/>
  <c r="P28" i="10"/>
  <c r="Q28" i="10" s="1"/>
  <c r="S28" i="10"/>
  <c r="T28" i="10" s="1"/>
  <c r="V28" i="10"/>
  <c r="W28" i="10" s="1"/>
  <c r="Y28" i="10"/>
  <c r="Z28" i="10" s="1"/>
  <c r="AC28" i="10"/>
  <c r="AD28" i="10" s="1"/>
  <c r="AF28" i="10"/>
  <c r="C29" i="10"/>
  <c r="F29" i="10"/>
  <c r="G29" i="10" s="1"/>
  <c r="J29" i="10"/>
  <c r="L29" i="10"/>
  <c r="M29" i="10" s="1"/>
  <c r="P29" i="10"/>
  <c r="Q29" i="10" s="1"/>
  <c r="S29" i="10"/>
  <c r="T29" i="10" s="1"/>
  <c r="V29" i="10"/>
  <c r="W29" i="10" s="1"/>
  <c r="Y29" i="10"/>
  <c r="Z29" i="10" s="1"/>
  <c r="AC29" i="10"/>
  <c r="AD29" i="10" s="1"/>
  <c r="C30" i="10"/>
  <c r="D30" i="10" s="1"/>
  <c r="F30" i="10"/>
  <c r="G30" i="10" s="1"/>
  <c r="J30" i="10"/>
  <c r="L30" i="10"/>
  <c r="M30" i="10" s="1"/>
  <c r="P30" i="10"/>
  <c r="Q30" i="10" s="1"/>
  <c r="S30" i="10"/>
  <c r="T30" i="10" s="1"/>
  <c r="V30" i="10"/>
  <c r="W30" i="10" s="1"/>
  <c r="Y30" i="10"/>
  <c r="Z30" i="10" s="1"/>
  <c r="AC30" i="10"/>
  <c r="AD30" i="10" s="1"/>
  <c r="AF30" i="10"/>
  <c r="F31" i="10"/>
  <c r="G31" i="10" s="1"/>
  <c r="J31" i="10"/>
  <c r="L31" i="10"/>
  <c r="M31" i="10" s="1"/>
  <c r="P31" i="10"/>
  <c r="Q31" i="10" s="1"/>
  <c r="S31" i="10"/>
  <c r="T31" i="10" s="1"/>
  <c r="V31" i="10"/>
  <c r="W31" i="10" s="1"/>
  <c r="Y31" i="10"/>
  <c r="Z31" i="10" s="1"/>
  <c r="AC31" i="10"/>
  <c r="AD31" i="10" s="1"/>
  <c r="C32" i="10"/>
  <c r="F32" i="10"/>
  <c r="G32" i="10" s="1"/>
  <c r="J32" i="10"/>
  <c r="L32" i="10"/>
  <c r="M32" i="10" s="1"/>
  <c r="P32" i="10"/>
  <c r="Q32" i="10" s="1"/>
  <c r="S32" i="10"/>
  <c r="T32" i="10" s="1"/>
  <c r="V32" i="10"/>
  <c r="W32" i="10" s="1"/>
  <c r="Y32" i="10"/>
  <c r="Z32" i="10" s="1"/>
  <c r="AC32" i="10"/>
  <c r="AD32" i="10" s="1"/>
  <c r="AF32" i="10"/>
  <c r="F33" i="10"/>
  <c r="G33" i="10" s="1"/>
  <c r="J33" i="10"/>
  <c r="L33" i="10"/>
  <c r="M33" i="10" s="1"/>
  <c r="P33" i="10"/>
  <c r="Q33" i="10" s="1"/>
  <c r="S33" i="10"/>
  <c r="T33" i="10" s="1"/>
  <c r="V33" i="10"/>
  <c r="W33" i="10" s="1"/>
  <c r="Y33" i="10"/>
  <c r="Z33" i="10" s="1"/>
  <c r="AC33" i="10"/>
  <c r="AD33" i="10" s="1"/>
  <c r="C34" i="10"/>
  <c r="F34" i="10"/>
  <c r="G34" i="10" s="1"/>
  <c r="J34" i="10"/>
  <c r="L34" i="10"/>
  <c r="M34" i="10" s="1"/>
  <c r="P34" i="10"/>
  <c r="Q34" i="10" s="1"/>
  <c r="S34" i="10"/>
  <c r="T34" i="10" s="1"/>
  <c r="V34" i="10"/>
  <c r="W34" i="10" s="1"/>
  <c r="Y34" i="10"/>
  <c r="Z34" i="10" s="1"/>
  <c r="AC34" i="10"/>
  <c r="AD34" i="10" s="1"/>
  <c r="AF34" i="10"/>
  <c r="F35" i="10"/>
  <c r="G35" i="10" s="1"/>
  <c r="J35" i="10"/>
  <c r="L35" i="10"/>
  <c r="M35" i="10" s="1"/>
  <c r="P35" i="10"/>
  <c r="Q35" i="10" s="1"/>
  <c r="S35" i="10"/>
  <c r="T35" i="10" s="1"/>
  <c r="V35" i="10"/>
  <c r="W35" i="10" s="1"/>
  <c r="Y35" i="10"/>
  <c r="Z35" i="10" s="1"/>
  <c r="AC35" i="10"/>
  <c r="AD35" i="10" s="1"/>
  <c r="F5" i="9"/>
  <c r="G5" i="9" s="1"/>
  <c r="I5" i="9"/>
  <c r="J5" i="9" s="1"/>
  <c r="L5" i="9"/>
  <c r="M5" i="9" s="1"/>
  <c r="Q5" i="9"/>
  <c r="S5" i="9"/>
  <c r="T5" i="9" s="1"/>
  <c r="V5" i="9"/>
  <c r="W5" i="9" s="1"/>
  <c r="Y5" i="9"/>
  <c r="Z5" i="9" s="1"/>
  <c r="C6" i="9"/>
  <c r="F6" i="9"/>
  <c r="G6" i="9" s="1"/>
  <c r="I6" i="9"/>
  <c r="J6" i="9" s="1"/>
  <c r="L6" i="9"/>
  <c r="M6" i="9" s="1"/>
  <c r="Q6" i="9"/>
  <c r="S6" i="9"/>
  <c r="T6" i="9" s="1"/>
  <c r="V6" i="9"/>
  <c r="W6" i="9" s="1"/>
  <c r="Y6" i="9"/>
  <c r="Z6" i="9" s="1"/>
  <c r="AB6" i="9"/>
  <c r="F7" i="9"/>
  <c r="G7" i="9" s="1"/>
  <c r="I7" i="9"/>
  <c r="J7" i="9" s="1"/>
  <c r="L7" i="9"/>
  <c r="M7" i="9" s="1"/>
  <c r="Q7" i="9"/>
  <c r="S7" i="9"/>
  <c r="T7" i="9" s="1"/>
  <c r="V7" i="9"/>
  <c r="W7" i="9" s="1"/>
  <c r="Y7" i="9"/>
  <c r="Z7" i="9" s="1"/>
  <c r="C8" i="9"/>
  <c r="F8" i="9"/>
  <c r="G8" i="9" s="1"/>
  <c r="I8" i="9"/>
  <c r="J8" i="9" s="1"/>
  <c r="L8" i="9"/>
  <c r="M8" i="9" s="1"/>
  <c r="Q8" i="9"/>
  <c r="S8" i="9"/>
  <c r="T8" i="9" s="1"/>
  <c r="V8" i="9"/>
  <c r="W8" i="9" s="1"/>
  <c r="Y8" i="9"/>
  <c r="Z8" i="9" s="1"/>
  <c r="AB8" i="9"/>
  <c r="F9" i="9"/>
  <c r="G9" i="9" s="1"/>
  <c r="I9" i="9"/>
  <c r="J9" i="9" s="1"/>
  <c r="L9" i="9"/>
  <c r="M9" i="9" s="1"/>
  <c r="Q9" i="9"/>
  <c r="S9" i="9"/>
  <c r="T9" i="9" s="1"/>
  <c r="V9" i="9"/>
  <c r="W9" i="9" s="1"/>
  <c r="Y9" i="9"/>
  <c r="Z9" i="9" s="1"/>
  <c r="C10" i="9"/>
  <c r="F10" i="9"/>
  <c r="G10" i="9" s="1"/>
  <c r="J10" i="9"/>
  <c r="L10" i="9"/>
  <c r="M10" i="9" s="1"/>
  <c r="Q10" i="9"/>
  <c r="S10" i="9"/>
  <c r="T10" i="9" s="1"/>
  <c r="V10" i="9"/>
  <c r="W10" i="9" s="1"/>
  <c r="Y10" i="9"/>
  <c r="Z10" i="9" s="1"/>
  <c r="AB10" i="9"/>
  <c r="F11" i="9"/>
  <c r="G11" i="9" s="1"/>
  <c r="J11" i="9"/>
  <c r="L11" i="9"/>
  <c r="M11" i="9" s="1"/>
  <c r="Q11" i="9"/>
  <c r="S11" i="9"/>
  <c r="T11" i="9" s="1"/>
  <c r="V11" i="9"/>
  <c r="W11" i="9" s="1"/>
  <c r="Y11" i="9"/>
  <c r="Z11" i="9" s="1"/>
  <c r="C12" i="9"/>
  <c r="F12" i="9"/>
  <c r="G12" i="9" s="1"/>
  <c r="I12" i="9"/>
  <c r="J12" i="9" s="1"/>
  <c r="L12" i="9"/>
  <c r="M12" i="9" s="1"/>
  <c r="Q12" i="9"/>
  <c r="S12" i="9"/>
  <c r="T12" i="9" s="1"/>
  <c r="V12" i="9"/>
  <c r="W12" i="9" s="1"/>
  <c r="Y12" i="9"/>
  <c r="Z12" i="9" s="1"/>
  <c r="AB12" i="9"/>
  <c r="F13" i="9"/>
  <c r="G13" i="9" s="1"/>
  <c r="I13" i="9"/>
  <c r="J13" i="9" s="1"/>
  <c r="L13" i="9"/>
  <c r="M13" i="9" s="1"/>
  <c r="Q13" i="9"/>
  <c r="S13" i="9"/>
  <c r="T13" i="9" s="1"/>
  <c r="V13" i="9"/>
  <c r="W13" i="9" s="1"/>
  <c r="Y13" i="9"/>
  <c r="Z13" i="9" s="1"/>
  <c r="C14" i="9"/>
  <c r="F14" i="9"/>
  <c r="G14" i="9" s="1"/>
  <c r="I14" i="9"/>
  <c r="J14" i="9" s="1"/>
  <c r="L14" i="9"/>
  <c r="M14" i="9" s="1"/>
  <c r="Q14" i="9"/>
  <c r="S14" i="9"/>
  <c r="T14" i="9" s="1"/>
  <c r="V14" i="9"/>
  <c r="W14" i="9" s="1"/>
  <c r="Y14" i="9"/>
  <c r="Z14" i="9" s="1"/>
  <c r="AB14" i="9"/>
  <c r="G15" i="9"/>
  <c r="I15" i="9"/>
  <c r="J15" i="9" s="1"/>
  <c r="L15" i="9"/>
  <c r="M15" i="9" s="1"/>
  <c r="Q15" i="9"/>
  <c r="S15" i="9"/>
  <c r="T15" i="9" s="1"/>
  <c r="V15" i="9"/>
  <c r="W15" i="9" s="1"/>
  <c r="Y15" i="9"/>
  <c r="Z15" i="9" s="1"/>
  <c r="C16" i="9"/>
  <c r="G16" i="9"/>
  <c r="I16" i="9"/>
  <c r="J16" i="9" s="1"/>
  <c r="L16" i="9"/>
  <c r="M16" i="9" s="1"/>
  <c r="Q16" i="9"/>
  <c r="S16" i="9"/>
  <c r="T16" i="9" s="1"/>
  <c r="V16" i="9"/>
  <c r="W16" i="9" s="1"/>
  <c r="Y16" i="9"/>
  <c r="Z16" i="9" s="1"/>
  <c r="AB16" i="9"/>
  <c r="C17" i="9"/>
  <c r="D17" i="9" s="1"/>
  <c r="F17" i="9"/>
  <c r="G17" i="9" s="1"/>
  <c r="I17" i="9"/>
  <c r="J17" i="9" s="1"/>
  <c r="L17" i="9"/>
  <c r="M17" i="9" s="1"/>
  <c r="Q17" i="9"/>
  <c r="S17" i="9"/>
  <c r="T17" i="9" s="1"/>
  <c r="V17" i="9"/>
  <c r="W17" i="9" s="1"/>
  <c r="Y17" i="9"/>
  <c r="AB17" i="9"/>
  <c r="C18" i="9"/>
  <c r="F18" i="9"/>
  <c r="G18" i="9" s="1"/>
  <c r="I18" i="9"/>
  <c r="L18" i="9"/>
  <c r="M18" i="9" s="1"/>
  <c r="S18" i="9"/>
  <c r="T18" i="9" s="1"/>
  <c r="V18" i="9"/>
  <c r="Y18" i="9"/>
  <c r="Z18" i="9" s="1"/>
  <c r="C19" i="9"/>
  <c r="D19" i="9" s="1"/>
  <c r="F19" i="9"/>
  <c r="I19" i="9"/>
  <c r="J19" i="9" s="1"/>
  <c r="L19" i="9"/>
  <c r="Q19" i="9"/>
  <c r="S19" i="9"/>
  <c r="T19" i="9" s="1"/>
  <c r="V19" i="9"/>
  <c r="W19" i="9" s="1"/>
  <c r="Y19" i="9"/>
  <c r="Z19" i="9" s="1"/>
  <c r="AB19" i="9"/>
  <c r="C20" i="9"/>
  <c r="F20" i="9"/>
  <c r="G20" i="9" s="1"/>
  <c r="I20" i="9"/>
  <c r="J20" i="9" s="1"/>
  <c r="L20" i="9"/>
  <c r="M20" i="9" s="1"/>
  <c r="Q20" i="9"/>
  <c r="S20" i="9"/>
  <c r="T20" i="9" s="1"/>
  <c r="V20" i="9"/>
  <c r="W20" i="9" s="1"/>
  <c r="Y20" i="9"/>
  <c r="Z20" i="9" s="1"/>
  <c r="C21" i="9"/>
  <c r="D21" i="9" s="1"/>
  <c r="F21" i="9"/>
  <c r="G21" i="9" s="1"/>
  <c r="I21" i="9"/>
  <c r="J21" i="9" s="1"/>
  <c r="L21" i="9"/>
  <c r="M21" i="9" s="1"/>
  <c r="Q21" i="9"/>
  <c r="S21" i="9"/>
  <c r="T21" i="9" s="1"/>
  <c r="V21" i="9"/>
  <c r="W21" i="9" s="1"/>
  <c r="Y21" i="9"/>
  <c r="Z21" i="9" s="1"/>
  <c r="AB21" i="9"/>
  <c r="C22" i="9"/>
  <c r="F22" i="9"/>
  <c r="G22" i="9" s="1"/>
  <c r="I22" i="9"/>
  <c r="J22" i="9" s="1"/>
  <c r="L22" i="9"/>
  <c r="M22" i="9" s="1"/>
  <c r="Q22" i="9"/>
  <c r="S22" i="9"/>
  <c r="T22" i="9" s="1"/>
  <c r="V22" i="9"/>
  <c r="W22" i="9" s="1"/>
  <c r="Y22" i="9"/>
  <c r="Z22" i="9" s="1"/>
  <c r="C23" i="9"/>
  <c r="D23" i="9" s="1"/>
  <c r="F23" i="9"/>
  <c r="G23" i="9" s="1"/>
  <c r="I23" i="9"/>
  <c r="J23" i="9" s="1"/>
  <c r="L23" i="9"/>
  <c r="M23" i="9" s="1"/>
  <c r="Q23" i="9"/>
  <c r="V23" i="9"/>
  <c r="W23" i="9" s="1"/>
  <c r="Y23" i="9"/>
  <c r="Z23" i="9" s="1"/>
  <c r="AB23" i="9"/>
  <c r="C24" i="9"/>
  <c r="F24" i="9"/>
  <c r="G24" i="9" s="1"/>
  <c r="I24" i="9"/>
  <c r="J24" i="9" s="1"/>
  <c r="L24" i="9"/>
  <c r="M24" i="9" s="1"/>
  <c r="Q24" i="9"/>
  <c r="S24" i="9"/>
  <c r="T24" i="9" s="1"/>
  <c r="V24" i="9"/>
  <c r="W24" i="9" s="1"/>
  <c r="Y24" i="9"/>
  <c r="Z24" i="9" s="1"/>
  <c r="C25" i="9"/>
  <c r="D25" i="9" s="1"/>
  <c r="F25" i="9"/>
  <c r="G25" i="9" s="1"/>
  <c r="I25" i="9"/>
  <c r="J25" i="9" s="1"/>
  <c r="L25" i="9"/>
  <c r="M25" i="9" s="1"/>
  <c r="Q25" i="9"/>
  <c r="S25" i="9"/>
  <c r="T25" i="9" s="1"/>
  <c r="V25" i="9"/>
  <c r="W25" i="9" s="1"/>
  <c r="Y25" i="9"/>
  <c r="Z25" i="9" s="1"/>
  <c r="AB25" i="9"/>
  <c r="C26" i="9"/>
  <c r="F26" i="9"/>
  <c r="G26" i="9" s="1"/>
  <c r="I26" i="9"/>
  <c r="J26" i="9" s="1"/>
  <c r="L26" i="9"/>
  <c r="M26" i="9" s="1"/>
  <c r="Q26" i="9"/>
  <c r="S26" i="9"/>
  <c r="T26" i="9" s="1"/>
  <c r="V26" i="9"/>
  <c r="W26" i="9" s="1"/>
  <c r="Y26" i="9"/>
  <c r="Z26" i="9" s="1"/>
  <c r="C27" i="9"/>
  <c r="D27" i="9" s="1"/>
  <c r="F27" i="9"/>
  <c r="G27" i="9" s="1"/>
  <c r="I27" i="9"/>
  <c r="J27" i="9" s="1"/>
  <c r="L27" i="9"/>
  <c r="M27" i="9" s="1"/>
  <c r="Q27" i="9"/>
  <c r="S27" i="9"/>
  <c r="T27" i="9" s="1"/>
  <c r="V27" i="9"/>
  <c r="W27" i="9" s="1"/>
  <c r="Y27" i="9"/>
  <c r="Z27" i="9" s="1"/>
  <c r="AB27" i="9"/>
  <c r="C28" i="9"/>
  <c r="F28" i="9"/>
  <c r="G28" i="9" s="1"/>
  <c r="I28" i="9"/>
  <c r="J28" i="9" s="1"/>
  <c r="L28" i="9"/>
  <c r="M28" i="9" s="1"/>
  <c r="Q28" i="9"/>
  <c r="S28" i="9"/>
  <c r="T28" i="9" s="1"/>
  <c r="V28" i="9"/>
  <c r="W28" i="9" s="1"/>
  <c r="Y28" i="9"/>
  <c r="Z28" i="9" s="1"/>
  <c r="C29" i="9"/>
  <c r="D29" i="9" s="1"/>
  <c r="F29" i="9"/>
  <c r="G29" i="9" s="1"/>
  <c r="I29" i="9"/>
  <c r="J29" i="9" s="1"/>
  <c r="L29" i="9"/>
  <c r="M29" i="9" s="1"/>
  <c r="Q29" i="9"/>
  <c r="S29" i="9"/>
  <c r="T29" i="9" s="1"/>
  <c r="V29" i="9"/>
  <c r="W29" i="9" s="1"/>
  <c r="Y29" i="9"/>
  <c r="Z29" i="9" s="1"/>
  <c r="AB29" i="9"/>
  <c r="C30" i="9"/>
  <c r="F30" i="9"/>
  <c r="G30" i="9" s="1"/>
  <c r="J30" i="9"/>
  <c r="L30" i="9"/>
  <c r="M30" i="9" s="1"/>
  <c r="Q30" i="9"/>
  <c r="S30" i="9"/>
  <c r="T30" i="9" s="1"/>
  <c r="V30" i="9"/>
  <c r="W30" i="9" s="1"/>
  <c r="Y30" i="9"/>
  <c r="Z30" i="9" s="1"/>
  <c r="C31" i="9"/>
  <c r="D31" i="9" s="1"/>
  <c r="F31" i="9"/>
  <c r="G31" i="9" s="1"/>
  <c r="J31" i="9"/>
  <c r="L31" i="9"/>
  <c r="M31" i="9" s="1"/>
  <c r="Q31" i="9"/>
  <c r="S31" i="9"/>
  <c r="T31" i="9" s="1"/>
  <c r="V31" i="9"/>
  <c r="W31" i="9" s="1"/>
  <c r="Y31" i="9"/>
  <c r="Z31" i="9" s="1"/>
  <c r="AB31" i="9"/>
  <c r="C32" i="9"/>
  <c r="F32" i="9"/>
  <c r="G32" i="9" s="1"/>
  <c r="J32" i="9"/>
  <c r="L32" i="9"/>
  <c r="M32" i="9" s="1"/>
  <c r="Q32" i="9"/>
  <c r="S32" i="9"/>
  <c r="T32" i="9" s="1"/>
  <c r="V32" i="9"/>
  <c r="W32" i="9" s="1"/>
  <c r="Y32" i="9"/>
  <c r="Z32" i="9" s="1"/>
  <c r="C33" i="9"/>
  <c r="D33" i="9" s="1"/>
  <c r="F33" i="9"/>
  <c r="G33" i="9" s="1"/>
  <c r="J33" i="9"/>
  <c r="L33" i="9"/>
  <c r="M33" i="9" s="1"/>
  <c r="Q33" i="9"/>
  <c r="S33" i="9"/>
  <c r="T33" i="9" s="1"/>
  <c r="V33" i="9"/>
  <c r="W33" i="9" s="1"/>
  <c r="Y33" i="9"/>
  <c r="Z33" i="9" s="1"/>
  <c r="AB33" i="9"/>
  <c r="C34" i="9"/>
  <c r="F34" i="9"/>
  <c r="G34" i="9" s="1"/>
  <c r="J34" i="9"/>
  <c r="L34" i="9"/>
  <c r="M34" i="9" s="1"/>
  <c r="Q34" i="9"/>
  <c r="S34" i="9"/>
  <c r="T34" i="9" s="1"/>
  <c r="V34" i="9"/>
  <c r="W34" i="9" s="1"/>
  <c r="Y34" i="9"/>
  <c r="Z34" i="9" s="1"/>
  <c r="C5" i="8"/>
  <c r="F5" i="8"/>
  <c r="G5" i="8" s="1"/>
  <c r="I5" i="8"/>
  <c r="L5" i="8"/>
  <c r="M5" i="8" s="1"/>
  <c r="P5" i="8"/>
  <c r="S5" i="8"/>
  <c r="T5" i="8" s="1"/>
  <c r="V5" i="8"/>
  <c r="Y5" i="8"/>
  <c r="Z5" i="8" s="1"/>
  <c r="C6" i="8"/>
  <c r="F6" i="8"/>
  <c r="G6" i="8" s="1"/>
  <c r="I6" i="8"/>
  <c r="J6" i="8" s="1"/>
  <c r="L6" i="8"/>
  <c r="M6" i="8" s="1"/>
  <c r="P6" i="8"/>
  <c r="Q6" i="8" s="1"/>
  <c r="S6" i="8"/>
  <c r="T6" i="8" s="1"/>
  <c r="V6" i="8"/>
  <c r="W6" i="8" s="1"/>
  <c r="Y6" i="8"/>
  <c r="Z6" i="8" s="1"/>
  <c r="C7" i="8"/>
  <c r="F7" i="8"/>
  <c r="G7" i="8" s="1"/>
  <c r="I7" i="8"/>
  <c r="J7" i="8" s="1"/>
  <c r="L7" i="8"/>
  <c r="M7" i="8" s="1"/>
  <c r="P7" i="8"/>
  <c r="Q7" i="8" s="1"/>
  <c r="S7" i="8"/>
  <c r="T7" i="8" s="1"/>
  <c r="V7" i="8"/>
  <c r="W7" i="8" s="1"/>
  <c r="Y7" i="8"/>
  <c r="Z7" i="8" s="1"/>
  <c r="C8" i="8"/>
  <c r="F8" i="8"/>
  <c r="G8" i="8" s="1"/>
  <c r="I8" i="8"/>
  <c r="J8" i="8" s="1"/>
  <c r="L8" i="8"/>
  <c r="M8" i="8" s="1"/>
  <c r="P8" i="8"/>
  <c r="Q8" i="8" s="1"/>
  <c r="S8" i="8"/>
  <c r="T8" i="8" s="1"/>
  <c r="V8" i="8"/>
  <c r="W8" i="8" s="1"/>
  <c r="Y8" i="8"/>
  <c r="Z8" i="8" s="1"/>
  <c r="C9" i="8"/>
  <c r="F9" i="8"/>
  <c r="G9" i="8" s="1"/>
  <c r="I9" i="8"/>
  <c r="J9" i="8" s="1"/>
  <c r="L9" i="8"/>
  <c r="M9" i="8" s="1"/>
  <c r="P9" i="8"/>
  <c r="Q9" i="8" s="1"/>
  <c r="S9" i="8"/>
  <c r="T9" i="8" s="1"/>
  <c r="V9" i="8"/>
  <c r="W9" i="8" s="1"/>
  <c r="Y9" i="8"/>
  <c r="Z9" i="8" s="1"/>
  <c r="C10" i="8"/>
  <c r="F10" i="8"/>
  <c r="G10" i="8" s="1"/>
  <c r="I10" i="8"/>
  <c r="J10" i="8" s="1"/>
  <c r="L10" i="8"/>
  <c r="M10" i="8" s="1"/>
  <c r="P10" i="8"/>
  <c r="Q10" i="8" s="1"/>
  <c r="S10" i="8"/>
  <c r="T10" i="8" s="1"/>
  <c r="V10" i="8"/>
  <c r="W10" i="8" s="1"/>
  <c r="Y10" i="8"/>
  <c r="Z10" i="8" s="1"/>
  <c r="C11" i="8"/>
  <c r="F11" i="8"/>
  <c r="G11" i="8" s="1"/>
  <c r="I11" i="8"/>
  <c r="J11" i="8" s="1"/>
  <c r="L11" i="8"/>
  <c r="M11" i="8" s="1"/>
  <c r="P11" i="8"/>
  <c r="Q11" i="8" s="1"/>
  <c r="S11" i="8"/>
  <c r="T11" i="8" s="1"/>
  <c r="V11" i="8"/>
  <c r="W11" i="8" s="1"/>
  <c r="Y11" i="8"/>
  <c r="Z11" i="8" s="1"/>
  <c r="C12" i="8"/>
  <c r="F12" i="8"/>
  <c r="G12" i="8" s="1"/>
  <c r="I12" i="8"/>
  <c r="J12" i="8" s="1"/>
  <c r="L12" i="8"/>
  <c r="M12" i="8" s="1"/>
  <c r="P12" i="8"/>
  <c r="Q12" i="8" s="1"/>
  <c r="S12" i="8"/>
  <c r="T12" i="8" s="1"/>
  <c r="V12" i="8"/>
  <c r="W12" i="8" s="1"/>
  <c r="Y12" i="8"/>
  <c r="Z12" i="8" s="1"/>
  <c r="C13" i="8"/>
  <c r="F13" i="8"/>
  <c r="G13" i="8" s="1"/>
  <c r="I13" i="8"/>
  <c r="J13" i="8" s="1"/>
  <c r="L13" i="8"/>
  <c r="M13" i="8" s="1"/>
  <c r="P13" i="8"/>
  <c r="Q13" i="8" s="1"/>
  <c r="S13" i="8"/>
  <c r="T13" i="8" s="1"/>
  <c r="V13" i="8"/>
  <c r="W13" i="8" s="1"/>
  <c r="Y13" i="8"/>
  <c r="Z13" i="8" s="1"/>
  <c r="C14" i="8"/>
  <c r="F14" i="8"/>
  <c r="G14" i="8" s="1"/>
  <c r="I14" i="8"/>
  <c r="J14" i="8" s="1"/>
  <c r="L14" i="8"/>
  <c r="M14" i="8" s="1"/>
  <c r="P14" i="8"/>
  <c r="Q14" i="8" s="1"/>
  <c r="S14" i="8"/>
  <c r="T14" i="8" s="1"/>
  <c r="V14" i="8"/>
  <c r="W14" i="8" s="1"/>
  <c r="Y14" i="8"/>
  <c r="Z14" i="8" s="1"/>
  <c r="C15" i="8"/>
  <c r="F15" i="8"/>
  <c r="G15" i="8" s="1"/>
  <c r="I15" i="8"/>
  <c r="J15" i="8" s="1"/>
  <c r="L15" i="8"/>
  <c r="M15" i="8" s="1"/>
  <c r="P15" i="8"/>
  <c r="Q15" i="8" s="1"/>
  <c r="S15" i="8"/>
  <c r="T15" i="8" s="1"/>
  <c r="V15" i="8"/>
  <c r="W15" i="8" s="1"/>
  <c r="Y15" i="8"/>
  <c r="Z15" i="8" s="1"/>
  <c r="C16" i="8"/>
  <c r="F16" i="8"/>
  <c r="G16" i="8" s="1"/>
  <c r="I16" i="8"/>
  <c r="J16" i="8" s="1"/>
  <c r="L16" i="8"/>
  <c r="M16" i="8" s="1"/>
  <c r="P16" i="8"/>
  <c r="Q16" i="8" s="1"/>
  <c r="S16" i="8"/>
  <c r="T16" i="8" s="1"/>
  <c r="V16" i="8"/>
  <c r="W16" i="8" s="1"/>
  <c r="Y16" i="8"/>
  <c r="Z16" i="8" s="1"/>
  <c r="C17" i="8"/>
  <c r="F17" i="8"/>
  <c r="G17" i="8" s="1"/>
  <c r="I17" i="8"/>
  <c r="J17" i="8" s="1"/>
  <c r="L17" i="8"/>
  <c r="M17" i="8" s="1"/>
  <c r="P17" i="8"/>
  <c r="Q17" i="8" s="1"/>
  <c r="S17" i="8"/>
  <c r="T17" i="8" s="1"/>
  <c r="V17" i="8"/>
  <c r="W17" i="8" s="1"/>
  <c r="Y17" i="8"/>
  <c r="Z17" i="8" s="1"/>
  <c r="C18" i="8"/>
  <c r="F18" i="8"/>
  <c r="G18" i="8" s="1"/>
  <c r="I18" i="8"/>
  <c r="J18" i="8" s="1"/>
  <c r="L18" i="8"/>
  <c r="M18" i="8" s="1"/>
  <c r="P18" i="8"/>
  <c r="Q18" i="8" s="1"/>
  <c r="S18" i="8"/>
  <c r="T18" i="8" s="1"/>
  <c r="V18" i="8"/>
  <c r="W18" i="8" s="1"/>
  <c r="Y18" i="8"/>
  <c r="Z18" i="8" s="1"/>
  <c r="C19" i="8"/>
  <c r="F19" i="8"/>
  <c r="G19" i="8" s="1"/>
  <c r="I19" i="8"/>
  <c r="J19" i="8" s="1"/>
  <c r="L19" i="8"/>
  <c r="M19" i="8" s="1"/>
  <c r="P19" i="8"/>
  <c r="Q19" i="8" s="1"/>
  <c r="S19" i="8"/>
  <c r="T19" i="8" s="1"/>
  <c r="V19" i="8"/>
  <c r="W19" i="8" s="1"/>
  <c r="Y19" i="8"/>
  <c r="Z19" i="8" s="1"/>
  <c r="C20" i="8"/>
  <c r="F20" i="8"/>
  <c r="G20" i="8" s="1"/>
  <c r="J20" i="8"/>
  <c r="L20" i="8"/>
  <c r="M20" i="8" s="1"/>
  <c r="P20" i="8"/>
  <c r="Q20" i="8" s="1"/>
  <c r="S20" i="8"/>
  <c r="T20" i="8" s="1"/>
  <c r="V20" i="8"/>
  <c r="W20" i="8" s="1"/>
  <c r="Y20" i="8"/>
  <c r="Z20" i="8" s="1"/>
  <c r="C21" i="8"/>
  <c r="F21" i="8"/>
  <c r="G21" i="8" s="1"/>
  <c r="J21" i="8"/>
  <c r="L21" i="8"/>
  <c r="M21" i="8" s="1"/>
  <c r="P21" i="8"/>
  <c r="Q21" i="8" s="1"/>
  <c r="S21" i="8"/>
  <c r="T21" i="8" s="1"/>
  <c r="V21" i="8"/>
  <c r="W21" i="8" s="1"/>
  <c r="Y21" i="8"/>
  <c r="Z21" i="8" s="1"/>
  <c r="C22" i="8"/>
  <c r="F22" i="8"/>
  <c r="G22" i="8" s="1"/>
  <c r="I22" i="8"/>
  <c r="J22" i="8" s="1"/>
  <c r="L22" i="8"/>
  <c r="M22" i="8" s="1"/>
  <c r="P22" i="8"/>
  <c r="Q22" i="8" s="1"/>
  <c r="S22" i="8"/>
  <c r="T22" i="8" s="1"/>
  <c r="V22" i="8"/>
  <c r="W22" i="8" s="1"/>
  <c r="Y22" i="8"/>
  <c r="Z22" i="8" s="1"/>
  <c r="C23" i="8"/>
  <c r="F23" i="8"/>
  <c r="G23" i="8" s="1"/>
  <c r="I23" i="8"/>
  <c r="J23" i="8" s="1"/>
  <c r="L23" i="8"/>
  <c r="M23" i="8" s="1"/>
  <c r="P23" i="8"/>
  <c r="Q23" i="8" s="1"/>
  <c r="S23" i="8"/>
  <c r="T23" i="8" s="1"/>
  <c r="V23" i="8"/>
  <c r="W23" i="8" s="1"/>
  <c r="Y23" i="8"/>
  <c r="Z23" i="8" s="1"/>
  <c r="C24" i="8"/>
  <c r="F24" i="8"/>
  <c r="G24" i="8" s="1"/>
  <c r="I24" i="8"/>
  <c r="J24" i="8" s="1"/>
  <c r="L24" i="8"/>
  <c r="M24" i="8" s="1"/>
  <c r="P24" i="8"/>
  <c r="Q24" i="8" s="1"/>
  <c r="S24" i="8"/>
  <c r="T24" i="8" s="1"/>
  <c r="V24" i="8"/>
  <c r="W24" i="8" s="1"/>
  <c r="Y24" i="8"/>
  <c r="Z24" i="8" s="1"/>
  <c r="C25" i="8"/>
  <c r="F25" i="8"/>
  <c r="G25" i="8" s="1"/>
  <c r="I25" i="8"/>
  <c r="J25" i="8" s="1"/>
  <c r="L25" i="8"/>
  <c r="M25" i="8" s="1"/>
  <c r="P25" i="8"/>
  <c r="Q25" i="8" s="1"/>
  <c r="S25" i="8"/>
  <c r="T25" i="8" s="1"/>
  <c r="V25" i="8"/>
  <c r="W25" i="8" s="1"/>
  <c r="Y25" i="8"/>
  <c r="Z25" i="8" s="1"/>
  <c r="C26" i="8"/>
  <c r="F26" i="8"/>
  <c r="G26" i="8" s="1"/>
  <c r="I26" i="8"/>
  <c r="J26" i="8" s="1"/>
  <c r="L26" i="8"/>
  <c r="M26" i="8" s="1"/>
  <c r="P26" i="8"/>
  <c r="Q26" i="8" s="1"/>
  <c r="S26" i="8"/>
  <c r="T26" i="8" s="1"/>
  <c r="V26" i="8"/>
  <c r="W26" i="8" s="1"/>
  <c r="Y26" i="8"/>
  <c r="Z26" i="8" s="1"/>
  <c r="C27" i="8"/>
  <c r="F27" i="8"/>
  <c r="G27" i="8" s="1"/>
  <c r="I27" i="8"/>
  <c r="J27" i="8" s="1"/>
  <c r="L27" i="8"/>
  <c r="M27" i="8" s="1"/>
  <c r="P27" i="8"/>
  <c r="Q27" i="8" s="1"/>
  <c r="S27" i="8"/>
  <c r="T27" i="8" s="1"/>
  <c r="V27" i="8"/>
  <c r="W27" i="8" s="1"/>
  <c r="Y27" i="8"/>
  <c r="Z27" i="8" s="1"/>
  <c r="C28" i="8"/>
  <c r="F28" i="8"/>
  <c r="G28" i="8" s="1"/>
  <c r="I28" i="8"/>
  <c r="J28" i="8" s="1"/>
  <c r="L28" i="8"/>
  <c r="M28" i="8" s="1"/>
  <c r="P28" i="8"/>
  <c r="Q28" i="8" s="1"/>
  <c r="S28" i="8"/>
  <c r="T28" i="8" s="1"/>
  <c r="V28" i="8"/>
  <c r="W28" i="8" s="1"/>
  <c r="Y28" i="8"/>
  <c r="Z28" i="8" s="1"/>
  <c r="C29" i="8"/>
  <c r="F29" i="8"/>
  <c r="G29" i="8" s="1"/>
  <c r="I29" i="8"/>
  <c r="J29" i="8" s="1"/>
  <c r="L29" i="8"/>
  <c r="M29" i="8" s="1"/>
  <c r="P29" i="8"/>
  <c r="Q29" i="8" s="1"/>
  <c r="S29" i="8"/>
  <c r="T29" i="8" s="1"/>
  <c r="V29" i="8"/>
  <c r="W29" i="8" s="1"/>
  <c r="Y29" i="8"/>
  <c r="Z29" i="8" s="1"/>
  <c r="C30" i="8"/>
  <c r="F30" i="8"/>
  <c r="G30" i="8" s="1"/>
  <c r="I30" i="8"/>
  <c r="J30" i="8" s="1"/>
  <c r="L30" i="8"/>
  <c r="M30" i="8" s="1"/>
  <c r="P30" i="8"/>
  <c r="Q30" i="8" s="1"/>
  <c r="S30" i="8"/>
  <c r="T30" i="8" s="1"/>
  <c r="V30" i="8"/>
  <c r="W30" i="8" s="1"/>
  <c r="Y30" i="8"/>
  <c r="Z30" i="8" s="1"/>
  <c r="C31" i="8"/>
  <c r="F31" i="8"/>
  <c r="G31" i="8" s="1"/>
  <c r="J31" i="8"/>
  <c r="L31" i="8"/>
  <c r="M31" i="8" s="1"/>
  <c r="P31" i="8"/>
  <c r="Q31" i="8" s="1"/>
  <c r="S31" i="8"/>
  <c r="T31" i="8" s="1"/>
  <c r="V31" i="8"/>
  <c r="W31" i="8" s="1"/>
  <c r="Y31" i="8"/>
  <c r="Z31" i="8" s="1"/>
  <c r="C32" i="8"/>
  <c r="F32" i="8"/>
  <c r="G32" i="8" s="1"/>
  <c r="J32" i="8"/>
  <c r="L32" i="8"/>
  <c r="M32" i="8" s="1"/>
  <c r="P32" i="8"/>
  <c r="Q32" i="8" s="1"/>
  <c r="S32" i="8"/>
  <c r="T32" i="8" s="1"/>
  <c r="V32" i="8"/>
  <c r="W32" i="8" s="1"/>
  <c r="Y32" i="8"/>
  <c r="Z32" i="8" s="1"/>
  <c r="C33" i="8"/>
  <c r="F33" i="8"/>
  <c r="G33" i="8" s="1"/>
  <c r="J33" i="8"/>
  <c r="L33" i="8"/>
  <c r="M33" i="8" s="1"/>
  <c r="P33" i="8"/>
  <c r="Q33" i="8" s="1"/>
  <c r="S33" i="8"/>
  <c r="T33" i="8" s="1"/>
  <c r="V33" i="8"/>
  <c r="W33" i="8" s="1"/>
  <c r="Y33" i="8"/>
  <c r="Z33" i="8" s="1"/>
  <c r="C34" i="8"/>
  <c r="F34" i="8"/>
  <c r="G34" i="8" s="1"/>
  <c r="J34" i="8"/>
  <c r="L34" i="8"/>
  <c r="M34" i="8" s="1"/>
  <c r="P34" i="8"/>
  <c r="Q34" i="8" s="1"/>
  <c r="S34" i="8"/>
  <c r="T34" i="8" s="1"/>
  <c r="V34" i="8"/>
  <c r="W34" i="8" s="1"/>
  <c r="Y34" i="8"/>
  <c r="Z34" i="8" s="1"/>
  <c r="C35" i="8"/>
  <c r="F35" i="8"/>
  <c r="G35" i="8" s="1"/>
  <c r="J35" i="8"/>
  <c r="L35" i="8"/>
  <c r="M35" i="8" s="1"/>
  <c r="P35" i="8"/>
  <c r="Q35" i="8" s="1"/>
  <c r="S35" i="8"/>
  <c r="T35" i="8" s="1"/>
  <c r="V35" i="8"/>
  <c r="W35" i="8" s="1"/>
  <c r="Y35" i="8"/>
  <c r="Z35" i="8" s="1"/>
  <c r="C5" i="7"/>
  <c r="F5" i="7"/>
  <c r="G5" i="7" s="1"/>
  <c r="L5" i="7"/>
  <c r="P5" i="7"/>
  <c r="S5" i="7"/>
  <c r="T5" i="7" s="1"/>
  <c r="V5" i="7"/>
  <c r="Y5" i="7"/>
  <c r="C6" i="7"/>
  <c r="F6" i="7"/>
  <c r="I6" i="7"/>
  <c r="J6" i="7" s="1"/>
  <c r="L6" i="7"/>
  <c r="P6" i="7"/>
  <c r="S6" i="7"/>
  <c r="V6" i="7"/>
  <c r="W6" i="7" s="1"/>
  <c r="Y6" i="7"/>
  <c r="C7" i="7"/>
  <c r="F7" i="7"/>
  <c r="G7" i="7" s="1"/>
  <c r="I7" i="7"/>
  <c r="J7" i="7" s="1"/>
  <c r="L7" i="7"/>
  <c r="P7" i="7"/>
  <c r="S7" i="7"/>
  <c r="T7" i="7" s="1"/>
  <c r="V7" i="7"/>
  <c r="W7" i="7" s="1"/>
  <c r="Y7" i="7"/>
  <c r="C8" i="7"/>
  <c r="F8" i="7"/>
  <c r="G8" i="7" s="1"/>
  <c r="J8" i="7"/>
  <c r="L8" i="7"/>
  <c r="P8" i="7"/>
  <c r="V8" i="7"/>
  <c r="W8" i="7" s="1"/>
  <c r="Y8" i="7"/>
  <c r="C9" i="7"/>
  <c r="F9" i="7"/>
  <c r="G9" i="7" s="1"/>
  <c r="J9" i="7"/>
  <c r="L9" i="7"/>
  <c r="V9" i="7"/>
  <c r="W9" i="7" s="1"/>
  <c r="Y9" i="7"/>
  <c r="C10" i="7"/>
  <c r="F10" i="7"/>
  <c r="G10" i="7" s="1"/>
  <c r="J10" i="7"/>
  <c r="L10" i="7"/>
  <c r="V10" i="7"/>
  <c r="W10" i="7" s="1"/>
  <c r="Y10" i="7"/>
  <c r="C11" i="7"/>
  <c r="F11" i="7"/>
  <c r="G11" i="7" s="1"/>
  <c r="J11" i="7"/>
  <c r="V11" i="7"/>
  <c r="W11" i="7" s="1"/>
  <c r="Y11" i="7"/>
  <c r="C12" i="7"/>
  <c r="F12" i="7"/>
  <c r="G12" i="7" s="1"/>
  <c r="J12" i="7"/>
  <c r="V12" i="7"/>
  <c r="W12" i="7" s="1"/>
  <c r="Y12" i="7"/>
  <c r="C13" i="7"/>
  <c r="F13" i="7"/>
  <c r="G13" i="7" s="1"/>
  <c r="J13" i="7"/>
  <c r="L13" i="7"/>
  <c r="V13" i="7"/>
  <c r="W13" i="7" s="1"/>
  <c r="Y13" i="7"/>
  <c r="C14" i="7"/>
  <c r="F14" i="7"/>
  <c r="G14" i="7" s="1"/>
  <c r="L14" i="7"/>
  <c r="P14" i="7"/>
  <c r="V14" i="7"/>
  <c r="W14" i="7" s="1"/>
  <c r="Y14" i="7"/>
  <c r="C15" i="7"/>
  <c r="F15" i="7"/>
  <c r="G15" i="7" s="1"/>
  <c r="L15" i="7"/>
  <c r="P15" i="7"/>
  <c r="V15" i="7"/>
  <c r="W15" i="7" s="1"/>
  <c r="Y15" i="7"/>
  <c r="C16" i="7"/>
  <c r="F16" i="7"/>
  <c r="G16" i="7" s="1"/>
  <c r="L16" i="7"/>
  <c r="P16" i="7"/>
  <c r="V16" i="7"/>
  <c r="W16" i="7" s="1"/>
  <c r="Y16" i="7"/>
  <c r="C17" i="7"/>
  <c r="F17" i="7"/>
  <c r="G17" i="7" s="1"/>
  <c r="L17" i="7"/>
  <c r="P17" i="7"/>
  <c r="S17" i="7"/>
  <c r="T17" i="7" s="1"/>
  <c r="V17" i="7"/>
  <c r="W17" i="7" s="1"/>
  <c r="Y17" i="7"/>
  <c r="C18" i="7"/>
  <c r="F18" i="7"/>
  <c r="G18" i="7" s="1"/>
  <c r="J18" i="7"/>
  <c r="L18" i="7"/>
  <c r="P18" i="7"/>
  <c r="S18" i="7"/>
  <c r="T18" i="7" s="1"/>
  <c r="V18" i="7"/>
  <c r="W18" i="7" s="1"/>
  <c r="Y18" i="7"/>
  <c r="C19" i="7"/>
  <c r="F19" i="7"/>
  <c r="G19" i="7" s="1"/>
  <c r="J19" i="7"/>
  <c r="L19" i="7"/>
  <c r="P19" i="7"/>
  <c r="S19" i="7"/>
  <c r="T19" i="7" s="1"/>
  <c r="V19" i="7"/>
  <c r="W19" i="7" s="1"/>
  <c r="Y19" i="7"/>
  <c r="C20" i="7"/>
  <c r="F20" i="7"/>
  <c r="G20" i="7" s="1"/>
  <c r="J20" i="7"/>
  <c r="L20" i="7"/>
  <c r="P20" i="7"/>
  <c r="S20" i="7"/>
  <c r="T20" i="7" s="1"/>
  <c r="V20" i="7"/>
  <c r="W20" i="7" s="1"/>
  <c r="Y20" i="7"/>
  <c r="C21" i="7"/>
  <c r="F21" i="7"/>
  <c r="G21" i="7" s="1"/>
  <c r="J21" i="7"/>
  <c r="L21" i="7"/>
  <c r="P21" i="7"/>
  <c r="S21" i="7"/>
  <c r="T21" i="7" s="1"/>
  <c r="V21" i="7"/>
  <c r="W21" i="7" s="1"/>
  <c r="Y21" i="7"/>
  <c r="C22" i="7"/>
  <c r="F22" i="7"/>
  <c r="G22" i="7" s="1"/>
  <c r="J22" i="7"/>
  <c r="L22" i="7"/>
  <c r="P22" i="7"/>
  <c r="S22" i="7"/>
  <c r="T22" i="7" s="1"/>
  <c r="V22" i="7"/>
  <c r="W22" i="7" s="1"/>
  <c r="Y22" i="7"/>
  <c r="C23" i="7"/>
  <c r="F23" i="7"/>
  <c r="G23" i="7" s="1"/>
  <c r="J23" i="7"/>
  <c r="L23" i="7"/>
  <c r="P23" i="7"/>
  <c r="S23" i="7"/>
  <c r="T23" i="7" s="1"/>
  <c r="V23" i="7"/>
  <c r="W23" i="7" s="1"/>
  <c r="Y23" i="7"/>
  <c r="C24" i="7"/>
  <c r="F24" i="7"/>
  <c r="G24" i="7" s="1"/>
  <c r="J24" i="7"/>
  <c r="L24" i="7"/>
  <c r="P24" i="7"/>
  <c r="S24" i="7"/>
  <c r="T24" i="7" s="1"/>
  <c r="V24" i="7"/>
  <c r="W24" i="7" s="1"/>
  <c r="Y24" i="7"/>
  <c r="C25" i="7"/>
  <c r="F25" i="7"/>
  <c r="G25" i="7" s="1"/>
  <c r="J25" i="7"/>
  <c r="L25" i="7"/>
  <c r="P25" i="7"/>
  <c r="S25" i="7"/>
  <c r="T25" i="7" s="1"/>
  <c r="V25" i="7"/>
  <c r="W25" i="7" s="1"/>
  <c r="Y25" i="7"/>
  <c r="C26" i="7"/>
  <c r="F26" i="7"/>
  <c r="G26" i="7" s="1"/>
  <c r="J26" i="7"/>
  <c r="L26" i="7"/>
  <c r="P26" i="7"/>
  <c r="S26" i="7"/>
  <c r="T26" i="7" s="1"/>
  <c r="V26" i="7"/>
  <c r="W26" i="7" s="1"/>
  <c r="Y26" i="7"/>
  <c r="C27" i="7"/>
  <c r="F27" i="7"/>
  <c r="G27" i="7" s="1"/>
  <c r="J27" i="7"/>
  <c r="L27" i="7"/>
  <c r="P27" i="7"/>
  <c r="S27" i="7"/>
  <c r="T27" i="7" s="1"/>
  <c r="V27" i="7"/>
  <c r="W27" i="7" s="1"/>
  <c r="Y27" i="7"/>
  <c r="C28" i="7"/>
  <c r="F28" i="7"/>
  <c r="G28" i="7" s="1"/>
  <c r="J28" i="7"/>
  <c r="L28" i="7"/>
  <c r="P28" i="7"/>
  <c r="S28" i="7"/>
  <c r="T28" i="7" s="1"/>
  <c r="V28" i="7"/>
  <c r="W28" i="7" s="1"/>
  <c r="Y28" i="7"/>
  <c r="C29" i="7"/>
  <c r="F29" i="7"/>
  <c r="G29" i="7" s="1"/>
  <c r="J29" i="7"/>
  <c r="L29" i="7"/>
  <c r="P29" i="7"/>
  <c r="S29" i="7"/>
  <c r="T29" i="7" s="1"/>
  <c r="V29" i="7"/>
  <c r="W29" i="7" s="1"/>
  <c r="Y29" i="7"/>
  <c r="C30" i="7"/>
  <c r="F30" i="7"/>
  <c r="G30" i="7" s="1"/>
  <c r="J30" i="7"/>
  <c r="L30" i="7"/>
  <c r="P30" i="7"/>
  <c r="S30" i="7"/>
  <c r="T30" i="7" s="1"/>
  <c r="V30" i="7"/>
  <c r="W30" i="7" s="1"/>
  <c r="Y30" i="7"/>
  <c r="C31" i="7"/>
  <c r="F31" i="7"/>
  <c r="G31" i="7" s="1"/>
  <c r="J31" i="7"/>
  <c r="L31" i="7"/>
  <c r="P31" i="7"/>
  <c r="S31" i="7"/>
  <c r="T31" i="7" s="1"/>
  <c r="V31" i="7"/>
  <c r="W31" i="7" s="1"/>
  <c r="Y31" i="7"/>
  <c r="C32" i="7"/>
  <c r="F32" i="7"/>
  <c r="G32" i="7" s="1"/>
  <c r="J32" i="7"/>
  <c r="L32" i="7"/>
  <c r="P32" i="7"/>
  <c r="S32" i="7"/>
  <c r="T32" i="7" s="1"/>
  <c r="V32" i="7"/>
  <c r="W32" i="7" s="1"/>
  <c r="Y32" i="7"/>
  <c r="C33" i="7"/>
  <c r="F33" i="7"/>
  <c r="G33" i="7" s="1"/>
  <c r="J33" i="7"/>
  <c r="L33" i="7"/>
  <c r="P33" i="7"/>
  <c r="S33" i="7"/>
  <c r="T33" i="7" s="1"/>
  <c r="V33" i="7"/>
  <c r="W33" i="7" s="1"/>
  <c r="Y33" i="7"/>
  <c r="C34" i="7"/>
  <c r="F34" i="7"/>
  <c r="G34" i="7" s="1"/>
  <c r="J34" i="7"/>
  <c r="L34" i="7"/>
  <c r="P34" i="7"/>
  <c r="S34" i="7"/>
  <c r="T34" i="7" s="1"/>
  <c r="V34" i="7"/>
  <c r="W34" i="7" s="1"/>
  <c r="Y34" i="7"/>
  <c r="C5" i="6"/>
  <c r="F5" i="6"/>
  <c r="G5" i="6" s="1"/>
  <c r="I5" i="6"/>
  <c r="J5" i="6" s="1"/>
  <c r="L5" i="6"/>
  <c r="P5" i="6"/>
  <c r="S5" i="6"/>
  <c r="T5" i="6" s="1"/>
  <c r="V5" i="6"/>
  <c r="W5" i="6" s="1"/>
  <c r="Y5" i="6"/>
  <c r="AB5" i="6"/>
  <c r="C6" i="6"/>
  <c r="F6" i="6"/>
  <c r="G6" i="6" s="1"/>
  <c r="I6" i="6"/>
  <c r="J6" i="6" s="1"/>
  <c r="L6" i="6"/>
  <c r="P6" i="6"/>
  <c r="S6" i="6"/>
  <c r="T6" i="6" s="1"/>
  <c r="V6" i="6"/>
  <c r="W6" i="6" s="1"/>
  <c r="Y6" i="6"/>
  <c r="C7" i="6"/>
  <c r="F7" i="6"/>
  <c r="G7" i="6" s="1"/>
  <c r="I7" i="6"/>
  <c r="J7" i="6" s="1"/>
  <c r="L7" i="6"/>
  <c r="P7" i="6"/>
  <c r="S7" i="6"/>
  <c r="T7" i="6" s="1"/>
  <c r="V7" i="6"/>
  <c r="W7" i="6" s="1"/>
  <c r="Y7" i="6"/>
  <c r="AB7" i="6"/>
  <c r="C8" i="6"/>
  <c r="F8" i="6"/>
  <c r="G8" i="6" s="1"/>
  <c r="I8" i="6"/>
  <c r="J8" i="6" s="1"/>
  <c r="L8" i="6"/>
  <c r="P8" i="6"/>
  <c r="S8" i="6"/>
  <c r="T8" i="6" s="1"/>
  <c r="V8" i="6"/>
  <c r="W8" i="6" s="1"/>
  <c r="Y8" i="6"/>
  <c r="C9" i="6"/>
  <c r="F9" i="6"/>
  <c r="G9" i="6" s="1"/>
  <c r="I9" i="6"/>
  <c r="J9" i="6" s="1"/>
  <c r="L9" i="6"/>
  <c r="P9" i="6"/>
  <c r="S9" i="6"/>
  <c r="T9" i="6" s="1"/>
  <c r="V9" i="6"/>
  <c r="W9" i="6" s="1"/>
  <c r="Y9" i="6"/>
  <c r="AB9" i="6"/>
  <c r="C10" i="6"/>
  <c r="F10" i="6"/>
  <c r="G10" i="6" s="1"/>
  <c r="I10" i="6"/>
  <c r="J10" i="6" s="1"/>
  <c r="L10" i="6"/>
  <c r="P10" i="6"/>
  <c r="S10" i="6"/>
  <c r="T10" i="6" s="1"/>
  <c r="V10" i="6"/>
  <c r="W10" i="6" s="1"/>
  <c r="Y10" i="6"/>
  <c r="C11" i="6"/>
  <c r="F11" i="6"/>
  <c r="G11" i="6" s="1"/>
  <c r="I11" i="6"/>
  <c r="J11" i="6" s="1"/>
  <c r="L11" i="6"/>
  <c r="P11" i="6"/>
  <c r="S11" i="6"/>
  <c r="T11" i="6" s="1"/>
  <c r="V11" i="6"/>
  <c r="W11" i="6" s="1"/>
  <c r="Y11" i="6"/>
  <c r="AB11" i="6"/>
  <c r="C12" i="6"/>
  <c r="F12" i="6"/>
  <c r="G12" i="6" s="1"/>
  <c r="I12" i="6"/>
  <c r="J12" i="6" s="1"/>
  <c r="L12" i="6"/>
  <c r="P12" i="6"/>
  <c r="S12" i="6"/>
  <c r="T12" i="6" s="1"/>
  <c r="V12" i="6"/>
  <c r="W12" i="6" s="1"/>
  <c r="Y12" i="6"/>
  <c r="C13" i="6"/>
  <c r="F13" i="6"/>
  <c r="G13" i="6" s="1"/>
  <c r="I13" i="6"/>
  <c r="J13" i="6" s="1"/>
  <c r="L13" i="6"/>
  <c r="P13" i="6"/>
  <c r="S13" i="6"/>
  <c r="T13" i="6" s="1"/>
  <c r="V13" i="6"/>
  <c r="W13" i="6" s="1"/>
  <c r="Y13" i="6"/>
  <c r="AB13" i="6"/>
  <c r="C14" i="6"/>
  <c r="F14" i="6"/>
  <c r="G14" i="6" s="1"/>
  <c r="I14" i="6"/>
  <c r="J14" i="6" s="1"/>
  <c r="L14" i="6"/>
  <c r="P14" i="6"/>
  <c r="S14" i="6"/>
  <c r="T14" i="6" s="1"/>
  <c r="V14" i="6"/>
  <c r="W14" i="6" s="1"/>
  <c r="Y14" i="6"/>
  <c r="C15" i="6"/>
  <c r="F15" i="6"/>
  <c r="G15" i="6" s="1"/>
  <c r="I15" i="6"/>
  <c r="J15" i="6" s="1"/>
  <c r="L15" i="6"/>
  <c r="P15" i="6"/>
  <c r="S15" i="6"/>
  <c r="T15" i="6" s="1"/>
  <c r="V15" i="6"/>
  <c r="W15" i="6" s="1"/>
  <c r="Y15" i="6"/>
  <c r="AB15" i="6"/>
  <c r="C16" i="6"/>
  <c r="F16" i="6"/>
  <c r="G16" i="6" s="1"/>
  <c r="I16" i="6"/>
  <c r="J16" i="6" s="1"/>
  <c r="L16" i="6"/>
  <c r="P16" i="6"/>
  <c r="S16" i="6"/>
  <c r="T16" i="6" s="1"/>
  <c r="V16" i="6"/>
  <c r="W16" i="6" s="1"/>
  <c r="Y16" i="6"/>
  <c r="C17" i="6"/>
  <c r="F17" i="6"/>
  <c r="G17" i="6" s="1"/>
  <c r="I17" i="6"/>
  <c r="J17" i="6" s="1"/>
  <c r="L17" i="6"/>
  <c r="P17" i="6"/>
  <c r="S17" i="6"/>
  <c r="T17" i="6" s="1"/>
  <c r="V17" i="6"/>
  <c r="W17" i="6" s="1"/>
  <c r="Y17" i="6"/>
  <c r="AB17" i="6"/>
  <c r="F18" i="6"/>
  <c r="G18" i="6" s="1"/>
  <c r="I18" i="6"/>
  <c r="J18" i="6" s="1"/>
  <c r="L18" i="6"/>
  <c r="P18" i="6"/>
  <c r="S18" i="6"/>
  <c r="T18" i="6" s="1"/>
  <c r="V18" i="6"/>
  <c r="W18" i="6" s="1"/>
  <c r="Y18" i="6"/>
  <c r="C19" i="6"/>
  <c r="F19" i="6"/>
  <c r="G19" i="6" s="1"/>
  <c r="I19" i="6"/>
  <c r="J19" i="6" s="1"/>
  <c r="L19" i="6"/>
  <c r="P19" i="6"/>
  <c r="S19" i="6"/>
  <c r="T19" i="6" s="1"/>
  <c r="V19" i="6"/>
  <c r="W19" i="6" s="1"/>
  <c r="Y19" i="6"/>
  <c r="AB19" i="6"/>
  <c r="C20" i="6"/>
  <c r="F20" i="6"/>
  <c r="G20" i="6" s="1"/>
  <c r="I20" i="6"/>
  <c r="J20" i="6" s="1"/>
  <c r="L20" i="6"/>
  <c r="P20" i="6"/>
  <c r="S20" i="6"/>
  <c r="T20" i="6" s="1"/>
  <c r="V20" i="6"/>
  <c r="W20" i="6" s="1"/>
  <c r="Y20" i="6"/>
  <c r="AB20" i="6"/>
  <c r="C21" i="6"/>
  <c r="F21" i="6"/>
  <c r="G21" i="6" s="1"/>
  <c r="I21" i="6"/>
  <c r="L21" i="6"/>
  <c r="P21" i="6"/>
  <c r="S21" i="6"/>
  <c r="T21" i="6" s="1"/>
  <c r="V21" i="6"/>
  <c r="Y21" i="6"/>
  <c r="C22" i="6"/>
  <c r="F22" i="6"/>
  <c r="I22" i="6"/>
  <c r="J22" i="6" s="1"/>
  <c r="L22" i="6"/>
  <c r="P22" i="6"/>
  <c r="S22" i="6"/>
  <c r="V22" i="6"/>
  <c r="W22" i="6" s="1"/>
  <c r="Y22" i="6"/>
  <c r="AB22" i="6"/>
  <c r="C23" i="6"/>
  <c r="F23" i="6"/>
  <c r="G23" i="6" s="1"/>
  <c r="I23" i="6"/>
  <c r="J23" i="6" s="1"/>
  <c r="L23" i="6"/>
  <c r="P23" i="6"/>
  <c r="S23" i="6"/>
  <c r="T23" i="6" s="1"/>
  <c r="V23" i="6"/>
  <c r="W23" i="6" s="1"/>
  <c r="Y23" i="6"/>
  <c r="C24" i="6"/>
  <c r="F24" i="6"/>
  <c r="G24" i="6" s="1"/>
  <c r="I24" i="6"/>
  <c r="J24" i="6" s="1"/>
  <c r="L24" i="6"/>
  <c r="P24" i="6"/>
  <c r="S24" i="6"/>
  <c r="T24" i="6" s="1"/>
  <c r="V24" i="6"/>
  <c r="W24" i="6" s="1"/>
  <c r="Y24" i="6"/>
  <c r="AB24" i="6"/>
  <c r="C25" i="6"/>
  <c r="F25" i="6"/>
  <c r="G25" i="6" s="1"/>
  <c r="I25" i="6"/>
  <c r="J25" i="6" s="1"/>
  <c r="L25" i="6"/>
  <c r="P25" i="6"/>
  <c r="S25" i="6"/>
  <c r="T25" i="6" s="1"/>
  <c r="V25" i="6"/>
  <c r="W25" i="6" s="1"/>
  <c r="Y25" i="6"/>
  <c r="C26" i="6"/>
  <c r="F26" i="6"/>
  <c r="G26" i="6" s="1"/>
  <c r="I26" i="6"/>
  <c r="J26" i="6" s="1"/>
  <c r="L26" i="6"/>
  <c r="P26" i="6"/>
  <c r="S26" i="6"/>
  <c r="T26" i="6" s="1"/>
  <c r="V26" i="6"/>
  <c r="W26" i="6" s="1"/>
  <c r="Y26" i="6"/>
  <c r="AB26" i="6"/>
  <c r="C27" i="6"/>
  <c r="F27" i="6"/>
  <c r="G27" i="6" s="1"/>
  <c r="I27" i="6"/>
  <c r="J27" i="6" s="1"/>
  <c r="L27" i="6"/>
  <c r="P27" i="6"/>
  <c r="S27" i="6"/>
  <c r="T27" i="6" s="1"/>
  <c r="V27" i="6"/>
  <c r="W27" i="6" s="1"/>
  <c r="Y27" i="6"/>
  <c r="C28" i="6"/>
  <c r="F28" i="6"/>
  <c r="G28" i="6" s="1"/>
  <c r="I28" i="6"/>
  <c r="J28" i="6" s="1"/>
  <c r="L28" i="6"/>
  <c r="P28" i="6"/>
  <c r="S28" i="6"/>
  <c r="T28" i="6" s="1"/>
  <c r="V28" i="6"/>
  <c r="W28" i="6" s="1"/>
  <c r="Y28" i="6"/>
  <c r="AB28" i="6"/>
  <c r="C29" i="6"/>
  <c r="F29" i="6"/>
  <c r="G29" i="6" s="1"/>
  <c r="I29" i="6"/>
  <c r="J29" i="6" s="1"/>
  <c r="L29" i="6"/>
  <c r="P29" i="6"/>
  <c r="S29" i="6"/>
  <c r="T29" i="6" s="1"/>
  <c r="V29" i="6"/>
  <c r="W29" i="6" s="1"/>
  <c r="Y29" i="6"/>
  <c r="C30" i="6"/>
  <c r="F30" i="6"/>
  <c r="G30" i="6" s="1"/>
  <c r="J30" i="6"/>
  <c r="L30" i="6"/>
  <c r="P30" i="6"/>
  <c r="S30" i="6"/>
  <c r="T30" i="6" s="1"/>
  <c r="V30" i="6"/>
  <c r="W30" i="6" s="1"/>
  <c r="Y30" i="6"/>
  <c r="AB30" i="6"/>
  <c r="C31" i="6"/>
  <c r="F31" i="6"/>
  <c r="G31" i="6" s="1"/>
  <c r="J31" i="6"/>
  <c r="L31" i="6"/>
  <c r="P31" i="6"/>
  <c r="S31" i="6"/>
  <c r="T31" i="6" s="1"/>
  <c r="V31" i="6"/>
  <c r="W31" i="6" s="1"/>
  <c r="Y31" i="6"/>
  <c r="C32" i="6"/>
  <c r="F32" i="6"/>
  <c r="G32" i="6" s="1"/>
  <c r="J32" i="6"/>
  <c r="L32" i="6"/>
  <c r="P32" i="6"/>
  <c r="S32" i="6"/>
  <c r="T32" i="6" s="1"/>
  <c r="V32" i="6"/>
  <c r="W32" i="6" s="1"/>
  <c r="Y32" i="6"/>
  <c r="AB32" i="6"/>
  <c r="C33" i="6"/>
  <c r="F33" i="6"/>
  <c r="G33" i="6" s="1"/>
  <c r="J33" i="6"/>
  <c r="L33" i="6"/>
  <c r="P33" i="6"/>
  <c r="S33" i="6"/>
  <c r="T33" i="6" s="1"/>
  <c r="V33" i="6"/>
  <c r="W33" i="6" s="1"/>
  <c r="Y33" i="6"/>
  <c r="C34" i="6"/>
  <c r="F34" i="6"/>
  <c r="G34" i="6" s="1"/>
  <c r="J34" i="6"/>
  <c r="L34" i="6"/>
  <c r="P34" i="6"/>
  <c r="S34" i="6"/>
  <c r="T34" i="6" s="1"/>
  <c r="V34" i="6"/>
  <c r="W34" i="6" s="1"/>
  <c r="Y34" i="6"/>
  <c r="AB34" i="6"/>
  <c r="C35" i="6"/>
  <c r="F35" i="6"/>
  <c r="G35" i="6" s="1"/>
  <c r="J35" i="6"/>
  <c r="L35" i="6"/>
  <c r="P35" i="6"/>
  <c r="S35" i="6"/>
  <c r="T35" i="6" s="1"/>
  <c r="V35" i="6"/>
  <c r="W35" i="6" s="1"/>
  <c r="Y35" i="6"/>
  <c r="C5" i="4"/>
  <c r="F5" i="4"/>
  <c r="I5" i="4"/>
  <c r="J5" i="4" s="1"/>
  <c r="L5" i="4"/>
  <c r="P5" i="4"/>
  <c r="Q5" i="4" s="1"/>
  <c r="S5" i="4"/>
  <c r="V5" i="4"/>
  <c r="W5" i="4" s="1"/>
  <c r="Y5" i="4"/>
  <c r="C6" i="4"/>
  <c r="F6" i="4"/>
  <c r="G6" i="4" s="1"/>
  <c r="I6" i="4"/>
  <c r="L6" i="4"/>
  <c r="M6" i="4" s="1"/>
  <c r="P6" i="4"/>
  <c r="S6" i="4"/>
  <c r="T6" i="4" s="1"/>
  <c r="V6" i="4"/>
  <c r="Y6" i="4"/>
  <c r="Z6" i="4" s="1"/>
  <c r="C7" i="4"/>
  <c r="F7" i="4"/>
  <c r="G7" i="4" s="1"/>
  <c r="I7" i="4"/>
  <c r="J7" i="4" s="1"/>
  <c r="L7" i="4"/>
  <c r="M7" i="4" s="1"/>
  <c r="P7" i="4"/>
  <c r="Q7" i="4" s="1"/>
  <c r="S7" i="4"/>
  <c r="T7" i="4" s="1"/>
  <c r="V7" i="4"/>
  <c r="W7" i="4" s="1"/>
  <c r="Y7" i="4"/>
  <c r="Z7" i="4" s="1"/>
  <c r="C8" i="4"/>
  <c r="F8" i="4"/>
  <c r="G8" i="4" s="1"/>
  <c r="I8" i="4"/>
  <c r="J8" i="4" s="1"/>
  <c r="L8" i="4"/>
  <c r="M8" i="4" s="1"/>
  <c r="P8" i="4"/>
  <c r="Q8" i="4" s="1"/>
  <c r="S8" i="4"/>
  <c r="T8" i="4" s="1"/>
  <c r="V8" i="4"/>
  <c r="W8" i="4" s="1"/>
  <c r="Y8" i="4"/>
  <c r="Z8" i="4" s="1"/>
  <c r="C9" i="4"/>
  <c r="F9" i="4"/>
  <c r="G9" i="4" s="1"/>
  <c r="I9" i="4"/>
  <c r="J9" i="4" s="1"/>
  <c r="L9" i="4"/>
  <c r="M9" i="4" s="1"/>
  <c r="P9" i="4"/>
  <c r="Q9" i="4" s="1"/>
  <c r="S9" i="4"/>
  <c r="T9" i="4" s="1"/>
  <c r="V9" i="4"/>
  <c r="W9" i="4" s="1"/>
  <c r="Y9" i="4"/>
  <c r="Z9" i="4" s="1"/>
  <c r="C10" i="4"/>
  <c r="F10" i="4"/>
  <c r="G10" i="4" s="1"/>
  <c r="I10" i="4"/>
  <c r="J10" i="4" s="1"/>
  <c r="L10" i="4"/>
  <c r="M10" i="4" s="1"/>
  <c r="P10" i="4"/>
  <c r="Q10" i="4" s="1"/>
  <c r="S10" i="4"/>
  <c r="T10" i="4" s="1"/>
  <c r="V10" i="4"/>
  <c r="W10" i="4" s="1"/>
  <c r="Y10" i="4"/>
  <c r="Z10" i="4" s="1"/>
  <c r="C11" i="4"/>
  <c r="F11" i="4"/>
  <c r="G11" i="4" s="1"/>
  <c r="I11" i="4"/>
  <c r="J11" i="4" s="1"/>
  <c r="L11" i="4"/>
  <c r="M11" i="4" s="1"/>
  <c r="P11" i="4"/>
  <c r="Q11" i="4" s="1"/>
  <c r="S11" i="4"/>
  <c r="T11" i="4" s="1"/>
  <c r="V11" i="4"/>
  <c r="W11" i="4" s="1"/>
  <c r="Y11" i="4"/>
  <c r="Z11" i="4" s="1"/>
  <c r="C12" i="4"/>
  <c r="F12" i="4"/>
  <c r="G12" i="4" s="1"/>
  <c r="I12" i="4"/>
  <c r="J12" i="4" s="1"/>
  <c r="L12" i="4"/>
  <c r="M12" i="4" s="1"/>
  <c r="P12" i="4"/>
  <c r="Q12" i="4" s="1"/>
  <c r="S12" i="4"/>
  <c r="T12" i="4" s="1"/>
  <c r="V12" i="4"/>
  <c r="W12" i="4" s="1"/>
  <c r="Y12" i="4"/>
  <c r="Z12" i="4" s="1"/>
  <c r="C13" i="4"/>
  <c r="F13" i="4"/>
  <c r="G13" i="4" s="1"/>
  <c r="I13" i="4"/>
  <c r="J13" i="4" s="1"/>
  <c r="L13" i="4"/>
  <c r="M13" i="4" s="1"/>
  <c r="P13" i="4"/>
  <c r="Q13" i="4" s="1"/>
  <c r="S13" i="4"/>
  <c r="T13" i="4" s="1"/>
  <c r="V13" i="4"/>
  <c r="W13" i="4" s="1"/>
  <c r="Y13" i="4"/>
  <c r="Z13" i="4" s="1"/>
  <c r="C14" i="4"/>
  <c r="F14" i="4"/>
  <c r="G14" i="4" s="1"/>
  <c r="I14" i="4"/>
  <c r="J14" i="4" s="1"/>
  <c r="L14" i="4"/>
  <c r="M14" i="4" s="1"/>
  <c r="P14" i="4"/>
  <c r="Q14" i="4" s="1"/>
  <c r="S14" i="4"/>
  <c r="T14" i="4" s="1"/>
  <c r="V14" i="4"/>
  <c r="W14" i="4" s="1"/>
  <c r="Y14" i="4"/>
  <c r="Z14" i="4" s="1"/>
  <c r="C15" i="4"/>
  <c r="F15" i="4"/>
  <c r="G15" i="4" s="1"/>
  <c r="I15" i="4"/>
  <c r="J15" i="4" s="1"/>
  <c r="L15" i="4"/>
  <c r="M15" i="4" s="1"/>
  <c r="P15" i="4"/>
  <c r="Q15" i="4" s="1"/>
  <c r="S15" i="4"/>
  <c r="T15" i="4" s="1"/>
  <c r="V15" i="4"/>
  <c r="W15" i="4" s="1"/>
  <c r="Y15" i="4"/>
  <c r="Z15" i="4" s="1"/>
  <c r="C16" i="4"/>
  <c r="F16" i="4"/>
  <c r="G16" i="4" s="1"/>
  <c r="I16" i="4"/>
  <c r="J16" i="4" s="1"/>
  <c r="L16" i="4"/>
  <c r="M16" i="4" s="1"/>
  <c r="P16" i="4"/>
  <c r="Q16" i="4" s="1"/>
  <c r="S16" i="4"/>
  <c r="T16" i="4" s="1"/>
  <c r="V16" i="4"/>
  <c r="W16" i="4" s="1"/>
  <c r="Y16" i="4"/>
  <c r="Z16" i="4" s="1"/>
  <c r="C17" i="4"/>
  <c r="F17" i="4"/>
  <c r="G17" i="4" s="1"/>
  <c r="I17" i="4"/>
  <c r="J17" i="4" s="1"/>
  <c r="L17" i="4"/>
  <c r="M17" i="4" s="1"/>
  <c r="P17" i="4"/>
  <c r="Q17" i="4" s="1"/>
  <c r="S17" i="4"/>
  <c r="T17" i="4" s="1"/>
  <c r="V17" i="4"/>
  <c r="W17" i="4" s="1"/>
  <c r="Y17" i="4"/>
  <c r="Z17" i="4" s="1"/>
  <c r="C18" i="4"/>
  <c r="F18" i="4"/>
  <c r="G18" i="4" s="1"/>
  <c r="I18" i="4"/>
  <c r="J18" i="4" s="1"/>
  <c r="P18" i="4"/>
  <c r="Q18" i="4" s="1"/>
  <c r="S18" i="4"/>
  <c r="T18" i="4" s="1"/>
  <c r="V18" i="4"/>
  <c r="W18" i="4" s="1"/>
  <c r="Y18" i="4"/>
  <c r="Z18" i="4" s="1"/>
  <c r="C19" i="4"/>
  <c r="F19" i="4"/>
  <c r="G19" i="4" s="1"/>
  <c r="I19" i="4"/>
  <c r="J19" i="4" s="1"/>
  <c r="P19" i="4"/>
  <c r="Q19" i="4" s="1"/>
  <c r="S19" i="4"/>
  <c r="T19" i="4" s="1"/>
  <c r="V19" i="4"/>
  <c r="W19" i="4" s="1"/>
  <c r="Y19" i="4"/>
  <c r="Z19" i="4" s="1"/>
  <c r="C20" i="4"/>
  <c r="F20" i="4"/>
  <c r="G20" i="4" s="1"/>
  <c r="I20" i="4"/>
  <c r="J20" i="4" s="1"/>
  <c r="P20" i="4"/>
  <c r="Q20" i="4" s="1"/>
  <c r="S20" i="4"/>
  <c r="T20" i="4" s="1"/>
  <c r="V20" i="4"/>
  <c r="W20" i="4" s="1"/>
  <c r="Y20" i="4"/>
  <c r="Z20" i="4" s="1"/>
  <c r="C21" i="4"/>
  <c r="F21" i="4"/>
  <c r="G21" i="4" s="1"/>
  <c r="I21" i="4"/>
  <c r="J21" i="4" s="1"/>
  <c r="L21" i="4"/>
  <c r="M21" i="4" s="1"/>
  <c r="P21" i="4"/>
  <c r="Q21" i="4" s="1"/>
  <c r="S21" i="4"/>
  <c r="T21" i="4" s="1"/>
  <c r="V21" i="4"/>
  <c r="W21" i="4" s="1"/>
  <c r="Y21" i="4"/>
  <c r="Z21" i="4" s="1"/>
  <c r="C22" i="4"/>
  <c r="F22" i="4"/>
  <c r="G22" i="4" s="1"/>
  <c r="I22" i="4"/>
  <c r="J22" i="4" s="1"/>
  <c r="L22" i="4"/>
  <c r="M22" i="4" s="1"/>
  <c r="P22" i="4"/>
  <c r="Q22" i="4" s="1"/>
  <c r="S22" i="4"/>
  <c r="T22" i="4" s="1"/>
  <c r="V22" i="4"/>
  <c r="W22" i="4" s="1"/>
  <c r="Y22" i="4"/>
  <c r="Z22" i="4" s="1"/>
  <c r="C23" i="4"/>
  <c r="F23" i="4"/>
  <c r="G23" i="4" s="1"/>
  <c r="I23" i="4"/>
  <c r="J23" i="4" s="1"/>
  <c r="L23" i="4"/>
  <c r="M23" i="4" s="1"/>
  <c r="P23" i="4"/>
  <c r="Q23" i="4" s="1"/>
  <c r="S23" i="4"/>
  <c r="T23" i="4" s="1"/>
  <c r="V23" i="4"/>
  <c r="W23" i="4" s="1"/>
  <c r="Y23" i="4"/>
  <c r="Z23" i="4" s="1"/>
  <c r="C24" i="4"/>
  <c r="F24" i="4"/>
  <c r="G24" i="4" s="1"/>
  <c r="I24" i="4"/>
  <c r="J24" i="4" s="1"/>
  <c r="L24" i="4"/>
  <c r="M24" i="4" s="1"/>
  <c r="P24" i="4"/>
  <c r="Q24" i="4" s="1"/>
  <c r="S24" i="4"/>
  <c r="T24" i="4" s="1"/>
  <c r="V24" i="4"/>
  <c r="W24" i="4" s="1"/>
  <c r="Y24" i="4"/>
  <c r="Z24" i="4" s="1"/>
  <c r="C25" i="4"/>
  <c r="F25" i="4"/>
  <c r="G25" i="4" s="1"/>
  <c r="I25" i="4"/>
  <c r="J25" i="4" s="1"/>
  <c r="L25" i="4"/>
  <c r="M25" i="4" s="1"/>
  <c r="P25" i="4"/>
  <c r="Q25" i="4" s="1"/>
  <c r="S25" i="4"/>
  <c r="T25" i="4" s="1"/>
  <c r="V25" i="4"/>
  <c r="W25" i="4" s="1"/>
  <c r="Y25" i="4"/>
  <c r="Z25" i="4" s="1"/>
  <c r="C26" i="4"/>
  <c r="F26" i="4"/>
  <c r="G26" i="4" s="1"/>
  <c r="I26" i="4"/>
  <c r="J26" i="4" s="1"/>
  <c r="L26" i="4"/>
  <c r="M26" i="4" s="1"/>
  <c r="P26" i="4"/>
  <c r="Q26" i="4" s="1"/>
  <c r="S26" i="4"/>
  <c r="T26" i="4" s="1"/>
  <c r="V26" i="4"/>
  <c r="W26" i="4" s="1"/>
  <c r="Y26" i="4"/>
  <c r="Z26" i="4" s="1"/>
  <c r="C27" i="4"/>
  <c r="F27" i="4"/>
  <c r="G27" i="4" s="1"/>
  <c r="I27" i="4"/>
  <c r="J27" i="4" s="1"/>
  <c r="L27" i="4"/>
  <c r="M27" i="4" s="1"/>
  <c r="P27" i="4"/>
  <c r="Q27" i="4" s="1"/>
  <c r="S27" i="4"/>
  <c r="T27" i="4" s="1"/>
  <c r="V27" i="4"/>
  <c r="W27" i="4" s="1"/>
  <c r="Y27" i="4"/>
  <c r="Z27" i="4" s="1"/>
  <c r="C28" i="4"/>
  <c r="F28" i="4"/>
  <c r="G28" i="4" s="1"/>
  <c r="I28" i="4"/>
  <c r="J28" i="4" s="1"/>
  <c r="L28" i="4"/>
  <c r="M28" i="4" s="1"/>
  <c r="P28" i="4"/>
  <c r="Q28" i="4" s="1"/>
  <c r="S28" i="4"/>
  <c r="T28" i="4" s="1"/>
  <c r="V28" i="4"/>
  <c r="W28" i="4" s="1"/>
  <c r="Y28" i="4"/>
  <c r="Z28" i="4" s="1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 s="1"/>
  <c r="L30" i="4"/>
  <c r="M30" i="4" s="1"/>
  <c r="P30" i="4"/>
  <c r="Q30" i="4" s="1"/>
  <c r="S30" i="4"/>
  <c r="T30" i="4" s="1"/>
  <c r="V30" i="4"/>
  <c r="W30" i="4" s="1"/>
  <c r="Y30" i="4"/>
  <c r="Z30" i="4" s="1"/>
  <c r="C31" i="4"/>
  <c r="F31" i="4"/>
  <c r="G31" i="4" s="1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 s="1"/>
  <c r="I32" i="4"/>
  <c r="J32" i="4" s="1"/>
  <c r="L32" i="4"/>
  <c r="M32" i="4" s="1"/>
  <c r="P32" i="4"/>
  <c r="Q32" i="4" s="1"/>
  <c r="S32" i="4"/>
  <c r="T32" i="4" s="1"/>
  <c r="V32" i="4"/>
  <c r="W32" i="4" s="1"/>
  <c r="Y32" i="4"/>
  <c r="Z32" i="4" s="1"/>
  <c r="C5" i="1"/>
  <c r="F5" i="1"/>
  <c r="I5" i="1"/>
  <c r="J5" i="1" s="1"/>
  <c r="L5" i="1"/>
  <c r="P5" i="1"/>
  <c r="S5" i="1"/>
  <c r="V5" i="1"/>
  <c r="W5" i="1" s="1"/>
  <c r="Y5" i="1"/>
  <c r="C6" i="1"/>
  <c r="F6" i="1"/>
  <c r="G6" i="1" s="1"/>
  <c r="I6" i="1"/>
  <c r="L6" i="1"/>
  <c r="P6" i="1"/>
  <c r="S6" i="1"/>
  <c r="T6" i="1" s="1"/>
  <c r="V6" i="1"/>
  <c r="Y6" i="1"/>
  <c r="C7" i="1"/>
  <c r="F7" i="1"/>
  <c r="G7" i="1" s="1"/>
  <c r="I7" i="1"/>
  <c r="J7" i="1" s="1"/>
  <c r="L7" i="1"/>
  <c r="P7" i="1"/>
  <c r="S7" i="1"/>
  <c r="T7" i="1" s="1"/>
  <c r="V7" i="1"/>
  <c r="W7" i="1" s="1"/>
  <c r="Y7" i="1"/>
  <c r="C8" i="1"/>
  <c r="F8" i="1"/>
  <c r="G8" i="1" s="1"/>
  <c r="I8" i="1"/>
  <c r="J8" i="1" s="1"/>
  <c r="L8" i="1"/>
  <c r="P8" i="1"/>
  <c r="S8" i="1"/>
  <c r="T8" i="1" s="1"/>
  <c r="V8" i="1"/>
  <c r="W8" i="1" s="1"/>
  <c r="Y8" i="1"/>
  <c r="C9" i="1"/>
  <c r="F9" i="1"/>
  <c r="G9" i="1" s="1"/>
  <c r="I9" i="1"/>
  <c r="J9" i="1" s="1"/>
  <c r="L9" i="1"/>
  <c r="P9" i="1"/>
  <c r="S9" i="1"/>
  <c r="T9" i="1" s="1"/>
  <c r="V9" i="1"/>
  <c r="W9" i="1" s="1"/>
  <c r="Y9" i="1"/>
  <c r="C10" i="1"/>
  <c r="F10" i="1"/>
  <c r="G10" i="1" s="1"/>
  <c r="I10" i="1"/>
  <c r="J10" i="1" s="1"/>
  <c r="L10" i="1"/>
  <c r="P10" i="1"/>
  <c r="S10" i="1"/>
  <c r="T10" i="1" s="1"/>
  <c r="V10" i="1"/>
  <c r="W10" i="1" s="1"/>
  <c r="Y10" i="1"/>
  <c r="C11" i="1"/>
  <c r="F11" i="1"/>
  <c r="G11" i="1" s="1"/>
  <c r="I11" i="1"/>
  <c r="J11" i="1" s="1"/>
  <c r="L11" i="1"/>
  <c r="P11" i="1"/>
  <c r="S11" i="1"/>
  <c r="T11" i="1" s="1"/>
  <c r="V11" i="1"/>
  <c r="W11" i="1" s="1"/>
  <c r="Y11" i="1"/>
  <c r="C12" i="1"/>
  <c r="F12" i="1"/>
  <c r="G12" i="1" s="1"/>
  <c r="I12" i="1"/>
  <c r="J12" i="1" s="1"/>
  <c r="L12" i="1"/>
  <c r="P12" i="1"/>
  <c r="S12" i="1"/>
  <c r="T12" i="1" s="1"/>
  <c r="V12" i="1"/>
  <c r="W12" i="1" s="1"/>
  <c r="Y12" i="1"/>
  <c r="C13" i="1"/>
  <c r="F13" i="1"/>
  <c r="G13" i="1" s="1"/>
  <c r="I13" i="1"/>
  <c r="J13" i="1" s="1"/>
  <c r="L13" i="1"/>
  <c r="P13" i="1"/>
  <c r="S13" i="1"/>
  <c r="T13" i="1" s="1"/>
  <c r="V13" i="1"/>
  <c r="W13" i="1" s="1"/>
  <c r="Y13" i="1"/>
  <c r="C14" i="1"/>
  <c r="F14" i="1"/>
  <c r="G14" i="1" s="1"/>
  <c r="I14" i="1"/>
  <c r="J14" i="1" s="1"/>
  <c r="L14" i="1"/>
  <c r="P14" i="1"/>
  <c r="S14" i="1"/>
  <c r="T14" i="1" s="1"/>
  <c r="V14" i="1"/>
  <c r="W14" i="1" s="1"/>
  <c r="Y14" i="1"/>
  <c r="C15" i="1"/>
  <c r="F15" i="1"/>
  <c r="G15" i="1" s="1"/>
  <c r="I15" i="1"/>
  <c r="J15" i="1" s="1"/>
  <c r="L15" i="1"/>
  <c r="P15" i="1"/>
  <c r="S15" i="1"/>
  <c r="T15" i="1" s="1"/>
  <c r="V15" i="1"/>
  <c r="W15" i="1" s="1"/>
  <c r="Y15" i="1"/>
  <c r="C16" i="1"/>
  <c r="F16" i="1"/>
  <c r="G16" i="1" s="1"/>
  <c r="I16" i="1"/>
  <c r="J16" i="1" s="1"/>
  <c r="L16" i="1"/>
  <c r="P16" i="1"/>
  <c r="S16" i="1"/>
  <c r="T16" i="1" s="1"/>
  <c r="V16" i="1"/>
  <c r="W16" i="1" s="1"/>
  <c r="Y16" i="1"/>
  <c r="C17" i="1"/>
  <c r="F17" i="1"/>
  <c r="G17" i="1" s="1"/>
  <c r="I17" i="1"/>
  <c r="J17" i="1" s="1"/>
  <c r="L17" i="1"/>
  <c r="P17" i="1"/>
  <c r="S17" i="1"/>
  <c r="T17" i="1" s="1"/>
  <c r="V17" i="1"/>
  <c r="W17" i="1" s="1"/>
  <c r="Y17" i="1"/>
  <c r="C18" i="1"/>
  <c r="F18" i="1"/>
  <c r="G18" i="1" s="1"/>
  <c r="I18" i="1"/>
  <c r="J18" i="1" s="1"/>
  <c r="L18" i="1"/>
  <c r="P18" i="1"/>
  <c r="S18" i="1"/>
  <c r="T18" i="1" s="1"/>
  <c r="V18" i="1"/>
  <c r="W18" i="1" s="1"/>
  <c r="Y18" i="1"/>
  <c r="C19" i="1"/>
  <c r="F19" i="1"/>
  <c r="G19" i="1" s="1"/>
  <c r="I19" i="1"/>
  <c r="J19" i="1" s="1"/>
  <c r="L19" i="1"/>
  <c r="P19" i="1"/>
  <c r="S19" i="1"/>
  <c r="T19" i="1" s="1"/>
  <c r="V19" i="1"/>
  <c r="W19" i="1" s="1"/>
  <c r="Y19" i="1"/>
  <c r="C20" i="1"/>
  <c r="F20" i="1"/>
  <c r="G20" i="1" s="1"/>
  <c r="I20" i="1"/>
  <c r="J20" i="1" s="1"/>
  <c r="L20" i="1"/>
  <c r="P20" i="1"/>
  <c r="S20" i="1"/>
  <c r="T20" i="1" s="1"/>
  <c r="V20" i="1"/>
  <c r="W20" i="1" s="1"/>
  <c r="Y20" i="1"/>
  <c r="C21" i="1"/>
  <c r="F21" i="1"/>
  <c r="G21" i="1" s="1"/>
  <c r="I21" i="1"/>
  <c r="J21" i="1" s="1"/>
  <c r="P21" i="1"/>
  <c r="S21" i="1"/>
  <c r="T21" i="1" s="1"/>
  <c r="V21" i="1"/>
  <c r="W21" i="1" s="1"/>
  <c r="Y21" i="1"/>
  <c r="C22" i="1"/>
  <c r="F22" i="1"/>
  <c r="G22" i="1" s="1"/>
  <c r="I22" i="1"/>
  <c r="J22" i="1" s="1"/>
  <c r="L22" i="1"/>
  <c r="P22" i="1"/>
  <c r="S22" i="1"/>
  <c r="T22" i="1" s="1"/>
  <c r="V22" i="1"/>
  <c r="W22" i="1" s="1"/>
  <c r="Y22" i="1"/>
  <c r="C23" i="1"/>
  <c r="F23" i="1"/>
  <c r="G23" i="1" s="1"/>
  <c r="I23" i="1"/>
  <c r="J23" i="1" s="1"/>
  <c r="L23" i="1"/>
  <c r="P23" i="1"/>
  <c r="S23" i="1"/>
  <c r="T23" i="1" s="1"/>
  <c r="V23" i="1"/>
  <c r="W23" i="1" s="1"/>
  <c r="Y23" i="1"/>
  <c r="C24" i="1"/>
  <c r="F24" i="1"/>
  <c r="G24" i="1" s="1"/>
  <c r="I24" i="1"/>
  <c r="J24" i="1" s="1"/>
  <c r="L24" i="1"/>
  <c r="P24" i="1"/>
  <c r="S24" i="1"/>
  <c r="T24" i="1" s="1"/>
  <c r="V24" i="1"/>
  <c r="W24" i="1" s="1"/>
  <c r="Y24" i="1"/>
  <c r="C25" i="1"/>
  <c r="F25" i="1"/>
  <c r="G25" i="1" s="1"/>
  <c r="I25" i="1"/>
  <c r="J25" i="1" s="1"/>
  <c r="L25" i="1"/>
  <c r="P25" i="1"/>
  <c r="S25" i="1"/>
  <c r="T25" i="1" s="1"/>
  <c r="V25" i="1"/>
  <c r="W25" i="1" s="1"/>
  <c r="Y25" i="1"/>
  <c r="C26" i="1"/>
  <c r="F26" i="1"/>
  <c r="G26" i="1" s="1"/>
  <c r="I26" i="1"/>
  <c r="J26" i="1" s="1"/>
  <c r="L26" i="1"/>
  <c r="P26" i="1"/>
  <c r="S26" i="1"/>
  <c r="T26" i="1" s="1"/>
  <c r="V26" i="1"/>
  <c r="W26" i="1" s="1"/>
  <c r="Y26" i="1"/>
  <c r="C27" i="1"/>
  <c r="F27" i="1"/>
  <c r="G27" i="1" s="1"/>
  <c r="I27" i="1"/>
  <c r="J27" i="1" s="1"/>
  <c r="L27" i="1"/>
  <c r="P27" i="1"/>
  <c r="S27" i="1"/>
  <c r="T27" i="1" s="1"/>
  <c r="V27" i="1"/>
  <c r="W27" i="1" s="1"/>
  <c r="Y27" i="1"/>
  <c r="C28" i="1"/>
  <c r="F28" i="1"/>
  <c r="G28" i="1" s="1"/>
  <c r="I28" i="1"/>
  <c r="J28" i="1" s="1"/>
  <c r="L28" i="1"/>
  <c r="P28" i="1"/>
  <c r="S28" i="1"/>
  <c r="T28" i="1" s="1"/>
  <c r="V28" i="1"/>
  <c r="W28" i="1" s="1"/>
  <c r="Y28" i="1"/>
  <c r="C29" i="1"/>
  <c r="F29" i="1"/>
  <c r="G29" i="1" s="1"/>
  <c r="I29" i="1"/>
  <c r="J29" i="1" s="1"/>
  <c r="L29" i="1"/>
  <c r="P29" i="1"/>
  <c r="S29" i="1"/>
  <c r="T29" i="1" s="1"/>
  <c r="V29" i="1"/>
  <c r="W29" i="1" s="1"/>
  <c r="Y29" i="1"/>
  <c r="C30" i="1"/>
  <c r="F30" i="1"/>
  <c r="G30" i="1" s="1"/>
  <c r="I30" i="1"/>
  <c r="J30" i="1" s="1"/>
  <c r="L30" i="1"/>
  <c r="P30" i="1"/>
  <c r="S30" i="1"/>
  <c r="T30" i="1" s="1"/>
  <c r="V30" i="1"/>
  <c r="W30" i="1" s="1"/>
  <c r="Y30" i="1"/>
  <c r="C31" i="1"/>
  <c r="F31" i="1"/>
  <c r="G31" i="1" s="1"/>
  <c r="I31" i="1"/>
  <c r="J31" i="1" s="1"/>
  <c r="L31" i="1"/>
  <c r="P31" i="1"/>
  <c r="S31" i="1"/>
  <c r="T31" i="1" s="1"/>
  <c r="V31" i="1"/>
  <c r="W31" i="1" s="1"/>
  <c r="Y31" i="1"/>
  <c r="C32" i="1"/>
  <c r="F32" i="1"/>
  <c r="G32" i="1" s="1"/>
  <c r="I32" i="1"/>
  <c r="J32" i="1" s="1"/>
  <c r="L32" i="1"/>
  <c r="P32" i="1"/>
  <c r="S32" i="1"/>
  <c r="T32" i="1" s="1"/>
  <c r="V32" i="1"/>
  <c r="W32" i="1" s="1"/>
  <c r="Y32" i="1"/>
  <c r="C33" i="1"/>
  <c r="F33" i="1"/>
  <c r="G33" i="1" s="1"/>
  <c r="I33" i="1"/>
  <c r="J33" i="1" s="1"/>
  <c r="L33" i="1"/>
  <c r="P33" i="1"/>
  <c r="S33" i="1"/>
  <c r="T33" i="1" s="1"/>
  <c r="V33" i="1"/>
  <c r="W33" i="1" s="1"/>
  <c r="Y33" i="1"/>
  <c r="C34" i="1"/>
  <c r="F34" i="1"/>
  <c r="G34" i="1" s="1"/>
  <c r="I34" i="1"/>
  <c r="J34" i="1" s="1"/>
  <c r="L34" i="1"/>
  <c r="P34" i="1"/>
  <c r="S34" i="1"/>
  <c r="T34" i="1" s="1"/>
  <c r="V34" i="1"/>
  <c r="W34" i="1" s="1"/>
  <c r="Y34" i="1"/>
  <c r="C35" i="1"/>
  <c r="F35" i="1"/>
  <c r="G35" i="1" s="1"/>
  <c r="I35" i="1"/>
  <c r="J35" i="1" s="1"/>
  <c r="L35" i="1"/>
  <c r="P35" i="1"/>
  <c r="S35" i="1"/>
  <c r="T35" i="1" s="1"/>
  <c r="V35" i="1"/>
  <c r="W35" i="1" s="1"/>
  <c r="Y35" i="1"/>
  <c r="F5" i="13"/>
  <c r="I5" i="13"/>
  <c r="L5" i="13"/>
  <c r="P5" i="13"/>
  <c r="S5" i="13"/>
  <c r="V5" i="13"/>
  <c r="Y5" i="13"/>
  <c r="F6" i="13"/>
  <c r="G6" i="13" s="1"/>
  <c r="I6" i="13"/>
  <c r="L6" i="13"/>
  <c r="P6" i="13"/>
  <c r="S6" i="13"/>
  <c r="T6" i="13" s="1"/>
  <c r="V6" i="13"/>
  <c r="Y6" i="13"/>
  <c r="F7" i="13"/>
  <c r="J7" i="13"/>
  <c r="L7" i="13"/>
  <c r="P7" i="13"/>
  <c r="S7" i="13"/>
  <c r="V7" i="13"/>
  <c r="W7" i="13" s="1"/>
  <c r="Y7" i="13"/>
  <c r="F8" i="13"/>
  <c r="G8" i="13" s="1"/>
  <c r="J8" i="13"/>
  <c r="L8" i="13"/>
  <c r="P8" i="13"/>
  <c r="S8" i="13"/>
  <c r="T8" i="13" s="1"/>
  <c r="V8" i="13"/>
  <c r="W8" i="13" s="1"/>
  <c r="Y8" i="13"/>
  <c r="F9" i="13"/>
  <c r="G9" i="13" s="1"/>
  <c r="J9" i="13"/>
  <c r="L9" i="13"/>
  <c r="P9" i="13"/>
  <c r="S9" i="13"/>
  <c r="T9" i="13" s="1"/>
  <c r="V9" i="13"/>
  <c r="W9" i="13" s="1"/>
  <c r="Y9" i="13"/>
  <c r="F10" i="13"/>
  <c r="G10" i="13" s="1"/>
  <c r="J10" i="13"/>
  <c r="L10" i="13"/>
  <c r="P10" i="13"/>
  <c r="S10" i="13"/>
  <c r="T10" i="13" s="1"/>
  <c r="V10" i="13"/>
  <c r="W10" i="13" s="1"/>
  <c r="Y10" i="13"/>
  <c r="F11" i="13"/>
  <c r="G11" i="13" s="1"/>
  <c r="J11" i="13"/>
  <c r="L11" i="13"/>
  <c r="P11" i="13"/>
  <c r="S11" i="13"/>
  <c r="T11" i="13" s="1"/>
  <c r="V11" i="13"/>
  <c r="W11" i="13" s="1"/>
  <c r="Y11" i="13"/>
  <c r="F12" i="13"/>
  <c r="G12" i="13" s="1"/>
  <c r="J12" i="13"/>
  <c r="L12" i="13"/>
  <c r="P12" i="13"/>
  <c r="S12" i="13"/>
  <c r="T12" i="13" s="1"/>
  <c r="V12" i="13"/>
  <c r="W12" i="13" s="1"/>
  <c r="Y12" i="13"/>
  <c r="F13" i="13"/>
  <c r="G13" i="13" s="1"/>
  <c r="J13" i="13"/>
  <c r="L13" i="13"/>
  <c r="P13" i="13"/>
  <c r="S13" i="13"/>
  <c r="T13" i="13" s="1"/>
  <c r="V13" i="13"/>
  <c r="W13" i="13" s="1"/>
  <c r="Y13" i="13"/>
  <c r="F14" i="13"/>
  <c r="G14" i="13" s="1"/>
  <c r="J14" i="13"/>
  <c r="L14" i="13"/>
  <c r="P14" i="13"/>
  <c r="S14" i="13"/>
  <c r="T14" i="13" s="1"/>
  <c r="V14" i="13"/>
  <c r="W14" i="13" s="1"/>
  <c r="Y14" i="13"/>
  <c r="F15" i="13"/>
  <c r="G15" i="13" s="1"/>
  <c r="J15" i="13"/>
  <c r="L15" i="13"/>
  <c r="P15" i="13"/>
  <c r="S15" i="13"/>
  <c r="T15" i="13" s="1"/>
  <c r="V15" i="13"/>
  <c r="W15" i="13" s="1"/>
  <c r="Y15" i="13"/>
  <c r="F16" i="13"/>
  <c r="G16" i="13" s="1"/>
  <c r="J16" i="13"/>
  <c r="L16" i="13"/>
  <c r="P16" i="13"/>
  <c r="S16" i="13"/>
  <c r="T16" i="13" s="1"/>
  <c r="V16" i="13"/>
  <c r="W16" i="13" s="1"/>
  <c r="Y16" i="13"/>
  <c r="F17" i="13"/>
  <c r="G17" i="13" s="1"/>
  <c r="J17" i="13"/>
  <c r="L17" i="13"/>
  <c r="P17" i="13"/>
  <c r="S17" i="13"/>
  <c r="T17" i="13" s="1"/>
  <c r="V17" i="13"/>
  <c r="W17" i="13" s="1"/>
  <c r="Y17" i="13"/>
  <c r="F18" i="13"/>
  <c r="G18" i="13" s="1"/>
  <c r="J18" i="13"/>
  <c r="L18" i="13"/>
  <c r="P18" i="13"/>
  <c r="S18" i="13"/>
  <c r="T18" i="13" s="1"/>
  <c r="V18" i="13"/>
  <c r="W18" i="13" s="1"/>
  <c r="Y18" i="13"/>
  <c r="F19" i="13"/>
  <c r="G19" i="13" s="1"/>
  <c r="I19" i="13"/>
  <c r="J19" i="13" s="1"/>
  <c r="L19" i="13"/>
  <c r="P19" i="13"/>
  <c r="S19" i="13"/>
  <c r="T19" i="13" s="1"/>
  <c r="V19" i="13"/>
  <c r="W19" i="13" s="1"/>
  <c r="Y19" i="13"/>
  <c r="F20" i="13"/>
  <c r="G20" i="13" s="1"/>
  <c r="I20" i="13"/>
  <c r="J20" i="13" s="1"/>
  <c r="L20" i="13"/>
  <c r="P20" i="13"/>
  <c r="S20" i="13"/>
  <c r="T20" i="13" s="1"/>
  <c r="V20" i="13"/>
  <c r="W20" i="13" s="1"/>
  <c r="Y20" i="13"/>
  <c r="F21" i="13"/>
  <c r="G21" i="13" s="1"/>
  <c r="J21" i="13"/>
  <c r="L21" i="13"/>
  <c r="P21" i="13"/>
  <c r="S21" i="13"/>
  <c r="T21" i="13" s="1"/>
  <c r="V21" i="13"/>
  <c r="W21" i="13" s="1"/>
  <c r="Y21" i="13"/>
  <c r="F22" i="13"/>
  <c r="G22" i="13" s="1"/>
  <c r="J22" i="13"/>
  <c r="L22" i="13"/>
  <c r="P22" i="13"/>
  <c r="S22" i="13"/>
  <c r="T22" i="13" s="1"/>
  <c r="V22" i="13"/>
  <c r="W22" i="13" s="1"/>
  <c r="Y22" i="13"/>
  <c r="F23" i="13"/>
  <c r="G23" i="13" s="1"/>
  <c r="J23" i="13"/>
  <c r="L23" i="13"/>
  <c r="P23" i="13"/>
  <c r="S23" i="13"/>
  <c r="T23" i="13" s="1"/>
  <c r="V23" i="13"/>
  <c r="W23" i="13" s="1"/>
  <c r="Y23" i="13"/>
  <c r="F24" i="13"/>
  <c r="G24" i="13" s="1"/>
  <c r="J24" i="13"/>
  <c r="L24" i="13"/>
  <c r="P24" i="13"/>
  <c r="S24" i="13"/>
  <c r="T24" i="13" s="1"/>
  <c r="V24" i="13"/>
  <c r="W24" i="13" s="1"/>
  <c r="Y24" i="13"/>
  <c r="F25" i="13"/>
  <c r="G25" i="13" s="1"/>
  <c r="I25" i="13"/>
  <c r="J25" i="13" s="1"/>
  <c r="L25" i="13"/>
  <c r="P25" i="13"/>
  <c r="S25" i="13"/>
  <c r="T25" i="13" s="1"/>
  <c r="V25" i="13"/>
  <c r="W25" i="13" s="1"/>
  <c r="Y25" i="13"/>
  <c r="F26" i="13"/>
  <c r="G26" i="13" s="1"/>
  <c r="I26" i="13"/>
  <c r="J26" i="13" s="1"/>
  <c r="L26" i="13"/>
  <c r="P26" i="13"/>
  <c r="S26" i="13"/>
  <c r="T26" i="13" s="1"/>
  <c r="V26" i="13"/>
  <c r="W26" i="13" s="1"/>
  <c r="Y26" i="13"/>
  <c r="F27" i="13"/>
  <c r="G27" i="13" s="1"/>
  <c r="I27" i="13"/>
  <c r="J27" i="13" s="1"/>
  <c r="L27" i="13"/>
  <c r="P27" i="13"/>
  <c r="S27" i="13"/>
  <c r="T27" i="13" s="1"/>
  <c r="V27" i="13"/>
  <c r="W27" i="13" s="1"/>
  <c r="Y27" i="13"/>
  <c r="F28" i="13"/>
  <c r="G28" i="13" s="1"/>
  <c r="I28" i="13"/>
  <c r="J28" i="13" s="1"/>
  <c r="L28" i="13"/>
  <c r="P28" i="13"/>
  <c r="S28" i="13"/>
  <c r="T28" i="13" s="1"/>
  <c r="V28" i="13"/>
  <c r="W28" i="13" s="1"/>
  <c r="Y28" i="13"/>
  <c r="F29" i="13"/>
  <c r="G29" i="13" s="1"/>
  <c r="I29" i="13"/>
  <c r="J29" i="13" s="1"/>
  <c r="L29" i="13"/>
  <c r="P29" i="13"/>
  <c r="S29" i="13"/>
  <c r="T29" i="13" s="1"/>
  <c r="V29" i="13"/>
  <c r="W29" i="13" s="1"/>
  <c r="Y29" i="13"/>
  <c r="F30" i="13"/>
  <c r="G30" i="13" s="1"/>
  <c r="J30" i="13"/>
  <c r="L30" i="13"/>
  <c r="P30" i="13"/>
  <c r="S30" i="13"/>
  <c r="T30" i="13" s="1"/>
  <c r="V30" i="13"/>
  <c r="W30" i="13" s="1"/>
  <c r="Y30" i="13"/>
  <c r="F31" i="13"/>
  <c r="G31" i="13" s="1"/>
  <c r="I31" i="13"/>
  <c r="J31" i="13" s="1"/>
  <c r="L31" i="13"/>
  <c r="P31" i="13"/>
  <c r="S31" i="13"/>
  <c r="T31" i="13" s="1"/>
  <c r="V31" i="13"/>
  <c r="W31" i="13" s="1"/>
  <c r="Y31" i="13"/>
  <c r="F32" i="13"/>
  <c r="G32" i="13" s="1"/>
  <c r="I32" i="13"/>
  <c r="J32" i="13" s="1"/>
  <c r="L32" i="13"/>
  <c r="P32" i="13"/>
  <c r="S32" i="13"/>
  <c r="T32" i="13" s="1"/>
  <c r="V32" i="13"/>
  <c r="W32" i="13" s="1"/>
  <c r="Y32" i="13"/>
  <c r="F33" i="13"/>
  <c r="G33" i="13" s="1"/>
  <c r="I33" i="13"/>
  <c r="J33" i="13" s="1"/>
  <c r="L33" i="13"/>
  <c r="P33" i="13"/>
  <c r="S33" i="13"/>
  <c r="T33" i="13" s="1"/>
  <c r="V33" i="13"/>
  <c r="W33" i="13" s="1"/>
  <c r="Y33" i="13"/>
  <c r="F34" i="13"/>
  <c r="G34" i="13" s="1"/>
  <c r="J34" i="13"/>
  <c r="L34" i="13"/>
  <c r="P34" i="13"/>
  <c r="S34" i="13"/>
  <c r="T34" i="13" s="1"/>
  <c r="V34" i="13"/>
  <c r="W34" i="13" s="1"/>
  <c r="Y34" i="13"/>
  <c r="F35" i="13"/>
  <c r="G35" i="13" s="1"/>
  <c r="J35" i="13"/>
  <c r="L35" i="13"/>
  <c r="P35" i="13"/>
  <c r="S35" i="13"/>
  <c r="T35" i="13" s="1"/>
  <c r="V35" i="13"/>
  <c r="W35" i="13" s="1"/>
  <c r="Y35" i="13"/>
  <c r="C5" i="14"/>
  <c r="AC5" i="14" s="1"/>
  <c r="F5" i="14"/>
  <c r="G5" i="14" s="1"/>
  <c r="M5" i="14"/>
  <c r="Q5" i="14"/>
  <c r="T5" i="14"/>
  <c r="V5" i="14"/>
  <c r="Y5" i="14"/>
  <c r="Z5" i="14" s="1"/>
  <c r="C6" i="14"/>
  <c r="F6" i="14"/>
  <c r="J6" i="14"/>
  <c r="Q6" i="14"/>
  <c r="T6" i="14"/>
  <c r="V6" i="14"/>
  <c r="W6" i="14" s="1"/>
  <c r="Y6" i="14"/>
  <c r="C7" i="14"/>
  <c r="F7" i="14"/>
  <c r="G7" i="14" s="1"/>
  <c r="J7" i="14"/>
  <c r="M7" i="14"/>
  <c r="Q7" i="14"/>
  <c r="T7" i="14"/>
  <c r="V7" i="14"/>
  <c r="W7" i="14" s="1"/>
  <c r="Y7" i="14"/>
  <c r="Z7" i="14" s="1"/>
  <c r="C8" i="14"/>
  <c r="F8" i="14"/>
  <c r="G8" i="14" s="1"/>
  <c r="J8" i="14"/>
  <c r="M8" i="14"/>
  <c r="Q8" i="14"/>
  <c r="T8" i="14"/>
  <c r="V8" i="14"/>
  <c r="W8" i="14" s="1"/>
  <c r="Y8" i="14"/>
  <c r="Z8" i="14" s="1"/>
  <c r="C9" i="14"/>
  <c r="F9" i="14"/>
  <c r="G9" i="14" s="1"/>
  <c r="J9" i="14"/>
  <c r="M9" i="14"/>
  <c r="Q9" i="14"/>
  <c r="T9" i="14"/>
  <c r="V9" i="14"/>
  <c r="W9" i="14" s="1"/>
  <c r="Y9" i="14"/>
  <c r="Z9" i="14" s="1"/>
  <c r="C10" i="14"/>
  <c r="F10" i="14"/>
  <c r="G10" i="14" s="1"/>
  <c r="J10" i="14"/>
  <c r="M10" i="14"/>
  <c r="Q10" i="14"/>
  <c r="T10" i="14"/>
  <c r="V10" i="14"/>
  <c r="W10" i="14" s="1"/>
  <c r="Y10" i="14"/>
  <c r="Z10" i="14" s="1"/>
  <c r="C11" i="14"/>
  <c r="F11" i="14"/>
  <c r="G11" i="14" s="1"/>
  <c r="J11" i="14"/>
  <c r="M11" i="14"/>
  <c r="Q11" i="14"/>
  <c r="T11" i="14"/>
  <c r="V11" i="14"/>
  <c r="W11" i="14" s="1"/>
  <c r="Y11" i="14"/>
  <c r="Z11" i="14" s="1"/>
  <c r="C12" i="14"/>
  <c r="F12" i="14"/>
  <c r="G12" i="14" s="1"/>
  <c r="J12" i="14"/>
  <c r="M12" i="14"/>
  <c r="Q12" i="14"/>
  <c r="T12" i="14"/>
  <c r="V12" i="14"/>
  <c r="W12" i="14" s="1"/>
  <c r="Y12" i="14"/>
  <c r="Z12" i="14" s="1"/>
  <c r="C13" i="14"/>
  <c r="F13" i="14"/>
  <c r="G13" i="14" s="1"/>
  <c r="J13" i="14"/>
  <c r="M13" i="14"/>
  <c r="Q13" i="14"/>
  <c r="T13" i="14"/>
  <c r="V13" i="14"/>
  <c r="W13" i="14" s="1"/>
  <c r="Y13" i="14"/>
  <c r="Z13" i="14" s="1"/>
  <c r="C14" i="14"/>
  <c r="F14" i="14"/>
  <c r="G14" i="14" s="1"/>
  <c r="J14" i="14"/>
  <c r="M14" i="14"/>
  <c r="Q14" i="14"/>
  <c r="T14" i="14"/>
  <c r="V14" i="14"/>
  <c r="W14" i="14" s="1"/>
  <c r="Y14" i="14"/>
  <c r="Z14" i="14" s="1"/>
  <c r="C15" i="14"/>
  <c r="F15" i="14"/>
  <c r="G15" i="14" s="1"/>
  <c r="J15" i="14"/>
  <c r="M15" i="14"/>
  <c r="Q15" i="14"/>
  <c r="T15" i="14"/>
  <c r="V15" i="14"/>
  <c r="W15" i="14" s="1"/>
  <c r="Y15" i="14"/>
  <c r="Z15" i="14" s="1"/>
  <c r="C16" i="14"/>
  <c r="F16" i="14"/>
  <c r="G16" i="14" s="1"/>
  <c r="J16" i="14"/>
  <c r="M16" i="14"/>
  <c r="Q16" i="14"/>
  <c r="T16" i="14"/>
  <c r="V16" i="14"/>
  <c r="W16" i="14" s="1"/>
  <c r="Y16" i="14"/>
  <c r="Z16" i="14" s="1"/>
  <c r="C17" i="14"/>
  <c r="F17" i="14"/>
  <c r="G17" i="14" s="1"/>
  <c r="J17" i="14"/>
  <c r="M17" i="14"/>
  <c r="P17" i="14"/>
  <c r="T17" i="14"/>
  <c r="V17" i="14"/>
  <c r="W17" i="14" s="1"/>
  <c r="Y17" i="14"/>
  <c r="Z17" i="14" s="1"/>
  <c r="C18" i="14"/>
  <c r="F18" i="14"/>
  <c r="G18" i="14" s="1"/>
  <c r="J18" i="14"/>
  <c r="M18" i="14"/>
  <c r="P18" i="14"/>
  <c r="Q18" i="14" s="1"/>
  <c r="S18" i="14"/>
  <c r="V18" i="14"/>
  <c r="W18" i="14" s="1"/>
  <c r="Y18" i="14"/>
  <c r="Z18" i="14" s="1"/>
  <c r="C19" i="14"/>
  <c r="F19" i="14"/>
  <c r="G19" i="14" s="1"/>
  <c r="J19" i="14"/>
  <c r="M19" i="14"/>
  <c r="P19" i="14"/>
  <c r="Q19" i="14" s="1"/>
  <c r="S19" i="14"/>
  <c r="T19" i="14" s="1"/>
  <c r="V19" i="14"/>
  <c r="W19" i="14" s="1"/>
  <c r="Y19" i="14"/>
  <c r="Z19" i="14" s="1"/>
  <c r="C20" i="14"/>
  <c r="F20" i="14"/>
  <c r="G20" i="14" s="1"/>
  <c r="J20" i="14"/>
  <c r="M20" i="14"/>
  <c r="P20" i="14"/>
  <c r="Q20" i="14" s="1"/>
  <c r="S20" i="14"/>
  <c r="T20" i="14" s="1"/>
  <c r="V20" i="14"/>
  <c r="W20" i="14" s="1"/>
  <c r="Y20" i="14"/>
  <c r="Z20" i="14" s="1"/>
  <c r="C21" i="14"/>
  <c r="F21" i="14"/>
  <c r="G21" i="14" s="1"/>
  <c r="J21" i="14"/>
  <c r="M21" i="14"/>
  <c r="P21" i="14"/>
  <c r="Q21" i="14" s="1"/>
  <c r="S21" i="14"/>
  <c r="T21" i="14" s="1"/>
  <c r="V21" i="14"/>
  <c r="W21" i="14" s="1"/>
  <c r="Y21" i="14"/>
  <c r="Z21" i="14" s="1"/>
  <c r="C22" i="14"/>
  <c r="F22" i="14"/>
  <c r="G22" i="14" s="1"/>
  <c r="J22" i="14"/>
  <c r="M22" i="14"/>
  <c r="P22" i="14"/>
  <c r="Q22" i="14" s="1"/>
  <c r="S22" i="14"/>
  <c r="T22" i="14" s="1"/>
  <c r="V22" i="14"/>
  <c r="W22" i="14" s="1"/>
  <c r="Y22" i="14"/>
  <c r="Z22" i="14" s="1"/>
  <c r="C23" i="14"/>
  <c r="F23" i="14"/>
  <c r="G23" i="14" s="1"/>
  <c r="J23" i="14"/>
  <c r="M23" i="14"/>
  <c r="P23" i="14"/>
  <c r="Q23" i="14" s="1"/>
  <c r="S23" i="14"/>
  <c r="T23" i="14" s="1"/>
  <c r="V23" i="14"/>
  <c r="W23" i="14" s="1"/>
  <c r="Y23" i="14"/>
  <c r="Z23" i="14" s="1"/>
  <c r="C24" i="14"/>
  <c r="F24" i="14"/>
  <c r="G24" i="14" s="1"/>
  <c r="J24" i="14"/>
  <c r="M24" i="14"/>
  <c r="P24" i="14"/>
  <c r="Q24" i="14" s="1"/>
  <c r="S24" i="14"/>
  <c r="T24" i="14" s="1"/>
  <c r="V24" i="14"/>
  <c r="W24" i="14" s="1"/>
  <c r="Y24" i="14"/>
  <c r="Z24" i="14" s="1"/>
  <c r="C25" i="14"/>
  <c r="F25" i="14"/>
  <c r="G25" i="14" s="1"/>
  <c r="J25" i="14"/>
  <c r="M25" i="14"/>
  <c r="P25" i="14"/>
  <c r="Q25" i="14" s="1"/>
  <c r="S25" i="14"/>
  <c r="T25" i="14" s="1"/>
  <c r="V25" i="14"/>
  <c r="W25" i="14" s="1"/>
  <c r="Y25" i="14"/>
  <c r="Z25" i="14" s="1"/>
  <c r="C26" i="14"/>
  <c r="F26" i="14"/>
  <c r="G26" i="14" s="1"/>
  <c r="J26" i="14"/>
  <c r="M26" i="14"/>
  <c r="P26" i="14"/>
  <c r="Q26" i="14" s="1"/>
  <c r="S26" i="14"/>
  <c r="T26" i="14" s="1"/>
  <c r="V26" i="14"/>
  <c r="W26" i="14" s="1"/>
  <c r="Y26" i="14"/>
  <c r="Z26" i="14" s="1"/>
  <c r="C27" i="14"/>
  <c r="F27" i="14"/>
  <c r="G27" i="14" s="1"/>
  <c r="J27" i="14"/>
  <c r="M27" i="14"/>
  <c r="P27" i="14"/>
  <c r="Q27" i="14" s="1"/>
  <c r="S27" i="14"/>
  <c r="T27" i="14" s="1"/>
  <c r="V27" i="14"/>
  <c r="W27" i="14" s="1"/>
  <c r="Y27" i="14"/>
  <c r="Z27" i="14" s="1"/>
  <c r="C28" i="14"/>
  <c r="F28" i="14"/>
  <c r="G28" i="14" s="1"/>
  <c r="J28" i="14"/>
  <c r="M28" i="14"/>
  <c r="P28" i="14"/>
  <c r="Q28" i="14" s="1"/>
  <c r="S28" i="14"/>
  <c r="T28" i="14" s="1"/>
  <c r="V28" i="14"/>
  <c r="W28" i="14" s="1"/>
  <c r="Y28" i="14"/>
  <c r="Z28" i="14" s="1"/>
  <c r="C29" i="14"/>
  <c r="F29" i="14"/>
  <c r="G29" i="14" s="1"/>
  <c r="J29" i="14"/>
  <c r="M29" i="14"/>
  <c r="P29" i="14"/>
  <c r="Q29" i="14" s="1"/>
  <c r="S29" i="14"/>
  <c r="T29" i="14" s="1"/>
  <c r="V29" i="14"/>
  <c r="W29" i="14" s="1"/>
  <c r="Y29" i="14"/>
  <c r="Z29" i="14" s="1"/>
  <c r="C30" i="14"/>
  <c r="F30" i="14"/>
  <c r="G30" i="14" s="1"/>
  <c r="J30" i="14"/>
  <c r="M30" i="14"/>
  <c r="P30" i="14"/>
  <c r="Q30" i="14" s="1"/>
  <c r="S30" i="14"/>
  <c r="T30" i="14" s="1"/>
  <c r="V30" i="14"/>
  <c r="W30" i="14" s="1"/>
  <c r="Y30" i="14"/>
  <c r="Z30" i="14" s="1"/>
  <c r="C31" i="14"/>
  <c r="F31" i="14"/>
  <c r="G31" i="14" s="1"/>
  <c r="J31" i="14"/>
  <c r="M31" i="14"/>
  <c r="P31" i="14"/>
  <c r="Q31" i="14" s="1"/>
  <c r="S31" i="14"/>
  <c r="T31" i="14" s="1"/>
  <c r="V31" i="14"/>
  <c r="W31" i="14" s="1"/>
  <c r="Y31" i="14"/>
  <c r="Z31" i="14" s="1"/>
  <c r="C32" i="14"/>
  <c r="F32" i="14"/>
  <c r="G32" i="14" s="1"/>
  <c r="J32" i="14"/>
  <c r="M32" i="14"/>
  <c r="P32" i="14"/>
  <c r="Q32" i="14" s="1"/>
  <c r="S32" i="14"/>
  <c r="T32" i="14" s="1"/>
  <c r="V32" i="14"/>
  <c r="W32" i="14" s="1"/>
  <c r="Y32" i="14"/>
  <c r="Z32" i="14" s="1"/>
  <c r="C33" i="14"/>
  <c r="F33" i="14"/>
  <c r="G33" i="14" s="1"/>
  <c r="J33" i="14"/>
  <c r="M33" i="14"/>
  <c r="P33" i="14"/>
  <c r="Q33" i="14" s="1"/>
  <c r="S33" i="14"/>
  <c r="T33" i="14" s="1"/>
  <c r="V33" i="14"/>
  <c r="W33" i="14" s="1"/>
  <c r="Y33" i="14"/>
  <c r="Z33" i="14" s="1"/>
  <c r="C34" i="14"/>
  <c r="F34" i="14"/>
  <c r="G34" i="14" s="1"/>
  <c r="J34" i="14"/>
  <c r="M34" i="14"/>
  <c r="P34" i="14"/>
  <c r="Q34" i="14" s="1"/>
  <c r="S34" i="14"/>
  <c r="T34" i="14" s="1"/>
  <c r="V34" i="14"/>
  <c r="W34" i="14" s="1"/>
  <c r="Y34" i="14"/>
  <c r="Z34" i="14" s="1"/>
  <c r="Q35" i="6" l="1"/>
  <c r="Z34" i="6"/>
  <c r="M34" i="6"/>
  <c r="Z33" i="6"/>
  <c r="M33" i="6"/>
  <c r="Q32" i="6"/>
  <c r="D32" i="6"/>
  <c r="Q31" i="6"/>
  <c r="Z30" i="6"/>
  <c r="M30" i="6"/>
  <c r="Z29" i="6"/>
  <c r="M29" i="6"/>
  <c r="Q28" i="6"/>
  <c r="D28" i="6"/>
  <c r="Q27" i="6"/>
  <c r="Z26" i="6"/>
  <c r="M26" i="6"/>
  <c r="Z25" i="6"/>
  <c r="M25" i="6"/>
  <c r="Q24" i="6"/>
  <c r="D24" i="6"/>
  <c r="Q23" i="6"/>
  <c r="Z21" i="6"/>
  <c r="M21" i="6"/>
  <c r="Q20" i="6"/>
  <c r="D20" i="6"/>
  <c r="Z19" i="6"/>
  <c r="M19" i="6"/>
  <c r="Z18" i="6"/>
  <c r="M18" i="6"/>
  <c r="Z17" i="6"/>
  <c r="M17" i="6"/>
  <c r="Z16" i="6"/>
  <c r="M16" i="6"/>
  <c r="Q15" i="6"/>
  <c r="D15" i="6"/>
  <c r="Q14" i="6"/>
  <c r="Z13" i="6"/>
  <c r="M13" i="6"/>
  <c r="Z12" i="6"/>
  <c r="M12" i="6"/>
  <c r="Q11" i="6"/>
  <c r="D11" i="6"/>
  <c r="Q10" i="6"/>
  <c r="Z9" i="6"/>
  <c r="M9" i="6"/>
  <c r="Z8" i="6"/>
  <c r="M8" i="6"/>
  <c r="Q7" i="6"/>
  <c r="D7" i="6"/>
  <c r="Q6" i="6"/>
  <c r="Z5" i="6"/>
  <c r="M5" i="6"/>
  <c r="Z35" i="6"/>
  <c r="M35" i="6"/>
  <c r="Q34" i="6"/>
  <c r="D34" i="6"/>
  <c r="Q33" i="6"/>
  <c r="Z32" i="6"/>
  <c r="M32" i="6"/>
  <c r="Z31" i="6"/>
  <c r="M31" i="6"/>
  <c r="Q30" i="6"/>
  <c r="D30" i="6"/>
  <c r="Q29" i="6"/>
  <c r="Z28" i="6"/>
  <c r="M28" i="6"/>
  <c r="Z27" i="6"/>
  <c r="M27" i="6"/>
  <c r="Q26" i="6"/>
  <c r="D26" i="6"/>
  <c r="Q25" i="6"/>
  <c r="Z24" i="6"/>
  <c r="M24" i="6"/>
  <c r="Z23" i="6"/>
  <c r="M23" i="6"/>
  <c r="Q22" i="6"/>
  <c r="D22" i="6"/>
  <c r="Z20" i="6"/>
  <c r="M20" i="6"/>
  <c r="Q19" i="6"/>
  <c r="Q18" i="6"/>
  <c r="Q17" i="6"/>
  <c r="AF17" i="6" s="1"/>
  <c r="Q16" i="6"/>
  <c r="D16" i="6"/>
  <c r="Z15" i="6"/>
  <c r="M15" i="6"/>
  <c r="Z14" i="6"/>
  <c r="M14" i="6"/>
  <c r="Q13" i="6"/>
  <c r="D13" i="6"/>
  <c r="Q12" i="6"/>
  <c r="AF12" i="6" s="1"/>
  <c r="Z11" i="6"/>
  <c r="M11" i="6"/>
  <c r="Z10" i="6"/>
  <c r="M10" i="6"/>
  <c r="Q9" i="6"/>
  <c r="D9" i="6"/>
  <c r="Q8" i="6"/>
  <c r="AF8" i="6" s="1"/>
  <c r="Z7" i="6"/>
  <c r="M7" i="6"/>
  <c r="Z6" i="6"/>
  <c r="M6" i="6"/>
  <c r="Q5" i="6"/>
  <c r="AF5" i="6" s="1"/>
  <c r="D5" i="6"/>
  <c r="Z35" i="13"/>
  <c r="M35" i="13"/>
  <c r="Q34" i="13"/>
  <c r="Z33" i="13"/>
  <c r="M33" i="13"/>
  <c r="Q32" i="13"/>
  <c r="Z31" i="13"/>
  <c r="M31" i="13"/>
  <c r="Q30" i="13"/>
  <c r="Z29" i="13"/>
  <c r="M29" i="13"/>
  <c r="Q28" i="13"/>
  <c r="Z27" i="13"/>
  <c r="M27" i="13"/>
  <c r="Q26" i="13"/>
  <c r="Z25" i="13"/>
  <c r="M25" i="13"/>
  <c r="Q24" i="13"/>
  <c r="Z23" i="13"/>
  <c r="M23" i="13"/>
  <c r="Q22" i="13"/>
  <c r="Z21" i="13"/>
  <c r="M21" i="13"/>
  <c r="Q20" i="13"/>
  <c r="Z19" i="13"/>
  <c r="M19" i="13"/>
  <c r="Q18" i="13"/>
  <c r="Z17" i="13"/>
  <c r="M17" i="13"/>
  <c r="Q16" i="13"/>
  <c r="Z15" i="13"/>
  <c r="M15" i="13"/>
  <c r="Q14" i="13"/>
  <c r="Z13" i="13"/>
  <c r="M13" i="13"/>
  <c r="Q12" i="13"/>
  <c r="Z11" i="13"/>
  <c r="M11" i="13"/>
  <c r="Q10" i="13"/>
  <c r="Z9" i="13"/>
  <c r="M9" i="13"/>
  <c r="Z7" i="13"/>
  <c r="M7" i="13"/>
  <c r="Q6" i="13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Z20" i="1"/>
  <c r="M20" i="1"/>
  <c r="Z19" i="1"/>
  <c r="M19" i="1"/>
  <c r="Z18" i="1"/>
  <c r="M18" i="1"/>
  <c r="Z17" i="1"/>
  <c r="M17" i="1"/>
  <c r="Z16" i="1"/>
  <c r="M16" i="1"/>
  <c r="Z15" i="1"/>
  <c r="M15" i="1"/>
  <c r="Z14" i="1"/>
  <c r="M14" i="1"/>
  <c r="Z13" i="1"/>
  <c r="M13" i="1"/>
  <c r="Z12" i="1"/>
  <c r="M12" i="1"/>
  <c r="Z11" i="1"/>
  <c r="M11" i="1"/>
  <c r="Z10" i="1"/>
  <c r="M10" i="1"/>
  <c r="Z9" i="1"/>
  <c r="M9" i="1"/>
  <c r="Z8" i="1"/>
  <c r="M8" i="1"/>
  <c r="Z7" i="1"/>
  <c r="M7" i="1"/>
  <c r="Z6" i="1"/>
  <c r="M6" i="1"/>
  <c r="Q35" i="13"/>
  <c r="Z34" i="13"/>
  <c r="M34" i="13"/>
  <c r="Q33" i="13"/>
  <c r="Z32" i="13"/>
  <c r="M32" i="13"/>
  <c r="Q31" i="13"/>
  <c r="Z30" i="13"/>
  <c r="M30" i="13"/>
  <c r="Q29" i="13"/>
  <c r="Z28" i="13"/>
  <c r="M28" i="13"/>
  <c r="Q27" i="13"/>
  <c r="Z26" i="13"/>
  <c r="M26" i="13"/>
  <c r="Q25" i="13"/>
  <c r="Z24" i="13"/>
  <c r="M24" i="13"/>
  <c r="Q23" i="13"/>
  <c r="Z22" i="13"/>
  <c r="M22" i="13"/>
  <c r="Q21" i="13"/>
  <c r="Z20" i="13"/>
  <c r="M20" i="13"/>
  <c r="Q19" i="13"/>
  <c r="Z18" i="13"/>
  <c r="M18" i="13"/>
  <c r="Q17" i="13"/>
  <c r="Z16" i="13"/>
  <c r="M16" i="13"/>
  <c r="Q15" i="13"/>
  <c r="Z14" i="13"/>
  <c r="M14" i="13"/>
  <c r="Q13" i="13"/>
  <c r="Z12" i="13"/>
  <c r="M12" i="13"/>
  <c r="Q11" i="13"/>
  <c r="Z10" i="13"/>
  <c r="M10" i="13"/>
  <c r="Q9" i="13"/>
  <c r="Z8" i="13"/>
  <c r="M8" i="13"/>
  <c r="Q7" i="13"/>
  <c r="Z6" i="13"/>
  <c r="M6" i="13"/>
  <c r="Z35" i="1"/>
  <c r="M35" i="1"/>
  <c r="Z34" i="1"/>
  <c r="M34" i="1"/>
  <c r="Z33" i="1"/>
  <c r="M33" i="1"/>
  <c r="Z32" i="1"/>
  <c r="M32" i="1"/>
  <c r="Z31" i="1"/>
  <c r="M31" i="1"/>
  <c r="Z30" i="1"/>
  <c r="M30" i="1"/>
  <c r="Z29" i="1"/>
  <c r="M29" i="1"/>
  <c r="Z28" i="1"/>
  <c r="M28" i="1"/>
  <c r="Z27" i="1"/>
  <c r="M27" i="1"/>
  <c r="Z26" i="1"/>
  <c r="M26" i="1"/>
  <c r="Z25" i="1"/>
  <c r="M25" i="1"/>
  <c r="Z24" i="1"/>
  <c r="M24" i="1"/>
  <c r="Z23" i="1"/>
  <c r="M23" i="1"/>
  <c r="Z22" i="1"/>
  <c r="M22" i="1"/>
  <c r="Z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5" i="1"/>
  <c r="AH30" i="10"/>
  <c r="Z34" i="7"/>
  <c r="M34" i="7"/>
  <c r="Z33" i="7"/>
  <c r="M33" i="7"/>
  <c r="Z32" i="7"/>
  <c r="M32" i="7"/>
  <c r="Z31" i="7"/>
  <c r="M31" i="7"/>
  <c r="Z30" i="7"/>
  <c r="M30" i="7"/>
  <c r="Z29" i="7"/>
  <c r="M29" i="7"/>
  <c r="Z28" i="7"/>
  <c r="M28" i="7"/>
  <c r="Z27" i="7"/>
  <c r="M27" i="7"/>
  <c r="Z26" i="7"/>
  <c r="M26" i="7"/>
  <c r="Z25" i="7"/>
  <c r="M25" i="7"/>
  <c r="Z24" i="7"/>
  <c r="M24" i="7"/>
  <c r="Z23" i="7"/>
  <c r="M23" i="7"/>
  <c r="Z22" i="7"/>
  <c r="M22" i="7"/>
  <c r="Z21" i="7"/>
  <c r="M21" i="7"/>
  <c r="Z20" i="7"/>
  <c r="M20" i="7"/>
  <c r="Z19" i="7"/>
  <c r="M19" i="7"/>
  <c r="Z18" i="7"/>
  <c r="M18" i="7"/>
  <c r="Z17" i="7"/>
  <c r="M17" i="7"/>
  <c r="Q16" i="7"/>
  <c r="Z15" i="7"/>
  <c r="M15" i="7"/>
  <c r="M14" i="7"/>
  <c r="Q8" i="7"/>
  <c r="Q7" i="7"/>
  <c r="Q6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Z16" i="7"/>
  <c r="M16" i="7"/>
  <c r="Q15" i="7"/>
  <c r="Z14" i="7"/>
  <c r="Q14" i="7"/>
  <c r="Z13" i="7"/>
  <c r="M13" i="7"/>
  <c r="Z12" i="7"/>
  <c r="Z11" i="7"/>
  <c r="Z10" i="7"/>
  <c r="M10" i="7"/>
  <c r="Z9" i="7"/>
  <c r="M9" i="7"/>
  <c r="Z8" i="7"/>
  <c r="M8" i="7"/>
  <c r="Z7" i="7"/>
  <c r="M7" i="7"/>
  <c r="Z5" i="7"/>
  <c r="M5" i="7"/>
  <c r="AB35" i="12"/>
  <c r="AF27" i="11"/>
  <c r="AC32" i="9"/>
  <c r="AJ9" i="10"/>
  <c r="AC8" i="5"/>
  <c r="AC16" i="5"/>
  <c r="AC14" i="5"/>
  <c r="AC10" i="5"/>
  <c r="AC6" i="5"/>
  <c r="AC12" i="5"/>
  <c r="AD35" i="11"/>
  <c r="AC33" i="5"/>
  <c r="AC17" i="9"/>
  <c r="T5" i="13"/>
  <c r="S36" i="13"/>
  <c r="G5" i="13"/>
  <c r="F36" i="13"/>
  <c r="Y36" i="13"/>
  <c r="L36" i="13"/>
  <c r="D34" i="14"/>
  <c r="AD34" i="14" s="1"/>
  <c r="AC34" i="14"/>
  <c r="D33" i="14"/>
  <c r="AD33" i="14" s="1"/>
  <c r="AC33" i="14"/>
  <c r="D32" i="14"/>
  <c r="AD32" i="14" s="1"/>
  <c r="AC32" i="14"/>
  <c r="D31" i="14"/>
  <c r="AD31" i="14" s="1"/>
  <c r="AC31" i="14"/>
  <c r="D30" i="14"/>
  <c r="AD30" i="14" s="1"/>
  <c r="AC30" i="14"/>
  <c r="D29" i="14"/>
  <c r="AD29" i="14" s="1"/>
  <c r="AC29" i="14"/>
  <c r="D28" i="14"/>
  <c r="AD28" i="14" s="1"/>
  <c r="AC28" i="14"/>
  <c r="D27" i="14"/>
  <c r="AD27" i="14" s="1"/>
  <c r="AC27" i="14"/>
  <c r="D26" i="14"/>
  <c r="AD26" i="14" s="1"/>
  <c r="AC26" i="14"/>
  <c r="D25" i="14"/>
  <c r="AD25" i="14" s="1"/>
  <c r="AC25" i="14"/>
  <c r="D24" i="14"/>
  <c r="AD24" i="14" s="1"/>
  <c r="AC24" i="14"/>
  <c r="D23" i="14"/>
  <c r="AD23" i="14" s="1"/>
  <c r="AC23" i="14"/>
  <c r="D22" i="14"/>
  <c r="AD22" i="14" s="1"/>
  <c r="AC22" i="14"/>
  <c r="D21" i="14"/>
  <c r="AD21" i="14" s="1"/>
  <c r="AC21" i="14"/>
  <c r="D20" i="14"/>
  <c r="AD20" i="14" s="1"/>
  <c r="AC20" i="14"/>
  <c r="D19" i="14"/>
  <c r="AD19" i="14" s="1"/>
  <c r="AC19" i="14"/>
  <c r="D18" i="14"/>
  <c r="AD18" i="14" s="1"/>
  <c r="AC18" i="14"/>
  <c r="D17" i="14"/>
  <c r="AC17" i="14"/>
  <c r="D16" i="14"/>
  <c r="AD16" i="14" s="1"/>
  <c r="AC16" i="14"/>
  <c r="D15" i="14"/>
  <c r="AD15" i="14" s="1"/>
  <c r="AC15" i="14"/>
  <c r="D14" i="14"/>
  <c r="AD14" i="14" s="1"/>
  <c r="AC14" i="14"/>
  <c r="D13" i="14"/>
  <c r="AD13" i="14" s="1"/>
  <c r="AC13" i="14"/>
  <c r="D12" i="14"/>
  <c r="AD12" i="14" s="1"/>
  <c r="AC12" i="14"/>
  <c r="D11" i="14"/>
  <c r="AD11" i="14" s="1"/>
  <c r="AC11" i="14"/>
  <c r="D10" i="14"/>
  <c r="AD10" i="14" s="1"/>
  <c r="AC10" i="14"/>
  <c r="D9" i="14"/>
  <c r="AD9" i="14" s="1"/>
  <c r="AC9" i="14"/>
  <c r="D8" i="14"/>
  <c r="AD8" i="14" s="1"/>
  <c r="AC8" i="14"/>
  <c r="D7" i="14"/>
  <c r="AD7" i="14" s="1"/>
  <c r="AC7" i="14"/>
  <c r="D6" i="14"/>
  <c r="AD6" i="14" s="1"/>
  <c r="AC6" i="14"/>
  <c r="C35" i="13"/>
  <c r="AB35" i="13"/>
  <c r="C34" i="13"/>
  <c r="AB34" i="13"/>
  <c r="C33" i="13"/>
  <c r="AB33" i="13"/>
  <c r="C32" i="13"/>
  <c r="AB32" i="13"/>
  <c r="C31" i="13"/>
  <c r="AB31" i="13"/>
  <c r="C30" i="13"/>
  <c r="AB30" i="13"/>
  <c r="C29" i="13"/>
  <c r="AB29" i="13"/>
  <c r="C28" i="13"/>
  <c r="AB28" i="13"/>
  <c r="C27" i="13"/>
  <c r="AB27" i="13"/>
  <c r="C26" i="13"/>
  <c r="AB26" i="13"/>
  <c r="C25" i="13"/>
  <c r="AB25" i="13"/>
  <c r="C24" i="13"/>
  <c r="AB24" i="13"/>
  <c r="C23" i="13"/>
  <c r="AB23" i="13"/>
  <c r="C22" i="13"/>
  <c r="AB22" i="13"/>
  <c r="C21" i="13"/>
  <c r="AB21" i="13"/>
  <c r="C20" i="13"/>
  <c r="AB20" i="13"/>
  <c r="C19" i="13"/>
  <c r="AB19" i="13"/>
  <c r="C18" i="13"/>
  <c r="AB18" i="13"/>
  <c r="C17" i="13"/>
  <c r="AB17" i="13"/>
  <c r="C16" i="13"/>
  <c r="AB16" i="13"/>
  <c r="C15" i="13"/>
  <c r="AB15" i="13"/>
  <c r="C14" i="13"/>
  <c r="AB14" i="13"/>
  <c r="C13" i="13"/>
  <c r="AB13" i="13"/>
  <c r="C12" i="13"/>
  <c r="AB12" i="13"/>
  <c r="C11" i="13"/>
  <c r="AB11" i="13"/>
  <c r="C10" i="13"/>
  <c r="AB10" i="13"/>
  <c r="C9" i="13"/>
  <c r="AB9" i="13"/>
  <c r="C8" i="13"/>
  <c r="AB8" i="13"/>
  <c r="C7" i="13"/>
  <c r="AB7" i="13"/>
  <c r="C6" i="13"/>
  <c r="AB6" i="13"/>
  <c r="W5" i="13"/>
  <c r="V36" i="13"/>
  <c r="Q5" i="13"/>
  <c r="P36" i="13"/>
  <c r="J5" i="13"/>
  <c r="I36" i="13"/>
  <c r="C5" i="13"/>
  <c r="AB5" i="13"/>
  <c r="AC35" i="5"/>
  <c r="AC31" i="5"/>
  <c r="AC20" i="5"/>
  <c r="D34" i="7"/>
  <c r="AC34" i="7"/>
  <c r="D33" i="7"/>
  <c r="AC33" i="7"/>
  <c r="D32" i="7"/>
  <c r="AC32" i="7"/>
  <c r="D31" i="7"/>
  <c r="AD31" i="7" s="1"/>
  <c r="AC31" i="7"/>
  <c r="D30" i="7"/>
  <c r="AC30" i="7"/>
  <c r="D29" i="7"/>
  <c r="AC29" i="7"/>
  <c r="D28" i="7"/>
  <c r="AC28" i="7"/>
  <c r="D27" i="7"/>
  <c r="AD27" i="7" s="1"/>
  <c r="AC27" i="7"/>
  <c r="D26" i="7"/>
  <c r="AC26" i="7"/>
  <c r="D25" i="7"/>
  <c r="AC25" i="7"/>
  <c r="D24" i="7"/>
  <c r="AC24" i="7"/>
  <c r="D23" i="7"/>
  <c r="AD23" i="7" s="1"/>
  <c r="AC23" i="7"/>
  <c r="D22" i="7"/>
  <c r="AC22" i="7"/>
  <c r="D21" i="7"/>
  <c r="AC21" i="7"/>
  <c r="D20" i="7"/>
  <c r="AC20" i="7"/>
  <c r="D19" i="7"/>
  <c r="AD19" i="7" s="1"/>
  <c r="AC19" i="7"/>
  <c r="D18" i="7"/>
  <c r="AC18" i="7"/>
  <c r="D17" i="7"/>
  <c r="AC17" i="7"/>
  <c r="D16" i="7"/>
  <c r="AD16" i="7" s="1"/>
  <c r="AC16" i="7"/>
  <c r="D15" i="7"/>
  <c r="AC15" i="7"/>
  <c r="D14" i="7"/>
  <c r="AC14" i="7"/>
  <c r="D13" i="7"/>
  <c r="AD13" i="7" s="1"/>
  <c r="AC13" i="7"/>
  <c r="D12" i="7"/>
  <c r="AD12" i="7" s="1"/>
  <c r="AC12" i="7"/>
  <c r="D11" i="7"/>
  <c r="AD11" i="7" s="1"/>
  <c r="AC11" i="7"/>
  <c r="D10" i="7"/>
  <c r="AD10" i="7" s="1"/>
  <c r="AC10" i="7"/>
  <c r="D9" i="7"/>
  <c r="AD9" i="7" s="1"/>
  <c r="AC9" i="7"/>
  <c r="D8" i="7"/>
  <c r="AD8" i="7" s="1"/>
  <c r="AC8" i="7"/>
  <c r="D7" i="7"/>
  <c r="AC7" i="7"/>
  <c r="D6" i="7"/>
  <c r="AC6" i="7"/>
  <c r="AC5" i="7"/>
  <c r="D32" i="4"/>
  <c r="AD32" i="4" s="1"/>
  <c r="AC32" i="4"/>
  <c r="D31" i="4"/>
  <c r="AD31" i="4" s="1"/>
  <c r="AC31" i="4"/>
  <c r="D30" i="4"/>
  <c r="AD30" i="4" s="1"/>
  <c r="AC30" i="4"/>
  <c r="D29" i="4"/>
  <c r="AD29" i="4" s="1"/>
  <c r="AC29" i="4"/>
  <c r="D28" i="4"/>
  <c r="AD28" i="4" s="1"/>
  <c r="AC28" i="4"/>
  <c r="D27" i="4"/>
  <c r="AD27" i="4" s="1"/>
  <c r="AC27" i="4"/>
  <c r="D26" i="4"/>
  <c r="AD26" i="4" s="1"/>
  <c r="AC26" i="4"/>
  <c r="D25" i="4"/>
  <c r="AD25" i="4" s="1"/>
  <c r="AC25" i="4"/>
  <c r="D24" i="4"/>
  <c r="AD24" i="4" s="1"/>
  <c r="AC24" i="4"/>
  <c r="D23" i="4"/>
  <c r="AD23" i="4" s="1"/>
  <c r="AC23" i="4"/>
  <c r="D22" i="4"/>
  <c r="AD22" i="4" s="1"/>
  <c r="AC22" i="4"/>
  <c r="D21" i="4"/>
  <c r="AD21" i="4" s="1"/>
  <c r="AC21" i="4"/>
  <c r="D20" i="4"/>
  <c r="AD20" i="4" s="1"/>
  <c r="AC20" i="4"/>
  <c r="D19" i="4"/>
  <c r="AD19" i="4" s="1"/>
  <c r="AC19" i="4"/>
  <c r="D18" i="4"/>
  <c r="AD18" i="4" s="1"/>
  <c r="AC18" i="4"/>
  <c r="D17" i="4"/>
  <c r="AD17" i="4" s="1"/>
  <c r="AC17" i="4"/>
  <c r="D16" i="4"/>
  <c r="AD16" i="4" s="1"/>
  <c r="AC16" i="4"/>
  <c r="D15" i="4"/>
  <c r="AD15" i="4" s="1"/>
  <c r="AC15" i="4"/>
  <c r="D14" i="4"/>
  <c r="AD14" i="4" s="1"/>
  <c r="AC14" i="4"/>
  <c r="D13" i="4"/>
  <c r="AD13" i="4" s="1"/>
  <c r="AC13" i="4"/>
  <c r="D12" i="4"/>
  <c r="AD12" i="4" s="1"/>
  <c r="AC12" i="4"/>
  <c r="D11" i="4"/>
  <c r="AD11" i="4" s="1"/>
  <c r="AC11" i="4"/>
  <c r="D10" i="4"/>
  <c r="AD10" i="4" s="1"/>
  <c r="AC10" i="4"/>
  <c r="D9" i="4"/>
  <c r="AD9" i="4" s="1"/>
  <c r="AC9" i="4"/>
  <c r="D8" i="4"/>
  <c r="AD8" i="4" s="1"/>
  <c r="AC8" i="4"/>
  <c r="D7" i="4"/>
  <c r="AD7" i="4" s="1"/>
  <c r="AC7" i="4"/>
  <c r="D5" i="4"/>
  <c r="AD5" i="4" s="1"/>
  <c r="AC5" i="4"/>
  <c r="AC6" i="4"/>
  <c r="D35" i="1"/>
  <c r="AC35" i="1"/>
  <c r="D34" i="1"/>
  <c r="AC34" i="1"/>
  <c r="D33" i="1"/>
  <c r="AC33" i="1"/>
  <c r="D32" i="1"/>
  <c r="AC32" i="1"/>
  <c r="D31" i="1"/>
  <c r="AD31" i="1" s="1"/>
  <c r="AC31" i="1"/>
  <c r="D30" i="1"/>
  <c r="AC30" i="1"/>
  <c r="D29" i="1"/>
  <c r="AC29" i="1"/>
  <c r="D28" i="1"/>
  <c r="AC28" i="1"/>
  <c r="D27" i="1"/>
  <c r="AD27" i="1" s="1"/>
  <c r="AC27" i="1"/>
  <c r="D26" i="1"/>
  <c r="AC26" i="1"/>
  <c r="D25" i="1"/>
  <c r="AC25" i="1"/>
  <c r="D24" i="1"/>
  <c r="AC24" i="1"/>
  <c r="D23" i="1"/>
  <c r="AD23" i="1" s="1"/>
  <c r="AC23" i="1"/>
  <c r="D22" i="1"/>
  <c r="AC22" i="1"/>
  <c r="D21" i="1"/>
  <c r="AC21" i="1"/>
  <c r="D20" i="1"/>
  <c r="AC20" i="1"/>
  <c r="D19" i="1"/>
  <c r="AC19" i="1"/>
  <c r="D18" i="1"/>
  <c r="AC18" i="1"/>
  <c r="D17" i="1"/>
  <c r="AC17" i="1"/>
  <c r="D16" i="1"/>
  <c r="AC16" i="1"/>
  <c r="D15" i="1"/>
  <c r="AC15" i="1"/>
  <c r="D14" i="1"/>
  <c r="AC14" i="1"/>
  <c r="D13" i="1"/>
  <c r="AC13" i="1"/>
  <c r="D12" i="1"/>
  <c r="AC12" i="1"/>
  <c r="D11" i="1"/>
  <c r="AC11" i="1"/>
  <c r="D10" i="1"/>
  <c r="AC10" i="1"/>
  <c r="D9" i="1"/>
  <c r="AC9" i="1"/>
  <c r="D8" i="1"/>
  <c r="AC8" i="1"/>
  <c r="D7" i="1"/>
  <c r="AC7" i="1"/>
  <c r="D5" i="1"/>
  <c r="AC5" i="1"/>
  <c r="AC6" i="1"/>
  <c r="S36" i="8"/>
  <c r="T36" i="8" s="1"/>
  <c r="G9" i="15" s="1"/>
  <c r="F36" i="8"/>
  <c r="G36" i="8" s="1"/>
  <c r="C9" i="15" s="1"/>
  <c r="AF7" i="9"/>
  <c r="AC20" i="6"/>
  <c r="Y36" i="8"/>
  <c r="Z36" i="8" s="1"/>
  <c r="I9" i="15" s="1"/>
  <c r="L36" i="8"/>
  <c r="M36" i="8" s="1"/>
  <c r="E9" i="15" s="1"/>
  <c r="AF15" i="9"/>
  <c r="AF9" i="9"/>
  <c r="AD28" i="5"/>
  <c r="Q8" i="13"/>
  <c r="T7" i="13"/>
  <c r="W6" i="13"/>
  <c r="Z5" i="13"/>
  <c r="AD29" i="5"/>
  <c r="G7" i="13"/>
  <c r="J6" i="13"/>
  <c r="M5" i="13"/>
  <c r="AD17" i="9"/>
  <c r="AF13" i="9"/>
  <c r="AF11" i="9"/>
  <c r="AF5" i="9"/>
  <c r="AC29" i="5"/>
  <c r="AF24" i="5"/>
  <c r="AF16" i="5"/>
  <c r="AF15" i="5"/>
  <c r="AF12" i="5"/>
  <c r="AF11" i="5"/>
  <c r="AF8" i="5"/>
  <c r="AF7" i="5"/>
  <c r="AF26" i="5"/>
  <c r="AF22" i="5"/>
  <c r="AF18" i="5"/>
  <c r="AF17" i="5"/>
  <c r="AF14" i="5"/>
  <c r="AF13" i="5"/>
  <c r="AF10" i="5"/>
  <c r="AF9" i="5"/>
  <c r="AF23" i="12"/>
  <c r="AJ33" i="10"/>
  <c r="AF34" i="9"/>
  <c r="AF30" i="9"/>
  <c r="AF26" i="9"/>
  <c r="AF22" i="9"/>
  <c r="AF32" i="9"/>
  <c r="AF28" i="9"/>
  <c r="AF24" i="9"/>
  <c r="AF20" i="9"/>
  <c r="AH5" i="10"/>
  <c r="AG5" i="10"/>
  <c r="AJ35" i="10"/>
  <c r="AJ31" i="10"/>
  <c r="AJ20" i="10"/>
  <c r="AJ18" i="10"/>
  <c r="AJ16" i="10"/>
  <c r="AJ14" i="10"/>
  <c r="AJ12" i="10"/>
  <c r="AJ10" i="10"/>
  <c r="AJ8" i="10"/>
  <c r="AJ5" i="10"/>
  <c r="AJ29" i="10"/>
  <c r="AJ27" i="10"/>
  <c r="AJ25" i="10"/>
  <c r="AD30" i="12"/>
  <c r="AC30" i="12"/>
  <c r="AD26" i="12"/>
  <c r="AC26" i="12"/>
  <c r="AC28" i="12"/>
  <c r="AD21" i="12"/>
  <c r="AC21" i="12"/>
  <c r="AC19" i="12"/>
  <c r="AD17" i="12"/>
  <c r="AC17" i="12"/>
  <c r="AC15" i="12"/>
  <c r="AD13" i="12"/>
  <c r="AC13" i="12"/>
  <c r="AC11" i="12"/>
  <c r="AD9" i="12"/>
  <c r="AC9" i="12"/>
  <c r="AC7" i="12"/>
  <c r="D5" i="12"/>
  <c r="AD5" i="12" s="1"/>
  <c r="AC5" i="12"/>
  <c r="AF33" i="12"/>
  <c r="AF31" i="12"/>
  <c r="AF30" i="12"/>
  <c r="AF29" i="12"/>
  <c r="AF28" i="12"/>
  <c r="AF27" i="12"/>
  <c r="AF26" i="12"/>
  <c r="AF25" i="12"/>
  <c r="AB29" i="12"/>
  <c r="AB27" i="12"/>
  <c r="I36" i="11"/>
  <c r="J36" i="11" s="1"/>
  <c r="D12" i="15" s="1"/>
  <c r="F36" i="11"/>
  <c r="G36" i="11" s="1"/>
  <c r="C12" i="15" s="1"/>
  <c r="AF6" i="11"/>
  <c r="Y36" i="11"/>
  <c r="Z36" i="11" s="1"/>
  <c r="I12" i="15" s="1"/>
  <c r="AF10" i="11"/>
  <c r="S36" i="11"/>
  <c r="T36" i="11" s="1"/>
  <c r="G12" i="15" s="1"/>
  <c r="AC7" i="11"/>
  <c r="L36" i="11"/>
  <c r="M36" i="11" s="1"/>
  <c r="E12" i="15" s="1"/>
  <c r="D5" i="11"/>
  <c r="AD5" i="11" s="1"/>
  <c r="AC5" i="11"/>
  <c r="AF34" i="11"/>
  <c r="AF32" i="11"/>
  <c r="AF30" i="11"/>
  <c r="AF28" i="11"/>
  <c r="AF26" i="11"/>
  <c r="C36" i="11"/>
  <c r="D36" i="11" s="1"/>
  <c r="B12" i="15" s="1"/>
  <c r="AF24" i="11"/>
  <c r="AF22" i="11"/>
  <c r="AF20" i="11"/>
  <c r="AF18" i="11"/>
  <c r="AF16" i="11"/>
  <c r="AF14" i="11"/>
  <c r="AF12" i="11"/>
  <c r="AF35" i="6"/>
  <c r="AF20" i="6"/>
  <c r="T18" i="14"/>
  <c r="T35" i="14" s="1"/>
  <c r="G3" i="15" s="1"/>
  <c r="S35" i="14"/>
  <c r="M6" i="14"/>
  <c r="L35" i="14"/>
  <c r="J5" i="14"/>
  <c r="I35" i="14"/>
  <c r="M35" i="14"/>
  <c r="E3" i="15" s="1"/>
  <c r="Q17" i="14"/>
  <c r="Q35" i="14" s="1"/>
  <c r="F3" i="15" s="1"/>
  <c r="P35" i="14"/>
  <c r="Z6" i="14"/>
  <c r="Z35" i="14" s="1"/>
  <c r="I3" i="15" s="1"/>
  <c r="Y35" i="14"/>
  <c r="G6" i="14"/>
  <c r="F35" i="14"/>
  <c r="W5" i="14"/>
  <c r="W35" i="14" s="1"/>
  <c r="H3" i="15" s="1"/>
  <c r="V35" i="14"/>
  <c r="D5" i="14"/>
  <c r="C35" i="14"/>
  <c r="AC35" i="14" s="1"/>
  <c r="W6" i="1"/>
  <c r="V36" i="1"/>
  <c r="J6" i="1"/>
  <c r="I36" i="1"/>
  <c r="Z5" i="1"/>
  <c r="Y36" i="1"/>
  <c r="M5" i="1"/>
  <c r="L36" i="1"/>
  <c r="W6" i="4"/>
  <c r="W34" i="4" s="1"/>
  <c r="H6" i="15" s="1"/>
  <c r="V34" i="4"/>
  <c r="J6" i="4"/>
  <c r="J34" i="4" s="1"/>
  <c r="D6" i="15" s="1"/>
  <c r="I34" i="4"/>
  <c r="Z5" i="4"/>
  <c r="Z34" i="4" s="1"/>
  <c r="I6" i="15" s="1"/>
  <c r="Y34" i="4"/>
  <c r="M5" i="4"/>
  <c r="M34" i="4" s="1"/>
  <c r="E6" i="15" s="1"/>
  <c r="L34" i="4"/>
  <c r="D35" i="6"/>
  <c r="AC35" i="6"/>
  <c r="D33" i="6"/>
  <c r="AD33" i="6" s="1"/>
  <c r="AC33" i="6"/>
  <c r="D31" i="6"/>
  <c r="AC31" i="6"/>
  <c r="D29" i="6"/>
  <c r="AC29" i="6"/>
  <c r="D27" i="6"/>
  <c r="AC27" i="6"/>
  <c r="D25" i="6"/>
  <c r="AC25" i="6"/>
  <c r="D23" i="6"/>
  <c r="AD23" i="6" s="1"/>
  <c r="AC23" i="6"/>
  <c r="Z22" i="6"/>
  <c r="Y36" i="6"/>
  <c r="M22" i="6"/>
  <c r="L36" i="6"/>
  <c r="Q21" i="6"/>
  <c r="P36" i="6"/>
  <c r="D21" i="6"/>
  <c r="AC21" i="6"/>
  <c r="AD28" i="6"/>
  <c r="AD22" i="6"/>
  <c r="Q6" i="1"/>
  <c r="P36" i="1"/>
  <c r="D6" i="1"/>
  <c r="C36" i="1"/>
  <c r="T5" i="1"/>
  <c r="S36" i="1"/>
  <c r="G5" i="1"/>
  <c r="G36" i="1" s="1"/>
  <c r="C5" i="15" s="1"/>
  <c r="F36" i="1"/>
  <c r="Q6" i="4"/>
  <c r="Q34" i="4" s="1"/>
  <c r="F6" i="15" s="1"/>
  <c r="P34" i="4"/>
  <c r="D6" i="4"/>
  <c r="C34" i="4"/>
  <c r="T5" i="4"/>
  <c r="T34" i="4" s="1"/>
  <c r="G6" i="15" s="1"/>
  <c r="S34" i="4"/>
  <c r="G5" i="4"/>
  <c r="G34" i="4" s="1"/>
  <c r="C6" i="15" s="1"/>
  <c r="F34" i="4"/>
  <c r="T22" i="6"/>
  <c r="S36" i="6"/>
  <c r="G22" i="6"/>
  <c r="F36" i="6"/>
  <c r="W21" i="6"/>
  <c r="V36" i="6"/>
  <c r="J21" i="6"/>
  <c r="I36" i="6"/>
  <c r="AF28" i="6"/>
  <c r="C18" i="6"/>
  <c r="AB18" i="6"/>
  <c r="T6" i="7"/>
  <c r="S35" i="7"/>
  <c r="G6" i="7"/>
  <c r="F35" i="7"/>
  <c r="W5" i="7"/>
  <c r="V35" i="7"/>
  <c r="J5" i="7"/>
  <c r="I35" i="7"/>
  <c r="D35" i="8"/>
  <c r="AD35" i="8" s="1"/>
  <c r="AC35" i="8"/>
  <c r="D33" i="8"/>
  <c r="AD33" i="8" s="1"/>
  <c r="AC33" i="8"/>
  <c r="D31" i="8"/>
  <c r="AD31" i="8" s="1"/>
  <c r="AC31" i="8"/>
  <c r="D29" i="8"/>
  <c r="AD29" i="8" s="1"/>
  <c r="AC29" i="8"/>
  <c r="D27" i="8"/>
  <c r="AD27" i="8" s="1"/>
  <c r="AC27" i="8"/>
  <c r="D25" i="8"/>
  <c r="AD25" i="8" s="1"/>
  <c r="AC25" i="8"/>
  <c r="D23" i="8"/>
  <c r="AD23" i="8" s="1"/>
  <c r="AC23" i="8"/>
  <c r="D21" i="8"/>
  <c r="AD21" i="8" s="1"/>
  <c r="AC21" i="8"/>
  <c r="D19" i="8"/>
  <c r="AD19" i="8" s="1"/>
  <c r="AC19" i="8"/>
  <c r="D17" i="8"/>
  <c r="AD17" i="8" s="1"/>
  <c r="AC17" i="8"/>
  <c r="D15" i="8"/>
  <c r="AD15" i="8" s="1"/>
  <c r="AC15" i="8"/>
  <c r="D13" i="8"/>
  <c r="AD13" i="8" s="1"/>
  <c r="AC13" i="8"/>
  <c r="D11" i="8"/>
  <c r="AD11" i="8" s="1"/>
  <c r="AC11" i="8"/>
  <c r="D9" i="8"/>
  <c r="AD9" i="8" s="1"/>
  <c r="AC9" i="8"/>
  <c r="D7" i="8"/>
  <c r="AD7" i="8" s="1"/>
  <c r="AC7" i="8"/>
  <c r="Q5" i="8"/>
  <c r="P36" i="8"/>
  <c r="Q36" i="8" s="1"/>
  <c r="F9" i="15" s="1"/>
  <c r="D5" i="8"/>
  <c r="AC5" i="8"/>
  <c r="C36" i="8"/>
  <c r="D36" i="8" s="1"/>
  <c r="B9" i="15" s="1"/>
  <c r="S35" i="9"/>
  <c r="T35" i="9" s="1"/>
  <c r="G10" i="15" s="1"/>
  <c r="AF19" i="9"/>
  <c r="F35" i="9"/>
  <c r="G35" i="9" s="1"/>
  <c r="C10" i="15" s="1"/>
  <c r="G19" i="9"/>
  <c r="V35" i="9"/>
  <c r="W35" i="9" s="1"/>
  <c r="H10" i="15" s="1"/>
  <c r="W18" i="9"/>
  <c r="I35" i="9"/>
  <c r="J35" i="9" s="1"/>
  <c r="D10" i="15" s="1"/>
  <c r="J18" i="9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AF13" i="6"/>
  <c r="AF9" i="6"/>
  <c r="AF33" i="9"/>
  <c r="AF31" i="9"/>
  <c r="AF29" i="9"/>
  <c r="AF27" i="9"/>
  <c r="AF25" i="9"/>
  <c r="AF23" i="9"/>
  <c r="AF21" i="9"/>
  <c r="D19" i="6"/>
  <c r="AC19" i="6"/>
  <c r="D17" i="6"/>
  <c r="AC17" i="6"/>
  <c r="D14" i="6"/>
  <c r="AC14" i="6"/>
  <c r="D12" i="6"/>
  <c r="AC12" i="6"/>
  <c r="D10" i="6"/>
  <c r="AC10" i="6"/>
  <c r="D8" i="6"/>
  <c r="AC8" i="6"/>
  <c r="D6" i="6"/>
  <c r="AC6" i="6"/>
  <c r="Z6" i="7"/>
  <c r="Y35" i="7"/>
  <c r="M6" i="7"/>
  <c r="L35" i="7"/>
  <c r="Q5" i="7"/>
  <c r="P35" i="7"/>
  <c r="D5" i="7"/>
  <c r="C35" i="7"/>
  <c r="D34" i="8"/>
  <c r="AD34" i="8" s="1"/>
  <c r="AC34" i="8"/>
  <c r="D32" i="8"/>
  <c r="AD32" i="8" s="1"/>
  <c r="AC32" i="8"/>
  <c r="D30" i="8"/>
  <c r="AD30" i="8" s="1"/>
  <c r="AC30" i="8"/>
  <c r="D28" i="8"/>
  <c r="AD28" i="8" s="1"/>
  <c r="AC28" i="8"/>
  <c r="D26" i="8"/>
  <c r="AD26" i="8" s="1"/>
  <c r="AC26" i="8"/>
  <c r="D24" i="8"/>
  <c r="AD24" i="8" s="1"/>
  <c r="AC24" i="8"/>
  <c r="D22" i="8"/>
  <c r="AD22" i="8" s="1"/>
  <c r="AC22" i="8"/>
  <c r="D20" i="8"/>
  <c r="AD20" i="8" s="1"/>
  <c r="AC20" i="8"/>
  <c r="D18" i="8"/>
  <c r="AD18" i="8" s="1"/>
  <c r="AC18" i="8"/>
  <c r="D16" i="8"/>
  <c r="AD16" i="8" s="1"/>
  <c r="AC16" i="8"/>
  <c r="D14" i="8"/>
  <c r="AD14" i="8" s="1"/>
  <c r="AC14" i="8"/>
  <c r="D12" i="8"/>
  <c r="AD12" i="8" s="1"/>
  <c r="AC12" i="8"/>
  <c r="D10" i="8"/>
  <c r="AD10" i="8" s="1"/>
  <c r="AC10" i="8"/>
  <c r="D8" i="8"/>
  <c r="AD8" i="8" s="1"/>
  <c r="AC8" i="8"/>
  <c r="D6" i="8"/>
  <c r="AD6" i="8" s="1"/>
  <c r="AC6" i="8"/>
  <c r="W5" i="8"/>
  <c r="V36" i="8"/>
  <c r="W36" i="8" s="1"/>
  <c r="H9" i="15" s="1"/>
  <c r="J5" i="8"/>
  <c r="I36" i="8"/>
  <c r="J36" i="8" s="1"/>
  <c r="D9" i="15" s="1"/>
  <c r="D34" i="9"/>
  <c r="AD34" i="9" s="1"/>
  <c r="AC34" i="9"/>
  <c r="D32" i="9"/>
  <c r="AD32" i="9" s="1"/>
  <c r="D30" i="9"/>
  <c r="AD30" i="9" s="1"/>
  <c r="AC30" i="9"/>
  <c r="D28" i="9"/>
  <c r="AD28" i="9" s="1"/>
  <c r="AC28" i="9"/>
  <c r="D26" i="9"/>
  <c r="AD26" i="9" s="1"/>
  <c r="AC26" i="9"/>
  <c r="D24" i="9"/>
  <c r="AD24" i="9" s="1"/>
  <c r="AC24" i="9"/>
  <c r="D22" i="9"/>
  <c r="AD22" i="9" s="1"/>
  <c r="AC22" i="9"/>
  <c r="D20" i="9"/>
  <c r="AD20" i="9" s="1"/>
  <c r="AC20" i="9"/>
  <c r="L35" i="9"/>
  <c r="M35" i="9" s="1"/>
  <c r="E10" i="15" s="1"/>
  <c r="M19" i="9"/>
  <c r="Q35" i="9"/>
  <c r="F10" i="15" s="1"/>
  <c r="Q18" i="9"/>
  <c r="AF18" i="9" s="1"/>
  <c r="D18" i="9"/>
  <c r="AC18" i="9"/>
  <c r="Y35" i="9"/>
  <c r="Z35" i="9" s="1"/>
  <c r="I10" i="15" s="1"/>
  <c r="Z17" i="9"/>
  <c r="AF17" i="9" s="1"/>
  <c r="AD7" i="6"/>
  <c r="AD33" i="9"/>
  <c r="AD31" i="9"/>
  <c r="AD29" i="9"/>
  <c r="AD27" i="9"/>
  <c r="AD25" i="9"/>
  <c r="AD23" i="9"/>
  <c r="AD21" i="9"/>
  <c r="AD19" i="9"/>
  <c r="D16" i="9"/>
  <c r="AD16" i="9" s="1"/>
  <c r="AC16" i="9"/>
  <c r="D14" i="9"/>
  <c r="AD14" i="9" s="1"/>
  <c r="AC14" i="9"/>
  <c r="D12" i="9"/>
  <c r="AD12" i="9" s="1"/>
  <c r="AC12" i="9"/>
  <c r="D10" i="9"/>
  <c r="AD10" i="9" s="1"/>
  <c r="AC10" i="9"/>
  <c r="D8" i="9"/>
  <c r="AD8" i="9" s="1"/>
  <c r="AC8" i="9"/>
  <c r="D6" i="9"/>
  <c r="AD6" i="9" s="1"/>
  <c r="AC6" i="9"/>
  <c r="D34" i="10"/>
  <c r="AH34" i="10" s="1"/>
  <c r="AG34" i="10"/>
  <c r="D32" i="10"/>
  <c r="AH32" i="10" s="1"/>
  <c r="AG32" i="10"/>
  <c r="D29" i="10"/>
  <c r="AH29" i="10" s="1"/>
  <c r="AG29" i="10"/>
  <c r="D27" i="10"/>
  <c r="AH27" i="10" s="1"/>
  <c r="AG27" i="10"/>
  <c r="D25" i="10"/>
  <c r="AH25" i="10" s="1"/>
  <c r="AG25" i="10"/>
  <c r="D23" i="10"/>
  <c r="AH23" i="10" s="1"/>
  <c r="AG23" i="10"/>
  <c r="D21" i="10"/>
  <c r="AH21" i="10" s="1"/>
  <c r="AG21" i="10"/>
  <c r="D19" i="10"/>
  <c r="AH19" i="10" s="1"/>
  <c r="AG19" i="10"/>
  <c r="D17" i="10"/>
  <c r="AH17" i="10" s="1"/>
  <c r="AG17" i="10"/>
  <c r="D15" i="10"/>
  <c r="AH15" i="10" s="1"/>
  <c r="AG15" i="10"/>
  <c r="D13" i="10"/>
  <c r="AH13" i="10" s="1"/>
  <c r="AG13" i="10"/>
  <c r="D11" i="10"/>
  <c r="AH11" i="10" s="1"/>
  <c r="AG11" i="10"/>
  <c r="D9" i="10"/>
  <c r="AH9" i="10" s="1"/>
  <c r="AG9" i="10"/>
  <c r="Q7" i="10"/>
  <c r="AJ7" i="10" s="1"/>
  <c r="P36" i="10"/>
  <c r="Q36" i="10" s="1"/>
  <c r="F11" i="15" s="1"/>
  <c r="D7" i="10"/>
  <c r="AG7" i="10"/>
  <c r="Z6" i="10"/>
  <c r="Y36" i="10"/>
  <c r="Z36" i="10" s="1"/>
  <c r="I11" i="15" s="1"/>
  <c r="M6" i="10"/>
  <c r="L36" i="10"/>
  <c r="M36" i="10" s="1"/>
  <c r="E11" i="15" s="1"/>
  <c r="AF16" i="9"/>
  <c r="AF14" i="9"/>
  <c r="AF12" i="9"/>
  <c r="AF10" i="9"/>
  <c r="AF8" i="9"/>
  <c r="AF6" i="9"/>
  <c r="AJ34" i="10"/>
  <c r="AJ32" i="10"/>
  <c r="AJ30" i="10"/>
  <c r="AH28" i="10"/>
  <c r="AH26" i="10"/>
  <c r="AH24" i="10"/>
  <c r="AJ23" i="10"/>
  <c r="AH22" i="10"/>
  <c r="AJ21" i="10"/>
  <c r="AH20" i="10"/>
  <c r="AJ19" i="10"/>
  <c r="AH18" i="10"/>
  <c r="AJ17" i="10"/>
  <c r="AH16" i="10"/>
  <c r="AJ15" i="10"/>
  <c r="AH14" i="10"/>
  <c r="AJ13" i="10"/>
  <c r="AH12" i="10"/>
  <c r="AJ11" i="10"/>
  <c r="AH10" i="10"/>
  <c r="AH8" i="10"/>
  <c r="AH6" i="10"/>
  <c r="C15" i="9"/>
  <c r="AB15" i="9"/>
  <c r="C13" i="9"/>
  <c r="AB13" i="9"/>
  <c r="C11" i="9"/>
  <c r="AB11" i="9"/>
  <c r="C9" i="9"/>
  <c r="AB9" i="9"/>
  <c r="C7" i="9"/>
  <c r="AB7" i="9"/>
  <c r="C5" i="9"/>
  <c r="AB5" i="9"/>
  <c r="C35" i="10"/>
  <c r="AF35" i="10"/>
  <c r="C33" i="10"/>
  <c r="AF33" i="10"/>
  <c r="C31" i="10"/>
  <c r="AF31" i="10"/>
  <c r="W7" i="10"/>
  <c r="V36" i="10"/>
  <c r="W36" i="10" s="1"/>
  <c r="H11" i="15" s="1"/>
  <c r="J7" i="10"/>
  <c r="I36" i="10"/>
  <c r="J36" i="10" s="1"/>
  <c r="D11" i="15" s="1"/>
  <c r="T6" i="10"/>
  <c r="S36" i="10"/>
  <c r="T36" i="10" s="1"/>
  <c r="G11" i="15" s="1"/>
  <c r="G6" i="10"/>
  <c r="F36" i="10"/>
  <c r="G36" i="10" s="1"/>
  <c r="C11" i="15" s="1"/>
  <c r="AD5" i="10"/>
  <c r="AC36" i="10"/>
  <c r="AD36" i="10" s="1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34" i="9"/>
  <c r="AC33" i="9"/>
  <c r="AB32" i="9"/>
  <c r="AC31" i="9"/>
  <c r="AB30" i="9"/>
  <c r="AC29" i="9"/>
  <c r="AB28" i="9"/>
  <c r="AC27" i="9"/>
  <c r="AB26" i="9"/>
  <c r="AC25" i="9"/>
  <c r="AB24" i="9"/>
  <c r="AC23" i="9"/>
  <c r="AB22" i="9"/>
  <c r="AC21" i="9"/>
  <c r="AB20" i="9"/>
  <c r="AC19" i="9"/>
  <c r="AB18" i="9"/>
  <c r="AJ28" i="10"/>
  <c r="AJ26" i="10"/>
  <c r="AJ24" i="10"/>
  <c r="AJ22" i="10"/>
  <c r="AD8" i="11"/>
  <c r="AC8" i="11"/>
  <c r="AD6" i="11"/>
  <c r="AC6" i="11"/>
  <c r="V35" i="12"/>
  <c r="W35" i="12" s="1"/>
  <c r="H13" i="15" s="1"/>
  <c r="I35" i="12"/>
  <c r="J35" i="12" s="1"/>
  <c r="D13" i="15" s="1"/>
  <c r="S35" i="12"/>
  <c r="T35" i="12" s="1"/>
  <c r="G13" i="15" s="1"/>
  <c r="AG30" i="10"/>
  <c r="AF29" i="10"/>
  <c r="AG28" i="10"/>
  <c r="AF27" i="10"/>
  <c r="AG26" i="10"/>
  <c r="AF25" i="10"/>
  <c r="AG24" i="10"/>
  <c r="AF23" i="10"/>
  <c r="AG22" i="10"/>
  <c r="AF21" i="10"/>
  <c r="AG20" i="10"/>
  <c r="AF19" i="10"/>
  <c r="AG18" i="10"/>
  <c r="AF17" i="10"/>
  <c r="AG16" i="10"/>
  <c r="AF15" i="10"/>
  <c r="AG14" i="10"/>
  <c r="AF13" i="10"/>
  <c r="AG12" i="10"/>
  <c r="AF11" i="10"/>
  <c r="AG10" i="10"/>
  <c r="AF9" i="10"/>
  <c r="AG8" i="10"/>
  <c r="AF7" i="10"/>
  <c r="AG6" i="10"/>
  <c r="V36" i="11"/>
  <c r="W36" i="11" s="1"/>
  <c r="H12" i="15" s="1"/>
  <c r="P36" i="11"/>
  <c r="Q36" i="11" s="1"/>
  <c r="F12" i="15" s="1"/>
  <c r="AF33" i="11"/>
  <c r="AF31" i="11"/>
  <c r="AF29" i="11"/>
  <c r="AF25" i="11"/>
  <c r="AF23" i="11"/>
  <c r="AF21" i="11"/>
  <c r="AF19" i="11"/>
  <c r="AF17" i="11"/>
  <c r="AF15" i="11"/>
  <c r="AF13" i="11"/>
  <c r="AF11" i="11"/>
  <c r="AF9" i="11"/>
  <c r="AF8" i="11"/>
  <c r="AF7" i="11"/>
  <c r="AF5" i="11"/>
  <c r="AF34" i="12"/>
  <c r="AF32" i="12"/>
  <c r="AD28" i="12"/>
  <c r="AF24" i="12"/>
  <c r="AD34" i="11"/>
  <c r="AC34" i="11"/>
  <c r="AD32" i="11"/>
  <c r="AC32" i="11"/>
  <c r="AD30" i="11"/>
  <c r="AC30" i="11"/>
  <c r="AD28" i="11"/>
  <c r="AC28" i="11"/>
  <c r="AD26" i="11"/>
  <c r="AC26" i="11"/>
  <c r="AD24" i="11"/>
  <c r="AC24" i="11"/>
  <c r="AD22" i="11"/>
  <c r="AC22" i="11"/>
  <c r="AD20" i="11"/>
  <c r="AC20" i="11"/>
  <c r="AD18" i="11"/>
  <c r="AC18" i="11"/>
  <c r="AD16" i="11"/>
  <c r="AC16" i="11"/>
  <c r="AD14" i="11"/>
  <c r="AC14" i="11"/>
  <c r="AD12" i="11"/>
  <c r="AC12" i="11"/>
  <c r="AD10" i="11"/>
  <c r="AC10" i="11"/>
  <c r="AD33" i="12"/>
  <c r="AC33" i="12"/>
  <c r="AD31" i="12"/>
  <c r="AC31" i="12"/>
  <c r="AD29" i="12"/>
  <c r="AC29" i="12"/>
  <c r="AD27" i="12"/>
  <c r="AC27" i="12"/>
  <c r="G35" i="12"/>
  <c r="C13" i="15" s="1"/>
  <c r="F35" i="12"/>
  <c r="AD25" i="12"/>
  <c r="AC25" i="12"/>
  <c r="L35" i="12"/>
  <c r="M35" i="12" s="1"/>
  <c r="E13" i="15" s="1"/>
  <c r="AD24" i="12"/>
  <c r="AC24" i="12"/>
  <c r="AD23" i="12"/>
  <c r="AC23" i="12"/>
  <c r="AF22" i="12"/>
  <c r="P35" i="12"/>
  <c r="Q35" i="12" s="1"/>
  <c r="F13" i="15" s="1"/>
  <c r="AC22" i="12"/>
  <c r="C35" i="12"/>
  <c r="Z21" i="12"/>
  <c r="Y35" i="12"/>
  <c r="Z35" i="12" s="1"/>
  <c r="I13" i="15" s="1"/>
  <c r="AF35" i="11"/>
  <c r="AD33" i="11"/>
  <c r="AD31" i="11"/>
  <c r="AD29" i="11"/>
  <c r="AD27" i="11"/>
  <c r="AD25" i="11"/>
  <c r="AD23" i="11"/>
  <c r="AD21" i="11"/>
  <c r="AD19" i="11"/>
  <c r="AD17" i="11"/>
  <c r="AD15" i="11"/>
  <c r="AD13" i="11"/>
  <c r="AD11" i="11"/>
  <c r="AD9" i="11"/>
  <c r="AD7" i="11"/>
  <c r="AD34" i="12"/>
  <c r="AD32" i="12"/>
  <c r="AD20" i="12"/>
  <c r="AC20" i="12"/>
  <c r="AD18" i="12"/>
  <c r="AC18" i="12"/>
  <c r="AD16" i="12"/>
  <c r="AC16" i="12"/>
  <c r="AD14" i="12"/>
  <c r="AC14" i="12"/>
  <c r="AD12" i="12"/>
  <c r="AC12" i="12"/>
  <c r="AD10" i="12"/>
  <c r="AC10" i="12"/>
  <c r="AD8" i="12"/>
  <c r="AC8" i="12"/>
  <c r="AC6" i="12"/>
  <c r="D34" i="5"/>
  <c r="AD34" i="5" s="1"/>
  <c r="AC34" i="5"/>
  <c r="D32" i="5"/>
  <c r="AD32" i="5" s="1"/>
  <c r="AC32" i="5"/>
  <c r="T31" i="5"/>
  <c r="AF31" i="5" s="1"/>
  <c r="S36" i="5"/>
  <c r="G31" i="5"/>
  <c r="G36" i="5" s="1"/>
  <c r="C14" i="15" s="1"/>
  <c r="F36" i="5"/>
  <c r="Q30" i="5"/>
  <c r="Q36" i="5" s="1"/>
  <c r="F14" i="15" s="1"/>
  <c r="P36" i="5"/>
  <c r="D30" i="5"/>
  <c r="AC30" i="5"/>
  <c r="C36" i="5"/>
  <c r="Z29" i="5"/>
  <c r="Y36" i="5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35" i="5"/>
  <c r="AF34" i="5"/>
  <c r="AF33" i="5"/>
  <c r="AF32" i="5"/>
  <c r="M31" i="5"/>
  <c r="M36" i="5" s="1"/>
  <c r="E14" i="15" s="1"/>
  <c r="L36" i="5"/>
  <c r="W30" i="5"/>
  <c r="W36" i="5" s="1"/>
  <c r="H14" i="15" s="1"/>
  <c r="V36" i="5"/>
  <c r="J30" i="5"/>
  <c r="J36" i="5" s="1"/>
  <c r="D14" i="15" s="1"/>
  <c r="I36" i="5"/>
  <c r="AC35" i="11"/>
  <c r="AB34" i="11"/>
  <c r="AC33" i="11"/>
  <c r="AB32" i="11"/>
  <c r="AC31" i="11"/>
  <c r="AB30" i="11"/>
  <c r="AC29" i="11"/>
  <c r="AB28" i="11"/>
  <c r="AC27" i="11"/>
  <c r="AB26" i="11"/>
  <c r="AC25" i="11"/>
  <c r="AB24" i="11"/>
  <c r="AC23" i="11"/>
  <c r="AB22" i="11"/>
  <c r="AC21" i="11"/>
  <c r="AB20" i="11"/>
  <c r="AC19" i="11"/>
  <c r="AB18" i="11"/>
  <c r="AC17" i="11"/>
  <c r="AB16" i="11"/>
  <c r="AC15" i="11"/>
  <c r="AB14" i="11"/>
  <c r="AC13" i="11"/>
  <c r="AB12" i="11"/>
  <c r="AC11" i="11"/>
  <c r="AB10" i="11"/>
  <c r="AC9" i="11"/>
  <c r="AC34" i="12"/>
  <c r="AB33" i="12"/>
  <c r="AC32" i="12"/>
  <c r="AB31" i="12"/>
  <c r="AD19" i="12"/>
  <c r="AD15" i="12"/>
  <c r="AD11" i="12"/>
  <c r="AD7" i="12"/>
  <c r="AD35" i="5"/>
  <c r="AD33" i="5"/>
  <c r="AD31" i="5"/>
  <c r="D27" i="5"/>
  <c r="AD27" i="5" s="1"/>
  <c r="AC27" i="5"/>
  <c r="D25" i="5"/>
  <c r="AD25" i="5" s="1"/>
  <c r="AC25" i="5"/>
  <c r="D23" i="5"/>
  <c r="AD23" i="5" s="1"/>
  <c r="AC23" i="5"/>
  <c r="D21" i="5"/>
  <c r="AD21" i="5" s="1"/>
  <c r="AC21" i="5"/>
  <c r="D19" i="5"/>
  <c r="AD19" i="5" s="1"/>
  <c r="AC19" i="5"/>
  <c r="D5" i="5"/>
  <c r="AC5" i="5"/>
  <c r="AF27" i="5"/>
  <c r="AD26" i="5"/>
  <c r="AF25" i="5"/>
  <c r="AD24" i="5"/>
  <c r="AF23" i="5"/>
  <c r="AD22" i="5"/>
  <c r="AF21" i="5"/>
  <c r="AF20" i="5"/>
  <c r="AF19" i="5"/>
  <c r="AD18" i="5"/>
  <c r="AD16" i="5"/>
  <c r="AD14" i="5"/>
  <c r="AD12" i="5"/>
  <c r="AD10" i="5"/>
  <c r="AD8" i="5"/>
  <c r="AD6" i="5"/>
  <c r="AF5" i="5"/>
  <c r="D17" i="5"/>
  <c r="AD17" i="5" s="1"/>
  <c r="AC17" i="5"/>
  <c r="D15" i="5"/>
  <c r="AD15" i="5" s="1"/>
  <c r="AC15" i="5"/>
  <c r="D13" i="5"/>
  <c r="AD13" i="5" s="1"/>
  <c r="AC13" i="5"/>
  <c r="D11" i="5"/>
  <c r="AD11" i="5" s="1"/>
  <c r="AC11" i="5"/>
  <c r="D9" i="5"/>
  <c r="AD9" i="5" s="1"/>
  <c r="AC9" i="5"/>
  <c r="D7" i="5"/>
  <c r="AD7" i="5" s="1"/>
  <c r="AC7" i="5"/>
  <c r="AF28" i="5"/>
  <c r="AD20" i="5"/>
  <c r="AF6" i="5"/>
  <c r="AC28" i="5"/>
  <c r="AB27" i="5"/>
  <c r="AC26" i="5"/>
  <c r="AB25" i="5"/>
  <c r="AC24" i="5"/>
  <c r="AB23" i="5"/>
  <c r="AC22" i="5"/>
  <c r="AB21" i="5"/>
  <c r="AC18" i="5"/>
  <c r="AB5" i="5"/>
  <c r="AF11" i="6" l="1"/>
  <c r="AD35" i="1"/>
  <c r="AF25" i="6"/>
  <c r="AF34" i="6"/>
  <c r="AF32" i="6"/>
  <c r="AD11" i="6"/>
  <c r="AF19" i="6"/>
  <c r="AF29" i="6"/>
  <c r="AF10" i="6"/>
  <c r="AF26" i="6"/>
  <c r="AD10" i="6"/>
  <c r="AF23" i="6"/>
  <c r="AF30" i="6"/>
  <c r="AD9" i="6"/>
  <c r="AD26" i="6"/>
  <c r="AD20" i="6"/>
  <c r="AF6" i="6"/>
  <c r="AF15" i="6"/>
  <c r="AF18" i="6"/>
  <c r="AF27" i="6"/>
  <c r="AD32" i="6"/>
  <c r="AD8" i="6"/>
  <c r="AD14" i="6"/>
  <c r="AD17" i="6"/>
  <c r="AD19" i="6"/>
  <c r="AD27" i="6"/>
  <c r="AD29" i="6"/>
  <c r="AD35" i="6"/>
  <c r="AD17" i="7"/>
  <c r="AD21" i="7"/>
  <c r="AD25" i="7"/>
  <c r="AD29" i="7"/>
  <c r="AD33" i="7"/>
  <c r="AD5" i="6"/>
  <c r="AF7" i="6"/>
  <c r="AF14" i="6"/>
  <c r="AF16" i="6"/>
  <c r="AD30" i="6"/>
  <c r="AD34" i="6"/>
  <c r="AD15" i="6"/>
  <c r="AD24" i="6"/>
  <c r="AF31" i="6"/>
  <c r="AF33" i="6"/>
  <c r="Q36" i="6"/>
  <c r="F7" i="15" s="1"/>
  <c r="Z36" i="6"/>
  <c r="I7" i="15" s="1"/>
  <c r="AD25" i="6"/>
  <c r="AD9" i="1"/>
  <c r="AD13" i="1"/>
  <c r="AD17" i="1"/>
  <c r="AD21" i="1"/>
  <c r="AD25" i="1"/>
  <c r="AD29" i="1"/>
  <c r="AD33" i="1"/>
  <c r="AD12" i="6"/>
  <c r="AD16" i="6"/>
  <c r="AF24" i="6"/>
  <c r="M36" i="6"/>
  <c r="E7" i="15" s="1"/>
  <c r="AD31" i="6"/>
  <c r="AD13" i="6"/>
  <c r="AD7" i="1"/>
  <c r="AD11" i="1"/>
  <c r="AD15" i="1"/>
  <c r="AC34" i="4"/>
  <c r="AD19" i="1"/>
  <c r="J35" i="7"/>
  <c r="D8" i="15" s="1"/>
  <c r="W35" i="7"/>
  <c r="H8" i="15" s="1"/>
  <c r="G35" i="7"/>
  <c r="C8" i="15" s="1"/>
  <c r="T35" i="7"/>
  <c r="G8" i="15" s="1"/>
  <c r="J36" i="6"/>
  <c r="D7" i="15" s="1"/>
  <c r="W36" i="6"/>
  <c r="H7" i="15" s="1"/>
  <c r="G36" i="6"/>
  <c r="C7" i="15" s="1"/>
  <c r="Q36" i="1"/>
  <c r="F5" i="15" s="1"/>
  <c r="Q35" i="7"/>
  <c r="F8" i="15" s="1"/>
  <c r="M36" i="13"/>
  <c r="E4" i="15" s="1"/>
  <c r="Z36" i="13"/>
  <c r="I4" i="15" s="1"/>
  <c r="AD21" i="6"/>
  <c r="M36" i="1"/>
  <c r="E5" i="15" s="1"/>
  <c r="Z36" i="1"/>
  <c r="I5" i="15" s="1"/>
  <c r="AD5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6" i="7"/>
  <c r="T36" i="1"/>
  <c r="G5" i="15" s="1"/>
  <c r="J36" i="1"/>
  <c r="D5" i="15" s="1"/>
  <c r="W36" i="1"/>
  <c r="H5" i="15" s="1"/>
  <c r="C36" i="13"/>
  <c r="AC8" i="13"/>
  <c r="AD7" i="7"/>
  <c r="AD14" i="7"/>
  <c r="AD15" i="7"/>
  <c r="AD18" i="7"/>
  <c r="AD20" i="7"/>
  <c r="AD22" i="7"/>
  <c r="AD24" i="7"/>
  <c r="AD26" i="7"/>
  <c r="AD28" i="7"/>
  <c r="AD30" i="7"/>
  <c r="AD32" i="7"/>
  <c r="AD34" i="7"/>
  <c r="J35" i="14"/>
  <c r="D3" i="15" s="1"/>
  <c r="G35" i="14"/>
  <c r="C3" i="15" s="1"/>
  <c r="M35" i="7"/>
  <c r="E8" i="15" s="1"/>
  <c r="Z35" i="7"/>
  <c r="I8" i="15" s="1"/>
  <c r="AH7" i="10"/>
  <c r="AD5" i="8"/>
  <c r="C36" i="10"/>
  <c r="D36" i="10" s="1"/>
  <c r="B11" i="15" s="1"/>
  <c r="AD30" i="5"/>
  <c r="AD22" i="12"/>
  <c r="AC35" i="7"/>
  <c r="AF22" i="6"/>
  <c r="D8" i="13"/>
  <c r="AD8" i="13" s="1"/>
  <c r="D35" i="14"/>
  <c r="AD5" i="14"/>
  <c r="D5" i="13"/>
  <c r="AC5" i="13"/>
  <c r="D6" i="13"/>
  <c r="AD6" i="13" s="1"/>
  <c r="AC6" i="13"/>
  <c r="D7" i="13"/>
  <c r="AD7" i="13" s="1"/>
  <c r="AC7" i="13"/>
  <c r="D9" i="13"/>
  <c r="AD9" i="13" s="1"/>
  <c r="AC9" i="13"/>
  <c r="D10" i="13"/>
  <c r="AD10" i="13" s="1"/>
  <c r="AC10" i="13"/>
  <c r="D11" i="13"/>
  <c r="AD11" i="13" s="1"/>
  <c r="AC11" i="13"/>
  <c r="D12" i="13"/>
  <c r="AD12" i="13" s="1"/>
  <c r="AC12" i="13"/>
  <c r="D13" i="13"/>
  <c r="AD13" i="13" s="1"/>
  <c r="AC13" i="13"/>
  <c r="D14" i="13"/>
  <c r="AD14" i="13" s="1"/>
  <c r="AC14" i="13"/>
  <c r="D15" i="13"/>
  <c r="AD15" i="13" s="1"/>
  <c r="AC15" i="13"/>
  <c r="D16" i="13"/>
  <c r="AD16" i="13" s="1"/>
  <c r="AC16" i="13"/>
  <c r="D17" i="13"/>
  <c r="AD17" i="13" s="1"/>
  <c r="AC17" i="13"/>
  <c r="D18" i="13"/>
  <c r="AD18" i="13" s="1"/>
  <c r="AC18" i="13"/>
  <c r="D19" i="13"/>
  <c r="AD19" i="13" s="1"/>
  <c r="AC19" i="13"/>
  <c r="D20" i="13"/>
  <c r="AD20" i="13" s="1"/>
  <c r="AC20" i="13"/>
  <c r="D21" i="13"/>
  <c r="AD21" i="13" s="1"/>
  <c r="AC21" i="13"/>
  <c r="D22" i="13"/>
  <c r="AD22" i="13" s="1"/>
  <c r="AC22" i="13"/>
  <c r="D23" i="13"/>
  <c r="AD23" i="13" s="1"/>
  <c r="AC23" i="13"/>
  <c r="D24" i="13"/>
  <c r="AD24" i="13" s="1"/>
  <c r="AC24" i="13"/>
  <c r="D25" i="13"/>
  <c r="AD25" i="13" s="1"/>
  <c r="AC25" i="13"/>
  <c r="D26" i="13"/>
  <c r="AD26" i="13" s="1"/>
  <c r="AC26" i="13"/>
  <c r="D27" i="13"/>
  <c r="AD27" i="13" s="1"/>
  <c r="AC27" i="13"/>
  <c r="D28" i="13"/>
  <c r="AD28" i="13" s="1"/>
  <c r="AC28" i="13"/>
  <c r="D29" i="13"/>
  <c r="AD29" i="13" s="1"/>
  <c r="AC29" i="13"/>
  <c r="D30" i="13"/>
  <c r="AD30" i="13" s="1"/>
  <c r="AC30" i="13"/>
  <c r="D31" i="13"/>
  <c r="AD31" i="13" s="1"/>
  <c r="AC31" i="13"/>
  <c r="D32" i="13"/>
  <c r="AD32" i="13" s="1"/>
  <c r="AC32" i="13"/>
  <c r="D33" i="13"/>
  <c r="AD33" i="13" s="1"/>
  <c r="AC33" i="13"/>
  <c r="D34" i="13"/>
  <c r="AD34" i="13" s="1"/>
  <c r="AC34" i="13"/>
  <c r="D35" i="13"/>
  <c r="AD35" i="13" s="1"/>
  <c r="AC35" i="13"/>
  <c r="J36" i="13"/>
  <c r="D4" i="15" s="1"/>
  <c r="Q36" i="13"/>
  <c r="F4" i="15" s="1"/>
  <c r="W36" i="13"/>
  <c r="H4" i="15" s="1"/>
  <c r="AD17" i="14"/>
  <c r="G36" i="13"/>
  <c r="C4" i="15" s="1"/>
  <c r="T36" i="13"/>
  <c r="G4" i="15" s="1"/>
  <c r="AC36" i="1"/>
  <c r="AD36" i="1" s="1"/>
  <c r="D35" i="7"/>
  <c r="AD5" i="7"/>
  <c r="D34" i="4"/>
  <c r="AD6" i="4"/>
  <c r="D36" i="1"/>
  <c r="B5" i="15" s="1"/>
  <c r="AD6" i="1"/>
  <c r="AJ6" i="10"/>
  <c r="AJ36" i="10" s="1"/>
  <c r="AC36" i="5"/>
  <c r="AD36" i="5" s="1"/>
  <c r="AD18" i="9"/>
  <c r="AD5" i="5"/>
  <c r="D36" i="5"/>
  <c r="B14" i="15" s="1"/>
  <c r="AF29" i="5"/>
  <c r="Z36" i="5"/>
  <c r="I14" i="15" s="1"/>
  <c r="AG31" i="10"/>
  <c r="D31" i="10"/>
  <c r="AH31" i="10" s="1"/>
  <c r="AG33" i="10"/>
  <c r="D33" i="10"/>
  <c r="AH33" i="10" s="1"/>
  <c r="AG35" i="10"/>
  <c r="D35" i="10"/>
  <c r="AH35" i="10" s="1"/>
  <c r="AC5" i="9"/>
  <c r="C35" i="9"/>
  <c r="D35" i="9" s="1"/>
  <c r="B10" i="15" s="1"/>
  <c r="D5" i="9"/>
  <c r="AD5" i="9" s="1"/>
  <c r="AC7" i="9"/>
  <c r="D7" i="9"/>
  <c r="AD7" i="9" s="1"/>
  <c r="AC9" i="9"/>
  <c r="D9" i="9"/>
  <c r="AD9" i="9" s="1"/>
  <c r="AC11" i="9"/>
  <c r="D11" i="9"/>
  <c r="AD11" i="9" s="1"/>
  <c r="AC13" i="9"/>
  <c r="D13" i="9"/>
  <c r="AD13" i="9" s="1"/>
  <c r="AC15" i="9"/>
  <c r="D15" i="9"/>
  <c r="AD15" i="9" s="1"/>
  <c r="D18" i="6"/>
  <c r="AD18" i="6" s="1"/>
  <c r="AC18" i="6"/>
  <c r="AC36" i="6" s="1"/>
  <c r="AD36" i="6" s="1"/>
  <c r="C36" i="6"/>
  <c r="T36" i="5"/>
  <c r="G14" i="15" s="1"/>
  <c r="AC35" i="12"/>
  <c r="AF35" i="12"/>
  <c r="AC36" i="11"/>
  <c r="AD36" i="11" s="1"/>
  <c r="T36" i="6"/>
  <c r="G7" i="15" s="1"/>
  <c r="AD6" i="12"/>
  <c r="D35" i="12"/>
  <c r="AD6" i="6"/>
  <c r="AF30" i="5"/>
  <c r="AF36" i="5" s="1"/>
  <c r="AF36" i="11"/>
  <c r="AF21" i="12"/>
  <c r="AF35" i="9"/>
  <c r="AC36" i="8"/>
  <c r="AD36" i="8" s="1"/>
  <c r="AF21" i="6"/>
  <c r="E17" i="15" l="1"/>
  <c r="H17" i="15"/>
  <c r="F17" i="15"/>
  <c r="I17" i="15"/>
  <c r="AF36" i="6"/>
  <c r="G17" i="15"/>
  <c r="AD35" i="14"/>
  <c r="B3" i="15"/>
  <c r="D17" i="15"/>
  <c r="AD35" i="12"/>
  <c r="B13" i="15"/>
  <c r="AD34" i="4"/>
  <c r="B6" i="15"/>
  <c r="AD35" i="7"/>
  <c r="B8" i="15"/>
  <c r="C17" i="15"/>
  <c r="AG36" i="10"/>
  <c r="AH36" i="10" s="1"/>
  <c r="AD5" i="13"/>
  <c r="AD36" i="13" s="1"/>
  <c r="D36" i="13"/>
  <c r="B4" i="15" s="1"/>
  <c r="D36" i="6"/>
  <c r="B7" i="15" s="1"/>
  <c r="AC36" i="13"/>
  <c r="AC35" i="9"/>
  <c r="AD35" i="9" s="1"/>
  <c r="B17" i="15" l="1"/>
</calcChain>
</file>

<file path=xl/comments1.xml><?xml version="1.0" encoding="utf-8"?>
<comments xmlns="http://schemas.openxmlformats.org/spreadsheetml/2006/main">
  <authors>
    <author>Elena Acker</author>
    <author>admin</author>
  </authors>
  <commentList>
    <comment ref="H14" authorId="0">
      <text>
        <r>
          <rPr>
            <b/>
            <sz val="8"/>
            <color indexed="81"/>
            <rFont val="Tahoma"/>
            <family val="2"/>
          </rPr>
          <t>Elena Acker:</t>
        </r>
        <r>
          <rPr>
            <sz val="8"/>
            <color indexed="81"/>
            <rFont val="Tahoma"/>
            <family val="2"/>
          </rPr>
          <t xml:space="preserve">
Instrument ghost reading in drained pipe.
Restore formulas for WY2015</t>
        </r>
      </text>
    </comment>
    <comment ref="E34" authorId="1">
      <text>
        <r>
          <rPr>
            <b/>
            <sz val="9"/>
            <color indexed="81"/>
            <rFont val="Tahoma"/>
            <family val="2"/>
          </rPr>
          <t>Eacker:</t>
        </r>
        <r>
          <rPr>
            <sz val="9"/>
            <color indexed="81"/>
            <rFont val="Tahoma"/>
            <family val="2"/>
          </rPr>
          <t xml:space="preserve">
Water moved to Tani from EGL#4</t>
        </r>
      </text>
    </comment>
  </commentList>
</comments>
</file>

<file path=xl/sharedStrings.xml><?xml version="1.0" encoding="utf-8"?>
<sst xmlns="http://schemas.openxmlformats.org/spreadsheetml/2006/main" count="471" uniqueCount="16">
  <si>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</si>
  <si>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</si>
  <si>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</si>
  <si>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</si>
  <si>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</si>
  <si>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</si>
  <si>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</si>
  <si>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</si>
  <si>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</si>
  <si>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</si>
  <si>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</si>
  <si>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</si>
  <si>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</si>
  <si>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</si>
  <si>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NEED TO RELINK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</si>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</sst>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;@"/>
  </numFmts>
  <fonts count="8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3" fillId="2" borderId="0" xfId="0" applyFont="1" applyFill="1" applyAlignment="1"/>
    <xf numFmtId="0" fontId="0" fillId="2" borderId="0" xfId="0" applyFill="1" applyAlignment="1"/>
    <xf numFmtId="3" fontId="0" fillId="3" borderId="1" xfId="0" applyNumberFormat="1" applyFill="1" applyBorder="1"/>
    <xf numFmtId="2" fontId="0" fillId="3" borderId="3" xfId="0" applyNumberFormat="1" applyFill="1" applyBorder="1"/>
    <xf numFmtId="0" fontId="2" fillId="3" borderId="0" xfId="0" applyFont="1" applyFill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3" fillId="0" borderId="0" xfId="1" applyFont="1"/>
    <xf numFmtId="2" fontId="0" fillId="0" borderId="18" xfId="0" applyNumberFormat="1" applyFill="1" applyBorder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November%202013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December%202013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January%202014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February%202014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March%202014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April%202014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May%202014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June%202014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July%202014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August%202014%20Shift%20Shee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September%202014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4/October%202014%20Shift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3000000</v>
          </cell>
          <cell r="F4">
            <v>7900000</v>
          </cell>
          <cell r="H4">
            <v>0</v>
          </cell>
          <cell r="I4">
            <v>10799999.999999272</v>
          </cell>
        </row>
        <row r="5">
          <cell r="C5">
            <v>0</v>
          </cell>
          <cell r="D5">
            <v>0</v>
          </cell>
          <cell r="E5">
            <v>3000000</v>
          </cell>
          <cell r="F5">
            <v>8170000</v>
          </cell>
          <cell r="H5">
            <v>0</v>
          </cell>
          <cell r="I5">
            <v>11200000.000000728</v>
          </cell>
        </row>
        <row r="6">
          <cell r="C6">
            <v>0</v>
          </cell>
          <cell r="D6">
            <v>0</v>
          </cell>
          <cell r="E6">
            <v>3000000</v>
          </cell>
          <cell r="F6">
            <v>9360000</v>
          </cell>
          <cell r="H6">
            <v>0</v>
          </cell>
          <cell r="I6">
            <v>12899999.999997817</v>
          </cell>
        </row>
        <row r="7">
          <cell r="C7">
            <v>2531000</v>
          </cell>
          <cell r="D7">
            <v>0</v>
          </cell>
          <cell r="E7">
            <v>4000000</v>
          </cell>
          <cell r="F7">
            <v>8740000</v>
          </cell>
          <cell r="H7">
            <v>2211000</v>
          </cell>
          <cell r="I7">
            <v>12500000</v>
          </cell>
        </row>
        <row r="8">
          <cell r="C8">
            <v>4585000</v>
          </cell>
          <cell r="D8">
            <v>0</v>
          </cell>
          <cell r="E8">
            <v>3000000</v>
          </cell>
          <cell r="F8">
            <v>6030000</v>
          </cell>
          <cell r="H8">
            <v>4351000</v>
          </cell>
          <cell r="I8">
            <v>8900000.0000014547</v>
          </cell>
        </row>
        <row r="9">
          <cell r="C9">
            <v>6784000</v>
          </cell>
          <cell r="D9">
            <v>0</v>
          </cell>
          <cell r="E9">
            <v>1000000</v>
          </cell>
          <cell r="F9">
            <v>1950000</v>
          </cell>
          <cell r="H9">
            <v>6418000</v>
          </cell>
          <cell r="I9">
            <v>3700000.0000007274</v>
          </cell>
        </row>
        <row r="10">
          <cell r="C10">
            <v>9839000</v>
          </cell>
          <cell r="D10">
            <v>0</v>
          </cell>
          <cell r="E10">
            <v>0</v>
          </cell>
          <cell r="F10">
            <v>0</v>
          </cell>
          <cell r="H10">
            <v>9344000</v>
          </cell>
          <cell r="I10">
            <v>0</v>
          </cell>
        </row>
        <row r="11">
          <cell r="C11">
            <v>7396000</v>
          </cell>
          <cell r="D11">
            <v>0</v>
          </cell>
          <cell r="E11">
            <v>1000000</v>
          </cell>
          <cell r="F11">
            <v>2330000</v>
          </cell>
          <cell r="H11">
            <v>6969000</v>
          </cell>
          <cell r="I11">
            <v>2700000.0000007274</v>
          </cell>
        </row>
        <row r="12">
          <cell r="C12">
            <v>4844000</v>
          </cell>
          <cell r="D12">
            <v>0</v>
          </cell>
          <cell r="E12">
            <v>3000000</v>
          </cell>
          <cell r="F12">
            <v>5800000</v>
          </cell>
          <cell r="H12">
            <v>4533000</v>
          </cell>
          <cell r="I12">
            <v>9099999.9999985453</v>
          </cell>
        </row>
        <row r="13">
          <cell r="C13">
            <v>6176000</v>
          </cell>
          <cell r="D13">
            <v>0</v>
          </cell>
          <cell r="E13">
            <v>3000000</v>
          </cell>
          <cell r="F13">
            <v>5770000</v>
          </cell>
          <cell r="H13">
            <v>5880000</v>
          </cell>
          <cell r="I13">
            <v>9099999.9999985453</v>
          </cell>
        </row>
        <row r="14">
          <cell r="C14">
            <v>5009000</v>
          </cell>
          <cell r="D14">
            <v>0</v>
          </cell>
          <cell r="E14">
            <v>2000000</v>
          </cell>
          <cell r="F14">
            <v>4970000</v>
          </cell>
          <cell r="H14">
            <v>4752000</v>
          </cell>
          <cell r="I14">
            <v>6900000.0000014547</v>
          </cell>
        </row>
        <row r="15">
          <cell r="C15">
            <v>5956000</v>
          </cell>
          <cell r="D15">
            <v>0</v>
          </cell>
          <cell r="E15">
            <v>0</v>
          </cell>
          <cell r="F15">
            <v>4950000</v>
          </cell>
          <cell r="H15">
            <v>5711000</v>
          </cell>
          <cell r="I15">
            <v>5400000.0000014547</v>
          </cell>
        </row>
        <row r="16">
          <cell r="C16">
            <v>9903000</v>
          </cell>
          <cell r="D16">
            <v>1000</v>
          </cell>
          <cell r="E16">
            <v>0</v>
          </cell>
          <cell r="F16">
            <v>1560000</v>
          </cell>
          <cell r="H16">
            <v>9594000</v>
          </cell>
          <cell r="I16">
            <v>699999.99999708962</v>
          </cell>
        </row>
        <row r="17">
          <cell r="C17">
            <v>12035000</v>
          </cell>
          <cell r="D17">
            <v>0</v>
          </cell>
          <cell r="E17">
            <v>0</v>
          </cell>
          <cell r="F17">
            <v>0</v>
          </cell>
          <cell r="H17">
            <v>11543000</v>
          </cell>
          <cell r="I17">
            <v>0</v>
          </cell>
        </row>
        <row r="18">
          <cell r="C18">
            <v>10704000</v>
          </cell>
          <cell r="D18">
            <v>0</v>
          </cell>
          <cell r="E18">
            <v>0</v>
          </cell>
          <cell r="F18">
            <v>2100000</v>
          </cell>
          <cell r="H18">
            <v>10149000</v>
          </cell>
          <cell r="I18">
            <v>3100000.000002183</v>
          </cell>
        </row>
        <row r="19">
          <cell r="C19">
            <v>7459000</v>
          </cell>
          <cell r="D19">
            <v>0</v>
          </cell>
          <cell r="E19">
            <v>0</v>
          </cell>
          <cell r="F19">
            <v>4940000</v>
          </cell>
          <cell r="H19">
            <v>7052000</v>
          </cell>
          <cell r="I19">
            <v>5200000.0000007274</v>
          </cell>
        </row>
        <row r="20">
          <cell r="C20">
            <v>6813000</v>
          </cell>
          <cell r="D20">
            <v>0</v>
          </cell>
          <cell r="E20">
            <v>0</v>
          </cell>
          <cell r="F20">
            <v>5080000</v>
          </cell>
          <cell r="H20">
            <v>6468000</v>
          </cell>
          <cell r="I20">
            <v>5299999.9999992726</v>
          </cell>
        </row>
        <row r="21">
          <cell r="C21">
            <v>6167000</v>
          </cell>
          <cell r="D21">
            <v>0</v>
          </cell>
          <cell r="E21">
            <v>0</v>
          </cell>
          <cell r="F21">
            <v>6010000</v>
          </cell>
          <cell r="H21">
            <v>5816999.9999999991</v>
          </cell>
          <cell r="I21">
            <v>6500000</v>
          </cell>
        </row>
        <row r="22">
          <cell r="C22">
            <v>9895000</v>
          </cell>
          <cell r="D22">
            <v>0</v>
          </cell>
          <cell r="E22">
            <v>0</v>
          </cell>
          <cell r="F22">
            <v>2000000</v>
          </cell>
          <cell r="H22">
            <v>9547000</v>
          </cell>
          <cell r="I22">
            <v>1899999.9999978172</v>
          </cell>
        </row>
        <row r="23">
          <cell r="C23">
            <v>12292000</v>
          </cell>
          <cell r="D23">
            <v>0</v>
          </cell>
          <cell r="E23">
            <v>0</v>
          </cell>
          <cell r="F23">
            <v>0</v>
          </cell>
          <cell r="H23">
            <v>11829000</v>
          </cell>
          <cell r="I23">
            <v>0</v>
          </cell>
        </row>
        <row r="24">
          <cell r="C24">
            <v>10524000</v>
          </cell>
          <cell r="D24">
            <v>0</v>
          </cell>
          <cell r="E24">
            <v>0</v>
          </cell>
          <cell r="F24">
            <v>0</v>
          </cell>
          <cell r="H24">
            <v>10121000</v>
          </cell>
          <cell r="I24">
            <v>0</v>
          </cell>
        </row>
        <row r="25">
          <cell r="C25">
            <v>10103000</v>
          </cell>
          <cell r="D25">
            <v>0</v>
          </cell>
          <cell r="E25">
            <v>0</v>
          </cell>
          <cell r="F25">
            <v>0</v>
          </cell>
          <cell r="H25">
            <v>9623000</v>
          </cell>
          <cell r="I25">
            <v>0</v>
          </cell>
        </row>
        <row r="26">
          <cell r="C26">
            <v>11832000</v>
          </cell>
          <cell r="D26">
            <v>0</v>
          </cell>
          <cell r="E26">
            <v>0</v>
          </cell>
          <cell r="F26">
            <v>0</v>
          </cell>
          <cell r="H26">
            <v>11357000</v>
          </cell>
          <cell r="I26">
            <v>1300000.0000029104</v>
          </cell>
        </row>
        <row r="27">
          <cell r="C27">
            <v>11753000</v>
          </cell>
          <cell r="D27">
            <v>0</v>
          </cell>
          <cell r="E27">
            <v>0</v>
          </cell>
          <cell r="F27">
            <v>0</v>
          </cell>
          <cell r="H27">
            <v>11348000</v>
          </cell>
          <cell r="I27">
            <v>0</v>
          </cell>
        </row>
        <row r="28">
          <cell r="C28">
            <v>11678000</v>
          </cell>
          <cell r="D28">
            <v>0</v>
          </cell>
          <cell r="E28">
            <v>0</v>
          </cell>
          <cell r="F28">
            <v>0</v>
          </cell>
          <cell r="H28">
            <v>11220000</v>
          </cell>
          <cell r="I28">
            <v>0</v>
          </cell>
        </row>
        <row r="29">
          <cell r="C29">
            <v>13077000</v>
          </cell>
          <cell r="D29">
            <v>0</v>
          </cell>
          <cell r="E29">
            <v>0</v>
          </cell>
          <cell r="F29">
            <v>0</v>
          </cell>
          <cell r="H29">
            <v>12671000</v>
          </cell>
          <cell r="I29">
            <v>0</v>
          </cell>
        </row>
        <row r="30">
          <cell r="C30">
            <v>11991000</v>
          </cell>
          <cell r="D30">
            <v>0</v>
          </cell>
          <cell r="E30">
            <v>0</v>
          </cell>
          <cell r="F30">
            <v>0</v>
          </cell>
          <cell r="H30">
            <v>11427000</v>
          </cell>
          <cell r="I30">
            <v>0</v>
          </cell>
        </row>
        <row r="31">
          <cell r="C31">
            <v>12367000</v>
          </cell>
          <cell r="D31">
            <v>0</v>
          </cell>
          <cell r="E31">
            <v>0</v>
          </cell>
          <cell r="F31">
            <v>0</v>
          </cell>
          <cell r="H31">
            <v>11759000</v>
          </cell>
          <cell r="I31">
            <v>0</v>
          </cell>
        </row>
        <row r="32">
          <cell r="C32">
            <v>12267000</v>
          </cell>
          <cell r="D32">
            <v>0</v>
          </cell>
          <cell r="E32">
            <v>0</v>
          </cell>
          <cell r="F32">
            <v>0</v>
          </cell>
          <cell r="H32">
            <v>11739000</v>
          </cell>
          <cell r="I32">
            <v>0</v>
          </cell>
        </row>
        <row r="33">
          <cell r="C33">
            <v>11681000</v>
          </cell>
          <cell r="D33">
            <v>0</v>
          </cell>
          <cell r="E33">
            <v>0</v>
          </cell>
          <cell r="F33">
            <v>0</v>
          </cell>
          <cell r="H33">
            <v>11128000</v>
          </cell>
          <cell r="I33">
            <v>0</v>
          </cell>
        </row>
        <row r="252">
          <cell r="D252">
            <v>0</v>
          </cell>
          <cell r="H252">
            <v>1145836</v>
          </cell>
        </row>
        <row r="253">
          <cell r="D253">
            <v>0</v>
          </cell>
          <cell r="H253">
            <v>1061125</v>
          </cell>
        </row>
        <row r="254">
          <cell r="D254">
            <v>0</v>
          </cell>
          <cell r="H254">
            <v>1193937</v>
          </cell>
        </row>
        <row r="255">
          <cell r="D255">
            <v>320000.00000000006</v>
          </cell>
          <cell r="H255">
            <v>1134154</v>
          </cell>
        </row>
        <row r="256">
          <cell r="D256">
            <v>234000</v>
          </cell>
          <cell r="H256">
            <v>0</v>
          </cell>
        </row>
        <row r="257">
          <cell r="D257">
            <v>366000</v>
          </cell>
          <cell r="H257">
            <v>226483</v>
          </cell>
        </row>
        <row r="258">
          <cell r="D258">
            <v>494999.99999999988</v>
          </cell>
          <cell r="H258">
            <v>0</v>
          </cell>
        </row>
        <row r="259">
          <cell r="D259">
            <v>427000.00000000029</v>
          </cell>
          <cell r="H259">
            <v>329293</v>
          </cell>
        </row>
        <row r="260">
          <cell r="D260">
            <v>310999.99999999994</v>
          </cell>
          <cell r="H260">
            <v>882725</v>
          </cell>
        </row>
        <row r="261">
          <cell r="D261">
            <v>295999.99999999983</v>
          </cell>
          <cell r="H261">
            <v>956234</v>
          </cell>
        </row>
        <row r="262">
          <cell r="D262">
            <v>257000.00000000012</v>
          </cell>
          <cell r="H262">
            <v>1324200</v>
          </cell>
        </row>
        <row r="263">
          <cell r="D263">
            <v>245000.00000000012</v>
          </cell>
          <cell r="H263">
            <v>503135</v>
          </cell>
        </row>
        <row r="264">
          <cell r="D264">
            <v>310000.00000000006</v>
          </cell>
          <cell r="H264">
            <v>209180</v>
          </cell>
        </row>
        <row r="265">
          <cell r="D265">
            <v>492000</v>
          </cell>
          <cell r="H265">
            <v>160205</v>
          </cell>
        </row>
        <row r="266">
          <cell r="D266">
            <v>554999.99999999977</v>
          </cell>
          <cell r="H266">
            <v>235480</v>
          </cell>
        </row>
        <row r="267">
          <cell r="D267">
            <v>407000</v>
          </cell>
          <cell r="H267">
            <v>427021</v>
          </cell>
        </row>
        <row r="268">
          <cell r="D268">
            <v>344999.99999999977</v>
          </cell>
          <cell r="H268">
            <v>422342</v>
          </cell>
        </row>
        <row r="269">
          <cell r="D269">
            <v>350000.00000000052</v>
          </cell>
          <cell r="H269">
            <v>590039</v>
          </cell>
        </row>
        <row r="270">
          <cell r="D270">
            <v>347999.99999999988</v>
          </cell>
          <cell r="H270">
            <v>169638</v>
          </cell>
        </row>
        <row r="271">
          <cell r="D271">
            <v>463000.00000000006</v>
          </cell>
          <cell r="H271">
            <v>0</v>
          </cell>
        </row>
        <row r="272">
          <cell r="D272">
            <v>402999.99999999959</v>
          </cell>
          <cell r="H272">
            <v>0</v>
          </cell>
        </row>
        <row r="273">
          <cell r="D273">
            <v>480000.00000000041</v>
          </cell>
          <cell r="H273">
            <v>0</v>
          </cell>
        </row>
        <row r="274">
          <cell r="D274">
            <v>474999.99999999965</v>
          </cell>
          <cell r="H274">
            <v>0</v>
          </cell>
        </row>
        <row r="275">
          <cell r="D275">
            <v>405000.00000000023</v>
          </cell>
          <cell r="H275">
            <v>0</v>
          </cell>
        </row>
        <row r="276">
          <cell r="D276">
            <v>458000.00000000017</v>
          </cell>
          <cell r="H276">
            <v>0</v>
          </cell>
        </row>
        <row r="277">
          <cell r="D277">
            <v>405999.99999999994</v>
          </cell>
          <cell r="H277">
            <v>42694</v>
          </cell>
        </row>
        <row r="278">
          <cell r="D278">
            <v>564000</v>
          </cell>
          <cell r="H278">
            <v>0</v>
          </cell>
        </row>
        <row r="279">
          <cell r="D279">
            <v>608000.00000000012</v>
          </cell>
          <cell r="H279">
            <v>0</v>
          </cell>
        </row>
        <row r="280">
          <cell r="D280">
            <v>528000</v>
          </cell>
          <cell r="H280">
            <v>0</v>
          </cell>
        </row>
        <row r="281">
          <cell r="D281">
            <v>552999.99999999953</v>
          </cell>
          <cell r="H28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11230000</v>
          </cell>
          <cell r="D4">
            <v>0</v>
          </cell>
          <cell r="E4">
            <v>0</v>
          </cell>
          <cell r="F4">
            <v>0</v>
          </cell>
          <cell r="H4">
            <v>10701000</v>
          </cell>
          <cell r="I4">
            <v>0</v>
          </cell>
        </row>
        <row r="5">
          <cell r="C5">
            <v>12107000</v>
          </cell>
          <cell r="D5">
            <v>0</v>
          </cell>
          <cell r="E5">
            <v>0</v>
          </cell>
          <cell r="F5">
            <v>0</v>
          </cell>
          <cell r="H5">
            <v>11499000</v>
          </cell>
          <cell r="I5">
            <v>0</v>
          </cell>
        </row>
        <row r="6">
          <cell r="C6">
            <v>12069000</v>
          </cell>
          <cell r="D6">
            <v>0</v>
          </cell>
          <cell r="E6">
            <v>0</v>
          </cell>
          <cell r="F6">
            <v>0</v>
          </cell>
          <cell r="H6">
            <v>11431000</v>
          </cell>
          <cell r="I6">
            <v>0</v>
          </cell>
        </row>
        <row r="7">
          <cell r="C7">
            <v>12085000</v>
          </cell>
          <cell r="D7">
            <v>0</v>
          </cell>
          <cell r="E7">
            <v>0</v>
          </cell>
          <cell r="F7">
            <v>0</v>
          </cell>
          <cell r="H7">
            <v>11585000</v>
          </cell>
          <cell r="I7">
            <v>0</v>
          </cell>
        </row>
        <row r="8">
          <cell r="C8">
            <v>10814000</v>
          </cell>
          <cell r="D8">
            <v>0</v>
          </cell>
          <cell r="E8">
            <v>0</v>
          </cell>
          <cell r="F8">
            <v>0</v>
          </cell>
          <cell r="H8">
            <v>10273000</v>
          </cell>
          <cell r="I8">
            <v>0</v>
          </cell>
        </row>
        <row r="9">
          <cell r="C9">
            <v>11689000</v>
          </cell>
          <cell r="D9">
            <v>0</v>
          </cell>
          <cell r="E9">
            <v>0</v>
          </cell>
          <cell r="F9">
            <v>0</v>
          </cell>
          <cell r="H9">
            <v>11131000</v>
          </cell>
          <cell r="I9">
            <v>0</v>
          </cell>
        </row>
        <row r="10">
          <cell r="C10">
            <v>11466000</v>
          </cell>
          <cell r="D10">
            <v>0</v>
          </cell>
          <cell r="E10">
            <v>0</v>
          </cell>
          <cell r="F10">
            <v>0</v>
          </cell>
          <cell r="H10">
            <v>11003000</v>
          </cell>
          <cell r="I10">
            <v>0</v>
          </cell>
        </row>
        <row r="11">
          <cell r="C11">
            <v>11515000</v>
          </cell>
          <cell r="D11">
            <v>0</v>
          </cell>
          <cell r="E11">
            <v>0</v>
          </cell>
          <cell r="F11">
            <v>0</v>
          </cell>
          <cell r="H11">
            <v>10986000</v>
          </cell>
          <cell r="I11">
            <v>0</v>
          </cell>
        </row>
        <row r="12">
          <cell r="C12">
            <v>11673000</v>
          </cell>
          <cell r="D12">
            <v>0</v>
          </cell>
          <cell r="E12">
            <v>0</v>
          </cell>
          <cell r="F12">
            <v>0</v>
          </cell>
          <cell r="H12">
            <v>11206000</v>
          </cell>
          <cell r="I12">
            <v>0</v>
          </cell>
        </row>
        <row r="13">
          <cell r="C13">
            <v>11598000</v>
          </cell>
          <cell r="D13">
            <v>0</v>
          </cell>
          <cell r="E13">
            <v>0</v>
          </cell>
          <cell r="F13">
            <v>0</v>
          </cell>
          <cell r="H13">
            <v>11071000</v>
          </cell>
          <cell r="I13">
            <v>0</v>
          </cell>
        </row>
        <row r="14">
          <cell r="C14">
            <v>12159000</v>
          </cell>
          <cell r="D14">
            <v>0</v>
          </cell>
          <cell r="E14">
            <v>0</v>
          </cell>
          <cell r="F14">
            <v>0</v>
          </cell>
          <cell r="H14">
            <v>11698000</v>
          </cell>
          <cell r="I14">
            <v>0</v>
          </cell>
        </row>
        <row r="15">
          <cell r="C15">
            <v>11485000</v>
          </cell>
          <cell r="D15">
            <v>0</v>
          </cell>
          <cell r="E15">
            <v>0</v>
          </cell>
          <cell r="F15">
            <v>0</v>
          </cell>
          <cell r="H15">
            <v>11153000.000000002</v>
          </cell>
          <cell r="I15">
            <v>0</v>
          </cell>
        </row>
        <row r="16">
          <cell r="C16">
            <v>12258000</v>
          </cell>
          <cell r="D16">
            <v>0</v>
          </cell>
          <cell r="E16">
            <v>0</v>
          </cell>
          <cell r="F16">
            <v>0</v>
          </cell>
          <cell r="H16">
            <v>11864000</v>
          </cell>
          <cell r="I16">
            <v>0</v>
          </cell>
        </row>
        <row r="17">
          <cell r="C17">
            <v>12164000</v>
          </cell>
          <cell r="D17">
            <v>0</v>
          </cell>
          <cell r="E17">
            <v>0</v>
          </cell>
          <cell r="F17">
            <v>0</v>
          </cell>
          <cell r="H17">
            <v>11559000</v>
          </cell>
          <cell r="I17">
            <v>0</v>
          </cell>
        </row>
        <row r="18">
          <cell r="C18">
            <v>12603000</v>
          </cell>
          <cell r="D18">
            <v>0</v>
          </cell>
          <cell r="E18">
            <v>0</v>
          </cell>
          <cell r="F18">
            <v>0</v>
          </cell>
          <cell r="H18">
            <v>12078000</v>
          </cell>
          <cell r="I18">
            <v>0</v>
          </cell>
        </row>
        <row r="19">
          <cell r="C19">
            <v>12514000</v>
          </cell>
          <cell r="D19">
            <v>0</v>
          </cell>
          <cell r="E19">
            <v>0</v>
          </cell>
          <cell r="F19">
            <v>0</v>
          </cell>
          <cell r="H19">
            <v>12046000</v>
          </cell>
          <cell r="I19">
            <v>0</v>
          </cell>
        </row>
        <row r="20">
          <cell r="C20">
            <v>12481000</v>
          </cell>
          <cell r="D20">
            <v>0</v>
          </cell>
          <cell r="E20">
            <v>2000000</v>
          </cell>
          <cell r="F20">
            <v>0</v>
          </cell>
          <cell r="H20">
            <v>12081000</v>
          </cell>
          <cell r="I20">
            <v>0</v>
          </cell>
        </row>
        <row r="21">
          <cell r="C21">
            <v>11855000</v>
          </cell>
          <cell r="D21">
            <v>0</v>
          </cell>
          <cell r="E21">
            <v>0</v>
          </cell>
          <cell r="F21">
            <v>0</v>
          </cell>
          <cell r="H21">
            <v>11386000</v>
          </cell>
          <cell r="I21">
            <v>0</v>
          </cell>
        </row>
        <row r="22">
          <cell r="C22">
            <v>10661000</v>
          </cell>
          <cell r="D22">
            <v>0</v>
          </cell>
          <cell r="E22">
            <v>0</v>
          </cell>
          <cell r="F22">
            <v>0</v>
          </cell>
          <cell r="H22">
            <v>10084000</v>
          </cell>
          <cell r="I22">
            <v>0</v>
          </cell>
        </row>
        <row r="23">
          <cell r="C23">
            <v>10671000</v>
          </cell>
          <cell r="D23">
            <v>0</v>
          </cell>
          <cell r="E23">
            <v>0</v>
          </cell>
          <cell r="F23">
            <v>0</v>
          </cell>
          <cell r="H23">
            <v>10259000</v>
          </cell>
          <cell r="I23">
            <v>0</v>
          </cell>
        </row>
        <row r="24">
          <cell r="C24">
            <v>11912000</v>
          </cell>
          <cell r="D24">
            <v>0</v>
          </cell>
          <cell r="E24">
            <v>0</v>
          </cell>
          <cell r="F24">
            <v>0</v>
          </cell>
          <cell r="H24">
            <v>11459000</v>
          </cell>
          <cell r="I24">
            <v>0</v>
          </cell>
        </row>
        <row r="25">
          <cell r="C25">
            <v>12263000</v>
          </cell>
          <cell r="D25">
            <v>0</v>
          </cell>
          <cell r="E25">
            <v>0</v>
          </cell>
          <cell r="F25">
            <v>0</v>
          </cell>
          <cell r="H25">
            <v>11736000</v>
          </cell>
          <cell r="I25">
            <v>0</v>
          </cell>
        </row>
        <row r="26">
          <cell r="C26">
            <v>12315000</v>
          </cell>
          <cell r="D26">
            <v>0</v>
          </cell>
          <cell r="E26">
            <v>0</v>
          </cell>
          <cell r="F26">
            <v>0</v>
          </cell>
          <cell r="H26">
            <v>11727000</v>
          </cell>
          <cell r="I26">
            <v>0</v>
          </cell>
        </row>
        <row r="27">
          <cell r="C27">
            <v>12292000</v>
          </cell>
          <cell r="D27">
            <v>0</v>
          </cell>
          <cell r="E27">
            <v>0</v>
          </cell>
          <cell r="F27">
            <v>0</v>
          </cell>
          <cell r="H27">
            <v>11739999.999999998</v>
          </cell>
          <cell r="I27">
            <v>0</v>
          </cell>
        </row>
        <row r="28">
          <cell r="C28">
            <v>12715000</v>
          </cell>
          <cell r="D28">
            <v>0</v>
          </cell>
          <cell r="E28">
            <v>0</v>
          </cell>
          <cell r="F28">
            <v>0</v>
          </cell>
          <cell r="H28">
            <v>12168000.000000004</v>
          </cell>
          <cell r="I28">
            <v>0</v>
          </cell>
        </row>
        <row r="29">
          <cell r="C29">
            <v>12464000</v>
          </cell>
          <cell r="D29">
            <v>0</v>
          </cell>
          <cell r="E29">
            <v>0</v>
          </cell>
          <cell r="F29">
            <v>0</v>
          </cell>
          <cell r="H29">
            <v>11979999.999999998</v>
          </cell>
          <cell r="I29">
            <v>0</v>
          </cell>
        </row>
        <row r="30">
          <cell r="C30">
            <v>11373000</v>
          </cell>
          <cell r="D30">
            <v>0</v>
          </cell>
          <cell r="E30">
            <v>7000000</v>
          </cell>
          <cell r="F30">
            <v>0</v>
          </cell>
          <cell r="H30">
            <v>10824000</v>
          </cell>
          <cell r="I30">
            <v>0</v>
          </cell>
        </row>
        <row r="31">
          <cell r="C31">
            <v>10705000</v>
          </cell>
          <cell r="D31">
            <v>0</v>
          </cell>
          <cell r="E31">
            <v>10000000</v>
          </cell>
          <cell r="F31">
            <v>0</v>
          </cell>
          <cell r="H31">
            <v>10081000.000000002</v>
          </cell>
          <cell r="I31">
            <v>0</v>
          </cell>
        </row>
        <row r="32">
          <cell r="C32">
            <v>10918000</v>
          </cell>
          <cell r="D32">
            <v>0</v>
          </cell>
          <cell r="E32">
            <v>10000000</v>
          </cell>
          <cell r="F32">
            <v>0</v>
          </cell>
          <cell r="H32">
            <v>10512999.999999998</v>
          </cell>
          <cell r="I32">
            <v>0</v>
          </cell>
        </row>
        <row r="33">
          <cell r="C33">
            <v>12292000</v>
          </cell>
          <cell r="D33">
            <v>0</v>
          </cell>
          <cell r="E33">
            <v>10000000</v>
          </cell>
          <cell r="F33">
            <v>0</v>
          </cell>
          <cell r="H33">
            <v>11810000</v>
          </cell>
          <cell r="I33">
            <v>0</v>
          </cell>
        </row>
        <row r="34">
          <cell r="C34">
            <v>12131000</v>
          </cell>
          <cell r="D34">
            <v>0</v>
          </cell>
          <cell r="E34">
            <v>11000000</v>
          </cell>
          <cell r="F34">
            <v>0</v>
          </cell>
          <cell r="H34">
            <v>11657000</v>
          </cell>
          <cell r="I34">
            <v>0</v>
          </cell>
        </row>
        <row r="259">
          <cell r="D259">
            <v>529000.00000000081</v>
          </cell>
          <cell r="H259">
            <v>0</v>
          </cell>
        </row>
        <row r="260">
          <cell r="D260">
            <v>607999.99999999965</v>
          </cell>
          <cell r="H260">
            <v>0</v>
          </cell>
        </row>
        <row r="261">
          <cell r="D261">
            <v>637999.99999999988</v>
          </cell>
          <cell r="H261">
            <v>0</v>
          </cell>
        </row>
        <row r="262">
          <cell r="D262">
            <v>500000</v>
          </cell>
          <cell r="H262">
            <v>0</v>
          </cell>
        </row>
        <row r="263">
          <cell r="D263">
            <v>541000.00000000035</v>
          </cell>
          <cell r="H263">
            <v>0</v>
          </cell>
        </row>
        <row r="264">
          <cell r="D264">
            <v>557999.99999999988</v>
          </cell>
          <cell r="H264">
            <v>0</v>
          </cell>
        </row>
        <row r="265">
          <cell r="D265">
            <v>463000.00000000006</v>
          </cell>
          <cell r="H265">
            <v>0</v>
          </cell>
        </row>
        <row r="266">
          <cell r="D266">
            <v>528999.99999999988</v>
          </cell>
          <cell r="H266">
            <v>0</v>
          </cell>
        </row>
        <row r="267">
          <cell r="D267">
            <v>467000.00000000052</v>
          </cell>
          <cell r="H267">
            <v>180671</v>
          </cell>
        </row>
        <row r="268">
          <cell r="D268">
            <v>526999.9999999993</v>
          </cell>
          <cell r="H268">
            <v>0</v>
          </cell>
        </row>
        <row r="269">
          <cell r="D269">
            <v>461000.00000000029</v>
          </cell>
          <cell r="H269">
            <v>0</v>
          </cell>
        </row>
        <row r="270">
          <cell r="D270">
            <v>331999.99999999895</v>
          </cell>
          <cell r="H270">
            <v>0</v>
          </cell>
        </row>
        <row r="271">
          <cell r="D271">
            <v>394000.00000000012</v>
          </cell>
          <cell r="H271">
            <v>0</v>
          </cell>
        </row>
        <row r="272">
          <cell r="D272">
            <v>605000.00000000047</v>
          </cell>
          <cell r="H272">
            <v>0</v>
          </cell>
        </row>
        <row r="273">
          <cell r="D273">
            <v>525000.00000000035</v>
          </cell>
          <cell r="H273">
            <v>0</v>
          </cell>
        </row>
        <row r="274">
          <cell r="D274">
            <v>468000</v>
          </cell>
          <cell r="H274">
            <v>58187</v>
          </cell>
        </row>
        <row r="275">
          <cell r="D275">
            <v>400000.00000000035</v>
          </cell>
          <cell r="H275">
            <v>60707</v>
          </cell>
        </row>
        <row r="276">
          <cell r="D276">
            <v>468999.99999999942</v>
          </cell>
          <cell r="H276">
            <v>34328</v>
          </cell>
        </row>
        <row r="277">
          <cell r="D277">
            <v>577000</v>
          </cell>
          <cell r="H277">
            <v>44426</v>
          </cell>
        </row>
        <row r="278">
          <cell r="D278">
            <v>412000.00000000081</v>
          </cell>
          <cell r="H278">
            <v>0</v>
          </cell>
        </row>
        <row r="279">
          <cell r="D279">
            <v>452999.99999999942</v>
          </cell>
          <cell r="H279">
            <v>1603</v>
          </cell>
        </row>
        <row r="280">
          <cell r="D280">
            <v>526999.9999999993</v>
          </cell>
          <cell r="H280">
            <v>0</v>
          </cell>
        </row>
        <row r="281">
          <cell r="D281">
            <v>588000.00000000093</v>
          </cell>
          <cell r="H281">
            <v>51483</v>
          </cell>
        </row>
        <row r="282">
          <cell r="D282">
            <v>552000.0000000014</v>
          </cell>
          <cell r="H282">
            <v>36640</v>
          </cell>
        </row>
        <row r="283">
          <cell r="D283">
            <v>546999.99999999709</v>
          </cell>
          <cell r="H283">
            <v>0</v>
          </cell>
        </row>
        <row r="284">
          <cell r="D284">
            <v>484000.00000000175</v>
          </cell>
          <cell r="H284">
            <v>0</v>
          </cell>
        </row>
        <row r="285">
          <cell r="D285">
            <v>548999.99999999953</v>
          </cell>
          <cell r="H285">
            <v>0</v>
          </cell>
        </row>
        <row r="286">
          <cell r="D286">
            <v>623999.99999999884</v>
          </cell>
          <cell r="H286">
            <v>0</v>
          </cell>
        </row>
        <row r="287">
          <cell r="D287">
            <v>405000.00000000116</v>
          </cell>
          <cell r="H287">
            <v>0</v>
          </cell>
        </row>
        <row r="288">
          <cell r="D288">
            <v>481999.9999999993</v>
          </cell>
          <cell r="H288">
            <v>0</v>
          </cell>
        </row>
        <row r="289">
          <cell r="D289">
            <v>474000.00000000017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11840000</v>
          </cell>
          <cell r="D4">
            <v>0</v>
          </cell>
          <cell r="E4">
            <v>10000000</v>
          </cell>
          <cell r="F4">
            <v>0</v>
          </cell>
          <cell r="H4">
            <v>11140000</v>
          </cell>
          <cell r="I4">
            <v>0</v>
          </cell>
        </row>
        <row r="5">
          <cell r="C5">
            <v>10834000</v>
          </cell>
          <cell r="D5">
            <v>0</v>
          </cell>
          <cell r="E5">
            <v>5000000</v>
          </cell>
          <cell r="F5">
            <v>0</v>
          </cell>
          <cell r="H5">
            <v>10351999.999999996</v>
          </cell>
          <cell r="I5">
            <v>0</v>
          </cell>
        </row>
        <row r="6">
          <cell r="C6">
            <v>12130000</v>
          </cell>
          <cell r="D6">
            <v>0</v>
          </cell>
          <cell r="E6">
            <v>0</v>
          </cell>
          <cell r="F6">
            <v>0</v>
          </cell>
          <cell r="H6">
            <v>11584000</v>
          </cell>
          <cell r="I6">
            <v>0</v>
          </cell>
        </row>
        <row r="7">
          <cell r="C7">
            <v>12044000</v>
          </cell>
          <cell r="D7">
            <v>0</v>
          </cell>
          <cell r="E7">
            <v>0</v>
          </cell>
          <cell r="F7">
            <v>0</v>
          </cell>
          <cell r="H7">
            <v>11497000</v>
          </cell>
          <cell r="I7">
            <v>0</v>
          </cell>
        </row>
        <row r="8">
          <cell r="C8">
            <v>12058000</v>
          </cell>
          <cell r="D8">
            <v>0</v>
          </cell>
          <cell r="E8">
            <v>0</v>
          </cell>
          <cell r="F8">
            <v>0</v>
          </cell>
          <cell r="H8">
            <v>11575000.000000004</v>
          </cell>
          <cell r="I8">
            <v>0</v>
          </cell>
        </row>
        <row r="9">
          <cell r="C9">
            <v>11683000</v>
          </cell>
          <cell r="D9">
            <v>0</v>
          </cell>
          <cell r="E9">
            <v>0</v>
          </cell>
          <cell r="F9">
            <v>0</v>
          </cell>
          <cell r="H9">
            <v>11063999.999999996</v>
          </cell>
          <cell r="I9">
            <v>0</v>
          </cell>
        </row>
        <row r="10">
          <cell r="C10">
            <v>12253000</v>
          </cell>
          <cell r="D10">
            <v>0</v>
          </cell>
          <cell r="E10">
            <v>0</v>
          </cell>
          <cell r="F10">
            <v>0</v>
          </cell>
          <cell r="H10">
            <v>11708000.000000002</v>
          </cell>
          <cell r="I10">
            <v>0</v>
          </cell>
        </row>
        <row r="11">
          <cell r="C11">
            <v>12008000</v>
          </cell>
          <cell r="D11">
            <v>0</v>
          </cell>
          <cell r="E11">
            <v>0</v>
          </cell>
          <cell r="F11">
            <v>0</v>
          </cell>
          <cell r="H11">
            <v>11380000</v>
          </cell>
          <cell r="I11">
            <v>0</v>
          </cell>
        </row>
        <row r="12">
          <cell r="C12">
            <v>11961000</v>
          </cell>
          <cell r="D12">
            <v>0</v>
          </cell>
          <cell r="E12">
            <v>0</v>
          </cell>
          <cell r="F12">
            <v>0</v>
          </cell>
          <cell r="H12">
            <v>11409000</v>
          </cell>
          <cell r="I12">
            <v>0</v>
          </cell>
        </row>
        <row r="13">
          <cell r="C13">
            <v>12049000</v>
          </cell>
          <cell r="D13">
            <v>0</v>
          </cell>
          <cell r="E13">
            <v>0</v>
          </cell>
          <cell r="H13">
            <v>11497999.999999998</v>
          </cell>
          <cell r="I13">
            <v>0</v>
          </cell>
        </row>
        <row r="14">
          <cell r="C14">
            <v>11780000</v>
          </cell>
          <cell r="D14">
            <v>0</v>
          </cell>
          <cell r="E14">
            <v>0</v>
          </cell>
          <cell r="H14">
            <v>11257000</v>
          </cell>
          <cell r="I14">
            <v>0</v>
          </cell>
        </row>
        <row r="15">
          <cell r="C15">
            <v>12214000</v>
          </cell>
          <cell r="D15">
            <v>0</v>
          </cell>
          <cell r="E15">
            <v>0</v>
          </cell>
          <cell r="H15">
            <v>11622000.000000002</v>
          </cell>
          <cell r="I15">
            <v>0</v>
          </cell>
        </row>
        <row r="16">
          <cell r="C16">
            <v>12219000</v>
          </cell>
          <cell r="D16">
            <v>0</v>
          </cell>
          <cell r="E16">
            <v>0</v>
          </cell>
          <cell r="H16">
            <v>11666000</v>
          </cell>
          <cell r="I16">
            <v>0</v>
          </cell>
        </row>
        <row r="17">
          <cell r="C17">
            <v>11760000</v>
          </cell>
          <cell r="D17">
            <v>0</v>
          </cell>
          <cell r="E17">
            <v>0</v>
          </cell>
          <cell r="H17">
            <v>11359000</v>
          </cell>
          <cell r="I17">
            <v>0</v>
          </cell>
        </row>
        <row r="18">
          <cell r="C18">
            <v>12145000</v>
          </cell>
          <cell r="D18">
            <v>0</v>
          </cell>
          <cell r="E18">
            <v>0</v>
          </cell>
          <cell r="H18">
            <v>11813000</v>
          </cell>
          <cell r="I18">
            <v>0</v>
          </cell>
        </row>
        <row r="19">
          <cell r="C19">
            <v>11994000</v>
          </cell>
          <cell r="D19">
            <v>0</v>
          </cell>
          <cell r="E19">
            <v>0</v>
          </cell>
          <cell r="H19">
            <v>11538000</v>
          </cell>
          <cell r="I19">
            <v>0</v>
          </cell>
        </row>
        <row r="20">
          <cell r="C20">
            <v>12372000</v>
          </cell>
          <cell r="D20">
            <v>0</v>
          </cell>
          <cell r="E20">
            <v>0</v>
          </cell>
          <cell r="H20">
            <v>11983000</v>
          </cell>
          <cell r="I20">
            <v>0</v>
          </cell>
        </row>
        <row r="21">
          <cell r="C21">
            <v>12122000</v>
          </cell>
          <cell r="D21">
            <v>0</v>
          </cell>
          <cell r="E21">
            <v>0</v>
          </cell>
          <cell r="H21">
            <v>11665000</v>
          </cell>
          <cell r="I21">
            <v>0</v>
          </cell>
        </row>
        <row r="22">
          <cell r="C22">
            <v>11958000</v>
          </cell>
          <cell r="D22">
            <v>0</v>
          </cell>
          <cell r="E22">
            <v>0</v>
          </cell>
          <cell r="H22">
            <v>11633000</v>
          </cell>
          <cell r="I22">
            <v>0</v>
          </cell>
        </row>
        <row r="23">
          <cell r="C23">
            <v>11767000</v>
          </cell>
          <cell r="D23">
            <v>0</v>
          </cell>
          <cell r="E23">
            <v>0</v>
          </cell>
          <cell r="H23">
            <v>11312000.000000002</v>
          </cell>
          <cell r="I23">
            <v>0</v>
          </cell>
        </row>
        <row r="24">
          <cell r="C24">
            <v>12754000</v>
          </cell>
          <cell r="D24">
            <v>0</v>
          </cell>
          <cell r="E24">
            <v>0</v>
          </cell>
          <cell r="H24">
            <v>12301999.999999998</v>
          </cell>
          <cell r="I24">
            <v>0</v>
          </cell>
        </row>
        <row r="25">
          <cell r="C25">
            <v>12135000</v>
          </cell>
          <cell r="D25">
            <v>0</v>
          </cell>
          <cell r="E25">
            <v>0</v>
          </cell>
          <cell r="H25">
            <v>11747000.000000002</v>
          </cell>
          <cell r="I25">
            <v>0</v>
          </cell>
        </row>
        <row r="26">
          <cell r="C26">
            <v>11864000</v>
          </cell>
          <cell r="D26">
            <v>0</v>
          </cell>
          <cell r="E26">
            <v>0</v>
          </cell>
          <cell r="H26">
            <v>11477000</v>
          </cell>
          <cell r="I26">
            <v>0</v>
          </cell>
        </row>
        <row r="27">
          <cell r="C27">
            <v>10144000</v>
          </cell>
          <cell r="D27">
            <v>0</v>
          </cell>
          <cell r="E27">
            <v>0</v>
          </cell>
          <cell r="H27">
            <v>9687000</v>
          </cell>
          <cell r="I27">
            <v>0</v>
          </cell>
        </row>
        <row r="28">
          <cell r="C28">
            <v>12203000</v>
          </cell>
          <cell r="D28">
            <v>0</v>
          </cell>
          <cell r="E28">
            <v>0</v>
          </cell>
          <cell r="H28">
            <v>11877000</v>
          </cell>
          <cell r="I28">
            <v>0</v>
          </cell>
        </row>
        <row r="29">
          <cell r="C29">
            <v>11702000</v>
          </cell>
          <cell r="D29">
            <v>0</v>
          </cell>
          <cell r="E29">
            <v>0</v>
          </cell>
          <cell r="H29">
            <v>11446000</v>
          </cell>
          <cell r="I29">
            <v>0</v>
          </cell>
        </row>
        <row r="30">
          <cell r="C30">
            <v>12140000</v>
          </cell>
          <cell r="D30">
            <v>0</v>
          </cell>
          <cell r="E30">
            <v>0</v>
          </cell>
          <cell r="H30">
            <v>11820999.999999998</v>
          </cell>
          <cell r="I30">
            <v>0</v>
          </cell>
        </row>
        <row r="31">
          <cell r="C31">
            <v>12121000</v>
          </cell>
          <cell r="D31">
            <v>0</v>
          </cell>
          <cell r="E31">
            <v>0</v>
          </cell>
          <cell r="F31">
            <v>0</v>
          </cell>
          <cell r="H31">
            <v>11864000.000000002</v>
          </cell>
          <cell r="I31">
            <v>0</v>
          </cell>
        </row>
        <row r="32">
          <cell r="C32">
            <v>11965000</v>
          </cell>
          <cell r="D32">
            <v>0</v>
          </cell>
          <cell r="E32">
            <v>0</v>
          </cell>
          <cell r="F32">
            <v>0</v>
          </cell>
          <cell r="H32">
            <v>11645000</v>
          </cell>
          <cell r="I32">
            <v>0</v>
          </cell>
        </row>
        <row r="33">
          <cell r="C33">
            <v>10589000</v>
          </cell>
          <cell r="D33">
            <v>0</v>
          </cell>
          <cell r="F33">
            <v>0</v>
          </cell>
          <cell r="H33">
            <v>10397000</v>
          </cell>
          <cell r="I33">
            <v>0</v>
          </cell>
        </row>
        <row r="34">
          <cell r="C34">
            <v>12215000</v>
          </cell>
          <cell r="D34">
            <v>0</v>
          </cell>
          <cell r="E34">
            <v>0</v>
          </cell>
          <cell r="F34">
            <v>0</v>
          </cell>
          <cell r="H34">
            <v>11634000.000000004</v>
          </cell>
          <cell r="I34">
            <v>0</v>
          </cell>
        </row>
        <row r="259">
          <cell r="D259">
            <v>699999.9999999993</v>
          </cell>
          <cell r="H259">
            <v>0</v>
          </cell>
        </row>
        <row r="260">
          <cell r="D260">
            <v>482000.00000000285</v>
          </cell>
          <cell r="H260">
            <v>0</v>
          </cell>
        </row>
        <row r="261">
          <cell r="D261">
            <v>545999.99999999942</v>
          </cell>
          <cell r="H261">
            <v>0</v>
          </cell>
        </row>
        <row r="262">
          <cell r="D262">
            <v>547000.00000000058</v>
          </cell>
          <cell r="H262">
            <v>0</v>
          </cell>
        </row>
        <row r="263">
          <cell r="D263">
            <v>482999.99999999697</v>
          </cell>
          <cell r="H263">
            <v>0</v>
          </cell>
        </row>
        <row r="264">
          <cell r="D264">
            <v>619000.00000000338</v>
          </cell>
          <cell r="H264">
            <v>0</v>
          </cell>
        </row>
        <row r="265">
          <cell r="D265">
            <v>544999.99999999814</v>
          </cell>
          <cell r="H265">
            <v>0</v>
          </cell>
        </row>
        <row r="266">
          <cell r="D266">
            <v>628000.00000000012</v>
          </cell>
          <cell r="H266">
            <v>0</v>
          </cell>
        </row>
        <row r="267">
          <cell r="D267">
            <v>551999.99999999965</v>
          </cell>
          <cell r="H267">
            <v>0</v>
          </cell>
        </row>
        <row r="268">
          <cell r="D268">
            <v>551000.00000000198</v>
          </cell>
          <cell r="H268">
            <v>0</v>
          </cell>
        </row>
        <row r="269">
          <cell r="D269">
            <v>522999.99999999971</v>
          </cell>
          <cell r="H269">
            <v>0</v>
          </cell>
        </row>
        <row r="270">
          <cell r="D270">
            <v>591999.99999999872</v>
          </cell>
          <cell r="H270">
            <v>0</v>
          </cell>
        </row>
        <row r="271">
          <cell r="D271">
            <v>553000.00000000081</v>
          </cell>
          <cell r="H271">
            <v>0</v>
          </cell>
        </row>
        <row r="272">
          <cell r="D272">
            <v>400999.99999999983</v>
          </cell>
          <cell r="H272">
            <v>0</v>
          </cell>
        </row>
        <row r="273">
          <cell r="D273">
            <v>332000.00000000076</v>
          </cell>
          <cell r="H273">
            <v>0</v>
          </cell>
        </row>
        <row r="274">
          <cell r="D274">
            <v>455999.99999999953</v>
          </cell>
          <cell r="H274">
            <v>0</v>
          </cell>
        </row>
        <row r="275">
          <cell r="D275">
            <v>388999.99999999936</v>
          </cell>
          <cell r="H275">
            <v>0</v>
          </cell>
        </row>
        <row r="276">
          <cell r="D276">
            <v>457000.00000000076</v>
          </cell>
          <cell r="H276">
            <v>0</v>
          </cell>
        </row>
        <row r="277">
          <cell r="D277">
            <v>324999.9999999993</v>
          </cell>
          <cell r="H277">
            <v>0</v>
          </cell>
        </row>
        <row r="278">
          <cell r="D278">
            <v>454999.99999999831</v>
          </cell>
          <cell r="H278">
            <v>0</v>
          </cell>
        </row>
        <row r="279">
          <cell r="D279">
            <v>452000.00000000175</v>
          </cell>
          <cell r="H279">
            <v>0</v>
          </cell>
        </row>
        <row r="280">
          <cell r="D280">
            <v>387999.99999999814</v>
          </cell>
          <cell r="H280">
            <v>0</v>
          </cell>
        </row>
        <row r="281">
          <cell r="D281">
            <v>387000.00000000047</v>
          </cell>
          <cell r="H281">
            <v>0</v>
          </cell>
        </row>
        <row r="282">
          <cell r="D282">
            <v>457000.00000000076</v>
          </cell>
          <cell r="H282">
            <v>0</v>
          </cell>
        </row>
        <row r="283">
          <cell r="D283">
            <v>326000.00000000052</v>
          </cell>
          <cell r="H283">
            <v>0</v>
          </cell>
        </row>
        <row r="284">
          <cell r="D284">
            <v>256000.00000000023</v>
          </cell>
          <cell r="H284">
            <v>0</v>
          </cell>
        </row>
        <row r="285">
          <cell r="D285">
            <v>319000.00000000262</v>
          </cell>
          <cell r="H285">
            <v>0</v>
          </cell>
        </row>
        <row r="286">
          <cell r="D286">
            <v>256999.9999999979</v>
          </cell>
          <cell r="H286">
            <v>0</v>
          </cell>
        </row>
        <row r="287">
          <cell r="D287">
            <v>320000.00000000029</v>
          </cell>
          <cell r="H287">
            <v>0</v>
          </cell>
        </row>
        <row r="288">
          <cell r="D288">
            <v>192000.00000000017</v>
          </cell>
          <cell r="H288">
            <v>0</v>
          </cell>
        </row>
        <row r="289">
          <cell r="D289">
            <v>580999.99999999593</v>
          </cell>
          <cell r="H2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Feb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C4">
            <v>12055000</v>
          </cell>
          <cell r="D4">
            <v>0</v>
          </cell>
          <cell r="E4">
            <v>0</v>
          </cell>
          <cell r="F4">
            <v>0</v>
          </cell>
          <cell r="H4">
            <v>11051000</v>
          </cell>
          <cell r="I4">
            <v>0</v>
          </cell>
        </row>
        <row r="5">
          <cell r="C5">
            <v>11875000</v>
          </cell>
          <cell r="D5">
            <v>0</v>
          </cell>
          <cell r="E5">
            <v>0</v>
          </cell>
          <cell r="F5">
            <v>0</v>
          </cell>
          <cell r="H5">
            <v>11570000</v>
          </cell>
          <cell r="I5">
            <v>0</v>
          </cell>
        </row>
        <row r="6">
          <cell r="C6">
            <v>12039000</v>
          </cell>
          <cell r="D6">
            <v>0</v>
          </cell>
          <cell r="E6">
            <v>0</v>
          </cell>
          <cell r="F6">
            <v>0</v>
          </cell>
          <cell r="H6">
            <v>11567000</v>
          </cell>
          <cell r="I6">
            <v>0</v>
          </cell>
        </row>
        <row r="7">
          <cell r="C7">
            <v>11824000</v>
          </cell>
          <cell r="D7">
            <v>1000</v>
          </cell>
          <cell r="E7">
            <v>0</v>
          </cell>
          <cell r="F7">
            <v>0</v>
          </cell>
          <cell r="H7">
            <v>11482000</v>
          </cell>
          <cell r="I7">
            <v>0</v>
          </cell>
        </row>
        <row r="8">
          <cell r="C8">
            <v>11441000</v>
          </cell>
          <cell r="D8">
            <v>0</v>
          </cell>
          <cell r="E8">
            <v>0</v>
          </cell>
          <cell r="F8">
            <v>0</v>
          </cell>
          <cell r="H8">
            <v>11006000</v>
          </cell>
          <cell r="I8">
            <v>0</v>
          </cell>
        </row>
        <row r="9">
          <cell r="C9">
            <v>10891000</v>
          </cell>
          <cell r="D9">
            <v>2000</v>
          </cell>
          <cell r="E9">
            <v>0</v>
          </cell>
          <cell r="F9">
            <v>0</v>
          </cell>
          <cell r="H9">
            <v>10523000</v>
          </cell>
          <cell r="I9">
            <v>0</v>
          </cell>
        </row>
        <row r="10">
          <cell r="C10">
            <v>11085000</v>
          </cell>
          <cell r="D10">
            <v>0</v>
          </cell>
          <cell r="E10">
            <v>0</v>
          </cell>
          <cell r="F10">
            <v>0</v>
          </cell>
          <cell r="H10">
            <v>10716000</v>
          </cell>
          <cell r="I10">
            <v>0</v>
          </cell>
        </row>
        <row r="11">
          <cell r="C11">
            <v>11827000</v>
          </cell>
          <cell r="D11">
            <v>0</v>
          </cell>
          <cell r="E11">
            <v>0</v>
          </cell>
          <cell r="F11">
            <v>0</v>
          </cell>
          <cell r="H11">
            <v>11392000</v>
          </cell>
          <cell r="I11">
            <v>0</v>
          </cell>
        </row>
        <row r="12">
          <cell r="C12">
            <v>12005000</v>
          </cell>
          <cell r="D12">
            <v>0</v>
          </cell>
          <cell r="E12">
            <v>0</v>
          </cell>
          <cell r="F12">
            <v>0</v>
          </cell>
          <cell r="H12">
            <v>11637000</v>
          </cell>
          <cell r="I12">
            <v>0</v>
          </cell>
        </row>
        <row r="13">
          <cell r="C13">
            <v>12124000</v>
          </cell>
          <cell r="D13">
            <v>0</v>
          </cell>
          <cell r="E13">
            <v>0</v>
          </cell>
          <cell r="F13">
            <v>0</v>
          </cell>
          <cell r="H13">
            <v>11691000</v>
          </cell>
          <cell r="I13">
            <v>0</v>
          </cell>
        </row>
        <row r="14">
          <cell r="C14">
            <v>12057000</v>
          </cell>
          <cell r="D14">
            <v>0</v>
          </cell>
          <cell r="E14">
            <v>0</v>
          </cell>
          <cell r="F14">
            <v>0</v>
          </cell>
          <cell r="H14">
            <v>11633000</v>
          </cell>
          <cell r="I14">
            <v>0</v>
          </cell>
        </row>
        <row r="15">
          <cell r="C15">
            <v>11783000</v>
          </cell>
          <cell r="D15">
            <v>0</v>
          </cell>
          <cell r="E15">
            <v>0</v>
          </cell>
          <cell r="F15">
            <v>0</v>
          </cell>
          <cell r="H15">
            <v>11509000</v>
          </cell>
          <cell r="I15">
            <v>0</v>
          </cell>
        </row>
        <row r="16">
          <cell r="C16">
            <v>12104000</v>
          </cell>
          <cell r="D16">
            <v>0</v>
          </cell>
          <cell r="E16">
            <v>0</v>
          </cell>
          <cell r="F16">
            <v>0</v>
          </cell>
          <cell r="H16">
            <v>11736000</v>
          </cell>
          <cell r="I16">
            <v>0</v>
          </cell>
        </row>
        <row r="17">
          <cell r="C17">
            <v>12078000</v>
          </cell>
          <cell r="D17">
            <v>0</v>
          </cell>
          <cell r="E17">
            <v>0</v>
          </cell>
          <cell r="F17">
            <v>0</v>
          </cell>
          <cell r="H17">
            <v>11671000</v>
          </cell>
          <cell r="I17">
            <v>0</v>
          </cell>
        </row>
        <row r="18">
          <cell r="C18">
            <v>11974000</v>
          </cell>
          <cell r="D18">
            <v>0</v>
          </cell>
          <cell r="E18">
            <v>0</v>
          </cell>
          <cell r="F18">
            <v>0</v>
          </cell>
          <cell r="H18">
            <v>11655000</v>
          </cell>
          <cell r="I18">
            <v>0</v>
          </cell>
        </row>
        <row r="19">
          <cell r="C19">
            <v>12034000</v>
          </cell>
          <cell r="D19">
            <v>0</v>
          </cell>
          <cell r="E19">
            <v>0</v>
          </cell>
          <cell r="F19">
            <v>0</v>
          </cell>
          <cell r="H19">
            <v>11702000</v>
          </cell>
          <cell r="I19">
            <v>0</v>
          </cell>
        </row>
        <row r="20">
          <cell r="C20">
            <v>11812000</v>
          </cell>
          <cell r="D20">
            <v>0</v>
          </cell>
          <cell r="E20">
            <v>0</v>
          </cell>
          <cell r="F20">
            <v>0</v>
          </cell>
          <cell r="H20">
            <v>11479000</v>
          </cell>
          <cell r="I20">
            <v>0</v>
          </cell>
        </row>
        <row r="21">
          <cell r="C21">
            <v>11975000</v>
          </cell>
          <cell r="D21">
            <v>0</v>
          </cell>
          <cell r="E21">
            <v>0</v>
          </cell>
          <cell r="F21">
            <v>0</v>
          </cell>
          <cell r="H21">
            <v>11570000</v>
          </cell>
          <cell r="I21">
            <v>0</v>
          </cell>
        </row>
        <row r="22">
          <cell r="C22">
            <v>12304000</v>
          </cell>
          <cell r="D22">
            <v>0</v>
          </cell>
          <cell r="E22">
            <v>0</v>
          </cell>
          <cell r="F22">
            <v>0</v>
          </cell>
          <cell r="H22">
            <v>11887000</v>
          </cell>
          <cell r="I22">
            <v>0</v>
          </cell>
        </row>
        <row r="23">
          <cell r="C23">
            <v>11942000</v>
          </cell>
          <cell r="D23">
            <v>6000</v>
          </cell>
          <cell r="E23">
            <v>0</v>
          </cell>
          <cell r="F23">
            <v>0</v>
          </cell>
          <cell r="H23">
            <v>11585999.999999998</v>
          </cell>
          <cell r="I23">
            <v>0</v>
          </cell>
        </row>
        <row r="24">
          <cell r="C24">
            <v>11745000</v>
          </cell>
          <cell r="D24">
            <v>385000</v>
          </cell>
          <cell r="E24">
            <v>0</v>
          </cell>
          <cell r="F24">
            <v>0</v>
          </cell>
          <cell r="H24">
            <v>10966000</v>
          </cell>
          <cell r="I24">
            <v>0</v>
          </cell>
        </row>
        <row r="25">
          <cell r="C25">
            <v>11024000</v>
          </cell>
          <cell r="D25">
            <v>0</v>
          </cell>
          <cell r="E25">
            <v>0</v>
          </cell>
          <cell r="F25">
            <v>0</v>
          </cell>
          <cell r="H25">
            <v>10581000</v>
          </cell>
          <cell r="I25">
            <v>0</v>
          </cell>
        </row>
        <row r="26">
          <cell r="C26">
            <v>11474000</v>
          </cell>
          <cell r="D26">
            <v>0</v>
          </cell>
          <cell r="E26">
            <v>0</v>
          </cell>
          <cell r="F26">
            <v>0</v>
          </cell>
          <cell r="H26">
            <v>11081000.000000002</v>
          </cell>
          <cell r="I26">
            <v>0</v>
          </cell>
        </row>
        <row r="27">
          <cell r="C27">
            <v>11555000</v>
          </cell>
          <cell r="D27">
            <v>635000</v>
          </cell>
          <cell r="E27">
            <v>0</v>
          </cell>
          <cell r="F27">
            <v>620000</v>
          </cell>
          <cell r="H27">
            <v>10614000</v>
          </cell>
          <cell r="I27">
            <v>0</v>
          </cell>
        </row>
        <row r="28">
          <cell r="C28">
            <v>12384000</v>
          </cell>
          <cell r="D28">
            <v>0</v>
          </cell>
          <cell r="E28">
            <v>0</v>
          </cell>
          <cell r="F28">
            <v>680000</v>
          </cell>
          <cell r="H28">
            <v>12010000</v>
          </cell>
          <cell r="I28">
            <v>0</v>
          </cell>
        </row>
        <row r="29">
          <cell r="C29">
            <v>12432000</v>
          </cell>
          <cell r="D29">
            <v>0</v>
          </cell>
          <cell r="E29">
            <v>0</v>
          </cell>
          <cell r="F29">
            <v>410000</v>
          </cell>
          <cell r="H29">
            <v>11989000</v>
          </cell>
          <cell r="I29">
            <v>0</v>
          </cell>
        </row>
        <row r="30">
          <cell r="C30">
            <v>12056000</v>
          </cell>
          <cell r="D30">
            <v>0</v>
          </cell>
          <cell r="E30">
            <v>0</v>
          </cell>
          <cell r="F30">
            <v>4110000.0000000005</v>
          </cell>
          <cell r="H30">
            <v>11595000</v>
          </cell>
          <cell r="I30">
            <v>0</v>
          </cell>
        </row>
        <row r="31">
          <cell r="C31">
            <v>12202000</v>
          </cell>
          <cell r="D31">
            <v>0</v>
          </cell>
          <cell r="E31">
            <v>0</v>
          </cell>
          <cell r="F31">
            <v>4540000</v>
          </cell>
          <cell r="H31">
            <v>11828000.000000002</v>
          </cell>
          <cell r="I31">
            <v>3000000</v>
          </cell>
        </row>
        <row r="245">
          <cell r="D245">
            <v>1004000</v>
          </cell>
          <cell r="H245">
            <v>0</v>
          </cell>
        </row>
        <row r="246">
          <cell r="D246">
            <v>304999.99999999994</v>
          </cell>
          <cell r="H246">
            <v>0</v>
          </cell>
        </row>
        <row r="247">
          <cell r="D247">
            <v>472000</v>
          </cell>
          <cell r="H247">
            <v>218372</v>
          </cell>
        </row>
        <row r="248">
          <cell r="D248">
            <v>343000.00000000017</v>
          </cell>
          <cell r="H248">
            <v>0</v>
          </cell>
        </row>
        <row r="249">
          <cell r="D249">
            <v>435000.00000000006</v>
          </cell>
          <cell r="H249">
            <v>0</v>
          </cell>
        </row>
        <row r="250">
          <cell r="D250">
            <v>369999.99999999965</v>
          </cell>
          <cell r="H250">
            <v>0</v>
          </cell>
        </row>
        <row r="251">
          <cell r="D251">
            <v>369000.00000000023</v>
          </cell>
          <cell r="H251">
            <v>0</v>
          </cell>
        </row>
        <row r="252">
          <cell r="D252">
            <v>435000.00000000006</v>
          </cell>
          <cell r="H252">
            <v>0</v>
          </cell>
        </row>
        <row r="253">
          <cell r="D253">
            <v>367999.99999999988</v>
          </cell>
          <cell r="H253">
            <v>0</v>
          </cell>
        </row>
        <row r="254">
          <cell r="D254">
            <v>432999.99999999983</v>
          </cell>
          <cell r="H254">
            <v>0</v>
          </cell>
        </row>
        <row r="255">
          <cell r="D255">
            <v>424000.00000000035</v>
          </cell>
          <cell r="H255">
            <v>74377</v>
          </cell>
        </row>
        <row r="256">
          <cell r="D256">
            <v>274000</v>
          </cell>
          <cell r="H256">
            <v>0</v>
          </cell>
        </row>
        <row r="257">
          <cell r="D257">
            <v>367999.99999999942</v>
          </cell>
          <cell r="H257">
            <v>0</v>
          </cell>
        </row>
        <row r="258">
          <cell r="D258">
            <v>407000</v>
          </cell>
          <cell r="H258">
            <v>0</v>
          </cell>
        </row>
        <row r="259">
          <cell r="D259">
            <v>318999.99999999994</v>
          </cell>
          <cell r="H259">
            <v>0</v>
          </cell>
        </row>
        <row r="260">
          <cell r="D260">
            <v>332000.00000000076</v>
          </cell>
          <cell r="H260">
            <v>0</v>
          </cell>
        </row>
        <row r="261">
          <cell r="D261">
            <v>332999.9999999993</v>
          </cell>
          <cell r="H261">
            <v>117803</v>
          </cell>
        </row>
        <row r="262">
          <cell r="D262">
            <v>405000.00000000023</v>
          </cell>
          <cell r="H262">
            <v>39293</v>
          </cell>
        </row>
        <row r="263">
          <cell r="D263">
            <v>416999.99999999983</v>
          </cell>
          <cell r="H263">
            <v>0</v>
          </cell>
        </row>
        <row r="264">
          <cell r="D264">
            <v>362000.00000000099</v>
          </cell>
          <cell r="H264">
            <v>0</v>
          </cell>
        </row>
        <row r="265">
          <cell r="D265">
            <v>394000.00000000012</v>
          </cell>
          <cell r="H265">
            <v>0</v>
          </cell>
        </row>
        <row r="266">
          <cell r="D266">
            <v>442999.99999999959</v>
          </cell>
          <cell r="H266">
            <v>0</v>
          </cell>
        </row>
        <row r="267">
          <cell r="D267">
            <v>392999.99999999889</v>
          </cell>
          <cell r="H267">
            <v>0</v>
          </cell>
        </row>
        <row r="268">
          <cell r="D268">
            <v>306000.00000000093</v>
          </cell>
          <cell r="H268">
            <v>0</v>
          </cell>
        </row>
        <row r="269">
          <cell r="D269">
            <v>374000.00000000058</v>
          </cell>
          <cell r="H269">
            <v>0</v>
          </cell>
        </row>
        <row r="270">
          <cell r="D270">
            <v>442999.99999999959</v>
          </cell>
          <cell r="H270">
            <v>88046</v>
          </cell>
        </row>
        <row r="271">
          <cell r="D271">
            <v>461000.00000000029</v>
          </cell>
          <cell r="H271">
            <v>515346</v>
          </cell>
        </row>
        <row r="272">
          <cell r="D272">
            <v>373999.99999999878</v>
          </cell>
          <cell r="H272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12031000</v>
          </cell>
          <cell r="D4">
            <v>0</v>
          </cell>
          <cell r="E4">
            <v>0</v>
          </cell>
          <cell r="F4">
            <v>0</v>
          </cell>
          <cell r="H4">
            <v>11587000</v>
          </cell>
          <cell r="I4">
            <v>0</v>
          </cell>
        </row>
        <row r="5">
          <cell r="C5">
            <v>10535000</v>
          </cell>
          <cell r="D5">
            <v>0</v>
          </cell>
          <cell r="E5">
            <v>0</v>
          </cell>
          <cell r="F5">
            <v>0</v>
          </cell>
          <cell r="H5">
            <v>10211000</v>
          </cell>
          <cell r="I5">
            <v>0</v>
          </cell>
        </row>
        <row r="6">
          <cell r="C6">
            <v>9286000</v>
          </cell>
          <cell r="D6">
            <v>0</v>
          </cell>
          <cell r="E6">
            <v>0</v>
          </cell>
          <cell r="F6">
            <v>3270000</v>
          </cell>
          <cell r="H6">
            <v>8842000</v>
          </cell>
          <cell r="I6">
            <v>3799999.9999992726</v>
          </cell>
        </row>
        <row r="7">
          <cell r="C7">
            <v>6275000</v>
          </cell>
          <cell r="D7">
            <v>0</v>
          </cell>
          <cell r="E7">
            <v>0</v>
          </cell>
          <cell r="F7">
            <v>4900000</v>
          </cell>
          <cell r="H7">
            <v>5952000</v>
          </cell>
          <cell r="I7">
            <v>6099999.9999985453</v>
          </cell>
        </row>
        <row r="8">
          <cell r="C8">
            <v>5541000</v>
          </cell>
          <cell r="D8">
            <v>0</v>
          </cell>
          <cell r="E8">
            <v>0</v>
          </cell>
          <cell r="F8">
            <v>5040000</v>
          </cell>
          <cell r="H8">
            <v>5285000</v>
          </cell>
          <cell r="I8">
            <v>4500000</v>
          </cell>
        </row>
        <row r="9">
          <cell r="C9">
            <v>5544000</v>
          </cell>
          <cell r="D9">
            <v>0</v>
          </cell>
          <cell r="E9">
            <v>0</v>
          </cell>
          <cell r="F9">
            <v>4950000</v>
          </cell>
          <cell r="H9">
            <v>5348000</v>
          </cell>
          <cell r="I9">
            <v>6400000.0000014547</v>
          </cell>
        </row>
        <row r="10">
          <cell r="C10">
            <v>4959000</v>
          </cell>
          <cell r="D10">
            <v>0</v>
          </cell>
          <cell r="E10">
            <v>0</v>
          </cell>
          <cell r="F10">
            <v>4970000</v>
          </cell>
          <cell r="H10">
            <v>4523999.9999999991</v>
          </cell>
          <cell r="I10">
            <v>5399999.999997817</v>
          </cell>
        </row>
        <row r="11">
          <cell r="C11">
            <v>6019000</v>
          </cell>
          <cell r="D11">
            <v>0</v>
          </cell>
          <cell r="E11">
            <v>0</v>
          </cell>
          <cell r="F11">
            <v>5060000</v>
          </cell>
          <cell r="H11">
            <v>5764000.0000000009</v>
          </cell>
          <cell r="I11">
            <v>5700000.0000007274</v>
          </cell>
        </row>
        <row r="12">
          <cell r="C12">
            <v>7596000</v>
          </cell>
          <cell r="D12">
            <v>0</v>
          </cell>
          <cell r="E12">
            <v>0</v>
          </cell>
          <cell r="F12">
            <v>4690000</v>
          </cell>
          <cell r="H12">
            <v>7314000</v>
          </cell>
          <cell r="I12">
            <v>5000000</v>
          </cell>
        </row>
        <row r="13">
          <cell r="C13">
            <v>7535000</v>
          </cell>
          <cell r="D13">
            <v>0</v>
          </cell>
          <cell r="E13">
            <v>0</v>
          </cell>
          <cell r="F13">
            <v>5110000</v>
          </cell>
          <cell r="H13">
            <v>7135000</v>
          </cell>
          <cell r="I13">
            <v>5200000.0000007274</v>
          </cell>
        </row>
        <row r="14">
          <cell r="C14">
            <v>7024000</v>
          </cell>
          <cell r="D14">
            <v>0</v>
          </cell>
          <cell r="E14">
            <v>0</v>
          </cell>
          <cell r="F14">
            <v>5800000</v>
          </cell>
          <cell r="H14">
            <v>6733000</v>
          </cell>
          <cell r="I14">
            <v>3500000</v>
          </cell>
        </row>
        <row r="15">
          <cell r="C15">
            <v>5580000</v>
          </cell>
          <cell r="D15">
            <v>0</v>
          </cell>
          <cell r="E15">
            <v>0</v>
          </cell>
          <cell r="F15">
            <v>5870000</v>
          </cell>
          <cell r="H15">
            <v>5292999.9999999991</v>
          </cell>
          <cell r="I15">
            <v>8200000.0000007274</v>
          </cell>
        </row>
        <row r="16">
          <cell r="C16">
            <v>4799000</v>
          </cell>
          <cell r="D16">
            <v>0</v>
          </cell>
          <cell r="E16">
            <v>0</v>
          </cell>
          <cell r="F16">
            <v>4790000</v>
          </cell>
          <cell r="H16">
            <v>4544000.0000000009</v>
          </cell>
          <cell r="I16">
            <v>5000000</v>
          </cell>
        </row>
        <row r="17">
          <cell r="C17">
            <v>5623000</v>
          </cell>
          <cell r="D17">
            <v>3000</v>
          </cell>
          <cell r="E17">
            <v>0</v>
          </cell>
          <cell r="F17">
            <v>5090000</v>
          </cell>
          <cell r="H17">
            <v>5302000</v>
          </cell>
          <cell r="I17">
            <v>5000000</v>
          </cell>
        </row>
        <row r="18">
          <cell r="C18">
            <v>7013000</v>
          </cell>
          <cell r="D18">
            <v>0</v>
          </cell>
          <cell r="E18">
            <v>0</v>
          </cell>
          <cell r="F18">
            <v>5010000</v>
          </cell>
          <cell r="H18">
            <v>6629999.9999999991</v>
          </cell>
          <cell r="I18">
            <v>5200000.0000007274</v>
          </cell>
        </row>
        <row r="19">
          <cell r="C19">
            <v>6982000</v>
          </cell>
          <cell r="D19">
            <v>0</v>
          </cell>
          <cell r="E19">
            <v>0</v>
          </cell>
          <cell r="F19">
            <v>4990000</v>
          </cell>
          <cell r="H19">
            <v>6806999.9999999991</v>
          </cell>
          <cell r="I19">
            <v>5199999.9999970896</v>
          </cell>
        </row>
        <row r="20">
          <cell r="C20">
            <v>6952000</v>
          </cell>
          <cell r="D20">
            <v>0</v>
          </cell>
          <cell r="E20">
            <v>0</v>
          </cell>
          <cell r="F20">
            <v>4990000</v>
          </cell>
          <cell r="H20">
            <v>6688000.0000000009</v>
          </cell>
          <cell r="I20">
            <v>5400000.0000014547</v>
          </cell>
        </row>
        <row r="21">
          <cell r="C21">
            <v>2833000</v>
          </cell>
          <cell r="D21">
            <v>0</v>
          </cell>
          <cell r="E21">
            <v>0</v>
          </cell>
          <cell r="F21">
            <v>8780000</v>
          </cell>
          <cell r="H21">
            <v>2442000.0000000019</v>
          </cell>
          <cell r="I21">
            <v>8000000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9530000</v>
          </cell>
          <cell r="H22">
            <v>0</v>
          </cell>
          <cell r="I22">
            <v>10500000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10880000</v>
          </cell>
          <cell r="H23">
            <v>0</v>
          </cell>
          <cell r="I23">
            <v>11299999.999999272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9260000</v>
          </cell>
          <cell r="H24">
            <v>0</v>
          </cell>
          <cell r="I24">
            <v>9000000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8350000</v>
          </cell>
          <cell r="H25">
            <v>0</v>
          </cell>
          <cell r="I25">
            <v>9400000.0000014547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10420000</v>
          </cell>
          <cell r="H26">
            <v>0</v>
          </cell>
          <cell r="I26">
            <v>10599999.999998545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11370000</v>
          </cell>
          <cell r="H27">
            <v>0</v>
          </cell>
          <cell r="I27">
            <v>11799999.999999272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12600000</v>
          </cell>
          <cell r="H28">
            <v>0</v>
          </cell>
          <cell r="I28">
            <v>13400000.000001455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10700000</v>
          </cell>
          <cell r="H29">
            <v>0</v>
          </cell>
          <cell r="I29">
            <v>10700000.000000728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9930000</v>
          </cell>
          <cell r="H30">
            <v>0</v>
          </cell>
          <cell r="I30">
            <v>10799999.999999272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13000000</v>
          </cell>
          <cell r="H31">
            <v>0</v>
          </cell>
          <cell r="I31">
            <v>14200000.000000728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13310000</v>
          </cell>
          <cell r="H32">
            <v>0</v>
          </cell>
          <cell r="I32">
            <v>13200000.000000728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10850000</v>
          </cell>
          <cell r="H33">
            <v>0</v>
          </cell>
          <cell r="I33">
            <v>12500000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9950000</v>
          </cell>
          <cell r="H34">
            <v>0</v>
          </cell>
          <cell r="I34">
            <v>10299999.999999272</v>
          </cell>
        </row>
        <row r="259">
          <cell r="D259">
            <v>444000.00000000081</v>
          </cell>
          <cell r="H259">
            <v>0</v>
          </cell>
        </row>
        <row r="260">
          <cell r="D260">
            <v>323999.99999999983</v>
          </cell>
          <cell r="H260">
            <v>0</v>
          </cell>
        </row>
        <row r="261">
          <cell r="D261">
            <v>443999.99999999907</v>
          </cell>
          <cell r="H261">
            <v>0</v>
          </cell>
        </row>
        <row r="262">
          <cell r="D262">
            <v>323000.00000000041</v>
          </cell>
          <cell r="H262">
            <v>404309</v>
          </cell>
        </row>
        <row r="263">
          <cell r="D263">
            <v>256000.00000000023</v>
          </cell>
          <cell r="H263">
            <v>461995</v>
          </cell>
        </row>
        <row r="264">
          <cell r="D264">
            <v>195999.99999999974</v>
          </cell>
          <cell r="H264">
            <v>518830</v>
          </cell>
        </row>
        <row r="265">
          <cell r="D265">
            <v>435000.00000000052</v>
          </cell>
          <cell r="H265">
            <v>471195</v>
          </cell>
        </row>
        <row r="266">
          <cell r="D266">
            <v>254999.99999999901</v>
          </cell>
          <cell r="H266">
            <v>466116</v>
          </cell>
        </row>
        <row r="267">
          <cell r="D267">
            <v>282000</v>
          </cell>
          <cell r="H267">
            <v>431963</v>
          </cell>
        </row>
        <row r="268">
          <cell r="D268">
            <v>400000.00000000035</v>
          </cell>
          <cell r="H268">
            <v>436005</v>
          </cell>
        </row>
        <row r="269">
          <cell r="D269">
            <v>291000.00000000035</v>
          </cell>
          <cell r="H269">
            <v>543491</v>
          </cell>
        </row>
        <row r="270">
          <cell r="D270">
            <v>287000.00000000081</v>
          </cell>
          <cell r="H270">
            <v>636132</v>
          </cell>
        </row>
        <row r="271">
          <cell r="D271">
            <v>254999.99999999901</v>
          </cell>
          <cell r="H271">
            <v>425582</v>
          </cell>
        </row>
        <row r="272">
          <cell r="D272">
            <v>323999.99999999983</v>
          </cell>
          <cell r="H272">
            <v>662562</v>
          </cell>
        </row>
        <row r="273">
          <cell r="D273">
            <v>383000.00000000087</v>
          </cell>
          <cell r="H273">
            <v>548483</v>
          </cell>
        </row>
        <row r="274">
          <cell r="D274">
            <v>175000.0000000007</v>
          </cell>
          <cell r="H274">
            <v>534438</v>
          </cell>
        </row>
        <row r="275">
          <cell r="D275">
            <v>263999.99999999936</v>
          </cell>
          <cell r="H275">
            <v>491000</v>
          </cell>
        </row>
        <row r="276">
          <cell r="D276">
            <v>390999.99999999825</v>
          </cell>
          <cell r="H276">
            <v>956050</v>
          </cell>
        </row>
        <row r="277">
          <cell r="D277">
            <v>0</v>
          </cell>
          <cell r="H277">
            <v>949892</v>
          </cell>
        </row>
        <row r="278">
          <cell r="D278">
            <v>0</v>
          </cell>
          <cell r="H278">
            <v>984274</v>
          </cell>
        </row>
        <row r="279">
          <cell r="D279">
            <v>0</v>
          </cell>
          <cell r="H279">
            <v>1003440</v>
          </cell>
        </row>
        <row r="280">
          <cell r="D280">
            <v>0</v>
          </cell>
          <cell r="H280">
            <v>802379</v>
          </cell>
        </row>
        <row r="281">
          <cell r="D281">
            <v>0</v>
          </cell>
          <cell r="H281">
            <v>965284</v>
          </cell>
        </row>
        <row r="282">
          <cell r="D282">
            <v>0</v>
          </cell>
          <cell r="H282">
            <v>1171503</v>
          </cell>
        </row>
        <row r="283">
          <cell r="D283">
            <v>0</v>
          </cell>
          <cell r="H283">
            <v>1307245</v>
          </cell>
        </row>
        <row r="284">
          <cell r="D284">
            <v>0</v>
          </cell>
          <cell r="H284">
            <v>1022466</v>
          </cell>
        </row>
        <row r="285">
          <cell r="D285">
            <v>0</v>
          </cell>
          <cell r="H285">
            <v>976457</v>
          </cell>
        </row>
        <row r="286">
          <cell r="D286">
            <v>0</v>
          </cell>
          <cell r="H286">
            <v>1179765</v>
          </cell>
        </row>
        <row r="287">
          <cell r="D287">
            <v>0</v>
          </cell>
          <cell r="H287">
            <v>1213026</v>
          </cell>
        </row>
        <row r="288">
          <cell r="D288">
            <v>0</v>
          </cell>
          <cell r="H288">
            <v>995322</v>
          </cell>
        </row>
        <row r="289">
          <cell r="D289">
            <v>0</v>
          </cell>
          <cell r="H289">
            <v>919381</v>
          </cell>
        </row>
      </sheetData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Ap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0</v>
          </cell>
          <cell r="F4">
            <v>12070000</v>
          </cell>
          <cell r="H4">
            <v>0</v>
          </cell>
          <cell r="I4">
            <v>12500000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13210000</v>
          </cell>
          <cell r="H5">
            <v>0</v>
          </cell>
          <cell r="I5">
            <v>13700000.000000728</v>
          </cell>
        </row>
        <row r="6">
          <cell r="C6">
            <v>0</v>
          </cell>
          <cell r="D6">
            <v>0</v>
          </cell>
          <cell r="E6">
            <v>0</v>
          </cell>
          <cell r="F6">
            <v>11370000</v>
          </cell>
          <cell r="H6">
            <v>0</v>
          </cell>
          <cell r="I6">
            <v>12299999.999999272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8930000</v>
          </cell>
          <cell r="H7">
            <v>0</v>
          </cell>
          <cell r="I7">
            <v>9399999.999997817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9120000</v>
          </cell>
          <cell r="H8">
            <v>0</v>
          </cell>
          <cell r="I8">
            <v>9500000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12730000</v>
          </cell>
          <cell r="H9">
            <v>0</v>
          </cell>
          <cell r="I9">
            <v>13800000.000002909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13100000</v>
          </cell>
          <cell r="H10">
            <v>0</v>
          </cell>
          <cell r="I10">
            <v>13399999.999997817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10780000</v>
          </cell>
          <cell r="H11">
            <v>0</v>
          </cell>
          <cell r="I11">
            <v>11299999.999999272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13000000</v>
          </cell>
          <cell r="H12">
            <v>0</v>
          </cell>
          <cell r="I12">
            <v>13500000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13260000</v>
          </cell>
          <cell r="H13">
            <v>0</v>
          </cell>
          <cell r="I13">
            <v>14000000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13140000</v>
          </cell>
          <cell r="H14">
            <v>0</v>
          </cell>
          <cell r="I14">
            <v>14000000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13110000</v>
          </cell>
          <cell r="H15">
            <v>0</v>
          </cell>
          <cell r="I15">
            <v>13900000.000001455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11230000</v>
          </cell>
          <cell r="H16">
            <v>0</v>
          </cell>
          <cell r="I16">
            <v>12500000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12920000</v>
          </cell>
          <cell r="H17">
            <v>0</v>
          </cell>
          <cell r="I17">
            <v>13500000</v>
          </cell>
        </row>
        <row r="18">
          <cell r="C18">
            <v>298000</v>
          </cell>
          <cell r="D18">
            <v>0</v>
          </cell>
          <cell r="E18">
            <v>0</v>
          </cell>
          <cell r="F18">
            <v>9670000</v>
          </cell>
          <cell r="H18">
            <v>0</v>
          </cell>
          <cell r="I18">
            <v>10000000</v>
          </cell>
        </row>
        <row r="19">
          <cell r="C19">
            <v>328000</v>
          </cell>
          <cell r="D19">
            <v>0</v>
          </cell>
          <cell r="E19">
            <v>0</v>
          </cell>
          <cell r="F19">
            <v>10710000</v>
          </cell>
          <cell r="H19">
            <v>0</v>
          </cell>
          <cell r="I19">
            <v>11299999.999999272</v>
          </cell>
        </row>
        <row r="20">
          <cell r="C20">
            <v>3560000</v>
          </cell>
          <cell r="D20">
            <v>0</v>
          </cell>
          <cell r="E20">
            <v>0</v>
          </cell>
          <cell r="F20">
            <v>12320000</v>
          </cell>
          <cell r="H20">
            <v>2252000</v>
          </cell>
          <cell r="I20">
            <v>13100000.000002183</v>
          </cell>
        </row>
        <row r="21">
          <cell r="C21">
            <v>4866000</v>
          </cell>
          <cell r="D21">
            <v>0</v>
          </cell>
          <cell r="E21">
            <v>0</v>
          </cell>
          <cell r="F21">
            <v>9770000</v>
          </cell>
          <cell r="H21">
            <v>4615000</v>
          </cell>
          <cell r="I21">
            <v>10099999.999998545</v>
          </cell>
        </row>
        <row r="22">
          <cell r="C22">
            <v>6845000</v>
          </cell>
          <cell r="D22">
            <v>0</v>
          </cell>
          <cell r="E22">
            <v>0</v>
          </cell>
          <cell r="F22">
            <v>5930000</v>
          </cell>
          <cell r="H22">
            <v>6548000</v>
          </cell>
          <cell r="I22">
            <v>6299999.9999992726</v>
          </cell>
        </row>
        <row r="23">
          <cell r="C23">
            <v>9266000</v>
          </cell>
          <cell r="D23">
            <v>0</v>
          </cell>
          <cell r="E23">
            <v>0</v>
          </cell>
          <cell r="F23">
            <v>6560000</v>
          </cell>
          <cell r="H23">
            <v>8905000</v>
          </cell>
          <cell r="I23">
            <v>7200000.0000007274</v>
          </cell>
        </row>
        <row r="24">
          <cell r="C24">
            <v>9646000</v>
          </cell>
          <cell r="D24">
            <v>0</v>
          </cell>
          <cell r="E24">
            <v>0</v>
          </cell>
          <cell r="F24">
            <v>7400000</v>
          </cell>
          <cell r="H24">
            <v>9332000</v>
          </cell>
          <cell r="I24">
            <v>7200000.0000007274</v>
          </cell>
        </row>
        <row r="25">
          <cell r="C25">
            <v>9363000</v>
          </cell>
          <cell r="D25">
            <v>0</v>
          </cell>
          <cell r="E25">
            <v>0</v>
          </cell>
          <cell r="F25">
            <v>7090000</v>
          </cell>
          <cell r="H25">
            <v>8939000</v>
          </cell>
          <cell r="I25">
            <v>7599999.9999985453</v>
          </cell>
        </row>
        <row r="26">
          <cell r="C26">
            <v>9811000</v>
          </cell>
          <cell r="D26">
            <v>0</v>
          </cell>
          <cell r="E26">
            <v>0</v>
          </cell>
          <cell r="F26">
            <v>5900000</v>
          </cell>
          <cell r="H26">
            <v>9432000</v>
          </cell>
          <cell r="I26">
            <v>6900000.0000014547</v>
          </cell>
        </row>
        <row r="27">
          <cell r="C27">
            <v>6302000</v>
          </cell>
          <cell r="D27">
            <v>0</v>
          </cell>
          <cell r="E27">
            <v>2000000</v>
          </cell>
          <cell r="F27">
            <v>6280000</v>
          </cell>
          <cell r="H27">
            <v>6170000</v>
          </cell>
          <cell r="I27">
            <v>7500000</v>
          </cell>
        </row>
        <row r="28">
          <cell r="C28">
            <v>2622000</v>
          </cell>
          <cell r="D28">
            <v>0</v>
          </cell>
          <cell r="E28">
            <v>4000000</v>
          </cell>
          <cell r="F28">
            <v>10590000</v>
          </cell>
          <cell r="H28">
            <v>2426000.0000000005</v>
          </cell>
          <cell r="I28">
            <v>15000000</v>
          </cell>
        </row>
        <row r="29">
          <cell r="C29">
            <v>1296000</v>
          </cell>
          <cell r="D29">
            <v>0</v>
          </cell>
          <cell r="E29">
            <v>4000000</v>
          </cell>
          <cell r="F29">
            <v>12730000</v>
          </cell>
          <cell r="H29">
            <v>1296000</v>
          </cell>
          <cell r="I29">
            <v>16599999.999998545</v>
          </cell>
        </row>
        <row r="30">
          <cell r="C30">
            <v>5425000</v>
          </cell>
          <cell r="D30">
            <v>0</v>
          </cell>
          <cell r="E30">
            <v>4000000</v>
          </cell>
          <cell r="F30">
            <v>12490000</v>
          </cell>
          <cell r="H30">
            <v>5060000</v>
          </cell>
          <cell r="I30">
            <v>15799999.999999272</v>
          </cell>
        </row>
        <row r="31">
          <cell r="C31">
            <v>5329000</v>
          </cell>
          <cell r="D31">
            <v>0</v>
          </cell>
          <cell r="E31">
            <v>4000000</v>
          </cell>
          <cell r="F31">
            <v>4960000</v>
          </cell>
          <cell r="H31">
            <v>5018000</v>
          </cell>
          <cell r="I31">
            <v>9000000</v>
          </cell>
        </row>
        <row r="32">
          <cell r="C32">
            <v>9478000</v>
          </cell>
          <cell r="D32">
            <v>0</v>
          </cell>
          <cell r="E32">
            <v>3000000</v>
          </cell>
          <cell r="F32">
            <v>5010000</v>
          </cell>
          <cell r="H32">
            <v>9192000</v>
          </cell>
          <cell r="I32">
            <v>7300000.0000029104</v>
          </cell>
        </row>
        <row r="33">
          <cell r="C33">
            <v>9158000</v>
          </cell>
          <cell r="D33">
            <v>0</v>
          </cell>
          <cell r="E33">
            <v>4000000</v>
          </cell>
          <cell r="F33">
            <v>9870000</v>
          </cell>
          <cell r="H33">
            <v>8871000</v>
          </cell>
          <cell r="I33">
            <v>10799999.999999272</v>
          </cell>
        </row>
        <row r="252">
          <cell r="D252">
            <v>0</v>
          </cell>
          <cell r="H252">
            <v>1130916</v>
          </cell>
        </row>
        <row r="253">
          <cell r="D253">
            <v>0</v>
          </cell>
          <cell r="H253">
            <v>1175395</v>
          </cell>
        </row>
        <row r="254">
          <cell r="D254">
            <v>0</v>
          </cell>
          <cell r="H254">
            <v>1142510</v>
          </cell>
        </row>
        <row r="255">
          <cell r="D255">
            <v>0</v>
          </cell>
          <cell r="H255">
            <v>971693</v>
          </cell>
        </row>
        <row r="256">
          <cell r="D256">
            <v>0</v>
          </cell>
          <cell r="H256">
            <v>951494</v>
          </cell>
        </row>
        <row r="257">
          <cell r="D257">
            <v>0</v>
          </cell>
          <cell r="H257">
            <v>1107588</v>
          </cell>
        </row>
        <row r="258">
          <cell r="D258">
            <v>0</v>
          </cell>
          <cell r="H258">
            <v>1261004</v>
          </cell>
        </row>
        <row r="259">
          <cell r="D259">
            <v>0</v>
          </cell>
          <cell r="H259">
            <v>886454</v>
          </cell>
        </row>
        <row r="260">
          <cell r="D260">
            <v>0</v>
          </cell>
          <cell r="H260">
            <v>1228221</v>
          </cell>
        </row>
        <row r="261">
          <cell r="D261">
            <v>0</v>
          </cell>
          <cell r="H261">
            <v>1297337</v>
          </cell>
        </row>
        <row r="262">
          <cell r="D262">
            <v>0</v>
          </cell>
          <cell r="H262">
            <v>1245498</v>
          </cell>
        </row>
        <row r="263">
          <cell r="D263">
            <v>0</v>
          </cell>
          <cell r="H263">
            <v>1196398</v>
          </cell>
        </row>
        <row r="264">
          <cell r="D264">
            <v>0</v>
          </cell>
          <cell r="H264">
            <v>1087359</v>
          </cell>
        </row>
        <row r="265">
          <cell r="D265">
            <v>357000</v>
          </cell>
          <cell r="H265">
            <v>1152666</v>
          </cell>
        </row>
        <row r="266">
          <cell r="D266">
            <v>4000.0000000000036</v>
          </cell>
          <cell r="H266">
            <v>1011690</v>
          </cell>
        </row>
        <row r="267">
          <cell r="D267">
            <v>2000.0000000000018</v>
          </cell>
          <cell r="H267">
            <v>1016584</v>
          </cell>
        </row>
        <row r="268">
          <cell r="D268">
            <v>207999.99999999997</v>
          </cell>
          <cell r="H268">
            <v>1256588</v>
          </cell>
        </row>
        <row r="269">
          <cell r="D269">
            <v>251000</v>
          </cell>
          <cell r="H269">
            <v>892239</v>
          </cell>
        </row>
        <row r="270">
          <cell r="D270">
            <v>297000.00000000006</v>
          </cell>
          <cell r="H270">
            <v>753940</v>
          </cell>
        </row>
        <row r="271">
          <cell r="D271">
            <v>361000</v>
          </cell>
          <cell r="H271">
            <v>739937</v>
          </cell>
        </row>
        <row r="272">
          <cell r="D272">
            <v>314000.00000000006</v>
          </cell>
          <cell r="H272">
            <v>823146</v>
          </cell>
        </row>
        <row r="273">
          <cell r="D273">
            <v>423999.99999999994</v>
          </cell>
          <cell r="H273">
            <v>698708</v>
          </cell>
        </row>
        <row r="274">
          <cell r="D274">
            <v>379000</v>
          </cell>
          <cell r="H274">
            <v>650681</v>
          </cell>
        </row>
        <row r="275">
          <cell r="D275">
            <v>132000.00000000012</v>
          </cell>
          <cell r="H275">
            <v>945892</v>
          </cell>
        </row>
        <row r="276">
          <cell r="D276">
            <v>195999.99999999974</v>
          </cell>
          <cell r="H276">
            <v>1233764</v>
          </cell>
        </row>
        <row r="277">
          <cell r="D277">
            <v>0</v>
          </cell>
          <cell r="H277">
            <v>2204112</v>
          </cell>
        </row>
        <row r="278">
          <cell r="D278">
            <v>365000.00000000023</v>
          </cell>
          <cell r="H278">
            <v>2079830</v>
          </cell>
        </row>
        <row r="279">
          <cell r="D279">
            <v>310999.99999999994</v>
          </cell>
          <cell r="H279">
            <v>857310</v>
          </cell>
        </row>
        <row r="280">
          <cell r="D280">
            <v>286000.00000000006</v>
          </cell>
          <cell r="H280">
            <v>880000</v>
          </cell>
        </row>
        <row r="281">
          <cell r="D281">
            <v>287000.00000000035</v>
          </cell>
          <cell r="H281">
            <v>1106600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9977000</v>
          </cell>
          <cell r="D4">
            <v>0</v>
          </cell>
          <cell r="E4">
            <v>4000000</v>
          </cell>
          <cell r="F4">
            <v>3940000</v>
          </cell>
          <cell r="H4">
            <v>9556000</v>
          </cell>
          <cell r="I4">
            <v>10700000.000000728</v>
          </cell>
        </row>
        <row r="5">
          <cell r="C5">
            <v>11277000</v>
          </cell>
          <cell r="D5">
            <v>0</v>
          </cell>
          <cell r="E5">
            <v>4000000</v>
          </cell>
          <cell r="F5">
            <v>5510000</v>
          </cell>
          <cell r="H5">
            <v>10947000</v>
          </cell>
          <cell r="I5">
            <v>9500000</v>
          </cell>
        </row>
        <row r="6">
          <cell r="C6">
            <v>14042000</v>
          </cell>
          <cell r="D6">
            <v>0</v>
          </cell>
          <cell r="E6">
            <v>6000000</v>
          </cell>
          <cell r="F6">
            <v>9020000</v>
          </cell>
          <cell r="H6">
            <v>13604000</v>
          </cell>
          <cell r="I6">
            <v>15199999.999997091</v>
          </cell>
        </row>
        <row r="7">
          <cell r="C7">
            <v>13076000</v>
          </cell>
          <cell r="D7">
            <v>0</v>
          </cell>
          <cell r="E7">
            <v>6000000</v>
          </cell>
          <cell r="F7">
            <v>8680000</v>
          </cell>
          <cell r="H7">
            <v>12638000</v>
          </cell>
          <cell r="I7">
            <v>14800000.000002909</v>
          </cell>
        </row>
        <row r="8">
          <cell r="C8">
            <v>13971000</v>
          </cell>
          <cell r="D8">
            <v>0</v>
          </cell>
          <cell r="E8">
            <v>6000000</v>
          </cell>
          <cell r="F8">
            <v>8050000.0000000009</v>
          </cell>
          <cell r="H8">
            <v>13596000</v>
          </cell>
          <cell r="I8">
            <v>13899999.999997817</v>
          </cell>
        </row>
        <row r="9">
          <cell r="C9">
            <v>13966000</v>
          </cell>
          <cell r="D9">
            <v>36000</v>
          </cell>
          <cell r="E9">
            <v>7000000</v>
          </cell>
          <cell r="F9">
            <v>7070000</v>
          </cell>
          <cell r="H9">
            <v>13607000</v>
          </cell>
          <cell r="I9">
            <v>14000000</v>
          </cell>
        </row>
        <row r="10">
          <cell r="C10">
            <v>13981000</v>
          </cell>
          <cell r="D10">
            <v>0</v>
          </cell>
          <cell r="E10">
            <v>6000000</v>
          </cell>
          <cell r="F10">
            <v>7900000</v>
          </cell>
          <cell r="H10">
            <v>13598000</v>
          </cell>
          <cell r="I10">
            <v>14000000</v>
          </cell>
        </row>
        <row r="11">
          <cell r="C11">
            <v>10049000</v>
          </cell>
          <cell r="D11">
            <v>0</v>
          </cell>
          <cell r="E11">
            <v>2000000</v>
          </cell>
          <cell r="F11">
            <v>5640000</v>
          </cell>
          <cell r="H11">
            <v>9758000</v>
          </cell>
          <cell r="I11">
            <v>8400000.0000014547</v>
          </cell>
        </row>
        <row r="12">
          <cell r="C12">
            <v>12005000</v>
          </cell>
          <cell r="D12">
            <v>0</v>
          </cell>
          <cell r="E12">
            <v>0</v>
          </cell>
          <cell r="F12">
            <v>7300000</v>
          </cell>
          <cell r="H12">
            <v>11683000</v>
          </cell>
          <cell r="I12">
            <v>7899999.999997817</v>
          </cell>
        </row>
        <row r="13">
          <cell r="C13">
            <v>12091000</v>
          </cell>
          <cell r="D13">
            <v>0</v>
          </cell>
          <cell r="E13">
            <v>0</v>
          </cell>
          <cell r="F13">
            <v>8060000.0000000009</v>
          </cell>
          <cell r="H13">
            <v>11737000</v>
          </cell>
          <cell r="I13">
            <v>7800000.0000029104</v>
          </cell>
        </row>
        <row r="14">
          <cell r="C14">
            <v>9274000</v>
          </cell>
          <cell r="D14">
            <v>0</v>
          </cell>
          <cell r="E14">
            <v>0</v>
          </cell>
          <cell r="F14">
            <v>7960000</v>
          </cell>
          <cell r="H14">
            <v>8853000</v>
          </cell>
          <cell r="I14">
            <v>7899999.999997817</v>
          </cell>
        </row>
        <row r="15">
          <cell r="C15">
            <v>7967000</v>
          </cell>
          <cell r="D15">
            <v>0</v>
          </cell>
          <cell r="E15">
            <v>0</v>
          </cell>
          <cell r="F15">
            <v>6560000</v>
          </cell>
          <cell r="H15">
            <v>7663999.9999999991</v>
          </cell>
          <cell r="I15">
            <v>7500000</v>
          </cell>
        </row>
        <row r="16">
          <cell r="C16">
            <v>6391000</v>
          </cell>
          <cell r="D16">
            <v>0</v>
          </cell>
          <cell r="E16">
            <v>0</v>
          </cell>
          <cell r="F16">
            <v>5880000</v>
          </cell>
          <cell r="H16">
            <v>6089000</v>
          </cell>
          <cell r="I16">
            <v>6299999.9999992726</v>
          </cell>
        </row>
        <row r="17">
          <cell r="C17">
            <v>10239000</v>
          </cell>
          <cell r="D17">
            <v>4000</v>
          </cell>
          <cell r="E17">
            <v>0</v>
          </cell>
          <cell r="F17">
            <v>6580000</v>
          </cell>
          <cell r="H17">
            <v>9934000</v>
          </cell>
          <cell r="I17">
            <v>6000000</v>
          </cell>
        </row>
        <row r="18">
          <cell r="C18">
            <v>8111000</v>
          </cell>
          <cell r="D18">
            <v>0</v>
          </cell>
          <cell r="E18">
            <v>2000000</v>
          </cell>
          <cell r="F18">
            <v>7400000</v>
          </cell>
          <cell r="H18">
            <v>7808999.9999999981</v>
          </cell>
          <cell r="I18">
            <v>9800000.0000029095</v>
          </cell>
        </row>
        <row r="19">
          <cell r="C19">
            <v>5911000</v>
          </cell>
          <cell r="D19">
            <v>0</v>
          </cell>
          <cell r="E19">
            <v>4000000</v>
          </cell>
          <cell r="F19">
            <v>5920000</v>
          </cell>
          <cell r="H19">
            <v>5531000.0000000009</v>
          </cell>
          <cell r="I19">
            <v>9399999.999997817</v>
          </cell>
        </row>
        <row r="20">
          <cell r="C20">
            <v>9675000</v>
          </cell>
          <cell r="D20">
            <v>0</v>
          </cell>
          <cell r="E20">
            <v>3000000</v>
          </cell>
          <cell r="F20">
            <v>8130000.0000000009</v>
          </cell>
          <cell r="H20">
            <v>9308000</v>
          </cell>
          <cell r="I20">
            <v>11200000.000000728</v>
          </cell>
        </row>
        <row r="21">
          <cell r="C21">
            <v>9264000</v>
          </cell>
          <cell r="D21">
            <v>0</v>
          </cell>
          <cell r="E21">
            <v>4000000</v>
          </cell>
          <cell r="F21">
            <v>9270000</v>
          </cell>
          <cell r="H21">
            <v>8893000.0000000019</v>
          </cell>
          <cell r="I21">
            <v>13500000</v>
          </cell>
        </row>
        <row r="22">
          <cell r="C22">
            <v>12822000</v>
          </cell>
          <cell r="D22">
            <v>0</v>
          </cell>
          <cell r="E22">
            <v>3000000</v>
          </cell>
          <cell r="F22">
            <v>9060000</v>
          </cell>
          <cell r="H22">
            <v>12425000</v>
          </cell>
          <cell r="I22">
            <v>13099999.999998545</v>
          </cell>
        </row>
        <row r="23">
          <cell r="C23">
            <v>14885000</v>
          </cell>
          <cell r="D23">
            <v>0</v>
          </cell>
          <cell r="E23">
            <v>5000000</v>
          </cell>
          <cell r="F23">
            <v>8660000</v>
          </cell>
          <cell r="H23">
            <v>14543000</v>
          </cell>
          <cell r="I23">
            <v>13100000.000002183</v>
          </cell>
        </row>
        <row r="24">
          <cell r="C24">
            <v>11816000</v>
          </cell>
          <cell r="D24">
            <v>0</v>
          </cell>
          <cell r="E24">
            <v>4000000</v>
          </cell>
          <cell r="F24">
            <v>6390000</v>
          </cell>
          <cell r="H24">
            <v>11389000</v>
          </cell>
          <cell r="I24">
            <v>10399999.999997817</v>
          </cell>
        </row>
        <row r="25">
          <cell r="C25">
            <v>11497000</v>
          </cell>
          <cell r="D25">
            <v>0</v>
          </cell>
          <cell r="E25">
            <v>3000000</v>
          </cell>
          <cell r="F25">
            <v>5020000</v>
          </cell>
          <cell r="H25">
            <v>11055000</v>
          </cell>
          <cell r="I25">
            <v>8300000.0000029104</v>
          </cell>
        </row>
        <row r="26">
          <cell r="C26">
            <v>8092000</v>
          </cell>
          <cell r="D26">
            <v>0</v>
          </cell>
          <cell r="E26">
            <v>4000000</v>
          </cell>
          <cell r="F26">
            <v>5010000</v>
          </cell>
          <cell r="H26">
            <v>7727000</v>
          </cell>
          <cell r="I26">
            <v>8599999.9999985453</v>
          </cell>
        </row>
        <row r="27">
          <cell r="C27">
            <v>8047000</v>
          </cell>
          <cell r="D27">
            <v>0</v>
          </cell>
          <cell r="E27">
            <v>3000000</v>
          </cell>
          <cell r="F27">
            <v>6030000</v>
          </cell>
          <cell r="H27">
            <v>7741000.0000000009</v>
          </cell>
          <cell r="I27">
            <v>9200000.0000007283</v>
          </cell>
        </row>
        <row r="28">
          <cell r="C28">
            <v>7287000</v>
          </cell>
          <cell r="D28">
            <v>0</v>
          </cell>
          <cell r="E28">
            <v>4000000</v>
          </cell>
          <cell r="F28">
            <v>6970000</v>
          </cell>
          <cell r="H28">
            <v>6856999.9999999981</v>
          </cell>
          <cell r="I28">
            <v>10299999.999999272</v>
          </cell>
        </row>
        <row r="29">
          <cell r="C29">
            <v>7109000</v>
          </cell>
          <cell r="D29">
            <v>0</v>
          </cell>
          <cell r="E29">
            <v>3000000</v>
          </cell>
          <cell r="F29">
            <v>6960000</v>
          </cell>
          <cell r="H29">
            <v>6806000.0000000009</v>
          </cell>
          <cell r="I29">
            <v>10500000</v>
          </cell>
        </row>
        <row r="30">
          <cell r="C30">
            <v>9333000</v>
          </cell>
          <cell r="D30">
            <v>0</v>
          </cell>
          <cell r="E30">
            <v>4000000</v>
          </cell>
          <cell r="F30">
            <v>6920000</v>
          </cell>
          <cell r="H30">
            <v>8962999.9999999981</v>
          </cell>
          <cell r="I30">
            <v>10400000.000001455</v>
          </cell>
        </row>
        <row r="31">
          <cell r="C31">
            <v>14216000</v>
          </cell>
          <cell r="D31">
            <v>0</v>
          </cell>
          <cell r="E31">
            <v>3000000</v>
          </cell>
          <cell r="F31">
            <v>7430000</v>
          </cell>
          <cell r="H31">
            <v>13832000.000000002</v>
          </cell>
          <cell r="I31">
            <v>10699999.999997091</v>
          </cell>
        </row>
        <row r="32">
          <cell r="C32">
            <v>16347000</v>
          </cell>
          <cell r="D32">
            <v>0</v>
          </cell>
          <cell r="E32">
            <v>4000000</v>
          </cell>
          <cell r="F32">
            <v>8880000</v>
          </cell>
          <cell r="H32">
            <v>15979000</v>
          </cell>
          <cell r="I32">
            <v>12700000.000000728</v>
          </cell>
        </row>
        <row r="33">
          <cell r="C33">
            <v>11715000</v>
          </cell>
          <cell r="D33">
            <v>0</v>
          </cell>
          <cell r="E33">
            <v>3000000</v>
          </cell>
          <cell r="F33">
            <v>7550000</v>
          </cell>
          <cell r="H33">
            <v>11222000</v>
          </cell>
          <cell r="I33">
            <v>11600000.000002183</v>
          </cell>
        </row>
        <row r="34">
          <cell r="C34">
            <v>12347000</v>
          </cell>
          <cell r="D34">
            <v>0</v>
          </cell>
          <cell r="E34">
            <v>4000000</v>
          </cell>
          <cell r="F34">
            <v>6490000</v>
          </cell>
          <cell r="H34">
            <v>12101000</v>
          </cell>
          <cell r="I34">
            <v>10000000</v>
          </cell>
        </row>
        <row r="259">
          <cell r="D259">
            <v>420999.99999999936</v>
          </cell>
          <cell r="H259">
            <v>1034134</v>
          </cell>
        </row>
        <row r="260">
          <cell r="D260">
            <v>330000.00000000006</v>
          </cell>
          <cell r="H260">
            <v>873876</v>
          </cell>
        </row>
        <row r="261">
          <cell r="D261">
            <v>438000.00000000058</v>
          </cell>
          <cell r="H261">
            <v>1202508</v>
          </cell>
        </row>
        <row r="262">
          <cell r="D262">
            <v>437999.99999999971</v>
          </cell>
          <cell r="H262">
            <v>1249066</v>
          </cell>
        </row>
        <row r="263">
          <cell r="D263">
            <v>375000</v>
          </cell>
          <cell r="H263">
            <v>1231483</v>
          </cell>
        </row>
        <row r="264">
          <cell r="D264">
            <v>394999.99999999959</v>
          </cell>
          <cell r="H264">
            <v>1098088</v>
          </cell>
        </row>
        <row r="265">
          <cell r="D265">
            <v>383000</v>
          </cell>
          <cell r="H265">
            <v>1060000</v>
          </cell>
        </row>
        <row r="266">
          <cell r="D266">
            <v>291000.00000000035</v>
          </cell>
          <cell r="H266">
            <v>799920</v>
          </cell>
        </row>
        <row r="267">
          <cell r="D267">
            <v>322000.00000000006</v>
          </cell>
          <cell r="H267">
            <v>733432</v>
          </cell>
        </row>
        <row r="268">
          <cell r="D268">
            <v>354000.00000000012</v>
          </cell>
          <cell r="H268">
            <v>1196209</v>
          </cell>
        </row>
        <row r="269">
          <cell r="D269">
            <v>420999.99999999936</v>
          </cell>
          <cell r="H269">
            <v>911067</v>
          </cell>
        </row>
        <row r="270">
          <cell r="D270">
            <v>303000.00000000081</v>
          </cell>
          <cell r="H270">
            <v>693800</v>
          </cell>
        </row>
        <row r="271">
          <cell r="D271">
            <v>301999.99999999959</v>
          </cell>
          <cell r="H271">
            <v>642773</v>
          </cell>
        </row>
        <row r="272">
          <cell r="D272">
            <v>308999.9999999993</v>
          </cell>
          <cell r="H272">
            <v>726737</v>
          </cell>
        </row>
        <row r="273">
          <cell r="D273">
            <v>302000.0000000014</v>
          </cell>
          <cell r="H273">
            <v>864458</v>
          </cell>
        </row>
        <row r="274">
          <cell r="D274">
            <v>379999.99999999901</v>
          </cell>
          <cell r="H274">
            <v>936401</v>
          </cell>
        </row>
        <row r="275">
          <cell r="D275">
            <v>367000.00000000087</v>
          </cell>
          <cell r="H275">
            <v>1027501</v>
          </cell>
        </row>
        <row r="276">
          <cell r="D276">
            <v>370999.99999999866</v>
          </cell>
          <cell r="H276">
            <v>1045123</v>
          </cell>
        </row>
        <row r="277">
          <cell r="D277">
            <v>397000.00000000023</v>
          </cell>
          <cell r="H277">
            <v>1236676</v>
          </cell>
        </row>
        <row r="278">
          <cell r="D278">
            <v>342000.00000000052</v>
          </cell>
          <cell r="H278">
            <v>1290273</v>
          </cell>
        </row>
        <row r="279">
          <cell r="D279">
            <v>426999.99999999959</v>
          </cell>
          <cell r="H279">
            <v>1181406</v>
          </cell>
        </row>
        <row r="280">
          <cell r="D280">
            <v>442000.00000000017</v>
          </cell>
          <cell r="H280">
            <v>967000</v>
          </cell>
        </row>
        <row r="281">
          <cell r="D281">
            <v>365000.00000000023</v>
          </cell>
          <cell r="H281">
            <v>764070</v>
          </cell>
        </row>
        <row r="282">
          <cell r="D282">
            <v>305999.99999999919</v>
          </cell>
          <cell r="H282">
            <v>968470</v>
          </cell>
        </row>
        <row r="283">
          <cell r="D283">
            <v>430000.00000000151</v>
          </cell>
          <cell r="H283">
            <v>953216</v>
          </cell>
        </row>
        <row r="284">
          <cell r="D284">
            <v>302999.99999999907</v>
          </cell>
          <cell r="H284">
            <v>1059276</v>
          </cell>
        </row>
        <row r="285">
          <cell r="D285">
            <v>370000.00000000099</v>
          </cell>
          <cell r="H285">
            <v>890038</v>
          </cell>
        </row>
        <row r="286">
          <cell r="D286">
            <v>383999.99999999854</v>
          </cell>
          <cell r="H286">
            <v>1129829</v>
          </cell>
        </row>
        <row r="287">
          <cell r="D287">
            <v>368000.00000000035</v>
          </cell>
          <cell r="H287">
            <v>1127544</v>
          </cell>
        </row>
        <row r="288">
          <cell r="D288">
            <v>493000.00000000035</v>
          </cell>
          <cell r="H288">
            <v>1048245</v>
          </cell>
        </row>
        <row r="289">
          <cell r="D289">
            <v>246000.00000000044</v>
          </cell>
          <cell r="H289">
            <v>1019416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15809000</v>
          </cell>
          <cell r="D4">
            <v>0</v>
          </cell>
          <cell r="E4">
            <v>4000000</v>
          </cell>
          <cell r="F4">
            <v>7470000</v>
          </cell>
          <cell r="H4">
            <v>15302000</v>
          </cell>
          <cell r="I4">
            <v>11599999.999998545</v>
          </cell>
        </row>
        <row r="5">
          <cell r="C5">
            <v>15819000</v>
          </cell>
          <cell r="D5">
            <v>0</v>
          </cell>
          <cell r="E5">
            <v>5000000</v>
          </cell>
          <cell r="F5">
            <v>7680000</v>
          </cell>
          <cell r="H5">
            <v>15230000.000000002</v>
          </cell>
          <cell r="I5">
            <v>12500000</v>
          </cell>
        </row>
        <row r="6">
          <cell r="C6">
            <v>16938000</v>
          </cell>
          <cell r="D6">
            <v>0</v>
          </cell>
          <cell r="E6">
            <v>4000000</v>
          </cell>
          <cell r="F6">
            <v>7150000</v>
          </cell>
          <cell r="H6">
            <v>16350000</v>
          </cell>
          <cell r="I6">
            <v>11700000.000000728</v>
          </cell>
        </row>
        <row r="7">
          <cell r="C7">
            <v>15897000</v>
          </cell>
          <cell r="D7">
            <v>0</v>
          </cell>
          <cell r="E7">
            <v>7000000</v>
          </cell>
          <cell r="F7">
            <v>9150000</v>
          </cell>
          <cell r="H7">
            <v>15398999.999999998</v>
          </cell>
          <cell r="I7">
            <v>16299999.999999272</v>
          </cell>
        </row>
        <row r="8">
          <cell r="C8">
            <v>13873000</v>
          </cell>
          <cell r="D8">
            <v>0</v>
          </cell>
          <cell r="E8">
            <v>6000000</v>
          </cell>
          <cell r="F8">
            <v>8330000</v>
          </cell>
          <cell r="H8">
            <v>13249000.000000002</v>
          </cell>
          <cell r="I8">
            <v>13700000.000000728</v>
          </cell>
        </row>
        <row r="9">
          <cell r="C9">
            <v>14164000</v>
          </cell>
          <cell r="D9">
            <v>0</v>
          </cell>
          <cell r="E9">
            <v>7000000</v>
          </cell>
          <cell r="F9">
            <v>9190000</v>
          </cell>
          <cell r="H9">
            <v>13761999.999999998</v>
          </cell>
          <cell r="I9">
            <v>16000000</v>
          </cell>
        </row>
        <row r="10">
          <cell r="C10">
            <v>13779000</v>
          </cell>
          <cell r="D10">
            <v>0</v>
          </cell>
          <cell r="E10">
            <v>6000000</v>
          </cell>
          <cell r="F10">
            <v>8890000</v>
          </cell>
          <cell r="H10">
            <v>13530999.999999998</v>
          </cell>
          <cell r="I10">
            <v>15500000</v>
          </cell>
        </row>
        <row r="11">
          <cell r="C11">
            <v>14649000</v>
          </cell>
          <cell r="D11">
            <v>0</v>
          </cell>
          <cell r="E11">
            <v>6000000</v>
          </cell>
          <cell r="F11">
            <v>9170000</v>
          </cell>
          <cell r="H11">
            <v>14124000.000000002</v>
          </cell>
          <cell r="I11">
            <v>15200000.000000728</v>
          </cell>
        </row>
        <row r="12">
          <cell r="C12">
            <v>10809000</v>
          </cell>
          <cell r="D12">
            <v>0</v>
          </cell>
          <cell r="E12">
            <v>4000000</v>
          </cell>
          <cell r="F12">
            <v>6360000</v>
          </cell>
          <cell r="H12">
            <v>10211999.999999998</v>
          </cell>
          <cell r="I12">
            <v>9799999.9999992717</v>
          </cell>
        </row>
        <row r="13">
          <cell r="C13">
            <v>13108000</v>
          </cell>
          <cell r="D13">
            <v>0</v>
          </cell>
          <cell r="E13">
            <v>5000000</v>
          </cell>
          <cell r="F13">
            <v>7670000</v>
          </cell>
          <cell r="H13">
            <v>12575000.000000002</v>
          </cell>
          <cell r="I13">
            <v>13099999.999998545</v>
          </cell>
        </row>
        <row r="14">
          <cell r="C14">
            <v>15278000</v>
          </cell>
          <cell r="D14">
            <v>0</v>
          </cell>
          <cell r="E14">
            <v>6000000</v>
          </cell>
          <cell r="F14">
            <v>9000000</v>
          </cell>
          <cell r="H14">
            <v>14862000</v>
          </cell>
          <cell r="I14">
            <v>15000000</v>
          </cell>
        </row>
        <row r="15">
          <cell r="C15">
            <v>13908000</v>
          </cell>
          <cell r="D15">
            <v>0</v>
          </cell>
          <cell r="E15">
            <v>4000000</v>
          </cell>
          <cell r="F15">
            <v>7840000</v>
          </cell>
          <cell r="H15">
            <v>13493999.999999998</v>
          </cell>
          <cell r="I15">
            <v>12000000</v>
          </cell>
        </row>
        <row r="16">
          <cell r="C16">
            <v>16364000</v>
          </cell>
          <cell r="D16">
            <v>0</v>
          </cell>
          <cell r="E16">
            <v>6000000</v>
          </cell>
          <cell r="F16">
            <v>8900000</v>
          </cell>
          <cell r="H16">
            <v>15854000.000000002</v>
          </cell>
          <cell r="I16">
            <v>15200000.000000728</v>
          </cell>
        </row>
        <row r="17">
          <cell r="C17">
            <v>16162000</v>
          </cell>
          <cell r="D17">
            <v>0</v>
          </cell>
          <cell r="E17">
            <v>7000000</v>
          </cell>
          <cell r="F17">
            <v>8130000.0000000009</v>
          </cell>
          <cell r="H17">
            <v>15587999.999999998</v>
          </cell>
          <cell r="I17">
            <v>14599999.999998545</v>
          </cell>
        </row>
        <row r="18">
          <cell r="C18">
            <v>15947000</v>
          </cell>
          <cell r="D18">
            <v>0</v>
          </cell>
          <cell r="E18">
            <v>7000000</v>
          </cell>
          <cell r="F18">
            <v>7620000</v>
          </cell>
          <cell r="H18">
            <v>15381000.000000002</v>
          </cell>
          <cell r="I18">
            <v>15500000</v>
          </cell>
        </row>
        <row r="19">
          <cell r="C19">
            <v>16173000</v>
          </cell>
          <cell r="D19">
            <v>0</v>
          </cell>
          <cell r="E19">
            <v>8000000</v>
          </cell>
          <cell r="F19">
            <v>7930000</v>
          </cell>
          <cell r="H19">
            <v>15677000.000000002</v>
          </cell>
          <cell r="I19">
            <v>14800000.000002909</v>
          </cell>
        </row>
        <row r="20">
          <cell r="C20">
            <v>16227000</v>
          </cell>
          <cell r="D20">
            <v>0</v>
          </cell>
          <cell r="E20">
            <v>9000000</v>
          </cell>
          <cell r="F20">
            <v>8730000</v>
          </cell>
          <cell r="H20">
            <v>15764999.999999996</v>
          </cell>
          <cell r="I20">
            <v>17099999.999998543</v>
          </cell>
        </row>
        <row r="21">
          <cell r="C21">
            <v>14772000</v>
          </cell>
          <cell r="D21">
            <v>0</v>
          </cell>
          <cell r="E21">
            <v>11000000</v>
          </cell>
          <cell r="F21">
            <v>8369999.9999999991</v>
          </cell>
          <cell r="H21">
            <v>14245000.000000002</v>
          </cell>
          <cell r="I21">
            <v>19599999.999998543</v>
          </cell>
        </row>
        <row r="22">
          <cell r="C22">
            <v>11775000</v>
          </cell>
          <cell r="D22">
            <v>0</v>
          </cell>
          <cell r="E22">
            <v>7000000</v>
          </cell>
          <cell r="F22">
            <v>6600000</v>
          </cell>
          <cell r="H22">
            <v>11401999.999999998</v>
          </cell>
          <cell r="I22">
            <v>12200000.000000728</v>
          </cell>
        </row>
        <row r="23">
          <cell r="C23">
            <v>14690000</v>
          </cell>
          <cell r="D23">
            <v>0</v>
          </cell>
          <cell r="E23">
            <v>9000000</v>
          </cell>
          <cell r="F23">
            <v>8760000</v>
          </cell>
          <cell r="H23">
            <v>14116000.000000002</v>
          </cell>
          <cell r="I23">
            <v>18400000.000001457</v>
          </cell>
        </row>
        <row r="24">
          <cell r="C24">
            <v>14507000</v>
          </cell>
          <cell r="D24">
            <v>0</v>
          </cell>
          <cell r="E24">
            <v>10000000</v>
          </cell>
          <cell r="F24">
            <v>8790000</v>
          </cell>
          <cell r="H24">
            <v>14083999.999999998</v>
          </cell>
          <cell r="I24">
            <v>18000000</v>
          </cell>
        </row>
        <row r="25">
          <cell r="C25">
            <v>14012000</v>
          </cell>
          <cell r="D25">
            <v>0</v>
          </cell>
          <cell r="E25">
            <v>9000000</v>
          </cell>
          <cell r="F25">
            <v>9230000</v>
          </cell>
          <cell r="H25">
            <v>13435000.000000002</v>
          </cell>
          <cell r="I25">
            <v>18200000.000000726</v>
          </cell>
        </row>
        <row r="26">
          <cell r="C26">
            <v>13079000</v>
          </cell>
          <cell r="D26">
            <v>0</v>
          </cell>
          <cell r="E26">
            <v>8000000</v>
          </cell>
          <cell r="F26">
            <v>7810000</v>
          </cell>
          <cell r="H26">
            <v>12507999.999999998</v>
          </cell>
          <cell r="I26">
            <v>16299999.999999272</v>
          </cell>
        </row>
        <row r="27">
          <cell r="C27">
            <v>13905000</v>
          </cell>
          <cell r="D27">
            <v>0</v>
          </cell>
          <cell r="E27">
            <v>10000000</v>
          </cell>
          <cell r="F27">
            <v>9210000</v>
          </cell>
          <cell r="H27">
            <v>13388000</v>
          </cell>
          <cell r="I27">
            <v>18599999.999998543</v>
          </cell>
        </row>
        <row r="28">
          <cell r="C28">
            <v>12911000</v>
          </cell>
          <cell r="D28">
            <v>0</v>
          </cell>
          <cell r="E28">
            <v>11000000</v>
          </cell>
          <cell r="F28">
            <v>9590000</v>
          </cell>
          <cell r="H28">
            <v>12487999.999999998</v>
          </cell>
          <cell r="I28">
            <v>19100000.000002183</v>
          </cell>
        </row>
        <row r="29">
          <cell r="C29">
            <v>15097000</v>
          </cell>
          <cell r="D29">
            <v>0</v>
          </cell>
          <cell r="E29">
            <v>12000000</v>
          </cell>
          <cell r="F29">
            <v>12140000</v>
          </cell>
          <cell r="H29">
            <v>14596000.000000002</v>
          </cell>
          <cell r="I29">
            <v>24199999.999997091</v>
          </cell>
        </row>
        <row r="30">
          <cell r="C30">
            <v>12392000</v>
          </cell>
          <cell r="D30">
            <v>0</v>
          </cell>
          <cell r="E30">
            <v>10000000</v>
          </cell>
          <cell r="F30">
            <v>10360000</v>
          </cell>
          <cell r="H30">
            <v>11898999.999999998</v>
          </cell>
          <cell r="I30">
            <v>20300000.000002909</v>
          </cell>
        </row>
        <row r="31">
          <cell r="C31">
            <v>13659000</v>
          </cell>
          <cell r="D31">
            <v>0</v>
          </cell>
          <cell r="E31">
            <v>9000000</v>
          </cell>
          <cell r="F31">
            <v>8310000.0000000009</v>
          </cell>
          <cell r="H31">
            <v>13088000.000000002</v>
          </cell>
          <cell r="I31">
            <v>16899999.999997817</v>
          </cell>
        </row>
        <row r="32">
          <cell r="C32">
            <v>14940000</v>
          </cell>
          <cell r="D32">
            <v>0</v>
          </cell>
          <cell r="E32">
            <v>10000000</v>
          </cell>
          <cell r="F32">
            <v>9570000</v>
          </cell>
          <cell r="H32">
            <v>14513999.999999998</v>
          </cell>
          <cell r="I32">
            <v>19500000</v>
          </cell>
        </row>
        <row r="33">
          <cell r="C33">
            <v>12855000</v>
          </cell>
          <cell r="D33">
            <v>0</v>
          </cell>
          <cell r="E33">
            <v>11000000</v>
          </cell>
          <cell r="F33">
            <v>11650000</v>
          </cell>
          <cell r="H33">
            <v>12282000</v>
          </cell>
          <cell r="I33">
            <v>22200000.000000726</v>
          </cell>
        </row>
        <row r="252">
          <cell r="D252">
            <v>506999.99999999965</v>
          </cell>
          <cell r="H252">
            <v>978941</v>
          </cell>
        </row>
        <row r="253">
          <cell r="D253">
            <v>588999.9999999986</v>
          </cell>
          <cell r="H253">
            <v>1011213</v>
          </cell>
        </row>
        <row r="254">
          <cell r="D254">
            <v>588000.00000000093</v>
          </cell>
          <cell r="H254">
            <v>1052154</v>
          </cell>
        </row>
        <row r="255">
          <cell r="D255">
            <v>498000.00000000111</v>
          </cell>
          <cell r="H255">
            <v>1548015</v>
          </cell>
        </row>
        <row r="256">
          <cell r="D256">
            <v>623999.99999999884</v>
          </cell>
          <cell r="H256">
            <v>1426900</v>
          </cell>
        </row>
        <row r="257">
          <cell r="D257">
            <v>402000.00000000105</v>
          </cell>
          <cell r="H257">
            <v>1595201</v>
          </cell>
        </row>
        <row r="258">
          <cell r="D258">
            <v>248000.00000000111</v>
          </cell>
          <cell r="H258">
            <v>1287250</v>
          </cell>
        </row>
        <row r="259">
          <cell r="D259">
            <v>524999.9999999986</v>
          </cell>
          <cell r="H259">
            <v>1397587</v>
          </cell>
        </row>
        <row r="260">
          <cell r="D260">
            <v>597000.00000000128</v>
          </cell>
          <cell r="H260">
            <v>1041421</v>
          </cell>
        </row>
        <row r="261">
          <cell r="D261">
            <v>532999.99999999767</v>
          </cell>
          <cell r="H261">
            <v>1133341</v>
          </cell>
        </row>
        <row r="262">
          <cell r="D262">
            <v>416000.00000000035</v>
          </cell>
          <cell r="H262">
            <v>1379840</v>
          </cell>
        </row>
        <row r="263">
          <cell r="D263">
            <v>414000.00000000146</v>
          </cell>
          <cell r="H263">
            <v>1178313</v>
          </cell>
        </row>
        <row r="264">
          <cell r="D264">
            <v>509999.99999999802</v>
          </cell>
          <cell r="H264">
            <v>1316524</v>
          </cell>
        </row>
        <row r="265">
          <cell r="D265">
            <v>574000.00000000163</v>
          </cell>
          <cell r="H265">
            <v>1321734</v>
          </cell>
        </row>
        <row r="266">
          <cell r="D266">
            <v>565999.99999999895</v>
          </cell>
          <cell r="H266">
            <v>1394397</v>
          </cell>
        </row>
        <row r="267">
          <cell r="D267">
            <v>495999.99999999866</v>
          </cell>
          <cell r="H267">
            <v>1317736</v>
          </cell>
        </row>
        <row r="268">
          <cell r="D268">
            <v>462000.00000000332</v>
          </cell>
          <cell r="H268">
            <v>1701126</v>
          </cell>
        </row>
        <row r="269">
          <cell r="D269">
            <v>526999.99999999744</v>
          </cell>
          <cell r="H269">
            <v>2003159</v>
          </cell>
        </row>
        <row r="270">
          <cell r="D270">
            <v>373000.00000000111</v>
          </cell>
          <cell r="H270">
            <v>1668070</v>
          </cell>
        </row>
        <row r="271">
          <cell r="D271">
            <v>573999.99999999802</v>
          </cell>
          <cell r="H271">
            <v>1707143</v>
          </cell>
        </row>
        <row r="272">
          <cell r="D272">
            <v>423000.0000000018</v>
          </cell>
          <cell r="H272">
            <v>1453083</v>
          </cell>
        </row>
        <row r="273">
          <cell r="D273">
            <v>576999.99999999814</v>
          </cell>
          <cell r="H273">
            <v>1595894</v>
          </cell>
        </row>
        <row r="274">
          <cell r="D274">
            <v>571000.00000000151</v>
          </cell>
          <cell r="H274">
            <v>1600143</v>
          </cell>
        </row>
        <row r="275">
          <cell r="D275">
            <v>516999.99999999948</v>
          </cell>
          <cell r="H275">
            <v>1874355</v>
          </cell>
        </row>
        <row r="276">
          <cell r="D276">
            <v>423000.0000000018</v>
          </cell>
          <cell r="H276">
            <v>2232688</v>
          </cell>
        </row>
        <row r="277">
          <cell r="D277">
            <v>500999.99999999767</v>
          </cell>
          <cell r="H277">
            <v>2149214</v>
          </cell>
        </row>
        <row r="278">
          <cell r="D278">
            <v>493000.0000000021</v>
          </cell>
          <cell r="H278">
            <v>1798747</v>
          </cell>
        </row>
        <row r="279">
          <cell r="D279">
            <v>570999.9999999979</v>
          </cell>
          <cell r="H279">
            <v>1323898</v>
          </cell>
        </row>
        <row r="280">
          <cell r="D280">
            <v>426000.00000000192</v>
          </cell>
          <cell r="H280">
            <v>1622954</v>
          </cell>
        </row>
        <row r="281">
          <cell r="D281">
            <v>573000.00000000035</v>
          </cell>
          <cell r="H281">
            <v>1869032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  <sheetName val="Jul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12662000</v>
          </cell>
          <cell r="D4">
            <v>0</v>
          </cell>
          <cell r="E4">
            <v>10000000</v>
          </cell>
          <cell r="F4">
            <v>13570000</v>
          </cell>
          <cell r="G4">
            <v>0</v>
          </cell>
          <cell r="H4">
            <v>12078000</v>
          </cell>
          <cell r="I4">
            <v>24000000</v>
          </cell>
        </row>
        <row r="5">
          <cell r="C5">
            <v>13059000</v>
          </cell>
          <cell r="D5">
            <v>0</v>
          </cell>
          <cell r="E5">
            <v>11000000</v>
          </cell>
          <cell r="F5">
            <v>13390000</v>
          </cell>
          <cell r="G5">
            <v>0</v>
          </cell>
          <cell r="H5">
            <v>12553000</v>
          </cell>
          <cell r="I5">
            <v>23700000.000000726</v>
          </cell>
        </row>
        <row r="6">
          <cell r="C6">
            <v>12180000</v>
          </cell>
          <cell r="D6">
            <v>0</v>
          </cell>
          <cell r="E6">
            <v>12000000</v>
          </cell>
          <cell r="F6">
            <v>12960000</v>
          </cell>
          <cell r="G6">
            <v>0</v>
          </cell>
          <cell r="H6">
            <v>11802000.000000004</v>
          </cell>
          <cell r="I6">
            <v>24200000.000000726</v>
          </cell>
        </row>
        <row r="7">
          <cell r="C7">
            <v>12742000</v>
          </cell>
          <cell r="D7">
            <v>0</v>
          </cell>
          <cell r="E7">
            <v>11000000</v>
          </cell>
          <cell r="F7">
            <v>13060000</v>
          </cell>
          <cell r="G7">
            <v>0</v>
          </cell>
          <cell r="H7">
            <v>12496999.999999996</v>
          </cell>
          <cell r="I7">
            <v>23599999.999998543</v>
          </cell>
        </row>
        <row r="8">
          <cell r="C8">
            <v>10986000</v>
          </cell>
          <cell r="D8">
            <v>0</v>
          </cell>
          <cell r="E8">
            <v>10000000</v>
          </cell>
          <cell r="F8">
            <v>11910000</v>
          </cell>
          <cell r="G8">
            <v>0</v>
          </cell>
          <cell r="H8">
            <v>10617000</v>
          </cell>
          <cell r="I8">
            <v>22000000</v>
          </cell>
        </row>
        <row r="9">
          <cell r="C9">
            <v>11895000</v>
          </cell>
          <cell r="D9">
            <v>0</v>
          </cell>
          <cell r="E9">
            <v>14000000</v>
          </cell>
          <cell r="F9">
            <v>14060000</v>
          </cell>
          <cell r="G9">
            <v>0</v>
          </cell>
          <cell r="H9">
            <v>11523000</v>
          </cell>
          <cell r="I9">
            <v>27299999.999999274</v>
          </cell>
        </row>
        <row r="10">
          <cell r="C10">
            <v>11263000</v>
          </cell>
          <cell r="D10">
            <v>0</v>
          </cell>
          <cell r="E10">
            <v>12000000</v>
          </cell>
          <cell r="F10">
            <v>11950000</v>
          </cell>
          <cell r="G10">
            <v>0</v>
          </cell>
          <cell r="H10">
            <v>10951000.000000002</v>
          </cell>
          <cell r="I10">
            <v>24700000.000000726</v>
          </cell>
        </row>
        <row r="11">
          <cell r="C11">
            <v>10996000</v>
          </cell>
          <cell r="D11">
            <v>0</v>
          </cell>
          <cell r="E11">
            <v>10000000</v>
          </cell>
          <cell r="F11">
            <v>9900000</v>
          </cell>
          <cell r="G11">
            <v>0</v>
          </cell>
          <cell r="H11">
            <v>10685999.999999998</v>
          </cell>
          <cell r="I11">
            <v>18900000.000001457</v>
          </cell>
        </row>
        <row r="12">
          <cell r="C12">
            <v>12903000</v>
          </cell>
          <cell r="D12">
            <v>0</v>
          </cell>
          <cell r="E12">
            <v>11000000</v>
          </cell>
          <cell r="F12">
            <v>10300000</v>
          </cell>
          <cell r="G12">
            <v>0</v>
          </cell>
          <cell r="H12">
            <v>12716000.000000002</v>
          </cell>
          <cell r="I12">
            <v>21599999.999998543</v>
          </cell>
        </row>
        <row r="13">
          <cell r="C13">
            <v>10657000</v>
          </cell>
          <cell r="D13">
            <v>0</v>
          </cell>
          <cell r="E13">
            <v>13000000</v>
          </cell>
          <cell r="F13">
            <v>11800000</v>
          </cell>
          <cell r="G13">
            <v>0</v>
          </cell>
          <cell r="H13">
            <v>10285000</v>
          </cell>
          <cell r="I13">
            <v>24799999.999999274</v>
          </cell>
        </row>
        <row r="14">
          <cell r="C14">
            <v>12005000</v>
          </cell>
          <cell r="D14">
            <v>0</v>
          </cell>
          <cell r="E14">
            <v>12000000</v>
          </cell>
          <cell r="F14">
            <v>12090000</v>
          </cell>
          <cell r="G14">
            <v>0</v>
          </cell>
          <cell r="H14">
            <v>11697999.999999998</v>
          </cell>
          <cell r="I14">
            <v>24200000.000000726</v>
          </cell>
        </row>
        <row r="15">
          <cell r="C15">
            <v>10811000</v>
          </cell>
          <cell r="D15">
            <v>0</v>
          </cell>
          <cell r="E15">
            <v>8000000</v>
          </cell>
          <cell r="F15">
            <v>8060000.0000000009</v>
          </cell>
          <cell r="G15">
            <v>0</v>
          </cell>
          <cell r="H15">
            <v>10564000</v>
          </cell>
          <cell r="I15">
            <v>16000000</v>
          </cell>
        </row>
        <row r="16">
          <cell r="C16">
            <v>10051000</v>
          </cell>
          <cell r="D16">
            <v>0</v>
          </cell>
          <cell r="E16">
            <v>6000000</v>
          </cell>
          <cell r="F16">
            <v>9040000</v>
          </cell>
          <cell r="G16">
            <v>0</v>
          </cell>
          <cell r="H16">
            <v>9801999.9999999981</v>
          </cell>
          <cell r="I16">
            <v>16000000</v>
          </cell>
        </row>
        <row r="17">
          <cell r="C17">
            <v>7400000</v>
          </cell>
          <cell r="D17">
            <v>0</v>
          </cell>
          <cell r="E17">
            <v>12000000</v>
          </cell>
          <cell r="F17">
            <v>11800000</v>
          </cell>
          <cell r="G17">
            <v>0</v>
          </cell>
          <cell r="H17">
            <v>7109000.0000000037</v>
          </cell>
          <cell r="I17">
            <v>22900000.000001457</v>
          </cell>
        </row>
        <row r="18">
          <cell r="C18">
            <v>7975000</v>
          </cell>
          <cell r="D18">
            <v>0</v>
          </cell>
          <cell r="E18">
            <v>10000000</v>
          </cell>
          <cell r="F18">
            <v>8770000</v>
          </cell>
          <cell r="G18">
            <v>0</v>
          </cell>
          <cell r="H18">
            <v>7683000</v>
          </cell>
          <cell r="I18">
            <v>18500000</v>
          </cell>
        </row>
        <row r="19">
          <cell r="C19">
            <v>8071000</v>
          </cell>
          <cell r="D19">
            <v>0</v>
          </cell>
          <cell r="E19">
            <v>7000000</v>
          </cell>
          <cell r="F19">
            <v>8180000</v>
          </cell>
          <cell r="G19">
            <v>0</v>
          </cell>
          <cell r="H19">
            <v>7759000</v>
          </cell>
          <cell r="I19">
            <v>15500000</v>
          </cell>
        </row>
        <row r="20">
          <cell r="C20">
            <v>9365000</v>
          </cell>
          <cell r="D20">
            <v>0</v>
          </cell>
          <cell r="E20">
            <v>7000000</v>
          </cell>
          <cell r="F20">
            <v>7060000</v>
          </cell>
          <cell r="G20">
            <v>0</v>
          </cell>
          <cell r="H20">
            <v>8968000</v>
          </cell>
          <cell r="I20">
            <v>14000000</v>
          </cell>
        </row>
        <row r="21">
          <cell r="C21">
            <v>7744000</v>
          </cell>
          <cell r="D21">
            <v>0</v>
          </cell>
          <cell r="E21">
            <v>9000000</v>
          </cell>
          <cell r="F21">
            <v>9190000</v>
          </cell>
          <cell r="G21">
            <v>0</v>
          </cell>
          <cell r="H21">
            <v>7337000</v>
          </cell>
          <cell r="I21">
            <v>17799999.999999274</v>
          </cell>
        </row>
        <row r="22">
          <cell r="C22">
            <v>8891000</v>
          </cell>
          <cell r="D22">
            <v>0</v>
          </cell>
          <cell r="E22">
            <v>11000000</v>
          </cell>
          <cell r="F22">
            <v>12020000</v>
          </cell>
          <cell r="G22">
            <v>0</v>
          </cell>
          <cell r="H22">
            <v>8540000</v>
          </cell>
          <cell r="I22">
            <v>22700000.000000726</v>
          </cell>
        </row>
        <row r="23">
          <cell r="C23">
            <v>9318000</v>
          </cell>
          <cell r="D23">
            <v>0</v>
          </cell>
          <cell r="E23">
            <v>11000000</v>
          </cell>
          <cell r="F23">
            <v>13420000</v>
          </cell>
          <cell r="G23">
            <v>0</v>
          </cell>
          <cell r="H23">
            <v>8996000</v>
          </cell>
          <cell r="I23">
            <v>24500000</v>
          </cell>
        </row>
        <row r="24">
          <cell r="C24">
            <v>9076000</v>
          </cell>
          <cell r="D24">
            <v>0</v>
          </cell>
          <cell r="E24">
            <v>11000000</v>
          </cell>
          <cell r="F24">
            <v>11460000</v>
          </cell>
          <cell r="G24">
            <v>0</v>
          </cell>
          <cell r="H24">
            <v>8677000</v>
          </cell>
          <cell r="I24">
            <v>22099999.999998543</v>
          </cell>
        </row>
        <row r="25">
          <cell r="C25">
            <v>12681000</v>
          </cell>
          <cell r="D25">
            <v>0</v>
          </cell>
          <cell r="E25">
            <v>12000000</v>
          </cell>
          <cell r="F25">
            <v>12700000</v>
          </cell>
          <cell r="G25">
            <v>0</v>
          </cell>
          <cell r="H25">
            <v>12337000</v>
          </cell>
          <cell r="I25">
            <v>23799999.999999274</v>
          </cell>
        </row>
        <row r="26">
          <cell r="C26">
            <v>9618000</v>
          </cell>
          <cell r="D26">
            <v>0</v>
          </cell>
          <cell r="E26">
            <v>12000000</v>
          </cell>
          <cell r="F26">
            <v>12790000</v>
          </cell>
          <cell r="G26">
            <v>0</v>
          </cell>
          <cell r="H26">
            <v>9243000</v>
          </cell>
          <cell r="I26">
            <v>24600000.000002183</v>
          </cell>
        </row>
        <row r="27">
          <cell r="C27">
            <v>9275000</v>
          </cell>
          <cell r="D27">
            <v>0</v>
          </cell>
          <cell r="E27">
            <v>12000000</v>
          </cell>
          <cell r="F27">
            <v>13890000</v>
          </cell>
          <cell r="G27">
            <v>0</v>
          </cell>
          <cell r="H27">
            <v>8924000</v>
          </cell>
          <cell r="I27">
            <v>26199999.999997091</v>
          </cell>
        </row>
        <row r="28">
          <cell r="C28">
            <v>10742000</v>
          </cell>
          <cell r="D28">
            <v>0</v>
          </cell>
          <cell r="E28">
            <v>11000000</v>
          </cell>
          <cell r="F28">
            <v>10930000</v>
          </cell>
          <cell r="G28">
            <v>0</v>
          </cell>
          <cell r="H28">
            <v>10368000</v>
          </cell>
          <cell r="I28">
            <v>21900000.000001457</v>
          </cell>
        </row>
        <row r="29">
          <cell r="C29">
            <v>11476000</v>
          </cell>
          <cell r="D29">
            <v>0</v>
          </cell>
          <cell r="E29">
            <v>11000000</v>
          </cell>
          <cell r="F29">
            <v>11460000</v>
          </cell>
          <cell r="G29">
            <v>0</v>
          </cell>
          <cell r="H29">
            <v>11159000</v>
          </cell>
          <cell r="I29">
            <v>23000000</v>
          </cell>
        </row>
        <row r="30">
          <cell r="C30">
            <v>10520000</v>
          </cell>
          <cell r="D30">
            <v>0</v>
          </cell>
          <cell r="E30">
            <v>11000000</v>
          </cell>
          <cell r="F30">
            <v>11770000</v>
          </cell>
          <cell r="G30">
            <v>0</v>
          </cell>
          <cell r="H30">
            <v>10189000</v>
          </cell>
          <cell r="I30">
            <v>21500000</v>
          </cell>
        </row>
        <row r="31">
          <cell r="C31">
            <v>9907000</v>
          </cell>
          <cell r="D31">
            <v>0</v>
          </cell>
          <cell r="E31">
            <v>11000000</v>
          </cell>
          <cell r="F31">
            <v>11490000</v>
          </cell>
          <cell r="G31">
            <v>0</v>
          </cell>
          <cell r="H31">
            <v>9531000</v>
          </cell>
          <cell r="I31">
            <v>22900000.000001457</v>
          </cell>
        </row>
        <row r="32">
          <cell r="C32">
            <v>8897000</v>
          </cell>
          <cell r="D32">
            <v>0</v>
          </cell>
          <cell r="E32">
            <v>11000000</v>
          </cell>
          <cell r="F32">
            <v>8450000</v>
          </cell>
          <cell r="G32">
            <v>0</v>
          </cell>
          <cell r="H32">
            <v>8505000</v>
          </cell>
          <cell r="I32">
            <v>18399999.999997817</v>
          </cell>
        </row>
        <row r="33">
          <cell r="C33">
            <v>6048000</v>
          </cell>
          <cell r="D33">
            <v>0</v>
          </cell>
          <cell r="E33">
            <v>6000000</v>
          </cell>
          <cell r="F33">
            <v>6530000</v>
          </cell>
          <cell r="G33">
            <v>0</v>
          </cell>
          <cell r="H33">
            <v>5686000</v>
          </cell>
          <cell r="I33">
            <v>12799999.999999272</v>
          </cell>
        </row>
        <row r="34">
          <cell r="C34">
            <v>5977000</v>
          </cell>
          <cell r="D34">
            <v>0</v>
          </cell>
          <cell r="E34">
            <v>7000000</v>
          </cell>
          <cell r="F34">
            <v>6470000</v>
          </cell>
          <cell r="G34">
            <v>0</v>
          </cell>
          <cell r="H34">
            <v>5718000</v>
          </cell>
          <cell r="I34">
            <v>12700000.000000728</v>
          </cell>
        </row>
        <row r="259">
          <cell r="D259">
            <v>583999.99999999965</v>
          </cell>
          <cell r="H259">
            <v>1962349</v>
          </cell>
        </row>
        <row r="260">
          <cell r="D260">
            <v>506000.00000000023</v>
          </cell>
          <cell r="H260">
            <v>1781811</v>
          </cell>
        </row>
        <row r="261">
          <cell r="D261">
            <v>377999.99999999657</v>
          </cell>
          <cell r="H261">
            <v>2166722</v>
          </cell>
        </row>
        <row r="262">
          <cell r="D262">
            <v>245000.00000000454</v>
          </cell>
          <cell r="H262">
            <v>1921858</v>
          </cell>
        </row>
        <row r="263">
          <cell r="D263">
            <v>368999.99999999977</v>
          </cell>
          <cell r="H263">
            <v>1911176</v>
          </cell>
        </row>
        <row r="264">
          <cell r="D264">
            <v>371999.99999999988</v>
          </cell>
          <cell r="H264">
            <v>2276940</v>
          </cell>
        </row>
        <row r="265">
          <cell r="D265">
            <v>311999.99999999761</v>
          </cell>
          <cell r="H265">
            <v>2076062</v>
          </cell>
        </row>
        <row r="266">
          <cell r="D266">
            <v>310000.00000000227</v>
          </cell>
          <cell r="H266">
            <v>1774347</v>
          </cell>
        </row>
        <row r="267">
          <cell r="D267">
            <v>186999.99999999761</v>
          </cell>
          <cell r="H267">
            <v>1619159</v>
          </cell>
        </row>
        <row r="268">
          <cell r="D268">
            <v>371999.99999999988</v>
          </cell>
          <cell r="H268">
            <v>2053379</v>
          </cell>
        </row>
        <row r="269">
          <cell r="D269">
            <v>307000.00000000215</v>
          </cell>
          <cell r="H269">
            <v>2090347</v>
          </cell>
        </row>
        <row r="270">
          <cell r="D270">
            <v>246999.99999999988</v>
          </cell>
          <cell r="H270">
            <v>1623284</v>
          </cell>
        </row>
        <row r="271">
          <cell r="D271">
            <v>249000.00000000233</v>
          </cell>
          <cell r="H271">
            <v>1355415</v>
          </cell>
        </row>
        <row r="272">
          <cell r="D272">
            <v>290999.9999999968</v>
          </cell>
          <cell r="H272">
            <v>2009597</v>
          </cell>
        </row>
        <row r="273">
          <cell r="D273">
            <v>292000</v>
          </cell>
          <cell r="H273">
            <v>1701817</v>
          </cell>
        </row>
        <row r="274">
          <cell r="D274">
            <v>312000.00000000006</v>
          </cell>
          <cell r="H274">
            <v>1305330</v>
          </cell>
        </row>
        <row r="275">
          <cell r="D275">
            <v>396999.99999999988</v>
          </cell>
          <cell r="H275">
            <v>1156147</v>
          </cell>
        </row>
        <row r="276">
          <cell r="D276">
            <v>407000</v>
          </cell>
          <cell r="H276">
            <v>1439488</v>
          </cell>
        </row>
        <row r="277">
          <cell r="D277">
            <v>351000.00000000017</v>
          </cell>
          <cell r="H277">
            <v>1892805</v>
          </cell>
        </row>
        <row r="278">
          <cell r="D278">
            <v>322000.00000000006</v>
          </cell>
          <cell r="H278">
            <v>2118077</v>
          </cell>
        </row>
        <row r="279">
          <cell r="D279">
            <v>398999.99999999959</v>
          </cell>
          <cell r="H279">
            <v>1939677</v>
          </cell>
        </row>
        <row r="280">
          <cell r="D280">
            <v>344000.00000000029</v>
          </cell>
          <cell r="H280">
            <v>1982758</v>
          </cell>
        </row>
        <row r="281">
          <cell r="D281">
            <v>375000</v>
          </cell>
          <cell r="H281">
            <v>2164308</v>
          </cell>
        </row>
        <row r="282">
          <cell r="D282">
            <v>351000</v>
          </cell>
          <cell r="H282">
            <v>2138434</v>
          </cell>
        </row>
        <row r="283">
          <cell r="D283">
            <v>374000.00000000012</v>
          </cell>
          <cell r="H283">
            <v>1819290</v>
          </cell>
        </row>
        <row r="284">
          <cell r="D284">
            <v>317000.00000000017</v>
          </cell>
          <cell r="H284">
            <v>1925231</v>
          </cell>
        </row>
        <row r="285">
          <cell r="D285">
            <v>330999.99999999953</v>
          </cell>
          <cell r="H285">
            <v>1828206</v>
          </cell>
        </row>
        <row r="286">
          <cell r="D286">
            <v>376000.00000000035</v>
          </cell>
          <cell r="H286">
            <v>1868666</v>
          </cell>
        </row>
        <row r="287">
          <cell r="D287">
            <v>391999.99999999948</v>
          </cell>
          <cell r="H287">
            <v>1590235</v>
          </cell>
        </row>
        <row r="288">
          <cell r="D288">
            <v>362000.00000000012</v>
          </cell>
          <cell r="H288">
            <v>1319659</v>
          </cell>
        </row>
        <row r="289">
          <cell r="D289">
            <v>259000.00000000035</v>
          </cell>
          <cell r="H289">
            <v>1021054</v>
          </cell>
        </row>
      </sheetData>
      <sheetData sheetId="3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Prod"/>
      <sheetName val="Augus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6500000</v>
          </cell>
          <cell r="D4">
            <v>0</v>
          </cell>
          <cell r="E4">
            <v>6000000</v>
          </cell>
          <cell r="F4">
            <v>6560000</v>
          </cell>
          <cell r="H4">
            <v>6208000</v>
          </cell>
          <cell r="I4">
            <v>13100000.000002183</v>
          </cell>
        </row>
        <row r="5">
          <cell r="C5">
            <v>9548000</v>
          </cell>
          <cell r="D5">
            <v>0</v>
          </cell>
          <cell r="E5">
            <v>7000000</v>
          </cell>
          <cell r="F5">
            <v>6560000</v>
          </cell>
          <cell r="H5">
            <v>9300000</v>
          </cell>
          <cell r="I5">
            <v>13500000</v>
          </cell>
        </row>
        <row r="6">
          <cell r="C6">
            <v>11448000</v>
          </cell>
          <cell r="D6">
            <v>0</v>
          </cell>
          <cell r="E6">
            <v>7000000</v>
          </cell>
          <cell r="F6">
            <v>6990000</v>
          </cell>
          <cell r="H6">
            <v>11053000</v>
          </cell>
          <cell r="I6">
            <v>13099999.999998545</v>
          </cell>
        </row>
        <row r="7">
          <cell r="C7">
            <v>11855000</v>
          </cell>
          <cell r="D7">
            <v>0</v>
          </cell>
          <cell r="E7">
            <v>7000000</v>
          </cell>
          <cell r="F7">
            <v>6920000</v>
          </cell>
          <cell r="H7">
            <v>11462000</v>
          </cell>
          <cell r="I7">
            <v>14200000.000000728</v>
          </cell>
        </row>
        <row r="8">
          <cell r="C8">
            <v>10649000</v>
          </cell>
          <cell r="D8">
            <v>0</v>
          </cell>
          <cell r="E8">
            <v>9000000</v>
          </cell>
          <cell r="F8">
            <v>10010000</v>
          </cell>
          <cell r="H8">
            <v>10286000</v>
          </cell>
          <cell r="I8">
            <v>18799999.999999274</v>
          </cell>
        </row>
        <row r="9">
          <cell r="C9">
            <v>10795000</v>
          </cell>
          <cell r="D9">
            <v>0</v>
          </cell>
          <cell r="E9">
            <v>8000000</v>
          </cell>
          <cell r="F9">
            <v>10870000</v>
          </cell>
          <cell r="H9">
            <v>10428000</v>
          </cell>
          <cell r="I9">
            <v>19299999.999999274</v>
          </cell>
        </row>
        <row r="10">
          <cell r="C10">
            <v>9462000</v>
          </cell>
          <cell r="D10">
            <v>0</v>
          </cell>
          <cell r="E10">
            <v>9000000</v>
          </cell>
          <cell r="F10">
            <v>10430000</v>
          </cell>
          <cell r="H10">
            <v>9083000</v>
          </cell>
          <cell r="I10">
            <v>19299999.999999274</v>
          </cell>
        </row>
        <row r="11">
          <cell r="C11">
            <v>10691000</v>
          </cell>
          <cell r="D11">
            <v>0</v>
          </cell>
          <cell r="E11">
            <v>8000000</v>
          </cell>
          <cell r="F11">
            <v>10190000</v>
          </cell>
          <cell r="H11">
            <v>10316000</v>
          </cell>
          <cell r="I11">
            <v>18600000.000002183</v>
          </cell>
        </row>
        <row r="12">
          <cell r="C12">
            <v>11994000</v>
          </cell>
          <cell r="D12">
            <v>0</v>
          </cell>
          <cell r="E12">
            <v>9000000</v>
          </cell>
          <cell r="F12">
            <v>9980000</v>
          </cell>
          <cell r="H12">
            <v>11648000</v>
          </cell>
          <cell r="I12">
            <v>18200000.000000726</v>
          </cell>
        </row>
        <row r="13">
          <cell r="C13">
            <v>11881000</v>
          </cell>
          <cell r="D13">
            <v>0</v>
          </cell>
          <cell r="E13">
            <v>9000000</v>
          </cell>
          <cell r="F13">
            <v>8790000</v>
          </cell>
          <cell r="H13">
            <v>11583000</v>
          </cell>
          <cell r="I13">
            <v>17399999.999997817</v>
          </cell>
        </row>
        <row r="14">
          <cell r="C14">
            <v>12246000</v>
          </cell>
          <cell r="D14">
            <v>0</v>
          </cell>
          <cell r="E14">
            <v>10000000</v>
          </cell>
          <cell r="F14">
            <v>9700000</v>
          </cell>
          <cell r="H14">
            <v>11859000.000000002</v>
          </cell>
          <cell r="I14">
            <v>19400000.000001457</v>
          </cell>
        </row>
        <row r="15">
          <cell r="C15">
            <v>10552000</v>
          </cell>
          <cell r="D15">
            <v>0</v>
          </cell>
          <cell r="E15">
            <v>8000000</v>
          </cell>
          <cell r="F15">
            <v>10200000</v>
          </cell>
          <cell r="H15">
            <v>10172999.999999998</v>
          </cell>
          <cell r="I15">
            <v>19099999.999998543</v>
          </cell>
        </row>
        <row r="16">
          <cell r="C16">
            <v>11544000</v>
          </cell>
          <cell r="D16">
            <v>0</v>
          </cell>
          <cell r="E16">
            <v>9000000</v>
          </cell>
          <cell r="F16">
            <v>11770000</v>
          </cell>
          <cell r="H16">
            <v>11188000</v>
          </cell>
          <cell r="I16">
            <v>21000000</v>
          </cell>
        </row>
        <row r="17">
          <cell r="C17">
            <v>12013000</v>
          </cell>
          <cell r="D17">
            <v>0</v>
          </cell>
          <cell r="E17">
            <v>10000000</v>
          </cell>
          <cell r="F17">
            <v>10380000</v>
          </cell>
          <cell r="H17">
            <v>11607000.000000002</v>
          </cell>
          <cell r="I17">
            <v>19400000.000001457</v>
          </cell>
        </row>
        <row r="18">
          <cell r="C18">
            <v>10747000</v>
          </cell>
          <cell r="D18">
            <v>0</v>
          </cell>
          <cell r="E18">
            <v>9000000</v>
          </cell>
          <cell r="F18">
            <v>9130000</v>
          </cell>
          <cell r="H18">
            <v>10348999.999999998</v>
          </cell>
          <cell r="I18">
            <v>18299999.999999274</v>
          </cell>
        </row>
        <row r="19">
          <cell r="C19">
            <v>12071000</v>
          </cell>
          <cell r="D19">
            <v>0</v>
          </cell>
          <cell r="E19">
            <v>10000000</v>
          </cell>
          <cell r="F19">
            <v>13080000</v>
          </cell>
          <cell r="H19">
            <v>11622000</v>
          </cell>
          <cell r="I19">
            <v>22200000.000000726</v>
          </cell>
        </row>
        <row r="20">
          <cell r="C20">
            <v>11428000</v>
          </cell>
          <cell r="D20">
            <v>0</v>
          </cell>
          <cell r="E20">
            <v>9000000</v>
          </cell>
          <cell r="F20">
            <v>11620000</v>
          </cell>
          <cell r="H20">
            <v>11118000.000000002</v>
          </cell>
          <cell r="I20">
            <v>21700000.000000726</v>
          </cell>
        </row>
        <row r="21">
          <cell r="C21">
            <v>11900000</v>
          </cell>
          <cell r="D21">
            <v>0</v>
          </cell>
          <cell r="E21">
            <v>9000000</v>
          </cell>
          <cell r="F21">
            <v>12640000</v>
          </cell>
          <cell r="H21">
            <v>11587000</v>
          </cell>
          <cell r="I21">
            <v>21699999.999997091</v>
          </cell>
        </row>
        <row r="22">
          <cell r="C22">
            <v>11759000</v>
          </cell>
          <cell r="D22">
            <v>0</v>
          </cell>
          <cell r="E22">
            <v>10000000</v>
          </cell>
          <cell r="F22">
            <v>11510000</v>
          </cell>
          <cell r="H22">
            <v>11419000</v>
          </cell>
          <cell r="I22">
            <v>21700000.000000726</v>
          </cell>
        </row>
        <row r="23">
          <cell r="C23">
            <v>11889000</v>
          </cell>
          <cell r="D23">
            <v>0</v>
          </cell>
          <cell r="E23">
            <v>9000000</v>
          </cell>
          <cell r="F23">
            <v>12160000</v>
          </cell>
          <cell r="H23">
            <v>11539000</v>
          </cell>
          <cell r="I23">
            <v>21799999.999999274</v>
          </cell>
        </row>
        <row r="24">
          <cell r="C24">
            <v>9118000</v>
          </cell>
          <cell r="D24">
            <v>0</v>
          </cell>
          <cell r="E24">
            <v>8000000</v>
          </cell>
          <cell r="F24">
            <v>10330000</v>
          </cell>
          <cell r="H24">
            <v>8741000</v>
          </cell>
          <cell r="I24">
            <v>18600000.000002183</v>
          </cell>
        </row>
        <row r="25">
          <cell r="C25">
            <v>10109000</v>
          </cell>
          <cell r="D25">
            <v>0</v>
          </cell>
          <cell r="E25">
            <v>9000000</v>
          </cell>
          <cell r="F25">
            <v>8380000.0000000009</v>
          </cell>
          <cell r="H25">
            <v>9791000</v>
          </cell>
          <cell r="I25">
            <v>17200000.000000726</v>
          </cell>
        </row>
        <row r="26">
          <cell r="C26">
            <v>11379000</v>
          </cell>
          <cell r="D26">
            <v>0</v>
          </cell>
          <cell r="E26">
            <v>11000000</v>
          </cell>
          <cell r="F26">
            <v>6040000</v>
          </cell>
          <cell r="H26">
            <v>11024000</v>
          </cell>
          <cell r="I26">
            <v>17399999.999997817</v>
          </cell>
        </row>
        <row r="27">
          <cell r="C27">
            <v>11516000</v>
          </cell>
          <cell r="D27">
            <v>0</v>
          </cell>
          <cell r="E27">
            <v>11000000</v>
          </cell>
          <cell r="F27">
            <v>5940000</v>
          </cell>
          <cell r="H27">
            <v>11077000</v>
          </cell>
          <cell r="I27">
            <v>16400000.000001455</v>
          </cell>
        </row>
        <row r="28">
          <cell r="C28">
            <v>12009000</v>
          </cell>
          <cell r="D28">
            <v>0</v>
          </cell>
          <cell r="E28">
            <v>11000000</v>
          </cell>
          <cell r="F28">
            <v>8510000</v>
          </cell>
          <cell r="H28">
            <v>11711000</v>
          </cell>
          <cell r="I28">
            <v>19799999.999999274</v>
          </cell>
        </row>
        <row r="29">
          <cell r="C29">
            <v>7718000</v>
          </cell>
          <cell r="D29">
            <v>0</v>
          </cell>
          <cell r="E29">
            <v>8000000</v>
          </cell>
          <cell r="F29">
            <v>7820000</v>
          </cell>
          <cell r="H29">
            <v>7311000</v>
          </cell>
          <cell r="I29">
            <v>15400000.000001455</v>
          </cell>
        </row>
        <row r="30">
          <cell r="C30">
            <v>9859000</v>
          </cell>
          <cell r="D30">
            <v>0</v>
          </cell>
          <cell r="E30">
            <v>5000000</v>
          </cell>
          <cell r="F30">
            <v>6210000</v>
          </cell>
          <cell r="H30">
            <v>9443000</v>
          </cell>
          <cell r="I30">
            <v>10899999.999997817</v>
          </cell>
        </row>
        <row r="31">
          <cell r="C31">
            <v>9903000</v>
          </cell>
          <cell r="D31">
            <v>0</v>
          </cell>
          <cell r="E31">
            <v>5000000</v>
          </cell>
          <cell r="F31">
            <v>6930000</v>
          </cell>
          <cell r="H31">
            <v>9481000.0000000019</v>
          </cell>
          <cell r="I31">
            <v>11900000.000001455</v>
          </cell>
        </row>
        <row r="32">
          <cell r="C32">
            <v>9231000</v>
          </cell>
          <cell r="D32">
            <v>0</v>
          </cell>
          <cell r="E32">
            <v>7000000</v>
          </cell>
          <cell r="F32">
            <v>7440000</v>
          </cell>
          <cell r="H32">
            <v>8795999.9999999981</v>
          </cell>
          <cell r="I32">
            <v>14599999.999998545</v>
          </cell>
        </row>
        <row r="33">
          <cell r="C33">
            <v>7864000</v>
          </cell>
          <cell r="D33">
            <v>0</v>
          </cell>
          <cell r="E33">
            <v>8000000</v>
          </cell>
          <cell r="F33">
            <v>7910000</v>
          </cell>
          <cell r="H33">
            <v>7568000.0000000009</v>
          </cell>
          <cell r="I33">
            <v>16400000.000001455</v>
          </cell>
        </row>
        <row r="34">
          <cell r="C34">
            <v>8301000</v>
          </cell>
          <cell r="D34">
            <v>0</v>
          </cell>
          <cell r="E34">
            <v>8000000</v>
          </cell>
          <cell r="F34">
            <v>7810000</v>
          </cell>
          <cell r="H34">
            <v>7928000.0000000028</v>
          </cell>
          <cell r="I34">
            <v>14899999.999997817</v>
          </cell>
        </row>
        <row r="259">
          <cell r="D259">
            <v>291999.99999999983</v>
          </cell>
          <cell r="H259">
            <v>1012289</v>
          </cell>
        </row>
        <row r="260">
          <cell r="D260">
            <v>248000.00000000023</v>
          </cell>
          <cell r="H260">
            <v>1138887</v>
          </cell>
        </row>
        <row r="261">
          <cell r="D261">
            <v>394999.99999999959</v>
          </cell>
          <cell r="H261">
            <v>1218003</v>
          </cell>
        </row>
        <row r="262">
          <cell r="D262">
            <v>393000.0000000007</v>
          </cell>
          <cell r="H262">
            <v>1258099</v>
          </cell>
        </row>
        <row r="263">
          <cell r="D263">
            <v>362999.99999999953</v>
          </cell>
          <cell r="H263">
            <v>1599408</v>
          </cell>
        </row>
        <row r="264">
          <cell r="D264">
            <v>367000.00000000087</v>
          </cell>
          <cell r="H264">
            <v>1464993</v>
          </cell>
        </row>
        <row r="265">
          <cell r="D265">
            <v>378999.99999999953</v>
          </cell>
          <cell r="H265">
            <v>1648527</v>
          </cell>
        </row>
        <row r="266">
          <cell r="D266">
            <v>375000</v>
          </cell>
          <cell r="H266">
            <v>1582761</v>
          </cell>
        </row>
        <row r="267">
          <cell r="D267">
            <v>346000.00000000006</v>
          </cell>
          <cell r="H267">
            <v>1590000</v>
          </cell>
        </row>
        <row r="268">
          <cell r="D268">
            <v>298000.00000000006</v>
          </cell>
          <cell r="H268">
            <v>1459754.0000000005</v>
          </cell>
        </row>
        <row r="269">
          <cell r="D269">
            <v>386999.99999999866</v>
          </cell>
          <cell r="H269">
            <v>1570591</v>
          </cell>
        </row>
        <row r="270">
          <cell r="D270">
            <v>379000.00000000134</v>
          </cell>
          <cell r="H270">
            <v>1664187</v>
          </cell>
        </row>
        <row r="271">
          <cell r="D271">
            <v>355999.99999999988</v>
          </cell>
          <cell r="H271">
            <v>62892.099999999627</v>
          </cell>
        </row>
        <row r="272">
          <cell r="D272">
            <v>405999.99999999878</v>
          </cell>
          <cell r="H272">
            <v>465018</v>
          </cell>
        </row>
        <row r="273">
          <cell r="D273">
            <v>398000.00000000146</v>
          </cell>
          <cell r="H273">
            <v>1541195</v>
          </cell>
        </row>
        <row r="274">
          <cell r="D274">
            <v>448999.99999999983</v>
          </cell>
          <cell r="H274">
            <v>1867520</v>
          </cell>
        </row>
        <row r="275">
          <cell r="D275">
            <v>309999.99999999872</v>
          </cell>
          <cell r="H275">
            <v>1744333</v>
          </cell>
        </row>
        <row r="276">
          <cell r="D276">
            <v>313000.00000000058</v>
          </cell>
          <cell r="H276">
            <v>1892385</v>
          </cell>
        </row>
        <row r="277">
          <cell r="D277">
            <v>339999.99999999988</v>
          </cell>
          <cell r="H277">
            <v>1689375</v>
          </cell>
        </row>
        <row r="278">
          <cell r="D278">
            <v>349999.99999999965</v>
          </cell>
          <cell r="H278">
            <v>1765295</v>
          </cell>
        </row>
        <row r="279">
          <cell r="D279">
            <v>377000.00000000064</v>
          </cell>
          <cell r="H279">
            <v>1374824</v>
          </cell>
        </row>
        <row r="280">
          <cell r="D280">
            <v>317999.99999999959</v>
          </cell>
          <cell r="H280">
            <v>1373156</v>
          </cell>
        </row>
        <row r="281">
          <cell r="D281">
            <v>355000.00000000041</v>
          </cell>
          <cell r="H281">
            <v>1412003</v>
          </cell>
        </row>
        <row r="282">
          <cell r="D282">
            <v>439000.00000000006</v>
          </cell>
          <cell r="H282">
            <v>1368213</v>
          </cell>
        </row>
        <row r="283">
          <cell r="D283">
            <v>298000.00000000006</v>
          </cell>
          <cell r="H283">
            <v>1637093</v>
          </cell>
        </row>
        <row r="284">
          <cell r="D284">
            <v>407000</v>
          </cell>
          <cell r="H284">
            <v>1323788</v>
          </cell>
        </row>
        <row r="285">
          <cell r="D285">
            <v>416000.00000000035</v>
          </cell>
          <cell r="H285">
            <v>1124208</v>
          </cell>
        </row>
        <row r="286">
          <cell r="D286">
            <v>421999.99999999884</v>
          </cell>
          <cell r="H286">
            <v>1038861</v>
          </cell>
        </row>
        <row r="287">
          <cell r="D287">
            <v>435000.00000000227</v>
          </cell>
          <cell r="H287">
            <v>1316075</v>
          </cell>
        </row>
        <row r="288">
          <cell r="D288">
            <v>295999.99999999936</v>
          </cell>
          <cell r="H288">
            <v>1453819</v>
          </cell>
        </row>
        <row r="289">
          <cell r="D289">
            <v>372999.99999999756</v>
          </cell>
          <cell r="H289">
            <v>1286025</v>
          </cell>
        </row>
      </sheetData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 Prod"/>
      <sheetName val="Septembe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9103000</v>
          </cell>
          <cell r="D4">
            <v>0</v>
          </cell>
          <cell r="E4">
            <v>6000000</v>
          </cell>
          <cell r="F4">
            <v>6340000</v>
          </cell>
          <cell r="H4">
            <v>8600000</v>
          </cell>
          <cell r="I4">
            <v>13000000</v>
          </cell>
        </row>
        <row r="5">
          <cell r="C5">
            <v>11833000</v>
          </cell>
          <cell r="D5">
            <v>0</v>
          </cell>
          <cell r="E5">
            <v>9000000</v>
          </cell>
          <cell r="F5">
            <v>8240000</v>
          </cell>
          <cell r="H5">
            <v>11394000</v>
          </cell>
          <cell r="I5">
            <v>16500000</v>
          </cell>
        </row>
        <row r="6">
          <cell r="C6">
            <v>11931000</v>
          </cell>
          <cell r="D6">
            <v>0</v>
          </cell>
          <cell r="E6">
            <v>10000000</v>
          </cell>
          <cell r="F6">
            <v>9440000</v>
          </cell>
          <cell r="H6">
            <v>11576000</v>
          </cell>
          <cell r="I6">
            <v>19500000</v>
          </cell>
        </row>
        <row r="7">
          <cell r="C7">
            <v>9719000</v>
          </cell>
          <cell r="D7">
            <v>0</v>
          </cell>
          <cell r="E7">
            <v>10000000</v>
          </cell>
          <cell r="F7">
            <v>8460000</v>
          </cell>
          <cell r="H7">
            <v>9155000</v>
          </cell>
          <cell r="I7">
            <v>17600000.000002183</v>
          </cell>
        </row>
        <row r="8">
          <cell r="C8">
            <v>5158000</v>
          </cell>
          <cell r="D8">
            <v>0</v>
          </cell>
          <cell r="E8">
            <v>8000000</v>
          </cell>
          <cell r="F8">
            <v>7710000</v>
          </cell>
          <cell r="H8">
            <v>4485999.9999999991</v>
          </cell>
          <cell r="I8">
            <v>15299999.999999272</v>
          </cell>
        </row>
        <row r="9">
          <cell r="C9">
            <v>9829000</v>
          </cell>
          <cell r="D9">
            <v>0</v>
          </cell>
          <cell r="E9">
            <v>6000000</v>
          </cell>
          <cell r="F9">
            <v>5930000</v>
          </cell>
          <cell r="H9">
            <v>9326000</v>
          </cell>
          <cell r="I9">
            <v>12599999.999998545</v>
          </cell>
        </row>
        <row r="10">
          <cell r="C10">
            <v>9990000</v>
          </cell>
          <cell r="D10">
            <v>0</v>
          </cell>
          <cell r="E10">
            <v>6000000</v>
          </cell>
          <cell r="F10">
            <v>6640000</v>
          </cell>
          <cell r="H10">
            <v>9650000</v>
          </cell>
          <cell r="I10">
            <v>12700000.000000728</v>
          </cell>
        </row>
        <row r="11">
          <cell r="C11">
            <v>10296000</v>
          </cell>
          <cell r="D11">
            <v>0</v>
          </cell>
          <cell r="E11">
            <v>8000000</v>
          </cell>
          <cell r="F11">
            <v>7790000</v>
          </cell>
          <cell r="H11">
            <v>9872000</v>
          </cell>
          <cell r="I11">
            <v>15900000.000001455</v>
          </cell>
        </row>
        <row r="12">
          <cell r="C12">
            <v>9081000</v>
          </cell>
          <cell r="D12">
            <v>0</v>
          </cell>
          <cell r="E12">
            <v>8000000</v>
          </cell>
          <cell r="F12">
            <v>8260000</v>
          </cell>
          <cell r="H12">
            <v>8590000</v>
          </cell>
          <cell r="I12">
            <v>15500000</v>
          </cell>
        </row>
        <row r="13">
          <cell r="C13">
            <v>7177000</v>
          </cell>
          <cell r="D13">
            <v>0</v>
          </cell>
          <cell r="E13">
            <v>6000000</v>
          </cell>
          <cell r="F13">
            <v>5440000</v>
          </cell>
          <cell r="H13">
            <v>6567000.0000000009</v>
          </cell>
          <cell r="I13">
            <v>11399999.999997817</v>
          </cell>
        </row>
        <row r="14">
          <cell r="C14">
            <v>8335000</v>
          </cell>
          <cell r="D14">
            <v>0</v>
          </cell>
          <cell r="E14">
            <v>5000000</v>
          </cell>
          <cell r="F14">
            <v>5070000</v>
          </cell>
          <cell r="H14">
            <v>7931999.9999999981</v>
          </cell>
          <cell r="I14">
            <v>10000000</v>
          </cell>
        </row>
        <row r="15">
          <cell r="C15">
            <v>5987000</v>
          </cell>
          <cell r="D15">
            <v>0</v>
          </cell>
          <cell r="E15">
            <v>3000000</v>
          </cell>
          <cell r="F15">
            <v>5000000</v>
          </cell>
          <cell r="H15">
            <v>5660000.0000000019</v>
          </cell>
          <cell r="I15">
            <v>8800000.0000029095</v>
          </cell>
        </row>
        <row r="16">
          <cell r="C16">
            <v>7962000</v>
          </cell>
          <cell r="D16">
            <v>0</v>
          </cell>
          <cell r="E16">
            <v>5000000</v>
          </cell>
          <cell r="F16">
            <v>5670000</v>
          </cell>
          <cell r="H16">
            <v>7532000</v>
          </cell>
          <cell r="I16">
            <v>10099999.999998545</v>
          </cell>
        </row>
        <row r="17">
          <cell r="C17">
            <v>7042000</v>
          </cell>
          <cell r="D17">
            <v>0</v>
          </cell>
          <cell r="E17">
            <v>6000000</v>
          </cell>
          <cell r="F17">
            <v>5880000</v>
          </cell>
          <cell r="H17">
            <v>6609000</v>
          </cell>
          <cell r="I17">
            <v>11599999.999998545</v>
          </cell>
        </row>
        <row r="18">
          <cell r="C18">
            <v>7176000</v>
          </cell>
          <cell r="D18">
            <v>0</v>
          </cell>
          <cell r="E18">
            <v>6000000</v>
          </cell>
          <cell r="F18">
            <v>5980000</v>
          </cell>
          <cell r="H18">
            <v>6774999.9999999963</v>
          </cell>
          <cell r="I18">
            <v>11800000.000002909</v>
          </cell>
        </row>
        <row r="19">
          <cell r="C19">
            <v>11314000</v>
          </cell>
          <cell r="D19">
            <v>0</v>
          </cell>
          <cell r="E19">
            <v>6000000</v>
          </cell>
          <cell r="F19">
            <v>5350000</v>
          </cell>
          <cell r="H19">
            <v>10879000.000000002</v>
          </cell>
          <cell r="I19">
            <v>10899999.999997817</v>
          </cell>
        </row>
        <row r="20">
          <cell r="C20">
            <v>11016000</v>
          </cell>
          <cell r="D20">
            <v>0</v>
          </cell>
          <cell r="E20">
            <v>8000000</v>
          </cell>
          <cell r="F20">
            <v>9720000</v>
          </cell>
          <cell r="H20">
            <v>10502000</v>
          </cell>
          <cell r="I20">
            <v>17900000.000001457</v>
          </cell>
        </row>
        <row r="21">
          <cell r="C21">
            <v>10345000</v>
          </cell>
          <cell r="D21">
            <v>0</v>
          </cell>
          <cell r="E21">
            <v>8000000</v>
          </cell>
          <cell r="F21">
            <v>8210000.0000000009</v>
          </cell>
          <cell r="H21">
            <v>9805999.9999999981</v>
          </cell>
          <cell r="I21">
            <v>15399999.999997817</v>
          </cell>
        </row>
        <row r="22">
          <cell r="C22">
            <v>11637000</v>
          </cell>
          <cell r="D22">
            <v>0</v>
          </cell>
          <cell r="E22">
            <v>7000000</v>
          </cell>
          <cell r="F22">
            <v>7940000</v>
          </cell>
          <cell r="H22">
            <v>10932000.000000002</v>
          </cell>
          <cell r="I22">
            <v>15700000.000000728</v>
          </cell>
        </row>
        <row r="23">
          <cell r="C23">
            <v>12856000</v>
          </cell>
          <cell r="D23">
            <v>0</v>
          </cell>
          <cell r="E23">
            <v>5000000</v>
          </cell>
          <cell r="F23">
            <v>9050000</v>
          </cell>
          <cell r="H23">
            <v>12171999.999999998</v>
          </cell>
          <cell r="I23">
            <v>14000000</v>
          </cell>
        </row>
        <row r="24">
          <cell r="C24">
            <v>13130000</v>
          </cell>
          <cell r="D24">
            <v>0</v>
          </cell>
          <cell r="E24">
            <v>5000000</v>
          </cell>
          <cell r="F24">
            <v>9040000</v>
          </cell>
          <cell r="H24">
            <v>12552000</v>
          </cell>
          <cell r="I24">
            <v>14100000.000002183</v>
          </cell>
        </row>
        <row r="25">
          <cell r="C25">
            <v>11321000</v>
          </cell>
          <cell r="D25">
            <v>0</v>
          </cell>
          <cell r="E25">
            <v>5000000</v>
          </cell>
          <cell r="F25">
            <v>8520000</v>
          </cell>
          <cell r="H25">
            <v>10639000.000000002</v>
          </cell>
          <cell r="I25">
            <v>14000000</v>
          </cell>
        </row>
        <row r="26">
          <cell r="C26">
            <v>9471000</v>
          </cell>
          <cell r="D26">
            <v>0</v>
          </cell>
          <cell r="E26">
            <v>7000000</v>
          </cell>
          <cell r="F26">
            <v>8710000</v>
          </cell>
          <cell r="H26">
            <v>8889000</v>
          </cell>
          <cell r="I26">
            <v>15199999.999997091</v>
          </cell>
        </row>
        <row r="27">
          <cell r="C27">
            <v>10031000</v>
          </cell>
          <cell r="D27">
            <v>0</v>
          </cell>
          <cell r="E27">
            <v>6000000</v>
          </cell>
          <cell r="F27">
            <v>8500000</v>
          </cell>
          <cell r="H27">
            <v>9479000</v>
          </cell>
          <cell r="I27">
            <v>14500000</v>
          </cell>
        </row>
        <row r="28">
          <cell r="C28">
            <v>12946000</v>
          </cell>
          <cell r="D28">
            <v>0</v>
          </cell>
          <cell r="E28">
            <v>5000000</v>
          </cell>
          <cell r="F28">
            <v>10390000</v>
          </cell>
          <cell r="H28">
            <v>12277000</v>
          </cell>
          <cell r="I28">
            <v>15500000</v>
          </cell>
        </row>
        <row r="29">
          <cell r="C29">
            <v>12405000</v>
          </cell>
          <cell r="D29">
            <v>0</v>
          </cell>
          <cell r="E29">
            <v>4000000</v>
          </cell>
          <cell r="F29">
            <v>11460000</v>
          </cell>
          <cell r="H29">
            <v>11727000</v>
          </cell>
          <cell r="I29">
            <v>16200000.000000728</v>
          </cell>
        </row>
        <row r="30">
          <cell r="C30">
            <v>12934000</v>
          </cell>
          <cell r="D30">
            <v>0</v>
          </cell>
          <cell r="E30">
            <v>4000000</v>
          </cell>
          <cell r="F30">
            <v>9010000</v>
          </cell>
          <cell r="H30">
            <v>12417000</v>
          </cell>
          <cell r="I30">
            <v>14000000</v>
          </cell>
        </row>
        <row r="31">
          <cell r="C31">
            <v>13063000</v>
          </cell>
          <cell r="D31">
            <v>0</v>
          </cell>
          <cell r="E31">
            <v>6000000</v>
          </cell>
          <cell r="F31">
            <v>9200000</v>
          </cell>
          <cell r="H31">
            <v>12490999.999999996</v>
          </cell>
          <cell r="I31">
            <v>14000000</v>
          </cell>
        </row>
        <row r="32">
          <cell r="C32">
            <v>10110000</v>
          </cell>
          <cell r="D32">
            <v>0</v>
          </cell>
          <cell r="E32">
            <v>2000000</v>
          </cell>
          <cell r="F32">
            <v>7440000</v>
          </cell>
          <cell r="H32">
            <v>9835000.0000000019</v>
          </cell>
          <cell r="I32">
            <v>11000000</v>
          </cell>
        </row>
        <row r="33">
          <cell r="C33">
            <v>10129000</v>
          </cell>
          <cell r="D33">
            <v>0</v>
          </cell>
          <cell r="E33">
            <v>0</v>
          </cell>
          <cell r="F33">
            <v>8050000.0000000009</v>
          </cell>
          <cell r="H33">
            <v>9763000</v>
          </cell>
          <cell r="I33">
            <v>8100000.000002183</v>
          </cell>
        </row>
        <row r="252">
          <cell r="D252">
            <v>503000.00000000012</v>
          </cell>
          <cell r="H252">
            <v>1231667</v>
          </cell>
        </row>
        <row r="253">
          <cell r="D253">
            <v>439000.00000000006</v>
          </cell>
          <cell r="H253">
            <v>1391655</v>
          </cell>
        </row>
        <row r="254">
          <cell r="D254">
            <v>355000.00000000041</v>
          </cell>
          <cell r="H254">
            <v>1587940</v>
          </cell>
        </row>
        <row r="255">
          <cell r="D255">
            <v>564000</v>
          </cell>
          <cell r="H255">
            <v>1540237</v>
          </cell>
        </row>
        <row r="256">
          <cell r="D256">
            <v>672000.00000000058</v>
          </cell>
          <cell r="H256">
            <v>1319773</v>
          </cell>
        </row>
        <row r="257">
          <cell r="D257">
            <v>503000.00000000012</v>
          </cell>
          <cell r="H257">
            <v>931304</v>
          </cell>
        </row>
        <row r="258">
          <cell r="D258">
            <v>339999.99999999988</v>
          </cell>
          <cell r="H258">
            <v>1151214</v>
          </cell>
        </row>
        <row r="259">
          <cell r="D259">
            <v>423999.99999999948</v>
          </cell>
          <cell r="H259">
            <v>1298008</v>
          </cell>
        </row>
        <row r="260">
          <cell r="D260">
            <v>490999.99999999965</v>
          </cell>
          <cell r="H260">
            <v>1407366</v>
          </cell>
        </row>
        <row r="261">
          <cell r="D261">
            <v>609999.99999999942</v>
          </cell>
          <cell r="H261">
            <v>1001850</v>
          </cell>
        </row>
        <row r="262">
          <cell r="D262">
            <v>403000.00000000227</v>
          </cell>
          <cell r="H262">
            <v>919092</v>
          </cell>
        </row>
        <row r="263">
          <cell r="D263">
            <v>326999.9999999982</v>
          </cell>
          <cell r="H263">
            <v>745735</v>
          </cell>
        </row>
        <row r="264">
          <cell r="D264">
            <v>429999.99999999971</v>
          </cell>
          <cell r="H264">
            <v>890000</v>
          </cell>
        </row>
        <row r="265">
          <cell r="D265">
            <v>432999.99999999983</v>
          </cell>
          <cell r="H265">
            <v>1071957</v>
          </cell>
        </row>
        <row r="266">
          <cell r="D266">
            <v>401000.00000000338</v>
          </cell>
          <cell r="H266">
            <v>1117215</v>
          </cell>
        </row>
        <row r="267">
          <cell r="D267">
            <v>434999.99999999872</v>
          </cell>
          <cell r="H267">
            <v>936555</v>
          </cell>
        </row>
        <row r="268">
          <cell r="D268">
            <v>513999.99999999936</v>
          </cell>
          <cell r="H268">
            <v>1479642</v>
          </cell>
        </row>
        <row r="269">
          <cell r="D269">
            <v>539000.00000000151</v>
          </cell>
          <cell r="H269">
            <v>1423748</v>
          </cell>
        </row>
        <row r="270">
          <cell r="D270">
            <v>704999.99999999825</v>
          </cell>
          <cell r="H270">
            <v>1214533</v>
          </cell>
        </row>
        <row r="271">
          <cell r="D271">
            <v>684000.00000000105</v>
          </cell>
          <cell r="H271">
            <v>1257368</v>
          </cell>
        </row>
        <row r="272">
          <cell r="D272">
            <v>577999.99999999942</v>
          </cell>
          <cell r="H272">
            <v>1248584</v>
          </cell>
        </row>
        <row r="273">
          <cell r="D273">
            <v>681999.9999999986</v>
          </cell>
          <cell r="H273">
            <v>1161289</v>
          </cell>
        </row>
        <row r="274">
          <cell r="D274">
            <v>582000.0000000007</v>
          </cell>
          <cell r="H274">
            <v>1306889</v>
          </cell>
        </row>
        <row r="275">
          <cell r="D275">
            <v>551999.99999999965</v>
          </cell>
          <cell r="H275">
            <v>1253531</v>
          </cell>
        </row>
        <row r="276">
          <cell r="D276">
            <v>669000.00000000047</v>
          </cell>
          <cell r="H276">
            <v>1301946</v>
          </cell>
        </row>
        <row r="277">
          <cell r="D277">
            <v>678000.00000000081</v>
          </cell>
          <cell r="H277">
            <v>1431463</v>
          </cell>
        </row>
        <row r="278">
          <cell r="D278">
            <v>516999.99999999948</v>
          </cell>
          <cell r="H278">
            <v>1161053</v>
          </cell>
        </row>
        <row r="279">
          <cell r="D279">
            <v>572000.00000000268</v>
          </cell>
          <cell r="H279">
            <v>1226037</v>
          </cell>
        </row>
        <row r="280">
          <cell r="D280">
            <v>274999.9999999986</v>
          </cell>
          <cell r="H280">
            <v>933211</v>
          </cell>
        </row>
        <row r="281">
          <cell r="D281">
            <v>365999.99999999965</v>
          </cell>
          <cell r="H281">
            <v>852333</v>
          </cell>
        </row>
      </sheetData>
      <sheetData sheetId="3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11272000</v>
          </cell>
          <cell r="D4">
            <v>0</v>
          </cell>
          <cell r="E4">
            <v>0</v>
          </cell>
          <cell r="F4">
            <v>8010000</v>
          </cell>
          <cell r="H4">
            <v>11063000.000000004</v>
          </cell>
          <cell r="I4">
            <v>8599999.9999985453</v>
          </cell>
        </row>
        <row r="5">
          <cell r="C5">
            <v>7987000</v>
          </cell>
          <cell r="D5">
            <v>0</v>
          </cell>
          <cell r="E5">
            <v>0</v>
          </cell>
          <cell r="F5">
            <v>6600000</v>
          </cell>
          <cell r="H5">
            <v>7640999.9999999963</v>
          </cell>
          <cell r="I5">
            <v>6700000.0000007274</v>
          </cell>
        </row>
        <row r="6">
          <cell r="C6">
            <v>11052000</v>
          </cell>
          <cell r="D6">
            <v>0</v>
          </cell>
          <cell r="E6">
            <v>0</v>
          </cell>
          <cell r="F6">
            <v>7100000</v>
          </cell>
          <cell r="H6">
            <v>10848000</v>
          </cell>
          <cell r="I6">
            <v>8299999.9999992726</v>
          </cell>
        </row>
        <row r="7">
          <cell r="C7">
            <v>11812000</v>
          </cell>
          <cell r="D7">
            <v>0</v>
          </cell>
          <cell r="E7">
            <v>0</v>
          </cell>
          <cell r="F7">
            <v>5930000</v>
          </cell>
          <cell r="H7">
            <v>11466000.000000004</v>
          </cell>
          <cell r="I7">
            <v>5700000.0000007274</v>
          </cell>
        </row>
        <row r="8">
          <cell r="C8">
            <v>12127000</v>
          </cell>
          <cell r="D8">
            <v>0</v>
          </cell>
          <cell r="E8">
            <v>0</v>
          </cell>
          <cell r="F8">
            <v>7960000</v>
          </cell>
          <cell r="H8">
            <v>11854999.999999994</v>
          </cell>
          <cell r="I8">
            <v>8299999.9999992726</v>
          </cell>
        </row>
        <row r="9">
          <cell r="C9">
            <v>12024000</v>
          </cell>
          <cell r="D9">
            <v>0</v>
          </cell>
          <cell r="E9">
            <v>0</v>
          </cell>
          <cell r="F9">
            <v>7970000</v>
          </cell>
          <cell r="H9">
            <v>11678000.000000004</v>
          </cell>
          <cell r="I9">
            <v>7799999.9999992726</v>
          </cell>
        </row>
        <row r="10">
          <cell r="C10">
            <v>11964000</v>
          </cell>
          <cell r="D10">
            <v>0</v>
          </cell>
          <cell r="E10">
            <v>0</v>
          </cell>
          <cell r="F10">
            <v>8760000</v>
          </cell>
          <cell r="H10">
            <v>11611999.999999996</v>
          </cell>
          <cell r="I10">
            <v>9700000.0000007283</v>
          </cell>
        </row>
        <row r="11">
          <cell r="C11">
            <v>10786000</v>
          </cell>
          <cell r="D11">
            <v>0</v>
          </cell>
          <cell r="E11">
            <v>0</v>
          </cell>
          <cell r="F11">
            <v>9540000</v>
          </cell>
          <cell r="H11">
            <v>10305000.000000006</v>
          </cell>
          <cell r="I11">
            <v>10200000.000000728</v>
          </cell>
        </row>
        <row r="12">
          <cell r="C12">
            <v>8711000</v>
          </cell>
          <cell r="D12">
            <v>0</v>
          </cell>
          <cell r="E12">
            <v>0</v>
          </cell>
          <cell r="F12">
            <v>7200000</v>
          </cell>
          <cell r="H12">
            <v>8385000</v>
          </cell>
          <cell r="I12">
            <v>7899999.999997817</v>
          </cell>
        </row>
        <row r="13">
          <cell r="C13">
            <v>8091000</v>
          </cell>
          <cell r="D13">
            <v>0</v>
          </cell>
          <cell r="E13">
            <v>0</v>
          </cell>
          <cell r="F13">
            <v>6190000</v>
          </cell>
          <cell r="H13">
            <v>7874999.9999999991</v>
          </cell>
          <cell r="I13">
            <v>5700000.0000007274</v>
          </cell>
        </row>
        <row r="14">
          <cell r="C14">
            <v>8954000</v>
          </cell>
          <cell r="D14">
            <v>0</v>
          </cell>
          <cell r="E14">
            <v>0</v>
          </cell>
          <cell r="F14">
            <v>10020000</v>
          </cell>
          <cell r="H14">
            <v>8673000.0000000019</v>
          </cell>
          <cell r="I14">
            <v>10799999.999999272</v>
          </cell>
        </row>
        <row r="15">
          <cell r="C15">
            <v>6929000</v>
          </cell>
          <cell r="D15">
            <v>0</v>
          </cell>
          <cell r="E15">
            <v>0</v>
          </cell>
          <cell r="F15">
            <v>8289999.9999999991</v>
          </cell>
          <cell r="H15">
            <v>6651999.9999999991</v>
          </cell>
          <cell r="I15">
            <v>9100000.000002183</v>
          </cell>
        </row>
        <row r="16">
          <cell r="C16">
            <v>6936000</v>
          </cell>
          <cell r="D16">
            <v>0</v>
          </cell>
          <cell r="E16">
            <v>0</v>
          </cell>
          <cell r="F16">
            <v>6050000</v>
          </cell>
          <cell r="H16">
            <v>6689999.9999999981</v>
          </cell>
          <cell r="I16">
            <v>6500000</v>
          </cell>
        </row>
        <row r="17">
          <cell r="C17">
            <v>8562000</v>
          </cell>
          <cell r="D17">
            <v>0</v>
          </cell>
          <cell r="E17">
            <v>0</v>
          </cell>
          <cell r="F17">
            <v>6050000</v>
          </cell>
          <cell r="H17">
            <v>8345000.0000000019</v>
          </cell>
          <cell r="I17">
            <v>5399999.999997817</v>
          </cell>
        </row>
        <row r="18">
          <cell r="C18">
            <v>10022000</v>
          </cell>
          <cell r="D18">
            <v>0</v>
          </cell>
          <cell r="E18">
            <v>0</v>
          </cell>
          <cell r="F18">
            <v>7520000</v>
          </cell>
          <cell r="H18">
            <v>9598999.9999999981</v>
          </cell>
          <cell r="I18">
            <v>8500000</v>
          </cell>
        </row>
        <row r="19">
          <cell r="C19">
            <v>6833000</v>
          </cell>
          <cell r="D19">
            <v>0</v>
          </cell>
          <cell r="E19">
            <v>0</v>
          </cell>
          <cell r="F19">
            <v>10010000</v>
          </cell>
          <cell r="H19">
            <v>6341000.0000000028</v>
          </cell>
          <cell r="I19">
            <v>10700000.000000728</v>
          </cell>
        </row>
        <row r="20">
          <cell r="C20">
            <v>4992000</v>
          </cell>
          <cell r="D20">
            <v>0</v>
          </cell>
          <cell r="E20">
            <v>0</v>
          </cell>
          <cell r="F20">
            <v>10800000</v>
          </cell>
          <cell r="H20">
            <v>4784000.0000000019</v>
          </cell>
          <cell r="I20">
            <v>10799999.999999272</v>
          </cell>
        </row>
        <row r="21">
          <cell r="C21">
            <v>5072000</v>
          </cell>
          <cell r="D21">
            <v>0</v>
          </cell>
          <cell r="E21">
            <v>0</v>
          </cell>
          <cell r="F21">
            <v>9700000</v>
          </cell>
          <cell r="H21">
            <v>4858999.9999999991</v>
          </cell>
          <cell r="I21">
            <v>10400000.000001455</v>
          </cell>
        </row>
        <row r="22">
          <cell r="C22">
            <v>5986000</v>
          </cell>
          <cell r="D22">
            <v>0</v>
          </cell>
          <cell r="E22">
            <v>0</v>
          </cell>
          <cell r="F22">
            <v>9340000</v>
          </cell>
          <cell r="H22">
            <v>5778999.9999999991</v>
          </cell>
          <cell r="I22">
            <v>10500000</v>
          </cell>
        </row>
        <row r="23">
          <cell r="C23">
            <v>2874000</v>
          </cell>
          <cell r="D23">
            <v>0</v>
          </cell>
          <cell r="E23">
            <v>0</v>
          </cell>
          <cell r="F23">
            <v>14140000</v>
          </cell>
          <cell r="H23">
            <v>2715999.9999999986</v>
          </cell>
          <cell r="I23">
            <v>14799999.999999272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15960000</v>
          </cell>
          <cell r="H24">
            <v>0</v>
          </cell>
          <cell r="I24">
            <v>17100000.000002183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11380000</v>
          </cell>
          <cell r="H25">
            <v>0</v>
          </cell>
          <cell r="I25">
            <v>12000000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13860000</v>
          </cell>
          <cell r="H26">
            <v>0</v>
          </cell>
          <cell r="I26">
            <v>15299999.999999272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13930000</v>
          </cell>
          <cell r="H27">
            <v>0</v>
          </cell>
          <cell r="I27">
            <v>14299999.999999272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14990000</v>
          </cell>
          <cell r="H28">
            <v>0</v>
          </cell>
          <cell r="I28">
            <v>16599999.999998545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16020000</v>
          </cell>
          <cell r="H29">
            <v>0</v>
          </cell>
          <cell r="I29">
            <v>17100000.000002183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10380000</v>
          </cell>
          <cell r="H30">
            <v>0</v>
          </cell>
          <cell r="I30">
            <v>10700000.000000728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11650000</v>
          </cell>
          <cell r="H31">
            <v>0</v>
          </cell>
          <cell r="I31">
            <v>12699999.999997091</v>
          </cell>
        </row>
        <row r="32">
          <cell r="C32">
            <v>0</v>
          </cell>
          <cell r="D32">
            <v>0</v>
          </cell>
          <cell r="E32">
            <v>4000000</v>
          </cell>
          <cell r="F32">
            <v>10920000</v>
          </cell>
          <cell r="H32">
            <v>0</v>
          </cell>
          <cell r="I32">
            <v>14100000.000002183</v>
          </cell>
        </row>
        <row r="33">
          <cell r="C33">
            <v>0</v>
          </cell>
          <cell r="D33">
            <v>0</v>
          </cell>
          <cell r="E33">
            <v>5000000</v>
          </cell>
          <cell r="F33">
            <v>8500000</v>
          </cell>
          <cell r="H33">
            <v>0</v>
          </cell>
          <cell r="I33">
            <v>14099999.999998545</v>
          </cell>
        </row>
        <row r="34">
          <cell r="C34">
            <v>0</v>
          </cell>
          <cell r="D34">
            <v>0</v>
          </cell>
          <cell r="E34">
            <v>6000000</v>
          </cell>
          <cell r="F34">
            <v>6730000</v>
          </cell>
          <cell r="H34">
            <v>0</v>
          </cell>
          <cell r="I34">
            <v>12500000</v>
          </cell>
        </row>
        <row r="259">
          <cell r="D259">
            <v>208999.99999999607</v>
          </cell>
          <cell r="H259">
            <v>776116</v>
          </cell>
        </row>
        <row r="260">
          <cell r="D260">
            <v>346000.00000000361</v>
          </cell>
          <cell r="H260">
            <v>652363</v>
          </cell>
        </row>
        <row r="261">
          <cell r="D261">
            <v>204000.00000000061</v>
          </cell>
          <cell r="H261">
            <v>746470</v>
          </cell>
        </row>
        <row r="262">
          <cell r="D262">
            <v>345999.99999999651</v>
          </cell>
          <cell r="H262">
            <v>651668</v>
          </cell>
        </row>
        <row r="263">
          <cell r="D263">
            <v>272000.00000000559</v>
          </cell>
          <cell r="H263">
            <v>900036</v>
          </cell>
        </row>
        <row r="264">
          <cell r="D264">
            <v>345999.99999999651</v>
          </cell>
          <cell r="H264">
            <v>771432</v>
          </cell>
        </row>
        <row r="265">
          <cell r="D265">
            <v>352000.00000000384</v>
          </cell>
          <cell r="H265">
            <v>876285</v>
          </cell>
        </row>
        <row r="266">
          <cell r="D266">
            <v>480999.99999999453</v>
          </cell>
          <cell r="H266">
            <v>879950</v>
          </cell>
        </row>
        <row r="267">
          <cell r="D267">
            <v>326000.00000000052</v>
          </cell>
          <cell r="H267">
            <v>697794</v>
          </cell>
        </row>
        <row r="268">
          <cell r="D268">
            <v>216000.00000000108</v>
          </cell>
          <cell r="H268">
            <v>642669</v>
          </cell>
        </row>
        <row r="269">
          <cell r="D269">
            <v>280999.99999999878</v>
          </cell>
          <cell r="H269">
            <v>860165</v>
          </cell>
        </row>
        <row r="270">
          <cell r="D270">
            <v>277000.00000000105</v>
          </cell>
          <cell r="H270">
            <v>772170</v>
          </cell>
        </row>
        <row r="271">
          <cell r="D271">
            <v>246000.00000000221</v>
          </cell>
          <cell r="H271">
            <v>843131</v>
          </cell>
        </row>
        <row r="272">
          <cell r="D272">
            <v>216999.99999999875</v>
          </cell>
          <cell r="H272">
            <v>625000</v>
          </cell>
        </row>
        <row r="273">
          <cell r="D273">
            <v>423000.0000000018</v>
          </cell>
          <cell r="H273">
            <v>784695</v>
          </cell>
        </row>
        <row r="274">
          <cell r="D274">
            <v>491999.99999999732</v>
          </cell>
          <cell r="H274">
            <v>941532</v>
          </cell>
        </row>
        <row r="275">
          <cell r="D275">
            <v>207999.9999999984</v>
          </cell>
          <cell r="H275">
            <v>1000761</v>
          </cell>
        </row>
        <row r="276">
          <cell r="D276">
            <v>213000.00000000096</v>
          </cell>
          <cell r="H276">
            <v>869885</v>
          </cell>
        </row>
        <row r="277">
          <cell r="D277">
            <v>207000.00000000073</v>
          </cell>
          <cell r="H277">
            <v>812092</v>
          </cell>
        </row>
        <row r="278">
          <cell r="D278">
            <v>158000.00000000125</v>
          </cell>
          <cell r="H278">
            <v>1254358</v>
          </cell>
        </row>
        <row r="279">
          <cell r="D279">
            <v>271000.00000000081</v>
          </cell>
          <cell r="H279">
            <v>1463925</v>
          </cell>
        </row>
        <row r="280">
          <cell r="D280">
            <v>999.99999999766942</v>
          </cell>
          <cell r="H280">
            <v>1065467</v>
          </cell>
        </row>
        <row r="281">
          <cell r="D281">
            <v>0</v>
          </cell>
          <cell r="H281">
            <v>1218726</v>
          </cell>
        </row>
        <row r="282">
          <cell r="D282">
            <v>0</v>
          </cell>
          <cell r="H282">
            <v>1265745</v>
          </cell>
        </row>
        <row r="283">
          <cell r="D283">
            <v>0</v>
          </cell>
          <cell r="H283">
            <v>1319609</v>
          </cell>
        </row>
        <row r="284">
          <cell r="D284">
            <v>0</v>
          </cell>
          <cell r="H284">
            <v>1364167</v>
          </cell>
        </row>
        <row r="285">
          <cell r="D285">
            <v>0</v>
          </cell>
          <cell r="H285">
            <v>414520</v>
          </cell>
        </row>
        <row r="286">
          <cell r="D286">
            <v>0</v>
          </cell>
          <cell r="H286">
            <v>649517</v>
          </cell>
        </row>
        <row r="287">
          <cell r="D287">
            <v>0</v>
          </cell>
          <cell r="H287">
            <v>1158661</v>
          </cell>
        </row>
        <row r="288">
          <cell r="D288">
            <v>0</v>
          </cell>
          <cell r="H288">
            <v>1221350</v>
          </cell>
        </row>
        <row r="289">
          <cell r="D289">
            <v>0</v>
          </cell>
          <cell r="H289">
            <v>1062240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E17" activePane="bottomRight" state="frozen"/>
      <selection pane="topRight" activeCell="B1" sqref="B1"/>
      <selection pane="bottomLeft" activeCell="A5" sqref="A5"/>
      <selection pane="bottomRight" activeCell="G5" sqref="G5:G15"/>
    </sheetView>
  </sheetViews>
  <sheetFormatPr defaultRowHeight="12.75" x14ac:dyDescent="0.2"/>
  <cols>
    <col min="2" max="2" width="12" customWidth="1"/>
    <col min="5" max="5" width="11.28515625" customWidth="1"/>
    <col min="8" max="8" width="15.42578125" bestFit="1" customWidth="1"/>
    <col min="11" max="11" width="13.85546875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">
      <c r="A5" s="1">
        <v>38292</v>
      </c>
      <c r="B5" s="7">
        <f>'[1]Nov Prod'!I4</f>
        <v>10799999.999999272</v>
      </c>
      <c r="C5" s="8">
        <f t="shared" ref="C5:C34" si="0">B5/1000000</f>
        <v>10.799999999999272</v>
      </c>
      <c r="D5" s="10">
        <f t="shared" ref="D5:D34" si="1">C5*3.07</f>
        <v>33.155999999997768</v>
      </c>
      <c r="E5" s="7">
        <f>'[1]Nov Prod'!E4</f>
        <v>3000000</v>
      </c>
      <c r="F5" s="8">
        <f t="shared" ref="F5:F34" si="2">E5/1000000</f>
        <v>3</v>
      </c>
      <c r="G5" s="10">
        <f t="shared" ref="G5:G34" si="3">F5*3.07</f>
        <v>9.2099999999999991</v>
      </c>
      <c r="H5" s="7">
        <f>'[1]Nov Prod'!F4</f>
        <v>7900000</v>
      </c>
      <c r="I5" s="8">
        <f>H5/1000000</f>
        <v>7.9</v>
      </c>
      <c r="J5" s="10">
        <f t="shared" ref="J5:J34" si="4">I5*3.07</f>
        <v>24.253</v>
      </c>
      <c r="K5" s="7">
        <f>'[1]Nov Prod'!$H252*10</f>
        <v>11458360</v>
      </c>
      <c r="L5" s="8">
        <f t="shared" ref="L5:L7" si="5">K5/10000000</f>
        <v>1.1458360000000001</v>
      </c>
      <c r="M5" s="10">
        <f t="shared" ref="M5:M34" si="6">L5*3.07</f>
        <v>3.51771652</v>
      </c>
      <c r="N5" s="21"/>
      <c r="O5" s="7">
        <f>'[1]Nov Prod'!H4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'[1]Nov Prod'!C4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'[1]Nov Prod'!D4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'[1]Nov Prod'!$D252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10799999.999999272</v>
      </c>
      <c r="AC5" s="8">
        <f>C5+P5</f>
        <v>10.799999999999272</v>
      </c>
      <c r="AD5" s="8">
        <f>D5+Q5</f>
        <v>33.155999999997768</v>
      </c>
    </row>
    <row r="6" spans="1:30" x14ac:dyDescent="0.2">
      <c r="A6" s="1">
        <v>38293</v>
      </c>
      <c r="B6" s="7">
        <f>'[1]Nov Prod'!I5</f>
        <v>11200000.000000728</v>
      </c>
      <c r="C6" s="8">
        <f t="shared" si="0"/>
        <v>11.200000000000728</v>
      </c>
      <c r="D6" s="10">
        <f t="shared" si="1"/>
        <v>34.384000000002231</v>
      </c>
      <c r="E6" s="7">
        <f>'[1]Nov Prod'!E5</f>
        <v>3000000</v>
      </c>
      <c r="F6" s="8">
        <f t="shared" si="2"/>
        <v>3</v>
      </c>
      <c r="G6" s="10">
        <f t="shared" si="3"/>
        <v>9.2099999999999991</v>
      </c>
      <c r="H6" s="7">
        <f>'[1]Nov Prod'!F5</f>
        <v>8170000</v>
      </c>
      <c r="I6" s="8">
        <f t="shared" ref="I6:I34" si="15">H6/1000000</f>
        <v>8.17</v>
      </c>
      <c r="J6" s="10">
        <f t="shared" si="4"/>
        <v>25.081899999999997</v>
      </c>
      <c r="K6" s="7">
        <f>'[1]Nov Prod'!$H253*10</f>
        <v>10611250</v>
      </c>
      <c r="L6" s="8">
        <f t="shared" si="5"/>
        <v>1.0611250000000001</v>
      </c>
      <c r="M6" s="10">
        <f t="shared" si="6"/>
        <v>3.2576537500000002</v>
      </c>
      <c r="N6" s="21"/>
      <c r="O6" s="7">
        <f>'[1]Nov Prod'!H5</f>
        <v>0</v>
      </c>
      <c r="P6" s="8">
        <f t="shared" si="7"/>
        <v>0</v>
      </c>
      <c r="Q6" s="10">
        <f t="shared" si="8"/>
        <v>0</v>
      </c>
      <c r="R6" s="7">
        <f>'[1]Nov Prod'!C5</f>
        <v>0</v>
      </c>
      <c r="S6" s="8">
        <f t="shared" si="9"/>
        <v>0</v>
      </c>
      <c r="T6" s="10">
        <f t="shared" si="10"/>
        <v>0</v>
      </c>
      <c r="U6" s="7">
        <f>'[1]Nov Prod'!D5</f>
        <v>0</v>
      </c>
      <c r="V6" s="8">
        <f t="shared" si="11"/>
        <v>0</v>
      </c>
      <c r="W6" s="10">
        <f t="shared" si="12"/>
        <v>0</v>
      </c>
      <c r="X6" s="7">
        <f>'[1]Nov Prod'!$D253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11200000.000000728</v>
      </c>
      <c r="AC6" s="8">
        <f t="shared" si="16"/>
        <v>11.200000000000728</v>
      </c>
      <c r="AD6" s="8">
        <f t="shared" si="16"/>
        <v>34.384000000002231</v>
      </c>
    </row>
    <row r="7" spans="1:30" x14ac:dyDescent="0.2">
      <c r="A7" s="1">
        <v>38294</v>
      </c>
      <c r="B7" s="7">
        <f>'[1]Nov Prod'!I6</f>
        <v>12899999.999997817</v>
      </c>
      <c r="C7" s="8">
        <f t="shared" si="0"/>
        <v>12.899999999997817</v>
      </c>
      <c r="D7" s="10">
        <f t="shared" si="1"/>
        <v>39.602999999993294</v>
      </c>
      <c r="E7" s="7">
        <f>'[1]Nov Prod'!E6</f>
        <v>3000000</v>
      </c>
      <c r="F7" s="8">
        <f t="shared" si="2"/>
        <v>3</v>
      </c>
      <c r="G7" s="10">
        <f t="shared" si="3"/>
        <v>9.2099999999999991</v>
      </c>
      <c r="H7" s="7">
        <f>'[1]Nov Prod'!F6</f>
        <v>9360000</v>
      </c>
      <c r="I7" s="8">
        <f t="shared" si="15"/>
        <v>9.36</v>
      </c>
      <c r="J7" s="10">
        <f t="shared" si="4"/>
        <v>28.735199999999995</v>
      </c>
      <c r="K7" s="7">
        <f>'[1]Nov Prod'!$H254*10</f>
        <v>11939370</v>
      </c>
      <c r="L7" s="8">
        <f t="shared" si="5"/>
        <v>1.193937</v>
      </c>
      <c r="M7" s="10">
        <f t="shared" si="6"/>
        <v>3.6653865899999998</v>
      </c>
      <c r="N7" s="21"/>
      <c r="O7" s="7">
        <f>'[1]Nov Prod'!H6</f>
        <v>0</v>
      </c>
      <c r="P7" s="8">
        <f t="shared" si="7"/>
        <v>0</v>
      </c>
      <c r="Q7" s="10">
        <f t="shared" si="8"/>
        <v>0</v>
      </c>
      <c r="R7" s="7">
        <f>'[1]Nov Prod'!C6</f>
        <v>0</v>
      </c>
      <c r="S7" s="8">
        <f t="shared" si="9"/>
        <v>0</v>
      </c>
      <c r="T7" s="10">
        <f t="shared" si="10"/>
        <v>0</v>
      </c>
      <c r="U7" s="7">
        <f>'[1]Nov Prod'!D6</f>
        <v>0</v>
      </c>
      <c r="V7" s="8">
        <f t="shared" si="11"/>
        <v>0</v>
      </c>
      <c r="W7" s="10">
        <f t="shared" si="12"/>
        <v>0</v>
      </c>
      <c r="X7" s="7">
        <f>'[1]Nov Prod'!$D254</f>
        <v>0</v>
      </c>
      <c r="Y7" s="8">
        <f t="shared" si="13"/>
        <v>0</v>
      </c>
      <c r="Z7" s="10">
        <f t="shared" si="14"/>
        <v>0</v>
      </c>
      <c r="AA7" s="15"/>
      <c r="AB7" s="7">
        <f t="shared" si="16"/>
        <v>12899999.999997817</v>
      </c>
      <c r="AC7" s="8">
        <f t="shared" si="16"/>
        <v>12.899999999997817</v>
      </c>
      <c r="AD7" s="8">
        <f t="shared" si="16"/>
        <v>39.602999999993294</v>
      </c>
    </row>
    <row r="8" spans="1:30" x14ac:dyDescent="0.2">
      <c r="A8" s="1">
        <v>38295</v>
      </c>
      <c r="B8" s="7">
        <f>'[1]Nov Prod'!I7</f>
        <v>12500000</v>
      </c>
      <c r="C8" s="8">
        <f t="shared" si="0"/>
        <v>12.5</v>
      </c>
      <c r="D8" s="10">
        <f t="shared" si="1"/>
        <v>38.375</v>
      </c>
      <c r="E8" s="7">
        <f>'[1]Nov Prod'!E7</f>
        <v>4000000</v>
      </c>
      <c r="F8" s="8">
        <f t="shared" si="2"/>
        <v>4</v>
      </c>
      <c r="G8" s="10">
        <f t="shared" si="3"/>
        <v>12.28</v>
      </c>
      <c r="H8" s="7">
        <f>'[1]Nov Prod'!F7</f>
        <v>8740000</v>
      </c>
      <c r="I8" s="8">
        <f t="shared" si="15"/>
        <v>8.74</v>
      </c>
      <c r="J8" s="10">
        <f t="shared" si="4"/>
        <v>26.831799999999998</v>
      </c>
      <c r="K8" s="7">
        <f>'[1]Nov Prod'!$H255*10</f>
        <v>11341540</v>
      </c>
      <c r="L8" s="8">
        <f>K8/10000000</f>
        <v>1.1341540000000001</v>
      </c>
      <c r="M8" s="10">
        <f t="shared" si="6"/>
        <v>3.4818527800000001</v>
      </c>
      <c r="N8" s="21"/>
      <c r="O8" s="7">
        <f>'[1]Nov Prod'!H7</f>
        <v>2211000</v>
      </c>
      <c r="P8" s="8">
        <f t="shared" si="7"/>
        <v>2.2109999999999999</v>
      </c>
      <c r="Q8" s="10">
        <f t="shared" si="8"/>
        <v>6.7877699999999992</v>
      </c>
      <c r="R8" s="7">
        <f>'[1]Nov Prod'!C7</f>
        <v>2531000</v>
      </c>
      <c r="S8" s="8">
        <f t="shared" si="9"/>
        <v>2.5310000000000001</v>
      </c>
      <c r="T8" s="10">
        <f t="shared" si="10"/>
        <v>7.7701700000000002</v>
      </c>
      <c r="U8" s="7">
        <f>'[1]Nov Prod'!D7</f>
        <v>0</v>
      </c>
      <c r="V8" s="8">
        <f t="shared" si="11"/>
        <v>0</v>
      </c>
      <c r="W8" s="10">
        <f t="shared" si="12"/>
        <v>0</v>
      </c>
      <c r="X8" s="7">
        <f>'[1]Nov Prod'!$D255</f>
        <v>320000.00000000006</v>
      </c>
      <c r="Y8" s="8">
        <f t="shared" si="13"/>
        <v>0.32000000000000006</v>
      </c>
      <c r="Z8" s="10">
        <f t="shared" si="14"/>
        <v>0.98240000000000016</v>
      </c>
      <c r="AA8" s="15"/>
      <c r="AB8" s="7">
        <f t="shared" si="16"/>
        <v>14711000</v>
      </c>
      <c r="AC8" s="8">
        <f t="shared" si="16"/>
        <v>14.711</v>
      </c>
      <c r="AD8" s="8">
        <f>D8+Q8</f>
        <v>45.162770000000002</v>
      </c>
    </row>
    <row r="9" spans="1:30" x14ac:dyDescent="0.2">
      <c r="A9" s="1">
        <v>38296</v>
      </c>
      <c r="B9" s="7">
        <f>'[1]Nov Prod'!I8</f>
        <v>8900000.0000014547</v>
      </c>
      <c r="C9" s="8">
        <f t="shared" si="0"/>
        <v>8.9000000000014552</v>
      </c>
      <c r="D9" s="10">
        <f t="shared" si="1"/>
        <v>27.323000000004466</v>
      </c>
      <c r="E9" s="7">
        <f>'[1]Nov Prod'!E8</f>
        <v>3000000</v>
      </c>
      <c r="F9" s="8">
        <f t="shared" si="2"/>
        <v>3</v>
      </c>
      <c r="G9" s="10">
        <f t="shared" si="3"/>
        <v>9.2099999999999991</v>
      </c>
      <c r="H9" s="7">
        <f>'[1]Nov Prod'!F8</f>
        <v>6030000</v>
      </c>
      <c r="I9" s="8">
        <f t="shared" si="15"/>
        <v>6.03</v>
      </c>
      <c r="J9" s="10">
        <f t="shared" si="4"/>
        <v>18.5121</v>
      </c>
      <c r="K9" s="7">
        <f>'[1]Nov Prod'!$H256*10</f>
        <v>0</v>
      </c>
      <c r="L9" s="8">
        <f t="shared" ref="L9:L34" si="17">K9/10000000</f>
        <v>0</v>
      </c>
      <c r="M9" s="10">
        <f t="shared" si="6"/>
        <v>0</v>
      </c>
      <c r="N9" s="21"/>
      <c r="O9" s="7">
        <f>'[1]Nov Prod'!H8</f>
        <v>4351000</v>
      </c>
      <c r="P9" s="8">
        <f t="shared" si="7"/>
        <v>4.351</v>
      </c>
      <c r="Q9" s="10">
        <f t="shared" si="8"/>
        <v>13.357569999999999</v>
      </c>
      <c r="R9" s="7">
        <f>'[1]Nov Prod'!C8</f>
        <v>4585000</v>
      </c>
      <c r="S9" s="8">
        <f t="shared" si="9"/>
        <v>4.585</v>
      </c>
      <c r="T9" s="10">
        <f t="shared" si="10"/>
        <v>14.075949999999999</v>
      </c>
      <c r="U9" s="7">
        <f>'[1]Nov Prod'!D8</f>
        <v>0</v>
      </c>
      <c r="V9" s="8">
        <f t="shared" si="11"/>
        <v>0</v>
      </c>
      <c r="W9" s="10">
        <f t="shared" si="12"/>
        <v>0</v>
      </c>
      <c r="X9" s="7">
        <f>'[1]Nov Prod'!$D256</f>
        <v>234000</v>
      </c>
      <c r="Y9" s="8">
        <f t="shared" si="13"/>
        <v>0.23400000000000001</v>
      </c>
      <c r="Z9" s="10">
        <f t="shared" si="14"/>
        <v>0.71838000000000002</v>
      </c>
      <c r="AA9" s="15"/>
      <c r="AB9" s="7">
        <f t="shared" si="16"/>
        <v>13251000.000001455</v>
      </c>
      <c r="AC9" s="8">
        <f t="shared" si="16"/>
        <v>13.251000000001454</v>
      </c>
      <c r="AD9" s="8">
        <f t="shared" si="16"/>
        <v>40.680570000004465</v>
      </c>
    </row>
    <row r="10" spans="1:30" x14ac:dyDescent="0.2">
      <c r="A10" s="1">
        <v>38297</v>
      </c>
      <c r="B10" s="7">
        <f>'[1]Nov Prod'!I9</f>
        <v>3700000.0000007274</v>
      </c>
      <c r="C10" s="8">
        <f t="shared" si="0"/>
        <v>3.7000000000007272</v>
      </c>
      <c r="D10" s="10">
        <f t="shared" si="1"/>
        <v>11.359000000002231</v>
      </c>
      <c r="E10" s="7">
        <f>'[1]Nov Prod'!E9</f>
        <v>1000000</v>
      </c>
      <c r="F10" s="8">
        <f t="shared" si="2"/>
        <v>1</v>
      </c>
      <c r="G10" s="10">
        <f t="shared" si="3"/>
        <v>3.07</v>
      </c>
      <c r="H10" s="7">
        <f>'[1]Nov Prod'!F9</f>
        <v>1950000</v>
      </c>
      <c r="I10" s="8">
        <f t="shared" si="15"/>
        <v>1.95</v>
      </c>
      <c r="J10" s="10">
        <f t="shared" si="4"/>
        <v>5.9864999999999995</v>
      </c>
      <c r="K10" s="7">
        <f>'[1]Nov Prod'!$H257*10</f>
        <v>2264830</v>
      </c>
      <c r="L10" s="8">
        <f t="shared" si="17"/>
        <v>0.22648299999999999</v>
      </c>
      <c r="M10" s="10">
        <f t="shared" si="6"/>
        <v>0.69530280999999994</v>
      </c>
      <c r="N10" s="21"/>
      <c r="O10" s="7">
        <f>'[1]Nov Prod'!H9</f>
        <v>6418000</v>
      </c>
      <c r="P10" s="8">
        <f t="shared" si="7"/>
        <v>6.4180000000000001</v>
      </c>
      <c r="Q10" s="10">
        <f t="shared" si="8"/>
        <v>19.70326</v>
      </c>
      <c r="R10" s="7">
        <f>'[1]Nov Prod'!C9</f>
        <v>6784000</v>
      </c>
      <c r="S10" s="8">
        <f t="shared" si="9"/>
        <v>6.7839999999999998</v>
      </c>
      <c r="T10" s="10">
        <f t="shared" si="10"/>
        <v>20.826879999999999</v>
      </c>
      <c r="U10" s="7">
        <f>'[1]Nov Prod'!D9</f>
        <v>0</v>
      </c>
      <c r="V10" s="8">
        <f t="shared" si="11"/>
        <v>0</v>
      </c>
      <c r="W10" s="10">
        <f t="shared" si="12"/>
        <v>0</v>
      </c>
      <c r="X10" s="7">
        <f>'[1]Nov Prod'!$D257</f>
        <v>366000</v>
      </c>
      <c r="Y10" s="8">
        <f t="shared" si="13"/>
        <v>0.36599999999999999</v>
      </c>
      <c r="Z10" s="10">
        <f t="shared" si="14"/>
        <v>1.1236199999999998</v>
      </c>
      <c r="AA10" s="15"/>
      <c r="AB10" s="7">
        <f t="shared" si="16"/>
        <v>10118000.000000726</v>
      </c>
      <c r="AC10" s="8">
        <f t="shared" si="16"/>
        <v>10.118000000000727</v>
      </c>
      <c r="AD10" s="8">
        <f t="shared" si="16"/>
        <v>31.062260000002233</v>
      </c>
    </row>
    <row r="11" spans="1:30" x14ac:dyDescent="0.2">
      <c r="A11" s="1">
        <v>38298</v>
      </c>
      <c r="B11" s="7">
        <f>'[1]Nov Prod'!I10</f>
        <v>0</v>
      </c>
      <c r="C11" s="8">
        <f t="shared" si="0"/>
        <v>0</v>
      </c>
      <c r="D11" s="10">
        <f t="shared" si="1"/>
        <v>0</v>
      </c>
      <c r="E11" s="7">
        <f>'[1]Nov Prod'!E10</f>
        <v>0</v>
      </c>
      <c r="F11" s="8">
        <f t="shared" si="2"/>
        <v>0</v>
      </c>
      <c r="G11" s="10">
        <f t="shared" si="3"/>
        <v>0</v>
      </c>
      <c r="H11" s="7">
        <f>'[1]Nov Prod'!F10</f>
        <v>0</v>
      </c>
      <c r="I11" s="8">
        <f t="shared" si="15"/>
        <v>0</v>
      </c>
      <c r="J11" s="10">
        <f t="shared" si="4"/>
        <v>0</v>
      </c>
      <c r="K11" s="7">
        <f>'[1]Nov Prod'!$H258*10</f>
        <v>0</v>
      </c>
      <c r="L11" s="8">
        <f t="shared" si="17"/>
        <v>0</v>
      </c>
      <c r="M11" s="10">
        <f t="shared" si="6"/>
        <v>0</v>
      </c>
      <c r="N11" s="21"/>
      <c r="O11" s="7">
        <f>'[1]Nov Prod'!H10</f>
        <v>9344000</v>
      </c>
      <c r="P11" s="8">
        <f t="shared" si="7"/>
        <v>9.3439999999999994</v>
      </c>
      <c r="Q11" s="10">
        <f t="shared" si="8"/>
        <v>28.686079999999997</v>
      </c>
      <c r="R11" s="7">
        <f>'[1]Nov Prod'!C10</f>
        <v>9839000</v>
      </c>
      <c r="S11" s="8">
        <f t="shared" si="9"/>
        <v>9.8390000000000004</v>
      </c>
      <c r="T11" s="10">
        <f t="shared" si="10"/>
        <v>30.205729999999999</v>
      </c>
      <c r="U11" s="7">
        <f>'[1]Nov Prod'!D10</f>
        <v>0</v>
      </c>
      <c r="V11" s="8">
        <f t="shared" si="11"/>
        <v>0</v>
      </c>
      <c r="W11" s="10">
        <f t="shared" si="12"/>
        <v>0</v>
      </c>
      <c r="X11" s="7">
        <f>'[1]Nov Prod'!$D258</f>
        <v>494999.99999999988</v>
      </c>
      <c r="Y11" s="8">
        <f t="shared" si="13"/>
        <v>0.49499999999999988</v>
      </c>
      <c r="Z11" s="10">
        <f t="shared" si="14"/>
        <v>1.5196499999999995</v>
      </c>
      <c r="AA11" s="15"/>
      <c r="AB11" s="7">
        <f t="shared" si="16"/>
        <v>9344000</v>
      </c>
      <c r="AC11" s="8">
        <f t="shared" si="16"/>
        <v>9.3439999999999994</v>
      </c>
      <c r="AD11" s="8">
        <f t="shared" si="16"/>
        <v>28.686079999999997</v>
      </c>
    </row>
    <row r="12" spans="1:30" x14ac:dyDescent="0.2">
      <c r="A12" s="1">
        <v>38299</v>
      </c>
      <c r="B12" s="7">
        <f>'[1]Nov Prod'!I11</f>
        <v>2700000.0000007274</v>
      </c>
      <c r="C12" s="8">
        <f t="shared" si="0"/>
        <v>2.7000000000007272</v>
      </c>
      <c r="D12" s="10">
        <f t="shared" si="1"/>
        <v>8.2890000000022326</v>
      </c>
      <c r="E12" s="7">
        <f>'[1]Nov Prod'!E11</f>
        <v>1000000</v>
      </c>
      <c r="F12" s="8">
        <f t="shared" si="2"/>
        <v>1</v>
      </c>
      <c r="G12" s="10">
        <f t="shared" si="3"/>
        <v>3.07</v>
      </c>
      <c r="H12" s="7">
        <f>'[1]Nov Prod'!F11</f>
        <v>2330000</v>
      </c>
      <c r="I12" s="8">
        <f t="shared" si="15"/>
        <v>2.33</v>
      </c>
      <c r="J12" s="10">
        <f t="shared" si="4"/>
        <v>7.1531000000000002</v>
      </c>
      <c r="K12" s="7">
        <f>'[1]Nov Prod'!$H259*10</f>
        <v>3292930</v>
      </c>
      <c r="L12" s="8">
        <f t="shared" si="17"/>
        <v>0.329293</v>
      </c>
      <c r="M12" s="10">
        <f t="shared" si="6"/>
        <v>1.01092951</v>
      </c>
      <c r="N12" s="21"/>
      <c r="O12" s="7">
        <f>'[1]Nov Prod'!H11</f>
        <v>6969000</v>
      </c>
      <c r="P12" s="8">
        <f t="shared" si="7"/>
        <v>6.9690000000000003</v>
      </c>
      <c r="Q12" s="10">
        <f t="shared" si="8"/>
        <v>21.394829999999999</v>
      </c>
      <c r="R12" s="7">
        <f>'[1]Nov Prod'!C11</f>
        <v>7396000</v>
      </c>
      <c r="S12" s="8">
        <f t="shared" si="9"/>
        <v>7.3959999999999999</v>
      </c>
      <c r="T12" s="10">
        <f t="shared" si="10"/>
        <v>22.705719999999999</v>
      </c>
      <c r="U12" s="7">
        <f>'[1]Nov Prod'!D11</f>
        <v>0</v>
      </c>
      <c r="V12" s="8">
        <f t="shared" si="11"/>
        <v>0</v>
      </c>
      <c r="W12" s="10">
        <f t="shared" si="12"/>
        <v>0</v>
      </c>
      <c r="X12" s="7">
        <f>'[1]Nov Prod'!$D259</f>
        <v>427000.00000000029</v>
      </c>
      <c r="Y12" s="8">
        <f t="shared" si="13"/>
        <v>0.42700000000000027</v>
      </c>
      <c r="Z12" s="10">
        <f t="shared" si="14"/>
        <v>1.3108900000000008</v>
      </c>
      <c r="AA12" s="15"/>
      <c r="AB12" s="7">
        <f t="shared" si="16"/>
        <v>9669000.0000007264</v>
      </c>
      <c r="AC12" s="8">
        <f t="shared" si="16"/>
        <v>9.669000000000727</v>
      </c>
      <c r="AD12" s="8">
        <f t="shared" si="16"/>
        <v>29.683830000002231</v>
      </c>
    </row>
    <row r="13" spans="1:30" x14ac:dyDescent="0.2">
      <c r="A13" s="1">
        <v>38300</v>
      </c>
      <c r="B13" s="7">
        <f>'[1]Nov Prod'!I12</f>
        <v>9099999.9999985453</v>
      </c>
      <c r="C13" s="8">
        <f t="shared" si="0"/>
        <v>9.0999999999985448</v>
      </c>
      <c r="D13" s="10">
        <f t="shared" si="1"/>
        <v>27.936999999995532</v>
      </c>
      <c r="E13" s="7">
        <f>'[1]Nov Prod'!E12</f>
        <v>3000000</v>
      </c>
      <c r="F13" s="8">
        <f t="shared" si="2"/>
        <v>3</v>
      </c>
      <c r="G13" s="10">
        <f t="shared" si="3"/>
        <v>9.2099999999999991</v>
      </c>
      <c r="H13" s="7">
        <f>'[1]Nov Prod'!F12</f>
        <v>5800000</v>
      </c>
      <c r="I13" s="8">
        <f t="shared" si="15"/>
        <v>5.8</v>
      </c>
      <c r="J13" s="10">
        <f t="shared" si="4"/>
        <v>17.805999999999997</v>
      </c>
      <c r="K13" s="7">
        <f>'[1]Nov Prod'!$H260*10</f>
        <v>8827250</v>
      </c>
      <c r="L13" s="8">
        <f t="shared" si="17"/>
        <v>0.88272499999999998</v>
      </c>
      <c r="M13" s="10">
        <f t="shared" si="6"/>
        <v>2.7099657499999998</v>
      </c>
      <c r="N13" s="21"/>
      <c r="O13" s="7">
        <f>'[1]Nov Prod'!H12</f>
        <v>4533000</v>
      </c>
      <c r="P13" s="8">
        <f t="shared" si="7"/>
        <v>4.5330000000000004</v>
      </c>
      <c r="Q13" s="10">
        <f t="shared" si="8"/>
        <v>13.916310000000001</v>
      </c>
      <c r="R13" s="7">
        <f>'[1]Nov Prod'!C12</f>
        <v>4844000</v>
      </c>
      <c r="S13" s="8">
        <f t="shared" si="9"/>
        <v>4.8440000000000003</v>
      </c>
      <c r="T13" s="10">
        <f t="shared" si="10"/>
        <v>14.871080000000001</v>
      </c>
      <c r="U13" s="7">
        <f>'[1]Nov Prod'!D12</f>
        <v>0</v>
      </c>
      <c r="V13" s="8">
        <f t="shared" si="11"/>
        <v>0</v>
      </c>
      <c r="W13" s="10">
        <f t="shared" si="12"/>
        <v>0</v>
      </c>
      <c r="X13" s="7">
        <f>'[1]Nov Prod'!$D260</f>
        <v>310999.99999999994</v>
      </c>
      <c r="Y13" s="8">
        <f t="shared" si="13"/>
        <v>0.31099999999999994</v>
      </c>
      <c r="Z13" s="10">
        <f t="shared" si="14"/>
        <v>0.95476999999999979</v>
      </c>
      <c r="AA13" s="15"/>
      <c r="AB13" s="7">
        <f t="shared" si="16"/>
        <v>13632999.999998545</v>
      </c>
      <c r="AC13" s="8">
        <f t="shared" si="16"/>
        <v>13.632999999998546</v>
      </c>
      <c r="AD13" s="8">
        <f t="shared" si="16"/>
        <v>41.853309999995531</v>
      </c>
    </row>
    <row r="14" spans="1:30" x14ac:dyDescent="0.2">
      <c r="A14" s="1">
        <v>38301</v>
      </c>
      <c r="B14" s="7">
        <f>'[1]Nov Prod'!I13</f>
        <v>9099999.9999985453</v>
      </c>
      <c r="C14" s="8">
        <f t="shared" si="0"/>
        <v>9.0999999999985448</v>
      </c>
      <c r="D14" s="10">
        <f t="shared" si="1"/>
        <v>27.936999999995532</v>
      </c>
      <c r="E14" s="7">
        <f>'[1]Nov Prod'!E13</f>
        <v>3000000</v>
      </c>
      <c r="F14" s="8">
        <f t="shared" si="2"/>
        <v>3</v>
      </c>
      <c r="G14" s="10">
        <f t="shared" si="3"/>
        <v>9.2099999999999991</v>
      </c>
      <c r="H14" s="7">
        <f>'[1]Nov Prod'!F13</f>
        <v>5770000</v>
      </c>
      <c r="I14" s="8">
        <f t="shared" si="15"/>
        <v>5.77</v>
      </c>
      <c r="J14" s="10">
        <f t="shared" si="4"/>
        <v>17.713899999999999</v>
      </c>
      <c r="K14" s="7">
        <f>'[1]Nov Prod'!$H261*10</f>
        <v>9562340</v>
      </c>
      <c r="L14" s="8">
        <f t="shared" si="17"/>
        <v>0.95623400000000003</v>
      </c>
      <c r="M14" s="10">
        <f t="shared" si="6"/>
        <v>2.9356383799999999</v>
      </c>
      <c r="N14" s="21"/>
      <c r="O14" s="7">
        <f>'[1]Nov Prod'!H13</f>
        <v>5880000</v>
      </c>
      <c r="P14" s="8">
        <f t="shared" si="7"/>
        <v>5.88</v>
      </c>
      <c r="Q14" s="10">
        <f t="shared" si="8"/>
        <v>18.051599999999997</v>
      </c>
      <c r="R14" s="7">
        <f>'[1]Nov Prod'!C13</f>
        <v>6176000</v>
      </c>
      <c r="S14" s="8">
        <f t="shared" si="9"/>
        <v>6.1760000000000002</v>
      </c>
      <c r="T14" s="10">
        <f t="shared" si="10"/>
        <v>18.960319999999999</v>
      </c>
      <c r="U14" s="7">
        <f>'[1]Nov Prod'!D13</f>
        <v>0</v>
      </c>
      <c r="V14" s="8">
        <f t="shared" si="11"/>
        <v>0</v>
      </c>
      <c r="W14" s="10">
        <f t="shared" si="12"/>
        <v>0</v>
      </c>
      <c r="X14" s="7">
        <f>'[1]Nov Prod'!$D261</f>
        <v>295999.99999999983</v>
      </c>
      <c r="Y14" s="8">
        <f t="shared" si="13"/>
        <v>0.29599999999999982</v>
      </c>
      <c r="Z14" s="10">
        <f t="shared" si="14"/>
        <v>0.90871999999999942</v>
      </c>
      <c r="AA14" s="15"/>
      <c r="AB14" s="7">
        <f t="shared" si="16"/>
        <v>14979999.999998545</v>
      </c>
      <c r="AC14" s="8">
        <f t="shared" si="16"/>
        <v>14.979999999998544</v>
      </c>
      <c r="AD14" s="8">
        <f t="shared" si="16"/>
        <v>45.988599999995529</v>
      </c>
    </row>
    <row r="15" spans="1:30" x14ac:dyDescent="0.2">
      <c r="A15" s="1">
        <v>38302</v>
      </c>
      <c r="B15" s="7">
        <f>'[1]Nov Prod'!I14</f>
        <v>6900000.0000014547</v>
      </c>
      <c r="C15" s="8">
        <f t="shared" si="0"/>
        <v>6.9000000000014543</v>
      </c>
      <c r="D15" s="10">
        <f t="shared" si="1"/>
        <v>21.183000000004462</v>
      </c>
      <c r="E15" s="7">
        <f>'[1]Nov Prod'!E14</f>
        <v>2000000</v>
      </c>
      <c r="F15" s="8">
        <f t="shared" si="2"/>
        <v>2</v>
      </c>
      <c r="G15" s="10">
        <f t="shared" si="3"/>
        <v>6.14</v>
      </c>
      <c r="H15" s="7">
        <f>'[1]Nov Prod'!F14</f>
        <v>4970000</v>
      </c>
      <c r="I15" s="8">
        <f t="shared" si="15"/>
        <v>4.97</v>
      </c>
      <c r="J15" s="10">
        <f t="shared" si="4"/>
        <v>15.257899999999998</v>
      </c>
      <c r="K15" s="7">
        <f>'[1]Nov Prod'!$H262*10</f>
        <v>13242000</v>
      </c>
      <c r="L15" s="8">
        <f t="shared" si="17"/>
        <v>1.3242</v>
      </c>
      <c r="M15" s="10">
        <f t="shared" si="6"/>
        <v>4.0652939999999997</v>
      </c>
      <c r="N15" s="21"/>
      <c r="O15" s="7">
        <f>'[1]Nov Prod'!H14</f>
        <v>4752000</v>
      </c>
      <c r="P15" s="8">
        <f t="shared" si="7"/>
        <v>4.7519999999999998</v>
      </c>
      <c r="Q15" s="10">
        <f t="shared" si="8"/>
        <v>14.588639999999998</v>
      </c>
      <c r="R15" s="7">
        <f>'[1]Nov Prod'!C14</f>
        <v>5009000</v>
      </c>
      <c r="S15" s="8">
        <f t="shared" si="9"/>
        <v>5.0090000000000003</v>
      </c>
      <c r="T15" s="10">
        <f t="shared" si="10"/>
        <v>15.37763</v>
      </c>
      <c r="U15" s="7">
        <f>'[1]Nov Prod'!D14</f>
        <v>0</v>
      </c>
      <c r="V15" s="8">
        <f t="shared" si="11"/>
        <v>0</v>
      </c>
      <c r="W15" s="10">
        <f t="shared" si="12"/>
        <v>0</v>
      </c>
      <c r="X15" s="7">
        <f>'[1]Nov Prod'!$D262</f>
        <v>257000.00000000012</v>
      </c>
      <c r="Y15" s="8">
        <f t="shared" si="13"/>
        <v>0.25700000000000012</v>
      </c>
      <c r="Z15" s="10">
        <f t="shared" si="14"/>
        <v>0.7889900000000003</v>
      </c>
      <c r="AA15" s="15"/>
      <c r="AB15" s="7">
        <f t="shared" si="16"/>
        <v>11652000.000001455</v>
      </c>
      <c r="AC15" s="8">
        <f t="shared" si="16"/>
        <v>11.652000000001454</v>
      </c>
      <c r="AD15" s="8">
        <f t="shared" si="16"/>
        <v>35.77164000000446</v>
      </c>
    </row>
    <row r="16" spans="1:30" x14ac:dyDescent="0.2">
      <c r="A16" s="1">
        <v>38303</v>
      </c>
      <c r="B16" s="7">
        <f>'[1]Nov Prod'!I15</f>
        <v>5400000.0000014547</v>
      </c>
      <c r="C16" s="8">
        <f t="shared" si="0"/>
        <v>5.4000000000014543</v>
      </c>
      <c r="D16" s="10">
        <f t="shared" si="1"/>
        <v>16.578000000004465</v>
      </c>
      <c r="E16" s="7">
        <f>'[1]Nov Prod'!E15</f>
        <v>0</v>
      </c>
      <c r="F16" s="8">
        <f t="shared" si="2"/>
        <v>0</v>
      </c>
      <c r="G16" s="10">
        <f t="shared" si="3"/>
        <v>0</v>
      </c>
      <c r="H16" s="7">
        <f>'[1]Nov Prod'!F15</f>
        <v>4950000</v>
      </c>
      <c r="I16" s="8">
        <f t="shared" si="15"/>
        <v>4.95</v>
      </c>
      <c r="J16" s="10">
        <f t="shared" si="4"/>
        <v>15.1965</v>
      </c>
      <c r="K16" s="7">
        <f>'[1]Nov Prod'!$H263*10</f>
        <v>5031350</v>
      </c>
      <c r="L16" s="8">
        <f t="shared" si="17"/>
        <v>0.503135</v>
      </c>
      <c r="M16" s="10">
        <f t="shared" si="6"/>
        <v>1.5446244499999999</v>
      </c>
      <c r="N16" s="21"/>
      <c r="O16" s="7">
        <f>'[1]Nov Prod'!H15</f>
        <v>5711000</v>
      </c>
      <c r="P16" s="8">
        <f t="shared" si="7"/>
        <v>5.7110000000000003</v>
      </c>
      <c r="Q16" s="10">
        <f t="shared" si="8"/>
        <v>17.532769999999999</v>
      </c>
      <c r="R16" s="7">
        <f>'[1]Nov Prod'!C15</f>
        <v>5956000</v>
      </c>
      <c r="S16" s="8">
        <f t="shared" si="9"/>
        <v>5.9560000000000004</v>
      </c>
      <c r="T16" s="10">
        <f t="shared" si="10"/>
        <v>18.28492</v>
      </c>
      <c r="U16" s="7">
        <f>'[1]Nov Prod'!D15</f>
        <v>0</v>
      </c>
      <c r="V16" s="8">
        <f t="shared" si="11"/>
        <v>0</v>
      </c>
      <c r="W16" s="10">
        <f t="shared" si="12"/>
        <v>0</v>
      </c>
      <c r="X16" s="7">
        <f>'[1]Nov Prod'!$D263</f>
        <v>245000.00000000012</v>
      </c>
      <c r="Y16" s="8">
        <f t="shared" si="13"/>
        <v>0.24500000000000011</v>
      </c>
      <c r="Z16" s="10">
        <f t="shared" si="14"/>
        <v>0.75215000000000032</v>
      </c>
      <c r="AA16" s="15"/>
      <c r="AB16" s="7">
        <f t="shared" si="16"/>
        <v>11111000.000001455</v>
      </c>
      <c r="AC16" s="8">
        <f t="shared" si="16"/>
        <v>11.111000000001454</v>
      </c>
      <c r="AD16" s="8">
        <f t="shared" si="16"/>
        <v>34.110770000004464</v>
      </c>
    </row>
    <row r="17" spans="1:30" x14ac:dyDescent="0.2">
      <c r="A17" s="1">
        <v>38304</v>
      </c>
      <c r="B17" s="7">
        <f>'[1]Nov Prod'!I16</f>
        <v>699999.99999708962</v>
      </c>
      <c r="C17" s="8">
        <f t="shared" si="0"/>
        <v>0.69999999999708962</v>
      </c>
      <c r="D17" s="10">
        <f t="shared" si="1"/>
        <v>2.1489999999910649</v>
      </c>
      <c r="E17" s="7">
        <f>'[1]Nov Prod'!E16</f>
        <v>0</v>
      </c>
      <c r="F17" s="8">
        <f t="shared" si="2"/>
        <v>0</v>
      </c>
      <c r="G17" s="10">
        <f t="shared" si="3"/>
        <v>0</v>
      </c>
      <c r="H17" s="7">
        <f>'[1]Nov Prod'!F16</f>
        <v>1560000</v>
      </c>
      <c r="I17" s="8">
        <f t="shared" si="15"/>
        <v>1.56</v>
      </c>
      <c r="J17" s="10">
        <f t="shared" si="4"/>
        <v>4.7892000000000001</v>
      </c>
      <c r="K17" s="7">
        <f>'[1]Nov Prod'!$H264*10</f>
        <v>2091800</v>
      </c>
      <c r="L17" s="8">
        <f t="shared" si="17"/>
        <v>0.20918</v>
      </c>
      <c r="M17" s="10">
        <f t="shared" si="6"/>
        <v>0.64218259999999994</v>
      </c>
      <c r="N17" s="21"/>
      <c r="O17" s="7">
        <f>'[1]Nov Prod'!H16</f>
        <v>9594000</v>
      </c>
      <c r="P17" s="8">
        <f t="shared" ref="P17:P34" si="18">O17/1000000</f>
        <v>9.5939999999999994</v>
      </c>
      <c r="Q17" s="10">
        <f t="shared" si="8"/>
        <v>29.453579999999995</v>
      </c>
      <c r="R17" s="7">
        <f>'[1]Nov Prod'!C16</f>
        <v>9903000</v>
      </c>
      <c r="S17" s="8">
        <f t="shared" si="9"/>
        <v>9.9030000000000005</v>
      </c>
      <c r="T17" s="10">
        <f t="shared" si="10"/>
        <v>30.40221</v>
      </c>
      <c r="U17" s="7">
        <f>'[1]Nov Prod'!D16</f>
        <v>1000</v>
      </c>
      <c r="V17" s="8">
        <f t="shared" si="11"/>
        <v>1E-3</v>
      </c>
      <c r="W17" s="10">
        <f t="shared" si="12"/>
        <v>3.0699999999999998E-3</v>
      </c>
      <c r="X17" s="7">
        <f>'[1]Nov Prod'!$D264</f>
        <v>310000.00000000006</v>
      </c>
      <c r="Y17" s="8">
        <f t="shared" si="13"/>
        <v>0.31000000000000005</v>
      </c>
      <c r="Z17" s="10">
        <f t="shared" si="14"/>
        <v>0.9517000000000001</v>
      </c>
      <c r="AA17" s="15"/>
      <c r="AB17" s="7">
        <f t="shared" si="16"/>
        <v>10293999.999997091</v>
      </c>
      <c r="AC17" s="8">
        <f t="shared" si="16"/>
        <v>10.293999999997089</v>
      </c>
      <c r="AD17" s="8">
        <f t="shared" si="16"/>
        <v>31.602579999991061</v>
      </c>
    </row>
    <row r="18" spans="1:30" x14ac:dyDescent="0.2">
      <c r="A18" s="1">
        <v>38305</v>
      </c>
      <c r="B18" s="7">
        <f>'[1]Nov Prod'!I17</f>
        <v>0</v>
      </c>
      <c r="C18" s="8">
        <f t="shared" si="0"/>
        <v>0</v>
      </c>
      <c r="D18" s="10">
        <f t="shared" si="1"/>
        <v>0</v>
      </c>
      <c r="E18" s="7">
        <f>'[1]Nov Prod'!E17</f>
        <v>0</v>
      </c>
      <c r="F18" s="8">
        <f t="shared" si="2"/>
        <v>0</v>
      </c>
      <c r="G18" s="10">
        <f t="shared" si="3"/>
        <v>0</v>
      </c>
      <c r="H18" s="7">
        <f>'[1]Nov Prod'!F17</f>
        <v>0</v>
      </c>
      <c r="I18" s="8">
        <f t="shared" si="15"/>
        <v>0</v>
      </c>
      <c r="J18" s="10">
        <f t="shared" si="4"/>
        <v>0</v>
      </c>
      <c r="K18" s="7">
        <f>'[1]Nov Prod'!$H265*10</f>
        <v>1602050</v>
      </c>
      <c r="L18" s="8">
        <f t="shared" si="17"/>
        <v>0.16020499999999999</v>
      </c>
      <c r="M18" s="10">
        <f t="shared" si="6"/>
        <v>0.49182934999999994</v>
      </c>
      <c r="N18" s="21"/>
      <c r="O18" s="7">
        <f>'[1]Nov Prod'!H17</f>
        <v>11543000</v>
      </c>
      <c r="P18" s="8">
        <f t="shared" si="18"/>
        <v>11.542999999999999</v>
      </c>
      <c r="Q18" s="10">
        <f t="shared" si="8"/>
        <v>35.437009999999994</v>
      </c>
      <c r="R18" s="7">
        <f>'[1]Nov Prod'!C17</f>
        <v>12035000</v>
      </c>
      <c r="S18" s="8">
        <f t="shared" ref="S18:S34" si="19">R18/1000000</f>
        <v>12.035</v>
      </c>
      <c r="T18" s="10">
        <f t="shared" si="10"/>
        <v>36.947449999999996</v>
      </c>
      <c r="U18" s="7">
        <f>'[1]Nov Prod'!D17</f>
        <v>0</v>
      </c>
      <c r="V18" s="8">
        <f t="shared" si="11"/>
        <v>0</v>
      </c>
      <c r="W18" s="10">
        <f t="shared" si="12"/>
        <v>0</v>
      </c>
      <c r="X18" s="7">
        <f>'[1]Nov Prod'!$D265</f>
        <v>492000</v>
      </c>
      <c r="Y18" s="8">
        <f t="shared" si="13"/>
        <v>0.49199999999999999</v>
      </c>
      <c r="Z18" s="10">
        <f t="shared" si="14"/>
        <v>1.51044</v>
      </c>
      <c r="AA18" s="15"/>
      <c r="AB18" s="7">
        <f t="shared" si="16"/>
        <v>11543000</v>
      </c>
      <c r="AC18" s="8">
        <f t="shared" si="16"/>
        <v>11.542999999999999</v>
      </c>
      <c r="AD18" s="8">
        <f t="shared" si="16"/>
        <v>35.437009999999994</v>
      </c>
    </row>
    <row r="19" spans="1:30" x14ac:dyDescent="0.2">
      <c r="A19" s="1">
        <v>38306</v>
      </c>
      <c r="B19" s="7">
        <f>'[1]Nov Prod'!I18</f>
        <v>3100000.000002183</v>
      </c>
      <c r="C19" s="8">
        <f t="shared" si="0"/>
        <v>3.1000000000021832</v>
      </c>
      <c r="D19" s="10">
        <f t="shared" si="1"/>
        <v>9.5170000000067017</v>
      </c>
      <c r="E19" s="7">
        <f>'[1]Nov Prod'!E18</f>
        <v>0</v>
      </c>
      <c r="F19" s="8">
        <f t="shared" si="2"/>
        <v>0</v>
      </c>
      <c r="G19" s="10">
        <f t="shared" si="3"/>
        <v>0</v>
      </c>
      <c r="H19" s="7">
        <f>'[1]Nov Prod'!F18</f>
        <v>2100000</v>
      </c>
      <c r="I19" s="8">
        <f t="shared" si="15"/>
        <v>2.1</v>
      </c>
      <c r="J19" s="10">
        <f t="shared" si="4"/>
        <v>6.4470000000000001</v>
      </c>
      <c r="K19" s="7">
        <f>'[1]Nov Prod'!$H266*10</f>
        <v>2354800</v>
      </c>
      <c r="L19" s="8">
        <f t="shared" si="17"/>
        <v>0.23547999999999999</v>
      </c>
      <c r="M19" s="10">
        <f t="shared" si="6"/>
        <v>0.7229236</v>
      </c>
      <c r="N19" s="21"/>
      <c r="O19" s="7">
        <f>'[1]Nov Prod'!H18</f>
        <v>10149000</v>
      </c>
      <c r="P19" s="8">
        <f t="shared" si="18"/>
        <v>10.148999999999999</v>
      </c>
      <c r="Q19" s="10">
        <f t="shared" si="8"/>
        <v>31.157429999999994</v>
      </c>
      <c r="R19" s="7">
        <f>'[1]Nov Prod'!C18</f>
        <v>10704000</v>
      </c>
      <c r="S19" s="8">
        <f t="shared" si="19"/>
        <v>10.704000000000001</v>
      </c>
      <c r="T19" s="10">
        <f t="shared" si="10"/>
        <v>32.861280000000001</v>
      </c>
      <c r="U19" s="7">
        <f>'[1]Nov Prod'!D18</f>
        <v>0</v>
      </c>
      <c r="V19" s="8">
        <f t="shared" si="11"/>
        <v>0</v>
      </c>
      <c r="W19" s="10">
        <f t="shared" si="12"/>
        <v>0</v>
      </c>
      <c r="X19" s="7">
        <f>'[1]Nov Prod'!$D266</f>
        <v>554999.99999999977</v>
      </c>
      <c r="Y19" s="8">
        <f t="shared" si="13"/>
        <v>0.55499999999999972</v>
      </c>
      <c r="Z19" s="10">
        <f t="shared" si="14"/>
        <v>1.703849999999999</v>
      </c>
      <c r="AA19" s="15"/>
      <c r="AB19" s="7">
        <f t="shared" si="16"/>
        <v>13249000.000002183</v>
      </c>
      <c r="AC19" s="8">
        <f t="shared" si="16"/>
        <v>13.249000000002182</v>
      </c>
      <c r="AD19" s="8">
        <f>D19+Q19</f>
        <v>40.674430000006694</v>
      </c>
    </row>
    <row r="20" spans="1:30" x14ac:dyDescent="0.2">
      <c r="A20" s="1">
        <v>38307</v>
      </c>
      <c r="B20" s="7">
        <f>'[1]Nov Prod'!I19</f>
        <v>5200000.0000007274</v>
      </c>
      <c r="C20" s="8">
        <f t="shared" si="0"/>
        <v>5.2000000000007276</v>
      </c>
      <c r="D20" s="10">
        <f t="shared" si="1"/>
        <v>15.964000000002233</v>
      </c>
      <c r="E20" s="7">
        <f>'[1]Nov Prod'!E19</f>
        <v>0</v>
      </c>
      <c r="F20" s="8">
        <f t="shared" si="2"/>
        <v>0</v>
      </c>
      <c r="G20" s="10">
        <f t="shared" si="3"/>
        <v>0</v>
      </c>
      <c r="H20" s="7">
        <f>'[1]Nov Prod'!F19</f>
        <v>4940000</v>
      </c>
      <c r="I20" s="8">
        <f t="shared" si="15"/>
        <v>4.9400000000000004</v>
      </c>
      <c r="J20" s="10">
        <f t="shared" si="4"/>
        <v>15.165800000000001</v>
      </c>
      <c r="K20" s="7">
        <f>'[1]Nov Prod'!$H267*10</f>
        <v>4270210</v>
      </c>
      <c r="L20" s="8">
        <f t="shared" si="17"/>
        <v>0.42702099999999998</v>
      </c>
      <c r="M20" s="10">
        <f t="shared" si="6"/>
        <v>1.31095447</v>
      </c>
      <c r="N20" s="21"/>
      <c r="O20" s="7">
        <f>'[1]Nov Prod'!H19</f>
        <v>7052000</v>
      </c>
      <c r="P20" s="8">
        <f t="shared" si="18"/>
        <v>7.0519999999999996</v>
      </c>
      <c r="Q20" s="10">
        <f t="shared" si="8"/>
        <v>21.649639999999998</v>
      </c>
      <c r="R20" s="7">
        <f>'[1]Nov Prod'!C19</f>
        <v>7459000</v>
      </c>
      <c r="S20" s="8">
        <f t="shared" si="19"/>
        <v>7.4589999999999996</v>
      </c>
      <c r="T20" s="10">
        <f t="shared" si="10"/>
        <v>22.899129999999996</v>
      </c>
      <c r="U20" s="7">
        <f>'[1]Nov Prod'!D19</f>
        <v>0</v>
      </c>
      <c r="V20" s="8">
        <f t="shared" si="11"/>
        <v>0</v>
      </c>
      <c r="W20" s="10">
        <f t="shared" si="12"/>
        <v>0</v>
      </c>
      <c r="X20" s="7">
        <f>'[1]Nov Prod'!$D267</f>
        <v>407000</v>
      </c>
      <c r="Y20" s="8">
        <f t="shared" si="13"/>
        <v>0.40699999999999997</v>
      </c>
      <c r="Z20" s="10">
        <f t="shared" si="14"/>
        <v>1.2494899999999998</v>
      </c>
      <c r="AA20" s="15"/>
      <c r="AB20" s="7">
        <f t="shared" si="16"/>
        <v>12252000.000000726</v>
      </c>
      <c r="AC20" s="8">
        <f t="shared" si="16"/>
        <v>12.252000000000727</v>
      </c>
      <c r="AD20" s="8">
        <f t="shared" si="16"/>
        <v>37.613640000002235</v>
      </c>
    </row>
    <row r="21" spans="1:30" x14ac:dyDescent="0.2">
      <c r="A21" s="1">
        <v>38308</v>
      </c>
      <c r="B21" s="7">
        <f>'[1]Nov Prod'!I20</f>
        <v>5299999.9999992726</v>
      </c>
      <c r="C21" s="8">
        <f t="shared" si="0"/>
        <v>5.2999999999992724</v>
      </c>
      <c r="D21" s="10">
        <f t="shared" si="1"/>
        <v>16.270999999997766</v>
      </c>
      <c r="E21" s="7">
        <f>'[1]Nov Prod'!E20</f>
        <v>0</v>
      </c>
      <c r="F21" s="8">
        <f t="shared" si="2"/>
        <v>0</v>
      </c>
      <c r="G21" s="10">
        <f t="shared" si="3"/>
        <v>0</v>
      </c>
      <c r="H21" s="7">
        <f>'[1]Nov Prod'!F20</f>
        <v>5080000</v>
      </c>
      <c r="I21" s="8">
        <f t="shared" si="15"/>
        <v>5.08</v>
      </c>
      <c r="J21" s="10">
        <f t="shared" si="4"/>
        <v>15.595599999999999</v>
      </c>
      <c r="K21" s="7">
        <f>'[1]Nov Prod'!$H268*10</f>
        <v>4223420</v>
      </c>
      <c r="L21" s="8">
        <f t="shared" si="17"/>
        <v>0.422342</v>
      </c>
      <c r="M21" s="10">
        <f t="shared" si="6"/>
        <v>1.2965899399999998</v>
      </c>
      <c r="N21" s="21"/>
      <c r="O21" s="7">
        <f>'[1]Nov Prod'!H20</f>
        <v>6468000</v>
      </c>
      <c r="P21" s="8">
        <f t="shared" si="18"/>
        <v>6.468</v>
      </c>
      <c r="Q21" s="10">
        <f t="shared" si="8"/>
        <v>19.856759999999998</v>
      </c>
      <c r="R21" s="7">
        <f>'[1]Nov Prod'!C20</f>
        <v>6813000</v>
      </c>
      <c r="S21" s="8">
        <f t="shared" si="19"/>
        <v>6.8129999999999997</v>
      </c>
      <c r="T21" s="10">
        <f t="shared" si="10"/>
        <v>20.915909999999997</v>
      </c>
      <c r="U21" s="7">
        <f>'[1]Nov Prod'!D20</f>
        <v>0</v>
      </c>
      <c r="V21" s="8">
        <f t="shared" si="11"/>
        <v>0</v>
      </c>
      <c r="W21" s="10">
        <f t="shared" si="12"/>
        <v>0</v>
      </c>
      <c r="X21" s="7">
        <f>'[1]Nov Prod'!$D268</f>
        <v>344999.99999999977</v>
      </c>
      <c r="Y21" s="8">
        <f t="shared" si="13"/>
        <v>0.34499999999999975</v>
      </c>
      <c r="Z21" s="10">
        <f t="shared" si="14"/>
        <v>1.0591499999999991</v>
      </c>
      <c r="AA21" s="15"/>
      <c r="AB21" s="7">
        <f t="shared" si="16"/>
        <v>11767999.999999274</v>
      </c>
      <c r="AC21" s="8">
        <f t="shared" si="16"/>
        <v>11.767999999999272</v>
      </c>
      <c r="AD21" s="8">
        <f t="shared" si="16"/>
        <v>36.127759999997764</v>
      </c>
    </row>
    <row r="22" spans="1:30" x14ac:dyDescent="0.2">
      <c r="A22" s="1">
        <v>38309</v>
      </c>
      <c r="B22" s="7">
        <f>'[1]Nov Prod'!I21</f>
        <v>6500000</v>
      </c>
      <c r="C22" s="8">
        <f t="shared" si="0"/>
        <v>6.5</v>
      </c>
      <c r="D22" s="10">
        <f t="shared" si="1"/>
        <v>19.954999999999998</v>
      </c>
      <c r="E22" s="7">
        <f>'[1]Nov Prod'!E21</f>
        <v>0</v>
      </c>
      <c r="F22" s="8">
        <f t="shared" si="2"/>
        <v>0</v>
      </c>
      <c r="G22" s="10">
        <f t="shared" si="3"/>
        <v>0</v>
      </c>
      <c r="H22" s="7">
        <f>'[1]Nov Prod'!F21</f>
        <v>6010000</v>
      </c>
      <c r="I22" s="8">
        <f t="shared" si="15"/>
        <v>6.01</v>
      </c>
      <c r="J22" s="10">
        <f t="shared" si="4"/>
        <v>18.450699999999998</v>
      </c>
      <c r="K22" s="7">
        <f>'[1]Nov Prod'!$H269*10</f>
        <v>5900390</v>
      </c>
      <c r="L22" s="8">
        <f t="shared" si="17"/>
        <v>0.59003899999999998</v>
      </c>
      <c r="M22" s="10">
        <f t="shared" si="6"/>
        <v>1.8114197299999999</v>
      </c>
      <c r="N22" s="21"/>
      <c r="O22" s="7">
        <f>'[1]Nov Prod'!H21</f>
        <v>5816999.9999999991</v>
      </c>
      <c r="P22" s="8">
        <f t="shared" si="18"/>
        <v>5.8169999999999993</v>
      </c>
      <c r="Q22" s="10">
        <f t="shared" si="8"/>
        <v>17.858189999999997</v>
      </c>
      <c r="R22" s="7">
        <f>'[1]Nov Prod'!C21</f>
        <v>6167000</v>
      </c>
      <c r="S22" s="8">
        <f t="shared" si="19"/>
        <v>6.1669999999999998</v>
      </c>
      <c r="T22" s="10">
        <f t="shared" si="10"/>
        <v>18.932689999999997</v>
      </c>
      <c r="U22" s="7">
        <f>'[1]Nov Prod'!D21</f>
        <v>0</v>
      </c>
      <c r="V22" s="8">
        <f t="shared" si="11"/>
        <v>0</v>
      </c>
      <c r="W22" s="10">
        <f t="shared" si="12"/>
        <v>0</v>
      </c>
      <c r="X22" s="7">
        <f>'[1]Nov Prod'!$D269</f>
        <v>350000.00000000052</v>
      </c>
      <c r="Y22" s="8">
        <f t="shared" si="13"/>
        <v>0.35000000000000053</v>
      </c>
      <c r="Z22" s="10">
        <f t="shared" si="14"/>
        <v>1.0745000000000016</v>
      </c>
      <c r="AA22" s="15"/>
      <c r="AB22" s="7">
        <f t="shared" si="16"/>
        <v>12317000</v>
      </c>
      <c r="AC22" s="8">
        <f t="shared" si="16"/>
        <v>12.317</v>
      </c>
      <c r="AD22" s="8">
        <f t="shared" si="16"/>
        <v>37.813189999999992</v>
      </c>
    </row>
    <row r="23" spans="1:30" x14ac:dyDescent="0.2">
      <c r="A23" s="1">
        <v>38310</v>
      </c>
      <c r="B23" s="7">
        <f>'[1]Nov Prod'!I22</f>
        <v>1899999.9999978172</v>
      </c>
      <c r="C23" s="8">
        <f t="shared" si="0"/>
        <v>1.8999999999978172</v>
      </c>
      <c r="D23" s="10">
        <f t="shared" si="1"/>
        <v>5.8329999999932989</v>
      </c>
      <c r="E23" s="7">
        <f>'[1]Nov Prod'!E22</f>
        <v>0</v>
      </c>
      <c r="F23" s="8">
        <f t="shared" si="2"/>
        <v>0</v>
      </c>
      <c r="G23" s="10">
        <f t="shared" si="3"/>
        <v>0</v>
      </c>
      <c r="H23" s="7">
        <f>'[1]Nov Prod'!F22</f>
        <v>2000000</v>
      </c>
      <c r="I23" s="8">
        <f t="shared" si="15"/>
        <v>2</v>
      </c>
      <c r="J23" s="10">
        <f t="shared" si="4"/>
        <v>6.14</v>
      </c>
      <c r="K23" s="7">
        <f>'[1]Nov Prod'!$H270*10</f>
        <v>1696380</v>
      </c>
      <c r="L23" s="8">
        <f t="shared" si="17"/>
        <v>0.16963800000000001</v>
      </c>
      <c r="M23" s="10">
        <f t="shared" si="6"/>
        <v>0.52078866000000001</v>
      </c>
      <c r="N23" s="21"/>
      <c r="O23" s="7">
        <f>'[1]Nov Prod'!H22</f>
        <v>9547000</v>
      </c>
      <c r="P23" s="8">
        <f t="shared" si="18"/>
        <v>9.5470000000000006</v>
      </c>
      <c r="Q23" s="10">
        <f t="shared" si="8"/>
        <v>29.309290000000001</v>
      </c>
      <c r="R23" s="7">
        <f>'[1]Nov Prod'!C22</f>
        <v>9895000</v>
      </c>
      <c r="S23" s="8">
        <f t="shared" si="19"/>
        <v>9.8949999999999996</v>
      </c>
      <c r="T23" s="10">
        <f t="shared" si="10"/>
        <v>30.377649999999996</v>
      </c>
      <c r="U23" s="7">
        <f>'[1]Nov Prod'!D22</f>
        <v>0</v>
      </c>
      <c r="V23" s="8">
        <f t="shared" si="11"/>
        <v>0</v>
      </c>
      <c r="W23" s="10">
        <f t="shared" si="12"/>
        <v>0</v>
      </c>
      <c r="X23" s="7">
        <f>'[1]Nov Prod'!$D270</f>
        <v>347999.99999999988</v>
      </c>
      <c r="Y23" s="8">
        <f t="shared" si="13"/>
        <v>0.34799999999999986</v>
      </c>
      <c r="Z23" s="10">
        <f t="shared" si="14"/>
        <v>1.0683599999999995</v>
      </c>
      <c r="AA23" s="15"/>
      <c r="AB23" s="7">
        <f t="shared" si="16"/>
        <v>11446999.999997817</v>
      </c>
      <c r="AC23" s="8">
        <f t="shared" si="16"/>
        <v>11.446999999997818</v>
      </c>
      <c r="AD23" s="8">
        <f t="shared" si="16"/>
        <v>35.142289999993302</v>
      </c>
    </row>
    <row r="24" spans="1:30" x14ac:dyDescent="0.2">
      <c r="A24" s="1">
        <v>38311</v>
      </c>
      <c r="B24" s="7">
        <f>'[1]Nov Prod'!I23</f>
        <v>0</v>
      </c>
      <c r="C24" s="8">
        <f t="shared" si="0"/>
        <v>0</v>
      </c>
      <c r="D24" s="10">
        <f t="shared" si="1"/>
        <v>0</v>
      </c>
      <c r="E24" s="7">
        <f>'[1]Nov Prod'!E23</f>
        <v>0</v>
      </c>
      <c r="F24" s="8">
        <f t="shared" si="2"/>
        <v>0</v>
      </c>
      <c r="G24" s="10">
        <f t="shared" si="3"/>
        <v>0</v>
      </c>
      <c r="H24" s="7">
        <f>'[1]Nov Prod'!F23</f>
        <v>0</v>
      </c>
      <c r="I24" s="8">
        <f t="shared" si="15"/>
        <v>0</v>
      </c>
      <c r="J24" s="10">
        <f t="shared" si="4"/>
        <v>0</v>
      </c>
      <c r="K24" s="7">
        <f>'[1]Nov Prod'!$H271*10</f>
        <v>0</v>
      </c>
      <c r="L24" s="8">
        <f t="shared" si="17"/>
        <v>0</v>
      </c>
      <c r="M24" s="10">
        <f t="shared" si="6"/>
        <v>0</v>
      </c>
      <c r="N24" s="21"/>
      <c r="O24" s="7">
        <f>'[1]Nov Prod'!H23</f>
        <v>11829000</v>
      </c>
      <c r="P24" s="8">
        <f t="shared" si="18"/>
        <v>11.829000000000001</v>
      </c>
      <c r="Q24" s="10">
        <f t="shared" si="8"/>
        <v>36.31503</v>
      </c>
      <c r="R24" s="7">
        <f>'[1]Nov Prod'!C23</f>
        <v>12292000</v>
      </c>
      <c r="S24" s="8">
        <f t="shared" si="19"/>
        <v>12.292</v>
      </c>
      <c r="T24" s="10">
        <f t="shared" si="10"/>
        <v>37.736439999999995</v>
      </c>
      <c r="U24" s="7">
        <f>'[1]Nov Prod'!D23</f>
        <v>0</v>
      </c>
      <c r="V24" s="8">
        <f t="shared" si="11"/>
        <v>0</v>
      </c>
      <c r="W24" s="10">
        <f t="shared" si="12"/>
        <v>0</v>
      </c>
      <c r="X24" s="7">
        <f>'[1]Nov Prod'!$D271</f>
        <v>463000.00000000006</v>
      </c>
      <c r="Y24" s="8">
        <f t="shared" si="13"/>
        <v>0.46300000000000008</v>
      </c>
      <c r="Z24" s="10">
        <f t="shared" si="14"/>
        <v>1.4214100000000001</v>
      </c>
      <c r="AA24" s="15"/>
      <c r="AB24" s="7">
        <f t="shared" si="16"/>
        <v>11829000</v>
      </c>
      <c r="AC24" s="8">
        <f t="shared" si="16"/>
        <v>11.829000000000001</v>
      </c>
      <c r="AD24" s="8">
        <f>D24+Q24</f>
        <v>36.31503</v>
      </c>
    </row>
    <row r="25" spans="1:30" x14ac:dyDescent="0.2">
      <c r="A25" s="1">
        <v>38312</v>
      </c>
      <c r="B25" s="7">
        <f>'[1]Nov Prod'!I24</f>
        <v>0</v>
      </c>
      <c r="C25" s="8">
        <f t="shared" si="0"/>
        <v>0</v>
      </c>
      <c r="D25" s="10">
        <f t="shared" si="1"/>
        <v>0</v>
      </c>
      <c r="E25" s="7">
        <f>'[1]Nov Prod'!E24</f>
        <v>0</v>
      </c>
      <c r="F25" s="8">
        <f t="shared" si="2"/>
        <v>0</v>
      </c>
      <c r="G25" s="10">
        <f t="shared" si="3"/>
        <v>0</v>
      </c>
      <c r="H25" s="7">
        <f>'[1]Nov Prod'!F24</f>
        <v>0</v>
      </c>
      <c r="I25" s="8">
        <f t="shared" si="15"/>
        <v>0</v>
      </c>
      <c r="J25" s="10">
        <f t="shared" si="4"/>
        <v>0</v>
      </c>
      <c r="K25" s="7">
        <f>'[1]Nov Prod'!$H272*10</f>
        <v>0</v>
      </c>
      <c r="L25" s="8">
        <f t="shared" si="17"/>
        <v>0</v>
      </c>
      <c r="M25" s="10">
        <f t="shared" si="6"/>
        <v>0</v>
      </c>
      <c r="N25" s="21"/>
      <c r="O25" s="7">
        <f>'[1]Nov Prod'!H24</f>
        <v>10121000</v>
      </c>
      <c r="P25" s="8">
        <f t="shared" si="18"/>
        <v>10.121</v>
      </c>
      <c r="Q25" s="10">
        <f t="shared" si="8"/>
        <v>31.071470000000001</v>
      </c>
      <c r="R25" s="7">
        <f>'[1]Nov Prod'!C24</f>
        <v>10524000</v>
      </c>
      <c r="S25" s="8">
        <f t="shared" si="19"/>
        <v>10.523999999999999</v>
      </c>
      <c r="T25" s="10">
        <f t="shared" si="10"/>
        <v>32.308679999999995</v>
      </c>
      <c r="U25" s="7">
        <f>'[1]Nov Prod'!D24</f>
        <v>0</v>
      </c>
      <c r="V25" s="8">
        <f t="shared" si="11"/>
        <v>0</v>
      </c>
      <c r="W25" s="10">
        <f t="shared" si="12"/>
        <v>0</v>
      </c>
      <c r="X25" s="7">
        <f>'[1]Nov Prod'!$D272</f>
        <v>402999.99999999959</v>
      </c>
      <c r="Y25" s="8">
        <f t="shared" si="13"/>
        <v>0.40299999999999958</v>
      </c>
      <c r="Z25" s="10">
        <f t="shared" si="14"/>
        <v>1.2372099999999986</v>
      </c>
      <c r="AA25" s="15"/>
      <c r="AB25" s="7">
        <f t="shared" si="16"/>
        <v>10121000</v>
      </c>
      <c r="AC25" s="8">
        <f t="shared" si="16"/>
        <v>10.121</v>
      </c>
      <c r="AD25" s="8">
        <f t="shared" si="16"/>
        <v>31.071470000000001</v>
      </c>
    </row>
    <row r="26" spans="1:30" x14ac:dyDescent="0.2">
      <c r="A26" s="1">
        <v>38313</v>
      </c>
      <c r="B26" s="7">
        <f>'[1]Nov Prod'!I25</f>
        <v>0</v>
      </c>
      <c r="C26" s="8">
        <f t="shared" si="0"/>
        <v>0</v>
      </c>
      <c r="D26" s="10">
        <f t="shared" si="1"/>
        <v>0</v>
      </c>
      <c r="E26" s="7">
        <f>'[1]Nov Prod'!E25</f>
        <v>0</v>
      </c>
      <c r="F26" s="8">
        <f t="shared" si="2"/>
        <v>0</v>
      </c>
      <c r="G26" s="10">
        <f t="shared" si="3"/>
        <v>0</v>
      </c>
      <c r="H26" s="7">
        <f>'[1]Nov Prod'!F25</f>
        <v>0</v>
      </c>
      <c r="I26" s="8">
        <f t="shared" si="15"/>
        <v>0</v>
      </c>
      <c r="J26" s="10">
        <f t="shared" si="4"/>
        <v>0</v>
      </c>
      <c r="K26" s="7">
        <f>'[1]Nov Prod'!$H273*10</f>
        <v>0</v>
      </c>
      <c r="L26" s="8">
        <f t="shared" si="17"/>
        <v>0</v>
      </c>
      <c r="M26" s="10">
        <f t="shared" si="6"/>
        <v>0</v>
      </c>
      <c r="N26" s="21"/>
      <c r="O26" s="7">
        <f>'[1]Nov Prod'!H25</f>
        <v>9623000</v>
      </c>
      <c r="P26" s="8">
        <f t="shared" si="18"/>
        <v>9.6229999999999993</v>
      </c>
      <c r="Q26" s="10">
        <f t="shared" si="8"/>
        <v>29.542609999999996</v>
      </c>
      <c r="R26" s="7">
        <f>'[1]Nov Prod'!C25</f>
        <v>10103000</v>
      </c>
      <c r="S26" s="8">
        <f t="shared" si="19"/>
        <v>10.103</v>
      </c>
      <c r="T26" s="10">
        <f t="shared" si="10"/>
        <v>31.016209999999997</v>
      </c>
      <c r="U26" s="7">
        <f>'[1]Nov Prod'!D25</f>
        <v>0</v>
      </c>
      <c r="V26" s="8">
        <f t="shared" si="11"/>
        <v>0</v>
      </c>
      <c r="W26" s="10">
        <f t="shared" si="12"/>
        <v>0</v>
      </c>
      <c r="X26" s="7">
        <f>'[1]Nov Prod'!$D273</f>
        <v>480000.00000000041</v>
      </c>
      <c r="Y26" s="8">
        <f t="shared" si="13"/>
        <v>0.48000000000000043</v>
      </c>
      <c r="Z26" s="10">
        <f t="shared" si="14"/>
        <v>1.4736000000000011</v>
      </c>
      <c r="AA26" s="15"/>
      <c r="AB26" s="7">
        <f t="shared" si="16"/>
        <v>9623000</v>
      </c>
      <c r="AC26" s="8">
        <f t="shared" si="16"/>
        <v>9.6229999999999993</v>
      </c>
      <c r="AD26" s="8">
        <f t="shared" si="16"/>
        <v>29.542609999999996</v>
      </c>
    </row>
    <row r="27" spans="1:30" x14ac:dyDescent="0.2">
      <c r="A27" s="1">
        <v>38314</v>
      </c>
      <c r="B27" s="7">
        <f>'[1]Nov Prod'!I26</f>
        <v>1300000.0000029104</v>
      </c>
      <c r="C27" s="8">
        <f t="shared" si="0"/>
        <v>1.3000000000029104</v>
      </c>
      <c r="D27" s="10">
        <f t="shared" si="1"/>
        <v>3.9910000000089347</v>
      </c>
      <c r="E27" s="7">
        <f>'[1]Nov Prod'!E26</f>
        <v>0</v>
      </c>
      <c r="F27" s="8">
        <f t="shared" si="2"/>
        <v>0</v>
      </c>
      <c r="G27" s="10">
        <f t="shared" si="3"/>
        <v>0</v>
      </c>
      <c r="H27" s="7">
        <f>'[1]Nov Prod'!F26</f>
        <v>0</v>
      </c>
      <c r="I27" s="8">
        <f t="shared" si="15"/>
        <v>0</v>
      </c>
      <c r="J27" s="10">
        <f t="shared" si="4"/>
        <v>0</v>
      </c>
      <c r="K27" s="7">
        <f>'[1]Nov Prod'!$H274*10</f>
        <v>0</v>
      </c>
      <c r="L27" s="8">
        <f t="shared" si="17"/>
        <v>0</v>
      </c>
      <c r="M27" s="10">
        <f t="shared" si="6"/>
        <v>0</v>
      </c>
      <c r="N27" s="21"/>
      <c r="O27" s="7">
        <f>'[1]Nov Prod'!H26</f>
        <v>11357000</v>
      </c>
      <c r="P27" s="8">
        <f t="shared" si="18"/>
        <v>11.356999999999999</v>
      </c>
      <c r="Q27" s="10">
        <f t="shared" si="8"/>
        <v>34.865989999999996</v>
      </c>
      <c r="R27" s="7">
        <f>'[1]Nov Prod'!C26</f>
        <v>11832000</v>
      </c>
      <c r="S27" s="8">
        <f t="shared" si="19"/>
        <v>11.832000000000001</v>
      </c>
      <c r="T27" s="10">
        <f t="shared" si="10"/>
        <v>36.324240000000003</v>
      </c>
      <c r="U27" s="7">
        <f>'[1]Nov Prod'!D26</f>
        <v>0</v>
      </c>
      <c r="V27" s="8">
        <f t="shared" si="11"/>
        <v>0</v>
      </c>
      <c r="W27" s="10">
        <f t="shared" si="12"/>
        <v>0</v>
      </c>
      <c r="X27" s="7">
        <f>'[1]Nov Prod'!$D274</f>
        <v>474999.99999999965</v>
      </c>
      <c r="Y27" s="8">
        <f t="shared" si="13"/>
        <v>0.47499999999999964</v>
      </c>
      <c r="Z27" s="10">
        <f t="shared" si="14"/>
        <v>1.4582499999999989</v>
      </c>
      <c r="AA27" s="15"/>
      <c r="AB27" s="7">
        <f t="shared" si="16"/>
        <v>12657000.000002909</v>
      </c>
      <c r="AC27" s="8">
        <f t="shared" si="16"/>
        <v>12.65700000000291</v>
      </c>
      <c r="AD27" s="8">
        <f t="shared" si="16"/>
        <v>38.856990000008935</v>
      </c>
    </row>
    <row r="28" spans="1:30" x14ac:dyDescent="0.2">
      <c r="A28" s="1">
        <v>38315</v>
      </c>
      <c r="B28" s="7">
        <f>'[1]Nov Prod'!I27</f>
        <v>0</v>
      </c>
      <c r="C28" s="8">
        <f t="shared" si="0"/>
        <v>0</v>
      </c>
      <c r="D28" s="10">
        <f t="shared" si="1"/>
        <v>0</v>
      </c>
      <c r="E28" s="7">
        <f>'[1]Nov Prod'!E27</f>
        <v>0</v>
      </c>
      <c r="F28" s="8">
        <f t="shared" si="2"/>
        <v>0</v>
      </c>
      <c r="G28" s="10">
        <f t="shared" si="3"/>
        <v>0</v>
      </c>
      <c r="H28" s="7">
        <f>'[1]Nov Prod'!F27</f>
        <v>0</v>
      </c>
      <c r="I28" s="8">
        <f t="shared" si="15"/>
        <v>0</v>
      </c>
      <c r="J28" s="10">
        <f t="shared" si="4"/>
        <v>0</v>
      </c>
      <c r="K28" s="7">
        <f>'[1]Nov Prod'!$H275*10</f>
        <v>0</v>
      </c>
      <c r="L28" s="8">
        <f t="shared" si="17"/>
        <v>0</v>
      </c>
      <c r="M28" s="10">
        <f t="shared" si="6"/>
        <v>0</v>
      </c>
      <c r="N28" s="21"/>
      <c r="O28" s="7">
        <f>'[1]Nov Prod'!H27</f>
        <v>11348000</v>
      </c>
      <c r="P28" s="8">
        <f t="shared" si="18"/>
        <v>11.348000000000001</v>
      </c>
      <c r="Q28" s="10">
        <f t="shared" si="8"/>
        <v>34.838360000000002</v>
      </c>
      <c r="R28" s="7">
        <f>'[1]Nov Prod'!C27</f>
        <v>11753000</v>
      </c>
      <c r="S28" s="8">
        <f t="shared" si="19"/>
        <v>11.753</v>
      </c>
      <c r="T28" s="10">
        <f t="shared" si="10"/>
        <v>36.081710000000001</v>
      </c>
      <c r="U28" s="7">
        <f>'[1]Nov Prod'!D27</f>
        <v>0</v>
      </c>
      <c r="V28" s="8">
        <f t="shared" si="11"/>
        <v>0</v>
      </c>
      <c r="W28" s="10">
        <f t="shared" si="12"/>
        <v>0</v>
      </c>
      <c r="X28" s="7">
        <f>'[1]Nov Prod'!$D275</f>
        <v>405000.00000000023</v>
      </c>
      <c r="Y28" s="8">
        <f t="shared" si="13"/>
        <v>0.40500000000000025</v>
      </c>
      <c r="Z28" s="10">
        <f t="shared" si="14"/>
        <v>1.2433500000000006</v>
      </c>
      <c r="AA28" s="15"/>
      <c r="AB28" s="7">
        <f t="shared" si="16"/>
        <v>11348000</v>
      </c>
      <c r="AC28" s="8">
        <f t="shared" si="16"/>
        <v>11.348000000000001</v>
      </c>
      <c r="AD28" s="8">
        <f t="shared" si="16"/>
        <v>34.838360000000002</v>
      </c>
    </row>
    <row r="29" spans="1:30" x14ac:dyDescent="0.2">
      <c r="A29" s="1">
        <v>38316</v>
      </c>
      <c r="B29" s="7">
        <f>'[1]Nov Prod'!I28</f>
        <v>0</v>
      </c>
      <c r="C29" s="8">
        <f t="shared" si="0"/>
        <v>0</v>
      </c>
      <c r="D29" s="10">
        <f t="shared" si="1"/>
        <v>0</v>
      </c>
      <c r="E29" s="7">
        <f>'[1]Nov Prod'!E28</f>
        <v>0</v>
      </c>
      <c r="F29" s="8">
        <f t="shared" si="2"/>
        <v>0</v>
      </c>
      <c r="G29" s="10">
        <f t="shared" si="3"/>
        <v>0</v>
      </c>
      <c r="H29" s="7">
        <f>'[1]Nov Prod'!F28</f>
        <v>0</v>
      </c>
      <c r="I29" s="8">
        <f t="shared" si="15"/>
        <v>0</v>
      </c>
      <c r="J29" s="10">
        <f t="shared" si="4"/>
        <v>0</v>
      </c>
      <c r="K29" s="7">
        <f>'[1]Nov Prod'!$H276*10</f>
        <v>0</v>
      </c>
      <c r="L29" s="8">
        <f t="shared" si="17"/>
        <v>0</v>
      </c>
      <c r="M29" s="10">
        <f t="shared" si="6"/>
        <v>0</v>
      </c>
      <c r="N29" s="21"/>
      <c r="O29" s="7">
        <f>'[1]Nov Prod'!H28</f>
        <v>11220000</v>
      </c>
      <c r="P29" s="8">
        <f t="shared" si="18"/>
        <v>11.22</v>
      </c>
      <c r="Q29" s="10">
        <f t="shared" si="8"/>
        <v>34.445399999999999</v>
      </c>
      <c r="R29" s="7">
        <f>'[1]Nov Prod'!C28</f>
        <v>11678000</v>
      </c>
      <c r="S29" s="8">
        <f t="shared" si="19"/>
        <v>11.678000000000001</v>
      </c>
      <c r="T29" s="10">
        <f t="shared" si="10"/>
        <v>35.851460000000003</v>
      </c>
      <c r="U29" s="7">
        <f>'[1]Nov Prod'!D28</f>
        <v>0</v>
      </c>
      <c r="V29" s="8">
        <f t="shared" si="11"/>
        <v>0</v>
      </c>
      <c r="W29" s="10">
        <f t="shared" si="12"/>
        <v>0</v>
      </c>
      <c r="X29" s="7">
        <f>'[1]Nov Prod'!$D276</f>
        <v>458000.00000000017</v>
      </c>
      <c r="Y29" s="8">
        <f t="shared" si="13"/>
        <v>0.45800000000000018</v>
      </c>
      <c r="Z29" s="10">
        <f t="shared" si="14"/>
        <v>1.4060600000000005</v>
      </c>
      <c r="AA29" s="15"/>
      <c r="AB29" s="7">
        <f t="shared" si="16"/>
        <v>11220000</v>
      </c>
      <c r="AC29" s="8">
        <f t="shared" si="16"/>
        <v>11.22</v>
      </c>
      <c r="AD29" s="8">
        <f t="shared" si="16"/>
        <v>34.445399999999999</v>
      </c>
    </row>
    <row r="30" spans="1:30" x14ac:dyDescent="0.2">
      <c r="A30" s="1">
        <v>38317</v>
      </c>
      <c r="B30" s="7">
        <f>'[1]Nov Prod'!I29</f>
        <v>0</v>
      </c>
      <c r="C30" s="8">
        <f t="shared" si="0"/>
        <v>0</v>
      </c>
      <c r="D30" s="10">
        <f t="shared" si="1"/>
        <v>0</v>
      </c>
      <c r="E30" s="7">
        <f>'[1]Nov Prod'!E29</f>
        <v>0</v>
      </c>
      <c r="F30" s="8">
        <f t="shared" si="2"/>
        <v>0</v>
      </c>
      <c r="G30" s="10">
        <f t="shared" si="3"/>
        <v>0</v>
      </c>
      <c r="H30" s="7">
        <f>'[1]Nov Prod'!F29</f>
        <v>0</v>
      </c>
      <c r="I30" s="8">
        <f t="shared" si="15"/>
        <v>0</v>
      </c>
      <c r="J30" s="10">
        <f t="shared" si="4"/>
        <v>0</v>
      </c>
      <c r="K30" s="7">
        <f>'[1]Nov Prod'!$H277*10</f>
        <v>426940</v>
      </c>
      <c r="L30" s="8">
        <f t="shared" si="17"/>
        <v>4.2694000000000003E-2</v>
      </c>
      <c r="M30" s="10">
        <f t="shared" si="6"/>
        <v>0.13107057999999999</v>
      </c>
      <c r="N30" s="21"/>
      <c r="O30" s="7">
        <f>'[1]Nov Prod'!H29</f>
        <v>12671000</v>
      </c>
      <c r="P30" s="8">
        <f t="shared" si="18"/>
        <v>12.670999999999999</v>
      </c>
      <c r="Q30" s="10">
        <f t="shared" si="8"/>
        <v>38.899969999999996</v>
      </c>
      <c r="R30" s="7">
        <f>'[1]Nov Prod'!C29</f>
        <v>13077000</v>
      </c>
      <c r="S30" s="8">
        <f t="shared" si="19"/>
        <v>13.077</v>
      </c>
      <c r="T30" s="10">
        <f t="shared" si="10"/>
        <v>40.146389999999997</v>
      </c>
      <c r="U30" s="7">
        <f>'[1]Nov Prod'!D29</f>
        <v>0</v>
      </c>
      <c r="V30" s="8">
        <f t="shared" si="11"/>
        <v>0</v>
      </c>
      <c r="W30" s="10">
        <f t="shared" si="12"/>
        <v>0</v>
      </c>
      <c r="X30" s="7">
        <f>'[1]Nov Prod'!$D277</f>
        <v>405999.99999999994</v>
      </c>
      <c r="Y30" s="8">
        <f t="shared" si="13"/>
        <v>0.40599999999999992</v>
      </c>
      <c r="Z30" s="10">
        <f t="shared" si="14"/>
        <v>1.2464199999999996</v>
      </c>
      <c r="AA30" s="15"/>
      <c r="AB30" s="7">
        <f t="shared" si="16"/>
        <v>12671000</v>
      </c>
      <c r="AC30" s="8">
        <f t="shared" si="16"/>
        <v>12.670999999999999</v>
      </c>
      <c r="AD30" s="8">
        <f>D30+Q30</f>
        <v>38.899969999999996</v>
      </c>
    </row>
    <row r="31" spans="1:30" x14ac:dyDescent="0.2">
      <c r="A31" s="1">
        <v>38318</v>
      </c>
      <c r="B31" s="7">
        <f>'[1]Nov Prod'!I30</f>
        <v>0</v>
      </c>
      <c r="C31" s="8">
        <f t="shared" si="0"/>
        <v>0</v>
      </c>
      <c r="D31" s="10">
        <f t="shared" si="1"/>
        <v>0</v>
      </c>
      <c r="E31" s="7">
        <f>'[1]Nov Prod'!E30</f>
        <v>0</v>
      </c>
      <c r="F31" s="8">
        <f t="shared" si="2"/>
        <v>0</v>
      </c>
      <c r="G31" s="10">
        <f t="shared" si="3"/>
        <v>0</v>
      </c>
      <c r="H31" s="7">
        <f>'[1]Nov Prod'!F30</f>
        <v>0</v>
      </c>
      <c r="I31" s="8">
        <f t="shared" si="15"/>
        <v>0</v>
      </c>
      <c r="J31" s="10">
        <f t="shared" si="4"/>
        <v>0</v>
      </c>
      <c r="K31" s="7">
        <f>'[1]Nov Prod'!$H278*10</f>
        <v>0</v>
      </c>
      <c r="L31" s="8">
        <f t="shared" si="17"/>
        <v>0</v>
      </c>
      <c r="M31" s="10">
        <f t="shared" si="6"/>
        <v>0</v>
      </c>
      <c r="N31" s="21"/>
      <c r="O31" s="7">
        <f>'[1]Nov Prod'!H30</f>
        <v>11427000</v>
      </c>
      <c r="P31" s="8">
        <f t="shared" si="18"/>
        <v>11.427</v>
      </c>
      <c r="Q31" s="10">
        <f t="shared" si="8"/>
        <v>35.080889999999997</v>
      </c>
      <c r="R31" s="7">
        <f>'[1]Nov Prod'!C30</f>
        <v>11991000</v>
      </c>
      <c r="S31" s="8">
        <f t="shared" si="19"/>
        <v>11.991</v>
      </c>
      <c r="T31" s="10">
        <f t="shared" si="10"/>
        <v>36.812369999999994</v>
      </c>
      <c r="U31" s="7">
        <f>'[1]Nov Prod'!D30</f>
        <v>0</v>
      </c>
      <c r="V31" s="8">
        <f t="shared" si="11"/>
        <v>0</v>
      </c>
      <c r="W31" s="10">
        <f t="shared" si="12"/>
        <v>0</v>
      </c>
      <c r="X31" s="7">
        <f>'[1]Nov Prod'!$D278</f>
        <v>564000</v>
      </c>
      <c r="Y31" s="8">
        <f t="shared" si="13"/>
        <v>0.56399999999999995</v>
      </c>
      <c r="Z31" s="10">
        <f t="shared" si="14"/>
        <v>1.7314799999999997</v>
      </c>
      <c r="AA31" s="15"/>
      <c r="AB31" s="7">
        <f t="shared" si="16"/>
        <v>11427000</v>
      </c>
      <c r="AC31" s="8">
        <f t="shared" si="16"/>
        <v>11.427</v>
      </c>
      <c r="AD31" s="8">
        <f t="shared" si="16"/>
        <v>35.080889999999997</v>
      </c>
    </row>
    <row r="32" spans="1:30" x14ac:dyDescent="0.2">
      <c r="A32" s="1">
        <v>38319</v>
      </c>
      <c r="B32" s="7">
        <f>'[1]Nov Prod'!I31</f>
        <v>0</v>
      </c>
      <c r="C32" s="8">
        <f t="shared" si="0"/>
        <v>0</v>
      </c>
      <c r="D32" s="10">
        <f t="shared" si="1"/>
        <v>0</v>
      </c>
      <c r="E32" s="7">
        <f>'[1]Nov Prod'!E31</f>
        <v>0</v>
      </c>
      <c r="F32" s="8">
        <f t="shared" si="2"/>
        <v>0</v>
      </c>
      <c r="G32" s="10">
        <f t="shared" si="3"/>
        <v>0</v>
      </c>
      <c r="H32" s="7">
        <f>'[1]Nov Prod'!F31</f>
        <v>0</v>
      </c>
      <c r="I32" s="8">
        <f t="shared" si="15"/>
        <v>0</v>
      </c>
      <c r="J32" s="10">
        <f t="shared" si="4"/>
        <v>0</v>
      </c>
      <c r="K32" s="7">
        <f>'[1]Nov Prod'!$H279*10</f>
        <v>0</v>
      </c>
      <c r="L32" s="8">
        <f t="shared" si="17"/>
        <v>0</v>
      </c>
      <c r="M32" s="10">
        <f t="shared" si="6"/>
        <v>0</v>
      </c>
      <c r="N32" s="21"/>
      <c r="O32" s="7">
        <f>'[1]Nov Prod'!H31</f>
        <v>11759000</v>
      </c>
      <c r="P32" s="8">
        <f t="shared" si="18"/>
        <v>11.759</v>
      </c>
      <c r="Q32" s="10">
        <f t="shared" si="8"/>
        <v>36.10013</v>
      </c>
      <c r="R32" s="7">
        <f>'[1]Nov Prod'!C31</f>
        <v>12367000</v>
      </c>
      <c r="S32" s="8">
        <f t="shared" si="19"/>
        <v>12.367000000000001</v>
      </c>
      <c r="T32" s="10">
        <f t="shared" si="10"/>
        <v>37.96669</v>
      </c>
      <c r="U32" s="7">
        <f>'[1]Nov Prod'!D31</f>
        <v>0</v>
      </c>
      <c r="V32" s="8">
        <f t="shared" si="11"/>
        <v>0</v>
      </c>
      <c r="W32" s="10">
        <f t="shared" si="12"/>
        <v>0</v>
      </c>
      <c r="X32" s="7">
        <f>'[1]Nov Prod'!$D279</f>
        <v>608000.00000000012</v>
      </c>
      <c r="Y32" s="8">
        <f t="shared" si="13"/>
        <v>0.6080000000000001</v>
      </c>
      <c r="Z32" s="10">
        <f t="shared" si="14"/>
        <v>1.8665600000000002</v>
      </c>
      <c r="AA32" s="15"/>
      <c r="AB32" s="7">
        <f t="shared" si="16"/>
        <v>11759000</v>
      </c>
      <c r="AC32" s="8">
        <f t="shared" si="16"/>
        <v>11.759</v>
      </c>
      <c r="AD32" s="8">
        <f t="shared" si="16"/>
        <v>36.10013</v>
      </c>
    </row>
    <row r="33" spans="1:30" x14ac:dyDescent="0.2">
      <c r="A33" s="1">
        <v>38320</v>
      </c>
      <c r="B33" s="7">
        <f>'[1]Nov Prod'!I32</f>
        <v>0</v>
      </c>
      <c r="C33" s="8">
        <f t="shared" si="0"/>
        <v>0</v>
      </c>
      <c r="D33" s="10">
        <f t="shared" si="1"/>
        <v>0</v>
      </c>
      <c r="E33" s="7">
        <f>'[1]Nov Prod'!E32</f>
        <v>0</v>
      </c>
      <c r="F33" s="8">
        <f t="shared" si="2"/>
        <v>0</v>
      </c>
      <c r="G33" s="10">
        <f t="shared" si="3"/>
        <v>0</v>
      </c>
      <c r="H33" s="7">
        <f>'[1]Nov Prod'!F32</f>
        <v>0</v>
      </c>
      <c r="I33" s="8">
        <f t="shared" si="15"/>
        <v>0</v>
      </c>
      <c r="J33" s="10">
        <f t="shared" si="4"/>
        <v>0</v>
      </c>
      <c r="K33" s="7">
        <f>'[1]Nov Prod'!$H280*10</f>
        <v>0</v>
      </c>
      <c r="L33" s="8">
        <f t="shared" si="17"/>
        <v>0</v>
      </c>
      <c r="M33" s="10">
        <f t="shared" si="6"/>
        <v>0</v>
      </c>
      <c r="N33" s="21"/>
      <c r="O33" s="7">
        <f>'[1]Nov Prod'!H32</f>
        <v>11739000</v>
      </c>
      <c r="P33" s="8">
        <f t="shared" si="18"/>
        <v>11.739000000000001</v>
      </c>
      <c r="Q33" s="10">
        <f t="shared" si="8"/>
        <v>36.038730000000001</v>
      </c>
      <c r="R33" s="7">
        <f>'[1]Nov Prod'!C32</f>
        <v>12267000</v>
      </c>
      <c r="S33" s="8">
        <f t="shared" si="19"/>
        <v>12.266999999999999</v>
      </c>
      <c r="T33" s="10">
        <f t="shared" si="10"/>
        <v>37.659689999999998</v>
      </c>
      <c r="U33" s="7">
        <f>'[1]Nov Prod'!D32</f>
        <v>0</v>
      </c>
      <c r="V33" s="8">
        <f t="shared" si="11"/>
        <v>0</v>
      </c>
      <c r="W33" s="10">
        <f t="shared" si="12"/>
        <v>0</v>
      </c>
      <c r="X33" s="7">
        <f>'[1]Nov Prod'!$D280</f>
        <v>528000</v>
      </c>
      <c r="Y33" s="8">
        <f t="shared" si="13"/>
        <v>0.52800000000000002</v>
      </c>
      <c r="Z33" s="10">
        <f t="shared" si="14"/>
        <v>1.62096</v>
      </c>
      <c r="AA33" s="15"/>
      <c r="AB33" s="7">
        <f t="shared" si="16"/>
        <v>11739000</v>
      </c>
      <c r="AC33" s="8">
        <f t="shared" si="16"/>
        <v>11.739000000000001</v>
      </c>
      <c r="AD33" s="8">
        <f t="shared" si="16"/>
        <v>36.038730000000001</v>
      </c>
    </row>
    <row r="34" spans="1:30" ht="13.5" thickBot="1" x14ac:dyDescent="0.25">
      <c r="A34" s="1">
        <v>38321</v>
      </c>
      <c r="B34" s="7">
        <f>'[1]Nov Prod'!I33</f>
        <v>0</v>
      </c>
      <c r="C34" s="8">
        <f t="shared" si="0"/>
        <v>0</v>
      </c>
      <c r="D34" s="10">
        <f t="shared" si="1"/>
        <v>0</v>
      </c>
      <c r="E34" s="7">
        <f>'[1]Nov Prod'!E33</f>
        <v>0</v>
      </c>
      <c r="F34" s="8">
        <f t="shared" si="2"/>
        <v>0</v>
      </c>
      <c r="G34" s="10">
        <f t="shared" si="3"/>
        <v>0</v>
      </c>
      <c r="H34" s="7">
        <f>'[1]Nov Prod'!F33</f>
        <v>0</v>
      </c>
      <c r="I34" s="8">
        <f t="shared" si="15"/>
        <v>0</v>
      </c>
      <c r="J34" s="10">
        <f t="shared" si="4"/>
        <v>0</v>
      </c>
      <c r="K34" s="7">
        <f>'[1]Nov Prod'!$H281*10</f>
        <v>0</v>
      </c>
      <c r="L34" s="8">
        <f t="shared" si="17"/>
        <v>0</v>
      </c>
      <c r="M34" s="10">
        <f t="shared" si="6"/>
        <v>0</v>
      </c>
      <c r="N34" s="21"/>
      <c r="O34" s="7">
        <f>'[1]Nov Prod'!H33</f>
        <v>11128000</v>
      </c>
      <c r="P34" s="8">
        <f t="shared" si="18"/>
        <v>11.128</v>
      </c>
      <c r="Q34" s="10">
        <f t="shared" si="8"/>
        <v>34.162959999999998</v>
      </c>
      <c r="R34" s="7">
        <f>'[1]Nov Prod'!C33</f>
        <v>11681000</v>
      </c>
      <c r="S34" s="8">
        <f t="shared" si="19"/>
        <v>11.680999999999999</v>
      </c>
      <c r="T34" s="10">
        <f t="shared" si="10"/>
        <v>35.860669999999999</v>
      </c>
      <c r="U34" s="7">
        <f>'[1]Nov Prod'!D33</f>
        <v>0</v>
      </c>
      <c r="V34" s="8">
        <f t="shared" si="11"/>
        <v>0</v>
      </c>
      <c r="W34" s="10">
        <f t="shared" si="12"/>
        <v>0</v>
      </c>
      <c r="X34" s="7">
        <f>'[1]Nov Prod'!$D281</f>
        <v>552999.99999999953</v>
      </c>
      <c r="Y34" s="8">
        <f t="shared" si="13"/>
        <v>0.55299999999999949</v>
      </c>
      <c r="Z34" s="10">
        <f t="shared" si="14"/>
        <v>1.6977099999999983</v>
      </c>
      <c r="AA34" s="15"/>
      <c r="AB34" s="7">
        <f t="shared" si="16"/>
        <v>11128000</v>
      </c>
      <c r="AC34" s="8">
        <f t="shared" si="16"/>
        <v>11.128</v>
      </c>
      <c r="AD34" s="8">
        <f t="shared" si="16"/>
        <v>34.162959999999998</v>
      </c>
    </row>
    <row r="35" spans="1:30" ht="13.5" thickBot="1" x14ac:dyDescent="0.25">
      <c r="A35" s="20"/>
      <c r="B35" s="38"/>
      <c r="C35" s="39">
        <f>SUM(C5:C34)</f>
        <v>117.20000000000073</v>
      </c>
      <c r="D35" s="39">
        <f>SUM(D5:D34)</f>
        <v>359.80400000000213</v>
      </c>
      <c r="E35" s="38"/>
      <c r="F35" s="39">
        <f>SUM(F5:F34)</f>
        <v>26</v>
      </c>
      <c r="G35" s="39">
        <f>SUM(G5:G34)</f>
        <v>79.819999999999993</v>
      </c>
      <c r="H35" s="38"/>
      <c r="I35" s="39">
        <f>SUM(I5:I34)</f>
        <v>87.66</v>
      </c>
      <c r="J35" s="39">
        <f>SUM(J5:J34)</f>
        <v>269.11619999999994</v>
      </c>
      <c r="K35" s="38"/>
      <c r="L35" s="39">
        <f>SUM(L5:L34)</f>
        <v>11.013721</v>
      </c>
      <c r="M35" s="39">
        <f>SUM(M5:M34)</f>
        <v>33.812123469999996</v>
      </c>
      <c r="N35" s="14"/>
      <c r="O35" s="38"/>
      <c r="P35" s="39">
        <f>SUM(P5:P34)</f>
        <v>234.56100000000004</v>
      </c>
      <c r="Q35" s="39">
        <f>SUM(Q5:Q34)</f>
        <v>720.10226999999998</v>
      </c>
      <c r="R35" s="38"/>
      <c r="S35" s="39">
        <f>SUM(S5:S34)</f>
        <v>245.661</v>
      </c>
      <c r="T35" s="39">
        <f>SUM(T5:T34)</f>
        <v>754.17926999999997</v>
      </c>
      <c r="U35" s="38"/>
      <c r="V35" s="39">
        <f>SUM(V5:V34)</f>
        <v>1E-3</v>
      </c>
      <c r="W35" s="39">
        <f>SUM(W5:W34)</f>
        <v>3.0699999999999998E-3</v>
      </c>
      <c r="X35" s="38"/>
      <c r="Y35" s="39">
        <f>SUM(Y5:Y34)</f>
        <v>11.101000000000001</v>
      </c>
      <c r="Z35" s="39">
        <f>SUM(Z5:Z34)</f>
        <v>34.080069999999999</v>
      </c>
      <c r="AA35" s="14"/>
      <c r="AB35" s="38">
        <f t="shared" si="16"/>
        <v>0</v>
      </c>
      <c r="AC35" s="39">
        <f t="shared" si="16"/>
        <v>351.76100000000076</v>
      </c>
      <c r="AD35" s="39">
        <f t="shared" si="16"/>
        <v>1079.9062700000022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E20" activePane="bottomRight" state="frozen"/>
      <selection pane="topRight" activeCell="B1" sqref="B1"/>
      <selection pane="bottomLeft" activeCell="A5" sqref="A5"/>
      <selection pane="bottomRight" activeCell="T36" sqref="T36"/>
    </sheetView>
  </sheetViews>
  <sheetFormatPr defaultRowHeight="12.75" x14ac:dyDescent="0.2"/>
  <cols>
    <col min="2" max="2" width="11" customWidth="1"/>
    <col min="5" max="5" width="11.28515625" customWidth="1"/>
    <col min="8" max="8" width="16.7109375" customWidth="1"/>
    <col min="11" max="11" width="10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40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">
      <c r="A5" s="1">
        <v>38322</v>
      </c>
      <c r="B5" s="7">
        <f>'[2]Dec Prod'!I4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'[2]Dec Prod'!E4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'[2]Dec Prod'!F4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'[2]Dec Prod'!H259</f>
        <v>0</v>
      </c>
      <c r="L5" s="8">
        <f t="shared" ref="L5:L35" si="6">K5/1000000</f>
        <v>0</v>
      </c>
      <c r="M5" s="10">
        <f t="shared" ref="M5:M35" si="7">L5*3.07</f>
        <v>0</v>
      </c>
      <c r="N5" s="21"/>
      <c r="O5" s="7">
        <f>'[2]Dec Prod'!H4</f>
        <v>10701000</v>
      </c>
      <c r="P5" s="8">
        <f t="shared" ref="P5:P35" si="8">O5/1000000</f>
        <v>10.701000000000001</v>
      </c>
      <c r="Q5" s="10">
        <f t="shared" ref="Q5:Q35" si="9">P5*3.07</f>
        <v>32.852069999999998</v>
      </c>
      <c r="R5" s="7">
        <f>'[2]Dec Prod'!C4</f>
        <v>11230000</v>
      </c>
      <c r="S5" s="8">
        <f t="shared" ref="S5:S35" si="10">R5/1000000</f>
        <v>11.23</v>
      </c>
      <c r="T5" s="10">
        <f t="shared" ref="T5:T35" si="11">S5*3.07</f>
        <v>34.476100000000002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529000.00000000081</v>
      </c>
      <c r="Y5" s="8">
        <f t="shared" ref="Y5:Y35" si="14">X5/1000000</f>
        <v>0.5290000000000008</v>
      </c>
      <c r="Z5" s="10">
        <f t="shared" ref="Z5:Z35" si="15">Y5*3.07</f>
        <v>1.6240300000000023</v>
      </c>
      <c r="AA5" s="15"/>
      <c r="AB5" s="7">
        <f>B5+O5</f>
        <v>10701000</v>
      </c>
      <c r="AC5" s="8">
        <f>C5+P5</f>
        <v>10.701000000000001</v>
      </c>
      <c r="AD5" s="8">
        <f>D5+Q5</f>
        <v>32.852069999999998</v>
      </c>
    </row>
    <row r="6" spans="1:30" x14ac:dyDescent="0.2">
      <c r="A6" s="1">
        <v>38323</v>
      </c>
      <c r="B6" s="7">
        <f>'[2]Dec Prod'!I5</f>
        <v>0</v>
      </c>
      <c r="C6" s="8">
        <f t="shared" si="0"/>
        <v>0</v>
      </c>
      <c r="D6" s="10">
        <f t="shared" si="1"/>
        <v>0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0</v>
      </c>
      <c r="L6" s="8">
        <f t="shared" si="6"/>
        <v>0</v>
      </c>
      <c r="M6" s="10">
        <f t="shared" si="7"/>
        <v>0</v>
      </c>
      <c r="N6" s="21"/>
      <c r="O6" s="7">
        <f>'[2]Dec Prod'!H5</f>
        <v>11499000</v>
      </c>
      <c r="P6" s="8">
        <f t="shared" si="8"/>
        <v>11.499000000000001</v>
      </c>
      <c r="Q6" s="10">
        <f t="shared" si="9"/>
        <v>35.301929999999999</v>
      </c>
      <c r="R6" s="7">
        <f>'[2]Dec Prod'!C5</f>
        <v>12107000</v>
      </c>
      <c r="S6" s="8">
        <f t="shared" si="10"/>
        <v>12.106999999999999</v>
      </c>
      <c r="T6" s="10">
        <f t="shared" si="11"/>
        <v>37.168489999999998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607999.99999999965</v>
      </c>
      <c r="Y6" s="8">
        <f t="shared" si="14"/>
        <v>0.60799999999999965</v>
      </c>
      <c r="Z6" s="10">
        <f t="shared" si="15"/>
        <v>1.8665599999999989</v>
      </c>
      <c r="AA6" s="15"/>
      <c r="AB6" s="7">
        <f t="shared" ref="AB6:AD35" si="16">B6+O6</f>
        <v>11499000</v>
      </c>
      <c r="AC6" s="8">
        <f t="shared" si="16"/>
        <v>11.499000000000001</v>
      </c>
      <c r="AD6" s="8">
        <f t="shared" si="16"/>
        <v>35.301929999999999</v>
      </c>
    </row>
    <row r="7" spans="1:30" x14ac:dyDescent="0.2">
      <c r="A7" s="1">
        <v>38324</v>
      </c>
      <c r="B7" s="7">
        <f>'[2]Dec Prod'!I6</f>
        <v>0</v>
      </c>
      <c r="C7" s="8">
        <f t="shared" si="0"/>
        <v>0</v>
      </c>
      <c r="D7" s="10">
        <f t="shared" si="1"/>
        <v>0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0</v>
      </c>
      <c r="L7" s="8">
        <f t="shared" si="6"/>
        <v>0</v>
      </c>
      <c r="M7" s="10">
        <f t="shared" si="7"/>
        <v>0</v>
      </c>
      <c r="N7" s="21"/>
      <c r="O7" s="7">
        <f>'[2]Dec Prod'!H6</f>
        <v>11431000</v>
      </c>
      <c r="P7" s="8">
        <f t="shared" si="8"/>
        <v>11.430999999999999</v>
      </c>
      <c r="Q7" s="10">
        <f t="shared" si="9"/>
        <v>35.093169999999994</v>
      </c>
      <c r="R7" s="7">
        <f>'[2]Dec Prod'!C6</f>
        <v>12069000</v>
      </c>
      <c r="S7" s="8">
        <f t="shared" si="10"/>
        <v>12.069000000000001</v>
      </c>
      <c r="T7" s="10">
        <f t="shared" si="11"/>
        <v>37.051830000000002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637999.99999999988</v>
      </c>
      <c r="Y7" s="8">
        <f t="shared" si="14"/>
        <v>0.6379999999999999</v>
      </c>
      <c r="Z7" s="10">
        <f t="shared" si="15"/>
        <v>1.9586599999999996</v>
      </c>
      <c r="AA7" s="15"/>
      <c r="AB7" s="7">
        <f t="shared" si="16"/>
        <v>11431000</v>
      </c>
      <c r="AC7" s="8">
        <f t="shared" si="16"/>
        <v>11.430999999999999</v>
      </c>
      <c r="AD7" s="8">
        <f t="shared" si="16"/>
        <v>35.093169999999994</v>
      </c>
    </row>
    <row r="8" spans="1:30" x14ac:dyDescent="0.2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1"/>
      <c r="O8" s="7">
        <f>'[2]Dec Prod'!H7</f>
        <v>11585000</v>
      </c>
      <c r="P8" s="8">
        <f t="shared" si="8"/>
        <v>11.585000000000001</v>
      </c>
      <c r="Q8" s="10">
        <f t="shared" si="9"/>
        <v>35.565950000000001</v>
      </c>
      <c r="R8" s="7">
        <f>'[2]Dec Prod'!C7</f>
        <v>12085000</v>
      </c>
      <c r="S8" s="8">
        <f t="shared" si="10"/>
        <v>12.085000000000001</v>
      </c>
      <c r="T8" s="10">
        <f t="shared" si="11"/>
        <v>37.100949999999997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500000</v>
      </c>
      <c r="Y8" s="8">
        <f t="shared" si="14"/>
        <v>0.5</v>
      </c>
      <c r="Z8" s="10">
        <f t="shared" si="15"/>
        <v>1.5349999999999999</v>
      </c>
      <c r="AA8" s="15"/>
      <c r="AB8" s="7">
        <f t="shared" si="16"/>
        <v>11585000</v>
      </c>
      <c r="AC8" s="8">
        <f t="shared" si="16"/>
        <v>11.585000000000001</v>
      </c>
      <c r="AD8" s="8">
        <f>D8+Q8</f>
        <v>35.565950000000001</v>
      </c>
    </row>
    <row r="9" spans="1:30" x14ac:dyDescent="0.2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0</v>
      </c>
      <c r="L9" s="8">
        <f t="shared" si="6"/>
        <v>0</v>
      </c>
      <c r="M9" s="10">
        <f t="shared" si="7"/>
        <v>0</v>
      </c>
      <c r="N9" s="21"/>
      <c r="O9" s="7">
        <f>'[2]Dec Prod'!H8</f>
        <v>10273000</v>
      </c>
      <c r="P9" s="8">
        <f t="shared" si="8"/>
        <v>10.273</v>
      </c>
      <c r="Q9" s="10">
        <f t="shared" si="9"/>
        <v>31.538109999999996</v>
      </c>
      <c r="R9" s="7">
        <f>'[2]Dec Prod'!C8</f>
        <v>10814000</v>
      </c>
      <c r="S9" s="8">
        <f t="shared" si="10"/>
        <v>10.814</v>
      </c>
      <c r="T9" s="10">
        <f t="shared" si="11"/>
        <v>33.198979999999999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541000.00000000035</v>
      </c>
      <c r="Y9" s="8">
        <f t="shared" si="14"/>
        <v>0.54100000000000037</v>
      </c>
      <c r="Z9" s="10">
        <f t="shared" si="15"/>
        <v>1.660870000000001</v>
      </c>
      <c r="AA9" s="15"/>
      <c r="AB9" s="7">
        <f t="shared" si="16"/>
        <v>10273000</v>
      </c>
      <c r="AC9" s="8">
        <f t="shared" si="16"/>
        <v>10.273</v>
      </c>
      <c r="AD9" s="8">
        <f t="shared" si="16"/>
        <v>31.538109999999996</v>
      </c>
    </row>
    <row r="10" spans="1:30" x14ac:dyDescent="0.2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0</v>
      </c>
      <c r="L10" s="8">
        <f t="shared" si="6"/>
        <v>0</v>
      </c>
      <c r="M10" s="10">
        <f t="shared" si="7"/>
        <v>0</v>
      </c>
      <c r="N10" s="21"/>
      <c r="O10" s="7">
        <f>'[2]Dec Prod'!H9</f>
        <v>11131000</v>
      </c>
      <c r="P10" s="8">
        <f t="shared" si="8"/>
        <v>11.131</v>
      </c>
      <c r="Q10" s="10">
        <f t="shared" si="9"/>
        <v>34.172170000000001</v>
      </c>
      <c r="R10" s="7">
        <f>'[2]Dec Prod'!C9</f>
        <v>11689000</v>
      </c>
      <c r="S10" s="8">
        <f t="shared" si="10"/>
        <v>11.689</v>
      </c>
      <c r="T10" s="10">
        <f t="shared" si="11"/>
        <v>35.88523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557999.99999999988</v>
      </c>
      <c r="Y10" s="8">
        <f t="shared" si="14"/>
        <v>0.55799999999999983</v>
      </c>
      <c r="Z10" s="10">
        <f t="shared" si="15"/>
        <v>1.7130599999999994</v>
      </c>
      <c r="AA10" s="15"/>
      <c r="AB10" s="7">
        <f t="shared" si="16"/>
        <v>11131000</v>
      </c>
      <c r="AC10" s="8">
        <f t="shared" si="16"/>
        <v>11.131</v>
      </c>
      <c r="AD10" s="8">
        <f t="shared" si="16"/>
        <v>34.172170000000001</v>
      </c>
    </row>
    <row r="11" spans="1:30" x14ac:dyDescent="0.2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0</v>
      </c>
      <c r="L11" s="8">
        <f t="shared" si="6"/>
        <v>0</v>
      </c>
      <c r="M11" s="10">
        <f t="shared" si="7"/>
        <v>0</v>
      </c>
      <c r="N11" s="21"/>
      <c r="O11" s="7">
        <f>'[2]Dec Prod'!H10</f>
        <v>11003000</v>
      </c>
      <c r="P11" s="8">
        <f t="shared" si="8"/>
        <v>11.003</v>
      </c>
      <c r="Q11" s="10">
        <f t="shared" si="9"/>
        <v>33.779209999999999</v>
      </c>
      <c r="R11" s="7">
        <f>'[2]Dec Prod'!C10</f>
        <v>11466000</v>
      </c>
      <c r="S11" s="8">
        <f t="shared" si="10"/>
        <v>11.465999999999999</v>
      </c>
      <c r="T11" s="10">
        <f t="shared" si="11"/>
        <v>35.200619999999994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463000.00000000006</v>
      </c>
      <c r="Y11" s="8">
        <f t="shared" si="14"/>
        <v>0.46300000000000008</v>
      </c>
      <c r="Z11" s="10">
        <f t="shared" si="15"/>
        <v>1.4214100000000001</v>
      </c>
      <c r="AA11" s="15"/>
      <c r="AB11" s="7">
        <f t="shared" si="16"/>
        <v>11003000</v>
      </c>
      <c r="AC11" s="8">
        <f t="shared" si="16"/>
        <v>11.003</v>
      </c>
      <c r="AD11" s="8">
        <f t="shared" si="16"/>
        <v>33.779209999999999</v>
      </c>
    </row>
    <row r="12" spans="1:30" x14ac:dyDescent="0.2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0</v>
      </c>
      <c r="L12" s="8">
        <f t="shared" si="6"/>
        <v>0</v>
      </c>
      <c r="M12" s="10">
        <f t="shared" si="7"/>
        <v>0</v>
      </c>
      <c r="N12" s="21"/>
      <c r="O12" s="7">
        <f>'[2]Dec Prod'!H11</f>
        <v>10986000</v>
      </c>
      <c r="P12" s="8">
        <f t="shared" si="8"/>
        <v>10.986000000000001</v>
      </c>
      <c r="Q12" s="10">
        <f t="shared" si="9"/>
        <v>33.727020000000003</v>
      </c>
      <c r="R12" s="7">
        <f>'[2]Dec Prod'!C11</f>
        <v>11515000</v>
      </c>
      <c r="S12" s="8">
        <f t="shared" si="10"/>
        <v>11.515000000000001</v>
      </c>
      <c r="T12" s="10">
        <f t="shared" si="11"/>
        <v>35.351050000000001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528999.99999999988</v>
      </c>
      <c r="Y12" s="8">
        <f t="shared" si="14"/>
        <v>0.52899999999999991</v>
      </c>
      <c r="Z12" s="10">
        <f t="shared" si="15"/>
        <v>1.6240299999999996</v>
      </c>
      <c r="AA12" s="15"/>
      <c r="AB12" s="7">
        <f t="shared" si="16"/>
        <v>10986000</v>
      </c>
      <c r="AC12" s="8">
        <f t="shared" si="16"/>
        <v>10.986000000000001</v>
      </c>
      <c r="AD12" s="8">
        <f t="shared" si="16"/>
        <v>33.727020000000003</v>
      </c>
    </row>
    <row r="13" spans="1:30" x14ac:dyDescent="0.2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180671</v>
      </c>
      <c r="L13" s="8">
        <f t="shared" si="6"/>
        <v>0.180671</v>
      </c>
      <c r="M13" s="10">
        <f t="shared" si="7"/>
        <v>0.55465997</v>
      </c>
      <c r="N13" s="21"/>
      <c r="O13" s="7">
        <f>'[2]Dec Prod'!H12</f>
        <v>11206000</v>
      </c>
      <c r="P13" s="8">
        <f t="shared" si="8"/>
        <v>11.206</v>
      </c>
      <c r="Q13" s="10">
        <f t="shared" si="9"/>
        <v>34.402419999999999</v>
      </c>
      <c r="R13" s="7">
        <f>'[2]Dec Prod'!C12</f>
        <v>11673000</v>
      </c>
      <c r="S13" s="8">
        <f t="shared" si="10"/>
        <v>11.673</v>
      </c>
      <c r="T13" s="10">
        <f t="shared" si="11"/>
        <v>35.836109999999998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467000.00000000052</v>
      </c>
      <c r="Y13" s="8">
        <f t="shared" si="14"/>
        <v>0.46700000000000053</v>
      </c>
      <c r="Z13" s="10">
        <f t="shared" si="15"/>
        <v>1.4336900000000015</v>
      </c>
      <c r="AA13" s="15"/>
      <c r="AB13" s="7">
        <f t="shared" si="16"/>
        <v>11206000</v>
      </c>
      <c r="AC13" s="8">
        <f t="shared" si="16"/>
        <v>11.206</v>
      </c>
      <c r="AD13" s="8">
        <f t="shared" si="16"/>
        <v>34.402419999999999</v>
      </c>
    </row>
    <row r="14" spans="1:30" x14ac:dyDescent="0.2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0</v>
      </c>
      <c r="L14" s="8">
        <f t="shared" si="6"/>
        <v>0</v>
      </c>
      <c r="M14" s="10">
        <f t="shared" si="7"/>
        <v>0</v>
      </c>
      <c r="N14" s="21"/>
      <c r="O14" s="7">
        <f>'[2]Dec Prod'!H13</f>
        <v>11071000</v>
      </c>
      <c r="P14" s="8">
        <f t="shared" si="8"/>
        <v>11.071</v>
      </c>
      <c r="Q14" s="10">
        <f t="shared" si="9"/>
        <v>33.987969999999997</v>
      </c>
      <c r="R14" s="7">
        <f>'[2]Dec Prod'!C13</f>
        <v>11598000</v>
      </c>
      <c r="S14" s="8">
        <f t="shared" si="10"/>
        <v>11.598000000000001</v>
      </c>
      <c r="T14" s="10">
        <f t="shared" si="11"/>
        <v>35.60586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526999.9999999993</v>
      </c>
      <c r="Y14" s="8">
        <f t="shared" si="14"/>
        <v>0.52699999999999925</v>
      </c>
      <c r="Z14" s="10">
        <f t="shared" si="15"/>
        <v>1.6178899999999976</v>
      </c>
      <c r="AA14" s="15"/>
      <c r="AB14" s="7">
        <f t="shared" si="16"/>
        <v>11071000</v>
      </c>
      <c r="AC14" s="8">
        <f t="shared" si="16"/>
        <v>11.071</v>
      </c>
      <c r="AD14" s="8">
        <f t="shared" si="16"/>
        <v>33.987969999999997</v>
      </c>
    </row>
    <row r="15" spans="1:30" x14ac:dyDescent="0.2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0</v>
      </c>
      <c r="L15" s="8">
        <f t="shared" si="6"/>
        <v>0</v>
      </c>
      <c r="M15" s="10">
        <f t="shared" si="7"/>
        <v>0</v>
      </c>
      <c r="N15" s="21"/>
      <c r="O15" s="7">
        <f>'[2]Dec Prod'!H14</f>
        <v>11698000</v>
      </c>
      <c r="P15" s="8">
        <f t="shared" si="8"/>
        <v>11.698</v>
      </c>
      <c r="Q15" s="10">
        <f t="shared" si="9"/>
        <v>35.912860000000002</v>
      </c>
      <c r="R15" s="7">
        <f>'[2]Dec Prod'!C14</f>
        <v>12159000</v>
      </c>
      <c r="S15" s="8">
        <f t="shared" si="10"/>
        <v>12.159000000000001</v>
      </c>
      <c r="T15" s="10">
        <f t="shared" si="11"/>
        <v>37.328130000000002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461000.00000000029</v>
      </c>
      <c r="Y15" s="8">
        <f t="shared" si="14"/>
        <v>0.4610000000000003</v>
      </c>
      <c r="Z15" s="10">
        <f t="shared" si="15"/>
        <v>1.4152700000000009</v>
      </c>
      <c r="AA15" s="15"/>
      <c r="AB15" s="7">
        <f t="shared" si="16"/>
        <v>11698000</v>
      </c>
      <c r="AC15" s="8">
        <f t="shared" si="16"/>
        <v>11.698</v>
      </c>
      <c r="AD15" s="8">
        <f t="shared" si="16"/>
        <v>35.912860000000002</v>
      </c>
    </row>
    <row r="16" spans="1:30" x14ac:dyDescent="0.2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0</v>
      </c>
      <c r="L16" s="8">
        <f t="shared" si="6"/>
        <v>0</v>
      </c>
      <c r="M16" s="10">
        <f t="shared" si="7"/>
        <v>0</v>
      </c>
      <c r="N16" s="21"/>
      <c r="O16" s="7">
        <f>'[2]Dec Prod'!H15</f>
        <v>11153000.000000002</v>
      </c>
      <c r="P16" s="8">
        <f t="shared" si="8"/>
        <v>11.153000000000002</v>
      </c>
      <c r="Q16" s="10">
        <f t="shared" si="9"/>
        <v>34.239710000000002</v>
      </c>
      <c r="R16" s="7">
        <f>'[2]Dec Prod'!C15</f>
        <v>11485000</v>
      </c>
      <c r="S16" s="8">
        <f t="shared" si="10"/>
        <v>11.484999999999999</v>
      </c>
      <c r="T16" s="10">
        <f t="shared" si="11"/>
        <v>35.258949999999999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331999.99999999895</v>
      </c>
      <c r="Y16" s="8">
        <f t="shared" si="14"/>
        <v>0.33199999999999896</v>
      </c>
      <c r="Z16" s="10">
        <f t="shared" si="15"/>
        <v>1.0192399999999968</v>
      </c>
      <c r="AA16" s="15"/>
      <c r="AB16" s="7">
        <f t="shared" si="16"/>
        <v>11153000.000000002</v>
      </c>
      <c r="AC16" s="8">
        <f t="shared" si="16"/>
        <v>11.153000000000002</v>
      </c>
      <c r="AD16" s="8">
        <f t="shared" si="16"/>
        <v>34.239710000000002</v>
      </c>
    </row>
    <row r="17" spans="1:30" x14ac:dyDescent="0.2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0</v>
      </c>
      <c r="L17" s="8">
        <f t="shared" si="6"/>
        <v>0</v>
      </c>
      <c r="M17" s="10">
        <f t="shared" si="7"/>
        <v>0</v>
      </c>
      <c r="N17" s="21"/>
      <c r="O17" s="7">
        <f>'[2]Dec Prod'!H16</f>
        <v>11864000</v>
      </c>
      <c r="P17" s="8">
        <f t="shared" si="8"/>
        <v>11.864000000000001</v>
      </c>
      <c r="Q17" s="10">
        <f t="shared" si="9"/>
        <v>36.42248</v>
      </c>
      <c r="R17" s="7">
        <f>'[2]Dec Prod'!C16</f>
        <v>12258000</v>
      </c>
      <c r="S17" s="8">
        <f t="shared" si="10"/>
        <v>12.257999999999999</v>
      </c>
      <c r="T17" s="10">
        <f t="shared" si="11"/>
        <v>37.632059999999996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394000.00000000012</v>
      </c>
      <c r="Y17" s="8">
        <f t="shared" si="14"/>
        <v>0.39400000000000013</v>
      </c>
      <c r="Z17" s="10">
        <f t="shared" si="15"/>
        <v>1.2095800000000003</v>
      </c>
      <c r="AA17" s="15"/>
      <c r="AB17" s="7">
        <f t="shared" si="16"/>
        <v>11864000</v>
      </c>
      <c r="AC17" s="8">
        <f t="shared" si="16"/>
        <v>11.864000000000001</v>
      </c>
      <c r="AD17" s="8">
        <f t="shared" si="16"/>
        <v>36.42248</v>
      </c>
    </row>
    <row r="18" spans="1:30" x14ac:dyDescent="0.2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0</v>
      </c>
      <c r="L18" s="8">
        <f t="shared" si="6"/>
        <v>0</v>
      </c>
      <c r="M18" s="10">
        <f t="shared" si="7"/>
        <v>0</v>
      </c>
      <c r="N18" s="21"/>
      <c r="O18" s="7">
        <f>'[2]Dec Prod'!H17</f>
        <v>11559000</v>
      </c>
      <c r="P18" s="8">
        <f t="shared" si="8"/>
        <v>11.558999999999999</v>
      </c>
      <c r="Q18" s="10">
        <f t="shared" si="9"/>
        <v>35.486129999999996</v>
      </c>
      <c r="R18" s="7">
        <f>'[2]Dec Prod'!C17</f>
        <v>12164000</v>
      </c>
      <c r="S18" s="8">
        <f t="shared" si="10"/>
        <v>12.164</v>
      </c>
      <c r="T18" s="10">
        <f t="shared" si="11"/>
        <v>37.34348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605000.00000000047</v>
      </c>
      <c r="Y18" s="8">
        <f t="shared" si="14"/>
        <v>0.60500000000000043</v>
      </c>
      <c r="Z18" s="10">
        <f t="shared" si="15"/>
        <v>1.8573500000000012</v>
      </c>
      <c r="AA18" s="15"/>
      <c r="AB18" s="7">
        <f t="shared" si="16"/>
        <v>11559000</v>
      </c>
      <c r="AC18" s="8">
        <f t="shared" si="16"/>
        <v>11.558999999999999</v>
      </c>
      <c r="AD18" s="8">
        <f t="shared" si="16"/>
        <v>35.486129999999996</v>
      </c>
    </row>
    <row r="19" spans="1:30" x14ac:dyDescent="0.2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0</v>
      </c>
      <c r="L19" s="8">
        <f t="shared" si="6"/>
        <v>0</v>
      </c>
      <c r="M19" s="10">
        <f t="shared" si="7"/>
        <v>0</v>
      </c>
      <c r="N19" s="21"/>
      <c r="O19" s="7">
        <f>'[2]Dec Prod'!H18</f>
        <v>12078000</v>
      </c>
      <c r="P19" s="8">
        <f t="shared" si="8"/>
        <v>12.077999999999999</v>
      </c>
      <c r="Q19" s="10">
        <f t="shared" si="9"/>
        <v>37.079459999999997</v>
      </c>
      <c r="R19" s="7">
        <f>'[2]Dec Prod'!C18</f>
        <v>12603000</v>
      </c>
      <c r="S19" s="8">
        <f t="shared" si="10"/>
        <v>12.603</v>
      </c>
      <c r="T19" s="10">
        <f t="shared" si="11"/>
        <v>38.691209999999998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525000.00000000035</v>
      </c>
      <c r="Y19" s="8">
        <f t="shared" si="14"/>
        <v>0.52500000000000036</v>
      </c>
      <c r="Z19" s="10">
        <f t="shared" si="15"/>
        <v>1.6117500000000009</v>
      </c>
      <c r="AA19" s="15"/>
      <c r="AB19" s="7">
        <f t="shared" si="16"/>
        <v>12078000</v>
      </c>
      <c r="AC19" s="8">
        <f t="shared" si="16"/>
        <v>12.077999999999999</v>
      </c>
      <c r="AD19" s="8">
        <f>D19+Q19</f>
        <v>37.079459999999997</v>
      </c>
    </row>
    <row r="20" spans="1:30" x14ac:dyDescent="0.2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58187</v>
      </c>
      <c r="L20" s="8">
        <f t="shared" si="6"/>
        <v>5.8187000000000003E-2</v>
      </c>
      <c r="M20" s="10">
        <f t="shared" si="7"/>
        <v>0.17863409</v>
      </c>
      <c r="N20" s="21"/>
      <c r="O20" s="7">
        <f>'[2]Dec Prod'!H19</f>
        <v>12046000</v>
      </c>
      <c r="P20" s="8">
        <f t="shared" si="8"/>
        <v>12.045999999999999</v>
      </c>
      <c r="Q20" s="10">
        <f t="shared" si="9"/>
        <v>36.981219999999993</v>
      </c>
      <c r="R20" s="7">
        <f>'[2]Dec Prod'!C19</f>
        <v>12514000</v>
      </c>
      <c r="S20" s="8">
        <f t="shared" si="10"/>
        <v>12.513999999999999</v>
      </c>
      <c r="T20" s="10">
        <f t="shared" si="11"/>
        <v>38.417979999999993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468000</v>
      </c>
      <c r="Y20" s="8">
        <f t="shared" si="14"/>
        <v>0.46800000000000003</v>
      </c>
      <c r="Z20" s="10">
        <f t="shared" si="15"/>
        <v>1.43676</v>
      </c>
      <c r="AA20" s="15"/>
      <c r="AB20" s="7">
        <f t="shared" si="16"/>
        <v>12046000</v>
      </c>
      <c r="AC20" s="8">
        <f t="shared" si="16"/>
        <v>12.045999999999999</v>
      </c>
      <c r="AD20" s="8">
        <f t="shared" si="16"/>
        <v>36.981219999999993</v>
      </c>
    </row>
    <row r="21" spans="1:30" x14ac:dyDescent="0.2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2000000</v>
      </c>
      <c r="F21" s="8">
        <f t="shared" si="2"/>
        <v>2</v>
      </c>
      <c r="G21" s="10">
        <f t="shared" si="3"/>
        <v>6.14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60707</v>
      </c>
      <c r="L21" s="8">
        <f t="shared" si="6"/>
        <v>6.0706999999999997E-2</v>
      </c>
      <c r="M21" s="10">
        <f t="shared" si="7"/>
        <v>0.18637048999999997</v>
      </c>
      <c r="N21" s="21"/>
      <c r="O21" s="7">
        <f>'[2]Dec Prod'!H20</f>
        <v>12081000</v>
      </c>
      <c r="P21" s="8">
        <f t="shared" si="8"/>
        <v>12.081</v>
      </c>
      <c r="Q21" s="10">
        <f t="shared" si="9"/>
        <v>37.088669999999993</v>
      </c>
      <c r="R21" s="7">
        <f>'[2]Dec Prod'!C20</f>
        <v>12481000</v>
      </c>
      <c r="S21" s="8">
        <f t="shared" si="10"/>
        <v>12.481</v>
      </c>
      <c r="T21" s="10">
        <f t="shared" si="11"/>
        <v>38.316669999999995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400000.00000000035</v>
      </c>
      <c r="Y21" s="8">
        <f t="shared" si="14"/>
        <v>0.40000000000000036</v>
      </c>
      <c r="Z21" s="10">
        <f t="shared" si="15"/>
        <v>1.2280000000000011</v>
      </c>
      <c r="AA21" s="15"/>
      <c r="AB21" s="7">
        <f t="shared" si="16"/>
        <v>12081000</v>
      </c>
      <c r="AC21" s="8">
        <f t="shared" si="16"/>
        <v>12.081</v>
      </c>
      <c r="AD21" s="8">
        <f t="shared" si="16"/>
        <v>37.088669999999993</v>
      </c>
    </row>
    <row r="22" spans="1:30" x14ac:dyDescent="0.2">
      <c r="A22" s="1">
        <v>38339</v>
      </c>
      <c r="B22" s="7">
        <f>'[2]Dec Prod'!I21</f>
        <v>0</v>
      </c>
      <c r="C22" s="8">
        <f t="shared" si="0"/>
        <v>0</v>
      </c>
      <c r="D22" s="10">
        <f t="shared" si="1"/>
        <v>0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34328</v>
      </c>
      <c r="L22" s="8">
        <f t="shared" si="6"/>
        <v>3.4327999999999997E-2</v>
      </c>
      <c r="M22" s="10">
        <f t="shared" si="7"/>
        <v>0.10538695999999999</v>
      </c>
      <c r="N22" s="21"/>
      <c r="O22" s="7">
        <f>'[2]Dec Prod'!H21</f>
        <v>11386000</v>
      </c>
      <c r="P22" s="8">
        <f t="shared" si="8"/>
        <v>11.385999999999999</v>
      </c>
      <c r="Q22" s="10">
        <f t="shared" si="9"/>
        <v>34.955019999999998</v>
      </c>
      <c r="R22" s="7">
        <f>'[2]Dec Prod'!C21</f>
        <v>11855000</v>
      </c>
      <c r="S22" s="8">
        <f t="shared" si="10"/>
        <v>11.855</v>
      </c>
      <c r="T22" s="10">
        <f t="shared" si="11"/>
        <v>36.394849999999998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468999.99999999942</v>
      </c>
      <c r="Y22" s="8">
        <f t="shared" si="14"/>
        <v>0.46899999999999942</v>
      </c>
      <c r="Z22" s="10">
        <f t="shared" si="15"/>
        <v>1.4398299999999982</v>
      </c>
      <c r="AA22" s="15"/>
      <c r="AB22" s="7">
        <f t="shared" si="16"/>
        <v>11386000</v>
      </c>
      <c r="AC22" s="8">
        <f t="shared" si="16"/>
        <v>11.385999999999999</v>
      </c>
      <c r="AD22" s="8">
        <f t="shared" si="16"/>
        <v>34.955019999999998</v>
      </c>
    </row>
    <row r="23" spans="1:30" x14ac:dyDescent="0.2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44426</v>
      </c>
      <c r="L23" s="8">
        <f t="shared" si="6"/>
        <v>4.4426E-2</v>
      </c>
      <c r="M23" s="10">
        <f t="shared" si="7"/>
        <v>0.13638781999999999</v>
      </c>
      <c r="N23" s="21"/>
      <c r="O23" s="7">
        <f>'[2]Dec Prod'!H22</f>
        <v>10084000</v>
      </c>
      <c r="P23" s="8">
        <f t="shared" si="8"/>
        <v>10.084</v>
      </c>
      <c r="Q23" s="10">
        <f t="shared" si="9"/>
        <v>30.957879999999996</v>
      </c>
      <c r="R23" s="7">
        <f>'[2]Dec Prod'!C22</f>
        <v>10661000</v>
      </c>
      <c r="S23" s="8">
        <f t="shared" si="10"/>
        <v>10.661</v>
      </c>
      <c r="T23" s="10">
        <f t="shared" si="11"/>
        <v>32.72927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577000</v>
      </c>
      <c r="Y23" s="8">
        <f t="shared" si="14"/>
        <v>0.57699999999999996</v>
      </c>
      <c r="Z23" s="10">
        <f t="shared" si="15"/>
        <v>1.7713899999999998</v>
      </c>
      <c r="AA23" s="15"/>
      <c r="AB23" s="7">
        <f t="shared" si="16"/>
        <v>10084000</v>
      </c>
      <c r="AC23" s="8">
        <f t="shared" si="16"/>
        <v>10.084</v>
      </c>
      <c r="AD23" s="8">
        <f t="shared" si="16"/>
        <v>30.957879999999996</v>
      </c>
    </row>
    <row r="24" spans="1:30" x14ac:dyDescent="0.2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0</v>
      </c>
      <c r="L24" s="8">
        <f t="shared" si="6"/>
        <v>0</v>
      </c>
      <c r="M24" s="10">
        <f t="shared" si="7"/>
        <v>0</v>
      </c>
      <c r="N24" s="21"/>
      <c r="O24" s="7">
        <f>'[2]Dec Prod'!H23</f>
        <v>10259000</v>
      </c>
      <c r="P24" s="8">
        <f t="shared" si="8"/>
        <v>10.259</v>
      </c>
      <c r="Q24" s="10">
        <f t="shared" si="9"/>
        <v>31.49513</v>
      </c>
      <c r="R24" s="7">
        <f>'[2]Dec Prod'!C23</f>
        <v>10671000</v>
      </c>
      <c r="S24" s="8">
        <f t="shared" si="10"/>
        <v>10.670999999999999</v>
      </c>
      <c r="T24" s="10">
        <f t="shared" si="11"/>
        <v>32.759969999999996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412000.00000000081</v>
      </c>
      <c r="Y24" s="8">
        <f t="shared" si="14"/>
        <v>0.41200000000000081</v>
      </c>
      <c r="Z24" s="10">
        <f t="shared" si="15"/>
        <v>1.2648400000000024</v>
      </c>
      <c r="AA24" s="15"/>
      <c r="AB24" s="7">
        <f t="shared" si="16"/>
        <v>10259000</v>
      </c>
      <c r="AC24" s="8">
        <f t="shared" si="16"/>
        <v>10.259</v>
      </c>
      <c r="AD24" s="8">
        <f>D24+Q24</f>
        <v>31.49513</v>
      </c>
    </row>
    <row r="25" spans="1:30" x14ac:dyDescent="0.2">
      <c r="A25" s="1">
        <v>38342</v>
      </c>
      <c r="B25" s="7">
        <f>'[2]Dec Prod'!I24</f>
        <v>0</v>
      </c>
      <c r="C25" s="8">
        <f t="shared" si="0"/>
        <v>0</v>
      </c>
      <c r="D25" s="10">
        <f t="shared" si="1"/>
        <v>0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1603</v>
      </c>
      <c r="L25" s="8">
        <f t="shared" si="6"/>
        <v>1.603E-3</v>
      </c>
      <c r="M25" s="10">
        <f t="shared" si="7"/>
        <v>4.9212099999999996E-3</v>
      </c>
      <c r="N25" s="21"/>
      <c r="O25" s="7">
        <f>'[2]Dec Prod'!H24</f>
        <v>11459000</v>
      </c>
      <c r="P25" s="8">
        <f t="shared" si="8"/>
        <v>11.459</v>
      </c>
      <c r="Q25" s="10">
        <f t="shared" si="9"/>
        <v>35.179129999999994</v>
      </c>
      <c r="R25" s="7">
        <f>'[2]Dec Prod'!C24</f>
        <v>11912000</v>
      </c>
      <c r="S25" s="8">
        <f t="shared" si="10"/>
        <v>11.912000000000001</v>
      </c>
      <c r="T25" s="10">
        <f t="shared" si="11"/>
        <v>36.569839999999999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452999.99999999942</v>
      </c>
      <c r="Y25" s="8">
        <f t="shared" si="14"/>
        <v>0.4529999999999994</v>
      </c>
      <c r="Z25" s="10">
        <f t="shared" si="15"/>
        <v>1.3907099999999981</v>
      </c>
      <c r="AA25" s="15"/>
      <c r="AB25" s="7">
        <f t="shared" si="16"/>
        <v>11459000</v>
      </c>
      <c r="AC25" s="8">
        <f t="shared" si="16"/>
        <v>11.459</v>
      </c>
      <c r="AD25" s="8">
        <f t="shared" si="16"/>
        <v>35.179129999999994</v>
      </c>
    </row>
    <row r="26" spans="1:30" x14ac:dyDescent="0.2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0</v>
      </c>
      <c r="L26" s="8">
        <f t="shared" si="6"/>
        <v>0</v>
      </c>
      <c r="M26" s="10">
        <f t="shared" si="7"/>
        <v>0</v>
      </c>
      <c r="N26" s="21"/>
      <c r="O26" s="7">
        <f>'[2]Dec Prod'!H25</f>
        <v>11736000</v>
      </c>
      <c r="P26" s="8">
        <f t="shared" si="8"/>
        <v>11.736000000000001</v>
      </c>
      <c r="Q26" s="10">
        <f t="shared" si="9"/>
        <v>36.029519999999998</v>
      </c>
      <c r="R26" s="7">
        <f>'[2]Dec Prod'!C25</f>
        <v>12263000</v>
      </c>
      <c r="S26" s="8">
        <f t="shared" si="10"/>
        <v>12.263</v>
      </c>
      <c r="T26" s="10">
        <f t="shared" si="11"/>
        <v>37.647410000000001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526999.9999999993</v>
      </c>
      <c r="Y26" s="8">
        <f t="shared" si="14"/>
        <v>0.52699999999999925</v>
      </c>
      <c r="Z26" s="10">
        <f t="shared" si="15"/>
        <v>1.6178899999999976</v>
      </c>
      <c r="AA26" s="15"/>
      <c r="AB26" s="7">
        <f t="shared" si="16"/>
        <v>11736000</v>
      </c>
      <c r="AC26" s="8">
        <f t="shared" si="16"/>
        <v>11.736000000000001</v>
      </c>
      <c r="AD26" s="8">
        <f t="shared" si="16"/>
        <v>36.029519999999998</v>
      </c>
    </row>
    <row r="27" spans="1:30" x14ac:dyDescent="0.2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51483</v>
      </c>
      <c r="L27" s="8">
        <f t="shared" si="6"/>
        <v>5.1483000000000001E-2</v>
      </c>
      <c r="M27" s="10">
        <f t="shared" si="7"/>
        <v>0.15805280999999999</v>
      </c>
      <c r="N27" s="21"/>
      <c r="O27" s="7">
        <f>'[2]Dec Prod'!H26</f>
        <v>11727000</v>
      </c>
      <c r="P27" s="8">
        <f t="shared" si="8"/>
        <v>11.727</v>
      </c>
      <c r="Q27" s="10">
        <f t="shared" si="9"/>
        <v>36.001889999999996</v>
      </c>
      <c r="R27" s="7">
        <f>'[2]Dec Prod'!C26</f>
        <v>12315000</v>
      </c>
      <c r="S27" s="8">
        <f t="shared" si="10"/>
        <v>12.315</v>
      </c>
      <c r="T27" s="10">
        <f t="shared" si="11"/>
        <v>37.807049999999997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588000.00000000093</v>
      </c>
      <c r="Y27" s="8">
        <f t="shared" si="14"/>
        <v>0.58800000000000097</v>
      </c>
      <c r="Z27" s="10">
        <f t="shared" si="15"/>
        <v>1.8051600000000028</v>
      </c>
      <c r="AA27" s="15"/>
      <c r="AB27" s="7">
        <f t="shared" si="16"/>
        <v>11727000</v>
      </c>
      <c r="AC27" s="8">
        <f t="shared" si="16"/>
        <v>11.727</v>
      </c>
      <c r="AD27" s="8">
        <f t="shared" si="16"/>
        <v>36.001889999999996</v>
      </c>
    </row>
    <row r="28" spans="1:30" x14ac:dyDescent="0.2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36640</v>
      </c>
      <c r="L28" s="8">
        <f t="shared" si="6"/>
        <v>3.6639999999999999E-2</v>
      </c>
      <c r="M28" s="10">
        <f t="shared" si="7"/>
        <v>0.1124848</v>
      </c>
      <c r="N28" s="21"/>
      <c r="O28" s="7">
        <f>'[2]Dec Prod'!H27</f>
        <v>11739999.999999998</v>
      </c>
      <c r="P28" s="8">
        <f t="shared" si="8"/>
        <v>11.739999999999998</v>
      </c>
      <c r="Q28" s="10">
        <f t="shared" si="9"/>
        <v>36.041799999999995</v>
      </c>
      <c r="R28" s="7">
        <f>'[2]Dec Prod'!C27</f>
        <v>12292000</v>
      </c>
      <c r="S28" s="8">
        <f t="shared" si="10"/>
        <v>12.292</v>
      </c>
      <c r="T28" s="10">
        <f t="shared" si="11"/>
        <v>37.736439999999995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552000.0000000014</v>
      </c>
      <c r="Y28" s="8">
        <f t="shared" si="14"/>
        <v>0.55200000000000138</v>
      </c>
      <c r="Z28" s="10">
        <f t="shared" si="15"/>
        <v>1.6946400000000041</v>
      </c>
      <c r="AA28" s="15"/>
      <c r="AB28" s="7">
        <f t="shared" si="16"/>
        <v>11739999.999999998</v>
      </c>
      <c r="AC28" s="8">
        <f t="shared" si="16"/>
        <v>11.739999999999998</v>
      </c>
      <c r="AD28" s="8">
        <f t="shared" si="16"/>
        <v>36.041799999999995</v>
      </c>
    </row>
    <row r="29" spans="1:30" x14ac:dyDescent="0.2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1"/>
      <c r="O29" s="7">
        <f>'[2]Dec Prod'!H28</f>
        <v>12168000.000000004</v>
      </c>
      <c r="P29" s="8">
        <f t="shared" si="8"/>
        <v>12.168000000000005</v>
      </c>
      <c r="Q29" s="10">
        <f t="shared" si="9"/>
        <v>37.355760000000011</v>
      </c>
      <c r="R29" s="7">
        <f>'[2]Dec Prod'!C28</f>
        <v>12715000</v>
      </c>
      <c r="S29" s="8">
        <f t="shared" si="10"/>
        <v>12.715</v>
      </c>
      <c r="T29" s="10">
        <f t="shared" si="11"/>
        <v>39.035049999999998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546999.99999999709</v>
      </c>
      <c r="Y29" s="8">
        <f t="shared" si="14"/>
        <v>0.54699999999999704</v>
      </c>
      <c r="Z29" s="10">
        <f t="shared" si="15"/>
        <v>1.6792899999999908</v>
      </c>
      <c r="AA29" s="15"/>
      <c r="AB29" s="7">
        <f t="shared" si="16"/>
        <v>12168000.000000004</v>
      </c>
      <c r="AC29" s="8">
        <f t="shared" si="16"/>
        <v>12.168000000000005</v>
      </c>
      <c r="AD29" s="8">
        <f t="shared" si="16"/>
        <v>37.355760000000011</v>
      </c>
    </row>
    <row r="30" spans="1:30" x14ac:dyDescent="0.2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>H30/100000000</f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1"/>
      <c r="O30" s="7">
        <f>'[2]Dec Prod'!H29</f>
        <v>11979999.999999998</v>
      </c>
      <c r="P30" s="8">
        <f t="shared" si="8"/>
        <v>11.979999999999999</v>
      </c>
      <c r="Q30" s="10">
        <f t="shared" si="9"/>
        <v>36.778599999999997</v>
      </c>
      <c r="R30" s="7">
        <f>'[2]Dec Prod'!C29</f>
        <v>12464000</v>
      </c>
      <c r="S30" s="8">
        <f t="shared" si="10"/>
        <v>12.464</v>
      </c>
      <c r="T30" s="10">
        <f t="shared" si="11"/>
        <v>38.264479999999999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484000.00000000175</v>
      </c>
      <c r="Y30" s="8">
        <f t="shared" si="14"/>
        <v>0.48400000000000176</v>
      </c>
      <c r="Z30" s="10">
        <f t="shared" si="15"/>
        <v>1.4858800000000054</v>
      </c>
      <c r="AA30" s="15"/>
      <c r="AB30" s="7">
        <f t="shared" si="16"/>
        <v>11979999.999999998</v>
      </c>
      <c r="AC30" s="8">
        <f t="shared" si="16"/>
        <v>11.979999999999999</v>
      </c>
      <c r="AD30" s="8">
        <f>D30+Q30</f>
        <v>36.778599999999997</v>
      </c>
    </row>
    <row r="31" spans="1:30" x14ac:dyDescent="0.2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7000000</v>
      </c>
      <c r="F31" s="8">
        <f t="shared" si="2"/>
        <v>7</v>
      </c>
      <c r="G31" s="10">
        <f t="shared" si="3"/>
        <v>21.49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0</v>
      </c>
      <c r="L31" s="8">
        <f t="shared" si="6"/>
        <v>0</v>
      </c>
      <c r="M31" s="10">
        <f t="shared" si="7"/>
        <v>0</v>
      </c>
      <c r="N31" s="21"/>
      <c r="O31" s="7">
        <f>'[2]Dec Prod'!H30</f>
        <v>10824000</v>
      </c>
      <c r="P31" s="8">
        <f t="shared" si="8"/>
        <v>10.824</v>
      </c>
      <c r="Q31" s="10">
        <f t="shared" si="9"/>
        <v>33.229679999999995</v>
      </c>
      <c r="R31" s="7">
        <f>'[2]Dec Prod'!C30</f>
        <v>11373000</v>
      </c>
      <c r="S31" s="8">
        <f t="shared" si="10"/>
        <v>11.372999999999999</v>
      </c>
      <c r="T31" s="10">
        <f t="shared" si="11"/>
        <v>34.915109999999999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548999.99999999953</v>
      </c>
      <c r="Y31" s="8">
        <f t="shared" si="14"/>
        <v>0.54899999999999949</v>
      </c>
      <c r="Z31" s="10">
        <f t="shared" si="15"/>
        <v>1.6854299999999984</v>
      </c>
      <c r="AA31" s="15"/>
      <c r="AB31" s="7">
        <f t="shared" si="16"/>
        <v>10824000</v>
      </c>
      <c r="AC31" s="8">
        <f t="shared" si="16"/>
        <v>10.824</v>
      </c>
      <c r="AD31" s="8">
        <f t="shared" si="16"/>
        <v>33.229679999999995</v>
      </c>
    </row>
    <row r="32" spans="1:30" x14ac:dyDescent="0.2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10000000</v>
      </c>
      <c r="F32" s="8">
        <f t="shared" si="2"/>
        <v>10</v>
      </c>
      <c r="G32" s="10">
        <f t="shared" si="3"/>
        <v>30.7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1"/>
      <c r="O32" s="7">
        <f>'[2]Dec Prod'!H31</f>
        <v>10081000.000000002</v>
      </c>
      <c r="P32" s="8">
        <f t="shared" si="8"/>
        <v>10.081000000000001</v>
      </c>
      <c r="Q32" s="10">
        <f t="shared" si="9"/>
        <v>30.948670000000003</v>
      </c>
      <c r="R32" s="7">
        <f>'[2]Dec Prod'!C31</f>
        <v>10705000</v>
      </c>
      <c r="S32" s="8">
        <f t="shared" si="10"/>
        <v>10.705</v>
      </c>
      <c r="T32" s="10">
        <f t="shared" si="11"/>
        <v>32.864350000000002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623999.99999999884</v>
      </c>
      <c r="Y32" s="8">
        <f t="shared" si="14"/>
        <v>0.62399999999999889</v>
      </c>
      <c r="Z32" s="10">
        <f t="shared" si="15"/>
        <v>1.9156799999999965</v>
      </c>
      <c r="AA32" s="15"/>
      <c r="AB32" s="7">
        <f t="shared" si="16"/>
        <v>10081000.000000002</v>
      </c>
      <c r="AC32" s="8">
        <f t="shared" si="16"/>
        <v>10.081000000000001</v>
      </c>
      <c r="AD32" s="8">
        <f t="shared" si="16"/>
        <v>30.948670000000003</v>
      </c>
    </row>
    <row r="33" spans="1:30" x14ac:dyDescent="0.2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10000000</v>
      </c>
      <c r="F33" s="8">
        <f t="shared" si="2"/>
        <v>10</v>
      </c>
      <c r="G33" s="10">
        <f t="shared" si="3"/>
        <v>30.7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1"/>
      <c r="O33" s="7">
        <f>'[2]Dec Prod'!H32</f>
        <v>10512999.999999998</v>
      </c>
      <c r="P33" s="8">
        <f t="shared" si="8"/>
        <v>10.512999999999998</v>
      </c>
      <c r="Q33" s="10">
        <f t="shared" si="9"/>
        <v>32.274909999999991</v>
      </c>
      <c r="R33" s="7">
        <f>'[2]Dec Prod'!C32</f>
        <v>10918000</v>
      </c>
      <c r="S33" s="8">
        <f t="shared" si="10"/>
        <v>10.917999999999999</v>
      </c>
      <c r="T33" s="10">
        <f t="shared" si="11"/>
        <v>33.518259999999998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405000.00000000116</v>
      </c>
      <c r="Y33" s="8">
        <f t="shared" si="14"/>
        <v>0.40500000000000114</v>
      </c>
      <c r="Z33" s="10">
        <f t="shared" si="15"/>
        <v>1.2433500000000035</v>
      </c>
      <c r="AA33" s="15"/>
      <c r="AB33" s="7">
        <f t="shared" si="16"/>
        <v>10512999.999999998</v>
      </c>
      <c r="AC33" s="8">
        <f t="shared" si="16"/>
        <v>10.512999999999998</v>
      </c>
      <c r="AD33" s="8">
        <f t="shared" si="16"/>
        <v>32.274909999999991</v>
      </c>
    </row>
    <row r="34" spans="1:30" x14ac:dyDescent="0.2">
      <c r="A34" s="1">
        <v>38351</v>
      </c>
      <c r="B34" s="7">
        <f>'[2]Dec Prod'!I33</f>
        <v>0</v>
      </c>
      <c r="C34" s="8">
        <f t="shared" si="0"/>
        <v>0</v>
      </c>
      <c r="D34" s="10">
        <f t="shared" si="1"/>
        <v>0</v>
      </c>
      <c r="E34" s="7">
        <f>'[2]Dec Prod'!E33</f>
        <v>10000000</v>
      </c>
      <c r="F34" s="8">
        <f t="shared" si="2"/>
        <v>10</v>
      </c>
      <c r="G34" s="10">
        <f t="shared" si="3"/>
        <v>30.7</v>
      </c>
      <c r="H34" s="7">
        <f>'[2]Dec Prod'!F33</f>
        <v>0</v>
      </c>
      <c r="I34" s="8">
        <f>H34/100000000</f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1"/>
      <c r="O34" s="7">
        <f>'[2]Dec Prod'!H33</f>
        <v>11810000</v>
      </c>
      <c r="P34" s="8">
        <f t="shared" si="8"/>
        <v>11.81</v>
      </c>
      <c r="Q34" s="10">
        <f t="shared" si="9"/>
        <v>36.256700000000002</v>
      </c>
      <c r="R34" s="7">
        <f>'[2]Dec Prod'!C33</f>
        <v>12292000</v>
      </c>
      <c r="S34" s="8">
        <f t="shared" si="10"/>
        <v>12.292</v>
      </c>
      <c r="T34" s="10">
        <f t="shared" si="11"/>
        <v>37.736439999999995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481999.9999999993</v>
      </c>
      <c r="Y34" s="8">
        <f t="shared" si="14"/>
        <v>0.48199999999999932</v>
      </c>
      <c r="Z34" s="10">
        <f t="shared" si="15"/>
        <v>1.4797399999999978</v>
      </c>
      <c r="AA34" s="15"/>
      <c r="AB34" s="7">
        <f t="shared" si="16"/>
        <v>11810000</v>
      </c>
      <c r="AC34" s="8">
        <f t="shared" si="16"/>
        <v>11.81</v>
      </c>
      <c r="AD34" s="8">
        <f t="shared" si="16"/>
        <v>36.256700000000002</v>
      </c>
    </row>
    <row r="35" spans="1:30" ht="13.5" thickBot="1" x14ac:dyDescent="0.25">
      <c r="A35" s="1">
        <v>38352</v>
      </c>
      <c r="B35" s="29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11000000</v>
      </c>
      <c r="F35" s="9">
        <f t="shared" si="2"/>
        <v>11</v>
      </c>
      <c r="G35" s="11">
        <f t="shared" si="3"/>
        <v>33.769999999999996</v>
      </c>
      <c r="H35" s="7">
        <f>'[2]Dec Prod'!F34</f>
        <v>0</v>
      </c>
      <c r="I35" s="9">
        <f>H35/100000000</f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1"/>
      <c r="O35" s="7">
        <f>'[2]Dec Prod'!H34</f>
        <v>11657000</v>
      </c>
      <c r="P35" s="9">
        <f t="shared" si="8"/>
        <v>11.657</v>
      </c>
      <c r="Q35" s="11">
        <f t="shared" si="9"/>
        <v>35.786989999999996</v>
      </c>
      <c r="R35" s="7">
        <f>'[2]Dec Prod'!C34</f>
        <v>12131000</v>
      </c>
      <c r="S35" s="9">
        <f t="shared" si="10"/>
        <v>12.131</v>
      </c>
      <c r="T35" s="11">
        <f t="shared" si="11"/>
        <v>37.242170000000002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474000.00000000017</v>
      </c>
      <c r="Y35" s="9">
        <f t="shared" si="14"/>
        <v>0.4740000000000002</v>
      </c>
      <c r="Z35" s="11">
        <f t="shared" si="15"/>
        <v>1.4551800000000006</v>
      </c>
      <c r="AA35" s="15"/>
      <c r="AB35" s="7">
        <f t="shared" si="16"/>
        <v>11657000</v>
      </c>
      <c r="AC35" s="8">
        <f t="shared" si="16"/>
        <v>11.657</v>
      </c>
      <c r="AD35" s="8">
        <f t="shared" si="16"/>
        <v>35.786989999999996</v>
      </c>
    </row>
    <row r="36" spans="1:30" ht="13.5" thickBot="1" x14ac:dyDescent="0.25">
      <c r="A36" s="20"/>
      <c r="B36" s="38"/>
      <c r="C36" s="39">
        <f>SUM(C5:C35)</f>
        <v>0</v>
      </c>
      <c r="D36" s="39">
        <f>SUM(D5:D35)</f>
        <v>0</v>
      </c>
      <c r="E36" s="38"/>
      <c r="F36" s="39">
        <f>SUM(F5:F35)</f>
        <v>50</v>
      </c>
      <c r="G36" s="39">
        <f>SUM(G5:G35)</f>
        <v>153.5</v>
      </c>
      <c r="H36" s="38"/>
      <c r="I36" s="39">
        <f>SUM(I5:I35)</f>
        <v>0</v>
      </c>
      <c r="J36" s="39">
        <f>SUM(J5:J35)</f>
        <v>0</v>
      </c>
      <c r="K36" s="38"/>
      <c r="L36" s="39">
        <f>SUM(L5:L35)</f>
        <v>0.46804500000000004</v>
      </c>
      <c r="M36" s="39">
        <f>SUM(M5:M35)</f>
        <v>1.43689815</v>
      </c>
      <c r="N36" s="14"/>
      <c r="O36" s="38"/>
      <c r="P36" s="39">
        <f>SUM(P5:P35)</f>
        <v>350.78899999999999</v>
      </c>
      <c r="Q36" s="39">
        <f>SUM(Q5:Q35)</f>
        <v>1076.9222300000001</v>
      </c>
      <c r="R36" s="38"/>
      <c r="S36" s="39">
        <f>SUM(S5:S35)</f>
        <v>366.47699999999986</v>
      </c>
      <c r="T36" s="39">
        <f>SUM(T5:T35)</f>
        <v>1125.08439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15.688000000000001</v>
      </c>
      <c r="Z36" s="39">
        <f>SUM(Z5:Z35)</f>
        <v>48.162159999999993</v>
      </c>
      <c r="AA36" s="14"/>
      <c r="AB36" s="38"/>
      <c r="AC36" s="39">
        <f>SUM(AC5:AC35)</f>
        <v>350.78899999999999</v>
      </c>
      <c r="AD36" s="39">
        <f>SUM(AD5:AD35)</f>
        <v>1076.9222300000001</v>
      </c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S35" sqref="S35"/>
    </sheetView>
  </sheetViews>
  <sheetFormatPr defaultRowHeight="12.75" x14ac:dyDescent="0.2"/>
  <cols>
    <col min="2" max="2" width="10.85546875" customWidth="1"/>
    <col min="3" max="3" width="7.7109375" style="18" customWidth="1"/>
    <col min="5" max="5" width="13.42578125" style="3" bestFit="1" customWidth="1"/>
    <col min="6" max="6" width="8.28515625" style="3" customWidth="1"/>
    <col min="7" max="7" width="9.140625" style="3"/>
    <col min="8" max="8" width="11.7109375" style="3" customWidth="1"/>
    <col min="9" max="10" width="9.140625" style="3"/>
    <col min="11" max="11" width="11.85546875" style="14" customWidth="1"/>
    <col min="12" max="12" width="11" style="3" customWidth="1"/>
    <col min="13" max="13" width="11.140625" style="3" bestFit="1" customWidth="1"/>
    <col min="14" max="14" width="9.140625" style="3"/>
    <col min="15" max="15" width="13.42578125" style="3" bestFit="1" customWidth="1"/>
    <col min="16" max="17" width="9.140625" style="3"/>
    <col min="18" max="18" width="11.7109375" style="3" bestFit="1" customWidth="1"/>
    <col min="19" max="21" width="9.140625" style="3"/>
    <col min="22" max="22" width="11.7109375" bestFit="1" customWidth="1"/>
    <col min="28" max="28" width="12.7109375" customWidth="1"/>
  </cols>
  <sheetData>
    <row r="1" spans="1:30" ht="13.5" customHeight="1" x14ac:dyDescent="0.2">
      <c r="A1" s="46"/>
      <c r="B1" s="40"/>
      <c r="C1" s="25"/>
      <c r="D1" s="25"/>
      <c r="E1" s="25"/>
      <c r="F1" s="25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">
      <c r="A5" s="27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10000000</v>
      </c>
      <c r="F5" s="8">
        <f>E5/1000000</f>
        <v>10</v>
      </c>
      <c r="G5" s="10">
        <f>F5*3.07</f>
        <v>30.7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1"/>
      <c r="O5" s="7">
        <f>'[3]Jan Prod'!H4</f>
        <v>11140000</v>
      </c>
      <c r="P5" s="8">
        <f>O5/1000000</f>
        <v>11.14</v>
      </c>
      <c r="Q5" s="10">
        <f>P5*3.07</f>
        <v>34.199800000000003</v>
      </c>
      <c r="R5" s="7">
        <f>'[3]Jan Prod'!C4</f>
        <v>11840000</v>
      </c>
      <c r="S5" s="8">
        <f>R5/1000000</f>
        <v>11.84</v>
      </c>
      <c r="T5" s="10">
        <f>S5*3.07</f>
        <v>36.348799999999997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699999.9999999993</v>
      </c>
      <c r="Y5" s="8">
        <f>X5/1000000</f>
        <v>0.69999999999999929</v>
      </c>
      <c r="Z5" s="10">
        <f>Y5*3.07</f>
        <v>2.1489999999999978</v>
      </c>
      <c r="AA5" s="15"/>
      <c r="AB5" s="7">
        <f>B5+O5</f>
        <v>11140000</v>
      </c>
      <c r="AC5" s="8">
        <f>C5+P5</f>
        <v>11.14</v>
      </c>
      <c r="AD5" s="8">
        <f>D5+Q5</f>
        <v>34.199800000000003</v>
      </c>
    </row>
    <row r="6" spans="1:30" x14ac:dyDescent="0.2">
      <c r="A6" s="27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5000000</v>
      </c>
      <c r="F6" s="8">
        <f t="shared" ref="F6:F35" si="2">E6/1000000</f>
        <v>5</v>
      </c>
      <c r="G6" s="10">
        <f t="shared" ref="G6:G35" si="3">F6*3.07</f>
        <v>15.35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'[3]Jan Prod'!H5</f>
        <v>10351999.999999996</v>
      </c>
      <c r="P6" s="8">
        <f t="shared" ref="P6:P35" si="8">O6/1000000</f>
        <v>10.351999999999997</v>
      </c>
      <c r="Q6" s="10">
        <f t="shared" ref="Q6:Q35" si="9">P6*3.07</f>
        <v>31.780639999999988</v>
      </c>
      <c r="R6" s="7">
        <f>'[3]Jan Prod'!C5</f>
        <v>10834000</v>
      </c>
      <c r="S6" s="8">
        <f t="shared" ref="S6:S35" si="10">R6/1000000</f>
        <v>10.834</v>
      </c>
      <c r="T6" s="10">
        <f t="shared" ref="T6:T35" si="11">S6*3.07</f>
        <v>33.260379999999998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482000.00000000285</v>
      </c>
      <c r="Y6" s="8">
        <f t="shared" ref="Y6:Y35" si="14">X6/1000000</f>
        <v>0.48200000000000287</v>
      </c>
      <c r="Z6" s="10">
        <f t="shared" ref="Z6:Z35" si="15">Y6*3.07</f>
        <v>1.4797400000000087</v>
      </c>
      <c r="AA6" s="15"/>
      <c r="AB6" s="7">
        <f t="shared" ref="AB6:AD35" si="16">B6+O6</f>
        <v>10351999.999999996</v>
      </c>
      <c r="AC6" s="8">
        <f t="shared" si="16"/>
        <v>10.351999999999997</v>
      </c>
      <c r="AD6" s="8">
        <f t="shared" si="16"/>
        <v>31.780639999999988</v>
      </c>
    </row>
    <row r="7" spans="1:30" x14ac:dyDescent="0.2">
      <c r="A7" s="27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0</v>
      </c>
      <c r="L7" s="8">
        <f t="shared" si="6"/>
        <v>0</v>
      </c>
      <c r="M7" s="10">
        <f t="shared" si="7"/>
        <v>0</v>
      </c>
      <c r="N7" s="21"/>
      <c r="O7" s="7">
        <f>'[3]Jan Prod'!H6</f>
        <v>11584000</v>
      </c>
      <c r="P7" s="8">
        <f t="shared" si="8"/>
        <v>11.584</v>
      </c>
      <c r="Q7" s="10">
        <f t="shared" si="9"/>
        <v>35.56288</v>
      </c>
      <c r="R7" s="7">
        <f>'[3]Jan Prod'!C6</f>
        <v>12130000</v>
      </c>
      <c r="S7" s="8">
        <f t="shared" si="10"/>
        <v>12.13</v>
      </c>
      <c r="T7" s="10">
        <f t="shared" si="11"/>
        <v>37.239100000000001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545999.99999999942</v>
      </c>
      <c r="Y7" s="8">
        <f t="shared" si="14"/>
        <v>0.54599999999999937</v>
      </c>
      <c r="Z7" s="10">
        <f t="shared" si="15"/>
        <v>1.676219999999998</v>
      </c>
      <c r="AA7" s="15"/>
      <c r="AB7" s="7">
        <f t="shared" si="16"/>
        <v>11584000</v>
      </c>
      <c r="AC7" s="8">
        <f t="shared" si="16"/>
        <v>11.584</v>
      </c>
      <c r="AD7" s="8">
        <f t="shared" si="16"/>
        <v>35.56288</v>
      </c>
    </row>
    <row r="8" spans="1:30" x14ac:dyDescent="0.2">
      <c r="A8" s="27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1"/>
      <c r="O8" s="7">
        <f>'[3]Jan Prod'!H7</f>
        <v>11497000</v>
      </c>
      <c r="P8" s="8">
        <f t="shared" si="8"/>
        <v>11.497</v>
      </c>
      <c r="Q8" s="10">
        <f t="shared" si="9"/>
        <v>35.295789999999997</v>
      </c>
      <c r="R8" s="7">
        <f>'[3]Jan Prod'!C7</f>
        <v>12044000</v>
      </c>
      <c r="S8" s="8">
        <f t="shared" si="10"/>
        <v>12.044</v>
      </c>
      <c r="T8" s="10">
        <f t="shared" si="11"/>
        <v>36.975079999999998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547000.00000000058</v>
      </c>
      <c r="Y8" s="8">
        <f t="shared" si="14"/>
        <v>0.5470000000000006</v>
      </c>
      <c r="Z8" s="10">
        <f t="shared" si="15"/>
        <v>1.6792900000000017</v>
      </c>
      <c r="AA8" s="15"/>
      <c r="AB8" s="7">
        <f t="shared" si="16"/>
        <v>11497000</v>
      </c>
      <c r="AC8" s="8">
        <f t="shared" si="16"/>
        <v>11.497</v>
      </c>
      <c r="AD8" s="8">
        <f>D8+Q8</f>
        <v>35.295789999999997</v>
      </c>
    </row>
    <row r="9" spans="1:30" x14ac:dyDescent="0.2">
      <c r="A9" s="27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0</v>
      </c>
      <c r="I9" s="8">
        <f t="shared" si="4"/>
        <v>0</v>
      </c>
      <c r="J9" s="10">
        <f t="shared" si="5"/>
        <v>0</v>
      </c>
      <c r="K9" s="7">
        <f>'[3]Jan Prod'!H263</f>
        <v>0</v>
      </c>
      <c r="L9" s="8">
        <f t="shared" si="6"/>
        <v>0</v>
      </c>
      <c r="M9" s="10">
        <f t="shared" si="7"/>
        <v>0</v>
      </c>
      <c r="N9" s="21"/>
      <c r="O9" s="7">
        <f>'[3]Jan Prod'!H8</f>
        <v>11575000.000000004</v>
      </c>
      <c r="P9" s="8">
        <f t="shared" si="8"/>
        <v>11.575000000000003</v>
      </c>
      <c r="Q9" s="10">
        <f t="shared" si="9"/>
        <v>35.535250000000005</v>
      </c>
      <c r="R9" s="7">
        <f>'[3]Jan Prod'!C8</f>
        <v>12058000</v>
      </c>
      <c r="S9" s="8">
        <f t="shared" si="10"/>
        <v>12.058</v>
      </c>
      <c r="T9" s="10">
        <f t="shared" si="11"/>
        <v>37.018059999999998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482999.99999999697</v>
      </c>
      <c r="Y9" s="8">
        <f t="shared" si="14"/>
        <v>0.48299999999999699</v>
      </c>
      <c r="Z9" s="10">
        <f t="shared" si="15"/>
        <v>1.4828099999999906</v>
      </c>
      <c r="AA9" s="15"/>
      <c r="AB9" s="7">
        <f t="shared" si="16"/>
        <v>11575000.000000004</v>
      </c>
      <c r="AC9" s="8">
        <f t="shared" si="16"/>
        <v>11.575000000000003</v>
      </c>
      <c r="AD9" s="8">
        <f t="shared" si="16"/>
        <v>35.535250000000005</v>
      </c>
    </row>
    <row r="10" spans="1:30" x14ac:dyDescent="0.2">
      <c r="A10" s="27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1"/>
      <c r="O10" s="7">
        <f>'[3]Jan Prod'!H9</f>
        <v>11063999.999999996</v>
      </c>
      <c r="P10" s="8">
        <f t="shared" si="8"/>
        <v>11.063999999999997</v>
      </c>
      <c r="Q10" s="10">
        <f t="shared" si="9"/>
        <v>33.96647999999999</v>
      </c>
      <c r="R10" s="7">
        <f>'[3]Jan Prod'!C9</f>
        <v>11683000</v>
      </c>
      <c r="S10" s="8">
        <f t="shared" si="10"/>
        <v>11.683</v>
      </c>
      <c r="T10" s="10">
        <f t="shared" si="11"/>
        <v>35.866810000000001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619000.00000000338</v>
      </c>
      <c r="Y10" s="8">
        <f t="shared" si="14"/>
        <v>0.61900000000000333</v>
      </c>
      <c r="Z10" s="10">
        <f t="shared" si="15"/>
        <v>1.9003300000000101</v>
      </c>
      <c r="AA10" s="15"/>
      <c r="AB10" s="7">
        <f t="shared" si="16"/>
        <v>11063999.999999996</v>
      </c>
      <c r="AC10" s="8">
        <f t="shared" si="16"/>
        <v>11.063999999999997</v>
      </c>
      <c r="AD10" s="8">
        <f t="shared" si="16"/>
        <v>33.96647999999999</v>
      </c>
    </row>
    <row r="11" spans="1:30" x14ac:dyDescent="0.2">
      <c r="A11" s="27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1"/>
      <c r="O11" s="7">
        <f>'[3]Jan Prod'!H10</f>
        <v>11708000.000000002</v>
      </c>
      <c r="P11" s="8">
        <f t="shared" si="8"/>
        <v>11.708000000000002</v>
      </c>
      <c r="Q11" s="10">
        <f t="shared" si="9"/>
        <v>35.943560000000005</v>
      </c>
      <c r="R11" s="7">
        <f>'[3]Jan Prod'!C10</f>
        <v>12253000</v>
      </c>
      <c r="S11" s="8">
        <f t="shared" si="10"/>
        <v>12.253</v>
      </c>
      <c r="T11" s="10">
        <f t="shared" si="11"/>
        <v>37.616709999999998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544999.99999999814</v>
      </c>
      <c r="Y11" s="8">
        <f t="shared" si="14"/>
        <v>0.54499999999999815</v>
      </c>
      <c r="Z11" s="10">
        <f t="shared" si="15"/>
        <v>1.6731499999999941</v>
      </c>
      <c r="AA11" s="15"/>
      <c r="AB11" s="7">
        <f t="shared" si="16"/>
        <v>11708000.000000002</v>
      </c>
      <c r="AC11" s="8">
        <f t="shared" si="16"/>
        <v>11.708000000000002</v>
      </c>
      <c r="AD11" s="8">
        <f t="shared" si="16"/>
        <v>35.943560000000005</v>
      </c>
    </row>
    <row r="12" spans="1:30" x14ac:dyDescent="0.2">
      <c r="A12" s="27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1"/>
      <c r="O12" s="7">
        <f>'[3]Jan Prod'!H11</f>
        <v>11380000</v>
      </c>
      <c r="P12" s="8">
        <f t="shared" si="8"/>
        <v>11.38</v>
      </c>
      <c r="Q12" s="10">
        <f t="shared" si="9"/>
        <v>34.936599999999999</v>
      </c>
      <c r="R12" s="7">
        <f>'[3]Jan Prod'!C11</f>
        <v>12008000</v>
      </c>
      <c r="S12" s="8">
        <f t="shared" si="10"/>
        <v>12.007999999999999</v>
      </c>
      <c r="T12" s="10">
        <f t="shared" si="11"/>
        <v>36.864559999999997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628000.00000000012</v>
      </c>
      <c r="Y12" s="8">
        <f t="shared" si="14"/>
        <v>0.62800000000000011</v>
      </c>
      <c r="Z12" s="10">
        <f t="shared" si="15"/>
        <v>1.9279600000000003</v>
      </c>
      <c r="AA12" s="15"/>
      <c r="AB12" s="7">
        <f t="shared" si="16"/>
        <v>11380000</v>
      </c>
      <c r="AC12" s="8">
        <f t="shared" si="16"/>
        <v>11.38</v>
      </c>
      <c r="AD12" s="8">
        <f t="shared" si="16"/>
        <v>34.936599999999999</v>
      </c>
    </row>
    <row r="13" spans="1:30" x14ac:dyDescent="0.2">
      <c r="A13" s="27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0</v>
      </c>
      <c r="I13" s="8">
        <f t="shared" si="4"/>
        <v>0</v>
      </c>
      <c r="J13" s="10">
        <f t="shared" si="5"/>
        <v>0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1"/>
      <c r="O13" s="7">
        <f>'[3]Jan Prod'!H12</f>
        <v>11409000</v>
      </c>
      <c r="P13" s="8">
        <f t="shared" si="8"/>
        <v>11.409000000000001</v>
      </c>
      <c r="Q13" s="10">
        <f t="shared" si="9"/>
        <v>35.02563</v>
      </c>
      <c r="R13" s="7">
        <f>'[3]Jan Prod'!C12</f>
        <v>11961000</v>
      </c>
      <c r="S13" s="8">
        <f t="shared" si="10"/>
        <v>11.961</v>
      </c>
      <c r="T13" s="10">
        <f t="shared" si="11"/>
        <v>36.720269999999999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551999.99999999965</v>
      </c>
      <c r="Y13" s="8">
        <f t="shared" si="14"/>
        <v>0.5519999999999996</v>
      </c>
      <c r="Z13" s="10">
        <f t="shared" si="15"/>
        <v>1.6946399999999986</v>
      </c>
      <c r="AA13" s="15"/>
      <c r="AB13" s="7">
        <f t="shared" si="16"/>
        <v>11409000</v>
      </c>
      <c r="AC13" s="8">
        <f t="shared" si="16"/>
        <v>11.409000000000001</v>
      </c>
      <c r="AD13" s="8">
        <f t="shared" si="16"/>
        <v>35.02563</v>
      </c>
    </row>
    <row r="14" spans="1:30" x14ac:dyDescent="0.2">
      <c r="A14" s="27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43">
        <v>0</v>
      </c>
      <c r="I14" s="8">
        <f t="shared" si="4"/>
        <v>0</v>
      </c>
      <c r="J14" s="44">
        <f t="shared" si="5"/>
        <v>0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1"/>
      <c r="O14" s="7">
        <f>'[3]Jan Prod'!H13</f>
        <v>11497999.999999998</v>
      </c>
      <c r="P14" s="8">
        <f t="shared" si="8"/>
        <v>11.497999999999998</v>
      </c>
      <c r="Q14" s="10">
        <f t="shared" si="9"/>
        <v>35.298859999999991</v>
      </c>
      <c r="R14" s="7">
        <f>'[3]Jan Prod'!C13</f>
        <v>12049000</v>
      </c>
      <c r="S14" s="8">
        <f t="shared" si="10"/>
        <v>12.048999999999999</v>
      </c>
      <c r="T14" s="10">
        <f t="shared" si="11"/>
        <v>36.990429999999996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551000.00000000198</v>
      </c>
      <c r="Y14" s="8">
        <f t="shared" si="14"/>
        <v>0.55100000000000193</v>
      </c>
      <c r="Z14" s="10">
        <f t="shared" si="15"/>
        <v>1.6915700000000058</v>
      </c>
      <c r="AA14" s="15"/>
      <c r="AB14" s="7">
        <f t="shared" si="16"/>
        <v>11497999.999999998</v>
      </c>
      <c r="AC14" s="8">
        <f t="shared" si="16"/>
        <v>11.497999999999998</v>
      </c>
      <c r="AD14" s="8">
        <f t="shared" si="16"/>
        <v>35.298859999999991</v>
      </c>
    </row>
    <row r="15" spans="1:30" x14ac:dyDescent="0.2">
      <c r="A15" s="27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43">
        <v>0</v>
      </c>
      <c r="I15" s="8">
        <f t="shared" si="4"/>
        <v>0</v>
      </c>
      <c r="J15" s="44">
        <f t="shared" si="5"/>
        <v>0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1"/>
      <c r="O15" s="7">
        <f>'[3]Jan Prod'!H14</f>
        <v>11257000</v>
      </c>
      <c r="P15" s="8">
        <f t="shared" si="8"/>
        <v>11.257</v>
      </c>
      <c r="Q15" s="10">
        <f t="shared" si="9"/>
        <v>34.558989999999994</v>
      </c>
      <c r="R15" s="7">
        <f>'[3]Jan Prod'!C14</f>
        <v>11780000</v>
      </c>
      <c r="S15" s="8">
        <f t="shared" si="10"/>
        <v>11.78</v>
      </c>
      <c r="T15" s="10">
        <f t="shared" si="11"/>
        <v>36.164599999999993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522999.99999999971</v>
      </c>
      <c r="Y15" s="8">
        <f t="shared" si="14"/>
        <v>0.52299999999999969</v>
      </c>
      <c r="Z15" s="10">
        <f t="shared" si="15"/>
        <v>1.6056099999999989</v>
      </c>
      <c r="AA15" s="15"/>
      <c r="AB15" s="7">
        <f t="shared" si="16"/>
        <v>11257000</v>
      </c>
      <c r="AC15" s="8">
        <f t="shared" si="16"/>
        <v>11.257</v>
      </c>
      <c r="AD15" s="8">
        <f t="shared" si="16"/>
        <v>34.558989999999994</v>
      </c>
    </row>
    <row r="16" spans="1:30" x14ac:dyDescent="0.2">
      <c r="A16" s="27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43">
        <v>0</v>
      </c>
      <c r="I16" s="8">
        <f t="shared" si="4"/>
        <v>0</v>
      </c>
      <c r="J16" s="44">
        <f t="shared" si="5"/>
        <v>0</v>
      </c>
      <c r="K16" s="7">
        <f>'[3]Jan Prod'!H270</f>
        <v>0</v>
      </c>
      <c r="L16" s="8">
        <f t="shared" si="6"/>
        <v>0</v>
      </c>
      <c r="M16" s="10">
        <f t="shared" si="7"/>
        <v>0</v>
      </c>
      <c r="N16" s="21"/>
      <c r="O16" s="7">
        <f>'[3]Jan Prod'!H15</f>
        <v>11622000.000000002</v>
      </c>
      <c r="P16" s="8">
        <f t="shared" si="8"/>
        <v>11.622000000000002</v>
      </c>
      <c r="Q16" s="10">
        <f t="shared" si="9"/>
        <v>35.679540000000003</v>
      </c>
      <c r="R16" s="7">
        <f>'[3]Jan Prod'!C15</f>
        <v>12214000</v>
      </c>
      <c r="S16" s="8">
        <f t="shared" si="10"/>
        <v>12.214</v>
      </c>
      <c r="T16" s="10">
        <f t="shared" si="11"/>
        <v>37.496980000000001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591999.99999999872</v>
      </c>
      <c r="Y16" s="8">
        <f t="shared" si="14"/>
        <v>0.59199999999999875</v>
      </c>
      <c r="Z16" s="10">
        <f t="shared" si="15"/>
        <v>1.8174399999999962</v>
      </c>
      <c r="AA16" s="15"/>
      <c r="AB16" s="7">
        <f t="shared" si="16"/>
        <v>11622000.000000002</v>
      </c>
      <c r="AC16" s="8">
        <f t="shared" si="16"/>
        <v>11.622000000000002</v>
      </c>
      <c r="AD16" s="8">
        <f t="shared" si="16"/>
        <v>35.679540000000003</v>
      </c>
    </row>
    <row r="17" spans="1:30" x14ac:dyDescent="0.2">
      <c r="A17" s="27">
        <v>38365</v>
      </c>
      <c r="B17" s="7">
        <f>'[3]Jan Prod'!I16</f>
        <v>0</v>
      </c>
      <c r="C17" s="8">
        <f t="shared" si="0"/>
        <v>0</v>
      </c>
      <c r="D17" s="10">
        <f t="shared" si="1"/>
        <v>0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43">
        <v>0</v>
      </c>
      <c r="I17" s="8">
        <f t="shared" si="4"/>
        <v>0</v>
      </c>
      <c r="J17" s="44">
        <f t="shared" si="5"/>
        <v>0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1"/>
      <c r="O17" s="7">
        <f>'[3]Jan Prod'!H16</f>
        <v>11666000</v>
      </c>
      <c r="P17" s="8">
        <f t="shared" si="8"/>
        <v>11.666</v>
      </c>
      <c r="Q17" s="10">
        <f t="shared" si="9"/>
        <v>35.814619999999998</v>
      </c>
      <c r="R17" s="7">
        <f>'[3]Jan Prod'!C16</f>
        <v>12219000</v>
      </c>
      <c r="S17" s="8">
        <f t="shared" si="10"/>
        <v>12.218999999999999</v>
      </c>
      <c r="T17" s="10">
        <f t="shared" si="11"/>
        <v>37.512329999999999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553000.00000000081</v>
      </c>
      <c r="Y17" s="8">
        <f t="shared" si="14"/>
        <v>0.55300000000000082</v>
      </c>
      <c r="Z17" s="10">
        <f t="shared" si="15"/>
        <v>1.6977100000000025</v>
      </c>
      <c r="AA17" s="15"/>
      <c r="AB17" s="7">
        <f t="shared" si="16"/>
        <v>11666000</v>
      </c>
      <c r="AC17" s="8">
        <f t="shared" si="16"/>
        <v>11.666</v>
      </c>
      <c r="AD17" s="8">
        <f t="shared" si="16"/>
        <v>35.814619999999998</v>
      </c>
    </row>
    <row r="18" spans="1:30" x14ac:dyDescent="0.2">
      <c r="A18" s="27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43">
        <v>0</v>
      </c>
      <c r="I18" s="8">
        <f t="shared" si="4"/>
        <v>0</v>
      </c>
      <c r="J18" s="44">
        <f t="shared" si="5"/>
        <v>0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1"/>
      <c r="O18" s="7">
        <f>'[3]Jan Prod'!H17</f>
        <v>11359000</v>
      </c>
      <c r="P18" s="8">
        <f t="shared" si="8"/>
        <v>11.359</v>
      </c>
      <c r="Q18" s="10">
        <f t="shared" si="9"/>
        <v>34.872129999999999</v>
      </c>
      <c r="R18" s="7">
        <f>'[3]Jan Prod'!C17</f>
        <v>11760000</v>
      </c>
      <c r="S18" s="8">
        <f t="shared" si="10"/>
        <v>11.76</v>
      </c>
      <c r="T18" s="10">
        <f t="shared" si="11"/>
        <v>36.103199999999994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400999.99999999983</v>
      </c>
      <c r="Y18" s="8">
        <f t="shared" si="14"/>
        <v>0.4009999999999998</v>
      </c>
      <c r="Z18" s="10">
        <f t="shared" si="15"/>
        <v>1.2310699999999992</v>
      </c>
      <c r="AA18" s="15"/>
      <c r="AB18" s="7">
        <f t="shared" si="16"/>
        <v>11359000</v>
      </c>
      <c r="AC18" s="8">
        <f t="shared" si="16"/>
        <v>11.359</v>
      </c>
      <c r="AD18" s="8">
        <f t="shared" si="16"/>
        <v>34.872129999999999</v>
      </c>
    </row>
    <row r="19" spans="1:30" x14ac:dyDescent="0.2">
      <c r="A19" s="27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43">
        <v>0</v>
      </c>
      <c r="I19" s="8">
        <f t="shared" si="4"/>
        <v>0</v>
      </c>
      <c r="J19" s="44">
        <f t="shared" si="5"/>
        <v>0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1"/>
      <c r="O19" s="7">
        <f>'[3]Jan Prod'!H18</f>
        <v>11813000</v>
      </c>
      <c r="P19" s="8">
        <f t="shared" si="8"/>
        <v>11.813000000000001</v>
      </c>
      <c r="Q19" s="10">
        <f t="shared" si="9"/>
        <v>36.265909999999998</v>
      </c>
      <c r="R19" s="7">
        <f>'[3]Jan Prod'!C18</f>
        <v>12145000</v>
      </c>
      <c r="S19" s="8">
        <f t="shared" si="10"/>
        <v>12.145</v>
      </c>
      <c r="T19" s="10">
        <f t="shared" si="11"/>
        <v>37.285149999999994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332000.00000000076</v>
      </c>
      <c r="Y19" s="8">
        <f t="shared" si="14"/>
        <v>0.33200000000000074</v>
      </c>
      <c r="Z19" s="10">
        <f t="shared" si="15"/>
        <v>1.0192400000000021</v>
      </c>
      <c r="AA19" s="15"/>
      <c r="AB19" s="7">
        <f t="shared" si="16"/>
        <v>11813000</v>
      </c>
      <c r="AC19" s="8">
        <f t="shared" si="16"/>
        <v>11.813000000000001</v>
      </c>
      <c r="AD19" s="8">
        <f>D19+Q19</f>
        <v>36.265909999999998</v>
      </c>
    </row>
    <row r="20" spans="1:30" x14ac:dyDescent="0.2">
      <c r="A20" s="27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43">
        <v>0</v>
      </c>
      <c r="I20" s="8">
        <f t="shared" si="4"/>
        <v>0</v>
      </c>
      <c r="J20" s="44">
        <f t="shared" si="5"/>
        <v>0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1"/>
      <c r="O20" s="7">
        <f>'[3]Jan Prod'!H19</f>
        <v>11538000</v>
      </c>
      <c r="P20" s="8">
        <f t="shared" si="8"/>
        <v>11.538</v>
      </c>
      <c r="Q20" s="10">
        <f t="shared" si="9"/>
        <v>35.421659999999996</v>
      </c>
      <c r="R20" s="7">
        <f>'[3]Jan Prod'!C19</f>
        <v>11994000</v>
      </c>
      <c r="S20" s="8">
        <f t="shared" si="10"/>
        <v>11.994</v>
      </c>
      <c r="T20" s="10">
        <f t="shared" si="11"/>
        <v>36.821579999999997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455999.99999999953</v>
      </c>
      <c r="Y20" s="8">
        <f t="shared" si="14"/>
        <v>0.45599999999999952</v>
      </c>
      <c r="Z20" s="10">
        <f t="shared" si="15"/>
        <v>1.3999199999999985</v>
      </c>
      <c r="AA20" s="15"/>
      <c r="AB20" s="7">
        <f t="shared" si="16"/>
        <v>11538000</v>
      </c>
      <c r="AC20" s="8">
        <f t="shared" si="16"/>
        <v>11.538</v>
      </c>
      <c r="AD20" s="8">
        <f t="shared" si="16"/>
        <v>35.421659999999996</v>
      </c>
    </row>
    <row r="21" spans="1:30" x14ac:dyDescent="0.2">
      <c r="A21" s="27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43">
        <v>0</v>
      </c>
      <c r="I21" s="8">
        <f t="shared" si="4"/>
        <v>0</v>
      </c>
      <c r="J21" s="44">
        <f t="shared" si="5"/>
        <v>0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11983000</v>
      </c>
      <c r="P21" s="8">
        <f t="shared" si="8"/>
        <v>11.983000000000001</v>
      </c>
      <c r="Q21" s="10">
        <f t="shared" si="9"/>
        <v>36.78781</v>
      </c>
      <c r="R21" s="7">
        <f>'[3]Jan Prod'!C20</f>
        <v>12372000</v>
      </c>
      <c r="S21" s="8">
        <f t="shared" si="10"/>
        <v>12.372</v>
      </c>
      <c r="T21" s="10">
        <f t="shared" si="11"/>
        <v>37.982039999999998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388999.99999999936</v>
      </c>
      <c r="Y21" s="8">
        <f t="shared" si="14"/>
        <v>0.38899999999999935</v>
      </c>
      <c r="Z21" s="10">
        <f t="shared" si="15"/>
        <v>1.1942299999999979</v>
      </c>
      <c r="AA21" s="15"/>
      <c r="AB21" s="7">
        <f t="shared" si="16"/>
        <v>11983000</v>
      </c>
      <c r="AC21" s="8">
        <f t="shared" si="16"/>
        <v>11.983000000000001</v>
      </c>
      <c r="AD21" s="8">
        <f t="shared" si="16"/>
        <v>36.78781</v>
      </c>
    </row>
    <row r="22" spans="1:30" x14ac:dyDescent="0.2">
      <c r="A22" s="27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43">
        <v>0</v>
      </c>
      <c r="I22" s="8">
        <f t="shared" si="4"/>
        <v>0</v>
      </c>
      <c r="J22" s="44">
        <f t="shared" si="5"/>
        <v>0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1"/>
      <c r="O22" s="7">
        <f>'[3]Jan Prod'!H21</f>
        <v>11665000</v>
      </c>
      <c r="P22" s="8">
        <f t="shared" si="8"/>
        <v>11.664999999999999</v>
      </c>
      <c r="Q22" s="10">
        <f t="shared" si="9"/>
        <v>35.811549999999997</v>
      </c>
      <c r="R22" s="7">
        <f>'[3]Jan Prod'!C21</f>
        <v>12122000</v>
      </c>
      <c r="S22" s="8">
        <f t="shared" si="10"/>
        <v>12.122</v>
      </c>
      <c r="T22" s="10">
        <f t="shared" si="11"/>
        <v>37.21454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457000.00000000076</v>
      </c>
      <c r="Y22" s="8">
        <f t="shared" si="14"/>
        <v>0.45700000000000074</v>
      </c>
      <c r="Z22" s="10">
        <f t="shared" si="15"/>
        <v>1.4029900000000022</v>
      </c>
      <c r="AA22" s="15"/>
      <c r="AB22" s="7">
        <f t="shared" si="16"/>
        <v>11665000</v>
      </c>
      <c r="AC22" s="8">
        <f t="shared" si="16"/>
        <v>11.664999999999999</v>
      </c>
      <c r="AD22" s="8">
        <f t="shared" si="16"/>
        <v>35.811549999999997</v>
      </c>
    </row>
    <row r="23" spans="1:30" x14ac:dyDescent="0.2">
      <c r="A23" s="27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43">
        <v>0</v>
      </c>
      <c r="I23" s="8">
        <f t="shared" si="4"/>
        <v>0</v>
      </c>
      <c r="J23" s="44">
        <f t="shared" si="5"/>
        <v>0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1"/>
      <c r="O23" s="7">
        <f>'[3]Jan Prod'!H22</f>
        <v>11633000</v>
      </c>
      <c r="P23" s="8">
        <f t="shared" si="8"/>
        <v>11.632999999999999</v>
      </c>
      <c r="Q23" s="10">
        <f t="shared" si="9"/>
        <v>35.713309999999993</v>
      </c>
      <c r="R23" s="7">
        <f>'[3]Jan Prod'!C22</f>
        <v>11958000</v>
      </c>
      <c r="S23" s="8">
        <f t="shared" si="10"/>
        <v>11.958</v>
      </c>
      <c r="T23" s="10">
        <f t="shared" si="11"/>
        <v>36.711059999999996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324999.9999999993</v>
      </c>
      <c r="Y23" s="8">
        <f t="shared" si="14"/>
        <v>0.32499999999999929</v>
      </c>
      <c r="Z23" s="10">
        <f t="shared" si="15"/>
        <v>0.99774999999999781</v>
      </c>
      <c r="AA23" s="15"/>
      <c r="AB23" s="7">
        <f t="shared" si="16"/>
        <v>11633000</v>
      </c>
      <c r="AC23" s="8">
        <f t="shared" si="16"/>
        <v>11.632999999999999</v>
      </c>
      <c r="AD23" s="8">
        <f t="shared" si="16"/>
        <v>35.713309999999993</v>
      </c>
    </row>
    <row r="24" spans="1:30" x14ac:dyDescent="0.2">
      <c r="A24" s="27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43">
        <v>0</v>
      </c>
      <c r="I24" s="8">
        <f t="shared" si="4"/>
        <v>0</v>
      </c>
      <c r="J24" s="44">
        <f t="shared" si="5"/>
        <v>0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1"/>
      <c r="O24" s="7">
        <f>'[3]Jan Prod'!H23</f>
        <v>11312000.000000002</v>
      </c>
      <c r="P24" s="8">
        <f t="shared" si="8"/>
        <v>11.312000000000001</v>
      </c>
      <c r="Q24" s="10">
        <f t="shared" si="9"/>
        <v>34.72784</v>
      </c>
      <c r="R24" s="7">
        <f>'[3]Jan Prod'!C23</f>
        <v>11767000</v>
      </c>
      <c r="S24" s="8">
        <f t="shared" si="10"/>
        <v>11.766999999999999</v>
      </c>
      <c r="T24" s="10">
        <f t="shared" si="11"/>
        <v>36.124689999999994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454999.99999999831</v>
      </c>
      <c r="Y24" s="8">
        <f t="shared" si="14"/>
        <v>0.45499999999999829</v>
      </c>
      <c r="Z24" s="10">
        <f t="shared" si="15"/>
        <v>1.3968499999999946</v>
      </c>
      <c r="AA24" s="15"/>
      <c r="AB24" s="7">
        <f t="shared" si="16"/>
        <v>11312000.000000002</v>
      </c>
      <c r="AC24" s="8">
        <f t="shared" si="16"/>
        <v>11.312000000000001</v>
      </c>
      <c r="AD24" s="8">
        <f>D24+Q24</f>
        <v>34.72784</v>
      </c>
    </row>
    <row r="25" spans="1:30" x14ac:dyDescent="0.2">
      <c r="A25" s="27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43">
        <v>0</v>
      </c>
      <c r="I25" s="8">
        <f t="shared" si="4"/>
        <v>0</v>
      </c>
      <c r="J25" s="44">
        <f t="shared" si="5"/>
        <v>0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1"/>
      <c r="O25" s="7">
        <f>'[3]Jan Prod'!H24</f>
        <v>12301999.999999998</v>
      </c>
      <c r="P25" s="8">
        <f t="shared" si="8"/>
        <v>12.301999999999998</v>
      </c>
      <c r="Q25" s="10">
        <f t="shared" si="9"/>
        <v>37.767139999999991</v>
      </c>
      <c r="R25" s="7">
        <f>'[3]Jan Prod'!C24</f>
        <v>12754000</v>
      </c>
      <c r="S25" s="8">
        <f t="shared" si="10"/>
        <v>12.754</v>
      </c>
      <c r="T25" s="10">
        <f t="shared" si="11"/>
        <v>39.154779999999995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452000.00000000175</v>
      </c>
      <c r="Y25" s="8">
        <f t="shared" si="14"/>
        <v>0.45200000000000173</v>
      </c>
      <c r="Z25" s="10">
        <f t="shared" si="15"/>
        <v>1.3876400000000053</v>
      </c>
      <c r="AA25" s="15"/>
      <c r="AB25" s="7">
        <f t="shared" si="16"/>
        <v>12301999.999999998</v>
      </c>
      <c r="AC25" s="8">
        <f t="shared" si="16"/>
        <v>12.301999999999998</v>
      </c>
      <c r="AD25" s="8">
        <f t="shared" si="16"/>
        <v>37.767139999999991</v>
      </c>
    </row>
    <row r="26" spans="1:30" x14ac:dyDescent="0.2">
      <c r="A26" s="27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43">
        <v>0</v>
      </c>
      <c r="I26" s="8">
        <f t="shared" si="4"/>
        <v>0</v>
      </c>
      <c r="J26" s="44">
        <f t="shared" si="5"/>
        <v>0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1"/>
      <c r="O26" s="7">
        <f>'[3]Jan Prod'!H25</f>
        <v>11747000.000000002</v>
      </c>
      <c r="P26" s="8">
        <f t="shared" si="8"/>
        <v>11.747000000000002</v>
      </c>
      <c r="Q26" s="10">
        <f t="shared" si="9"/>
        <v>36.063290000000002</v>
      </c>
      <c r="R26" s="7">
        <f>'[3]Jan Prod'!C25</f>
        <v>12135000</v>
      </c>
      <c r="S26" s="8">
        <f t="shared" si="10"/>
        <v>12.135</v>
      </c>
      <c r="T26" s="10">
        <f t="shared" si="11"/>
        <v>37.254449999999999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387999.99999999814</v>
      </c>
      <c r="Y26" s="8">
        <f t="shared" si="14"/>
        <v>0.38799999999999812</v>
      </c>
      <c r="Z26" s="10">
        <f t="shared" si="15"/>
        <v>1.1911599999999942</v>
      </c>
      <c r="AA26" s="15"/>
      <c r="AB26" s="7">
        <f t="shared" si="16"/>
        <v>11747000.000000002</v>
      </c>
      <c r="AC26" s="8">
        <f t="shared" si="16"/>
        <v>11.747000000000002</v>
      </c>
      <c r="AD26" s="8">
        <f t="shared" si="16"/>
        <v>36.063290000000002</v>
      </c>
    </row>
    <row r="27" spans="1:30" x14ac:dyDescent="0.2">
      <c r="A27" s="27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43">
        <v>0</v>
      </c>
      <c r="I27" s="8">
        <f t="shared" si="4"/>
        <v>0</v>
      </c>
      <c r="J27" s="44">
        <f t="shared" si="5"/>
        <v>0</v>
      </c>
      <c r="K27" s="7">
        <f>'[3]Jan Prod'!H281</f>
        <v>0</v>
      </c>
      <c r="L27" s="8">
        <f t="shared" si="6"/>
        <v>0</v>
      </c>
      <c r="M27" s="10">
        <f t="shared" si="7"/>
        <v>0</v>
      </c>
      <c r="N27" s="21"/>
      <c r="O27" s="7">
        <f>'[3]Jan Prod'!H26</f>
        <v>11477000</v>
      </c>
      <c r="P27" s="8">
        <f t="shared" si="8"/>
        <v>11.477</v>
      </c>
      <c r="Q27" s="10">
        <f t="shared" si="9"/>
        <v>35.234389999999998</v>
      </c>
      <c r="R27" s="7">
        <f>'[3]Jan Prod'!C26</f>
        <v>11864000</v>
      </c>
      <c r="S27" s="8">
        <f t="shared" si="10"/>
        <v>11.864000000000001</v>
      </c>
      <c r="T27" s="10">
        <f t="shared" si="11"/>
        <v>36.42248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387000.00000000047</v>
      </c>
      <c r="Y27" s="8">
        <f t="shared" si="14"/>
        <v>0.38700000000000045</v>
      </c>
      <c r="Z27" s="10">
        <f t="shared" si="15"/>
        <v>1.1880900000000014</v>
      </c>
      <c r="AA27" s="15"/>
      <c r="AB27" s="7">
        <f t="shared" si="16"/>
        <v>11477000</v>
      </c>
      <c r="AC27" s="8">
        <f t="shared" si="16"/>
        <v>11.477</v>
      </c>
      <c r="AD27" s="8">
        <f t="shared" si="16"/>
        <v>35.234389999999998</v>
      </c>
    </row>
    <row r="28" spans="1:30" x14ac:dyDescent="0.2">
      <c r="A28" s="27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43">
        <v>0</v>
      </c>
      <c r="I28" s="8">
        <f t="shared" si="4"/>
        <v>0</v>
      </c>
      <c r="J28" s="44">
        <f t="shared" si="5"/>
        <v>0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1"/>
      <c r="O28" s="7">
        <f>'[3]Jan Prod'!H27</f>
        <v>9687000</v>
      </c>
      <c r="P28" s="8">
        <f t="shared" si="8"/>
        <v>9.6869999999999994</v>
      </c>
      <c r="Q28" s="10">
        <f t="shared" si="9"/>
        <v>29.739089999999997</v>
      </c>
      <c r="R28" s="7">
        <f>'[3]Jan Prod'!C27</f>
        <v>10144000</v>
      </c>
      <c r="S28" s="8">
        <f t="shared" si="10"/>
        <v>10.144</v>
      </c>
      <c r="T28" s="10">
        <f t="shared" si="11"/>
        <v>31.14208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457000.00000000076</v>
      </c>
      <c r="Y28" s="8">
        <f t="shared" si="14"/>
        <v>0.45700000000000074</v>
      </c>
      <c r="Z28" s="10">
        <f t="shared" si="15"/>
        <v>1.4029900000000022</v>
      </c>
      <c r="AA28" s="15"/>
      <c r="AB28" s="7">
        <f t="shared" si="16"/>
        <v>9687000</v>
      </c>
      <c r="AC28" s="8">
        <f t="shared" si="16"/>
        <v>9.6869999999999994</v>
      </c>
      <c r="AD28" s="8">
        <f t="shared" si="16"/>
        <v>29.739089999999997</v>
      </c>
    </row>
    <row r="29" spans="1:30" x14ac:dyDescent="0.2">
      <c r="A29" s="27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43">
        <v>0</v>
      </c>
      <c r="I29" s="8">
        <f t="shared" si="4"/>
        <v>0</v>
      </c>
      <c r="J29" s="44">
        <f t="shared" si="5"/>
        <v>0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1"/>
      <c r="O29" s="7">
        <f>'[3]Jan Prod'!H28</f>
        <v>11877000</v>
      </c>
      <c r="P29" s="8">
        <f t="shared" si="8"/>
        <v>11.877000000000001</v>
      </c>
      <c r="Q29" s="10">
        <f t="shared" si="9"/>
        <v>36.462389999999999</v>
      </c>
      <c r="R29" s="7">
        <f>'[3]Jan Prod'!C28</f>
        <v>12203000</v>
      </c>
      <c r="S29" s="8">
        <f t="shared" si="10"/>
        <v>12.202999999999999</v>
      </c>
      <c r="T29" s="10">
        <f t="shared" si="11"/>
        <v>37.463209999999997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326000.00000000052</v>
      </c>
      <c r="Y29" s="8">
        <f t="shared" si="14"/>
        <v>0.32600000000000051</v>
      </c>
      <c r="Z29" s="10">
        <f t="shared" si="15"/>
        <v>1.0008200000000016</v>
      </c>
      <c r="AA29" s="15"/>
      <c r="AB29" s="7">
        <f t="shared" si="16"/>
        <v>11877000</v>
      </c>
      <c r="AC29" s="8">
        <f t="shared" si="16"/>
        <v>11.877000000000001</v>
      </c>
      <c r="AD29" s="8">
        <f t="shared" si="16"/>
        <v>36.462389999999999</v>
      </c>
    </row>
    <row r="30" spans="1:30" x14ac:dyDescent="0.2">
      <c r="A30" s="27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43">
        <v>0</v>
      </c>
      <c r="I30" s="8">
        <f t="shared" si="4"/>
        <v>0</v>
      </c>
      <c r="J30" s="44">
        <f t="shared" si="5"/>
        <v>0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1"/>
      <c r="O30" s="7">
        <f>'[3]Jan Prod'!H29</f>
        <v>11446000</v>
      </c>
      <c r="P30" s="8">
        <f t="shared" si="8"/>
        <v>11.446</v>
      </c>
      <c r="Q30" s="10">
        <f t="shared" si="9"/>
        <v>35.139219999999995</v>
      </c>
      <c r="R30" s="7">
        <f>'[3]Jan Prod'!C29</f>
        <v>11702000</v>
      </c>
      <c r="S30" s="8">
        <f t="shared" si="10"/>
        <v>11.702</v>
      </c>
      <c r="T30" s="10">
        <f t="shared" si="11"/>
        <v>35.925139999999999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256000.00000000023</v>
      </c>
      <c r="Y30" s="8">
        <f t="shared" si="14"/>
        <v>0.25600000000000023</v>
      </c>
      <c r="Z30" s="10">
        <f t="shared" si="15"/>
        <v>0.78592000000000062</v>
      </c>
      <c r="AA30" s="15"/>
      <c r="AB30" s="7">
        <f t="shared" si="16"/>
        <v>11446000</v>
      </c>
      <c r="AC30" s="8">
        <f t="shared" si="16"/>
        <v>11.446</v>
      </c>
      <c r="AD30" s="8">
        <f>D30+Q30</f>
        <v>35.139219999999995</v>
      </c>
    </row>
    <row r="31" spans="1:30" x14ac:dyDescent="0.2">
      <c r="A31" s="27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43">
        <v>0</v>
      </c>
      <c r="I31" s="8">
        <f t="shared" si="4"/>
        <v>0</v>
      </c>
      <c r="J31" s="44">
        <f t="shared" si="5"/>
        <v>0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1"/>
      <c r="O31" s="7">
        <f>'[3]Jan Prod'!H30</f>
        <v>11820999.999999998</v>
      </c>
      <c r="P31" s="8">
        <f t="shared" si="8"/>
        <v>11.820999999999998</v>
      </c>
      <c r="Q31" s="10">
        <f t="shared" si="9"/>
        <v>36.290469999999992</v>
      </c>
      <c r="R31" s="7">
        <f>'[3]Jan Prod'!C30</f>
        <v>12140000</v>
      </c>
      <c r="S31" s="8">
        <f t="shared" si="10"/>
        <v>12.14</v>
      </c>
      <c r="T31" s="10">
        <f t="shared" si="11"/>
        <v>37.269799999999996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319000.00000000262</v>
      </c>
      <c r="Y31" s="8">
        <f t="shared" si="14"/>
        <v>0.31900000000000261</v>
      </c>
      <c r="Z31" s="10">
        <f t="shared" si="15"/>
        <v>0.97933000000000803</v>
      </c>
      <c r="AA31" s="15"/>
      <c r="AB31" s="7">
        <f t="shared" si="16"/>
        <v>11820999.999999998</v>
      </c>
      <c r="AC31" s="8">
        <f t="shared" si="16"/>
        <v>11.820999999999998</v>
      </c>
      <c r="AD31" s="8">
        <f t="shared" si="16"/>
        <v>36.290469999999992</v>
      </c>
    </row>
    <row r="32" spans="1:30" x14ac:dyDescent="0.2">
      <c r="A32" s="27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0</v>
      </c>
      <c r="L32" s="8">
        <f t="shared" si="6"/>
        <v>0</v>
      </c>
      <c r="M32" s="10">
        <f t="shared" si="7"/>
        <v>0</v>
      </c>
      <c r="N32" s="21"/>
      <c r="O32" s="7">
        <f>'[3]Jan Prod'!H31</f>
        <v>11864000.000000002</v>
      </c>
      <c r="P32" s="8">
        <f t="shared" si="8"/>
        <v>11.864000000000003</v>
      </c>
      <c r="Q32" s="10">
        <f t="shared" si="9"/>
        <v>36.422480000000007</v>
      </c>
      <c r="R32" s="7">
        <f>'[3]Jan Prod'!C31</f>
        <v>12121000</v>
      </c>
      <c r="S32" s="8">
        <f t="shared" si="10"/>
        <v>12.121</v>
      </c>
      <c r="T32" s="10">
        <f t="shared" si="11"/>
        <v>37.211469999999998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256999.9999999979</v>
      </c>
      <c r="Y32" s="8">
        <f t="shared" si="14"/>
        <v>0.2569999999999979</v>
      </c>
      <c r="Z32" s="10">
        <f t="shared" si="15"/>
        <v>0.78898999999999353</v>
      </c>
      <c r="AA32" s="15"/>
      <c r="AB32" s="7">
        <f t="shared" si="16"/>
        <v>11864000.000000002</v>
      </c>
      <c r="AC32" s="8">
        <f t="shared" si="16"/>
        <v>11.864000000000003</v>
      </c>
      <c r="AD32" s="8">
        <f t="shared" si="16"/>
        <v>36.422480000000007</v>
      </c>
    </row>
    <row r="33" spans="1:30" x14ac:dyDescent="0.2">
      <c r="A33" s="27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0</v>
      </c>
      <c r="L33" s="8">
        <f t="shared" si="6"/>
        <v>0</v>
      </c>
      <c r="M33" s="10">
        <f t="shared" si="7"/>
        <v>0</v>
      </c>
      <c r="N33" s="21"/>
      <c r="O33" s="7">
        <f>'[3]Jan Prod'!H32</f>
        <v>11645000</v>
      </c>
      <c r="P33" s="8">
        <f t="shared" si="8"/>
        <v>11.645</v>
      </c>
      <c r="Q33" s="10">
        <f t="shared" si="9"/>
        <v>35.750149999999998</v>
      </c>
      <c r="R33" s="7">
        <f>'[3]Jan Prod'!C32</f>
        <v>11965000</v>
      </c>
      <c r="S33" s="8">
        <f t="shared" si="10"/>
        <v>11.965</v>
      </c>
      <c r="T33" s="10">
        <f t="shared" si="11"/>
        <v>36.732549999999996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320000.00000000029</v>
      </c>
      <c r="Y33" s="8">
        <f t="shared" si="14"/>
        <v>0.32000000000000028</v>
      </c>
      <c r="Z33" s="10">
        <f t="shared" si="15"/>
        <v>0.98240000000000083</v>
      </c>
      <c r="AA33" s="15"/>
      <c r="AB33" s="7">
        <f t="shared" si="16"/>
        <v>11645000</v>
      </c>
      <c r="AC33" s="8">
        <f t="shared" si="16"/>
        <v>11.645</v>
      </c>
      <c r="AD33" s="8">
        <f t="shared" si="16"/>
        <v>35.750149999999998</v>
      </c>
    </row>
    <row r="34" spans="1:30" x14ac:dyDescent="0.2">
      <c r="A34" s="27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43"/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1"/>
      <c r="O34" s="7">
        <f>'[3]Jan Prod'!H33</f>
        <v>10397000</v>
      </c>
      <c r="P34" s="8">
        <f t="shared" si="8"/>
        <v>10.397</v>
      </c>
      <c r="Q34" s="10">
        <f t="shared" si="9"/>
        <v>31.918789999999998</v>
      </c>
      <c r="R34" s="7">
        <f>'[3]Jan Prod'!C33</f>
        <v>10589000</v>
      </c>
      <c r="S34" s="8">
        <f t="shared" si="10"/>
        <v>10.589</v>
      </c>
      <c r="T34" s="10">
        <f t="shared" si="11"/>
        <v>32.508229999999998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192000.00000000017</v>
      </c>
      <c r="Y34" s="8">
        <f t="shared" si="14"/>
        <v>0.19200000000000017</v>
      </c>
      <c r="Z34" s="10">
        <f t="shared" si="15"/>
        <v>0.58944000000000052</v>
      </c>
      <c r="AA34" s="15"/>
      <c r="AB34" s="7">
        <f t="shared" si="16"/>
        <v>10397000</v>
      </c>
      <c r="AC34" s="8">
        <f t="shared" si="16"/>
        <v>10.397</v>
      </c>
      <c r="AD34" s="8">
        <f t="shared" si="16"/>
        <v>31.918789999999998</v>
      </c>
    </row>
    <row r="35" spans="1:30" ht="13.5" thickBot="1" x14ac:dyDescent="0.25">
      <c r="A35" s="27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0</v>
      </c>
      <c r="F35" s="8">
        <f t="shared" si="2"/>
        <v>0</v>
      </c>
      <c r="G35" s="10">
        <f t="shared" si="3"/>
        <v>0</v>
      </c>
      <c r="H35" s="7">
        <f>'[3]Jan Prod'!F34</f>
        <v>0</v>
      </c>
      <c r="I35" s="8">
        <f t="shared" si="4"/>
        <v>0</v>
      </c>
      <c r="J35" s="10">
        <f t="shared" si="5"/>
        <v>0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1"/>
      <c r="O35" s="7">
        <f>'[3]Jan Prod'!H34</f>
        <v>11634000.000000004</v>
      </c>
      <c r="P35" s="8">
        <f t="shared" si="8"/>
        <v>11.634000000000004</v>
      </c>
      <c r="Q35" s="10">
        <f t="shared" si="9"/>
        <v>35.716380000000008</v>
      </c>
      <c r="R35" s="7">
        <f>'[3]Jan Prod'!C34</f>
        <v>12215000</v>
      </c>
      <c r="S35" s="8">
        <f t="shared" si="10"/>
        <v>12.215</v>
      </c>
      <c r="T35" s="10">
        <f t="shared" si="11"/>
        <v>37.500049999999995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580999.99999999593</v>
      </c>
      <c r="Y35" s="8">
        <f t="shared" si="14"/>
        <v>0.58099999999999596</v>
      </c>
      <c r="Z35" s="10">
        <f t="shared" si="15"/>
        <v>1.7836699999999874</v>
      </c>
      <c r="AA35" s="15"/>
      <c r="AB35" s="7">
        <f t="shared" si="16"/>
        <v>11634000.000000004</v>
      </c>
      <c r="AC35" s="8">
        <f t="shared" si="16"/>
        <v>11.634000000000004</v>
      </c>
      <c r="AD35" s="8">
        <f t="shared" si="16"/>
        <v>35.716380000000008</v>
      </c>
    </row>
    <row r="36" spans="1:30" s="18" customFormat="1" ht="13.5" thickBot="1" x14ac:dyDescent="0.25">
      <c r="A36" s="15"/>
      <c r="B36" s="38"/>
      <c r="C36" s="39">
        <f t="shared" ref="C36:W36" si="17">SUM(C5:C35)</f>
        <v>0</v>
      </c>
      <c r="D36" s="39">
        <f t="shared" si="17"/>
        <v>0</v>
      </c>
      <c r="E36" s="38"/>
      <c r="F36" s="39">
        <f t="shared" si="17"/>
        <v>15</v>
      </c>
      <c r="G36" s="39">
        <f t="shared" si="17"/>
        <v>46.05</v>
      </c>
      <c r="H36" s="38"/>
      <c r="I36" s="39">
        <f t="shared" si="17"/>
        <v>0</v>
      </c>
      <c r="J36" s="39">
        <f t="shared" si="17"/>
        <v>0</v>
      </c>
      <c r="K36" s="38"/>
      <c r="L36" s="39">
        <f>SUM(L5:L35)</f>
        <v>0</v>
      </c>
      <c r="M36" s="39">
        <f>SUM(M5:M35)</f>
        <v>0</v>
      </c>
      <c r="N36" s="14"/>
      <c r="O36" s="38"/>
      <c r="P36" s="39">
        <f t="shared" si="17"/>
        <v>354.952</v>
      </c>
      <c r="Q36" s="39">
        <f t="shared" si="17"/>
        <v>1089.7026400000002</v>
      </c>
      <c r="R36" s="38"/>
      <c r="S36" s="39">
        <f t="shared" si="17"/>
        <v>369.02299999999985</v>
      </c>
      <c r="T36" s="39">
        <f t="shared" si="17"/>
        <v>1132.9006099999999</v>
      </c>
      <c r="U36" s="38"/>
      <c r="V36" s="39">
        <f t="shared" si="17"/>
        <v>0</v>
      </c>
      <c r="W36" s="39">
        <f t="shared" si="17"/>
        <v>0</v>
      </c>
      <c r="X36" s="38"/>
      <c r="Y36" s="39">
        <f>SUM(Y5:Y35)</f>
        <v>14.070999999999998</v>
      </c>
      <c r="Z36" s="39">
        <f>SUM(Z5:Z35)</f>
        <v>43.197969999999984</v>
      </c>
      <c r="AA36" s="14"/>
      <c r="AB36" s="38"/>
      <c r="AC36" s="39">
        <f>SUM(AC5:AC35)</f>
        <v>354.952</v>
      </c>
      <c r="AD36" s="39">
        <f>AC36*3.07</f>
        <v>1089.70264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E11" activePane="bottomRight" state="frozen"/>
      <selection pane="topRight" activeCell="B1" sqref="B1"/>
      <selection pane="bottomLeft" activeCell="A5" sqref="A5"/>
      <selection pane="bottomRight" activeCell="W28" sqref="W28"/>
    </sheetView>
  </sheetViews>
  <sheetFormatPr defaultRowHeight="12.75" x14ac:dyDescent="0.2"/>
  <cols>
    <col min="2" max="2" width="11.7109375" customWidth="1"/>
    <col min="5" max="5" width="11.42578125" customWidth="1"/>
    <col min="8" max="8" width="11.7109375" customWidth="1"/>
    <col min="11" max="11" width="14.85546875" bestFit="1" customWidth="1"/>
    <col min="12" max="12" width="11.5703125" customWidth="1"/>
    <col min="15" max="15" width="11.42578125" customWidth="1"/>
    <col min="18" max="18" width="11.5703125" customWidth="1"/>
    <col min="22" max="22" width="11" customWidth="1"/>
    <col min="24" max="24" width="13.7109375" customWidth="1"/>
    <col min="28" max="28" width="14.42578125" bestFit="1" customWidth="1"/>
  </cols>
  <sheetData>
    <row r="1" spans="1:30" x14ac:dyDescent="0.2">
      <c r="A1" s="46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">
      <c r="A5" s="27">
        <v>41306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1"/>
      <c r="O5" s="7">
        <f>'[4]Feb Prod'!H4</f>
        <v>11051000</v>
      </c>
      <c r="P5" s="8">
        <f>O5/1000000</f>
        <v>11.051</v>
      </c>
      <c r="Q5" s="10">
        <f>P5*3.07</f>
        <v>33.926569999999998</v>
      </c>
      <c r="R5" s="7">
        <f>'[4]Feb Prod'!C4</f>
        <v>12055000</v>
      </c>
      <c r="S5" s="8">
        <f>R5/1000000</f>
        <v>12.055</v>
      </c>
      <c r="T5" s="10">
        <f>S5*3.07</f>
        <v>37.008849999999995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1004000</v>
      </c>
      <c r="Y5" s="8">
        <f>X5/1000000</f>
        <v>1.004</v>
      </c>
      <c r="Z5" s="10">
        <f>Y5*3.07</f>
        <v>3.0822799999999999</v>
      </c>
      <c r="AA5" s="15"/>
      <c r="AB5" s="7">
        <f>B5+O5</f>
        <v>11051000</v>
      </c>
      <c r="AC5" s="8">
        <f>C5+P5</f>
        <v>11.051</v>
      </c>
      <c r="AD5" s="8">
        <f>D5+Q5</f>
        <v>33.926569999999998</v>
      </c>
    </row>
    <row r="6" spans="1:30" x14ac:dyDescent="0.2">
      <c r="A6" s="27">
        <v>41307</v>
      </c>
      <c r="B6" s="7">
        <f>'[4]Feb Prod'!I5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'[4]Feb Prod'!E5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'[4]Feb Prod'!F5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'[4]Feb Prod'!H5</f>
        <v>11570000</v>
      </c>
      <c r="P6" s="8">
        <f t="shared" ref="P6:P32" si="8">O6/1000000</f>
        <v>11.57</v>
      </c>
      <c r="Q6" s="10">
        <f t="shared" ref="Q6:Q32" si="9">P6*3.07</f>
        <v>35.5199</v>
      </c>
      <c r="R6" s="7">
        <f>'[4]Feb Prod'!C5</f>
        <v>11875000</v>
      </c>
      <c r="S6" s="8">
        <f t="shared" ref="S6:S32" si="10">R6/1000000</f>
        <v>11.875</v>
      </c>
      <c r="T6" s="10">
        <f t="shared" ref="T6:T32" si="11">S6*3.07</f>
        <v>36.456249999999997</v>
      </c>
      <c r="U6" s="7">
        <f>'[4]Feb Prod'!D5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'[4]Feb Prod'!D246</f>
        <v>304999.99999999994</v>
      </c>
      <c r="Y6" s="8">
        <f t="shared" ref="Y6:Y32" si="14">X6/1000000</f>
        <v>0.30499999999999994</v>
      </c>
      <c r="Z6" s="10">
        <f t="shared" ref="Z6:Z32" si="15">Y6*3.07</f>
        <v>0.93634999999999979</v>
      </c>
      <c r="AA6" s="15"/>
      <c r="AB6" s="7">
        <f t="shared" ref="AB6:AB17" si="16">B6+O6</f>
        <v>11570000</v>
      </c>
      <c r="AC6" s="8">
        <f t="shared" ref="AB6:AD34" si="17">C6+P6</f>
        <v>11.57</v>
      </c>
      <c r="AD6" s="8">
        <f t="shared" si="17"/>
        <v>35.5199</v>
      </c>
    </row>
    <row r="7" spans="1:30" x14ac:dyDescent="0.2">
      <c r="A7" s="27">
        <v>41308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218372</v>
      </c>
      <c r="L7" s="8">
        <f t="shared" si="6"/>
        <v>0.21837200000000001</v>
      </c>
      <c r="M7" s="10">
        <f t="shared" si="7"/>
        <v>0.67040204000000003</v>
      </c>
      <c r="N7" s="21"/>
      <c r="O7" s="7">
        <f>'[4]Feb Prod'!H6</f>
        <v>11567000</v>
      </c>
      <c r="P7" s="8">
        <f t="shared" si="8"/>
        <v>11.567</v>
      </c>
      <c r="Q7" s="10">
        <f t="shared" si="9"/>
        <v>35.510689999999997</v>
      </c>
      <c r="R7" s="7">
        <f>'[4]Feb Prod'!C6</f>
        <v>12039000</v>
      </c>
      <c r="S7" s="8">
        <f t="shared" si="10"/>
        <v>12.039</v>
      </c>
      <c r="T7" s="10">
        <f t="shared" si="11"/>
        <v>36.95973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472000</v>
      </c>
      <c r="Y7" s="8">
        <f t="shared" si="14"/>
        <v>0.47199999999999998</v>
      </c>
      <c r="Z7" s="10">
        <f t="shared" si="15"/>
        <v>1.4490399999999999</v>
      </c>
      <c r="AA7" s="15"/>
      <c r="AB7" s="7">
        <f t="shared" si="16"/>
        <v>11567000</v>
      </c>
      <c r="AC7" s="8">
        <f t="shared" si="17"/>
        <v>11.567</v>
      </c>
      <c r="AD7" s="8">
        <f t="shared" si="17"/>
        <v>35.510689999999997</v>
      </c>
    </row>
    <row r="8" spans="1:30" x14ac:dyDescent="0.2">
      <c r="A8" s="27">
        <v>41309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1"/>
      <c r="O8" s="7">
        <f>'[4]Feb Prod'!H7</f>
        <v>11482000</v>
      </c>
      <c r="P8" s="8">
        <f t="shared" si="8"/>
        <v>11.481999999999999</v>
      </c>
      <c r="Q8" s="10">
        <f t="shared" si="9"/>
        <v>35.249739999999996</v>
      </c>
      <c r="R8" s="7">
        <f>'[4]Feb Prod'!C7</f>
        <v>11824000</v>
      </c>
      <c r="S8" s="8">
        <f t="shared" si="10"/>
        <v>11.824</v>
      </c>
      <c r="T8" s="10">
        <f t="shared" si="11"/>
        <v>36.299679999999995</v>
      </c>
      <c r="U8" s="7">
        <f>'[4]Feb Prod'!D7</f>
        <v>1000</v>
      </c>
      <c r="V8" s="8">
        <f t="shared" si="12"/>
        <v>1E-3</v>
      </c>
      <c r="W8" s="10">
        <f t="shared" si="13"/>
        <v>3.0699999999999998E-3</v>
      </c>
      <c r="X8" s="7">
        <f>'[4]Feb Prod'!D248</f>
        <v>343000.00000000017</v>
      </c>
      <c r="Y8" s="8">
        <f t="shared" si="14"/>
        <v>0.34300000000000019</v>
      </c>
      <c r="Z8" s="10">
        <f t="shared" si="15"/>
        <v>1.0530100000000004</v>
      </c>
      <c r="AA8" s="15"/>
      <c r="AB8" s="7">
        <f t="shared" si="16"/>
        <v>11482000</v>
      </c>
      <c r="AC8" s="8">
        <f t="shared" si="17"/>
        <v>11.481999999999999</v>
      </c>
      <c r="AD8" s="8">
        <f>D8+Q8</f>
        <v>35.249739999999996</v>
      </c>
    </row>
    <row r="9" spans="1:30" x14ac:dyDescent="0.2">
      <c r="A9" s="27">
        <v>41310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1"/>
      <c r="O9" s="7">
        <f>'[4]Feb Prod'!H8</f>
        <v>11006000</v>
      </c>
      <c r="P9" s="8">
        <f t="shared" si="8"/>
        <v>11.006</v>
      </c>
      <c r="Q9" s="10">
        <f t="shared" si="9"/>
        <v>33.788420000000002</v>
      </c>
      <c r="R9" s="7">
        <f>'[4]Feb Prod'!C8</f>
        <v>11441000</v>
      </c>
      <c r="S9" s="8">
        <f t="shared" si="10"/>
        <v>11.441000000000001</v>
      </c>
      <c r="T9" s="10">
        <f t="shared" si="11"/>
        <v>35.123870000000004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435000.00000000006</v>
      </c>
      <c r="Y9" s="8">
        <f t="shared" si="14"/>
        <v>0.43500000000000005</v>
      </c>
      <c r="Z9" s="10">
        <f t="shared" si="15"/>
        <v>1.33545</v>
      </c>
      <c r="AA9" s="15"/>
      <c r="AB9" s="7">
        <f t="shared" si="16"/>
        <v>11006000</v>
      </c>
      <c r="AC9" s="8">
        <f t="shared" si="17"/>
        <v>11.006</v>
      </c>
      <c r="AD9" s="8">
        <f t="shared" si="17"/>
        <v>33.788420000000002</v>
      </c>
    </row>
    <row r="10" spans="1:30" x14ac:dyDescent="0.2">
      <c r="A10" s="27">
        <v>41311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0</v>
      </c>
      <c r="L10" s="8">
        <f t="shared" si="6"/>
        <v>0</v>
      </c>
      <c r="M10" s="10">
        <f t="shared" si="7"/>
        <v>0</v>
      </c>
      <c r="N10" s="21"/>
      <c r="O10" s="7">
        <f>'[4]Feb Prod'!H9</f>
        <v>10523000</v>
      </c>
      <c r="P10" s="8">
        <f t="shared" si="8"/>
        <v>10.523</v>
      </c>
      <c r="Q10" s="10">
        <f t="shared" si="9"/>
        <v>32.305609999999994</v>
      </c>
      <c r="R10" s="7">
        <f>'[4]Feb Prod'!C9</f>
        <v>10891000</v>
      </c>
      <c r="S10" s="8">
        <f t="shared" si="10"/>
        <v>10.891</v>
      </c>
      <c r="T10" s="10">
        <f t="shared" si="11"/>
        <v>33.435369999999999</v>
      </c>
      <c r="U10" s="7">
        <f>'[4]Feb Prod'!D9</f>
        <v>2000</v>
      </c>
      <c r="V10" s="8">
        <f t="shared" si="12"/>
        <v>2E-3</v>
      </c>
      <c r="W10" s="10">
        <f t="shared" si="13"/>
        <v>6.1399999999999996E-3</v>
      </c>
      <c r="X10" s="7">
        <f>'[4]Feb Prod'!D250</f>
        <v>369999.99999999965</v>
      </c>
      <c r="Y10" s="8">
        <f t="shared" si="14"/>
        <v>0.36999999999999966</v>
      </c>
      <c r="Z10" s="10">
        <f t="shared" si="15"/>
        <v>1.1358999999999988</v>
      </c>
      <c r="AA10" s="15"/>
      <c r="AB10" s="7">
        <f t="shared" si="16"/>
        <v>10523000</v>
      </c>
      <c r="AC10" s="8">
        <f t="shared" si="17"/>
        <v>10.523</v>
      </c>
      <c r="AD10" s="8">
        <f t="shared" si="17"/>
        <v>32.305609999999994</v>
      </c>
    </row>
    <row r="11" spans="1:30" x14ac:dyDescent="0.2">
      <c r="A11" s="27">
        <v>41312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1"/>
      <c r="O11" s="7">
        <f>'[4]Feb Prod'!H10</f>
        <v>10716000</v>
      </c>
      <c r="P11" s="8">
        <f t="shared" si="8"/>
        <v>10.715999999999999</v>
      </c>
      <c r="Q11" s="10">
        <f t="shared" si="9"/>
        <v>32.898119999999999</v>
      </c>
      <c r="R11" s="7">
        <f>'[4]Feb Prod'!C10</f>
        <v>11085000</v>
      </c>
      <c r="S11" s="8">
        <f t="shared" si="10"/>
        <v>11.085000000000001</v>
      </c>
      <c r="T11" s="10">
        <f t="shared" si="11"/>
        <v>34.030950000000004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369000.00000000023</v>
      </c>
      <c r="Y11" s="8">
        <f t="shared" si="14"/>
        <v>0.36900000000000022</v>
      </c>
      <c r="Z11" s="10">
        <f t="shared" si="15"/>
        <v>1.1328300000000007</v>
      </c>
      <c r="AA11" s="15"/>
      <c r="AB11" s="7">
        <f t="shared" si="16"/>
        <v>10716000</v>
      </c>
      <c r="AC11" s="8">
        <f t="shared" si="17"/>
        <v>10.715999999999999</v>
      </c>
      <c r="AD11" s="8">
        <f t="shared" si="17"/>
        <v>32.898119999999999</v>
      </c>
    </row>
    <row r="12" spans="1:30" x14ac:dyDescent="0.2">
      <c r="A12" s="27">
        <v>41313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1"/>
      <c r="O12" s="7">
        <f>'[4]Feb Prod'!H11</f>
        <v>11392000</v>
      </c>
      <c r="P12" s="8">
        <f t="shared" si="8"/>
        <v>11.391999999999999</v>
      </c>
      <c r="Q12" s="10">
        <f t="shared" si="9"/>
        <v>34.973439999999997</v>
      </c>
      <c r="R12" s="7">
        <f>'[4]Feb Prod'!C11</f>
        <v>11827000</v>
      </c>
      <c r="S12" s="8">
        <f t="shared" si="10"/>
        <v>11.827</v>
      </c>
      <c r="T12" s="10">
        <f t="shared" si="11"/>
        <v>36.308889999999998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435000.00000000006</v>
      </c>
      <c r="Y12" s="8">
        <f t="shared" si="14"/>
        <v>0.43500000000000005</v>
      </c>
      <c r="Z12" s="10">
        <f t="shared" si="15"/>
        <v>1.33545</v>
      </c>
      <c r="AA12" s="15"/>
      <c r="AB12" s="7">
        <f t="shared" si="16"/>
        <v>11392000</v>
      </c>
      <c r="AC12" s="8">
        <f t="shared" si="17"/>
        <v>11.391999999999999</v>
      </c>
      <c r="AD12" s="8">
        <f t="shared" si="17"/>
        <v>34.973439999999997</v>
      </c>
    </row>
    <row r="13" spans="1:30" x14ac:dyDescent="0.2">
      <c r="A13" s="27">
        <v>41314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0</v>
      </c>
      <c r="F13" s="8">
        <f t="shared" si="2"/>
        <v>0</v>
      </c>
      <c r="G13" s="10">
        <f t="shared" si="3"/>
        <v>0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1"/>
      <c r="O13" s="7">
        <f>'[4]Feb Prod'!H12</f>
        <v>11637000</v>
      </c>
      <c r="P13" s="8">
        <f t="shared" si="8"/>
        <v>11.637</v>
      </c>
      <c r="Q13" s="10">
        <f t="shared" si="9"/>
        <v>35.725589999999997</v>
      </c>
      <c r="R13" s="7">
        <f>'[4]Feb Prod'!C12</f>
        <v>12005000</v>
      </c>
      <c r="S13" s="8">
        <f t="shared" si="10"/>
        <v>12.005000000000001</v>
      </c>
      <c r="T13" s="10">
        <f t="shared" si="11"/>
        <v>36.855350000000001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367999.99999999988</v>
      </c>
      <c r="Y13" s="8">
        <f t="shared" si="14"/>
        <v>0.36799999999999988</v>
      </c>
      <c r="Z13" s="10">
        <f t="shared" si="15"/>
        <v>1.1297599999999997</v>
      </c>
      <c r="AA13" s="15"/>
      <c r="AB13" s="7">
        <f t="shared" si="16"/>
        <v>11637000</v>
      </c>
      <c r="AC13" s="8">
        <f t="shared" si="17"/>
        <v>11.637</v>
      </c>
      <c r="AD13" s="8">
        <f t="shared" si="17"/>
        <v>35.725589999999997</v>
      </c>
    </row>
    <row r="14" spans="1:30" x14ac:dyDescent="0.2">
      <c r="A14" s="27">
        <v>41315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0</v>
      </c>
      <c r="F14" s="8">
        <f t="shared" si="2"/>
        <v>0</v>
      </c>
      <c r="G14" s="10">
        <f t="shared" si="3"/>
        <v>0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1"/>
      <c r="O14" s="7">
        <f>'[4]Feb Prod'!H13</f>
        <v>11691000</v>
      </c>
      <c r="P14" s="8">
        <f t="shared" si="8"/>
        <v>11.691000000000001</v>
      </c>
      <c r="Q14" s="10">
        <f t="shared" si="9"/>
        <v>35.891370000000002</v>
      </c>
      <c r="R14" s="7">
        <f>'[4]Feb Prod'!C13</f>
        <v>12124000</v>
      </c>
      <c r="S14" s="8">
        <f t="shared" si="10"/>
        <v>12.124000000000001</v>
      </c>
      <c r="T14" s="10">
        <f t="shared" si="11"/>
        <v>37.220680000000002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432999.99999999983</v>
      </c>
      <c r="Y14" s="8">
        <f t="shared" si="14"/>
        <v>0.43299999999999983</v>
      </c>
      <c r="Z14" s="10">
        <f t="shared" si="15"/>
        <v>1.3293099999999993</v>
      </c>
      <c r="AA14" s="15"/>
      <c r="AB14" s="7">
        <f t="shared" si="16"/>
        <v>11691000</v>
      </c>
      <c r="AC14" s="8">
        <f t="shared" si="17"/>
        <v>11.691000000000001</v>
      </c>
      <c r="AD14" s="8">
        <f t="shared" si="17"/>
        <v>35.891370000000002</v>
      </c>
    </row>
    <row r="15" spans="1:30" x14ac:dyDescent="0.2">
      <c r="A15" s="27">
        <v>41316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0</v>
      </c>
      <c r="F15" s="8">
        <f t="shared" si="2"/>
        <v>0</v>
      </c>
      <c r="G15" s="10">
        <f t="shared" si="3"/>
        <v>0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74377</v>
      </c>
      <c r="L15" s="8">
        <f t="shared" si="6"/>
        <v>7.4376999999999999E-2</v>
      </c>
      <c r="M15" s="10">
        <f t="shared" si="7"/>
        <v>0.22833738999999997</v>
      </c>
      <c r="N15" s="21"/>
      <c r="O15" s="7">
        <f>'[4]Feb Prod'!H14</f>
        <v>11633000</v>
      </c>
      <c r="P15" s="8">
        <f t="shared" si="8"/>
        <v>11.632999999999999</v>
      </c>
      <c r="Q15" s="10">
        <f t="shared" si="9"/>
        <v>35.713309999999993</v>
      </c>
      <c r="R15" s="7">
        <f>'[4]Feb Prod'!C14</f>
        <v>12057000</v>
      </c>
      <c r="S15" s="8">
        <f t="shared" si="10"/>
        <v>12.057</v>
      </c>
      <c r="T15" s="10">
        <f t="shared" si="11"/>
        <v>37.014989999999997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424000.00000000035</v>
      </c>
      <c r="Y15" s="8">
        <f t="shared" si="14"/>
        <v>0.42400000000000038</v>
      </c>
      <c r="Z15" s="10">
        <f t="shared" si="15"/>
        <v>1.3016800000000011</v>
      </c>
      <c r="AA15" s="15"/>
      <c r="AB15" s="7">
        <f t="shared" si="16"/>
        <v>11633000</v>
      </c>
      <c r="AC15" s="8">
        <f t="shared" si="17"/>
        <v>11.632999999999999</v>
      </c>
      <c r="AD15" s="8">
        <f t="shared" si="17"/>
        <v>35.713309999999993</v>
      </c>
    </row>
    <row r="16" spans="1:30" x14ac:dyDescent="0.2">
      <c r="A16" s="27">
        <v>41317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0</v>
      </c>
      <c r="F16" s="8">
        <f t="shared" si="2"/>
        <v>0</v>
      </c>
      <c r="G16" s="10">
        <f t="shared" si="3"/>
        <v>0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1"/>
      <c r="O16" s="7">
        <f>'[4]Feb Prod'!H15</f>
        <v>11509000</v>
      </c>
      <c r="P16" s="8">
        <f t="shared" si="8"/>
        <v>11.509</v>
      </c>
      <c r="Q16" s="10">
        <f t="shared" si="9"/>
        <v>35.332630000000002</v>
      </c>
      <c r="R16" s="7">
        <f>'[4]Feb Prod'!C15</f>
        <v>11783000</v>
      </c>
      <c r="S16" s="8">
        <f t="shared" si="10"/>
        <v>11.782999999999999</v>
      </c>
      <c r="T16" s="10">
        <f t="shared" si="11"/>
        <v>36.173809999999996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274000</v>
      </c>
      <c r="Y16" s="8">
        <f t="shared" si="14"/>
        <v>0.27400000000000002</v>
      </c>
      <c r="Z16" s="10">
        <f t="shared" si="15"/>
        <v>0.84118000000000004</v>
      </c>
      <c r="AA16" s="15"/>
      <c r="AB16" s="7">
        <f t="shared" si="16"/>
        <v>11509000</v>
      </c>
      <c r="AC16" s="8">
        <f t="shared" si="17"/>
        <v>11.509</v>
      </c>
      <c r="AD16" s="8">
        <f t="shared" si="17"/>
        <v>35.332630000000002</v>
      </c>
    </row>
    <row r="17" spans="1:30" x14ac:dyDescent="0.2">
      <c r="A17" s="27">
        <v>41318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0</v>
      </c>
      <c r="F17" s="8">
        <f t="shared" si="2"/>
        <v>0</v>
      </c>
      <c r="G17" s="10">
        <f t="shared" si="3"/>
        <v>0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1"/>
      <c r="O17" s="7">
        <f>'[4]Feb Prod'!H16</f>
        <v>11736000</v>
      </c>
      <c r="P17" s="8">
        <f t="shared" si="8"/>
        <v>11.736000000000001</v>
      </c>
      <c r="Q17" s="10">
        <f t="shared" si="9"/>
        <v>36.029519999999998</v>
      </c>
      <c r="R17" s="7">
        <f>'[4]Feb Prod'!C16</f>
        <v>12104000</v>
      </c>
      <c r="S17" s="8">
        <f t="shared" si="10"/>
        <v>12.103999999999999</v>
      </c>
      <c r="T17" s="10">
        <f t="shared" si="11"/>
        <v>37.159279999999995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367999.99999999942</v>
      </c>
      <c r="Y17" s="8">
        <f t="shared" si="14"/>
        <v>0.36799999999999944</v>
      </c>
      <c r="Z17" s="10">
        <f t="shared" si="15"/>
        <v>1.1297599999999983</v>
      </c>
      <c r="AA17" s="15"/>
      <c r="AB17" s="7">
        <f t="shared" si="16"/>
        <v>11736000</v>
      </c>
      <c r="AC17" s="8">
        <f t="shared" si="17"/>
        <v>11.736000000000001</v>
      </c>
      <c r="AD17" s="8">
        <f t="shared" si="17"/>
        <v>36.029519999999998</v>
      </c>
    </row>
    <row r="18" spans="1:30" x14ac:dyDescent="0.2">
      <c r="A18" s="27">
        <v>41319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0</v>
      </c>
      <c r="F18" s="8">
        <f t="shared" si="2"/>
        <v>0</v>
      </c>
      <c r="G18" s="10">
        <f t="shared" si="3"/>
        <v>0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'[4]Feb Prod'!H17</f>
        <v>11671000</v>
      </c>
      <c r="P18" s="8">
        <f t="shared" si="8"/>
        <v>11.670999999999999</v>
      </c>
      <c r="Q18" s="10">
        <f t="shared" si="9"/>
        <v>35.829969999999996</v>
      </c>
      <c r="R18" s="7">
        <f>'[4]Feb Prod'!C17</f>
        <v>12078000</v>
      </c>
      <c r="S18" s="8">
        <f t="shared" si="10"/>
        <v>12.077999999999999</v>
      </c>
      <c r="T18" s="10">
        <f t="shared" si="11"/>
        <v>37.079459999999997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407000</v>
      </c>
      <c r="Y18" s="8">
        <f t="shared" si="14"/>
        <v>0.40699999999999997</v>
      </c>
      <c r="Z18" s="10">
        <f t="shared" si="15"/>
        <v>1.2494899999999998</v>
      </c>
      <c r="AA18" s="15"/>
      <c r="AB18" s="7">
        <f t="shared" si="17"/>
        <v>11671000</v>
      </c>
      <c r="AC18" s="8">
        <f t="shared" si="17"/>
        <v>11.670999999999999</v>
      </c>
      <c r="AD18" s="8">
        <f t="shared" si="17"/>
        <v>35.829969999999996</v>
      </c>
    </row>
    <row r="19" spans="1:30" x14ac:dyDescent="0.2">
      <c r="A19" s="27">
        <v>41320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0</v>
      </c>
      <c r="F19" s="8">
        <f t="shared" si="2"/>
        <v>0</v>
      </c>
      <c r="G19" s="10">
        <f t="shared" si="3"/>
        <v>0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0</v>
      </c>
      <c r="L19" s="8">
        <f t="shared" si="18"/>
        <v>0</v>
      </c>
      <c r="M19" s="10">
        <f t="shared" si="19"/>
        <v>0</v>
      </c>
      <c r="N19" s="21"/>
      <c r="O19" s="7">
        <f>'[4]Feb Prod'!H18</f>
        <v>11655000</v>
      </c>
      <c r="P19" s="8">
        <f t="shared" si="8"/>
        <v>11.654999999999999</v>
      </c>
      <c r="Q19" s="10">
        <f t="shared" si="9"/>
        <v>35.780849999999994</v>
      </c>
      <c r="R19" s="7">
        <f>'[4]Feb Prod'!C18</f>
        <v>11974000</v>
      </c>
      <c r="S19" s="8">
        <f t="shared" si="10"/>
        <v>11.974</v>
      </c>
      <c r="T19" s="10">
        <f t="shared" si="11"/>
        <v>36.760179999999998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318999.99999999994</v>
      </c>
      <c r="Y19" s="8">
        <f t="shared" si="14"/>
        <v>0.31899999999999995</v>
      </c>
      <c r="Z19" s="10">
        <f t="shared" si="15"/>
        <v>0.97932999999999981</v>
      </c>
      <c r="AA19" s="15"/>
      <c r="AB19" s="7">
        <f t="shared" si="17"/>
        <v>11655000</v>
      </c>
      <c r="AC19" s="8">
        <f t="shared" si="17"/>
        <v>11.654999999999999</v>
      </c>
      <c r="AD19" s="8">
        <f>D19+Q19</f>
        <v>35.780849999999994</v>
      </c>
    </row>
    <row r="20" spans="1:30" x14ac:dyDescent="0.2">
      <c r="A20" s="27">
        <v>41321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0</v>
      </c>
      <c r="F20" s="8">
        <f t="shared" si="2"/>
        <v>0</v>
      </c>
      <c r="G20" s="10">
        <f t="shared" si="3"/>
        <v>0</v>
      </c>
      <c r="H20" s="7">
        <f>'[4]Feb Prod'!F19</f>
        <v>0</v>
      </c>
      <c r="I20" s="8">
        <f t="shared" si="4"/>
        <v>0</v>
      </c>
      <c r="J20" s="10">
        <f t="shared" si="5"/>
        <v>0</v>
      </c>
      <c r="K20" s="7">
        <f>'[4]Feb Prod'!H260</f>
        <v>0</v>
      </c>
      <c r="L20" s="8">
        <f t="shared" si="18"/>
        <v>0</v>
      </c>
      <c r="M20" s="10">
        <f t="shared" si="19"/>
        <v>0</v>
      </c>
      <c r="N20" s="21"/>
      <c r="O20" s="7">
        <f>'[4]Feb Prod'!H19</f>
        <v>11702000</v>
      </c>
      <c r="P20" s="8">
        <f t="shared" si="8"/>
        <v>11.702</v>
      </c>
      <c r="Q20" s="10">
        <f t="shared" si="9"/>
        <v>35.925139999999999</v>
      </c>
      <c r="R20" s="7">
        <f>'[4]Feb Prod'!C19</f>
        <v>12034000</v>
      </c>
      <c r="S20" s="8">
        <f t="shared" si="10"/>
        <v>12.034000000000001</v>
      </c>
      <c r="T20" s="10">
        <f t="shared" si="11"/>
        <v>36.944380000000002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332000.00000000076</v>
      </c>
      <c r="Y20" s="8">
        <f t="shared" si="14"/>
        <v>0.33200000000000074</v>
      </c>
      <c r="Z20" s="10">
        <f t="shared" si="15"/>
        <v>1.0192400000000021</v>
      </c>
      <c r="AA20" s="15"/>
      <c r="AB20" s="7">
        <f t="shared" si="17"/>
        <v>11702000</v>
      </c>
      <c r="AC20" s="8">
        <f t="shared" si="17"/>
        <v>11.702</v>
      </c>
      <c r="AD20" s="8">
        <f t="shared" si="17"/>
        <v>35.925139999999999</v>
      </c>
    </row>
    <row r="21" spans="1:30" x14ac:dyDescent="0.2">
      <c r="A21" s="27">
        <v>41322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0</v>
      </c>
      <c r="F21" s="8">
        <f t="shared" si="2"/>
        <v>0</v>
      </c>
      <c r="G21" s="10">
        <f t="shared" si="3"/>
        <v>0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117803</v>
      </c>
      <c r="L21" s="8">
        <f t="shared" si="6"/>
        <v>0.117803</v>
      </c>
      <c r="M21" s="10">
        <f t="shared" si="7"/>
        <v>0.36165521</v>
      </c>
      <c r="N21" s="21"/>
      <c r="O21" s="7">
        <f>'[4]Feb Prod'!H20</f>
        <v>11479000</v>
      </c>
      <c r="P21" s="8">
        <f t="shared" si="8"/>
        <v>11.478999999999999</v>
      </c>
      <c r="Q21" s="10">
        <f t="shared" si="9"/>
        <v>35.240529999999993</v>
      </c>
      <c r="R21" s="7">
        <f>'[4]Feb Prod'!C20</f>
        <v>11812000</v>
      </c>
      <c r="S21" s="8">
        <f t="shared" si="10"/>
        <v>11.811999999999999</v>
      </c>
      <c r="T21" s="10">
        <f t="shared" si="11"/>
        <v>36.262839999999997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332999.9999999993</v>
      </c>
      <c r="Y21" s="8">
        <f t="shared" si="14"/>
        <v>0.3329999999999993</v>
      </c>
      <c r="Z21" s="10">
        <f t="shared" si="15"/>
        <v>1.0223099999999978</v>
      </c>
      <c r="AA21" s="15"/>
      <c r="AB21" s="7">
        <f t="shared" si="17"/>
        <v>11479000</v>
      </c>
      <c r="AC21" s="8">
        <f t="shared" si="17"/>
        <v>11.478999999999999</v>
      </c>
      <c r="AD21" s="8">
        <f t="shared" si="17"/>
        <v>35.240529999999993</v>
      </c>
    </row>
    <row r="22" spans="1:30" x14ac:dyDescent="0.2">
      <c r="A22" s="27">
        <v>41323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0</v>
      </c>
      <c r="F22" s="8">
        <f t="shared" si="2"/>
        <v>0</v>
      </c>
      <c r="G22" s="10">
        <f t="shared" si="3"/>
        <v>0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39293</v>
      </c>
      <c r="L22" s="8">
        <f t="shared" si="6"/>
        <v>3.9293000000000002E-2</v>
      </c>
      <c r="M22" s="10">
        <f t="shared" si="7"/>
        <v>0.12062951</v>
      </c>
      <c r="N22" s="21"/>
      <c r="O22" s="7">
        <f>'[4]Feb Prod'!H21</f>
        <v>11570000</v>
      </c>
      <c r="P22" s="8">
        <f t="shared" si="8"/>
        <v>11.57</v>
      </c>
      <c r="Q22" s="10">
        <f t="shared" si="9"/>
        <v>35.5199</v>
      </c>
      <c r="R22" s="7">
        <f>'[4]Feb Prod'!C21</f>
        <v>11975000</v>
      </c>
      <c r="S22" s="8">
        <f t="shared" si="10"/>
        <v>11.975</v>
      </c>
      <c r="T22" s="10">
        <f t="shared" si="11"/>
        <v>36.763249999999999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405000.00000000023</v>
      </c>
      <c r="Y22" s="8">
        <f t="shared" si="14"/>
        <v>0.40500000000000025</v>
      </c>
      <c r="Z22" s="10">
        <f t="shared" si="15"/>
        <v>1.2433500000000006</v>
      </c>
      <c r="AA22" s="15"/>
      <c r="AB22" s="7">
        <f t="shared" si="17"/>
        <v>11570000</v>
      </c>
      <c r="AC22" s="8">
        <f t="shared" si="17"/>
        <v>11.57</v>
      </c>
      <c r="AD22" s="8">
        <f t="shared" si="17"/>
        <v>35.5199</v>
      </c>
    </row>
    <row r="23" spans="1:30" x14ac:dyDescent="0.2">
      <c r="A23" s="27">
        <v>41324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0</v>
      </c>
      <c r="F23" s="8">
        <f t="shared" si="2"/>
        <v>0</v>
      </c>
      <c r="G23" s="10">
        <f t="shared" si="3"/>
        <v>0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1"/>
      <c r="O23" s="7">
        <f>'[4]Feb Prod'!H22</f>
        <v>11887000</v>
      </c>
      <c r="P23" s="8">
        <f t="shared" si="8"/>
        <v>11.887</v>
      </c>
      <c r="Q23" s="10">
        <f t="shared" si="9"/>
        <v>36.493090000000002</v>
      </c>
      <c r="R23" s="7">
        <f>'[4]Feb Prod'!C22</f>
        <v>12304000</v>
      </c>
      <c r="S23" s="8">
        <f t="shared" si="10"/>
        <v>12.304</v>
      </c>
      <c r="T23" s="10">
        <f t="shared" si="11"/>
        <v>37.77328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416999.99999999983</v>
      </c>
      <c r="Y23" s="8">
        <f t="shared" si="14"/>
        <v>0.41699999999999982</v>
      </c>
      <c r="Z23" s="10">
        <f t="shared" si="15"/>
        <v>1.2801899999999993</v>
      </c>
      <c r="AA23" s="15"/>
      <c r="AB23" s="7">
        <f t="shared" si="17"/>
        <v>11887000</v>
      </c>
      <c r="AC23" s="8">
        <f t="shared" si="17"/>
        <v>11.887</v>
      </c>
      <c r="AD23" s="8">
        <f t="shared" si="17"/>
        <v>36.493090000000002</v>
      </c>
    </row>
    <row r="24" spans="1:30" x14ac:dyDescent="0.2">
      <c r="A24" s="27">
        <v>41325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0</v>
      </c>
      <c r="F24" s="8">
        <f t="shared" si="2"/>
        <v>0</v>
      </c>
      <c r="G24" s="10">
        <f t="shared" si="3"/>
        <v>0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'[4]Feb Prod'!H23</f>
        <v>11585999.999999998</v>
      </c>
      <c r="P24" s="8">
        <f t="shared" si="8"/>
        <v>11.585999999999999</v>
      </c>
      <c r="Q24" s="10">
        <f t="shared" si="9"/>
        <v>35.569019999999995</v>
      </c>
      <c r="R24" s="7">
        <f>'[4]Feb Prod'!C23</f>
        <v>11942000</v>
      </c>
      <c r="S24" s="8">
        <f t="shared" si="10"/>
        <v>11.942</v>
      </c>
      <c r="T24" s="10">
        <f t="shared" si="11"/>
        <v>36.661940000000001</v>
      </c>
      <c r="U24" s="7">
        <f>'[4]Feb Prod'!D23</f>
        <v>6000</v>
      </c>
      <c r="V24" s="8">
        <f t="shared" si="12"/>
        <v>6.0000000000000001E-3</v>
      </c>
      <c r="W24" s="10">
        <f t="shared" si="13"/>
        <v>1.8419999999999999E-2</v>
      </c>
      <c r="X24" s="7">
        <f>'[4]Feb Prod'!D264</f>
        <v>362000.00000000099</v>
      </c>
      <c r="Y24" s="8">
        <f t="shared" si="14"/>
        <v>0.36200000000000099</v>
      </c>
      <c r="Z24" s="10">
        <f t="shared" si="15"/>
        <v>1.1113400000000029</v>
      </c>
      <c r="AA24" s="15"/>
      <c r="AB24" s="7">
        <f t="shared" si="17"/>
        <v>11585999.999999998</v>
      </c>
      <c r="AC24" s="8">
        <f t="shared" si="17"/>
        <v>11.585999999999999</v>
      </c>
      <c r="AD24" s="8">
        <f>D24+Q24</f>
        <v>35.569019999999995</v>
      </c>
    </row>
    <row r="25" spans="1:30" x14ac:dyDescent="0.2">
      <c r="A25" s="27">
        <v>41326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20"/>
        <v>0</v>
      </c>
      <c r="M25" s="10">
        <f t="shared" si="7"/>
        <v>0</v>
      </c>
      <c r="N25" s="21"/>
      <c r="O25" s="7">
        <f>'[4]Feb Prod'!H24</f>
        <v>10966000</v>
      </c>
      <c r="P25" s="8">
        <f t="shared" si="8"/>
        <v>10.965999999999999</v>
      </c>
      <c r="Q25" s="10">
        <f t="shared" si="9"/>
        <v>33.665619999999997</v>
      </c>
      <c r="R25" s="7">
        <f>'[4]Feb Prod'!C24</f>
        <v>11745000</v>
      </c>
      <c r="S25" s="8">
        <f t="shared" si="10"/>
        <v>11.744999999999999</v>
      </c>
      <c r="T25" s="10">
        <f t="shared" si="11"/>
        <v>36.057149999999993</v>
      </c>
      <c r="U25" s="7">
        <f>'[4]Feb Prod'!D24</f>
        <v>385000</v>
      </c>
      <c r="V25" s="8">
        <f t="shared" si="12"/>
        <v>0.38500000000000001</v>
      </c>
      <c r="W25" s="10">
        <f t="shared" si="13"/>
        <v>1.1819500000000001</v>
      </c>
      <c r="X25" s="7">
        <f>'[4]Feb Prod'!D265</f>
        <v>394000.00000000012</v>
      </c>
      <c r="Y25" s="8">
        <f t="shared" si="14"/>
        <v>0.39400000000000013</v>
      </c>
      <c r="Z25" s="10">
        <f t="shared" si="15"/>
        <v>1.2095800000000003</v>
      </c>
      <c r="AA25" s="15"/>
      <c r="AB25" s="7">
        <f t="shared" si="17"/>
        <v>10966000</v>
      </c>
      <c r="AC25" s="8">
        <f t="shared" si="17"/>
        <v>10.965999999999999</v>
      </c>
      <c r="AD25" s="8">
        <f t="shared" si="17"/>
        <v>33.665619999999997</v>
      </c>
    </row>
    <row r="26" spans="1:30" x14ac:dyDescent="0.2">
      <c r="A26" s="27">
        <v>41327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0</v>
      </c>
      <c r="L26" s="8">
        <f t="shared" si="20"/>
        <v>0</v>
      </c>
      <c r="M26" s="10">
        <f t="shared" si="7"/>
        <v>0</v>
      </c>
      <c r="N26" s="21"/>
      <c r="O26" s="7">
        <f>'[4]Feb Prod'!H25</f>
        <v>10581000</v>
      </c>
      <c r="P26" s="8">
        <f t="shared" si="8"/>
        <v>10.581</v>
      </c>
      <c r="Q26" s="10">
        <f t="shared" si="9"/>
        <v>32.483669999999996</v>
      </c>
      <c r="R26" s="7">
        <f>'[4]Feb Prod'!C25</f>
        <v>11024000</v>
      </c>
      <c r="S26" s="8">
        <f t="shared" si="10"/>
        <v>11.023999999999999</v>
      </c>
      <c r="T26" s="10">
        <f t="shared" si="11"/>
        <v>33.843679999999999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442999.99999999959</v>
      </c>
      <c r="Y26" s="8">
        <f t="shared" si="14"/>
        <v>0.44299999999999962</v>
      </c>
      <c r="Z26" s="10">
        <f t="shared" si="15"/>
        <v>1.3600099999999988</v>
      </c>
      <c r="AA26" s="15"/>
      <c r="AB26" s="7">
        <f t="shared" si="17"/>
        <v>10581000</v>
      </c>
      <c r="AC26" s="8">
        <f t="shared" si="17"/>
        <v>10.581</v>
      </c>
      <c r="AD26" s="8">
        <f t="shared" si="17"/>
        <v>32.483669999999996</v>
      </c>
    </row>
    <row r="27" spans="1:30" x14ac:dyDescent="0.2">
      <c r="A27" s="27">
        <v>41328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20"/>
        <v>0</v>
      </c>
      <c r="M27" s="10">
        <f t="shared" si="7"/>
        <v>0</v>
      </c>
      <c r="N27" s="21"/>
      <c r="O27" s="7">
        <f>'[4]Feb Prod'!H26</f>
        <v>11081000.000000002</v>
      </c>
      <c r="P27" s="8">
        <f t="shared" si="8"/>
        <v>11.081000000000001</v>
      </c>
      <c r="Q27" s="10">
        <f t="shared" si="9"/>
        <v>34.01867</v>
      </c>
      <c r="R27" s="7">
        <f>'[4]Feb Prod'!C26</f>
        <v>11474000</v>
      </c>
      <c r="S27" s="8">
        <f t="shared" si="10"/>
        <v>11.474</v>
      </c>
      <c r="T27" s="10">
        <f t="shared" si="11"/>
        <v>35.225180000000002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392999.99999999889</v>
      </c>
      <c r="Y27" s="8">
        <f t="shared" si="14"/>
        <v>0.39299999999999891</v>
      </c>
      <c r="Z27" s="10">
        <f t="shared" si="15"/>
        <v>1.2065099999999966</v>
      </c>
      <c r="AA27" s="15"/>
      <c r="AB27" s="7">
        <f t="shared" si="17"/>
        <v>11081000.000000002</v>
      </c>
      <c r="AC27" s="8">
        <f t="shared" si="17"/>
        <v>11.081000000000001</v>
      </c>
      <c r="AD27" s="8">
        <f t="shared" si="17"/>
        <v>34.01867</v>
      </c>
    </row>
    <row r="28" spans="1:30" x14ac:dyDescent="0.2">
      <c r="A28" s="27">
        <v>41329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620000</v>
      </c>
      <c r="I28" s="8">
        <f t="shared" si="4"/>
        <v>0.62</v>
      </c>
      <c r="J28" s="10">
        <f t="shared" si="5"/>
        <v>1.9034</v>
      </c>
      <c r="K28" s="7">
        <f>'[4]Feb Prod'!H268</f>
        <v>0</v>
      </c>
      <c r="L28" s="8">
        <f t="shared" si="20"/>
        <v>0</v>
      </c>
      <c r="M28" s="10">
        <f t="shared" si="7"/>
        <v>0</v>
      </c>
      <c r="N28" s="21"/>
      <c r="O28" s="7">
        <f>'[4]Feb Prod'!H27</f>
        <v>10614000</v>
      </c>
      <c r="P28" s="8">
        <f t="shared" si="8"/>
        <v>10.614000000000001</v>
      </c>
      <c r="Q28" s="10">
        <f t="shared" si="9"/>
        <v>32.584980000000002</v>
      </c>
      <c r="R28" s="7">
        <f>'[4]Feb Prod'!C27</f>
        <v>11555000</v>
      </c>
      <c r="S28" s="8">
        <f t="shared" si="10"/>
        <v>11.555</v>
      </c>
      <c r="T28" s="10">
        <f t="shared" si="11"/>
        <v>35.473849999999999</v>
      </c>
      <c r="U28" s="7">
        <f>'[4]Feb Prod'!D27</f>
        <v>635000</v>
      </c>
      <c r="V28" s="8">
        <f t="shared" si="12"/>
        <v>0.63500000000000001</v>
      </c>
      <c r="W28" s="10">
        <f t="shared" si="13"/>
        <v>1.9494499999999999</v>
      </c>
      <c r="X28" s="7">
        <f>'[4]Feb Prod'!D268</f>
        <v>306000.00000000093</v>
      </c>
      <c r="Y28" s="8">
        <f t="shared" si="14"/>
        <v>0.30600000000000094</v>
      </c>
      <c r="Z28" s="10">
        <f t="shared" si="15"/>
        <v>0.93942000000000281</v>
      </c>
      <c r="AA28" s="15"/>
      <c r="AB28" s="7">
        <f t="shared" si="17"/>
        <v>10614000</v>
      </c>
      <c r="AC28" s="8">
        <f t="shared" si="17"/>
        <v>10.614000000000001</v>
      </c>
      <c r="AD28" s="8">
        <f t="shared" si="17"/>
        <v>32.584980000000002</v>
      </c>
    </row>
    <row r="29" spans="1:30" x14ac:dyDescent="0.2">
      <c r="A29" s="27">
        <v>41330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680000</v>
      </c>
      <c r="I29" s="8">
        <f t="shared" si="4"/>
        <v>0.68</v>
      </c>
      <c r="J29" s="10">
        <f t="shared" si="5"/>
        <v>2.0876000000000001</v>
      </c>
      <c r="K29" s="7">
        <f>'[4]Feb Prod'!H269</f>
        <v>0</v>
      </c>
      <c r="L29" s="8">
        <f t="shared" si="20"/>
        <v>0</v>
      </c>
      <c r="M29" s="10">
        <f t="shared" si="7"/>
        <v>0</v>
      </c>
      <c r="N29" s="21"/>
      <c r="O29" s="7">
        <f>'[4]Feb Prod'!H28</f>
        <v>12010000</v>
      </c>
      <c r="P29" s="8">
        <f t="shared" si="8"/>
        <v>12.01</v>
      </c>
      <c r="Q29" s="10">
        <f t="shared" si="9"/>
        <v>36.870699999999999</v>
      </c>
      <c r="R29" s="7">
        <f>'[4]Feb Prod'!C28</f>
        <v>12384000</v>
      </c>
      <c r="S29" s="8">
        <f t="shared" si="10"/>
        <v>12.384</v>
      </c>
      <c r="T29" s="10">
        <f t="shared" si="11"/>
        <v>38.018879999999996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374000.00000000058</v>
      </c>
      <c r="Y29" s="8">
        <f t="shared" si="14"/>
        <v>0.37400000000000061</v>
      </c>
      <c r="Z29" s="10">
        <f t="shared" si="15"/>
        <v>1.1481800000000018</v>
      </c>
      <c r="AA29" s="15"/>
      <c r="AB29" s="7">
        <f t="shared" si="17"/>
        <v>12010000</v>
      </c>
      <c r="AC29" s="8">
        <f t="shared" si="17"/>
        <v>12.01</v>
      </c>
      <c r="AD29" s="8">
        <f t="shared" si="17"/>
        <v>36.870699999999999</v>
      </c>
    </row>
    <row r="30" spans="1:30" x14ac:dyDescent="0.2">
      <c r="A30" s="27">
        <v>41331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410000</v>
      </c>
      <c r="I30" s="8">
        <f t="shared" si="4"/>
        <v>0.41</v>
      </c>
      <c r="J30" s="10">
        <f t="shared" si="5"/>
        <v>1.2586999999999999</v>
      </c>
      <c r="K30" s="7">
        <f>'[4]Feb Prod'!H270</f>
        <v>88046</v>
      </c>
      <c r="L30" s="8">
        <f t="shared" si="20"/>
        <v>8.8045999999999999E-2</v>
      </c>
      <c r="M30" s="10">
        <f t="shared" si="7"/>
        <v>0.27030122000000001</v>
      </c>
      <c r="N30" s="21"/>
      <c r="O30" s="7">
        <f>'[4]Feb Prod'!H29</f>
        <v>11989000</v>
      </c>
      <c r="P30" s="8">
        <f t="shared" si="8"/>
        <v>11.989000000000001</v>
      </c>
      <c r="Q30" s="10">
        <f t="shared" si="9"/>
        <v>36.806229999999999</v>
      </c>
      <c r="R30" s="7">
        <f>'[4]Feb Prod'!C29</f>
        <v>12432000</v>
      </c>
      <c r="S30" s="8">
        <f t="shared" si="10"/>
        <v>12.432</v>
      </c>
      <c r="T30" s="10">
        <f t="shared" si="11"/>
        <v>38.166240000000002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442999.99999999959</v>
      </c>
      <c r="Y30" s="8">
        <f t="shared" si="14"/>
        <v>0.44299999999999962</v>
      </c>
      <c r="Z30" s="10">
        <f t="shared" si="15"/>
        <v>1.3600099999999988</v>
      </c>
      <c r="AA30" s="15"/>
      <c r="AB30" s="7">
        <f t="shared" si="17"/>
        <v>11989000</v>
      </c>
      <c r="AC30" s="8">
        <f t="shared" si="17"/>
        <v>11.989000000000001</v>
      </c>
      <c r="AD30" s="8">
        <f>D30+Q30</f>
        <v>36.806229999999999</v>
      </c>
    </row>
    <row r="31" spans="1:30" x14ac:dyDescent="0.2">
      <c r="A31" s="27">
        <v>41332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4110000.0000000005</v>
      </c>
      <c r="I31" s="8">
        <f t="shared" si="4"/>
        <v>4.1100000000000003</v>
      </c>
      <c r="J31" s="10">
        <f t="shared" si="5"/>
        <v>12.617700000000001</v>
      </c>
      <c r="K31" s="7">
        <f>'[4]Feb Prod'!H271</f>
        <v>515346</v>
      </c>
      <c r="L31" s="8">
        <f t="shared" si="20"/>
        <v>0.51534599999999997</v>
      </c>
      <c r="M31" s="10">
        <f t="shared" si="7"/>
        <v>1.5821122199999997</v>
      </c>
      <c r="N31" s="21"/>
      <c r="O31" s="7">
        <f>'[4]Feb Prod'!H30</f>
        <v>11595000</v>
      </c>
      <c r="P31" s="8">
        <f t="shared" si="8"/>
        <v>11.595000000000001</v>
      </c>
      <c r="Q31" s="10">
        <f t="shared" si="9"/>
        <v>35.596649999999997</v>
      </c>
      <c r="R31" s="7">
        <f>'[4]Feb Prod'!C30</f>
        <v>12056000</v>
      </c>
      <c r="S31" s="8">
        <f t="shared" si="10"/>
        <v>12.055999999999999</v>
      </c>
      <c r="T31" s="10">
        <f t="shared" si="11"/>
        <v>37.011919999999996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461000.00000000029</v>
      </c>
      <c r="Y31" s="8">
        <f t="shared" si="14"/>
        <v>0.4610000000000003</v>
      </c>
      <c r="Z31" s="10">
        <f t="shared" si="15"/>
        <v>1.4152700000000009</v>
      </c>
      <c r="AA31" s="15"/>
      <c r="AB31" s="7">
        <f t="shared" si="17"/>
        <v>11595000</v>
      </c>
      <c r="AC31" s="8">
        <f t="shared" si="17"/>
        <v>11.595000000000001</v>
      </c>
      <c r="AD31" s="8">
        <f t="shared" si="17"/>
        <v>35.596649999999997</v>
      </c>
    </row>
    <row r="32" spans="1:30" x14ac:dyDescent="0.2">
      <c r="A32" s="27">
        <v>41333</v>
      </c>
      <c r="B32" s="7">
        <f>'[4]Feb Prod'!I31</f>
        <v>3000000</v>
      </c>
      <c r="C32" s="8">
        <f t="shared" si="0"/>
        <v>3</v>
      </c>
      <c r="D32" s="10">
        <f t="shared" si="1"/>
        <v>9.2099999999999991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4540000</v>
      </c>
      <c r="I32" s="8">
        <f t="shared" si="4"/>
        <v>4.54</v>
      </c>
      <c r="J32" s="10">
        <f t="shared" si="5"/>
        <v>13.937799999999999</v>
      </c>
      <c r="K32" s="7">
        <f>'[4]Feb Prod'!H272</f>
        <v>0</v>
      </c>
      <c r="L32" s="8">
        <f t="shared" si="20"/>
        <v>0</v>
      </c>
      <c r="M32" s="10">
        <f t="shared" si="7"/>
        <v>0</v>
      </c>
      <c r="N32" s="21"/>
      <c r="O32" s="7">
        <f>'[4]Feb Prod'!H31</f>
        <v>11828000.000000002</v>
      </c>
      <c r="P32" s="8">
        <f t="shared" si="8"/>
        <v>11.828000000000001</v>
      </c>
      <c r="Q32" s="10">
        <f t="shared" si="9"/>
        <v>36.311959999999999</v>
      </c>
      <c r="R32" s="7">
        <f>'[4]Feb Prod'!C31</f>
        <v>12202000</v>
      </c>
      <c r="S32" s="8">
        <f t="shared" si="10"/>
        <v>12.202</v>
      </c>
      <c r="T32" s="10">
        <f t="shared" si="11"/>
        <v>37.460139999999996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373999.99999999878</v>
      </c>
      <c r="Y32" s="8">
        <f t="shared" si="14"/>
        <v>0.37399999999999878</v>
      </c>
      <c r="Z32" s="10">
        <f t="shared" si="15"/>
        <v>1.1481799999999962</v>
      </c>
      <c r="AA32" s="15"/>
      <c r="AB32" s="7">
        <f t="shared" si="17"/>
        <v>14828000.000000002</v>
      </c>
      <c r="AC32" s="8">
        <f t="shared" si="17"/>
        <v>14.828000000000001</v>
      </c>
      <c r="AD32" s="8">
        <f t="shared" si="17"/>
        <v>45.52196</v>
      </c>
    </row>
    <row r="33" spans="1:30" ht="13.5" thickBot="1" x14ac:dyDescent="0.25">
      <c r="A33" s="27"/>
      <c r="B33" s="7"/>
      <c r="C33" s="8"/>
      <c r="D33" s="10"/>
      <c r="E33" s="7"/>
      <c r="F33" s="8"/>
      <c r="G33" s="10"/>
      <c r="H33" s="7"/>
      <c r="I33" s="8"/>
      <c r="J33" s="10"/>
      <c r="K33" s="7"/>
      <c r="L33" s="8"/>
      <c r="M33" s="10"/>
      <c r="N33" s="21"/>
      <c r="O33" s="7"/>
      <c r="P33" s="8"/>
      <c r="Q33" s="10"/>
      <c r="R33" s="7"/>
      <c r="S33" s="8"/>
      <c r="T33" s="10"/>
      <c r="U33" s="7"/>
      <c r="V33" s="8"/>
      <c r="W33" s="10"/>
      <c r="X33" s="7"/>
      <c r="Y33" s="8"/>
      <c r="Z33" s="10"/>
      <c r="AA33" s="15"/>
      <c r="AB33" s="7"/>
      <c r="AC33" s="8"/>
      <c r="AD33" s="8"/>
    </row>
    <row r="34" spans="1:30" ht="13.5" thickBot="1" x14ac:dyDescent="0.25">
      <c r="A34" s="28"/>
      <c r="B34" s="38"/>
      <c r="C34" s="39">
        <f>SUM(C5:C33)</f>
        <v>3</v>
      </c>
      <c r="D34" s="39">
        <f t="shared" ref="D34:J34" si="21">SUM(D5:D33)</f>
        <v>9.2099999999999991</v>
      </c>
      <c r="E34" s="38"/>
      <c r="F34" s="39">
        <f t="shared" si="21"/>
        <v>0</v>
      </c>
      <c r="G34" s="39">
        <f t="shared" si="21"/>
        <v>0</v>
      </c>
      <c r="H34" s="38"/>
      <c r="I34" s="39">
        <f t="shared" si="21"/>
        <v>10.36</v>
      </c>
      <c r="J34" s="39">
        <f t="shared" si="21"/>
        <v>31.805199999999999</v>
      </c>
      <c r="K34" s="38"/>
      <c r="L34" s="39">
        <f>SUM(L5:L33)</f>
        <v>1.053237</v>
      </c>
      <c r="M34" s="39">
        <f>SUM(M5:M33)</f>
        <v>3.2334375899999994</v>
      </c>
      <c r="N34" s="14"/>
      <c r="O34" s="38"/>
      <c r="P34" s="39">
        <f>SUM(P5:P33)</f>
        <v>319.72699999999992</v>
      </c>
      <c r="Q34" s="39">
        <f>SUM(Q5:Q33)</f>
        <v>981.56189000000006</v>
      </c>
      <c r="R34" s="38"/>
      <c r="S34" s="39">
        <f>SUM(S5:S33)</f>
        <v>332.10099999999994</v>
      </c>
      <c r="T34" s="39">
        <f>SUM(T5:T33)</f>
        <v>1019.55007</v>
      </c>
      <c r="U34" s="38"/>
      <c r="V34" s="39">
        <f>SUM(V5:V33)</f>
        <v>1.0289999999999999</v>
      </c>
      <c r="W34" s="39">
        <f>SUM(W5:W33)</f>
        <v>3.15903</v>
      </c>
      <c r="X34" s="38"/>
      <c r="Y34" s="39">
        <f>SUM(Y5:Y33)</f>
        <v>11.363</v>
      </c>
      <c r="Z34" s="39">
        <f>SUM(Z5:Z33)</f>
        <v>34.884409999999988</v>
      </c>
      <c r="AA34" s="14"/>
      <c r="AB34" s="38">
        <f t="shared" si="17"/>
        <v>0</v>
      </c>
      <c r="AC34" s="39">
        <f t="shared" si="17"/>
        <v>322.72699999999992</v>
      </c>
      <c r="AD34" s="39">
        <f t="shared" si="17"/>
        <v>990.7718900000001</v>
      </c>
    </row>
    <row r="35" spans="1:30" x14ac:dyDescent="0.2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7" sqref="I7"/>
    </sheetView>
  </sheetViews>
  <sheetFormatPr defaultRowHeight="12.75" x14ac:dyDescent="0.2"/>
  <cols>
    <col min="2" max="2" width="12.7109375" customWidth="1"/>
    <col min="5" max="5" width="11.28515625" customWidth="1"/>
    <col min="8" max="8" width="16.140625" customWidth="1"/>
    <col min="10" max="10" width="10.7109375" customWidth="1"/>
    <col min="11" max="11" width="12.5703125" customWidth="1"/>
    <col min="12" max="12" width="10.5703125" customWidth="1"/>
    <col min="15" max="15" width="10.5703125" customWidth="1"/>
    <col min="18" max="18" width="10.85546875" customWidth="1"/>
    <col min="22" max="22" width="11.85546875" customWidth="1"/>
    <col min="28" max="28" width="13.42578125" bestFit="1" customWidth="1"/>
  </cols>
  <sheetData>
    <row r="1" spans="1:32" x14ac:dyDescent="0.2">
      <c r="A1" s="45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">
      <c r="A5" s="27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1"/>
      <c r="O5" s="7">
        <f>'[5]Mar Prod'!H4</f>
        <v>11587000</v>
      </c>
      <c r="P5" s="8">
        <f>O5/1000000</f>
        <v>11.587</v>
      </c>
      <c r="Q5" s="10">
        <f>P5*3.07</f>
        <v>35.572089999999996</v>
      </c>
      <c r="R5" s="7">
        <f>'[5]Mar Prod'!C4</f>
        <v>12031000</v>
      </c>
      <c r="S5" s="8">
        <f>R5/1000000</f>
        <v>12.031000000000001</v>
      </c>
      <c r="T5" s="10">
        <f>S5*3.07</f>
        <v>36.935169999999999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444000.00000000081</v>
      </c>
      <c r="Y5" s="8">
        <f>X5/1000000</f>
        <v>0.44400000000000084</v>
      </c>
      <c r="Z5" s="10">
        <f>Y5*3.07</f>
        <v>1.3630800000000025</v>
      </c>
      <c r="AA5" s="15"/>
      <c r="AB5" s="7">
        <f>B5+O5</f>
        <v>11587000</v>
      </c>
      <c r="AC5" s="8">
        <f>C5+P5</f>
        <v>11.587</v>
      </c>
      <c r="AD5" s="8">
        <f>D5+Q5</f>
        <v>35.572089999999996</v>
      </c>
      <c r="AF5" s="8">
        <f>T5-Q5-Z5</f>
        <v>0</v>
      </c>
    </row>
    <row r="6" spans="1:32" x14ac:dyDescent="0.2">
      <c r="A6" s="27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'[5]Mar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'[5]Mar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'[5]Mar Prod'!H5</f>
        <v>10211000</v>
      </c>
      <c r="P6" s="8">
        <f t="shared" ref="P6:P35" si="8">O6/1000000</f>
        <v>10.211</v>
      </c>
      <c r="Q6" s="10">
        <f t="shared" ref="Q6:Q35" si="9">P6*3.07</f>
        <v>31.347770000000001</v>
      </c>
      <c r="R6" s="7">
        <f>'[5]Mar Prod'!C5</f>
        <v>10535000</v>
      </c>
      <c r="S6" s="8">
        <f t="shared" ref="S6:S35" si="10">R6/1000000</f>
        <v>10.535</v>
      </c>
      <c r="T6" s="10">
        <f t="shared" ref="T6:T35" si="11">S6*3.07</f>
        <v>32.342449999999999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323999.99999999983</v>
      </c>
      <c r="Y6" s="8">
        <f t="shared" ref="Y6:Y35" si="14">X6/1000000</f>
        <v>0.32399999999999984</v>
      </c>
      <c r="Z6" s="10">
        <f t="shared" ref="Z6:Z35" si="15">Y6*3.07</f>
        <v>0.99467999999999945</v>
      </c>
      <c r="AA6" s="15"/>
      <c r="AB6" s="7">
        <f t="shared" ref="AB6:AD35" si="16">B6+O6</f>
        <v>10211000</v>
      </c>
      <c r="AC6" s="8">
        <f t="shared" si="16"/>
        <v>10.211</v>
      </c>
      <c r="AD6" s="8">
        <f t="shared" si="16"/>
        <v>31.347770000000001</v>
      </c>
      <c r="AF6" s="8">
        <f>T6-Q6-Z6</f>
        <v>0</v>
      </c>
    </row>
    <row r="7" spans="1:32" x14ac:dyDescent="0.2">
      <c r="A7" s="27">
        <v>38414</v>
      </c>
      <c r="B7" s="7">
        <f>'[5]Mar Prod'!I6</f>
        <v>3799999.9999992726</v>
      </c>
      <c r="C7" s="8">
        <f t="shared" si="1"/>
        <v>3.7999999999992728</v>
      </c>
      <c r="D7" s="10">
        <f t="shared" si="0"/>
        <v>11.665999999997767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3270000</v>
      </c>
      <c r="I7" s="8">
        <f t="shared" si="4"/>
        <v>3.27</v>
      </c>
      <c r="J7" s="10">
        <f t="shared" si="5"/>
        <v>10.0389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1"/>
      <c r="O7" s="7">
        <f>'[5]Mar Prod'!H6</f>
        <v>8842000</v>
      </c>
      <c r="P7" s="8">
        <f t="shared" si="8"/>
        <v>8.8420000000000005</v>
      </c>
      <c r="Q7" s="10">
        <f t="shared" si="9"/>
        <v>27.144940000000002</v>
      </c>
      <c r="R7" s="7">
        <f>'[5]Mar Prod'!C6</f>
        <v>9286000</v>
      </c>
      <c r="S7" s="8">
        <f t="shared" si="10"/>
        <v>9.2859999999999996</v>
      </c>
      <c r="T7" s="10">
        <f t="shared" si="11"/>
        <v>28.508019999999998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443999.99999999907</v>
      </c>
      <c r="Y7" s="8">
        <f t="shared" si="14"/>
        <v>0.44399999999999906</v>
      </c>
      <c r="Z7" s="10">
        <f t="shared" si="15"/>
        <v>1.363079999999997</v>
      </c>
      <c r="AA7" s="15"/>
      <c r="AB7" s="7">
        <f t="shared" si="16"/>
        <v>12641999.999999274</v>
      </c>
      <c r="AC7" s="8">
        <f t="shared" si="16"/>
        <v>12.641999999999273</v>
      </c>
      <c r="AD7" s="8">
        <f t="shared" si="16"/>
        <v>38.810939999997771</v>
      </c>
      <c r="AF7" s="8">
        <f t="shared" ref="AF7:AF14" si="17">T7-Q7-Z7</f>
        <v>0</v>
      </c>
    </row>
    <row r="8" spans="1:32" x14ac:dyDescent="0.2">
      <c r="A8" s="27">
        <v>38415</v>
      </c>
      <c r="B8" s="7">
        <f>'[5]Mar Prod'!I7</f>
        <v>6099999.9999985453</v>
      </c>
      <c r="C8" s="8">
        <f t="shared" si="1"/>
        <v>6.0999999999985457</v>
      </c>
      <c r="D8" s="10">
        <f t="shared" si="0"/>
        <v>18.726999999995535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4900000</v>
      </c>
      <c r="I8" s="8">
        <f t="shared" si="4"/>
        <v>4.9000000000000004</v>
      </c>
      <c r="J8" s="10">
        <f t="shared" si="5"/>
        <v>15.043000000000001</v>
      </c>
      <c r="K8" s="7">
        <f>'[5]Mar Prod'!H262</f>
        <v>404309</v>
      </c>
      <c r="L8" s="8">
        <f t="shared" si="6"/>
        <v>0.40430899999999997</v>
      </c>
      <c r="M8" s="10">
        <f t="shared" si="7"/>
        <v>1.2412286299999999</v>
      </c>
      <c r="N8" s="21"/>
      <c r="O8" s="7">
        <f>'[5]Mar Prod'!H7</f>
        <v>5952000</v>
      </c>
      <c r="P8" s="8">
        <f t="shared" si="8"/>
        <v>5.952</v>
      </c>
      <c r="Q8" s="10">
        <f t="shared" si="9"/>
        <v>18.272639999999999</v>
      </c>
      <c r="R8" s="7">
        <f>'[5]Mar Prod'!C7</f>
        <v>6275000</v>
      </c>
      <c r="S8" s="8">
        <f t="shared" si="10"/>
        <v>6.2750000000000004</v>
      </c>
      <c r="T8" s="10">
        <f t="shared" si="11"/>
        <v>19.264250000000001</v>
      </c>
      <c r="U8" s="7">
        <f>'[5]Mar Prod'!D7</f>
        <v>0</v>
      </c>
      <c r="V8" s="8">
        <f t="shared" si="12"/>
        <v>0</v>
      </c>
      <c r="W8" s="10">
        <f t="shared" si="13"/>
        <v>0</v>
      </c>
      <c r="X8" s="7">
        <f>'[5]Mar Prod'!D262</f>
        <v>323000.00000000041</v>
      </c>
      <c r="Y8" s="8">
        <f t="shared" si="14"/>
        <v>0.3230000000000004</v>
      </c>
      <c r="Z8" s="10">
        <f t="shared" si="15"/>
        <v>0.99161000000000121</v>
      </c>
      <c r="AA8" s="15"/>
      <c r="AB8" s="7">
        <f t="shared" si="16"/>
        <v>12051999.999998545</v>
      </c>
      <c r="AC8" s="8">
        <f t="shared" si="16"/>
        <v>12.051999999998547</v>
      </c>
      <c r="AD8" s="8">
        <f>D8+Q8</f>
        <v>36.999639999995537</v>
      </c>
      <c r="AF8" s="8">
        <f t="shared" si="17"/>
        <v>0</v>
      </c>
    </row>
    <row r="9" spans="1:32" x14ac:dyDescent="0.2">
      <c r="A9" s="27">
        <v>38416</v>
      </c>
      <c r="B9" s="7">
        <f>'[5]Mar Prod'!I8</f>
        <v>4500000</v>
      </c>
      <c r="C9" s="8">
        <f t="shared" si="1"/>
        <v>4.5</v>
      </c>
      <c r="D9" s="10">
        <f t="shared" si="0"/>
        <v>13.815</v>
      </c>
      <c r="E9" s="7">
        <f>'[5]Mar Prod'!E8</f>
        <v>0</v>
      </c>
      <c r="F9" s="8">
        <f t="shared" si="2"/>
        <v>0</v>
      </c>
      <c r="G9" s="10">
        <f t="shared" si="3"/>
        <v>0</v>
      </c>
      <c r="H9" s="7">
        <f>'[5]Mar Prod'!F8</f>
        <v>5040000</v>
      </c>
      <c r="I9" s="8">
        <f t="shared" si="4"/>
        <v>5.04</v>
      </c>
      <c r="J9" s="10">
        <f t="shared" si="5"/>
        <v>15.472799999999999</v>
      </c>
      <c r="K9" s="7">
        <f>'[5]Mar Prod'!H263</f>
        <v>461995</v>
      </c>
      <c r="L9" s="8">
        <f t="shared" si="6"/>
        <v>0.46199499999999999</v>
      </c>
      <c r="M9" s="10">
        <f t="shared" si="7"/>
        <v>1.41832465</v>
      </c>
      <c r="N9" s="21"/>
      <c r="O9" s="7">
        <f>'[5]Mar Prod'!H8</f>
        <v>5285000</v>
      </c>
      <c r="P9" s="8">
        <f t="shared" si="8"/>
        <v>5.2850000000000001</v>
      </c>
      <c r="Q9" s="10">
        <f t="shared" si="9"/>
        <v>16.22495</v>
      </c>
      <c r="R9" s="7">
        <f>'[5]Mar Prod'!C8</f>
        <v>5541000</v>
      </c>
      <c r="S9" s="8">
        <f t="shared" si="10"/>
        <v>5.5410000000000004</v>
      </c>
      <c r="T9" s="10">
        <f t="shared" si="11"/>
        <v>17.010870000000001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256000.00000000023</v>
      </c>
      <c r="Y9" s="8">
        <f t="shared" si="14"/>
        <v>0.25600000000000023</v>
      </c>
      <c r="Z9" s="10">
        <f t="shared" si="15"/>
        <v>0.78592000000000062</v>
      </c>
      <c r="AA9" s="15"/>
      <c r="AB9" s="7">
        <f t="shared" si="16"/>
        <v>9785000</v>
      </c>
      <c r="AC9" s="8">
        <f t="shared" si="16"/>
        <v>9.7850000000000001</v>
      </c>
      <c r="AD9" s="8">
        <f t="shared" si="16"/>
        <v>30.039949999999997</v>
      </c>
      <c r="AF9" s="8">
        <f t="shared" si="17"/>
        <v>0</v>
      </c>
    </row>
    <row r="10" spans="1:32" x14ac:dyDescent="0.2">
      <c r="A10" s="27">
        <v>38417</v>
      </c>
      <c r="B10" s="7">
        <f>'[5]Mar Prod'!I9</f>
        <v>6400000.0000014547</v>
      </c>
      <c r="C10" s="8">
        <f t="shared" si="1"/>
        <v>6.4000000000014543</v>
      </c>
      <c r="D10" s="10">
        <f t="shared" si="0"/>
        <v>19.648000000004465</v>
      </c>
      <c r="E10" s="7">
        <f>'[5]Mar Prod'!E9</f>
        <v>0</v>
      </c>
      <c r="F10" s="8">
        <f t="shared" si="2"/>
        <v>0</v>
      </c>
      <c r="G10" s="10">
        <f t="shared" si="3"/>
        <v>0</v>
      </c>
      <c r="H10" s="7">
        <f>'[5]Mar Prod'!F9</f>
        <v>4950000</v>
      </c>
      <c r="I10" s="8">
        <f t="shared" si="4"/>
        <v>4.95</v>
      </c>
      <c r="J10" s="10">
        <f t="shared" si="5"/>
        <v>15.1965</v>
      </c>
      <c r="K10" s="7">
        <f>'[5]Mar Prod'!H264</f>
        <v>518830</v>
      </c>
      <c r="L10" s="8">
        <f t="shared" si="6"/>
        <v>0.51883000000000001</v>
      </c>
      <c r="M10" s="10">
        <f t="shared" si="7"/>
        <v>1.5928081000000001</v>
      </c>
      <c r="N10" s="21"/>
      <c r="O10" s="7">
        <f>'[5]Mar Prod'!H9</f>
        <v>5348000</v>
      </c>
      <c r="P10" s="8">
        <f t="shared" si="8"/>
        <v>5.3479999999999999</v>
      </c>
      <c r="Q10" s="10">
        <f t="shared" si="9"/>
        <v>16.41836</v>
      </c>
      <c r="R10" s="7">
        <f>'[5]Mar Prod'!C9</f>
        <v>5544000</v>
      </c>
      <c r="S10" s="8">
        <f t="shared" si="10"/>
        <v>5.5439999999999996</v>
      </c>
      <c r="T10" s="10">
        <f t="shared" si="11"/>
        <v>17.020079999999997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195999.99999999974</v>
      </c>
      <c r="Y10" s="8">
        <f t="shared" si="14"/>
        <v>0.19599999999999973</v>
      </c>
      <c r="Z10" s="10">
        <f t="shared" si="15"/>
        <v>0.60171999999999914</v>
      </c>
      <c r="AA10" s="15"/>
      <c r="AB10" s="7">
        <f t="shared" si="16"/>
        <v>11748000.000001455</v>
      </c>
      <c r="AC10" s="8">
        <f t="shared" si="16"/>
        <v>11.748000000001454</v>
      </c>
      <c r="AD10" s="8">
        <f t="shared" si="16"/>
        <v>36.066360000004465</v>
      </c>
      <c r="AF10" s="8">
        <f t="shared" si="17"/>
        <v>-2.4424906541753444E-15</v>
      </c>
    </row>
    <row r="11" spans="1:32" x14ac:dyDescent="0.2">
      <c r="A11" s="27">
        <v>38418</v>
      </c>
      <c r="B11" s="7">
        <f>'[5]Mar Prod'!I10</f>
        <v>5399999.999997817</v>
      </c>
      <c r="C11" s="8">
        <f t="shared" si="1"/>
        <v>5.3999999999978172</v>
      </c>
      <c r="D11" s="10">
        <f t="shared" si="0"/>
        <v>16.577999999993299</v>
      </c>
      <c r="E11" s="7">
        <f>'[5]Mar Prod'!E10</f>
        <v>0</v>
      </c>
      <c r="F11" s="8">
        <f t="shared" si="2"/>
        <v>0</v>
      </c>
      <c r="G11" s="10">
        <f t="shared" si="3"/>
        <v>0</v>
      </c>
      <c r="H11" s="7">
        <f>'[5]Mar Prod'!F10</f>
        <v>4970000</v>
      </c>
      <c r="I11" s="8">
        <f t="shared" si="4"/>
        <v>4.97</v>
      </c>
      <c r="J11" s="10">
        <f t="shared" si="5"/>
        <v>15.257899999999998</v>
      </c>
      <c r="K11" s="7">
        <f>'[5]Mar Prod'!H265</f>
        <v>471195</v>
      </c>
      <c r="L11" s="8">
        <f t="shared" si="6"/>
        <v>0.47119499999999997</v>
      </c>
      <c r="M11" s="10">
        <f t="shared" si="7"/>
        <v>1.4465686499999999</v>
      </c>
      <c r="N11" s="21"/>
      <c r="O11" s="7">
        <f>'[5]Mar Prod'!H10</f>
        <v>4523999.9999999991</v>
      </c>
      <c r="P11" s="8">
        <f t="shared" si="8"/>
        <v>4.5239999999999991</v>
      </c>
      <c r="Q11" s="10">
        <f t="shared" si="9"/>
        <v>13.888679999999997</v>
      </c>
      <c r="R11" s="7">
        <f>'[5]Mar Prod'!C10</f>
        <v>4959000</v>
      </c>
      <c r="S11" s="8">
        <f t="shared" si="10"/>
        <v>4.9589999999999996</v>
      </c>
      <c r="T11" s="10">
        <f t="shared" si="11"/>
        <v>15.224129999999999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435000.00000000052</v>
      </c>
      <c r="Y11" s="8">
        <f t="shared" si="14"/>
        <v>0.4350000000000005</v>
      </c>
      <c r="Z11" s="10">
        <f t="shared" si="15"/>
        <v>1.3354500000000014</v>
      </c>
      <c r="AA11" s="15"/>
      <c r="AB11" s="7">
        <f t="shared" si="16"/>
        <v>9923999.999997817</v>
      </c>
      <c r="AC11" s="8">
        <f t="shared" si="16"/>
        <v>9.9239999999978163</v>
      </c>
      <c r="AD11" s="8">
        <f t="shared" si="16"/>
        <v>30.466679999993296</v>
      </c>
      <c r="AF11" s="8">
        <f t="shared" si="17"/>
        <v>0</v>
      </c>
    </row>
    <row r="12" spans="1:32" x14ac:dyDescent="0.2">
      <c r="A12" s="27">
        <v>38419</v>
      </c>
      <c r="B12" s="7">
        <f>'[5]Mar Prod'!I11</f>
        <v>5700000.0000007274</v>
      </c>
      <c r="C12" s="8">
        <f t="shared" si="1"/>
        <v>5.7000000000007276</v>
      </c>
      <c r="D12" s="10">
        <f t="shared" si="0"/>
        <v>17.499000000002233</v>
      </c>
      <c r="E12" s="7">
        <f>'[5]Mar Prod'!E11</f>
        <v>0</v>
      </c>
      <c r="F12" s="8">
        <f t="shared" si="2"/>
        <v>0</v>
      </c>
      <c r="G12" s="10">
        <f t="shared" si="3"/>
        <v>0</v>
      </c>
      <c r="H12" s="7">
        <f>'[5]Mar Prod'!F11</f>
        <v>5060000</v>
      </c>
      <c r="I12" s="8">
        <f t="shared" si="4"/>
        <v>5.0599999999999996</v>
      </c>
      <c r="J12" s="10">
        <f t="shared" si="5"/>
        <v>15.534199999999998</v>
      </c>
      <c r="K12" s="7">
        <f>'[5]Mar Prod'!H266</f>
        <v>466116</v>
      </c>
      <c r="L12" s="8">
        <f t="shared" si="6"/>
        <v>0.46611599999999997</v>
      </c>
      <c r="M12" s="10">
        <f t="shared" si="7"/>
        <v>1.4309761199999997</v>
      </c>
      <c r="N12" s="21"/>
      <c r="O12" s="7">
        <f>'[5]Mar Prod'!H11</f>
        <v>5764000.0000000009</v>
      </c>
      <c r="P12" s="8">
        <f t="shared" si="8"/>
        <v>5.7640000000000011</v>
      </c>
      <c r="Q12" s="10">
        <f t="shared" si="9"/>
        <v>17.695480000000003</v>
      </c>
      <c r="R12" s="7">
        <f>'[5]Mar Prod'!C11</f>
        <v>6019000</v>
      </c>
      <c r="S12" s="8">
        <f t="shared" si="10"/>
        <v>6.0190000000000001</v>
      </c>
      <c r="T12" s="10">
        <f t="shared" si="11"/>
        <v>18.47833</v>
      </c>
      <c r="U12" s="7">
        <f>'[5]Mar Prod'!D11</f>
        <v>0</v>
      </c>
      <c r="V12" s="8">
        <f t="shared" si="12"/>
        <v>0</v>
      </c>
      <c r="W12" s="10">
        <f t="shared" si="13"/>
        <v>0</v>
      </c>
      <c r="X12" s="7">
        <f>'[5]Mar Prod'!D266</f>
        <v>254999.99999999901</v>
      </c>
      <c r="Y12" s="8">
        <f t="shared" si="14"/>
        <v>0.25499999999999901</v>
      </c>
      <c r="Z12" s="10">
        <f t="shared" si="15"/>
        <v>0.78284999999999694</v>
      </c>
      <c r="AA12" s="15"/>
      <c r="AB12" s="7">
        <f t="shared" si="16"/>
        <v>11464000.000000728</v>
      </c>
      <c r="AC12" s="8">
        <f t="shared" si="16"/>
        <v>11.464000000000729</v>
      </c>
      <c r="AD12" s="8">
        <f t="shared" si="16"/>
        <v>35.194480000002237</v>
      </c>
      <c r="AF12" s="8">
        <f t="shared" si="17"/>
        <v>0</v>
      </c>
    </row>
    <row r="13" spans="1:32" x14ac:dyDescent="0.2">
      <c r="A13" s="27">
        <v>38420</v>
      </c>
      <c r="B13" s="7">
        <f>'[5]Mar Prod'!I12</f>
        <v>5000000</v>
      </c>
      <c r="C13" s="8">
        <f t="shared" si="1"/>
        <v>5</v>
      </c>
      <c r="D13" s="10">
        <f t="shared" si="0"/>
        <v>15.35</v>
      </c>
      <c r="E13" s="7">
        <f>'[5]Mar Prod'!E12</f>
        <v>0</v>
      </c>
      <c r="F13" s="8">
        <f t="shared" si="2"/>
        <v>0</v>
      </c>
      <c r="G13" s="10">
        <f t="shared" si="3"/>
        <v>0</v>
      </c>
      <c r="H13" s="7">
        <f>'[5]Mar Prod'!F12</f>
        <v>4690000</v>
      </c>
      <c r="I13" s="8">
        <f t="shared" si="4"/>
        <v>4.6900000000000004</v>
      </c>
      <c r="J13" s="10">
        <f t="shared" si="5"/>
        <v>14.398300000000001</v>
      </c>
      <c r="K13" s="7">
        <f>'[5]Mar Prod'!H267</f>
        <v>431963</v>
      </c>
      <c r="L13" s="8">
        <f t="shared" si="6"/>
        <v>0.43196299999999999</v>
      </c>
      <c r="M13" s="10">
        <f t="shared" si="7"/>
        <v>1.3261264099999999</v>
      </c>
      <c r="N13" s="21"/>
      <c r="O13" s="7">
        <f>'[5]Mar Prod'!H12</f>
        <v>7314000</v>
      </c>
      <c r="P13" s="8">
        <f t="shared" si="8"/>
        <v>7.3140000000000001</v>
      </c>
      <c r="Q13" s="10">
        <f t="shared" si="9"/>
        <v>22.453979999999998</v>
      </c>
      <c r="R13" s="7">
        <f>'[5]Mar Prod'!C12</f>
        <v>7596000</v>
      </c>
      <c r="S13" s="8">
        <f t="shared" si="10"/>
        <v>7.5960000000000001</v>
      </c>
      <c r="T13" s="10">
        <f t="shared" si="11"/>
        <v>23.31972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282000</v>
      </c>
      <c r="Y13" s="8">
        <f t="shared" si="14"/>
        <v>0.28199999999999997</v>
      </c>
      <c r="Z13" s="10">
        <f t="shared" si="15"/>
        <v>0.86573999999999984</v>
      </c>
      <c r="AA13" s="15"/>
      <c r="AB13" s="7">
        <f t="shared" si="16"/>
        <v>12314000</v>
      </c>
      <c r="AC13" s="8">
        <f t="shared" si="16"/>
        <v>12.314</v>
      </c>
      <c r="AD13" s="8">
        <f>D13+Q13</f>
        <v>37.803979999999996</v>
      </c>
      <c r="AF13" s="8">
        <f t="shared" si="17"/>
        <v>2.55351295663786E-15</v>
      </c>
    </row>
    <row r="14" spans="1:32" x14ac:dyDescent="0.2">
      <c r="A14" s="27">
        <v>38421</v>
      </c>
      <c r="B14" s="7">
        <f>'[5]Mar Prod'!I13</f>
        <v>5200000.0000007274</v>
      </c>
      <c r="C14" s="8">
        <f t="shared" si="1"/>
        <v>5.2000000000007276</v>
      </c>
      <c r="D14" s="10">
        <f t="shared" si="0"/>
        <v>15.964000000002233</v>
      </c>
      <c r="E14" s="7">
        <f>'[5]Mar Prod'!E13</f>
        <v>0</v>
      </c>
      <c r="F14" s="8">
        <f t="shared" si="2"/>
        <v>0</v>
      </c>
      <c r="G14" s="10">
        <f t="shared" si="3"/>
        <v>0</v>
      </c>
      <c r="H14" s="7">
        <f>'[5]Mar Prod'!F13</f>
        <v>5110000</v>
      </c>
      <c r="I14" s="8">
        <f t="shared" si="4"/>
        <v>5.1100000000000003</v>
      </c>
      <c r="J14" s="10">
        <f t="shared" si="5"/>
        <v>15.6877</v>
      </c>
      <c r="K14" s="7">
        <f>'[5]Mar Prod'!H268</f>
        <v>436005</v>
      </c>
      <c r="L14" s="8">
        <f t="shared" si="6"/>
        <v>0.43600499999999998</v>
      </c>
      <c r="M14" s="10">
        <f t="shared" si="7"/>
        <v>1.3385353499999999</v>
      </c>
      <c r="N14" s="21"/>
      <c r="O14" s="7">
        <f>'[5]Mar Prod'!H13</f>
        <v>7135000</v>
      </c>
      <c r="P14" s="8">
        <f t="shared" si="8"/>
        <v>7.1349999999999998</v>
      </c>
      <c r="Q14" s="10">
        <f t="shared" si="9"/>
        <v>21.904449999999997</v>
      </c>
      <c r="R14" s="7">
        <f>'[5]Mar Prod'!C13</f>
        <v>7535000</v>
      </c>
      <c r="S14" s="8">
        <f t="shared" si="10"/>
        <v>7.5350000000000001</v>
      </c>
      <c r="T14" s="10">
        <f t="shared" si="11"/>
        <v>23.132449999999999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400000.00000000035</v>
      </c>
      <c r="Y14" s="8">
        <f t="shared" si="14"/>
        <v>0.40000000000000036</v>
      </c>
      <c r="Z14" s="10">
        <f t="shared" si="15"/>
        <v>1.2280000000000011</v>
      </c>
      <c r="AA14" s="15"/>
      <c r="AB14" s="7">
        <f t="shared" si="16"/>
        <v>12335000.000000726</v>
      </c>
      <c r="AC14" s="8">
        <f t="shared" si="16"/>
        <v>12.335000000000727</v>
      </c>
      <c r="AD14" s="8">
        <f t="shared" si="16"/>
        <v>37.868450000002227</v>
      </c>
      <c r="AF14" s="8">
        <f t="shared" si="17"/>
        <v>0</v>
      </c>
    </row>
    <row r="15" spans="1:32" x14ac:dyDescent="0.2">
      <c r="A15" s="27">
        <v>38422</v>
      </c>
      <c r="B15" s="7">
        <f>'[5]Mar Prod'!I14</f>
        <v>3500000</v>
      </c>
      <c r="C15" s="8">
        <f t="shared" si="1"/>
        <v>3.5</v>
      </c>
      <c r="D15" s="10">
        <f t="shared" si="0"/>
        <v>10.744999999999999</v>
      </c>
      <c r="E15" s="7">
        <f>'[5]Mar Prod'!E14</f>
        <v>0</v>
      </c>
      <c r="F15" s="8">
        <f t="shared" si="2"/>
        <v>0</v>
      </c>
      <c r="G15" s="10">
        <f t="shared" si="3"/>
        <v>0</v>
      </c>
      <c r="H15" s="7">
        <f>'[5]Mar Prod'!F14</f>
        <v>5800000</v>
      </c>
      <c r="I15" s="8">
        <f t="shared" si="4"/>
        <v>5.8</v>
      </c>
      <c r="J15" s="10">
        <f t="shared" si="5"/>
        <v>17.805999999999997</v>
      </c>
      <c r="K15" s="7">
        <f>'[5]Mar Prod'!H269</f>
        <v>543491</v>
      </c>
      <c r="L15" s="8">
        <f t="shared" si="6"/>
        <v>0.54349099999999995</v>
      </c>
      <c r="M15" s="10">
        <f t="shared" si="7"/>
        <v>1.6685173699999998</v>
      </c>
      <c r="N15" s="21"/>
      <c r="O15" s="7">
        <f>'[5]Mar Prod'!H14</f>
        <v>6733000</v>
      </c>
      <c r="P15" s="8">
        <f t="shared" si="8"/>
        <v>6.7329999999999997</v>
      </c>
      <c r="Q15" s="10">
        <f t="shared" si="9"/>
        <v>20.670309999999997</v>
      </c>
      <c r="R15" s="7">
        <f>'[5]Mar Prod'!C14</f>
        <v>7024000</v>
      </c>
      <c r="S15" s="8">
        <f t="shared" si="10"/>
        <v>7.024</v>
      </c>
      <c r="T15" s="10">
        <f t="shared" si="11"/>
        <v>21.563679999999998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291000.00000000035</v>
      </c>
      <c r="Y15" s="8">
        <f t="shared" si="14"/>
        <v>0.29100000000000037</v>
      </c>
      <c r="Z15" s="10">
        <f t="shared" si="15"/>
        <v>0.89337000000000111</v>
      </c>
      <c r="AA15" s="15"/>
      <c r="AB15" s="7">
        <f t="shared" si="16"/>
        <v>10233000</v>
      </c>
      <c r="AC15" s="8">
        <f t="shared" si="16"/>
        <v>10.233000000000001</v>
      </c>
      <c r="AD15" s="8">
        <f t="shared" si="16"/>
        <v>31.415309999999998</v>
      </c>
      <c r="AF15" s="8">
        <f>T15-Q15-Z15</f>
        <v>0</v>
      </c>
    </row>
    <row r="16" spans="1:32" x14ac:dyDescent="0.2">
      <c r="A16" s="27">
        <v>38423</v>
      </c>
      <c r="B16" s="7">
        <f>'[5]Mar Prod'!I15</f>
        <v>8200000.0000007274</v>
      </c>
      <c r="C16" s="8">
        <f t="shared" si="1"/>
        <v>8.2000000000007276</v>
      </c>
      <c r="D16" s="10">
        <f t="shared" si="0"/>
        <v>25.174000000002234</v>
      </c>
      <c r="E16" s="7">
        <f>'[5]Mar Prod'!E15</f>
        <v>0</v>
      </c>
      <c r="F16" s="8">
        <f t="shared" si="2"/>
        <v>0</v>
      </c>
      <c r="G16" s="10">
        <f t="shared" si="3"/>
        <v>0</v>
      </c>
      <c r="H16" s="7">
        <f>'[5]Mar Prod'!F15</f>
        <v>5870000</v>
      </c>
      <c r="I16" s="8">
        <f t="shared" si="4"/>
        <v>5.87</v>
      </c>
      <c r="J16" s="10">
        <f t="shared" si="5"/>
        <v>18.020900000000001</v>
      </c>
      <c r="K16" s="7">
        <f>'[5]Mar Prod'!H270</f>
        <v>636132</v>
      </c>
      <c r="L16" s="8">
        <f t="shared" si="6"/>
        <v>0.63613200000000003</v>
      </c>
      <c r="M16" s="10">
        <f t="shared" si="7"/>
        <v>1.9529252399999999</v>
      </c>
      <c r="N16" s="21"/>
      <c r="O16" s="7">
        <f>'[5]Mar Prod'!H15</f>
        <v>5292999.9999999991</v>
      </c>
      <c r="P16" s="8">
        <f t="shared" si="8"/>
        <v>5.2929999999999993</v>
      </c>
      <c r="Q16" s="10">
        <f t="shared" si="9"/>
        <v>16.249509999999997</v>
      </c>
      <c r="R16" s="7">
        <f>'[5]Mar Prod'!C15</f>
        <v>5580000</v>
      </c>
      <c r="S16" s="8">
        <f t="shared" si="10"/>
        <v>5.58</v>
      </c>
      <c r="T16" s="10">
        <f t="shared" si="11"/>
        <v>17.130599999999998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287000.00000000081</v>
      </c>
      <c r="Y16" s="8">
        <f t="shared" si="14"/>
        <v>0.28700000000000081</v>
      </c>
      <c r="Z16" s="10">
        <f t="shared" si="15"/>
        <v>0.88109000000000248</v>
      </c>
      <c r="AA16" s="15"/>
      <c r="AB16" s="7">
        <f t="shared" si="16"/>
        <v>13493000.000000726</v>
      </c>
      <c r="AC16" s="8">
        <f t="shared" si="16"/>
        <v>13.493000000000727</v>
      </c>
      <c r="AD16" s="8">
        <f t="shared" si="16"/>
        <v>41.423510000002231</v>
      </c>
      <c r="AF16" s="8">
        <f>T16-Q16-Z16</f>
        <v>-2.1094237467877974E-15</v>
      </c>
    </row>
    <row r="17" spans="1:32" x14ac:dyDescent="0.2">
      <c r="A17" s="27">
        <v>38424</v>
      </c>
      <c r="B17" s="7">
        <f>'[5]Mar Prod'!I16</f>
        <v>5000000</v>
      </c>
      <c r="C17" s="8">
        <f t="shared" si="1"/>
        <v>5</v>
      </c>
      <c r="D17" s="10">
        <f t="shared" si="0"/>
        <v>15.35</v>
      </c>
      <c r="E17" s="7">
        <f>'[5]Mar Prod'!E16</f>
        <v>0</v>
      </c>
      <c r="F17" s="8">
        <f t="shared" si="2"/>
        <v>0</v>
      </c>
      <c r="G17" s="10">
        <f t="shared" si="3"/>
        <v>0</v>
      </c>
      <c r="H17" s="7">
        <f>'[5]Mar Prod'!F16</f>
        <v>4790000</v>
      </c>
      <c r="I17" s="8">
        <f t="shared" si="4"/>
        <v>4.79</v>
      </c>
      <c r="J17" s="10">
        <f t="shared" si="5"/>
        <v>14.705299999999999</v>
      </c>
      <c r="K17" s="7">
        <f>'[5]Mar Prod'!H271</f>
        <v>425582</v>
      </c>
      <c r="L17" s="8">
        <f t="shared" si="6"/>
        <v>0.42558200000000002</v>
      </c>
      <c r="M17" s="10">
        <f t="shared" si="7"/>
        <v>1.3065367400000001</v>
      </c>
      <c r="N17" s="21"/>
      <c r="O17" s="7">
        <f>'[5]Mar Prod'!H16</f>
        <v>4544000.0000000009</v>
      </c>
      <c r="P17" s="8">
        <f t="shared" si="8"/>
        <v>4.5440000000000014</v>
      </c>
      <c r="Q17" s="10">
        <f t="shared" si="9"/>
        <v>13.950080000000003</v>
      </c>
      <c r="R17" s="7">
        <f>'[5]Mar Prod'!C16</f>
        <v>4799000</v>
      </c>
      <c r="S17" s="8">
        <f t="shared" si="10"/>
        <v>4.7990000000000004</v>
      </c>
      <c r="T17" s="10">
        <f t="shared" si="11"/>
        <v>14.73293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254999.99999999901</v>
      </c>
      <c r="Y17" s="8">
        <f t="shared" si="14"/>
        <v>0.25499999999999901</v>
      </c>
      <c r="Z17" s="10">
        <f t="shared" si="15"/>
        <v>0.78284999999999694</v>
      </c>
      <c r="AA17" s="15"/>
      <c r="AB17" s="7">
        <f t="shared" si="16"/>
        <v>9544000</v>
      </c>
      <c r="AC17" s="8">
        <f t="shared" si="16"/>
        <v>9.5440000000000005</v>
      </c>
      <c r="AD17" s="8">
        <f t="shared" si="16"/>
        <v>29.300080000000001</v>
      </c>
      <c r="AF17" s="8">
        <f>T17-Q17-Z17</f>
        <v>0</v>
      </c>
    </row>
    <row r="18" spans="1:32" x14ac:dyDescent="0.2">
      <c r="A18" s="27">
        <v>38425</v>
      </c>
      <c r="B18" s="7">
        <f>'[5]Mar Prod'!I17</f>
        <v>5000000</v>
      </c>
      <c r="C18" s="8">
        <f t="shared" si="1"/>
        <v>5</v>
      </c>
      <c r="D18" s="10">
        <f t="shared" si="0"/>
        <v>15.35</v>
      </c>
      <c r="E18" s="7">
        <f>'[5]Mar Prod'!E17</f>
        <v>0</v>
      </c>
      <c r="F18" s="8">
        <f t="shared" si="2"/>
        <v>0</v>
      </c>
      <c r="G18" s="10">
        <f t="shared" si="3"/>
        <v>0</v>
      </c>
      <c r="H18" s="7">
        <f>'[5]Mar Prod'!F17</f>
        <v>5090000</v>
      </c>
      <c r="I18" s="8">
        <f t="shared" si="4"/>
        <v>5.09</v>
      </c>
      <c r="J18" s="10">
        <f t="shared" si="5"/>
        <v>15.626299999999999</v>
      </c>
      <c r="K18" s="7">
        <f>'[5]Mar Prod'!H272</f>
        <v>662562</v>
      </c>
      <c r="L18" s="8">
        <f t="shared" si="6"/>
        <v>0.66256199999999998</v>
      </c>
      <c r="M18" s="10">
        <f t="shared" si="7"/>
        <v>2.0340653399999997</v>
      </c>
      <c r="N18" s="21"/>
      <c r="O18" s="7">
        <f>'[5]Mar Prod'!H17</f>
        <v>5302000</v>
      </c>
      <c r="P18" s="8">
        <f t="shared" si="8"/>
        <v>5.3019999999999996</v>
      </c>
      <c r="Q18" s="10">
        <f t="shared" si="9"/>
        <v>16.277139999999999</v>
      </c>
      <c r="R18" s="7">
        <f>'[5]Mar Prod'!C17</f>
        <v>5623000</v>
      </c>
      <c r="S18" s="8">
        <f t="shared" si="10"/>
        <v>5.6230000000000002</v>
      </c>
      <c r="T18" s="10">
        <f t="shared" si="11"/>
        <v>17.262609999999999</v>
      </c>
      <c r="U18" s="7">
        <f>'[5]Mar Prod'!D17</f>
        <v>3000</v>
      </c>
      <c r="V18" s="8">
        <f t="shared" si="12"/>
        <v>3.0000000000000001E-3</v>
      </c>
      <c r="W18" s="10">
        <f t="shared" si="13"/>
        <v>9.2099999999999994E-3</v>
      </c>
      <c r="X18" s="7">
        <f>'[5]Mar Prod'!D272</f>
        <v>323999.99999999983</v>
      </c>
      <c r="Y18" s="8">
        <f t="shared" si="14"/>
        <v>0.32399999999999984</v>
      </c>
      <c r="Z18" s="10">
        <f t="shared" si="15"/>
        <v>0.99467999999999945</v>
      </c>
      <c r="AA18" s="15"/>
      <c r="AB18" s="7">
        <f t="shared" si="16"/>
        <v>10302000</v>
      </c>
      <c r="AC18" s="8">
        <f t="shared" si="16"/>
        <v>10.302</v>
      </c>
      <c r="AD18" s="8">
        <f t="shared" si="16"/>
        <v>31.627139999999997</v>
      </c>
      <c r="AF18" s="8">
        <f>T18-Q18-Z18</f>
        <v>-9.2100000000000515E-3</v>
      </c>
    </row>
    <row r="19" spans="1:32" x14ac:dyDescent="0.2">
      <c r="A19" s="27">
        <v>38426</v>
      </c>
      <c r="B19" s="7">
        <f>'[5]Mar Prod'!I18</f>
        <v>5200000.0000007274</v>
      </c>
      <c r="C19" s="8">
        <f t="shared" si="1"/>
        <v>5.2000000000007276</v>
      </c>
      <c r="D19" s="10">
        <f t="shared" si="0"/>
        <v>15.964000000002233</v>
      </c>
      <c r="E19" s="7">
        <f>'[5]Mar Prod'!E18</f>
        <v>0</v>
      </c>
      <c r="F19" s="8">
        <f t="shared" si="2"/>
        <v>0</v>
      </c>
      <c r="G19" s="10">
        <f t="shared" si="3"/>
        <v>0</v>
      </c>
      <c r="H19" s="7">
        <f>'[5]Mar Prod'!F18</f>
        <v>5010000</v>
      </c>
      <c r="I19" s="8">
        <f t="shared" si="4"/>
        <v>5.01</v>
      </c>
      <c r="J19" s="10">
        <f t="shared" si="5"/>
        <v>15.380699999999999</v>
      </c>
      <c r="K19" s="7">
        <f>'[5]Mar Prod'!H273</f>
        <v>548483</v>
      </c>
      <c r="L19" s="8">
        <f t="shared" si="6"/>
        <v>0.54848300000000005</v>
      </c>
      <c r="M19" s="10">
        <f t="shared" si="7"/>
        <v>1.68384281</v>
      </c>
      <c r="N19" s="21"/>
      <c r="O19" s="7">
        <f>'[5]Mar Prod'!H18</f>
        <v>6629999.9999999991</v>
      </c>
      <c r="P19" s="8">
        <f t="shared" si="8"/>
        <v>6.629999999999999</v>
      </c>
      <c r="Q19" s="10">
        <f t="shared" si="9"/>
        <v>20.354099999999995</v>
      </c>
      <c r="R19" s="7">
        <f>'[5]Mar Prod'!C18</f>
        <v>7013000</v>
      </c>
      <c r="S19" s="8">
        <f t="shared" si="10"/>
        <v>7.0129999999999999</v>
      </c>
      <c r="T19" s="10">
        <f t="shared" si="11"/>
        <v>21.529909999999997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383000.00000000087</v>
      </c>
      <c r="Y19" s="8">
        <f t="shared" si="14"/>
        <v>0.3830000000000009</v>
      </c>
      <c r="Z19" s="10">
        <f t="shared" si="15"/>
        <v>1.1758100000000027</v>
      </c>
      <c r="AA19" s="15"/>
      <c r="AB19" s="7">
        <f t="shared" si="16"/>
        <v>11830000.000000726</v>
      </c>
      <c r="AC19" s="8">
        <f t="shared" si="16"/>
        <v>11.830000000000727</v>
      </c>
      <c r="AD19" s="8">
        <f>D19+Q19</f>
        <v>36.318100000002232</v>
      </c>
      <c r="AF19" s="8">
        <f>T19-Q19-Z19</f>
        <v>0</v>
      </c>
    </row>
    <row r="20" spans="1:32" x14ac:dyDescent="0.2">
      <c r="A20" s="27">
        <v>38427</v>
      </c>
      <c r="B20" s="7">
        <f>'[5]Mar Prod'!I19</f>
        <v>5199999.9999970896</v>
      </c>
      <c r="C20" s="8">
        <f t="shared" si="1"/>
        <v>5.1999999999970896</v>
      </c>
      <c r="D20" s="10">
        <f t="shared" si="0"/>
        <v>15.963999999991064</v>
      </c>
      <c r="E20" s="7">
        <f>'[5]Mar Prod'!E19</f>
        <v>0</v>
      </c>
      <c r="F20" s="8">
        <f t="shared" si="2"/>
        <v>0</v>
      </c>
      <c r="G20" s="10">
        <f t="shared" si="3"/>
        <v>0</v>
      </c>
      <c r="H20" s="7">
        <f>'[5]Mar Prod'!F19</f>
        <v>4990000</v>
      </c>
      <c r="I20" s="8">
        <f t="shared" si="4"/>
        <v>4.99</v>
      </c>
      <c r="J20" s="10">
        <f t="shared" si="5"/>
        <v>15.3193</v>
      </c>
      <c r="K20" s="7">
        <f>'[5]Mar Prod'!H274</f>
        <v>534438</v>
      </c>
      <c r="L20" s="8">
        <f t="shared" si="6"/>
        <v>0.53443799999999997</v>
      </c>
      <c r="M20" s="10">
        <f t="shared" si="7"/>
        <v>1.6407246599999998</v>
      </c>
      <c r="N20" s="21"/>
      <c r="O20" s="7">
        <f>'[5]Mar Prod'!H19</f>
        <v>6806999.9999999991</v>
      </c>
      <c r="P20" s="8">
        <f t="shared" si="8"/>
        <v>6.8069999999999995</v>
      </c>
      <c r="Q20" s="10">
        <f t="shared" si="9"/>
        <v>20.897489999999998</v>
      </c>
      <c r="R20" s="7">
        <f>'[5]Mar Prod'!C19</f>
        <v>6982000</v>
      </c>
      <c r="S20" s="8">
        <f t="shared" si="10"/>
        <v>6.9820000000000002</v>
      </c>
      <c r="T20" s="10">
        <f t="shared" si="11"/>
        <v>21.434739999999998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175000.0000000007</v>
      </c>
      <c r="Y20" s="8">
        <f t="shared" si="14"/>
        <v>0.17500000000000071</v>
      </c>
      <c r="Z20" s="10">
        <f t="shared" si="15"/>
        <v>0.53725000000000211</v>
      </c>
      <c r="AA20" s="15"/>
      <c r="AB20" s="7">
        <f t="shared" si="16"/>
        <v>12006999.999997089</v>
      </c>
      <c r="AC20" s="8">
        <f t="shared" si="16"/>
        <v>12.006999999997088</v>
      </c>
      <c r="AD20" s="8">
        <f t="shared" si="16"/>
        <v>36.861489999991065</v>
      </c>
      <c r="AF20" s="8">
        <f t="shared" ref="AF20:AF35" si="18">T20-Q20-Z20</f>
        <v>-1.8873791418627661E-15</v>
      </c>
    </row>
    <row r="21" spans="1:32" x14ac:dyDescent="0.2">
      <c r="A21" s="27">
        <v>38428</v>
      </c>
      <c r="B21" s="7">
        <f>'[5]Mar Prod'!I20</f>
        <v>5400000.0000014547</v>
      </c>
      <c r="C21" s="8">
        <f t="shared" si="1"/>
        <v>5.4000000000014543</v>
      </c>
      <c r="D21" s="10">
        <f t="shared" si="0"/>
        <v>16.578000000004465</v>
      </c>
      <c r="E21" s="7">
        <f>'[5]Mar Prod'!E20</f>
        <v>0</v>
      </c>
      <c r="F21" s="8">
        <f t="shared" si="2"/>
        <v>0</v>
      </c>
      <c r="G21" s="10">
        <f t="shared" si="3"/>
        <v>0</v>
      </c>
      <c r="H21" s="7">
        <f>'[5]Mar Prod'!F20</f>
        <v>4990000</v>
      </c>
      <c r="I21" s="8">
        <f t="shared" si="4"/>
        <v>4.99</v>
      </c>
      <c r="J21" s="10">
        <f t="shared" si="5"/>
        <v>15.3193</v>
      </c>
      <c r="K21" s="7">
        <f>'[5]Mar Prod'!H275</f>
        <v>491000</v>
      </c>
      <c r="L21" s="8">
        <f t="shared" si="6"/>
        <v>0.49099999999999999</v>
      </c>
      <c r="M21" s="10">
        <f t="shared" si="7"/>
        <v>1.5073699999999999</v>
      </c>
      <c r="N21" s="21"/>
      <c r="O21" s="7">
        <f>'[5]Mar Prod'!H20</f>
        <v>6688000.0000000009</v>
      </c>
      <c r="P21" s="8">
        <f t="shared" si="8"/>
        <v>6.6880000000000006</v>
      </c>
      <c r="Q21" s="10">
        <f t="shared" si="9"/>
        <v>20.532160000000001</v>
      </c>
      <c r="R21" s="7">
        <f>'[5]Mar Prod'!C20</f>
        <v>6952000</v>
      </c>
      <c r="S21" s="8">
        <f t="shared" si="10"/>
        <v>6.952</v>
      </c>
      <c r="T21" s="10">
        <f t="shared" si="11"/>
        <v>21.342639999999999</v>
      </c>
      <c r="U21" s="7">
        <f>'[5]Mar Prod'!D20</f>
        <v>0</v>
      </c>
      <c r="V21" s="8">
        <f t="shared" si="12"/>
        <v>0</v>
      </c>
      <c r="W21" s="10">
        <f t="shared" si="13"/>
        <v>0</v>
      </c>
      <c r="X21" s="7">
        <f>'[5]Mar Prod'!D275</f>
        <v>263999.99999999936</v>
      </c>
      <c r="Y21" s="8">
        <f t="shared" si="14"/>
        <v>0.26399999999999935</v>
      </c>
      <c r="Z21" s="10">
        <f t="shared" si="15"/>
        <v>0.81047999999999798</v>
      </c>
      <c r="AA21" s="15"/>
      <c r="AB21" s="7">
        <f t="shared" si="16"/>
        <v>12088000.000001457</v>
      </c>
      <c r="AC21" s="8">
        <f t="shared" si="16"/>
        <v>12.088000000001454</v>
      </c>
      <c r="AD21" s="8">
        <f t="shared" si="16"/>
        <v>37.11016000000447</v>
      </c>
      <c r="AF21" s="8">
        <f t="shared" si="18"/>
        <v>0</v>
      </c>
    </row>
    <row r="22" spans="1:32" x14ac:dyDescent="0.2">
      <c r="A22" s="27">
        <v>38429</v>
      </c>
      <c r="B22" s="7">
        <f>'[5]Mar Prod'!I21</f>
        <v>8000000</v>
      </c>
      <c r="C22" s="8">
        <f t="shared" si="1"/>
        <v>8</v>
      </c>
      <c r="D22" s="10">
        <f t="shared" si="0"/>
        <v>24.56</v>
      </c>
      <c r="E22" s="7">
        <f>'[5]Mar Prod'!E21</f>
        <v>0</v>
      </c>
      <c r="F22" s="8">
        <f t="shared" si="2"/>
        <v>0</v>
      </c>
      <c r="G22" s="10">
        <f t="shared" si="3"/>
        <v>0</v>
      </c>
      <c r="H22" s="7">
        <f>'[5]Mar Prod'!F21</f>
        <v>8780000</v>
      </c>
      <c r="I22" s="8">
        <f t="shared" si="4"/>
        <v>8.7799999999999994</v>
      </c>
      <c r="J22" s="10">
        <f t="shared" si="5"/>
        <v>26.954599999999996</v>
      </c>
      <c r="K22" s="7">
        <f>'[5]Mar Prod'!H276</f>
        <v>956050</v>
      </c>
      <c r="L22" s="8">
        <f t="shared" si="6"/>
        <v>0.95604999999999996</v>
      </c>
      <c r="M22" s="10">
        <f t="shared" si="7"/>
        <v>2.9350734999999997</v>
      </c>
      <c r="N22" s="21"/>
      <c r="O22" s="7">
        <f>'[5]Mar Prod'!H21</f>
        <v>2442000.0000000019</v>
      </c>
      <c r="P22" s="8">
        <f t="shared" si="8"/>
        <v>2.4420000000000019</v>
      </c>
      <c r="Q22" s="10">
        <f t="shared" si="9"/>
        <v>7.4969400000000057</v>
      </c>
      <c r="R22" s="7">
        <f>'[5]Mar Prod'!C21</f>
        <v>2833000</v>
      </c>
      <c r="S22" s="8">
        <f t="shared" si="10"/>
        <v>2.8330000000000002</v>
      </c>
      <c r="T22" s="10">
        <f t="shared" si="11"/>
        <v>8.6973099999999999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390999.99999999825</v>
      </c>
      <c r="Y22" s="8">
        <f t="shared" si="14"/>
        <v>0.39099999999999824</v>
      </c>
      <c r="Z22" s="10">
        <f t="shared" si="15"/>
        <v>1.2003699999999946</v>
      </c>
      <c r="AA22" s="15"/>
      <c r="AB22" s="7">
        <f t="shared" si="16"/>
        <v>10442000.000000002</v>
      </c>
      <c r="AC22" s="8">
        <f t="shared" si="16"/>
        <v>10.442000000000002</v>
      </c>
      <c r="AD22" s="8">
        <f t="shared" si="16"/>
        <v>32.056940000000004</v>
      </c>
      <c r="AF22" s="8">
        <f t="shared" si="18"/>
        <v>0</v>
      </c>
    </row>
    <row r="23" spans="1:32" x14ac:dyDescent="0.2">
      <c r="A23" s="27">
        <v>38430</v>
      </c>
      <c r="B23" s="7">
        <f>'[5]Mar Prod'!I22</f>
        <v>10500000</v>
      </c>
      <c r="C23" s="8">
        <f t="shared" si="1"/>
        <v>10.5</v>
      </c>
      <c r="D23" s="10">
        <f t="shared" si="0"/>
        <v>32.234999999999999</v>
      </c>
      <c r="E23" s="7">
        <f>'[5]Mar Prod'!E22</f>
        <v>0</v>
      </c>
      <c r="F23" s="8">
        <f t="shared" si="2"/>
        <v>0</v>
      </c>
      <c r="G23" s="10">
        <f t="shared" si="3"/>
        <v>0</v>
      </c>
      <c r="H23" s="7">
        <f>'[5]Mar Prod'!F22</f>
        <v>9530000</v>
      </c>
      <c r="I23" s="8">
        <f t="shared" si="4"/>
        <v>9.5299999999999994</v>
      </c>
      <c r="J23" s="10">
        <f t="shared" si="5"/>
        <v>29.257099999999998</v>
      </c>
      <c r="K23" s="7">
        <f>'[5]Mar Prod'!H277</f>
        <v>949892</v>
      </c>
      <c r="L23" s="8">
        <f t="shared" si="6"/>
        <v>0.94989199999999996</v>
      </c>
      <c r="M23" s="10">
        <f t="shared" si="7"/>
        <v>2.9161684399999999</v>
      </c>
      <c r="N23" s="21"/>
      <c r="O23" s="7">
        <f>'[5]Mar Prod'!H22</f>
        <v>0</v>
      </c>
      <c r="P23" s="8">
        <f t="shared" si="8"/>
        <v>0</v>
      </c>
      <c r="Q23" s="10">
        <f t="shared" si="9"/>
        <v>0</v>
      </c>
      <c r="R23" s="7">
        <f>'[5]Mar Prod'!C22</f>
        <v>0</v>
      </c>
      <c r="S23" s="8">
        <f t="shared" si="10"/>
        <v>0</v>
      </c>
      <c r="T23" s="10">
        <f t="shared" si="11"/>
        <v>0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10500000</v>
      </c>
      <c r="AC23" s="8">
        <f t="shared" si="16"/>
        <v>10.5</v>
      </c>
      <c r="AD23" s="8">
        <f t="shared" si="16"/>
        <v>32.234999999999999</v>
      </c>
      <c r="AF23" s="8">
        <f t="shared" si="18"/>
        <v>0</v>
      </c>
    </row>
    <row r="24" spans="1:32" x14ac:dyDescent="0.2">
      <c r="A24" s="27">
        <v>38431</v>
      </c>
      <c r="B24" s="7">
        <f>'[5]Mar Prod'!I23</f>
        <v>11299999.999999272</v>
      </c>
      <c r="C24" s="8">
        <f t="shared" si="1"/>
        <v>11.299999999999272</v>
      </c>
      <c r="D24" s="10">
        <f t="shared" si="0"/>
        <v>34.690999999997764</v>
      </c>
      <c r="E24" s="7">
        <f>'[5]Mar Prod'!E23</f>
        <v>0</v>
      </c>
      <c r="F24" s="8">
        <f t="shared" si="2"/>
        <v>0</v>
      </c>
      <c r="G24" s="10">
        <f t="shared" si="3"/>
        <v>0</v>
      </c>
      <c r="H24" s="7">
        <f>'[5]Mar Prod'!F23</f>
        <v>10880000</v>
      </c>
      <c r="I24" s="8">
        <f t="shared" si="4"/>
        <v>10.88</v>
      </c>
      <c r="J24" s="10">
        <f t="shared" si="5"/>
        <v>33.401600000000002</v>
      </c>
      <c r="K24" s="7">
        <f>'[5]Mar Prod'!H278</f>
        <v>984274</v>
      </c>
      <c r="L24" s="8">
        <f t="shared" si="6"/>
        <v>0.98427399999999998</v>
      </c>
      <c r="M24" s="10">
        <f t="shared" si="7"/>
        <v>3.0217211799999997</v>
      </c>
      <c r="N24" s="21"/>
      <c r="O24" s="7">
        <f>'[5]Mar Prod'!H23</f>
        <v>0</v>
      </c>
      <c r="P24" s="8">
        <f t="shared" si="8"/>
        <v>0</v>
      </c>
      <c r="Q24" s="10">
        <f t="shared" si="9"/>
        <v>0</v>
      </c>
      <c r="R24" s="7">
        <f>'[5]Mar Prod'!C23</f>
        <v>0</v>
      </c>
      <c r="S24" s="8">
        <f t="shared" si="10"/>
        <v>0</v>
      </c>
      <c r="T24" s="10">
        <f t="shared" si="11"/>
        <v>0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11299999.999999272</v>
      </c>
      <c r="AC24" s="8">
        <f t="shared" si="16"/>
        <v>11.299999999999272</v>
      </c>
      <c r="AD24" s="8">
        <f>D24+Q24</f>
        <v>34.690999999997764</v>
      </c>
      <c r="AF24" s="8">
        <f t="shared" si="18"/>
        <v>0</v>
      </c>
    </row>
    <row r="25" spans="1:32" x14ac:dyDescent="0.2">
      <c r="A25" s="27">
        <v>38432</v>
      </c>
      <c r="B25" s="7">
        <f>'[5]Mar Prod'!I24</f>
        <v>9000000</v>
      </c>
      <c r="C25" s="8">
        <f t="shared" si="1"/>
        <v>9</v>
      </c>
      <c r="D25" s="10">
        <f t="shared" si="0"/>
        <v>27.63</v>
      </c>
      <c r="E25" s="7">
        <f>'[5]Mar Prod'!E24</f>
        <v>0</v>
      </c>
      <c r="F25" s="8">
        <f t="shared" si="2"/>
        <v>0</v>
      </c>
      <c r="G25" s="10">
        <f t="shared" si="3"/>
        <v>0</v>
      </c>
      <c r="H25" s="7">
        <f>'[5]Mar Prod'!F24</f>
        <v>9260000</v>
      </c>
      <c r="I25" s="8">
        <f t="shared" si="4"/>
        <v>9.26</v>
      </c>
      <c r="J25" s="10">
        <f t="shared" si="5"/>
        <v>28.428199999999997</v>
      </c>
      <c r="K25" s="7">
        <f>'[5]Mar Prod'!H279</f>
        <v>1003440</v>
      </c>
      <c r="L25" s="8">
        <f t="shared" si="6"/>
        <v>1.0034400000000001</v>
      </c>
      <c r="M25" s="10">
        <f t="shared" si="7"/>
        <v>3.0805608000000002</v>
      </c>
      <c r="N25" s="21"/>
      <c r="O25" s="7">
        <f>'[5]Mar Prod'!H24</f>
        <v>0</v>
      </c>
      <c r="P25" s="8">
        <f t="shared" si="8"/>
        <v>0</v>
      </c>
      <c r="Q25" s="10">
        <f t="shared" si="9"/>
        <v>0</v>
      </c>
      <c r="R25" s="7">
        <f>'[5]Mar Prod'!C24</f>
        <v>0</v>
      </c>
      <c r="S25" s="8">
        <f t="shared" si="10"/>
        <v>0</v>
      </c>
      <c r="T25" s="10">
        <f t="shared" si="11"/>
        <v>0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9000000</v>
      </c>
      <c r="AC25" s="8">
        <f t="shared" si="16"/>
        <v>9</v>
      </c>
      <c r="AD25" s="8">
        <f t="shared" si="16"/>
        <v>27.63</v>
      </c>
      <c r="AF25" s="8">
        <f t="shared" si="18"/>
        <v>0</v>
      </c>
    </row>
    <row r="26" spans="1:32" x14ac:dyDescent="0.2">
      <c r="A26" s="27">
        <v>38433</v>
      </c>
      <c r="B26" s="7">
        <f>'[5]Mar Prod'!I25</f>
        <v>9400000.0000014547</v>
      </c>
      <c r="C26" s="8">
        <f t="shared" si="1"/>
        <v>9.4000000000014552</v>
      </c>
      <c r="D26" s="10">
        <f t="shared" si="0"/>
        <v>28.858000000004466</v>
      </c>
      <c r="E26" s="7">
        <f>'[5]Mar Prod'!E25</f>
        <v>0</v>
      </c>
      <c r="F26" s="8">
        <f t="shared" si="2"/>
        <v>0</v>
      </c>
      <c r="G26" s="10">
        <f t="shared" si="3"/>
        <v>0</v>
      </c>
      <c r="H26" s="7">
        <f>'[5]Mar Prod'!F25</f>
        <v>8350000</v>
      </c>
      <c r="I26" s="8">
        <f t="shared" si="4"/>
        <v>8.35</v>
      </c>
      <c r="J26" s="10">
        <f t="shared" si="5"/>
        <v>25.634499999999999</v>
      </c>
      <c r="K26" s="7">
        <f>'[5]Mar Prod'!H280</f>
        <v>802379</v>
      </c>
      <c r="L26" s="8">
        <f t="shared" si="6"/>
        <v>0.80237899999999995</v>
      </c>
      <c r="M26" s="10">
        <f t="shared" si="7"/>
        <v>2.4633035299999997</v>
      </c>
      <c r="N26" s="21"/>
      <c r="O26" s="7">
        <f>'[5]Mar Prod'!H25</f>
        <v>0</v>
      </c>
      <c r="P26" s="8">
        <f t="shared" si="8"/>
        <v>0</v>
      </c>
      <c r="Q26" s="10">
        <f t="shared" si="9"/>
        <v>0</v>
      </c>
      <c r="R26" s="7">
        <f>'[5]Mar Prod'!C25</f>
        <v>0</v>
      </c>
      <c r="S26" s="8">
        <f t="shared" si="10"/>
        <v>0</v>
      </c>
      <c r="T26" s="10">
        <f t="shared" si="11"/>
        <v>0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9400000.0000014547</v>
      </c>
      <c r="AC26" s="8">
        <f t="shared" si="16"/>
        <v>9.4000000000014552</v>
      </c>
      <c r="AD26" s="8">
        <f t="shared" si="16"/>
        <v>28.858000000004466</v>
      </c>
      <c r="AF26" s="8">
        <f t="shared" si="18"/>
        <v>0</v>
      </c>
    </row>
    <row r="27" spans="1:32" x14ac:dyDescent="0.2">
      <c r="A27" s="27">
        <v>38434</v>
      </c>
      <c r="B27" s="7">
        <f>'[5]Mar Prod'!I26</f>
        <v>10599999.999998545</v>
      </c>
      <c r="C27" s="8">
        <f t="shared" si="1"/>
        <v>10.599999999998545</v>
      </c>
      <c r="D27" s="10">
        <f t="shared" si="0"/>
        <v>32.541999999995532</v>
      </c>
      <c r="E27" s="7">
        <f>'[5]Mar Prod'!E26</f>
        <v>0</v>
      </c>
      <c r="F27" s="8">
        <f t="shared" si="2"/>
        <v>0</v>
      </c>
      <c r="G27" s="10">
        <f t="shared" si="3"/>
        <v>0</v>
      </c>
      <c r="H27" s="7">
        <f>'[5]Mar Prod'!F26</f>
        <v>10420000</v>
      </c>
      <c r="I27" s="8">
        <f t="shared" si="4"/>
        <v>10.42</v>
      </c>
      <c r="J27" s="10">
        <f t="shared" si="5"/>
        <v>31.9894</v>
      </c>
      <c r="K27" s="7">
        <f>'[5]Mar Prod'!H281</f>
        <v>965284</v>
      </c>
      <c r="L27" s="8">
        <f t="shared" si="6"/>
        <v>0.96528400000000003</v>
      </c>
      <c r="M27" s="10">
        <f t="shared" si="7"/>
        <v>2.9634218799999998</v>
      </c>
      <c r="N27" s="21"/>
      <c r="O27" s="7">
        <f>'[5]Mar Prod'!H26</f>
        <v>0</v>
      </c>
      <c r="P27" s="8">
        <f t="shared" si="8"/>
        <v>0</v>
      </c>
      <c r="Q27" s="10">
        <f t="shared" si="9"/>
        <v>0</v>
      </c>
      <c r="R27" s="7">
        <f>'[5]Mar Prod'!C26</f>
        <v>0</v>
      </c>
      <c r="S27" s="8">
        <f t="shared" si="10"/>
        <v>0</v>
      </c>
      <c r="T27" s="10">
        <f t="shared" si="11"/>
        <v>0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10599999.999998545</v>
      </c>
      <c r="AC27" s="8">
        <f t="shared" si="16"/>
        <v>10.599999999998545</v>
      </c>
      <c r="AD27" s="8">
        <f t="shared" si="16"/>
        <v>32.541999999995532</v>
      </c>
      <c r="AF27" s="8">
        <f t="shared" si="18"/>
        <v>0</v>
      </c>
    </row>
    <row r="28" spans="1:32" x14ac:dyDescent="0.2">
      <c r="A28" s="27">
        <v>38435</v>
      </c>
      <c r="B28" s="7">
        <f>'[5]Mar Prod'!I27</f>
        <v>11799999.999999272</v>
      </c>
      <c r="C28" s="8">
        <f t="shared" si="1"/>
        <v>11.799999999999272</v>
      </c>
      <c r="D28" s="10">
        <f t="shared" si="0"/>
        <v>36.225999999997761</v>
      </c>
      <c r="E28" s="7">
        <f>'[5]Mar Prod'!E27</f>
        <v>0</v>
      </c>
      <c r="F28" s="8">
        <f t="shared" si="2"/>
        <v>0</v>
      </c>
      <c r="G28" s="10">
        <f t="shared" si="3"/>
        <v>0</v>
      </c>
      <c r="H28" s="7">
        <f>'[5]Mar Prod'!F27</f>
        <v>11370000</v>
      </c>
      <c r="I28" s="8">
        <f t="shared" si="4"/>
        <v>11.37</v>
      </c>
      <c r="J28" s="10">
        <f t="shared" si="5"/>
        <v>34.905899999999995</v>
      </c>
      <c r="K28" s="7">
        <f>'[5]Mar Prod'!H282</f>
        <v>1171503</v>
      </c>
      <c r="L28" s="8">
        <f t="shared" si="6"/>
        <v>1.171503</v>
      </c>
      <c r="M28" s="10">
        <f t="shared" si="7"/>
        <v>3.5965142099999996</v>
      </c>
      <c r="N28" s="21"/>
      <c r="O28" s="7">
        <f>'[5]Mar Prod'!H27</f>
        <v>0</v>
      </c>
      <c r="P28" s="8">
        <f t="shared" si="8"/>
        <v>0</v>
      </c>
      <c r="Q28" s="10">
        <f t="shared" si="9"/>
        <v>0</v>
      </c>
      <c r="R28" s="7">
        <f>'[5]Mar Prod'!C27</f>
        <v>0</v>
      </c>
      <c r="S28" s="8">
        <f t="shared" si="10"/>
        <v>0</v>
      </c>
      <c r="T28" s="10">
        <f t="shared" si="11"/>
        <v>0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11799999.999999272</v>
      </c>
      <c r="AC28" s="8">
        <f t="shared" si="16"/>
        <v>11.799999999999272</v>
      </c>
      <c r="AD28" s="8">
        <f t="shared" si="16"/>
        <v>36.225999999997761</v>
      </c>
      <c r="AF28" s="8">
        <f t="shared" si="18"/>
        <v>0</v>
      </c>
    </row>
    <row r="29" spans="1:32" x14ac:dyDescent="0.2">
      <c r="A29" s="27">
        <v>38436</v>
      </c>
      <c r="B29" s="7">
        <f>'[5]Mar Prod'!I28</f>
        <v>13400000.000001455</v>
      </c>
      <c r="C29" s="8">
        <f t="shared" si="1"/>
        <v>13.400000000001455</v>
      </c>
      <c r="D29" s="10">
        <f t="shared" si="0"/>
        <v>41.138000000004467</v>
      </c>
      <c r="E29" s="7">
        <f>'[5]Mar Prod'!E28</f>
        <v>0</v>
      </c>
      <c r="F29" s="8">
        <f t="shared" si="2"/>
        <v>0</v>
      </c>
      <c r="G29" s="10">
        <f t="shared" si="3"/>
        <v>0</v>
      </c>
      <c r="H29" s="7">
        <f>'[5]Mar Prod'!F28</f>
        <v>12600000</v>
      </c>
      <c r="I29" s="8">
        <f t="shared" si="4"/>
        <v>12.6</v>
      </c>
      <c r="J29" s="10">
        <f t="shared" si="5"/>
        <v>38.681999999999995</v>
      </c>
      <c r="K29" s="7">
        <f>'[5]Mar Prod'!H283</f>
        <v>1307245</v>
      </c>
      <c r="L29" s="8">
        <f t="shared" si="6"/>
        <v>1.307245</v>
      </c>
      <c r="M29" s="10">
        <f t="shared" si="7"/>
        <v>4.01324215</v>
      </c>
      <c r="N29" s="21"/>
      <c r="O29" s="7">
        <f>'[5]Mar Prod'!H28</f>
        <v>0</v>
      </c>
      <c r="P29" s="8">
        <f t="shared" si="8"/>
        <v>0</v>
      </c>
      <c r="Q29" s="10">
        <f t="shared" si="9"/>
        <v>0</v>
      </c>
      <c r="R29" s="7">
        <f>'[5]Mar Prod'!C28</f>
        <v>0</v>
      </c>
      <c r="S29" s="8">
        <f t="shared" si="10"/>
        <v>0</v>
      </c>
      <c r="T29" s="10">
        <f t="shared" si="11"/>
        <v>0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13400000.000001455</v>
      </c>
      <c r="AC29" s="8">
        <f t="shared" si="16"/>
        <v>13.400000000001455</v>
      </c>
      <c r="AD29" s="8">
        <f t="shared" si="16"/>
        <v>41.138000000004467</v>
      </c>
      <c r="AF29" s="8">
        <f t="shared" si="18"/>
        <v>0</v>
      </c>
    </row>
    <row r="30" spans="1:32" x14ac:dyDescent="0.2">
      <c r="A30" s="27">
        <v>38437</v>
      </c>
      <c r="B30" s="7">
        <f>'[5]Mar Prod'!I29</f>
        <v>10700000.000000728</v>
      </c>
      <c r="C30" s="8">
        <f t="shared" si="1"/>
        <v>10.700000000000728</v>
      </c>
      <c r="D30" s="10">
        <f t="shared" si="0"/>
        <v>32.849000000002235</v>
      </c>
      <c r="E30" s="7">
        <f>'[5]Mar Prod'!E29</f>
        <v>0</v>
      </c>
      <c r="F30" s="8">
        <f t="shared" si="2"/>
        <v>0</v>
      </c>
      <c r="G30" s="10">
        <f t="shared" si="3"/>
        <v>0</v>
      </c>
      <c r="H30" s="7">
        <f>'[5]Mar Prod'!F29</f>
        <v>10700000</v>
      </c>
      <c r="I30" s="8">
        <f t="shared" si="4"/>
        <v>10.7</v>
      </c>
      <c r="J30" s="10">
        <f t="shared" si="5"/>
        <v>32.848999999999997</v>
      </c>
      <c r="K30" s="7">
        <f>'[5]Mar Prod'!H284</f>
        <v>1022466</v>
      </c>
      <c r="L30" s="8">
        <f t="shared" si="6"/>
        <v>1.0224660000000001</v>
      </c>
      <c r="M30" s="10">
        <f t="shared" si="7"/>
        <v>3.1389706200000003</v>
      </c>
      <c r="N30" s="21"/>
      <c r="O30" s="7">
        <f>'[5]Mar Prod'!H29</f>
        <v>0</v>
      </c>
      <c r="P30" s="8">
        <f t="shared" si="8"/>
        <v>0</v>
      </c>
      <c r="Q30" s="10">
        <f t="shared" si="9"/>
        <v>0</v>
      </c>
      <c r="R30" s="7">
        <f>'[5]Mar Prod'!C29</f>
        <v>0</v>
      </c>
      <c r="S30" s="8">
        <f t="shared" si="10"/>
        <v>0</v>
      </c>
      <c r="T30" s="10">
        <f t="shared" si="11"/>
        <v>0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10700000.000000728</v>
      </c>
      <c r="AC30" s="8">
        <f t="shared" si="16"/>
        <v>10.700000000000728</v>
      </c>
      <c r="AD30" s="8">
        <f>D30+Q30</f>
        <v>32.849000000002235</v>
      </c>
      <c r="AF30" s="8">
        <f t="shared" si="18"/>
        <v>0</v>
      </c>
    </row>
    <row r="31" spans="1:32" x14ac:dyDescent="0.2">
      <c r="A31" s="27">
        <v>38438</v>
      </c>
      <c r="B31" s="7">
        <f>'[5]Mar Prod'!I30</f>
        <v>10799999.999999272</v>
      </c>
      <c r="C31" s="8">
        <f t="shared" si="1"/>
        <v>10.799999999999272</v>
      </c>
      <c r="D31" s="10">
        <f t="shared" si="0"/>
        <v>33.155999999997768</v>
      </c>
      <c r="E31" s="7">
        <f>'[5]Mar Prod'!E30</f>
        <v>0</v>
      </c>
      <c r="F31" s="8">
        <f t="shared" si="2"/>
        <v>0</v>
      </c>
      <c r="G31" s="10">
        <f t="shared" si="3"/>
        <v>0</v>
      </c>
      <c r="H31" s="7">
        <f>'[5]Mar Prod'!F30</f>
        <v>9930000</v>
      </c>
      <c r="I31" s="8">
        <f t="shared" si="4"/>
        <v>9.93</v>
      </c>
      <c r="J31" s="10">
        <f t="shared" si="5"/>
        <v>30.485099999999999</v>
      </c>
      <c r="K31" s="7">
        <f>'[5]Mar Prod'!H285</f>
        <v>976457</v>
      </c>
      <c r="L31" s="8">
        <f t="shared" si="6"/>
        <v>0.97645700000000002</v>
      </c>
      <c r="M31" s="10">
        <f t="shared" si="7"/>
        <v>2.9977229899999998</v>
      </c>
      <c r="N31" s="21"/>
      <c r="O31" s="7">
        <f>'[5]Mar Prod'!H30</f>
        <v>0</v>
      </c>
      <c r="P31" s="8">
        <f t="shared" si="8"/>
        <v>0</v>
      </c>
      <c r="Q31" s="10">
        <f t="shared" si="9"/>
        <v>0</v>
      </c>
      <c r="R31" s="7">
        <f>'[5]Mar Prod'!C30</f>
        <v>0</v>
      </c>
      <c r="S31" s="8">
        <f t="shared" si="10"/>
        <v>0</v>
      </c>
      <c r="T31" s="10">
        <f t="shared" si="11"/>
        <v>0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10799999.999999272</v>
      </c>
      <c r="AC31" s="8">
        <f t="shared" si="16"/>
        <v>10.799999999999272</v>
      </c>
      <c r="AD31" s="8">
        <f t="shared" si="16"/>
        <v>33.155999999997768</v>
      </c>
      <c r="AF31" s="8">
        <f>T31-Q31-Z31</f>
        <v>0</v>
      </c>
    </row>
    <row r="32" spans="1:32" x14ac:dyDescent="0.2">
      <c r="A32" s="27">
        <v>38439</v>
      </c>
      <c r="B32" s="7">
        <f>'[5]Mar Prod'!I31</f>
        <v>14200000.000000728</v>
      </c>
      <c r="C32" s="8">
        <f t="shared" si="1"/>
        <v>14.200000000000728</v>
      </c>
      <c r="D32" s="10">
        <f t="shared" si="0"/>
        <v>43.594000000002232</v>
      </c>
      <c r="E32" s="7">
        <f>'[5]Mar Prod'!E31</f>
        <v>0</v>
      </c>
      <c r="F32" s="8">
        <f t="shared" si="2"/>
        <v>0</v>
      </c>
      <c r="G32" s="10">
        <f t="shared" si="3"/>
        <v>0</v>
      </c>
      <c r="H32" s="7">
        <f>'[5]Mar Prod'!F31</f>
        <v>13000000</v>
      </c>
      <c r="I32" s="8">
        <f t="shared" si="4"/>
        <v>13</v>
      </c>
      <c r="J32" s="10">
        <f t="shared" si="5"/>
        <v>39.909999999999997</v>
      </c>
      <c r="K32" s="7">
        <f>'[5]Mar Prod'!H286</f>
        <v>1179765</v>
      </c>
      <c r="L32" s="8">
        <f t="shared" si="6"/>
        <v>1.179765</v>
      </c>
      <c r="M32" s="10">
        <f t="shared" si="7"/>
        <v>3.6218785499999995</v>
      </c>
      <c r="N32" s="21"/>
      <c r="O32" s="7">
        <f>'[5]Mar Prod'!H31</f>
        <v>0</v>
      </c>
      <c r="P32" s="8">
        <f t="shared" si="8"/>
        <v>0</v>
      </c>
      <c r="Q32" s="10">
        <f t="shared" si="9"/>
        <v>0</v>
      </c>
      <c r="R32" s="7">
        <f>'[5]Mar Prod'!C31</f>
        <v>0</v>
      </c>
      <c r="S32" s="8">
        <f t="shared" si="10"/>
        <v>0</v>
      </c>
      <c r="T32" s="10">
        <f t="shared" si="11"/>
        <v>0</v>
      </c>
      <c r="U32" s="7">
        <f>'[5]Mar Prod'!D31</f>
        <v>0</v>
      </c>
      <c r="V32" s="8">
        <f t="shared" si="12"/>
        <v>0</v>
      </c>
      <c r="W32" s="10">
        <f t="shared" si="13"/>
        <v>0</v>
      </c>
      <c r="X32" s="7">
        <f>'[5]Mar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14200000.000000728</v>
      </c>
      <c r="AC32" s="8">
        <f t="shared" si="16"/>
        <v>14.200000000000728</v>
      </c>
      <c r="AD32" s="8">
        <f t="shared" si="16"/>
        <v>43.594000000002232</v>
      </c>
      <c r="AF32" s="8">
        <f t="shared" si="18"/>
        <v>0</v>
      </c>
    </row>
    <row r="33" spans="1:32" x14ac:dyDescent="0.2">
      <c r="A33" s="27">
        <v>38440</v>
      </c>
      <c r="B33" s="7">
        <f>'[5]Mar Prod'!I32</f>
        <v>13200000.000000728</v>
      </c>
      <c r="C33" s="8">
        <f t="shared" si="1"/>
        <v>13.200000000000728</v>
      </c>
      <c r="D33" s="10">
        <f t="shared" si="0"/>
        <v>40.524000000002232</v>
      </c>
      <c r="E33" s="7">
        <f>'[5]Mar Prod'!E32</f>
        <v>0</v>
      </c>
      <c r="F33" s="8">
        <f t="shared" si="2"/>
        <v>0</v>
      </c>
      <c r="G33" s="10">
        <f t="shared" si="3"/>
        <v>0</v>
      </c>
      <c r="H33" s="7">
        <f>'[5]Mar Prod'!F32</f>
        <v>13310000</v>
      </c>
      <c r="I33" s="8">
        <f t="shared" si="4"/>
        <v>13.31</v>
      </c>
      <c r="J33" s="10">
        <f t="shared" si="5"/>
        <v>40.861699999999999</v>
      </c>
      <c r="K33" s="7">
        <f>'[5]Mar Prod'!H287</f>
        <v>1213026</v>
      </c>
      <c r="L33" s="8">
        <f t="shared" si="6"/>
        <v>1.2130259999999999</v>
      </c>
      <c r="M33" s="10">
        <f t="shared" si="7"/>
        <v>3.7239898199999995</v>
      </c>
      <c r="N33" s="21"/>
      <c r="O33" s="7">
        <f>'[5]Mar Prod'!H32</f>
        <v>0</v>
      </c>
      <c r="P33" s="8">
        <f t="shared" si="8"/>
        <v>0</v>
      </c>
      <c r="Q33" s="10">
        <f t="shared" si="9"/>
        <v>0</v>
      </c>
      <c r="R33" s="7">
        <f>'[5]Mar Prod'!C32</f>
        <v>0</v>
      </c>
      <c r="S33" s="8">
        <f t="shared" si="10"/>
        <v>0</v>
      </c>
      <c r="T33" s="10">
        <f t="shared" si="11"/>
        <v>0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13200000.000000728</v>
      </c>
      <c r="AC33" s="8">
        <f t="shared" si="16"/>
        <v>13.200000000000728</v>
      </c>
      <c r="AD33" s="8">
        <f t="shared" si="16"/>
        <v>40.524000000002232</v>
      </c>
      <c r="AF33" s="8">
        <f t="shared" si="18"/>
        <v>0</v>
      </c>
    </row>
    <row r="34" spans="1:32" x14ac:dyDescent="0.2">
      <c r="A34" s="27">
        <v>38441</v>
      </c>
      <c r="B34" s="7">
        <f>'[5]Mar Prod'!I33</f>
        <v>12500000</v>
      </c>
      <c r="C34" s="8">
        <f t="shared" si="1"/>
        <v>12.5</v>
      </c>
      <c r="D34" s="10">
        <f t="shared" si="0"/>
        <v>38.375</v>
      </c>
      <c r="E34" s="7">
        <f>'[5]Mar Prod'!E33</f>
        <v>0</v>
      </c>
      <c r="F34" s="8">
        <f t="shared" si="2"/>
        <v>0</v>
      </c>
      <c r="G34" s="10">
        <f t="shared" si="3"/>
        <v>0</v>
      </c>
      <c r="H34" s="7">
        <f>'[5]Mar Prod'!F33</f>
        <v>10850000</v>
      </c>
      <c r="I34" s="8">
        <f t="shared" si="4"/>
        <v>10.85</v>
      </c>
      <c r="J34" s="10">
        <f t="shared" si="5"/>
        <v>33.3095</v>
      </c>
      <c r="K34" s="7">
        <f>'[5]Mar Prod'!H288</f>
        <v>995322</v>
      </c>
      <c r="L34" s="8">
        <f t="shared" si="6"/>
        <v>0.99532200000000004</v>
      </c>
      <c r="M34" s="10">
        <f t="shared" si="7"/>
        <v>3.0556385399999999</v>
      </c>
      <c r="N34" s="21"/>
      <c r="O34" s="7">
        <f>'[5]Mar Prod'!H33</f>
        <v>0</v>
      </c>
      <c r="P34" s="8">
        <f t="shared" si="8"/>
        <v>0</v>
      </c>
      <c r="Q34" s="10">
        <f t="shared" si="9"/>
        <v>0</v>
      </c>
      <c r="R34" s="7">
        <f>'[5]Mar Prod'!C33</f>
        <v>0</v>
      </c>
      <c r="S34" s="8">
        <f t="shared" si="10"/>
        <v>0</v>
      </c>
      <c r="T34" s="10">
        <f t="shared" si="11"/>
        <v>0</v>
      </c>
      <c r="U34" s="7">
        <f>'[5]Mar Prod'!D33</f>
        <v>0</v>
      </c>
      <c r="V34" s="8">
        <f t="shared" si="12"/>
        <v>0</v>
      </c>
      <c r="W34" s="10">
        <f t="shared" si="13"/>
        <v>0</v>
      </c>
      <c r="X34" s="7">
        <f>'[5]Mar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12500000</v>
      </c>
      <c r="AC34" s="8">
        <f t="shared" si="16"/>
        <v>12.5</v>
      </c>
      <c r="AD34" s="8">
        <f t="shared" si="16"/>
        <v>38.375</v>
      </c>
      <c r="AF34" s="8">
        <f t="shared" si="18"/>
        <v>0</v>
      </c>
    </row>
    <row r="35" spans="1:32" ht="13.5" thickBot="1" x14ac:dyDescent="0.25">
      <c r="A35" s="27">
        <v>38442</v>
      </c>
      <c r="B35" s="7">
        <f>'[5]Mar Prod'!I34</f>
        <v>10299999.999999272</v>
      </c>
      <c r="C35" s="8">
        <f t="shared" si="1"/>
        <v>10.299999999999272</v>
      </c>
      <c r="D35" s="10">
        <f t="shared" si="0"/>
        <v>31.620999999997764</v>
      </c>
      <c r="E35" s="7">
        <f>'[5]Mar Prod'!E34</f>
        <v>0</v>
      </c>
      <c r="F35" s="8">
        <f t="shared" si="2"/>
        <v>0</v>
      </c>
      <c r="G35" s="10">
        <f t="shared" si="3"/>
        <v>0</v>
      </c>
      <c r="H35" s="7">
        <f>'[5]Mar Prod'!F34</f>
        <v>9950000</v>
      </c>
      <c r="I35" s="8">
        <f t="shared" si="4"/>
        <v>9.9499999999999993</v>
      </c>
      <c r="J35" s="10">
        <f t="shared" si="5"/>
        <v>30.546499999999995</v>
      </c>
      <c r="K35" s="7">
        <f>'[5]Mar Prod'!H289</f>
        <v>919381</v>
      </c>
      <c r="L35" s="8">
        <f t="shared" si="6"/>
        <v>0.919381</v>
      </c>
      <c r="M35" s="10">
        <f t="shared" si="7"/>
        <v>2.82249967</v>
      </c>
      <c r="N35" s="21"/>
      <c r="O35" s="7">
        <f>'[5]Mar Prod'!H34</f>
        <v>0</v>
      </c>
      <c r="P35" s="8">
        <f t="shared" si="8"/>
        <v>0</v>
      </c>
      <c r="Q35" s="10">
        <f t="shared" si="9"/>
        <v>0</v>
      </c>
      <c r="R35" s="7">
        <f>'[5]Mar Prod'!C34</f>
        <v>0</v>
      </c>
      <c r="S35" s="8">
        <f t="shared" si="10"/>
        <v>0</v>
      </c>
      <c r="T35" s="10">
        <f t="shared" si="11"/>
        <v>0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10299999.999999272</v>
      </c>
      <c r="AC35" s="8">
        <f t="shared" si="16"/>
        <v>10.299999999999272</v>
      </c>
      <c r="AD35" s="8">
        <f t="shared" si="16"/>
        <v>31.620999999997764</v>
      </c>
      <c r="AF35" s="8">
        <f t="shared" si="18"/>
        <v>0</v>
      </c>
    </row>
    <row r="36" spans="1:32" ht="13.5" thickBot="1" x14ac:dyDescent="0.25">
      <c r="A36" s="14"/>
      <c r="B36" s="38"/>
      <c r="C36" s="39">
        <f>SUM(C5:C35)</f>
        <v>235.29999999999927</v>
      </c>
      <c r="D36" s="39">
        <f t="shared" ref="D36:J36" si="19">SUM(D5:D35)</f>
        <v>722.37099999999782</v>
      </c>
      <c r="E36" s="38"/>
      <c r="F36" s="39">
        <f t="shared" si="19"/>
        <v>0</v>
      </c>
      <c r="G36" s="39">
        <f t="shared" si="19"/>
        <v>0</v>
      </c>
      <c r="H36" s="38"/>
      <c r="I36" s="39">
        <f t="shared" si="19"/>
        <v>223.45999999999995</v>
      </c>
      <c r="J36" s="39">
        <f t="shared" si="19"/>
        <v>686.0222</v>
      </c>
      <c r="K36" s="38"/>
      <c r="L36" s="39">
        <f>SUM(L5:L35)</f>
        <v>21.478585000000002</v>
      </c>
      <c r="M36" s="39">
        <f>SUM(M5:M35)</f>
        <v>65.939255950000003</v>
      </c>
      <c r="N36" s="14"/>
      <c r="O36" s="38"/>
      <c r="P36" s="39">
        <f>SUM(P5:P35)</f>
        <v>116.40100000000001</v>
      </c>
      <c r="Q36" s="39">
        <f>SUM(Q5:Q35)</f>
        <v>357.35106999999999</v>
      </c>
      <c r="R36" s="38"/>
      <c r="S36" s="39">
        <f>SUM(S5:S35)</f>
        <v>122.12700000000001</v>
      </c>
      <c r="T36" s="39">
        <f>SUM(T5:T35)</f>
        <v>374.92989</v>
      </c>
      <c r="U36" s="38"/>
      <c r="V36" s="39">
        <f>SUM(V5:V35)</f>
        <v>3.0000000000000001E-3</v>
      </c>
      <c r="W36" s="39">
        <f>SUM(W5:W35)</f>
        <v>9.2099999999999994E-3</v>
      </c>
      <c r="X36" s="38"/>
      <c r="Y36" s="39">
        <f>SUM(Y5:Y35)</f>
        <v>5.7289999999999992</v>
      </c>
      <c r="Z36" s="39">
        <f>SUM(Z5:Z35)</f>
        <v>17.588029999999996</v>
      </c>
      <c r="AA36" s="14"/>
      <c r="AB36" s="38"/>
      <c r="AC36" s="39">
        <f>SUM(AC5:AC35)</f>
        <v>351.70099999999923</v>
      </c>
      <c r="AD36" s="39">
        <f>AC36*3.07</f>
        <v>1079.7220699999975</v>
      </c>
      <c r="AF36" s="39">
        <f>SUM(AF5:AF35)</f>
        <v>-9.2100000000039373E-3</v>
      </c>
    </row>
    <row r="37" spans="1:32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P5" activePane="bottomRight" state="frozen"/>
      <selection pane="topRight" activeCell="B1" sqref="B1"/>
      <selection pane="bottomLeft" activeCell="A5" sqref="A5"/>
      <selection pane="bottomRight" activeCell="K5" sqref="K5"/>
    </sheetView>
  </sheetViews>
  <sheetFormatPr defaultRowHeight="12.75" x14ac:dyDescent="0.2"/>
  <cols>
    <col min="2" max="2" width="13.28515625" customWidth="1"/>
    <col min="5" max="5" width="13.140625" customWidth="1"/>
    <col min="8" max="8" width="15.140625" customWidth="1"/>
    <col min="11" max="11" width="10.28515625" customWidth="1"/>
    <col min="12" max="12" width="11.7109375" bestFit="1" customWidth="1"/>
    <col min="15" max="15" width="10.7109375" customWidth="1"/>
    <col min="18" max="18" width="10.7109375" customWidth="1"/>
    <col min="21" max="21" width="10.42578125" customWidth="1"/>
    <col min="22" max="22" width="10.85546875" customWidth="1"/>
    <col min="24" max="24" width="12.140625" customWidth="1"/>
    <col min="28" max="28" width="13.140625" customWidth="1"/>
  </cols>
  <sheetData>
    <row r="1" spans="1:30" x14ac:dyDescent="0.2">
      <c r="A1" s="46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2">
      <c r="A5" s="27">
        <v>38443</v>
      </c>
      <c r="B5" s="7">
        <f>'[6]Apr Prod'!I4</f>
        <v>12500000</v>
      </c>
      <c r="C5" s="8">
        <f>B5/1000000</f>
        <v>12.5</v>
      </c>
      <c r="D5" s="10">
        <f>C5*3.07</f>
        <v>38.375</v>
      </c>
      <c r="E5" s="7">
        <f>'[6]Apr Prod'!E4</f>
        <v>0</v>
      </c>
      <c r="F5" s="8">
        <f>E5/1000000</f>
        <v>0</v>
      </c>
      <c r="G5" s="10">
        <f>F5*3.07</f>
        <v>0</v>
      </c>
      <c r="H5" s="7">
        <f>'[6]Apr Prod'!F4</f>
        <v>12070000</v>
      </c>
      <c r="I5" s="8">
        <f t="shared" ref="I5:I34" si="0">H5/1000000</f>
        <v>12.07</v>
      </c>
      <c r="J5" s="10">
        <f>I5*3.07</f>
        <v>37.054899999999996</v>
      </c>
      <c r="K5" s="7">
        <f>'[6]Apr Prod'!H252</f>
        <v>1130916</v>
      </c>
      <c r="L5" s="8">
        <f>K5/1000000</f>
        <v>1.130916</v>
      </c>
      <c r="M5" s="10">
        <f>L5*3.07</f>
        <v>3.4719121199999998</v>
      </c>
      <c r="N5" s="21"/>
      <c r="O5" s="7">
        <f>'[6]Apr Prod'!H4</f>
        <v>0</v>
      </c>
      <c r="P5" s="8">
        <f>O5/1000000</f>
        <v>0</v>
      </c>
      <c r="Q5" s="10">
        <f>P5*3.07</f>
        <v>0</v>
      </c>
      <c r="R5" s="7">
        <f>'[6]Apr Prod'!C4</f>
        <v>0</v>
      </c>
      <c r="S5" s="8">
        <f>R5/1000000</f>
        <v>0</v>
      </c>
      <c r="T5" s="10">
        <f>S5*3.07</f>
        <v>0</v>
      </c>
      <c r="U5" s="7">
        <f>'[6]Apr Prod'!D4</f>
        <v>0</v>
      </c>
      <c r="V5" s="8">
        <f>U5/1000000</f>
        <v>0</v>
      </c>
      <c r="W5" s="10">
        <f>V5*3.07</f>
        <v>0</v>
      </c>
      <c r="X5" s="7">
        <f>'[6]Apr Prod'!D252</f>
        <v>0</v>
      </c>
      <c r="Y5" s="8">
        <f>X5/1000000</f>
        <v>0</v>
      </c>
      <c r="Z5" s="10">
        <f>Y5*3.07</f>
        <v>0</v>
      </c>
      <c r="AA5" s="15"/>
      <c r="AB5" s="7">
        <f>B5+O5</f>
        <v>12500000</v>
      </c>
      <c r="AC5" s="8">
        <f>C5+P5</f>
        <v>12.5</v>
      </c>
      <c r="AD5" s="8">
        <f>D5+Q5</f>
        <v>38.375</v>
      </c>
    </row>
    <row r="6" spans="1:30" x14ac:dyDescent="0.2">
      <c r="A6" s="27">
        <v>38444</v>
      </c>
      <c r="B6" s="7">
        <f>'[6]Apr Prod'!I5</f>
        <v>13700000.000000728</v>
      </c>
      <c r="C6" s="8">
        <f t="shared" ref="C6:C34" si="1">B6/1000000</f>
        <v>13.700000000000728</v>
      </c>
      <c r="D6" s="10">
        <f t="shared" ref="D6:D34" si="2">C6*3.07</f>
        <v>42.059000000002229</v>
      </c>
      <c r="E6" s="7">
        <f>'[6]Apr Prod'!E5</f>
        <v>0</v>
      </c>
      <c r="F6" s="8">
        <f t="shared" ref="F6:F34" si="3">E6/1000000</f>
        <v>0</v>
      </c>
      <c r="G6" s="10">
        <f t="shared" ref="G6:G34" si="4">F6*3.07</f>
        <v>0</v>
      </c>
      <c r="H6" s="7">
        <f>'[6]Apr Prod'!F5</f>
        <v>13210000</v>
      </c>
      <c r="I6" s="8">
        <f t="shared" si="0"/>
        <v>13.21</v>
      </c>
      <c r="J6" s="10">
        <f t="shared" ref="J6:J34" si="5">I6*3.07</f>
        <v>40.554700000000004</v>
      </c>
      <c r="K6" s="7">
        <f>'[6]Apr Prod'!H253</f>
        <v>1175395</v>
      </c>
      <c r="L6" s="8">
        <f t="shared" ref="L6:L34" si="6">K6/1000000</f>
        <v>1.175395</v>
      </c>
      <c r="M6" s="10">
        <f t="shared" ref="M6:M34" si="7">L6*3.07</f>
        <v>3.6084626499999999</v>
      </c>
      <c r="N6" s="21"/>
      <c r="O6" s="7">
        <f>'[6]Apr Prod'!H5</f>
        <v>0</v>
      </c>
      <c r="P6" s="8">
        <f t="shared" ref="P6:P34" si="8">O6/1000000</f>
        <v>0</v>
      </c>
      <c r="Q6" s="10">
        <f t="shared" ref="Q6:Q34" si="9">P6*3.07</f>
        <v>0</v>
      </c>
      <c r="R6" s="7">
        <f>'[6]Apr Prod'!C5</f>
        <v>0</v>
      </c>
      <c r="S6" s="8">
        <f t="shared" ref="S6:S34" si="10">R6/1000000</f>
        <v>0</v>
      </c>
      <c r="T6" s="10">
        <f t="shared" ref="T6:T34" si="11">S6*3.07</f>
        <v>0</v>
      </c>
      <c r="U6" s="7">
        <f>'[6]Apr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 Prod'!D253</f>
        <v>0</v>
      </c>
      <c r="Y6" s="8">
        <f t="shared" ref="Y6:Y34" si="14">X6/1000000</f>
        <v>0</v>
      </c>
      <c r="Z6" s="10">
        <f t="shared" ref="Z6:Z34" si="15">Y6*3.07</f>
        <v>0</v>
      </c>
      <c r="AA6" s="15"/>
      <c r="AB6" s="7">
        <f t="shared" ref="AB6:AD35" si="16">B6+O6</f>
        <v>13700000.000000728</v>
      </c>
      <c r="AC6" s="8">
        <f t="shared" si="16"/>
        <v>13.700000000000728</v>
      </c>
      <c r="AD6" s="8">
        <f t="shared" si="16"/>
        <v>42.059000000002229</v>
      </c>
    </row>
    <row r="7" spans="1:30" x14ac:dyDescent="0.2">
      <c r="A7" s="27">
        <v>38445</v>
      </c>
      <c r="B7" s="7">
        <f>'[6]Apr Prod'!I6</f>
        <v>12299999.999999272</v>
      </c>
      <c r="C7" s="8">
        <f t="shared" si="1"/>
        <v>12.299999999999272</v>
      </c>
      <c r="D7" s="10">
        <f t="shared" si="2"/>
        <v>37.760999999997765</v>
      </c>
      <c r="E7" s="7">
        <f>'[6]Apr Prod'!E6</f>
        <v>0</v>
      </c>
      <c r="F7" s="8">
        <f t="shared" si="3"/>
        <v>0</v>
      </c>
      <c r="G7" s="10">
        <f t="shared" si="4"/>
        <v>0</v>
      </c>
      <c r="H7" s="7">
        <f>'[6]Apr Prod'!F6</f>
        <v>11370000</v>
      </c>
      <c r="I7" s="8">
        <f t="shared" si="0"/>
        <v>11.37</v>
      </c>
      <c r="J7" s="10">
        <f t="shared" si="5"/>
        <v>34.905899999999995</v>
      </c>
      <c r="K7" s="7">
        <f>'[6]Apr Prod'!H254</f>
        <v>1142510</v>
      </c>
      <c r="L7" s="8">
        <f t="shared" si="6"/>
        <v>1.1425099999999999</v>
      </c>
      <c r="M7" s="10">
        <f t="shared" si="7"/>
        <v>3.5075056999999994</v>
      </c>
      <c r="N7" s="21"/>
      <c r="O7" s="7">
        <f>'[6]Apr Prod'!H6</f>
        <v>0</v>
      </c>
      <c r="P7" s="8">
        <f t="shared" si="8"/>
        <v>0</v>
      </c>
      <c r="Q7" s="10">
        <f t="shared" si="9"/>
        <v>0</v>
      </c>
      <c r="R7" s="7">
        <f>'[6]Apr Prod'!C6</f>
        <v>0</v>
      </c>
      <c r="S7" s="8">
        <f t="shared" si="10"/>
        <v>0</v>
      </c>
      <c r="T7" s="10">
        <f t="shared" si="11"/>
        <v>0</v>
      </c>
      <c r="U7" s="7">
        <f>'[6]Apr Prod'!D6</f>
        <v>0</v>
      </c>
      <c r="V7" s="8">
        <f t="shared" si="12"/>
        <v>0</v>
      </c>
      <c r="W7" s="10">
        <f t="shared" si="13"/>
        <v>0</v>
      </c>
      <c r="X7" s="7">
        <f>'[6]Apr Prod'!D254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12299999.999999272</v>
      </c>
      <c r="AC7" s="8">
        <f t="shared" si="16"/>
        <v>12.299999999999272</v>
      </c>
      <c r="AD7" s="8">
        <f t="shared" si="16"/>
        <v>37.760999999997765</v>
      </c>
    </row>
    <row r="8" spans="1:30" x14ac:dyDescent="0.2">
      <c r="A8" s="27">
        <v>38446</v>
      </c>
      <c r="B8" s="7">
        <f>'[6]Apr Prod'!I7</f>
        <v>9399999.999997817</v>
      </c>
      <c r="C8" s="8">
        <f t="shared" si="1"/>
        <v>9.3999999999978172</v>
      </c>
      <c r="D8" s="10">
        <f t="shared" si="2"/>
        <v>28.857999999993297</v>
      </c>
      <c r="E8" s="7">
        <f>'[6]Apr Prod'!E7</f>
        <v>0</v>
      </c>
      <c r="F8" s="8">
        <f t="shared" si="3"/>
        <v>0</v>
      </c>
      <c r="G8" s="10">
        <f t="shared" si="4"/>
        <v>0</v>
      </c>
      <c r="H8" s="7">
        <f>'[6]Apr Prod'!F7</f>
        <v>8930000</v>
      </c>
      <c r="I8" s="8">
        <f t="shared" si="0"/>
        <v>8.93</v>
      </c>
      <c r="J8" s="10">
        <f t="shared" si="5"/>
        <v>27.415099999999999</v>
      </c>
      <c r="K8" s="7">
        <f>'[6]Apr Prod'!H255</f>
        <v>971693</v>
      </c>
      <c r="L8" s="8">
        <f t="shared" si="6"/>
        <v>0.97169300000000003</v>
      </c>
      <c r="M8" s="10">
        <f t="shared" si="7"/>
        <v>2.9830975099999999</v>
      </c>
      <c r="N8" s="21"/>
      <c r="O8" s="7">
        <f>'[6]Apr Prod'!H7</f>
        <v>0</v>
      </c>
      <c r="P8" s="8">
        <f t="shared" si="8"/>
        <v>0</v>
      </c>
      <c r="Q8" s="10">
        <f t="shared" si="9"/>
        <v>0</v>
      </c>
      <c r="R8" s="7">
        <f>'[6]Apr Prod'!C7</f>
        <v>0</v>
      </c>
      <c r="S8" s="8">
        <f t="shared" ref="S8:S16" si="17">R8/1000000</f>
        <v>0</v>
      </c>
      <c r="T8" s="10">
        <f t="shared" ref="T8:T16" si="18">S8*3.07</f>
        <v>0</v>
      </c>
      <c r="U8" s="7">
        <f>'[6]Apr Prod'!D7</f>
        <v>0</v>
      </c>
      <c r="V8" s="8">
        <f t="shared" si="12"/>
        <v>0</v>
      </c>
      <c r="W8" s="10">
        <f t="shared" si="13"/>
        <v>0</v>
      </c>
      <c r="X8" s="7">
        <f>'[6]Apr Prod'!D255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9399999.999997817</v>
      </c>
      <c r="AC8" s="8">
        <f t="shared" si="16"/>
        <v>9.3999999999978172</v>
      </c>
      <c r="AD8" s="8">
        <f>D8+Q8</f>
        <v>28.857999999993297</v>
      </c>
    </row>
    <row r="9" spans="1:30" x14ac:dyDescent="0.2">
      <c r="A9" s="27">
        <v>38447</v>
      </c>
      <c r="B9" s="7">
        <f>'[6]Apr Prod'!I8</f>
        <v>9500000</v>
      </c>
      <c r="C9" s="8">
        <f t="shared" si="1"/>
        <v>9.5</v>
      </c>
      <c r="D9" s="10">
        <f t="shared" si="2"/>
        <v>29.164999999999999</v>
      </c>
      <c r="E9" s="7">
        <f>'[6]Apr Prod'!E8</f>
        <v>0</v>
      </c>
      <c r="F9" s="8">
        <f t="shared" si="3"/>
        <v>0</v>
      </c>
      <c r="G9" s="10">
        <f t="shared" si="4"/>
        <v>0</v>
      </c>
      <c r="H9" s="7">
        <f>'[6]Apr Prod'!F8</f>
        <v>9120000</v>
      </c>
      <c r="I9" s="8">
        <f t="shared" si="0"/>
        <v>9.1199999999999992</v>
      </c>
      <c r="J9" s="10">
        <f t="shared" si="5"/>
        <v>27.998399999999997</v>
      </c>
      <c r="K9" s="7">
        <f>'[6]Apr Prod'!H256</f>
        <v>951494</v>
      </c>
      <c r="L9" s="8">
        <f t="shared" si="6"/>
        <v>0.95149399999999995</v>
      </c>
      <c r="M9" s="10">
        <f t="shared" si="7"/>
        <v>2.9210865799999999</v>
      </c>
      <c r="N9" s="21"/>
      <c r="O9" s="7">
        <f>'[6]Apr Prod'!H8</f>
        <v>0</v>
      </c>
      <c r="P9" s="8">
        <f t="shared" ref="P9:P13" si="19">O9/1000000</f>
        <v>0</v>
      </c>
      <c r="Q9" s="10">
        <f t="shared" ref="Q9:Q13" si="20">P9*3.07</f>
        <v>0</v>
      </c>
      <c r="R9" s="7">
        <f>'[6]Apr Prod'!C8</f>
        <v>0</v>
      </c>
      <c r="S9" s="8">
        <f t="shared" si="17"/>
        <v>0</v>
      </c>
      <c r="T9" s="10">
        <f t="shared" si="18"/>
        <v>0</v>
      </c>
      <c r="U9" s="7">
        <f>'[6]Apr Prod'!D8</f>
        <v>0</v>
      </c>
      <c r="V9" s="8">
        <f t="shared" si="12"/>
        <v>0</v>
      </c>
      <c r="W9" s="10">
        <f t="shared" si="13"/>
        <v>0</v>
      </c>
      <c r="X9" s="7">
        <f>'[6]Apr Prod'!D256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9500000</v>
      </c>
      <c r="AC9" s="8">
        <f t="shared" si="16"/>
        <v>9.5</v>
      </c>
      <c r="AD9" s="8">
        <f t="shared" si="16"/>
        <v>29.164999999999999</v>
      </c>
    </row>
    <row r="10" spans="1:30" x14ac:dyDescent="0.2">
      <c r="A10" s="27">
        <v>38448</v>
      </c>
      <c r="B10" s="7">
        <f>'[6]Apr Prod'!I9</f>
        <v>13800000.000002909</v>
      </c>
      <c r="C10" s="8">
        <f t="shared" si="1"/>
        <v>13.800000000002909</v>
      </c>
      <c r="D10" s="10">
        <f t="shared" si="2"/>
        <v>42.366000000008924</v>
      </c>
      <c r="E10" s="7">
        <f>'[6]Apr Prod'!E9</f>
        <v>0</v>
      </c>
      <c r="F10" s="8">
        <f t="shared" si="3"/>
        <v>0</v>
      </c>
      <c r="G10" s="10">
        <f t="shared" si="4"/>
        <v>0</v>
      </c>
      <c r="H10" s="7">
        <f>'[6]Apr Prod'!F9</f>
        <v>12730000</v>
      </c>
      <c r="I10" s="8">
        <f t="shared" si="0"/>
        <v>12.73</v>
      </c>
      <c r="J10" s="10">
        <f t="shared" si="5"/>
        <v>39.081099999999999</v>
      </c>
      <c r="K10" s="7">
        <f>'[6]Apr Prod'!H257</f>
        <v>1107588</v>
      </c>
      <c r="L10" s="8">
        <f t="shared" si="6"/>
        <v>1.107588</v>
      </c>
      <c r="M10" s="10">
        <f t="shared" si="7"/>
        <v>3.4002951599999998</v>
      </c>
      <c r="N10" s="21"/>
      <c r="O10" s="7">
        <f>'[6]Apr Prod'!H9</f>
        <v>0</v>
      </c>
      <c r="P10" s="8">
        <f t="shared" si="19"/>
        <v>0</v>
      </c>
      <c r="Q10" s="10">
        <f t="shared" si="20"/>
        <v>0</v>
      </c>
      <c r="R10" s="7">
        <f>'[6]Apr Prod'!C9</f>
        <v>0</v>
      </c>
      <c r="S10" s="8">
        <f t="shared" si="17"/>
        <v>0</v>
      </c>
      <c r="T10" s="10">
        <f t="shared" si="18"/>
        <v>0</v>
      </c>
      <c r="U10" s="7">
        <f>'[6]Apr Prod'!D9</f>
        <v>0</v>
      </c>
      <c r="V10" s="8">
        <f t="shared" si="12"/>
        <v>0</v>
      </c>
      <c r="W10" s="10">
        <f t="shared" si="13"/>
        <v>0</v>
      </c>
      <c r="X10" s="7">
        <f>'[6]Apr Prod'!D257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13800000.000002909</v>
      </c>
      <c r="AC10" s="8">
        <f t="shared" si="16"/>
        <v>13.800000000002909</v>
      </c>
      <c r="AD10" s="8">
        <f t="shared" si="16"/>
        <v>42.366000000008924</v>
      </c>
    </row>
    <row r="11" spans="1:30" x14ac:dyDescent="0.2">
      <c r="A11" s="27">
        <v>38449</v>
      </c>
      <c r="B11" s="7">
        <f>'[6]Apr Prod'!I10</f>
        <v>13399999.999997817</v>
      </c>
      <c r="C11" s="8">
        <f t="shared" si="1"/>
        <v>13.399999999997817</v>
      </c>
      <c r="D11" s="10">
        <f t="shared" si="2"/>
        <v>41.137999999993298</v>
      </c>
      <c r="E11" s="7">
        <f>'[6]Apr Prod'!E10</f>
        <v>0</v>
      </c>
      <c r="F11" s="8">
        <f t="shared" si="3"/>
        <v>0</v>
      </c>
      <c r="G11" s="10">
        <f t="shared" si="4"/>
        <v>0</v>
      </c>
      <c r="H11" s="7">
        <f>'[6]Apr Prod'!F10</f>
        <v>13100000</v>
      </c>
      <c r="I11" s="8">
        <f t="shared" si="0"/>
        <v>13.1</v>
      </c>
      <c r="J11" s="10">
        <f t="shared" si="5"/>
        <v>40.216999999999999</v>
      </c>
      <c r="K11" s="7">
        <f>'[6]Apr Prod'!H258</f>
        <v>1261004</v>
      </c>
      <c r="L11" s="8">
        <f t="shared" ref="L11:L12" si="21">K11/1000000</f>
        <v>1.261004</v>
      </c>
      <c r="M11" s="10">
        <f t="shared" ref="M11:M12" si="22">L11*3.07</f>
        <v>3.87128228</v>
      </c>
      <c r="N11" s="21"/>
      <c r="O11" s="7">
        <f>'[6]Apr Prod'!H10</f>
        <v>0</v>
      </c>
      <c r="P11" s="8">
        <f t="shared" si="19"/>
        <v>0</v>
      </c>
      <c r="Q11" s="10">
        <f t="shared" si="20"/>
        <v>0</v>
      </c>
      <c r="R11" s="7">
        <f>'[6]Apr Prod'!C10</f>
        <v>0</v>
      </c>
      <c r="S11" s="8">
        <f t="shared" si="17"/>
        <v>0</v>
      </c>
      <c r="T11" s="10">
        <f t="shared" si="18"/>
        <v>0</v>
      </c>
      <c r="U11" s="7">
        <f>'[6]Apr Prod'!D10</f>
        <v>0</v>
      </c>
      <c r="V11" s="8">
        <f t="shared" si="12"/>
        <v>0</v>
      </c>
      <c r="W11" s="10">
        <f t="shared" si="13"/>
        <v>0</v>
      </c>
      <c r="X11" s="7">
        <f>'[6]Apr Prod'!D258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13399999.999997817</v>
      </c>
      <c r="AC11" s="8">
        <f t="shared" si="16"/>
        <v>13.399999999997817</v>
      </c>
      <c r="AD11" s="8">
        <f t="shared" si="16"/>
        <v>41.137999999993298</v>
      </c>
    </row>
    <row r="12" spans="1:30" x14ac:dyDescent="0.2">
      <c r="A12" s="27">
        <v>38450</v>
      </c>
      <c r="B12" s="7">
        <f>'[6]Apr Prod'!I11</f>
        <v>11299999.999999272</v>
      </c>
      <c r="C12" s="8">
        <f t="shared" si="1"/>
        <v>11.299999999999272</v>
      </c>
      <c r="D12" s="10">
        <f t="shared" si="2"/>
        <v>34.690999999997764</v>
      </c>
      <c r="E12" s="7">
        <f>'[6]Apr Prod'!E11</f>
        <v>0</v>
      </c>
      <c r="F12" s="8">
        <f t="shared" si="3"/>
        <v>0</v>
      </c>
      <c r="G12" s="10">
        <f t="shared" si="4"/>
        <v>0</v>
      </c>
      <c r="H12" s="7">
        <f>'[6]Apr Prod'!F11</f>
        <v>10780000</v>
      </c>
      <c r="I12" s="8">
        <f t="shared" si="0"/>
        <v>10.78</v>
      </c>
      <c r="J12" s="10">
        <f t="shared" si="5"/>
        <v>33.0946</v>
      </c>
      <c r="K12" s="7">
        <f>'[6]Apr Prod'!H259</f>
        <v>886454</v>
      </c>
      <c r="L12" s="8">
        <f t="shared" si="21"/>
        <v>0.88645399999999996</v>
      </c>
      <c r="M12" s="10">
        <f t="shared" si="22"/>
        <v>2.7214137799999998</v>
      </c>
      <c r="N12" s="21"/>
      <c r="O12" s="7">
        <f>'[6]Apr Prod'!H11</f>
        <v>0</v>
      </c>
      <c r="P12" s="8">
        <f t="shared" si="19"/>
        <v>0</v>
      </c>
      <c r="Q12" s="10">
        <f t="shared" si="20"/>
        <v>0</v>
      </c>
      <c r="R12" s="7">
        <f>'[6]Apr Prod'!C11</f>
        <v>0</v>
      </c>
      <c r="S12" s="8">
        <f t="shared" si="17"/>
        <v>0</v>
      </c>
      <c r="T12" s="10">
        <f t="shared" si="18"/>
        <v>0</v>
      </c>
      <c r="U12" s="7">
        <f>'[6]Apr Prod'!D11</f>
        <v>0</v>
      </c>
      <c r="V12" s="8">
        <f t="shared" si="12"/>
        <v>0</v>
      </c>
      <c r="W12" s="10">
        <f t="shared" si="13"/>
        <v>0</v>
      </c>
      <c r="X12" s="7">
        <f>'[6]Apr Prod'!D259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11299999.999999272</v>
      </c>
      <c r="AC12" s="8">
        <f t="shared" si="16"/>
        <v>11.299999999999272</v>
      </c>
      <c r="AD12" s="8">
        <f t="shared" si="16"/>
        <v>34.690999999997764</v>
      </c>
    </row>
    <row r="13" spans="1:30" x14ac:dyDescent="0.2">
      <c r="A13" s="27">
        <v>38451</v>
      </c>
      <c r="B13" s="7">
        <f>'[6]Apr Prod'!I12</f>
        <v>13500000</v>
      </c>
      <c r="C13" s="8">
        <f t="shared" si="1"/>
        <v>13.5</v>
      </c>
      <c r="D13" s="10">
        <f t="shared" si="2"/>
        <v>41.445</v>
      </c>
      <c r="E13" s="7">
        <f>'[6]Apr Prod'!E12</f>
        <v>0</v>
      </c>
      <c r="F13" s="8">
        <f t="shared" si="3"/>
        <v>0</v>
      </c>
      <c r="G13" s="10">
        <f t="shared" si="4"/>
        <v>0</v>
      </c>
      <c r="H13" s="7">
        <f>'[6]Apr Prod'!F12</f>
        <v>13000000</v>
      </c>
      <c r="I13" s="8">
        <f t="shared" si="0"/>
        <v>13</v>
      </c>
      <c r="J13" s="10">
        <f t="shared" si="5"/>
        <v>39.909999999999997</v>
      </c>
      <c r="K13" s="7">
        <f>'[6]Apr Prod'!H260</f>
        <v>1228221</v>
      </c>
      <c r="L13" s="8">
        <f t="shared" si="6"/>
        <v>1.228221</v>
      </c>
      <c r="M13" s="10">
        <f t="shared" si="7"/>
        <v>3.7706384699999997</v>
      </c>
      <c r="N13" s="21"/>
      <c r="O13" s="7">
        <f>'[6]Apr Prod'!H12</f>
        <v>0</v>
      </c>
      <c r="P13" s="8">
        <f t="shared" si="19"/>
        <v>0</v>
      </c>
      <c r="Q13" s="10">
        <f t="shared" si="20"/>
        <v>0</v>
      </c>
      <c r="R13" s="7">
        <f>'[6]Apr Prod'!C12</f>
        <v>0</v>
      </c>
      <c r="S13" s="8">
        <f t="shared" si="17"/>
        <v>0</v>
      </c>
      <c r="T13" s="10">
        <f t="shared" si="18"/>
        <v>0</v>
      </c>
      <c r="U13" s="7">
        <f>'[6]Apr Prod'!D12</f>
        <v>0</v>
      </c>
      <c r="V13" s="8">
        <f t="shared" si="12"/>
        <v>0</v>
      </c>
      <c r="W13" s="10">
        <f t="shared" si="13"/>
        <v>0</v>
      </c>
      <c r="X13" s="7">
        <f>'[6]Apr Prod'!D260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13500000</v>
      </c>
      <c r="AC13" s="8">
        <f t="shared" si="16"/>
        <v>13.5</v>
      </c>
      <c r="AD13" s="8">
        <f t="shared" si="16"/>
        <v>41.445</v>
      </c>
    </row>
    <row r="14" spans="1:30" x14ac:dyDescent="0.2">
      <c r="A14" s="27">
        <v>38452</v>
      </c>
      <c r="B14" s="7">
        <f>'[6]Apr Prod'!I13</f>
        <v>14000000</v>
      </c>
      <c r="C14" s="8">
        <f t="shared" si="1"/>
        <v>14</v>
      </c>
      <c r="D14" s="10">
        <f t="shared" si="2"/>
        <v>42.98</v>
      </c>
      <c r="E14" s="7">
        <f>'[6]Apr Prod'!E13</f>
        <v>0</v>
      </c>
      <c r="F14" s="8">
        <f t="shared" si="3"/>
        <v>0</v>
      </c>
      <c r="G14" s="10">
        <f t="shared" si="4"/>
        <v>0</v>
      </c>
      <c r="H14" s="7">
        <f>'[6]Apr Prod'!F13</f>
        <v>13260000</v>
      </c>
      <c r="I14" s="8">
        <f t="shared" si="0"/>
        <v>13.26</v>
      </c>
      <c r="J14" s="10">
        <f t="shared" si="5"/>
        <v>40.708199999999998</v>
      </c>
      <c r="K14" s="7">
        <f>'[6]Apr Prod'!H261</f>
        <v>1297337</v>
      </c>
      <c r="L14" s="8">
        <f t="shared" si="6"/>
        <v>1.297337</v>
      </c>
      <c r="M14" s="10">
        <f t="shared" si="7"/>
        <v>3.9828245899999999</v>
      </c>
      <c r="N14" s="21"/>
      <c r="O14" s="7">
        <f>'[6]Apr Prod'!H13</f>
        <v>0</v>
      </c>
      <c r="P14" s="8">
        <f t="shared" si="8"/>
        <v>0</v>
      </c>
      <c r="Q14" s="10">
        <f t="shared" si="9"/>
        <v>0</v>
      </c>
      <c r="R14" s="7">
        <f>'[6]Apr Prod'!C13</f>
        <v>0</v>
      </c>
      <c r="S14" s="8">
        <f t="shared" si="17"/>
        <v>0</v>
      </c>
      <c r="T14" s="10">
        <f t="shared" si="18"/>
        <v>0</v>
      </c>
      <c r="U14" s="7">
        <f>'[6]Apr Prod'!D13</f>
        <v>0</v>
      </c>
      <c r="V14" s="8">
        <f t="shared" si="12"/>
        <v>0</v>
      </c>
      <c r="W14" s="10">
        <f t="shared" si="13"/>
        <v>0</v>
      </c>
      <c r="X14" s="7">
        <f>'[6]Apr Prod'!D261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14000000</v>
      </c>
      <c r="AC14" s="8">
        <f t="shared" si="16"/>
        <v>14</v>
      </c>
      <c r="AD14" s="8">
        <f t="shared" si="16"/>
        <v>42.98</v>
      </c>
    </row>
    <row r="15" spans="1:30" x14ac:dyDescent="0.2">
      <c r="A15" s="27">
        <v>38453</v>
      </c>
      <c r="B15" s="7">
        <f>'[6]Apr Prod'!I14</f>
        <v>14000000</v>
      </c>
      <c r="C15" s="8">
        <f t="shared" si="1"/>
        <v>14</v>
      </c>
      <c r="D15" s="10">
        <f t="shared" si="2"/>
        <v>42.98</v>
      </c>
      <c r="E15" s="7">
        <f>'[6]Apr Prod'!E14</f>
        <v>0</v>
      </c>
      <c r="F15" s="8">
        <f t="shared" si="3"/>
        <v>0</v>
      </c>
      <c r="G15" s="10">
        <f t="shared" si="4"/>
        <v>0</v>
      </c>
      <c r="H15" s="7">
        <f>'[6]Apr Prod'!F14</f>
        <v>13140000</v>
      </c>
      <c r="I15" s="8">
        <f t="shared" si="0"/>
        <v>13.14</v>
      </c>
      <c r="J15" s="10">
        <f t="shared" si="5"/>
        <v>40.339799999999997</v>
      </c>
      <c r="K15" s="7">
        <f>'[6]Apr Prod'!H262</f>
        <v>1245498</v>
      </c>
      <c r="L15" s="8">
        <f t="shared" si="6"/>
        <v>1.245498</v>
      </c>
      <c r="M15" s="10">
        <f t="shared" si="7"/>
        <v>3.8236788599999998</v>
      </c>
      <c r="N15" s="21"/>
      <c r="O15" s="7">
        <f>'[6]Apr Prod'!H14</f>
        <v>0</v>
      </c>
      <c r="P15" s="8">
        <f t="shared" si="8"/>
        <v>0</v>
      </c>
      <c r="Q15" s="10">
        <f t="shared" si="9"/>
        <v>0</v>
      </c>
      <c r="R15" s="7">
        <f>'[6]Apr Prod'!C14</f>
        <v>0</v>
      </c>
      <c r="S15" s="8">
        <f t="shared" si="17"/>
        <v>0</v>
      </c>
      <c r="T15" s="10">
        <f t="shared" si="18"/>
        <v>0</v>
      </c>
      <c r="U15" s="7">
        <f>'[6]Apr Prod'!D14</f>
        <v>0</v>
      </c>
      <c r="V15" s="8">
        <f t="shared" si="12"/>
        <v>0</v>
      </c>
      <c r="W15" s="10">
        <f t="shared" si="13"/>
        <v>0</v>
      </c>
      <c r="X15" s="7">
        <f>'[6]Apr Prod'!D262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14000000</v>
      </c>
      <c r="AC15" s="8">
        <f t="shared" si="16"/>
        <v>14</v>
      </c>
      <c r="AD15" s="8">
        <f t="shared" si="16"/>
        <v>42.98</v>
      </c>
    </row>
    <row r="16" spans="1:30" x14ac:dyDescent="0.2">
      <c r="A16" s="27">
        <v>38454</v>
      </c>
      <c r="B16" s="7">
        <f>'[6]Apr Prod'!I15</f>
        <v>13900000.000001455</v>
      </c>
      <c r="C16" s="8">
        <f t="shared" si="1"/>
        <v>13.900000000001455</v>
      </c>
      <c r="D16" s="10">
        <f t="shared" si="2"/>
        <v>42.673000000004464</v>
      </c>
      <c r="E16" s="7">
        <f>'[6]Apr Prod'!E15</f>
        <v>0</v>
      </c>
      <c r="F16" s="8">
        <f t="shared" si="3"/>
        <v>0</v>
      </c>
      <c r="G16" s="10">
        <f t="shared" si="4"/>
        <v>0</v>
      </c>
      <c r="H16" s="7">
        <f>'[6]Apr Prod'!F15</f>
        <v>13110000</v>
      </c>
      <c r="I16" s="8">
        <f t="shared" si="0"/>
        <v>13.11</v>
      </c>
      <c r="J16" s="10">
        <f t="shared" si="5"/>
        <v>40.247699999999995</v>
      </c>
      <c r="K16" s="7">
        <f>'[6]Apr Prod'!H263</f>
        <v>1196398</v>
      </c>
      <c r="L16" s="8">
        <f t="shared" si="6"/>
        <v>1.1963980000000001</v>
      </c>
      <c r="M16" s="10">
        <f t="shared" si="7"/>
        <v>3.6729418599999999</v>
      </c>
      <c r="N16" s="21"/>
      <c r="O16" s="7">
        <f>'[6]Apr Prod'!H15</f>
        <v>0</v>
      </c>
      <c r="P16" s="8">
        <f t="shared" si="8"/>
        <v>0</v>
      </c>
      <c r="Q16" s="10">
        <f t="shared" si="9"/>
        <v>0</v>
      </c>
      <c r="R16" s="7">
        <f>'[6]Apr Prod'!C15</f>
        <v>0</v>
      </c>
      <c r="S16" s="8">
        <f t="shared" si="17"/>
        <v>0</v>
      </c>
      <c r="T16" s="10">
        <f t="shared" si="18"/>
        <v>0</v>
      </c>
      <c r="U16" s="7">
        <f>'[6]Apr Prod'!D15</f>
        <v>0</v>
      </c>
      <c r="V16" s="8">
        <f t="shared" si="12"/>
        <v>0</v>
      </c>
      <c r="W16" s="10">
        <f t="shared" si="13"/>
        <v>0</v>
      </c>
      <c r="X16" s="7">
        <f>'[6]Apr Prod'!D263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13900000.000001455</v>
      </c>
      <c r="AC16" s="8">
        <f t="shared" si="16"/>
        <v>13.900000000001455</v>
      </c>
      <c r="AD16" s="8">
        <f t="shared" si="16"/>
        <v>42.673000000004464</v>
      </c>
    </row>
    <row r="17" spans="1:30" x14ac:dyDescent="0.2">
      <c r="A17" s="27">
        <v>38455</v>
      </c>
      <c r="B17" s="7">
        <f>'[6]Apr Prod'!I16</f>
        <v>12500000</v>
      </c>
      <c r="C17" s="8">
        <f t="shared" si="1"/>
        <v>12.5</v>
      </c>
      <c r="D17" s="10">
        <f t="shared" si="2"/>
        <v>38.375</v>
      </c>
      <c r="E17" s="7">
        <f>'[6]Apr Prod'!E16</f>
        <v>0</v>
      </c>
      <c r="F17" s="8">
        <f t="shared" si="3"/>
        <v>0</v>
      </c>
      <c r="G17" s="10">
        <f t="shared" si="4"/>
        <v>0</v>
      </c>
      <c r="H17" s="7">
        <f>'[6]Apr Prod'!F16</f>
        <v>11230000</v>
      </c>
      <c r="I17" s="8">
        <f t="shared" si="0"/>
        <v>11.23</v>
      </c>
      <c r="J17" s="10">
        <f t="shared" si="5"/>
        <v>34.476100000000002</v>
      </c>
      <c r="K17" s="7">
        <f>'[6]Apr Prod'!H264</f>
        <v>1087359</v>
      </c>
      <c r="L17" s="8">
        <f t="shared" si="6"/>
        <v>1.087359</v>
      </c>
      <c r="M17" s="10">
        <f t="shared" si="7"/>
        <v>3.3381921299999999</v>
      </c>
      <c r="N17" s="21"/>
      <c r="O17" s="7">
        <f>'[6]Apr Prod'!H16</f>
        <v>0</v>
      </c>
      <c r="P17" s="8">
        <f t="shared" si="8"/>
        <v>0</v>
      </c>
      <c r="Q17" s="10">
        <f t="shared" si="9"/>
        <v>0</v>
      </c>
      <c r="R17" s="7">
        <f>'[6]Apr Prod'!C16</f>
        <v>0</v>
      </c>
      <c r="S17" s="8">
        <f t="shared" si="10"/>
        <v>0</v>
      </c>
      <c r="T17" s="10">
        <f t="shared" si="11"/>
        <v>0</v>
      </c>
      <c r="U17" s="7">
        <f>'[6]Apr Prod'!D16</f>
        <v>0</v>
      </c>
      <c r="V17" s="8">
        <f t="shared" si="12"/>
        <v>0</v>
      </c>
      <c r="W17" s="10">
        <f t="shared" si="13"/>
        <v>0</v>
      </c>
      <c r="X17" s="7">
        <f>'[6]Apr Prod'!D264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12500000</v>
      </c>
      <c r="AC17" s="8">
        <f t="shared" si="16"/>
        <v>12.5</v>
      </c>
      <c r="AD17" s="8">
        <f t="shared" si="16"/>
        <v>38.375</v>
      </c>
    </row>
    <row r="18" spans="1:30" x14ac:dyDescent="0.2">
      <c r="A18" s="27">
        <v>38456</v>
      </c>
      <c r="B18" s="7">
        <f>'[6]Apr Prod'!I17</f>
        <v>13500000</v>
      </c>
      <c r="C18" s="8">
        <f t="shared" si="1"/>
        <v>13.5</v>
      </c>
      <c r="D18" s="10">
        <f t="shared" si="2"/>
        <v>41.445</v>
      </c>
      <c r="E18" s="7">
        <f>'[6]Apr Prod'!E17</f>
        <v>0</v>
      </c>
      <c r="F18" s="8">
        <f t="shared" si="3"/>
        <v>0</v>
      </c>
      <c r="G18" s="10">
        <f t="shared" si="4"/>
        <v>0</v>
      </c>
      <c r="H18" s="7">
        <f>'[6]Apr Prod'!F17</f>
        <v>12920000</v>
      </c>
      <c r="I18" s="8">
        <f t="shared" si="0"/>
        <v>12.92</v>
      </c>
      <c r="J18" s="10">
        <f t="shared" si="5"/>
        <v>39.664400000000001</v>
      </c>
      <c r="K18" s="7">
        <f>'[6]Apr Prod'!H265</f>
        <v>1152666</v>
      </c>
      <c r="L18" s="8">
        <f t="shared" si="6"/>
        <v>1.152666</v>
      </c>
      <c r="M18" s="10">
        <f t="shared" si="7"/>
        <v>3.5386846199999997</v>
      </c>
      <c r="N18" s="21"/>
      <c r="O18" s="7">
        <f>'[6]Apr Prod'!H17</f>
        <v>0</v>
      </c>
      <c r="P18" s="8">
        <f t="shared" si="8"/>
        <v>0</v>
      </c>
      <c r="Q18" s="10">
        <f t="shared" si="9"/>
        <v>0</v>
      </c>
      <c r="R18" s="7">
        <f>'[6]Apr Prod'!C17</f>
        <v>0</v>
      </c>
      <c r="S18" s="8">
        <f t="shared" si="10"/>
        <v>0</v>
      </c>
      <c r="T18" s="10">
        <f t="shared" si="11"/>
        <v>0</v>
      </c>
      <c r="U18" s="7">
        <f>'[6]Apr Prod'!D17</f>
        <v>0</v>
      </c>
      <c r="V18" s="8">
        <f t="shared" si="12"/>
        <v>0</v>
      </c>
      <c r="W18" s="10">
        <f t="shared" si="13"/>
        <v>0</v>
      </c>
      <c r="X18" s="7">
        <f>'[6]Apr Prod'!D265</f>
        <v>357000</v>
      </c>
      <c r="Y18" s="8">
        <f t="shared" si="14"/>
        <v>0.35699999999999998</v>
      </c>
      <c r="Z18" s="10">
        <f t="shared" si="15"/>
        <v>1.0959899999999998</v>
      </c>
      <c r="AA18" s="15"/>
      <c r="AB18" s="7">
        <f t="shared" si="16"/>
        <v>13500000</v>
      </c>
      <c r="AC18" s="8">
        <f t="shared" si="16"/>
        <v>13.5</v>
      </c>
      <c r="AD18" s="8">
        <f t="shared" si="16"/>
        <v>41.445</v>
      </c>
    </row>
    <row r="19" spans="1:30" x14ac:dyDescent="0.2">
      <c r="A19" s="27">
        <v>38457</v>
      </c>
      <c r="B19" s="7">
        <f>'[6]Apr Prod'!I18</f>
        <v>10000000</v>
      </c>
      <c r="C19" s="8">
        <f t="shared" si="1"/>
        <v>10</v>
      </c>
      <c r="D19" s="10">
        <f t="shared" si="2"/>
        <v>30.7</v>
      </c>
      <c r="E19" s="7">
        <f>'[6]Apr Prod'!E18</f>
        <v>0</v>
      </c>
      <c r="F19" s="8">
        <f t="shared" si="3"/>
        <v>0</v>
      </c>
      <c r="G19" s="10">
        <f t="shared" si="4"/>
        <v>0</v>
      </c>
      <c r="H19" s="7">
        <f>'[6]Apr Prod'!F18</f>
        <v>9670000</v>
      </c>
      <c r="I19" s="8">
        <f t="shared" si="0"/>
        <v>9.67</v>
      </c>
      <c r="J19" s="10">
        <f t="shared" si="5"/>
        <v>29.686899999999998</v>
      </c>
      <c r="K19" s="7">
        <f>'[6]Apr Prod'!H266</f>
        <v>1011690</v>
      </c>
      <c r="L19" s="8">
        <f t="shared" si="6"/>
        <v>1.01169</v>
      </c>
      <c r="M19" s="10">
        <f t="shared" si="7"/>
        <v>3.1058882999999997</v>
      </c>
      <c r="N19" s="21"/>
      <c r="O19" s="7">
        <f>'[6]Apr Prod'!H18</f>
        <v>0</v>
      </c>
      <c r="P19" s="8">
        <f t="shared" si="8"/>
        <v>0</v>
      </c>
      <c r="Q19" s="10">
        <f t="shared" si="9"/>
        <v>0</v>
      </c>
      <c r="R19" s="7">
        <f>'[6]Apr Prod'!C18</f>
        <v>298000</v>
      </c>
      <c r="S19" s="8">
        <f t="shared" si="10"/>
        <v>0.29799999999999999</v>
      </c>
      <c r="T19" s="10">
        <f t="shared" si="11"/>
        <v>0.9148599999999999</v>
      </c>
      <c r="U19" s="7">
        <f>'[6]Apr Prod'!D18</f>
        <v>0</v>
      </c>
      <c r="V19" s="8">
        <f t="shared" si="12"/>
        <v>0</v>
      </c>
      <c r="W19" s="10">
        <f t="shared" si="13"/>
        <v>0</v>
      </c>
      <c r="X19" s="7">
        <f>'[6]Apr Prod'!D266</f>
        <v>4000.0000000000036</v>
      </c>
      <c r="Y19" s="8">
        <f t="shared" si="14"/>
        <v>4.0000000000000036E-3</v>
      </c>
      <c r="Z19" s="10">
        <f t="shared" si="15"/>
        <v>1.228000000000001E-2</v>
      </c>
      <c r="AA19" s="15"/>
      <c r="AB19" s="7">
        <f t="shared" si="16"/>
        <v>10000000</v>
      </c>
      <c r="AC19" s="8">
        <f t="shared" si="16"/>
        <v>10</v>
      </c>
      <c r="AD19" s="8">
        <f>D19+Q19</f>
        <v>30.7</v>
      </c>
    </row>
    <row r="20" spans="1:30" x14ac:dyDescent="0.2">
      <c r="A20" s="27">
        <v>38458</v>
      </c>
      <c r="B20" s="7">
        <f>'[6]Apr Prod'!I19</f>
        <v>11299999.999999272</v>
      </c>
      <c r="C20" s="8">
        <f t="shared" si="1"/>
        <v>11.299999999999272</v>
      </c>
      <c r="D20" s="10">
        <f t="shared" si="2"/>
        <v>34.690999999997764</v>
      </c>
      <c r="E20" s="7">
        <f>'[6]Apr Prod'!E19</f>
        <v>0</v>
      </c>
      <c r="F20" s="8">
        <f t="shared" si="3"/>
        <v>0</v>
      </c>
      <c r="G20" s="10">
        <f t="shared" si="4"/>
        <v>0</v>
      </c>
      <c r="H20" s="7">
        <f>'[6]Apr Prod'!F19</f>
        <v>10710000</v>
      </c>
      <c r="I20" s="8">
        <f t="shared" si="0"/>
        <v>10.71</v>
      </c>
      <c r="J20" s="10">
        <f t="shared" si="5"/>
        <v>32.8797</v>
      </c>
      <c r="K20" s="7">
        <f>'[6]Apr Prod'!H267</f>
        <v>1016584</v>
      </c>
      <c r="L20" s="8">
        <f t="shared" si="6"/>
        <v>1.0165839999999999</v>
      </c>
      <c r="M20" s="10">
        <f t="shared" si="7"/>
        <v>3.1209128799999997</v>
      </c>
      <c r="N20" s="21"/>
      <c r="O20" s="7">
        <f>'[6]Apr Prod'!H19</f>
        <v>0</v>
      </c>
      <c r="P20" s="8">
        <f t="shared" si="8"/>
        <v>0</v>
      </c>
      <c r="Q20" s="10">
        <f t="shared" si="9"/>
        <v>0</v>
      </c>
      <c r="R20" s="7">
        <f>'[6]Apr Prod'!C19</f>
        <v>328000</v>
      </c>
      <c r="S20" s="8">
        <f t="shared" si="10"/>
        <v>0.32800000000000001</v>
      </c>
      <c r="T20" s="10">
        <f t="shared" si="11"/>
        <v>1.0069600000000001</v>
      </c>
      <c r="U20" s="7">
        <f>'[6]Apr Prod'!D19</f>
        <v>0</v>
      </c>
      <c r="V20" s="8">
        <f t="shared" si="12"/>
        <v>0</v>
      </c>
      <c r="W20" s="10">
        <f t="shared" si="13"/>
        <v>0</v>
      </c>
      <c r="X20" s="7">
        <f>'[6]Apr Prod'!D267</f>
        <v>2000.0000000000018</v>
      </c>
      <c r="Y20" s="8">
        <f t="shared" si="14"/>
        <v>2.0000000000000018E-3</v>
      </c>
      <c r="Z20" s="10">
        <f t="shared" si="15"/>
        <v>6.1400000000000048E-3</v>
      </c>
      <c r="AA20" s="15"/>
      <c r="AB20" s="7">
        <f t="shared" si="16"/>
        <v>11299999.999999272</v>
      </c>
      <c r="AC20" s="8">
        <f t="shared" si="16"/>
        <v>11.299999999999272</v>
      </c>
      <c r="AD20" s="8">
        <f t="shared" si="16"/>
        <v>34.690999999997764</v>
      </c>
    </row>
    <row r="21" spans="1:30" x14ac:dyDescent="0.2">
      <c r="A21" s="27">
        <v>38459</v>
      </c>
      <c r="B21" s="7">
        <f>'[6]Apr Prod'!I20</f>
        <v>13100000.000002183</v>
      </c>
      <c r="C21" s="8">
        <f t="shared" si="1"/>
        <v>13.100000000002183</v>
      </c>
      <c r="D21" s="10">
        <f t="shared" si="2"/>
        <v>40.217000000006699</v>
      </c>
      <c r="E21" s="7">
        <f>'[6]Apr Prod'!E20</f>
        <v>0</v>
      </c>
      <c r="F21" s="8">
        <f t="shared" si="3"/>
        <v>0</v>
      </c>
      <c r="G21" s="10">
        <f t="shared" si="4"/>
        <v>0</v>
      </c>
      <c r="H21" s="7">
        <f>'[6]Apr Prod'!F20</f>
        <v>12320000</v>
      </c>
      <c r="I21" s="8">
        <f t="shared" si="0"/>
        <v>12.32</v>
      </c>
      <c r="J21" s="10">
        <f t="shared" si="5"/>
        <v>37.822400000000002</v>
      </c>
      <c r="K21" s="7">
        <f>'[6]Apr Prod'!H268</f>
        <v>1256588</v>
      </c>
      <c r="L21" s="8">
        <f t="shared" si="6"/>
        <v>1.256588</v>
      </c>
      <c r="M21" s="10">
        <f t="shared" si="7"/>
        <v>3.8577251599999998</v>
      </c>
      <c r="N21" s="21"/>
      <c r="O21" s="7">
        <f>'[6]Apr Prod'!H20</f>
        <v>2252000</v>
      </c>
      <c r="P21" s="8">
        <f t="shared" si="8"/>
        <v>2.2519999999999998</v>
      </c>
      <c r="Q21" s="10">
        <f t="shared" si="9"/>
        <v>6.9136399999999991</v>
      </c>
      <c r="R21" s="7">
        <f>'[6]Apr Prod'!C20</f>
        <v>3560000</v>
      </c>
      <c r="S21" s="8">
        <f t="shared" si="10"/>
        <v>3.56</v>
      </c>
      <c r="T21" s="10">
        <f t="shared" si="11"/>
        <v>10.9292</v>
      </c>
      <c r="U21" s="7">
        <f>'[6]Apr Prod'!D20</f>
        <v>0</v>
      </c>
      <c r="V21" s="8">
        <f t="shared" si="12"/>
        <v>0</v>
      </c>
      <c r="W21" s="10">
        <f t="shared" si="13"/>
        <v>0</v>
      </c>
      <c r="X21" s="7">
        <f>'[6]Apr Prod'!D268</f>
        <v>207999.99999999997</v>
      </c>
      <c r="Y21" s="8">
        <f t="shared" si="14"/>
        <v>0.20799999999999996</v>
      </c>
      <c r="Z21" s="10">
        <f t="shared" si="15"/>
        <v>0.63855999999999991</v>
      </c>
      <c r="AA21" s="15"/>
      <c r="AB21" s="7">
        <f t="shared" si="16"/>
        <v>15352000.000002183</v>
      </c>
      <c r="AC21" s="8">
        <f t="shared" si="16"/>
        <v>15.352000000002182</v>
      </c>
      <c r="AD21" s="8">
        <f t="shared" si="16"/>
        <v>47.1306400000067</v>
      </c>
    </row>
    <row r="22" spans="1:30" x14ac:dyDescent="0.2">
      <c r="A22" s="27">
        <v>38460</v>
      </c>
      <c r="B22" s="7">
        <f>'[6]Apr Prod'!I21</f>
        <v>10099999.999998545</v>
      </c>
      <c r="C22" s="8">
        <f t="shared" si="1"/>
        <v>10.099999999998545</v>
      </c>
      <c r="D22" s="10">
        <f t="shared" si="2"/>
        <v>31.006999999995532</v>
      </c>
      <c r="E22" s="7">
        <f>'[6]Apr Prod'!E21</f>
        <v>0</v>
      </c>
      <c r="F22" s="8">
        <f t="shared" si="3"/>
        <v>0</v>
      </c>
      <c r="G22" s="10">
        <f t="shared" si="4"/>
        <v>0</v>
      </c>
      <c r="H22" s="7">
        <f>'[6]Apr Prod'!F21</f>
        <v>9770000</v>
      </c>
      <c r="I22" s="8">
        <f t="shared" si="0"/>
        <v>9.77</v>
      </c>
      <c r="J22" s="10">
        <f t="shared" si="5"/>
        <v>29.993899999999996</v>
      </c>
      <c r="K22" s="7">
        <f>'[6]Apr Prod'!H269</f>
        <v>892239</v>
      </c>
      <c r="L22" s="8">
        <f t="shared" si="6"/>
        <v>0.892239</v>
      </c>
      <c r="M22" s="10">
        <f t="shared" si="7"/>
        <v>2.7391737300000001</v>
      </c>
      <c r="N22" s="21"/>
      <c r="O22" s="7">
        <f>'[6]Apr Prod'!H21</f>
        <v>4615000</v>
      </c>
      <c r="P22" s="8">
        <f t="shared" si="8"/>
        <v>4.6150000000000002</v>
      </c>
      <c r="Q22" s="10">
        <f t="shared" si="9"/>
        <v>14.168049999999999</v>
      </c>
      <c r="R22" s="7">
        <f>'[6]Apr Prod'!C21</f>
        <v>4866000</v>
      </c>
      <c r="S22" s="8">
        <f t="shared" si="10"/>
        <v>4.8659999999999997</v>
      </c>
      <c r="T22" s="10">
        <f t="shared" si="11"/>
        <v>14.938619999999998</v>
      </c>
      <c r="U22" s="7">
        <f>'[6]Apr Prod'!D21</f>
        <v>0</v>
      </c>
      <c r="V22" s="8">
        <f t="shared" si="12"/>
        <v>0</v>
      </c>
      <c r="W22" s="10">
        <f t="shared" si="13"/>
        <v>0</v>
      </c>
      <c r="X22" s="7">
        <f>'[6]Apr Prod'!D269</f>
        <v>251000</v>
      </c>
      <c r="Y22" s="8">
        <f t="shared" si="14"/>
        <v>0.251</v>
      </c>
      <c r="Z22" s="10">
        <f t="shared" si="15"/>
        <v>0.77056999999999998</v>
      </c>
      <c r="AA22" s="15"/>
      <c r="AB22" s="7">
        <f t="shared" si="16"/>
        <v>14714999.999998545</v>
      </c>
      <c r="AC22" s="8">
        <f t="shared" si="16"/>
        <v>14.714999999998545</v>
      </c>
      <c r="AD22" s="8">
        <f t="shared" si="16"/>
        <v>45.17504999999553</v>
      </c>
    </row>
    <row r="23" spans="1:30" x14ac:dyDescent="0.2">
      <c r="A23" s="27">
        <v>38461</v>
      </c>
      <c r="B23" s="7">
        <f>'[6]Apr Prod'!I22</f>
        <v>6299999.9999992726</v>
      </c>
      <c r="C23" s="8">
        <f t="shared" si="1"/>
        <v>6.2999999999992724</v>
      </c>
      <c r="D23" s="10">
        <f t="shared" si="2"/>
        <v>19.340999999997766</v>
      </c>
      <c r="E23" s="7">
        <f>'[6]Apr Prod'!E22</f>
        <v>0</v>
      </c>
      <c r="F23" s="8">
        <f t="shared" si="3"/>
        <v>0</v>
      </c>
      <c r="G23" s="10">
        <f t="shared" si="4"/>
        <v>0</v>
      </c>
      <c r="H23" s="7">
        <f>'[6]Apr Prod'!F22</f>
        <v>5930000</v>
      </c>
      <c r="I23" s="8">
        <f t="shared" si="0"/>
        <v>5.93</v>
      </c>
      <c r="J23" s="10">
        <f t="shared" si="5"/>
        <v>18.205099999999998</v>
      </c>
      <c r="K23" s="7">
        <f>'[6]Apr Prod'!H270</f>
        <v>753940</v>
      </c>
      <c r="L23" s="8">
        <f t="shared" si="6"/>
        <v>0.75394000000000005</v>
      </c>
      <c r="M23" s="10">
        <f t="shared" si="7"/>
        <v>2.3145958000000002</v>
      </c>
      <c r="N23" s="21"/>
      <c r="O23" s="7">
        <f>'[6]Apr Prod'!H22</f>
        <v>6548000</v>
      </c>
      <c r="P23" s="8">
        <f t="shared" si="8"/>
        <v>6.548</v>
      </c>
      <c r="Q23" s="10">
        <f t="shared" si="9"/>
        <v>20.102359999999997</v>
      </c>
      <c r="R23" s="7">
        <f>'[6]Apr Prod'!C22</f>
        <v>6845000</v>
      </c>
      <c r="S23" s="8">
        <f t="shared" si="10"/>
        <v>6.8449999999999998</v>
      </c>
      <c r="T23" s="10">
        <f t="shared" si="11"/>
        <v>21.014149999999997</v>
      </c>
      <c r="U23" s="7">
        <f>'[6]Apr Prod'!D22</f>
        <v>0</v>
      </c>
      <c r="V23" s="8">
        <f t="shared" si="12"/>
        <v>0</v>
      </c>
      <c r="W23" s="10">
        <f t="shared" si="13"/>
        <v>0</v>
      </c>
      <c r="X23" s="7">
        <f>'[6]Apr Prod'!D270</f>
        <v>297000.00000000006</v>
      </c>
      <c r="Y23" s="8">
        <f t="shared" si="14"/>
        <v>0.29700000000000004</v>
      </c>
      <c r="Z23" s="10">
        <f t="shared" si="15"/>
        <v>0.9117900000000001</v>
      </c>
      <c r="AA23" s="15"/>
      <c r="AB23" s="7">
        <f t="shared" si="16"/>
        <v>12847999.999999274</v>
      </c>
      <c r="AC23" s="8">
        <f t="shared" si="16"/>
        <v>12.847999999999272</v>
      </c>
      <c r="AD23" s="8">
        <f t="shared" si="16"/>
        <v>39.443359999997767</v>
      </c>
    </row>
    <row r="24" spans="1:30" x14ac:dyDescent="0.2">
      <c r="A24" s="27">
        <v>38462</v>
      </c>
      <c r="B24" s="7">
        <f>'[6]Apr Prod'!I23</f>
        <v>7200000.0000007274</v>
      </c>
      <c r="C24" s="8">
        <f t="shared" si="1"/>
        <v>7.2000000000007276</v>
      </c>
      <c r="D24" s="10">
        <f t="shared" si="2"/>
        <v>22.104000000002234</v>
      </c>
      <c r="E24" s="7">
        <f>'[6]Apr Prod'!E23</f>
        <v>0</v>
      </c>
      <c r="F24" s="8">
        <f t="shared" si="3"/>
        <v>0</v>
      </c>
      <c r="G24" s="10">
        <f t="shared" si="4"/>
        <v>0</v>
      </c>
      <c r="H24" s="7">
        <f>'[6]Apr Prod'!F23</f>
        <v>6560000</v>
      </c>
      <c r="I24" s="8">
        <f t="shared" si="0"/>
        <v>6.56</v>
      </c>
      <c r="J24" s="10">
        <f t="shared" si="5"/>
        <v>20.139199999999999</v>
      </c>
      <c r="K24" s="7">
        <f>'[6]Apr Prod'!H271</f>
        <v>739937</v>
      </c>
      <c r="L24" s="8">
        <f t="shared" si="6"/>
        <v>0.73993699999999996</v>
      </c>
      <c r="M24" s="10">
        <f t="shared" si="7"/>
        <v>2.2716065899999998</v>
      </c>
      <c r="N24" s="21"/>
      <c r="O24" s="7">
        <f>'[6]Apr Prod'!H23</f>
        <v>8905000</v>
      </c>
      <c r="P24" s="8">
        <f t="shared" si="8"/>
        <v>8.9049999999999994</v>
      </c>
      <c r="Q24" s="10">
        <f t="shared" si="9"/>
        <v>27.338349999999998</v>
      </c>
      <c r="R24" s="7">
        <f>'[6]Apr Prod'!C23</f>
        <v>9266000</v>
      </c>
      <c r="S24" s="8">
        <f t="shared" si="10"/>
        <v>9.266</v>
      </c>
      <c r="T24" s="10">
        <f t="shared" si="11"/>
        <v>28.446619999999999</v>
      </c>
      <c r="U24" s="7">
        <f>'[6]Apr Prod'!D23</f>
        <v>0</v>
      </c>
      <c r="V24" s="8">
        <f t="shared" si="12"/>
        <v>0</v>
      </c>
      <c r="W24" s="10">
        <f t="shared" si="13"/>
        <v>0</v>
      </c>
      <c r="X24" s="7">
        <f>'[6]Apr Prod'!D271</f>
        <v>361000</v>
      </c>
      <c r="Y24" s="8">
        <f t="shared" si="14"/>
        <v>0.36099999999999999</v>
      </c>
      <c r="Z24" s="10">
        <f t="shared" si="15"/>
        <v>1.1082699999999999</v>
      </c>
      <c r="AA24" s="15"/>
      <c r="AB24" s="7">
        <f t="shared" si="16"/>
        <v>16105000.000000726</v>
      </c>
      <c r="AC24" s="8">
        <f t="shared" si="16"/>
        <v>16.105000000000729</v>
      </c>
      <c r="AD24" s="8">
        <f>D24+Q24</f>
        <v>49.442350000002236</v>
      </c>
    </row>
    <row r="25" spans="1:30" x14ac:dyDescent="0.2">
      <c r="A25" s="27">
        <v>38463</v>
      </c>
      <c r="B25" s="7">
        <f>'[6]Apr Prod'!I24</f>
        <v>7200000.0000007274</v>
      </c>
      <c r="C25" s="8">
        <f t="shared" si="1"/>
        <v>7.2000000000007276</v>
      </c>
      <c r="D25" s="10">
        <f t="shared" si="2"/>
        <v>22.104000000002234</v>
      </c>
      <c r="E25" s="7">
        <f>'[6]Apr Prod'!E24</f>
        <v>0</v>
      </c>
      <c r="F25" s="8">
        <f t="shared" si="3"/>
        <v>0</v>
      </c>
      <c r="G25" s="10">
        <f t="shared" si="4"/>
        <v>0</v>
      </c>
      <c r="H25" s="7">
        <f>'[6]Apr Prod'!F24</f>
        <v>7400000</v>
      </c>
      <c r="I25" s="8">
        <f t="shared" si="0"/>
        <v>7.4</v>
      </c>
      <c r="J25" s="10">
        <f t="shared" si="5"/>
        <v>22.718</v>
      </c>
      <c r="K25" s="7">
        <f>'[6]Apr Prod'!H272</f>
        <v>823146</v>
      </c>
      <c r="L25" s="8">
        <f t="shared" si="6"/>
        <v>0.82314600000000004</v>
      </c>
      <c r="M25" s="10">
        <f t="shared" si="7"/>
        <v>2.5270582199999998</v>
      </c>
      <c r="N25" s="21"/>
      <c r="O25" s="7">
        <f>'[6]Apr Prod'!H24</f>
        <v>9332000</v>
      </c>
      <c r="P25" s="8">
        <f t="shared" si="8"/>
        <v>9.3320000000000007</v>
      </c>
      <c r="Q25" s="10">
        <f t="shared" si="9"/>
        <v>28.649240000000002</v>
      </c>
      <c r="R25" s="7">
        <f>'[6]Apr Prod'!C24</f>
        <v>9646000</v>
      </c>
      <c r="S25" s="8">
        <f t="shared" si="10"/>
        <v>9.6460000000000008</v>
      </c>
      <c r="T25" s="10">
        <f t="shared" si="11"/>
        <v>29.613220000000002</v>
      </c>
      <c r="U25" s="7">
        <f>'[6]Apr Prod'!D24</f>
        <v>0</v>
      </c>
      <c r="V25" s="8">
        <f t="shared" si="12"/>
        <v>0</v>
      </c>
      <c r="W25" s="10">
        <f t="shared" si="13"/>
        <v>0</v>
      </c>
      <c r="X25" s="7">
        <f>'[6]Apr Prod'!D272</f>
        <v>314000.00000000006</v>
      </c>
      <c r="Y25" s="8">
        <f t="shared" si="14"/>
        <v>0.31400000000000006</v>
      </c>
      <c r="Z25" s="10">
        <f t="shared" si="15"/>
        <v>0.96398000000000017</v>
      </c>
      <c r="AA25" s="15"/>
      <c r="AB25" s="7">
        <f t="shared" si="16"/>
        <v>16532000.000000726</v>
      </c>
      <c r="AC25" s="8">
        <f t="shared" si="16"/>
        <v>16.532000000000728</v>
      </c>
      <c r="AD25" s="8">
        <f t="shared" si="16"/>
        <v>50.753240000002236</v>
      </c>
    </row>
    <row r="26" spans="1:30" x14ac:dyDescent="0.2">
      <c r="A26" s="27">
        <v>38464</v>
      </c>
      <c r="B26" s="7">
        <f>'[6]Apr Prod'!I25</f>
        <v>7599999.9999985453</v>
      </c>
      <c r="C26" s="8">
        <f t="shared" si="1"/>
        <v>7.5999999999985457</v>
      </c>
      <c r="D26" s="10">
        <f t="shared" si="2"/>
        <v>23.331999999995535</v>
      </c>
      <c r="E26" s="7">
        <f>'[6]Apr Prod'!E25</f>
        <v>0</v>
      </c>
      <c r="F26" s="8">
        <f t="shared" si="3"/>
        <v>0</v>
      </c>
      <c r="G26" s="10">
        <f t="shared" si="4"/>
        <v>0</v>
      </c>
      <c r="H26" s="7">
        <f>'[6]Apr Prod'!F25</f>
        <v>7090000</v>
      </c>
      <c r="I26" s="8">
        <f t="shared" si="0"/>
        <v>7.09</v>
      </c>
      <c r="J26" s="10">
        <f t="shared" si="5"/>
        <v>21.766299999999998</v>
      </c>
      <c r="K26" s="7">
        <f>'[6]Apr Prod'!H273</f>
        <v>698708</v>
      </c>
      <c r="L26" s="8">
        <f t="shared" si="6"/>
        <v>0.698708</v>
      </c>
      <c r="M26" s="10">
        <f t="shared" si="7"/>
        <v>2.1450335599999999</v>
      </c>
      <c r="N26" s="21"/>
      <c r="O26" s="7">
        <f>'[6]Apr Prod'!H25</f>
        <v>8939000</v>
      </c>
      <c r="P26" s="8">
        <f t="shared" si="8"/>
        <v>8.9390000000000001</v>
      </c>
      <c r="Q26" s="10">
        <f t="shared" si="9"/>
        <v>27.442729999999997</v>
      </c>
      <c r="R26" s="7">
        <f>'[6]Apr Prod'!C25</f>
        <v>9363000</v>
      </c>
      <c r="S26" s="8">
        <f t="shared" si="10"/>
        <v>9.3629999999999995</v>
      </c>
      <c r="T26" s="10">
        <f t="shared" si="11"/>
        <v>28.744409999999998</v>
      </c>
      <c r="U26" s="7">
        <f>'[6]Apr Prod'!D25</f>
        <v>0</v>
      </c>
      <c r="V26" s="8">
        <f t="shared" si="12"/>
        <v>0</v>
      </c>
      <c r="W26" s="10">
        <f t="shared" si="13"/>
        <v>0</v>
      </c>
      <c r="X26" s="7">
        <f>'[6]Apr Prod'!D273</f>
        <v>423999.99999999994</v>
      </c>
      <c r="Y26" s="8">
        <f t="shared" si="14"/>
        <v>0.42399999999999993</v>
      </c>
      <c r="Z26" s="10">
        <f t="shared" si="15"/>
        <v>1.3016799999999997</v>
      </c>
      <c r="AA26" s="15"/>
      <c r="AB26" s="7">
        <f t="shared" si="16"/>
        <v>16538999.999998545</v>
      </c>
      <c r="AC26" s="8">
        <f t="shared" si="16"/>
        <v>16.538999999998545</v>
      </c>
      <c r="AD26" s="8">
        <f t="shared" si="16"/>
        <v>50.774729999995529</v>
      </c>
    </row>
    <row r="27" spans="1:30" x14ac:dyDescent="0.2">
      <c r="A27" s="27">
        <v>38465</v>
      </c>
      <c r="B27" s="7">
        <f>'[6]Apr Prod'!I26</f>
        <v>6900000.0000014547</v>
      </c>
      <c r="C27" s="8">
        <f t="shared" si="1"/>
        <v>6.9000000000014543</v>
      </c>
      <c r="D27" s="10">
        <f t="shared" si="2"/>
        <v>21.183000000004462</v>
      </c>
      <c r="E27" s="7">
        <f>'[6]Apr Prod'!E26</f>
        <v>0</v>
      </c>
      <c r="F27" s="8">
        <f t="shared" si="3"/>
        <v>0</v>
      </c>
      <c r="G27" s="10">
        <f t="shared" si="4"/>
        <v>0</v>
      </c>
      <c r="H27" s="7">
        <f>'[6]Apr Prod'!F26</f>
        <v>5900000</v>
      </c>
      <c r="I27" s="8">
        <f t="shared" si="0"/>
        <v>5.9</v>
      </c>
      <c r="J27" s="10">
        <f t="shared" si="5"/>
        <v>18.113</v>
      </c>
      <c r="K27" s="7">
        <f>'[6]Apr Prod'!H274</f>
        <v>650681</v>
      </c>
      <c r="L27" s="8">
        <f t="shared" si="6"/>
        <v>0.65068099999999995</v>
      </c>
      <c r="M27" s="10">
        <f t="shared" si="7"/>
        <v>1.9975906699999997</v>
      </c>
      <c r="N27" s="21"/>
      <c r="O27" s="7">
        <f>'[6]Apr Prod'!H26</f>
        <v>9432000</v>
      </c>
      <c r="P27" s="8">
        <f t="shared" si="8"/>
        <v>9.4320000000000004</v>
      </c>
      <c r="Q27" s="10">
        <f t="shared" si="9"/>
        <v>28.956240000000001</v>
      </c>
      <c r="R27" s="7">
        <f>'[6]Apr Prod'!C26</f>
        <v>9811000</v>
      </c>
      <c r="S27" s="8">
        <f t="shared" si="10"/>
        <v>9.8109999999999999</v>
      </c>
      <c r="T27" s="10">
        <f t="shared" si="11"/>
        <v>30.119769999999999</v>
      </c>
      <c r="U27" s="7">
        <f>'[6]Apr Prod'!D26</f>
        <v>0</v>
      </c>
      <c r="V27" s="8">
        <f t="shared" si="12"/>
        <v>0</v>
      </c>
      <c r="W27" s="10">
        <f t="shared" si="13"/>
        <v>0</v>
      </c>
      <c r="X27" s="7">
        <f>'[6]Apr Prod'!D274</f>
        <v>379000</v>
      </c>
      <c r="Y27" s="8">
        <f t="shared" si="14"/>
        <v>0.379</v>
      </c>
      <c r="Z27" s="10">
        <f t="shared" si="15"/>
        <v>1.16353</v>
      </c>
      <c r="AA27" s="15"/>
      <c r="AB27" s="7">
        <f t="shared" si="16"/>
        <v>16332000.000001455</v>
      </c>
      <c r="AC27" s="8">
        <f t="shared" si="16"/>
        <v>16.332000000001454</v>
      </c>
      <c r="AD27" s="8">
        <f t="shared" si="16"/>
        <v>50.139240000004463</v>
      </c>
    </row>
    <row r="28" spans="1:30" x14ac:dyDescent="0.2">
      <c r="A28" s="27">
        <v>38466</v>
      </c>
      <c r="B28" s="7">
        <f>'[6]Apr Prod'!I27</f>
        <v>7500000</v>
      </c>
      <c r="C28" s="8">
        <f t="shared" si="1"/>
        <v>7.5</v>
      </c>
      <c r="D28" s="10">
        <f t="shared" si="2"/>
        <v>23.024999999999999</v>
      </c>
      <c r="E28" s="7">
        <f>'[6]Apr Prod'!E27</f>
        <v>2000000</v>
      </c>
      <c r="F28" s="8">
        <f t="shared" si="3"/>
        <v>2</v>
      </c>
      <c r="G28" s="10">
        <f t="shared" si="4"/>
        <v>6.14</v>
      </c>
      <c r="H28" s="7">
        <f>'[6]Apr Prod'!F27</f>
        <v>6280000</v>
      </c>
      <c r="I28" s="8">
        <f t="shared" si="0"/>
        <v>6.28</v>
      </c>
      <c r="J28" s="10">
        <f t="shared" si="5"/>
        <v>19.279599999999999</v>
      </c>
      <c r="K28" s="7">
        <f>'[6]Apr Prod'!H275</f>
        <v>945892</v>
      </c>
      <c r="L28" s="8">
        <f t="shared" si="6"/>
        <v>0.94589199999999996</v>
      </c>
      <c r="M28" s="10">
        <f t="shared" si="7"/>
        <v>2.9038884399999998</v>
      </c>
      <c r="N28" s="21"/>
      <c r="O28" s="7">
        <f>'[6]Apr Prod'!H27</f>
        <v>6170000</v>
      </c>
      <c r="P28" s="8">
        <f t="shared" si="8"/>
        <v>6.17</v>
      </c>
      <c r="Q28" s="10">
        <f t="shared" si="9"/>
        <v>18.9419</v>
      </c>
      <c r="R28" s="7">
        <f>'[6]Apr Prod'!C27</f>
        <v>6302000</v>
      </c>
      <c r="S28" s="8">
        <f t="shared" si="10"/>
        <v>6.3019999999999996</v>
      </c>
      <c r="T28" s="10">
        <f t="shared" si="11"/>
        <v>19.347139999999996</v>
      </c>
      <c r="U28" s="7">
        <f>'[6]Apr Prod'!D27</f>
        <v>0</v>
      </c>
      <c r="V28" s="8">
        <f t="shared" si="12"/>
        <v>0</v>
      </c>
      <c r="W28" s="10">
        <f t="shared" si="13"/>
        <v>0</v>
      </c>
      <c r="X28" s="7">
        <f>'[6]Apr Prod'!D275</f>
        <v>132000.00000000012</v>
      </c>
      <c r="Y28" s="8">
        <f t="shared" si="14"/>
        <v>0.13200000000000012</v>
      </c>
      <c r="Z28" s="10">
        <f t="shared" si="15"/>
        <v>0.40524000000000032</v>
      </c>
      <c r="AA28" s="15"/>
      <c r="AB28" s="7">
        <f t="shared" si="16"/>
        <v>13670000</v>
      </c>
      <c r="AC28" s="8">
        <f t="shared" si="16"/>
        <v>13.67</v>
      </c>
      <c r="AD28" s="8">
        <f t="shared" si="16"/>
        <v>41.966899999999995</v>
      </c>
    </row>
    <row r="29" spans="1:30" x14ac:dyDescent="0.2">
      <c r="A29" s="27">
        <v>38467</v>
      </c>
      <c r="B29" s="7">
        <f>'[6]Apr Prod'!I28</f>
        <v>15000000</v>
      </c>
      <c r="C29" s="8">
        <f t="shared" si="1"/>
        <v>15</v>
      </c>
      <c r="D29" s="10">
        <f t="shared" si="2"/>
        <v>46.05</v>
      </c>
      <c r="E29" s="7">
        <f>'[6]Apr Prod'!E28</f>
        <v>4000000</v>
      </c>
      <c r="F29" s="8">
        <f t="shared" si="3"/>
        <v>4</v>
      </c>
      <c r="G29" s="10">
        <f t="shared" si="4"/>
        <v>12.28</v>
      </c>
      <c r="H29" s="7">
        <f>'[6]Apr Prod'!F28</f>
        <v>10590000</v>
      </c>
      <c r="I29" s="8">
        <f t="shared" si="0"/>
        <v>10.59</v>
      </c>
      <c r="J29" s="10">
        <f t="shared" si="5"/>
        <v>32.511299999999999</v>
      </c>
      <c r="K29" s="7">
        <f>'[6]Apr Prod'!H276</f>
        <v>1233764</v>
      </c>
      <c r="L29" s="8">
        <f t="shared" si="6"/>
        <v>1.2337640000000001</v>
      </c>
      <c r="M29" s="10">
        <f t="shared" si="7"/>
        <v>3.7876554800000002</v>
      </c>
      <c r="N29" s="21"/>
      <c r="O29" s="7">
        <f>'[6]Apr Prod'!H28</f>
        <v>2426000.0000000005</v>
      </c>
      <c r="P29" s="8">
        <f t="shared" si="8"/>
        <v>2.4260000000000006</v>
      </c>
      <c r="Q29" s="10">
        <f t="shared" si="9"/>
        <v>7.4478200000000019</v>
      </c>
      <c r="R29" s="7">
        <f>'[6]Apr Prod'!C28</f>
        <v>2622000</v>
      </c>
      <c r="S29" s="8">
        <f t="shared" si="10"/>
        <v>2.6219999999999999</v>
      </c>
      <c r="T29" s="10">
        <f t="shared" si="11"/>
        <v>8.0495399999999986</v>
      </c>
      <c r="U29" s="7">
        <f>'[6]Apr Prod'!D28</f>
        <v>0</v>
      </c>
      <c r="V29" s="8">
        <f t="shared" si="12"/>
        <v>0</v>
      </c>
      <c r="W29" s="10">
        <f t="shared" si="13"/>
        <v>0</v>
      </c>
      <c r="X29" s="7">
        <f>'[6]Apr Prod'!D276</f>
        <v>195999.99999999974</v>
      </c>
      <c r="Y29" s="8">
        <f t="shared" si="14"/>
        <v>0.19599999999999973</v>
      </c>
      <c r="Z29" s="10">
        <f t="shared" si="15"/>
        <v>0.60171999999999914</v>
      </c>
      <c r="AA29" s="15"/>
      <c r="AB29" s="7">
        <f t="shared" si="16"/>
        <v>17426000</v>
      </c>
      <c r="AC29" s="8">
        <f t="shared" si="16"/>
        <v>17.426000000000002</v>
      </c>
      <c r="AD29" s="8">
        <f t="shared" si="16"/>
        <v>53.497819999999997</v>
      </c>
    </row>
    <row r="30" spans="1:30" x14ac:dyDescent="0.2">
      <c r="A30" s="27">
        <v>38468</v>
      </c>
      <c r="B30" s="7">
        <f>'[6]Apr Prod'!I29</f>
        <v>16599999.999998545</v>
      </c>
      <c r="C30" s="8">
        <f t="shared" si="1"/>
        <v>16.599999999998545</v>
      </c>
      <c r="D30" s="10">
        <f t="shared" si="2"/>
        <v>50.961999999995527</v>
      </c>
      <c r="E30" s="7">
        <f>'[6]Apr Prod'!E29</f>
        <v>4000000</v>
      </c>
      <c r="F30" s="8">
        <f t="shared" si="3"/>
        <v>4</v>
      </c>
      <c r="G30" s="10">
        <f t="shared" si="4"/>
        <v>12.28</v>
      </c>
      <c r="H30" s="7">
        <f>'[6]Apr Prod'!F29</f>
        <v>12730000</v>
      </c>
      <c r="I30" s="8">
        <f t="shared" si="0"/>
        <v>12.73</v>
      </c>
      <c r="J30" s="10">
        <f t="shared" si="5"/>
        <v>39.081099999999999</v>
      </c>
      <c r="K30" s="7">
        <f>'[6]Apr Prod'!H277</f>
        <v>2204112</v>
      </c>
      <c r="L30" s="8">
        <f t="shared" si="6"/>
        <v>2.2041119999999998</v>
      </c>
      <c r="M30" s="10">
        <f t="shared" si="7"/>
        <v>6.7666238399999994</v>
      </c>
      <c r="N30" s="21"/>
      <c r="O30" s="7">
        <f>'[6]Apr Prod'!H29</f>
        <v>1296000</v>
      </c>
      <c r="P30" s="8">
        <f t="shared" si="8"/>
        <v>1.296</v>
      </c>
      <c r="Q30" s="10">
        <f t="shared" si="9"/>
        <v>3.97872</v>
      </c>
      <c r="R30" s="7">
        <f>'[6]Apr Prod'!C29</f>
        <v>1296000</v>
      </c>
      <c r="S30" s="8">
        <f t="shared" si="10"/>
        <v>1.296</v>
      </c>
      <c r="T30" s="10">
        <f t="shared" si="11"/>
        <v>3.97872</v>
      </c>
      <c r="U30" s="7">
        <f>'[6]Apr Prod'!D29</f>
        <v>0</v>
      </c>
      <c r="V30" s="8">
        <f t="shared" si="12"/>
        <v>0</v>
      </c>
      <c r="W30" s="10">
        <f t="shared" si="13"/>
        <v>0</v>
      </c>
      <c r="X30" s="7">
        <f>'[6]Apr Prod'!D277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17895999.999998547</v>
      </c>
      <c r="AC30" s="8">
        <f t="shared" si="16"/>
        <v>17.895999999998544</v>
      </c>
      <c r="AD30" s="8">
        <f>D30+Q30</f>
        <v>54.94071999999553</v>
      </c>
    </row>
    <row r="31" spans="1:30" x14ac:dyDescent="0.2">
      <c r="A31" s="27">
        <v>38469</v>
      </c>
      <c r="B31" s="7">
        <f>'[6]Apr Prod'!I30</f>
        <v>15799999.999999272</v>
      </c>
      <c r="C31" s="8">
        <f t="shared" si="1"/>
        <v>15.799999999999272</v>
      </c>
      <c r="D31" s="10">
        <f t="shared" si="2"/>
        <v>48.505999999997762</v>
      </c>
      <c r="E31" s="7">
        <f>'[6]Apr Prod'!E30</f>
        <v>4000000</v>
      </c>
      <c r="F31" s="8">
        <f t="shared" si="3"/>
        <v>4</v>
      </c>
      <c r="G31" s="10">
        <f t="shared" si="4"/>
        <v>12.28</v>
      </c>
      <c r="H31" s="7">
        <f>'[6]Apr Prod'!F30</f>
        <v>12490000</v>
      </c>
      <c r="I31" s="8">
        <f t="shared" si="0"/>
        <v>12.49</v>
      </c>
      <c r="J31" s="10">
        <f t="shared" si="5"/>
        <v>38.344299999999997</v>
      </c>
      <c r="K31" s="7">
        <f>'[6]Apr Prod'!H278</f>
        <v>2079830</v>
      </c>
      <c r="L31" s="8">
        <f t="shared" si="6"/>
        <v>2.0798299999999998</v>
      </c>
      <c r="M31" s="10">
        <f t="shared" si="7"/>
        <v>6.3850780999999994</v>
      </c>
      <c r="N31" s="21"/>
      <c r="O31" s="7">
        <f>'[6]Apr Prod'!H30</f>
        <v>5060000</v>
      </c>
      <c r="P31" s="8">
        <f t="shared" si="8"/>
        <v>5.0599999999999996</v>
      </c>
      <c r="Q31" s="10">
        <f t="shared" si="9"/>
        <v>15.534199999999998</v>
      </c>
      <c r="R31" s="7">
        <f>'[6]Apr Prod'!C30</f>
        <v>5425000</v>
      </c>
      <c r="S31" s="8">
        <f t="shared" si="10"/>
        <v>5.4249999999999998</v>
      </c>
      <c r="T31" s="10">
        <f t="shared" si="11"/>
        <v>16.65475</v>
      </c>
      <c r="U31" s="7">
        <f>'[6]Apr Prod'!D30</f>
        <v>0</v>
      </c>
      <c r="V31" s="8">
        <f t="shared" si="12"/>
        <v>0</v>
      </c>
      <c r="W31" s="10">
        <f t="shared" si="13"/>
        <v>0</v>
      </c>
      <c r="X31" s="7">
        <f>'[6]Apr Prod'!D278</f>
        <v>365000.00000000023</v>
      </c>
      <c r="Y31" s="8">
        <f t="shared" si="14"/>
        <v>0.36500000000000021</v>
      </c>
      <c r="Z31" s="10">
        <f t="shared" si="15"/>
        <v>1.1205500000000006</v>
      </c>
      <c r="AA31" s="15"/>
      <c r="AB31" s="7">
        <f t="shared" si="16"/>
        <v>20859999.99999927</v>
      </c>
      <c r="AC31" s="8">
        <f t="shared" si="16"/>
        <v>20.859999999999271</v>
      </c>
      <c r="AD31" s="8">
        <f t="shared" si="16"/>
        <v>64.040199999997753</v>
      </c>
    </row>
    <row r="32" spans="1:30" x14ac:dyDescent="0.2">
      <c r="A32" s="27">
        <v>38470</v>
      </c>
      <c r="B32" s="7">
        <f>'[6]Apr Prod'!I31</f>
        <v>9000000</v>
      </c>
      <c r="C32" s="8">
        <f t="shared" si="1"/>
        <v>9</v>
      </c>
      <c r="D32" s="10">
        <f t="shared" si="2"/>
        <v>27.63</v>
      </c>
      <c r="E32" s="7">
        <f>'[6]Apr Prod'!E31</f>
        <v>4000000</v>
      </c>
      <c r="F32" s="8">
        <f t="shared" si="3"/>
        <v>4</v>
      </c>
      <c r="G32" s="10">
        <f t="shared" si="4"/>
        <v>12.28</v>
      </c>
      <c r="H32" s="7">
        <f>'[6]Apr Prod'!F31</f>
        <v>4960000</v>
      </c>
      <c r="I32" s="8">
        <f t="shared" si="0"/>
        <v>4.96</v>
      </c>
      <c r="J32" s="10">
        <f t="shared" si="5"/>
        <v>15.2272</v>
      </c>
      <c r="K32" s="7">
        <f>'[6]Apr Prod'!H279</f>
        <v>857310</v>
      </c>
      <c r="L32" s="8">
        <f t="shared" si="6"/>
        <v>0.85731000000000002</v>
      </c>
      <c r="M32" s="10">
        <f t="shared" si="7"/>
        <v>2.6319417000000001</v>
      </c>
      <c r="N32" s="21"/>
      <c r="O32" s="7">
        <f>'[6]Apr Prod'!H31</f>
        <v>5018000</v>
      </c>
      <c r="P32" s="8">
        <f t="shared" si="8"/>
        <v>5.0179999999999998</v>
      </c>
      <c r="Q32" s="10">
        <f t="shared" si="9"/>
        <v>15.405259999999998</v>
      </c>
      <c r="R32" s="7">
        <f>'[6]Apr Prod'!C31</f>
        <v>5329000</v>
      </c>
      <c r="S32" s="8">
        <f t="shared" si="10"/>
        <v>5.3289999999999997</v>
      </c>
      <c r="T32" s="10">
        <f t="shared" si="11"/>
        <v>16.360029999999998</v>
      </c>
      <c r="U32" s="7">
        <f>'[6]Apr Prod'!D31</f>
        <v>0</v>
      </c>
      <c r="V32" s="8">
        <f t="shared" si="12"/>
        <v>0</v>
      </c>
      <c r="W32" s="10">
        <f t="shared" si="13"/>
        <v>0</v>
      </c>
      <c r="X32" s="7">
        <f>'[6]Apr Prod'!D279</f>
        <v>310999.99999999994</v>
      </c>
      <c r="Y32" s="8">
        <f t="shared" si="14"/>
        <v>0.31099999999999994</v>
      </c>
      <c r="Z32" s="10">
        <f t="shared" si="15"/>
        <v>0.95476999999999979</v>
      </c>
      <c r="AA32" s="15"/>
      <c r="AB32" s="7">
        <f t="shared" si="16"/>
        <v>14018000</v>
      </c>
      <c r="AC32" s="8">
        <f t="shared" si="16"/>
        <v>14.018000000000001</v>
      </c>
      <c r="AD32" s="8">
        <f t="shared" si="16"/>
        <v>43.035259999999994</v>
      </c>
    </row>
    <row r="33" spans="1:32" x14ac:dyDescent="0.2">
      <c r="A33" s="27">
        <v>38471</v>
      </c>
      <c r="B33" s="7">
        <f>'[6]Apr Prod'!I32</f>
        <v>7300000.0000029104</v>
      </c>
      <c r="C33" s="8">
        <f t="shared" si="1"/>
        <v>7.3000000000029104</v>
      </c>
      <c r="D33" s="10">
        <f t="shared" si="2"/>
        <v>22.411000000008933</v>
      </c>
      <c r="E33" s="7">
        <f>'[6]Apr Prod'!E32</f>
        <v>3000000</v>
      </c>
      <c r="F33" s="8">
        <f t="shared" si="3"/>
        <v>3</v>
      </c>
      <c r="G33" s="10">
        <f t="shared" si="4"/>
        <v>9.2099999999999991</v>
      </c>
      <c r="H33" s="7">
        <f>'[6]Apr Prod'!F32</f>
        <v>5010000</v>
      </c>
      <c r="I33" s="8">
        <f t="shared" si="0"/>
        <v>5.01</v>
      </c>
      <c r="J33" s="10">
        <f t="shared" si="5"/>
        <v>15.380699999999999</v>
      </c>
      <c r="K33" s="7">
        <f>'[6]Apr Prod'!H280</f>
        <v>880000</v>
      </c>
      <c r="L33" s="8">
        <f t="shared" si="6"/>
        <v>0.88</v>
      </c>
      <c r="M33" s="10">
        <f t="shared" si="7"/>
        <v>2.7016</v>
      </c>
      <c r="N33" s="21"/>
      <c r="O33" s="7">
        <f>'[6]Apr Prod'!H32</f>
        <v>9192000</v>
      </c>
      <c r="P33" s="8">
        <f t="shared" si="8"/>
        <v>9.1920000000000002</v>
      </c>
      <c r="Q33" s="10">
        <f t="shared" si="9"/>
        <v>28.219439999999999</v>
      </c>
      <c r="R33" s="7">
        <f>'[6]Apr Prod'!C32</f>
        <v>9478000</v>
      </c>
      <c r="S33" s="8">
        <f t="shared" si="10"/>
        <v>9.4779999999999998</v>
      </c>
      <c r="T33" s="10">
        <f t="shared" si="11"/>
        <v>29.097459999999998</v>
      </c>
      <c r="U33" s="7">
        <f>'[6]Apr Prod'!D32</f>
        <v>0</v>
      </c>
      <c r="V33" s="8">
        <f t="shared" si="12"/>
        <v>0</v>
      </c>
      <c r="W33" s="10">
        <f t="shared" si="13"/>
        <v>0</v>
      </c>
      <c r="X33" s="7">
        <f>'[6]Apr Prod'!D280</f>
        <v>286000.00000000006</v>
      </c>
      <c r="Y33" s="8">
        <f t="shared" si="14"/>
        <v>0.28600000000000003</v>
      </c>
      <c r="Z33" s="10">
        <f t="shared" si="15"/>
        <v>0.87802000000000002</v>
      </c>
      <c r="AA33" s="15"/>
      <c r="AB33" s="7">
        <f t="shared" si="16"/>
        <v>16492000.000002909</v>
      </c>
      <c r="AC33" s="8">
        <f t="shared" si="16"/>
        <v>16.492000000002911</v>
      </c>
      <c r="AD33" s="8">
        <f t="shared" si="16"/>
        <v>50.630440000008932</v>
      </c>
    </row>
    <row r="34" spans="1:32" ht="13.5" thickBot="1" x14ac:dyDescent="0.25">
      <c r="A34" s="27">
        <v>38472</v>
      </c>
      <c r="B34" s="7">
        <f>'[6]Apr Prod'!I33</f>
        <v>10799999.999999272</v>
      </c>
      <c r="C34" s="8">
        <f t="shared" si="1"/>
        <v>10.799999999999272</v>
      </c>
      <c r="D34" s="10">
        <f t="shared" si="2"/>
        <v>33.155999999997768</v>
      </c>
      <c r="E34" s="7">
        <f>'[6]Apr Prod'!E33</f>
        <v>4000000</v>
      </c>
      <c r="F34" s="8">
        <f t="shared" si="3"/>
        <v>4</v>
      </c>
      <c r="G34" s="10">
        <f t="shared" si="4"/>
        <v>12.28</v>
      </c>
      <c r="H34" s="7">
        <f>'[6]Apr Prod'!F33</f>
        <v>9870000</v>
      </c>
      <c r="I34" s="8">
        <f t="shared" si="0"/>
        <v>9.8699999999999992</v>
      </c>
      <c r="J34" s="10">
        <f t="shared" si="5"/>
        <v>30.300899999999995</v>
      </c>
      <c r="K34" s="7">
        <f>'[6]Apr Prod'!H281</f>
        <v>1106600</v>
      </c>
      <c r="L34" s="8">
        <f t="shared" si="6"/>
        <v>1.1066</v>
      </c>
      <c r="M34" s="10">
        <f t="shared" si="7"/>
        <v>3.397262</v>
      </c>
      <c r="N34" s="21"/>
      <c r="O34" s="7">
        <f>'[6]Apr Prod'!H33</f>
        <v>8871000</v>
      </c>
      <c r="P34" s="8">
        <f t="shared" si="8"/>
        <v>8.8710000000000004</v>
      </c>
      <c r="Q34" s="10">
        <f t="shared" si="9"/>
        <v>27.233969999999999</v>
      </c>
      <c r="R34" s="7">
        <f>'[6]Apr Prod'!C33</f>
        <v>9158000</v>
      </c>
      <c r="S34" s="8">
        <f t="shared" si="10"/>
        <v>9.1579999999999995</v>
      </c>
      <c r="T34" s="10">
        <f t="shared" si="11"/>
        <v>28.115059999999996</v>
      </c>
      <c r="U34" s="7">
        <f>'[6]Apr Prod'!D33</f>
        <v>0</v>
      </c>
      <c r="V34" s="8">
        <f t="shared" si="12"/>
        <v>0</v>
      </c>
      <c r="W34" s="10">
        <f t="shared" si="13"/>
        <v>0</v>
      </c>
      <c r="X34" s="7">
        <f>'[6]Apr Prod'!D281</f>
        <v>287000.00000000035</v>
      </c>
      <c r="Y34" s="8">
        <f t="shared" si="14"/>
        <v>0.28700000000000037</v>
      </c>
      <c r="Z34" s="10">
        <f t="shared" si="15"/>
        <v>0.88109000000000104</v>
      </c>
      <c r="AA34" s="15"/>
      <c r="AB34" s="7">
        <f t="shared" si="16"/>
        <v>19670999.99999927</v>
      </c>
      <c r="AC34" s="8">
        <f t="shared" si="16"/>
        <v>19.670999999999275</v>
      </c>
      <c r="AD34" s="8">
        <f t="shared" si="16"/>
        <v>60.389969999997767</v>
      </c>
    </row>
    <row r="35" spans="1:32" ht="13.5" thickBot="1" x14ac:dyDescent="0.25">
      <c r="A35" s="3"/>
      <c r="B35" s="38"/>
      <c r="C35" s="39">
        <f>SUM(C5:C34)</f>
        <v>339</v>
      </c>
      <c r="D35" s="39">
        <f>SUM(D5:D34)</f>
        <v>1040.73</v>
      </c>
      <c r="E35" s="38"/>
      <c r="F35" s="39">
        <f>SUM(F5:F34)</f>
        <v>25</v>
      </c>
      <c r="G35" s="39">
        <f>SUM(G5:G34)</f>
        <v>76.75</v>
      </c>
      <c r="H35" s="38"/>
      <c r="I35" s="39">
        <f>SUM(I5:I34)</f>
        <v>305.25</v>
      </c>
      <c r="J35" s="39">
        <f>SUM(J5:J34)</f>
        <v>937.11749999999984</v>
      </c>
      <c r="K35" s="38"/>
      <c r="L35" s="39">
        <f>SUM(L5:L34)</f>
        <v>32.985553999999993</v>
      </c>
      <c r="M35" s="39">
        <f>SUM(M5:M34)</f>
        <v>101.26565077999999</v>
      </c>
      <c r="N35" s="14"/>
      <c r="O35" s="38"/>
      <c r="P35" s="39">
        <f>SUM(P5:P34)</f>
        <v>88.055999999999997</v>
      </c>
      <c r="Q35" s="39">
        <f>SUM(Q5:Q34)</f>
        <v>270.33192000000003</v>
      </c>
      <c r="R35" s="38"/>
      <c r="S35" s="39">
        <f>SUM(S5:S34)</f>
        <v>93.592999999999989</v>
      </c>
      <c r="T35" s="39">
        <f>SUM(T5:T34)</f>
        <v>287.33050999999995</v>
      </c>
      <c r="U35" s="38"/>
      <c r="V35" s="39">
        <f>SUM(V5:V34)</f>
        <v>0</v>
      </c>
      <c r="W35" s="39">
        <f>SUM(W5:W34)</f>
        <v>0</v>
      </c>
      <c r="X35" s="38"/>
      <c r="Y35" s="39">
        <f>SUM(Y5:Y34)</f>
        <v>4.1740000000000004</v>
      </c>
      <c r="Z35" s="39">
        <f>SUM(Z5:Z34)</f>
        <v>12.81418</v>
      </c>
      <c r="AA35" s="14"/>
      <c r="AB35" s="38">
        <f t="shared" si="16"/>
        <v>0</v>
      </c>
      <c r="AC35" s="39">
        <f t="shared" si="16"/>
        <v>427.05599999999998</v>
      </c>
      <c r="AD35" s="39">
        <f t="shared" si="16"/>
        <v>1311.0619200000001</v>
      </c>
      <c r="AF35" s="18"/>
    </row>
    <row r="36" spans="1:32" x14ac:dyDescent="0.2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7"/>
  <sheetViews>
    <sheetView workbookViewId="0">
      <pane xSplit="1" ySplit="4" topLeftCell="G5" activePane="bottomRight" state="frozen"/>
      <selection pane="topRight" activeCell="B1" sqref="B1"/>
      <selection pane="bottomLeft" activeCell="A5" sqref="A5"/>
      <selection pane="bottomRight" activeCell="K5" sqref="K5"/>
    </sheetView>
  </sheetViews>
  <sheetFormatPr defaultRowHeight="12.75" x14ac:dyDescent="0.2"/>
  <cols>
    <col min="2" max="2" width="11.42578125" customWidth="1"/>
    <col min="5" max="5" width="11.140625" customWidth="1"/>
    <col min="8" max="8" width="14.42578125" bestFit="1" customWidth="1"/>
    <col min="11" max="11" width="10.28515625" customWidth="1"/>
    <col min="12" max="12" width="11" customWidth="1"/>
    <col min="15" max="15" width="11.7109375" customWidth="1"/>
    <col min="18" max="18" width="11.28515625" customWidth="1"/>
    <col min="22" max="22" width="10.42578125" customWidth="1"/>
    <col min="24" max="24" width="11.7109375" bestFit="1" customWidth="1"/>
    <col min="28" max="28" width="13.28515625" customWidth="1"/>
  </cols>
  <sheetData>
    <row r="1" spans="1:30" x14ac:dyDescent="0.2">
      <c r="A1" s="46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7">
        <v>38473</v>
      </c>
      <c r="B5" s="7">
        <f>'[7]May Prod'!I4</f>
        <v>10700000.000000728</v>
      </c>
      <c r="C5" s="8">
        <f>B5/1000000</f>
        <v>10.700000000000728</v>
      </c>
      <c r="D5" s="10">
        <f>C5*3.07</f>
        <v>32.849000000002235</v>
      </c>
      <c r="E5" s="7">
        <f>'[7]May Prod'!E4</f>
        <v>4000000</v>
      </c>
      <c r="F5" s="8">
        <f>E5/1000000</f>
        <v>4</v>
      </c>
      <c r="G5" s="10">
        <f>F5*3.07</f>
        <v>12.28</v>
      </c>
      <c r="H5" s="7">
        <f>'[7]May Prod'!F4</f>
        <v>3940000</v>
      </c>
      <c r="I5" s="8">
        <f>H5/1000000</f>
        <v>3.94</v>
      </c>
      <c r="J5" s="10">
        <f>I5*3.07</f>
        <v>12.095799999999999</v>
      </c>
      <c r="K5" s="7">
        <f>'[7]May Prod'!H259</f>
        <v>1034134</v>
      </c>
      <c r="L5" s="8">
        <f>K5/1000000</f>
        <v>1.0341340000000001</v>
      </c>
      <c r="M5" s="10">
        <f>L5*3.07</f>
        <v>3.1747913800000003</v>
      </c>
      <c r="N5" s="21"/>
      <c r="O5" s="7">
        <f>'[7]May Prod'!H4</f>
        <v>9556000</v>
      </c>
      <c r="P5" s="8">
        <f>O5/1000000</f>
        <v>9.5559999999999992</v>
      </c>
      <c r="Q5" s="10">
        <f t="shared" ref="Q5:Q36" si="0">P5*3.07</f>
        <v>29.336919999999996</v>
      </c>
      <c r="R5" s="7">
        <f>'[7]May Prod'!C4</f>
        <v>9977000</v>
      </c>
      <c r="S5" s="8">
        <f>R5/1000000</f>
        <v>9.9770000000000003</v>
      </c>
      <c r="T5" s="10">
        <f t="shared" ref="T5:T36" si="1">S5*3.07</f>
        <v>30.629390000000001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420999.99999999936</v>
      </c>
      <c r="Y5" s="8">
        <f>X5/1000000</f>
        <v>0.42099999999999937</v>
      </c>
      <c r="Z5" s="10">
        <f t="shared" ref="Z5:Z35" si="3">Y5*3.07</f>
        <v>1.292469999999998</v>
      </c>
      <c r="AA5" s="15"/>
      <c r="AB5" s="7">
        <f>B5+O5</f>
        <v>20256000.00000073</v>
      </c>
      <c r="AC5" s="8">
        <f>C5+P5</f>
        <v>20.256000000000725</v>
      </c>
      <c r="AD5" s="8">
        <f>D5+Q5</f>
        <v>62.185920000002227</v>
      </c>
    </row>
    <row r="6" spans="1:30" x14ac:dyDescent="0.2">
      <c r="A6" s="27">
        <v>38474</v>
      </c>
      <c r="B6" s="7">
        <f>'[7]May Prod'!I5</f>
        <v>9500000</v>
      </c>
      <c r="C6" s="8">
        <f t="shared" ref="C6:C35" si="4">B6/1000000</f>
        <v>9.5</v>
      </c>
      <c r="D6" s="10">
        <f t="shared" ref="D6:D36" si="5">C6*3.07</f>
        <v>29.164999999999999</v>
      </c>
      <c r="E6" s="7">
        <f>'[7]May Prod'!E5</f>
        <v>4000000</v>
      </c>
      <c r="F6" s="8">
        <f t="shared" ref="F6:F35" si="6">E6/1000000</f>
        <v>4</v>
      </c>
      <c r="G6" s="10">
        <f t="shared" ref="G6:G36" si="7">F6*3.07</f>
        <v>12.28</v>
      </c>
      <c r="H6" s="7">
        <f>'[7]May Prod'!F5</f>
        <v>5510000</v>
      </c>
      <c r="I6" s="8">
        <f t="shared" ref="I6:I35" si="8">H6/1000000</f>
        <v>5.51</v>
      </c>
      <c r="J6" s="10">
        <f t="shared" ref="J6:J36" si="9">I6*3.07</f>
        <v>16.915699999999998</v>
      </c>
      <c r="K6" s="7">
        <f>'[7]May Prod'!H260</f>
        <v>873876</v>
      </c>
      <c r="L6" s="8">
        <f t="shared" ref="L6:L35" si="10">K6/1000000</f>
        <v>0.87387599999999999</v>
      </c>
      <c r="M6" s="10">
        <f t="shared" ref="M6:M35" si="11">L6*3.07</f>
        <v>2.68279932</v>
      </c>
      <c r="N6" s="21"/>
      <c r="O6" s="7">
        <f>'[7]May Prod'!H5</f>
        <v>10947000</v>
      </c>
      <c r="P6" s="8">
        <f t="shared" ref="P6:P35" si="12">O6/1000000</f>
        <v>10.946999999999999</v>
      </c>
      <c r="Q6" s="10">
        <f t="shared" si="0"/>
        <v>33.607289999999999</v>
      </c>
      <c r="R6" s="7">
        <f>'[7]May Prod'!C5</f>
        <v>11277000</v>
      </c>
      <c r="S6" s="8">
        <f t="shared" ref="S6:S35" si="13">R6/1000000</f>
        <v>11.276999999999999</v>
      </c>
      <c r="T6" s="10">
        <f t="shared" si="1"/>
        <v>34.620389999999993</v>
      </c>
      <c r="U6" s="7">
        <f>'[7]May Prod'!D5</f>
        <v>0</v>
      </c>
      <c r="V6" s="8">
        <f t="shared" ref="V6:V35" si="14">U6/1000000</f>
        <v>0</v>
      </c>
      <c r="W6" s="10">
        <f t="shared" si="2"/>
        <v>0</v>
      </c>
      <c r="X6" s="7">
        <f>'[7]May Prod'!D260</f>
        <v>330000.00000000006</v>
      </c>
      <c r="Y6" s="8">
        <f t="shared" ref="Y6:Y35" si="15">X6/1000000</f>
        <v>0.33000000000000007</v>
      </c>
      <c r="Z6" s="10">
        <f t="shared" si="3"/>
        <v>1.0131000000000001</v>
      </c>
      <c r="AA6" s="15"/>
      <c r="AB6" s="7">
        <f t="shared" ref="AB6:AD35" si="16">B6+O6</f>
        <v>20447000</v>
      </c>
      <c r="AC6" s="8">
        <f t="shared" si="16"/>
        <v>20.446999999999999</v>
      </c>
      <c r="AD6" s="8">
        <f t="shared" si="16"/>
        <v>62.772289999999998</v>
      </c>
    </row>
    <row r="7" spans="1:30" x14ac:dyDescent="0.2">
      <c r="A7" s="27">
        <v>38475</v>
      </c>
      <c r="B7" s="7">
        <f>'[7]May Prod'!I6</f>
        <v>15199999.999997091</v>
      </c>
      <c r="C7" s="8">
        <f t="shared" si="4"/>
        <v>15.199999999997091</v>
      </c>
      <c r="D7" s="10">
        <f t="shared" si="5"/>
        <v>46.66399999999107</v>
      </c>
      <c r="E7" s="7">
        <f>'[7]May Prod'!E6</f>
        <v>6000000</v>
      </c>
      <c r="F7" s="8">
        <f t="shared" si="6"/>
        <v>6</v>
      </c>
      <c r="G7" s="10">
        <f t="shared" si="7"/>
        <v>18.419999999999998</v>
      </c>
      <c r="H7" s="7">
        <f>'[7]May Prod'!F6</f>
        <v>9020000</v>
      </c>
      <c r="I7" s="8">
        <f t="shared" si="8"/>
        <v>9.02</v>
      </c>
      <c r="J7" s="10">
        <f t="shared" si="9"/>
        <v>27.691399999999998</v>
      </c>
      <c r="K7" s="7">
        <f>'[7]May Prod'!H261</f>
        <v>1202508</v>
      </c>
      <c r="L7" s="8">
        <f t="shared" si="10"/>
        <v>1.2025079999999999</v>
      </c>
      <c r="M7" s="10">
        <f t="shared" si="11"/>
        <v>3.6916995599999995</v>
      </c>
      <c r="N7" s="21"/>
      <c r="O7" s="7">
        <f>'[7]May Prod'!H6</f>
        <v>13604000</v>
      </c>
      <c r="P7" s="8">
        <f t="shared" si="12"/>
        <v>13.603999999999999</v>
      </c>
      <c r="Q7" s="10">
        <f t="shared" si="0"/>
        <v>41.764279999999992</v>
      </c>
      <c r="R7" s="7">
        <f>'[7]May Prod'!C6</f>
        <v>14042000</v>
      </c>
      <c r="S7" s="8">
        <f t="shared" si="13"/>
        <v>14.042</v>
      </c>
      <c r="T7" s="10">
        <f t="shared" si="1"/>
        <v>43.108939999999997</v>
      </c>
      <c r="U7" s="7">
        <f>'[7]May Prod'!D6</f>
        <v>0</v>
      </c>
      <c r="V7" s="8">
        <f t="shared" si="14"/>
        <v>0</v>
      </c>
      <c r="W7" s="10">
        <f t="shared" si="2"/>
        <v>0</v>
      </c>
      <c r="X7" s="7">
        <f>'[7]May Prod'!D261</f>
        <v>438000.00000000058</v>
      </c>
      <c r="Y7" s="8">
        <f t="shared" si="15"/>
        <v>0.43800000000000056</v>
      </c>
      <c r="Z7" s="10">
        <f t="shared" si="3"/>
        <v>1.3446600000000017</v>
      </c>
      <c r="AA7" s="15"/>
      <c r="AB7" s="7">
        <f t="shared" si="16"/>
        <v>28803999.999997091</v>
      </c>
      <c r="AC7" s="8">
        <f t="shared" si="16"/>
        <v>28.803999999997089</v>
      </c>
      <c r="AD7" s="8">
        <f t="shared" si="16"/>
        <v>88.428279999991062</v>
      </c>
    </row>
    <row r="8" spans="1:30" x14ac:dyDescent="0.2">
      <c r="A8" s="27">
        <v>38476</v>
      </c>
      <c r="B8" s="7">
        <f>'[7]May Prod'!I7</f>
        <v>14800000.000002909</v>
      </c>
      <c r="C8" s="8">
        <f t="shared" si="4"/>
        <v>14.800000000002909</v>
      </c>
      <c r="D8" s="10">
        <f t="shared" si="5"/>
        <v>45.436000000008924</v>
      </c>
      <c r="E8" s="7">
        <f>'[7]May Prod'!E7</f>
        <v>6000000</v>
      </c>
      <c r="F8" s="8">
        <f t="shared" si="6"/>
        <v>6</v>
      </c>
      <c r="G8" s="10">
        <f t="shared" si="7"/>
        <v>18.419999999999998</v>
      </c>
      <c r="H8" s="7">
        <f>'[7]May Prod'!F7</f>
        <v>8680000</v>
      </c>
      <c r="I8" s="8">
        <f t="shared" si="8"/>
        <v>8.68</v>
      </c>
      <c r="J8" s="10">
        <f t="shared" si="9"/>
        <v>26.647599999999997</v>
      </c>
      <c r="K8" s="7">
        <f>'[7]May Prod'!H262</f>
        <v>1249066</v>
      </c>
      <c r="L8" s="8">
        <f t="shared" si="10"/>
        <v>1.249066</v>
      </c>
      <c r="M8" s="10">
        <f t="shared" si="11"/>
        <v>3.8346326199999998</v>
      </c>
      <c r="N8" s="21"/>
      <c r="O8" s="7">
        <f>'[7]May Prod'!H7</f>
        <v>12638000</v>
      </c>
      <c r="P8" s="8">
        <f t="shared" si="12"/>
        <v>12.638</v>
      </c>
      <c r="Q8" s="10">
        <f t="shared" si="0"/>
        <v>38.798659999999998</v>
      </c>
      <c r="R8" s="7">
        <f>'[7]May Prod'!C7</f>
        <v>13076000</v>
      </c>
      <c r="S8" s="8">
        <f t="shared" si="13"/>
        <v>13.076000000000001</v>
      </c>
      <c r="T8" s="10">
        <f t="shared" si="1"/>
        <v>40.143320000000003</v>
      </c>
      <c r="U8" s="7">
        <f>'[7]May Prod'!D7</f>
        <v>0</v>
      </c>
      <c r="V8" s="8">
        <f t="shared" si="14"/>
        <v>0</v>
      </c>
      <c r="W8" s="10">
        <f t="shared" si="2"/>
        <v>0</v>
      </c>
      <c r="X8" s="7">
        <f>'[7]May Prod'!D262</f>
        <v>437999.99999999971</v>
      </c>
      <c r="Y8" s="8">
        <f t="shared" si="15"/>
        <v>0.43799999999999972</v>
      </c>
      <c r="Z8" s="10">
        <f t="shared" si="3"/>
        <v>1.3446599999999991</v>
      </c>
      <c r="AA8" s="15"/>
      <c r="AB8" s="7">
        <f t="shared" si="16"/>
        <v>27438000.000002909</v>
      </c>
      <c r="AC8" s="8">
        <f t="shared" si="16"/>
        <v>27.438000000002909</v>
      </c>
      <c r="AD8" s="8">
        <f t="shared" si="16"/>
        <v>84.234660000008915</v>
      </c>
    </row>
    <row r="9" spans="1:30" x14ac:dyDescent="0.2">
      <c r="A9" s="27">
        <v>38477</v>
      </c>
      <c r="B9" s="7">
        <f>'[7]May Prod'!I8</f>
        <v>13899999.999997817</v>
      </c>
      <c r="C9" s="8">
        <f t="shared" si="4"/>
        <v>13.899999999997817</v>
      </c>
      <c r="D9" s="10">
        <f t="shared" si="5"/>
        <v>42.672999999993294</v>
      </c>
      <c r="E9" s="7">
        <f>'[7]May Prod'!E8</f>
        <v>6000000</v>
      </c>
      <c r="F9" s="8">
        <f t="shared" si="6"/>
        <v>6</v>
      </c>
      <c r="G9" s="10">
        <f t="shared" si="7"/>
        <v>18.419999999999998</v>
      </c>
      <c r="H9" s="7">
        <f>'[7]May Prod'!F8</f>
        <v>8050000.0000000009</v>
      </c>
      <c r="I9" s="8">
        <f t="shared" si="8"/>
        <v>8.0500000000000007</v>
      </c>
      <c r="J9" s="10">
        <f t="shared" si="9"/>
        <v>24.7135</v>
      </c>
      <c r="K9" s="7">
        <f>'[7]May Prod'!H263</f>
        <v>1231483</v>
      </c>
      <c r="L9" s="8">
        <f t="shared" si="10"/>
        <v>1.2314830000000001</v>
      </c>
      <c r="M9" s="10">
        <f t="shared" si="11"/>
        <v>3.7806528100000003</v>
      </c>
      <c r="N9" s="21"/>
      <c r="O9" s="7">
        <f>'[7]May Prod'!H8</f>
        <v>13596000</v>
      </c>
      <c r="P9" s="8">
        <f t="shared" si="12"/>
        <v>13.596</v>
      </c>
      <c r="Q9" s="10">
        <f t="shared" si="0"/>
        <v>41.739719999999998</v>
      </c>
      <c r="R9" s="7">
        <f>'[7]May Prod'!C8</f>
        <v>13971000</v>
      </c>
      <c r="S9" s="8">
        <f t="shared" si="13"/>
        <v>13.971</v>
      </c>
      <c r="T9" s="10">
        <f t="shared" si="1"/>
        <v>42.890969999999996</v>
      </c>
      <c r="U9" s="7">
        <f>'[7]May Prod'!D8</f>
        <v>0</v>
      </c>
      <c r="V9" s="8">
        <f t="shared" si="14"/>
        <v>0</v>
      </c>
      <c r="W9" s="10">
        <f t="shared" si="2"/>
        <v>0</v>
      </c>
      <c r="X9" s="7">
        <f>'[7]May Prod'!D263</f>
        <v>375000</v>
      </c>
      <c r="Y9" s="8">
        <f t="shared" si="15"/>
        <v>0.375</v>
      </c>
      <c r="Z9" s="10">
        <f t="shared" si="3"/>
        <v>1.1512499999999999</v>
      </c>
      <c r="AA9" s="15"/>
      <c r="AB9" s="7">
        <f t="shared" si="16"/>
        <v>27495999.999997817</v>
      </c>
      <c r="AC9" s="8">
        <f t="shared" si="16"/>
        <v>27.495999999997817</v>
      </c>
      <c r="AD9" s="8">
        <f t="shared" si="16"/>
        <v>84.4127199999933</v>
      </c>
    </row>
    <row r="10" spans="1:30" x14ac:dyDescent="0.2">
      <c r="A10" s="27">
        <v>38478</v>
      </c>
      <c r="B10" s="7">
        <f>'[7]May Prod'!I9</f>
        <v>14000000</v>
      </c>
      <c r="C10" s="8">
        <f t="shared" si="4"/>
        <v>14</v>
      </c>
      <c r="D10" s="10">
        <f t="shared" si="5"/>
        <v>42.98</v>
      </c>
      <c r="E10" s="7">
        <f>'[7]May Prod'!E9</f>
        <v>7000000</v>
      </c>
      <c r="F10" s="8">
        <f t="shared" si="6"/>
        <v>7</v>
      </c>
      <c r="G10" s="10">
        <f t="shared" si="7"/>
        <v>21.49</v>
      </c>
      <c r="H10" s="7">
        <f>'[7]May Prod'!F9</f>
        <v>7070000</v>
      </c>
      <c r="I10" s="8">
        <f t="shared" si="8"/>
        <v>7.07</v>
      </c>
      <c r="J10" s="10">
        <f t="shared" si="9"/>
        <v>21.704899999999999</v>
      </c>
      <c r="K10" s="7">
        <f>'[7]May Prod'!H264</f>
        <v>1098088</v>
      </c>
      <c r="L10" s="8">
        <f t="shared" si="10"/>
        <v>1.098088</v>
      </c>
      <c r="M10" s="10">
        <f t="shared" si="11"/>
        <v>3.3711301599999999</v>
      </c>
      <c r="N10" s="21"/>
      <c r="O10" s="7">
        <f>'[7]May Prod'!H9</f>
        <v>13607000</v>
      </c>
      <c r="P10" s="8">
        <f t="shared" si="12"/>
        <v>13.606999999999999</v>
      </c>
      <c r="Q10" s="10">
        <f t="shared" si="0"/>
        <v>41.773489999999995</v>
      </c>
      <c r="R10" s="7">
        <f>'[7]May Prod'!C9</f>
        <v>13966000</v>
      </c>
      <c r="S10" s="8">
        <f t="shared" si="13"/>
        <v>13.965999999999999</v>
      </c>
      <c r="T10" s="10">
        <f t="shared" si="1"/>
        <v>42.875619999999998</v>
      </c>
      <c r="U10" s="7">
        <f>'[7]May Prod'!D9</f>
        <v>36000</v>
      </c>
      <c r="V10" s="8">
        <f t="shared" si="14"/>
        <v>3.5999999999999997E-2</v>
      </c>
      <c r="W10" s="10">
        <f t="shared" si="2"/>
        <v>0.11051999999999998</v>
      </c>
      <c r="X10" s="7">
        <f>'[7]May Prod'!D264</f>
        <v>394999.99999999959</v>
      </c>
      <c r="Y10" s="8">
        <f t="shared" si="15"/>
        <v>0.39499999999999957</v>
      </c>
      <c r="Z10" s="10">
        <f t="shared" si="3"/>
        <v>1.2126499999999987</v>
      </c>
      <c r="AA10" s="15"/>
      <c r="AB10" s="7">
        <f t="shared" si="16"/>
        <v>27607000</v>
      </c>
      <c r="AC10" s="8">
        <f t="shared" si="16"/>
        <v>27.606999999999999</v>
      </c>
      <c r="AD10" s="8">
        <f t="shared" si="16"/>
        <v>84.753489999999999</v>
      </c>
    </row>
    <row r="11" spans="1:30" x14ac:dyDescent="0.2">
      <c r="A11" s="27">
        <v>38479</v>
      </c>
      <c r="B11" s="7">
        <f>'[7]May Prod'!I10</f>
        <v>14000000</v>
      </c>
      <c r="C11" s="8">
        <f t="shared" si="4"/>
        <v>14</v>
      </c>
      <c r="D11" s="10">
        <f t="shared" si="5"/>
        <v>42.98</v>
      </c>
      <c r="E11" s="7">
        <f>'[7]May Prod'!E10</f>
        <v>6000000</v>
      </c>
      <c r="F11" s="8">
        <f t="shared" si="6"/>
        <v>6</v>
      </c>
      <c r="G11" s="10">
        <f t="shared" si="7"/>
        <v>18.419999999999998</v>
      </c>
      <c r="H11" s="7">
        <f>'[7]May Prod'!F10</f>
        <v>7900000</v>
      </c>
      <c r="I11" s="8">
        <f t="shared" si="8"/>
        <v>7.9</v>
      </c>
      <c r="J11" s="10">
        <f t="shared" si="9"/>
        <v>24.253</v>
      </c>
      <c r="K11" s="7">
        <f>'[7]May Prod'!H265</f>
        <v>1060000</v>
      </c>
      <c r="L11" s="8">
        <f t="shared" si="10"/>
        <v>1.06</v>
      </c>
      <c r="M11" s="10">
        <f t="shared" si="11"/>
        <v>3.2542</v>
      </c>
      <c r="N11" s="21"/>
      <c r="O11" s="7">
        <f>'[7]May Prod'!H10</f>
        <v>13598000</v>
      </c>
      <c r="P11" s="8">
        <f t="shared" si="12"/>
        <v>13.598000000000001</v>
      </c>
      <c r="Q11" s="10">
        <f t="shared" si="0"/>
        <v>41.74586</v>
      </c>
      <c r="R11" s="7">
        <f>'[7]May Prod'!C10</f>
        <v>13981000</v>
      </c>
      <c r="S11" s="8">
        <f t="shared" si="13"/>
        <v>13.981</v>
      </c>
      <c r="T11" s="10">
        <f t="shared" si="1"/>
        <v>42.921669999999999</v>
      </c>
      <c r="U11" s="7">
        <f>'[7]May Prod'!D10</f>
        <v>0</v>
      </c>
      <c r="V11" s="8">
        <f t="shared" si="14"/>
        <v>0</v>
      </c>
      <c r="W11" s="10">
        <f t="shared" si="2"/>
        <v>0</v>
      </c>
      <c r="X11" s="7">
        <f>'[7]May Prod'!D265</f>
        <v>383000</v>
      </c>
      <c r="Y11" s="8">
        <f t="shared" si="15"/>
        <v>0.38300000000000001</v>
      </c>
      <c r="Z11" s="10">
        <f t="shared" si="3"/>
        <v>1.17581</v>
      </c>
      <c r="AA11" s="15"/>
      <c r="AB11" s="7">
        <f t="shared" si="16"/>
        <v>27598000</v>
      </c>
      <c r="AC11" s="8">
        <f t="shared" si="16"/>
        <v>27.597999999999999</v>
      </c>
      <c r="AD11" s="8">
        <f t="shared" si="16"/>
        <v>84.725859999999997</v>
      </c>
    </row>
    <row r="12" spans="1:30" x14ac:dyDescent="0.2">
      <c r="A12" s="27">
        <v>38480</v>
      </c>
      <c r="B12" s="7">
        <f>'[7]May Prod'!I11</f>
        <v>8400000.0000014547</v>
      </c>
      <c r="C12" s="8">
        <f t="shared" si="4"/>
        <v>8.4000000000014552</v>
      </c>
      <c r="D12" s="10">
        <f t="shared" si="5"/>
        <v>25.788000000004466</v>
      </c>
      <c r="E12" s="7">
        <f>'[7]May Prod'!E11</f>
        <v>2000000</v>
      </c>
      <c r="F12" s="8">
        <f t="shared" si="6"/>
        <v>2</v>
      </c>
      <c r="G12" s="10">
        <f t="shared" si="7"/>
        <v>6.14</v>
      </c>
      <c r="H12" s="7">
        <f>'[7]May Prod'!F11</f>
        <v>5640000</v>
      </c>
      <c r="I12" s="8">
        <f t="shared" si="8"/>
        <v>5.64</v>
      </c>
      <c r="J12" s="10">
        <f t="shared" si="9"/>
        <v>17.314799999999998</v>
      </c>
      <c r="K12" s="7">
        <f>'[7]May Prod'!H266</f>
        <v>799920</v>
      </c>
      <c r="L12" s="8">
        <f t="shared" si="10"/>
        <v>0.79991999999999996</v>
      </c>
      <c r="M12" s="10">
        <f t="shared" si="11"/>
        <v>2.4557543999999996</v>
      </c>
      <c r="N12" s="21"/>
      <c r="O12" s="7">
        <f>'[7]May Prod'!H11</f>
        <v>9758000</v>
      </c>
      <c r="P12" s="8">
        <f t="shared" si="12"/>
        <v>9.7579999999999991</v>
      </c>
      <c r="Q12" s="10">
        <f t="shared" si="0"/>
        <v>29.957059999999995</v>
      </c>
      <c r="R12" s="7">
        <f>'[7]May Prod'!C11</f>
        <v>10049000</v>
      </c>
      <c r="S12" s="8">
        <f t="shared" si="13"/>
        <v>10.048999999999999</v>
      </c>
      <c r="T12" s="10">
        <f t="shared" si="1"/>
        <v>30.850429999999996</v>
      </c>
      <c r="U12" s="7">
        <f>'[7]May Prod'!D11</f>
        <v>0</v>
      </c>
      <c r="V12" s="8">
        <f t="shared" si="14"/>
        <v>0</v>
      </c>
      <c r="W12" s="10">
        <f t="shared" si="2"/>
        <v>0</v>
      </c>
      <c r="X12" s="7">
        <f>'[7]May Prod'!D266</f>
        <v>291000.00000000035</v>
      </c>
      <c r="Y12" s="8">
        <f t="shared" si="15"/>
        <v>0.29100000000000037</v>
      </c>
      <c r="Z12" s="10">
        <f t="shared" si="3"/>
        <v>0.89337000000000111</v>
      </c>
      <c r="AA12" s="15"/>
      <c r="AB12" s="7">
        <f t="shared" si="16"/>
        <v>18158000.000001453</v>
      </c>
      <c r="AC12" s="8">
        <f t="shared" si="16"/>
        <v>18.158000000001454</v>
      </c>
      <c r="AD12" s="8">
        <f t="shared" si="16"/>
        <v>55.745060000004457</v>
      </c>
    </row>
    <row r="13" spans="1:30" x14ac:dyDescent="0.2">
      <c r="A13" s="27">
        <v>38481</v>
      </c>
      <c r="B13" s="7">
        <f>'[7]May Prod'!I12</f>
        <v>7899999.999997817</v>
      </c>
      <c r="C13" s="8">
        <f t="shared" si="4"/>
        <v>7.8999999999978172</v>
      </c>
      <c r="D13" s="10">
        <f t="shared" si="5"/>
        <v>24.252999999993296</v>
      </c>
      <c r="E13" s="7">
        <f>'[7]May Prod'!E12</f>
        <v>0</v>
      </c>
      <c r="F13" s="8">
        <f t="shared" si="6"/>
        <v>0</v>
      </c>
      <c r="G13" s="10">
        <f t="shared" si="7"/>
        <v>0</v>
      </c>
      <c r="H13" s="7">
        <f>'[7]May Prod'!F12</f>
        <v>7300000</v>
      </c>
      <c r="I13" s="8">
        <f t="shared" si="8"/>
        <v>7.3</v>
      </c>
      <c r="J13" s="10">
        <f t="shared" si="9"/>
        <v>22.410999999999998</v>
      </c>
      <c r="K13" s="7">
        <f>'[7]May Prod'!H267</f>
        <v>733432</v>
      </c>
      <c r="L13" s="8">
        <f t="shared" si="10"/>
        <v>0.73343199999999997</v>
      </c>
      <c r="M13" s="10">
        <f t="shared" si="11"/>
        <v>2.2516362399999998</v>
      </c>
      <c r="N13" s="21"/>
      <c r="O13" s="7">
        <f>'[7]May Prod'!H12</f>
        <v>11683000</v>
      </c>
      <c r="P13" s="8">
        <f t="shared" si="12"/>
        <v>11.683</v>
      </c>
      <c r="Q13" s="10">
        <f t="shared" si="0"/>
        <v>35.866810000000001</v>
      </c>
      <c r="R13" s="7">
        <f>'[7]May Prod'!C12</f>
        <v>12005000</v>
      </c>
      <c r="S13" s="8">
        <f t="shared" si="13"/>
        <v>12.005000000000001</v>
      </c>
      <c r="T13" s="10">
        <f t="shared" si="1"/>
        <v>36.855350000000001</v>
      </c>
      <c r="U13" s="7">
        <f>'[7]May Prod'!D12</f>
        <v>0</v>
      </c>
      <c r="V13" s="8">
        <f t="shared" si="14"/>
        <v>0</v>
      </c>
      <c r="W13" s="10">
        <f t="shared" si="2"/>
        <v>0</v>
      </c>
      <c r="X13" s="7">
        <f>'[7]May Prod'!D267</f>
        <v>322000.00000000006</v>
      </c>
      <c r="Y13" s="8">
        <f t="shared" si="15"/>
        <v>0.32200000000000006</v>
      </c>
      <c r="Z13" s="10">
        <f t="shared" si="3"/>
        <v>0.9885400000000002</v>
      </c>
      <c r="AA13" s="15"/>
      <c r="AB13" s="7">
        <f t="shared" si="16"/>
        <v>19582999.999997817</v>
      </c>
      <c r="AC13" s="8">
        <f t="shared" si="16"/>
        <v>19.582999999997817</v>
      </c>
      <c r="AD13" s="8">
        <f t="shared" si="16"/>
        <v>60.119809999993294</v>
      </c>
    </row>
    <row r="14" spans="1:30" x14ac:dyDescent="0.2">
      <c r="A14" s="27">
        <v>38482</v>
      </c>
      <c r="B14" s="7">
        <f>'[7]May Prod'!I13</f>
        <v>7800000.0000029104</v>
      </c>
      <c r="C14" s="8">
        <f t="shared" si="4"/>
        <v>7.8000000000029104</v>
      </c>
      <c r="D14" s="10">
        <f t="shared" si="5"/>
        <v>23.946000000008933</v>
      </c>
      <c r="E14" s="7">
        <f>'[7]May Prod'!E13</f>
        <v>0</v>
      </c>
      <c r="F14" s="8">
        <f t="shared" si="6"/>
        <v>0</v>
      </c>
      <c r="G14" s="10">
        <f t="shared" si="7"/>
        <v>0</v>
      </c>
      <c r="H14" s="7">
        <f>'[7]May Prod'!F13</f>
        <v>8060000.0000000009</v>
      </c>
      <c r="I14" s="8">
        <f t="shared" si="8"/>
        <v>8.06</v>
      </c>
      <c r="J14" s="10">
        <f t="shared" si="9"/>
        <v>24.744199999999999</v>
      </c>
      <c r="K14" s="7">
        <f>'[7]May Prod'!H268</f>
        <v>1196209</v>
      </c>
      <c r="L14" s="8">
        <f t="shared" si="10"/>
        <v>1.1962090000000001</v>
      </c>
      <c r="M14" s="10">
        <f t="shared" si="11"/>
        <v>3.6723616300000002</v>
      </c>
      <c r="N14" s="21"/>
      <c r="O14" s="7">
        <f>'[7]May Prod'!H13</f>
        <v>11737000</v>
      </c>
      <c r="P14" s="8">
        <f t="shared" si="12"/>
        <v>11.737</v>
      </c>
      <c r="Q14" s="10">
        <f t="shared" si="0"/>
        <v>36.032589999999999</v>
      </c>
      <c r="R14" s="7">
        <f>'[7]May Prod'!C13</f>
        <v>12091000</v>
      </c>
      <c r="S14" s="8">
        <f t="shared" si="13"/>
        <v>12.090999999999999</v>
      </c>
      <c r="T14" s="10">
        <f t="shared" si="1"/>
        <v>37.119369999999996</v>
      </c>
      <c r="U14" s="7">
        <f>'[7]May Prod'!D13</f>
        <v>0</v>
      </c>
      <c r="V14" s="8">
        <f t="shared" si="14"/>
        <v>0</v>
      </c>
      <c r="W14" s="10">
        <f t="shared" si="2"/>
        <v>0</v>
      </c>
      <c r="X14" s="7">
        <f>'[7]May Prod'!D268</f>
        <v>354000.00000000012</v>
      </c>
      <c r="Y14" s="8">
        <f t="shared" si="15"/>
        <v>0.35400000000000009</v>
      </c>
      <c r="Z14" s="10">
        <f t="shared" si="3"/>
        <v>1.0867800000000003</v>
      </c>
      <c r="AA14" s="15"/>
      <c r="AB14" s="7">
        <f t="shared" si="16"/>
        <v>19537000.000002909</v>
      </c>
      <c r="AC14" s="8">
        <f t="shared" si="16"/>
        <v>19.537000000002912</v>
      </c>
      <c r="AD14" s="8">
        <f t="shared" si="16"/>
        <v>59.978590000008936</v>
      </c>
    </row>
    <row r="15" spans="1:30" x14ac:dyDescent="0.2">
      <c r="A15" s="27">
        <v>38483</v>
      </c>
      <c r="B15" s="7">
        <f>'[7]May Prod'!I14</f>
        <v>7899999.999997817</v>
      </c>
      <c r="C15" s="8">
        <f t="shared" si="4"/>
        <v>7.8999999999978172</v>
      </c>
      <c r="D15" s="10">
        <f t="shared" si="5"/>
        <v>24.252999999993296</v>
      </c>
      <c r="E15" s="7">
        <f>'[7]May Prod'!E14</f>
        <v>0</v>
      </c>
      <c r="F15" s="8">
        <f t="shared" si="6"/>
        <v>0</v>
      </c>
      <c r="G15" s="10">
        <f t="shared" si="7"/>
        <v>0</v>
      </c>
      <c r="H15" s="7">
        <f>'[7]May Prod'!F14</f>
        <v>7960000</v>
      </c>
      <c r="I15" s="8">
        <f t="shared" si="8"/>
        <v>7.96</v>
      </c>
      <c r="J15" s="10">
        <f t="shared" si="9"/>
        <v>24.437199999999997</v>
      </c>
      <c r="K15" s="7">
        <f>'[7]May Prod'!H269</f>
        <v>911067</v>
      </c>
      <c r="L15" s="8">
        <f t="shared" si="10"/>
        <v>0.91106699999999996</v>
      </c>
      <c r="M15" s="10">
        <f t="shared" si="11"/>
        <v>2.7969756899999996</v>
      </c>
      <c r="N15" s="21"/>
      <c r="O15" s="7">
        <f>'[7]May Prod'!H14</f>
        <v>8853000</v>
      </c>
      <c r="P15" s="8">
        <f t="shared" si="12"/>
        <v>8.8529999999999998</v>
      </c>
      <c r="Q15" s="10">
        <f t="shared" si="0"/>
        <v>27.178709999999999</v>
      </c>
      <c r="R15" s="7">
        <f>'[7]May Prod'!C14</f>
        <v>9274000</v>
      </c>
      <c r="S15" s="8">
        <f t="shared" si="13"/>
        <v>9.2739999999999991</v>
      </c>
      <c r="T15" s="10">
        <f t="shared" si="1"/>
        <v>28.471179999999997</v>
      </c>
      <c r="U15" s="7">
        <f>'[7]May Prod'!D14</f>
        <v>0</v>
      </c>
      <c r="V15" s="8">
        <f t="shared" si="14"/>
        <v>0</v>
      </c>
      <c r="W15" s="10">
        <f t="shared" si="2"/>
        <v>0</v>
      </c>
      <c r="X15" s="7">
        <f>'[7]May Prod'!D269</f>
        <v>420999.99999999936</v>
      </c>
      <c r="Y15" s="8">
        <f t="shared" si="15"/>
        <v>0.42099999999999937</v>
      </c>
      <c r="Z15" s="10">
        <f t="shared" si="3"/>
        <v>1.292469999999998</v>
      </c>
      <c r="AA15" s="15"/>
      <c r="AB15" s="7">
        <f t="shared" si="16"/>
        <v>16752999.999997817</v>
      </c>
      <c r="AC15" s="8">
        <f t="shared" si="16"/>
        <v>16.752999999997819</v>
      </c>
      <c r="AD15" s="8">
        <f t="shared" si="16"/>
        <v>51.431709999993295</v>
      </c>
    </row>
    <row r="16" spans="1:30" x14ac:dyDescent="0.2">
      <c r="A16" s="27">
        <v>38484</v>
      </c>
      <c r="B16" s="7">
        <f>'[7]May Prod'!I15</f>
        <v>7500000</v>
      </c>
      <c r="C16" s="8">
        <f t="shared" si="4"/>
        <v>7.5</v>
      </c>
      <c r="D16" s="10">
        <f t="shared" si="5"/>
        <v>23.024999999999999</v>
      </c>
      <c r="E16" s="7">
        <f>'[7]May Prod'!E15</f>
        <v>0</v>
      </c>
      <c r="F16" s="8">
        <f t="shared" si="6"/>
        <v>0</v>
      </c>
      <c r="G16" s="10">
        <f t="shared" si="7"/>
        <v>0</v>
      </c>
      <c r="H16" s="7">
        <f>'[7]May Prod'!F15</f>
        <v>6560000</v>
      </c>
      <c r="I16" s="8">
        <f t="shared" si="8"/>
        <v>6.56</v>
      </c>
      <c r="J16" s="10">
        <f t="shared" si="9"/>
        <v>20.139199999999999</v>
      </c>
      <c r="K16" s="7">
        <f>'[7]May Prod'!H270</f>
        <v>693800</v>
      </c>
      <c r="L16" s="8">
        <f t="shared" si="10"/>
        <v>0.69379999999999997</v>
      </c>
      <c r="M16" s="10">
        <f t="shared" si="11"/>
        <v>2.1299659999999996</v>
      </c>
      <c r="N16" s="21"/>
      <c r="O16" s="7">
        <f>'[7]May Prod'!H15</f>
        <v>7663999.9999999991</v>
      </c>
      <c r="P16" s="8">
        <f t="shared" si="12"/>
        <v>7.6639999999999988</v>
      </c>
      <c r="Q16" s="10">
        <f t="shared" si="0"/>
        <v>23.528479999999995</v>
      </c>
      <c r="R16" s="7">
        <f>'[7]May Prod'!C15</f>
        <v>7967000</v>
      </c>
      <c r="S16" s="8">
        <f t="shared" si="13"/>
        <v>7.9669999999999996</v>
      </c>
      <c r="T16" s="10">
        <f t="shared" si="1"/>
        <v>24.458689999999997</v>
      </c>
      <c r="U16" s="7">
        <f>'[7]May Prod'!D15</f>
        <v>0</v>
      </c>
      <c r="V16" s="8">
        <f t="shared" si="14"/>
        <v>0</v>
      </c>
      <c r="W16" s="10">
        <f t="shared" si="2"/>
        <v>0</v>
      </c>
      <c r="X16" s="7">
        <f>'[7]May Prod'!D270</f>
        <v>303000.00000000081</v>
      </c>
      <c r="Y16" s="8">
        <f t="shared" si="15"/>
        <v>0.30300000000000082</v>
      </c>
      <c r="Z16" s="10">
        <f t="shared" si="3"/>
        <v>0.93021000000000253</v>
      </c>
      <c r="AA16" s="15"/>
      <c r="AB16" s="7">
        <f t="shared" si="16"/>
        <v>15164000</v>
      </c>
      <c r="AC16" s="8">
        <f t="shared" si="16"/>
        <v>15.163999999999998</v>
      </c>
      <c r="AD16" s="8">
        <f t="shared" si="16"/>
        <v>46.553479999999993</v>
      </c>
    </row>
    <row r="17" spans="1:30" x14ac:dyDescent="0.2">
      <c r="A17" s="27">
        <v>38485</v>
      </c>
      <c r="B17" s="7">
        <f>'[7]May Prod'!I16</f>
        <v>6299999.9999992726</v>
      </c>
      <c r="C17" s="8">
        <f t="shared" si="4"/>
        <v>6.2999999999992724</v>
      </c>
      <c r="D17" s="10">
        <f t="shared" si="5"/>
        <v>19.340999999997766</v>
      </c>
      <c r="E17" s="7">
        <f>'[7]May Prod'!E16</f>
        <v>0</v>
      </c>
      <c r="F17" s="8">
        <f t="shared" si="6"/>
        <v>0</v>
      </c>
      <c r="G17" s="10">
        <f t="shared" si="7"/>
        <v>0</v>
      </c>
      <c r="H17" s="7">
        <f>'[7]May Prod'!F16</f>
        <v>5880000</v>
      </c>
      <c r="I17" s="8">
        <f t="shared" si="8"/>
        <v>5.88</v>
      </c>
      <c r="J17" s="10">
        <f t="shared" si="9"/>
        <v>18.051599999999997</v>
      </c>
      <c r="K17" s="7">
        <f>'[7]May Prod'!H271</f>
        <v>642773</v>
      </c>
      <c r="L17" s="8">
        <f t="shared" si="10"/>
        <v>0.64277300000000004</v>
      </c>
      <c r="M17" s="10">
        <f t="shared" si="11"/>
        <v>1.9733131100000001</v>
      </c>
      <c r="N17" s="21"/>
      <c r="O17" s="7">
        <f>'[7]May Prod'!H16</f>
        <v>6089000</v>
      </c>
      <c r="P17" s="8">
        <f t="shared" si="12"/>
        <v>6.0890000000000004</v>
      </c>
      <c r="Q17" s="10">
        <f t="shared" si="0"/>
        <v>18.69323</v>
      </c>
      <c r="R17" s="7">
        <f>'[7]May Prod'!C16</f>
        <v>6391000</v>
      </c>
      <c r="S17" s="8">
        <f t="shared" si="13"/>
        <v>6.391</v>
      </c>
      <c r="T17" s="10">
        <f t="shared" si="1"/>
        <v>19.620369999999998</v>
      </c>
      <c r="U17" s="7">
        <f>'[7]May Prod'!D16</f>
        <v>0</v>
      </c>
      <c r="V17" s="8">
        <f t="shared" si="14"/>
        <v>0</v>
      </c>
      <c r="W17" s="10">
        <f t="shared" si="2"/>
        <v>0</v>
      </c>
      <c r="X17" s="7">
        <f>'[7]May Prod'!D271</f>
        <v>301999.99999999959</v>
      </c>
      <c r="Y17" s="8">
        <f t="shared" si="15"/>
        <v>0.3019999999999996</v>
      </c>
      <c r="Z17" s="10">
        <f t="shared" si="3"/>
        <v>0.92713999999999874</v>
      </c>
      <c r="AA17" s="15"/>
      <c r="AB17" s="7">
        <f t="shared" si="16"/>
        <v>12388999.999999274</v>
      </c>
      <c r="AC17" s="8">
        <f t="shared" si="16"/>
        <v>12.388999999999273</v>
      </c>
      <c r="AD17" s="8">
        <f t="shared" si="16"/>
        <v>38.034229999997763</v>
      </c>
    </row>
    <row r="18" spans="1:30" x14ac:dyDescent="0.2">
      <c r="A18" s="27">
        <v>38486</v>
      </c>
      <c r="B18" s="7">
        <f>'[7]May Prod'!I17</f>
        <v>6000000</v>
      </c>
      <c r="C18" s="8">
        <f t="shared" si="4"/>
        <v>6</v>
      </c>
      <c r="D18" s="10">
        <f t="shared" si="5"/>
        <v>18.419999999999998</v>
      </c>
      <c r="E18" s="7">
        <f>'[7]May Prod'!E17</f>
        <v>0</v>
      </c>
      <c r="F18" s="8">
        <f t="shared" si="6"/>
        <v>0</v>
      </c>
      <c r="G18" s="10">
        <f t="shared" si="7"/>
        <v>0</v>
      </c>
      <c r="H18" s="7">
        <f>'[7]May Prod'!F17</f>
        <v>6580000</v>
      </c>
      <c r="I18" s="8">
        <f t="shared" si="8"/>
        <v>6.58</v>
      </c>
      <c r="J18" s="10">
        <f t="shared" si="9"/>
        <v>20.200599999999998</v>
      </c>
      <c r="K18" s="7">
        <f>'[7]May Prod'!H272</f>
        <v>726737</v>
      </c>
      <c r="L18" s="8">
        <f t="shared" si="10"/>
        <v>0.72673699999999997</v>
      </c>
      <c r="M18" s="10">
        <f t="shared" si="11"/>
        <v>2.2310825899999998</v>
      </c>
      <c r="N18" s="21"/>
      <c r="O18" s="7">
        <f>'[7]May Prod'!H17</f>
        <v>9934000</v>
      </c>
      <c r="P18" s="8">
        <f t="shared" si="12"/>
        <v>9.9339999999999993</v>
      </c>
      <c r="Q18" s="10">
        <f t="shared" si="0"/>
        <v>30.497379999999996</v>
      </c>
      <c r="R18" s="7">
        <f>'[7]May Prod'!C17</f>
        <v>10239000</v>
      </c>
      <c r="S18" s="8">
        <f t="shared" si="13"/>
        <v>10.239000000000001</v>
      </c>
      <c r="T18" s="10">
        <f t="shared" si="1"/>
        <v>31.433730000000001</v>
      </c>
      <c r="U18" s="7">
        <f>'[7]May Prod'!D17</f>
        <v>4000</v>
      </c>
      <c r="V18" s="8">
        <f t="shared" si="14"/>
        <v>4.0000000000000001E-3</v>
      </c>
      <c r="W18" s="10">
        <f t="shared" si="2"/>
        <v>1.2279999999999999E-2</v>
      </c>
      <c r="X18" s="7">
        <f>'[7]May Prod'!D272</f>
        <v>308999.9999999993</v>
      </c>
      <c r="Y18" s="8">
        <f t="shared" si="15"/>
        <v>0.30899999999999928</v>
      </c>
      <c r="Z18" s="10">
        <f t="shared" si="3"/>
        <v>0.94862999999999775</v>
      </c>
      <c r="AA18" s="15"/>
      <c r="AB18" s="7">
        <f t="shared" si="16"/>
        <v>15934000</v>
      </c>
      <c r="AC18" s="8">
        <f t="shared" si="16"/>
        <v>15.933999999999999</v>
      </c>
      <c r="AD18" s="8">
        <f t="shared" si="16"/>
        <v>48.917379999999994</v>
      </c>
    </row>
    <row r="19" spans="1:30" x14ac:dyDescent="0.2">
      <c r="A19" s="27">
        <v>38487</v>
      </c>
      <c r="B19" s="7">
        <f>'[7]May Prod'!I18</f>
        <v>9800000.0000029095</v>
      </c>
      <c r="C19" s="8">
        <f t="shared" si="4"/>
        <v>9.8000000000029086</v>
      </c>
      <c r="D19" s="10">
        <f t="shared" si="5"/>
        <v>30.086000000008926</v>
      </c>
      <c r="E19" s="7">
        <f>'[7]May Prod'!E18</f>
        <v>2000000</v>
      </c>
      <c r="F19" s="8">
        <f t="shared" si="6"/>
        <v>2</v>
      </c>
      <c r="G19" s="10">
        <f t="shared" si="7"/>
        <v>6.14</v>
      </c>
      <c r="H19" s="7">
        <f>'[7]May Prod'!F18</f>
        <v>7400000</v>
      </c>
      <c r="I19" s="8">
        <f t="shared" si="8"/>
        <v>7.4</v>
      </c>
      <c r="J19" s="10">
        <f t="shared" si="9"/>
        <v>22.718</v>
      </c>
      <c r="K19" s="7">
        <f>'[7]May Prod'!H273</f>
        <v>864458</v>
      </c>
      <c r="L19" s="8">
        <f t="shared" si="10"/>
        <v>0.86445799999999995</v>
      </c>
      <c r="M19" s="10">
        <f t="shared" si="11"/>
        <v>2.6538860599999996</v>
      </c>
      <c r="N19" s="21"/>
      <c r="O19" s="7">
        <f>'[7]May Prod'!H18</f>
        <v>7808999.9999999981</v>
      </c>
      <c r="P19" s="8">
        <f t="shared" si="12"/>
        <v>7.8089999999999984</v>
      </c>
      <c r="Q19" s="10">
        <f t="shared" si="0"/>
        <v>23.973629999999993</v>
      </c>
      <c r="R19" s="7">
        <f>'[7]May Prod'!C18</f>
        <v>8111000</v>
      </c>
      <c r="S19" s="8">
        <f t="shared" si="13"/>
        <v>8.1110000000000007</v>
      </c>
      <c r="T19" s="10">
        <f t="shared" si="1"/>
        <v>24.900770000000001</v>
      </c>
      <c r="U19" s="7">
        <f>'[7]May Prod'!D18</f>
        <v>0</v>
      </c>
      <c r="V19" s="8">
        <f t="shared" si="14"/>
        <v>0</v>
      </c>
      <c r="W19" s="10">
        <f t="shared" si="2"/>
        <v>0</v>
      </c>
      <c r="X19" s="7">
        <f>'[7]May Prod'!D273</f>
        <v>302000.0000000014</v>
      </c>
      <c r="Y19" s="8">
        <f t="shared" si="15"/>
        <v>0.30200000000000138</v>
      </c>
      <c r="Z19" s="10">
        <f t="shared" si="3"/>
        <v>0.92714000000000418</v>
      </c>
      <c r="AA19" s="15"/>
      <c r="AB19" s="7">
        <f t="shared" si="16"/>
        <v>17609000.000002906</v>
      </c>
      <c r="AC19" s="8">
        <f t="shared" si="16"/>
        <v>17.609000000002908</v>
      </c>
      <c r="AD19" s="8">
        <f t="shared" si="16"/>
        <v>54.059630000008923</v>
      </c>
    </row>
    <row r="20" spans="1:30" x14ac:dyDescent="0.2">
      <c r="A20" s="27">
        <v>38488</v>
      </c>
      <c r="B20" s="7">
        <f>'[7]May Prod'!I19</f>
        <v>9399999.999997817</v>
      </c>
      <c r="C20" s="8">
        <f t="shared" si="4"/>
        <v>9.3999999999978172</v>
      </c>
      <c r="D20" s="10">
        <f t="shared" si="5"/>
        <v>28.857999999993297</v>
      </c>
      <c r="E20" s="7">
        <f>'[7]May Prod'!E19</f>
        <v>4000000</v>
      </c>
      <c r="F20" s="8">
        <f t="shared" si="6"/>
        <v>4</v>
      </c>
      <c r="G20" s="10">
        <f t="shared" si="7"/>
        <v>12.28</v>
      </c>
      <c r="H20" s="7">
        <f>'[7]May Prod'!F19</f>
        <v>5920000</v>
      </c>
      <c r="I20" s="8">
        <f t="shared" si="8"/>
        <v>5.92</v>
      </c>
      <c r="J20" s="10">
        <f t="shared" si="9"/>
        <v>18.174399999999999</v>
      </c>
      <c r="K20" s="7">
        <f>'[7]May Prod'!H274</f>
        <v>936401</v>
      </c>
      <c r="L20" s="8">
        <f t="shared" si="10"/>
        <v>0.93640100000000004</v>
      </c>
      <c r="M20" s="10">
        <f t="shared" si="11"/>
        <v>2.8747510699999999</v>
      </c>
      <c r="N20" s="21"/>
      <c r="O20" s="7">
        <f>'[7]May Prod'!H19</f>
        <v>5531000.0000000009</v>
      </c>
      <c r="P20" s="8">
        <f t="shared" si="12"/>
        <v>5.5310000000000006</v>
      </c>
      <c r="Q20" s="10">
        <f t="shared" si="0"/>
        <v>16.980170000000001</v>
      </c>
      <c r="R20" s="7">
        <f>'[7]May Prod'!C19</f>
        <v>5911000</v>
      </c>
      <c r="S20" s="8">
        <f t="shared" si="13"/>
        <v>5.9109999999999996</v>
      </c>
      <c r="T20" s="10">
        <f t="shared" si="1"/>
        <v>18.146769999999997</v>
      </c>
      <c r="U20" s="7">
        <f>'[7]May Prod'!D19</f>
        <v>0</v>
      </c>
      <c r="V20" s="8">
        <f t="shared" si="14"/>
        <v>0</v>
      </c>
      <c r="W20" s="10">
        <f t="shared" si="2"/>
        <v>0</v>
      </c>
      <c r="X20" s="7">
        <f>'[7]May Prod'!D274</f>
        <v>379999.99999999901</v>
      </c>
      <c r="Y20" s="8">
        <f t="shared" si="15"/>
        <v>0.37999999999999901</v>
      </c>
      <c r="Z20" s="10">
        <f t="shared" si="3"/>
        <v>1.166599999999997</v>
      </c>
      <c r="AA20" s="15"/>
      <c r="AB20" s="7">
        <f t="shared" si="16"/>
        <v>14930999.999997817</v>
      </c>
      <c r="AC20" s="8">
        <f t="shared" si="16"/>
        <v>14.930999999997818</v>
      </c>
      <c r="AD20" s="8">
        <f t="shared" si="16"/>
        <v>45.838169999993298</v>
      </c>
    </row>
    <row r="21" spans="1:30" x14ac:dyDescent="0.2">
      <c r="A21" s="27">
        <v>38489</v>
      </c>
      <c r="B21" s="7">
        <f>'[7]May Prod'!I20</f>
        <v>11200000.000000728</v>
      </c>
      <c r="C21" s="8">
        <f t="shared" si="4"/>
        <v>11.200000000000728</v>
      </c>
      <c r="D21" s="10">
        <f t="shared" si="5"/>
        <v>34.384000000002231</v>
      </c>
      <c r="E21" s="7">
        <f>'[7]May Prod'!E20</f>
        <v>3000000</v>
      </c>
      <c r="F21" s="8">
        <f t="shared" si="6"/>
        <v>3</v>
      </c>
      <c r="G21" s="10">
        <f t="shared" si="7"/>
        <v>9.2099999999999991</v>
      </c>
      <c r="H21" s="7">
        <f>'[7]May Prod'!F20</f>
        <v>8130000.0000000009</v>
      </c>
      <c r="I21" s="8">
        <f t="shared" si="8"/>
        <v>8.1300000000000008</v>
      </c>
      <c r="J21" s="10">
        <f t="shared" si="9"/>
        <v>24.959099999999999</v>
      </c>
      <c r="K21" s="7">
        <f>'[7]May Prod'!H275</f>
        <v>1027501</v>
      </c>
      <c r="L21" s="8">
        <f t="shared" si="10"/>
        <v>1.027501</v>
      </c>
      <c r="M21" s="10">
        <f t="shared" si="11"/>
        <v>3.1544280699999998</v>
      </c>
      <c r="N21" s="21"/>
      <c r="O21" s="7">
        <f>'[7]May Prod'!H20</f>
        <v>9308000</v>
      </c>
      <c r="P21" s="8">
        <f t="shared" si="12"/>
        <v>9.3079999999999998</v>
      </c>
      <c r="Q21" s="10">
        <f t="shared" si="0"/>
        <v>28.575559999999999</v>
      </c>
      <c r="R21" s="7">
        <f>'[7]May Prod'!C20</f>
        <v>9675000</v>
      </c>
      <c r="S21" s="8">
        <f t="shared" si="13"/>
        <v>9.6750000000000007</v>
      </c>
      <c r="T21" s="10">
        <f t="shared" si="1"/>
        <v>29.702249999999999</v>
      </c>
      <c r="U21" s="7">
        <f>'[7]May Prod'!D20</f>
        <v>0</v>
      </c>
      <c r="V21" s="8">
        <f t="shared" si="14"/>
        <v>0</v>
      </c>
      <c r="W21" s="10">
        <f t="shared" si="2"/>
        <v>0</v>
      </c>
      <c r="X21" s="7">
        <f>'[7]May Prod'!D275</f>
        <v>367000.00000000087</v>
      </c>
      <c r="Y21" s="8">
        <f t="shared" si="15"/>
        <v>0.36700000000000088</v>
      </c>
      <c r="Z21" s="10">
        <f t="shared" si="3"/>
        <v>1.1266900000000026</v>
      </c>
      <c r="AA21" s="15"/>
      <c r="AB21" s="7">
        <f t="shared" si="16"/>
        <v>20508000.00000073</v>
      </c>
      <c r="AC21" s="8">
        <f t="shared" si="16"/>
        <v>20.508000000000727</v>
      </c>
      <c r="AD21" s="8">
        <f t="shared" si="16"/>
        <v>62.959560000002227</v>
      </c>
    </row>
    <row r="22" spans="1:30" x14ac:dyDescent="0.2">
      <c r="A22" s="27">
        <v>38490</v>
      </c>
      <c r="B22" s="7">
        <f>'[7]May Prod'!I21</f>
        <v>13500000</v>
      </c>
      <c r="C22" s="8">
        <f t="shared" si="4"/>
        <v>13.5</v>
      </c>
      <c r="D22" s="10">
        <f t="shared" si="5"/>
        <v>41.445</v>
      </c>
      <c r="E22" s="7">
        <f>'[7]May Prod'!E21</f>
        <v>4000000</v>
      </c>
      <c r="F22" s="8">
        <f t="shared" si="6"/>
        <v>4</v>
      </c>
      <c r="G22" s="10">
        <f t="shared" si="7"/>
        <v>12.28</v>
      </c>
      <c r="H22" s="7">
        <f>'[7]May Prod'!F21</f>
        <v>9270000</v>
      </c>
      <c r="I22" s="8">
        <f t="shared" si="8"/>
        <v>9.27</v>
      </c>
      <c r="J22" s="10">
        <f t="shared" si="9"/>
        <v>28.458899999999996</v>
      </c>
      <c r="K22" s="7">
        <f>'[7]May Prod'!H276</f>
        <v>1045123</v>
      </c>
      <c r="L22" s="8">
        <f t="shared" si="10"/>
        <v>1.045123</v>
      </c>
      <c r="M22" s="10">
        <f t="shared" si="11"/>
        <v>3.20852761</v>
      </c>
      <c r="N22" s="21"/>
      <c r="O22" s="7">
        <f>'[7]May Prod'!H21</f>
        <v>8893000.0000000019</v>
      </c>
      <c r="P22" s="8">
        <f t="shared" si="12"/>
        <v>8.8930000000000025</v>
      </c>
      <c r="Q22" s="10">
        <f t="shared" si="0"/>
        <v>27.301510000000007</v>
      </c>
      <c r="R22" s="7">
        <f>'[7]May Prod'!C21</f>
        <v>9264000</v>
      </c>
      <c r="S22" s="8">
        <f t="shared" si="13"/>
        <v>9.2639999999999993</v>
      </c>
      <c r="T22" s="10">
        <f t="shared" si="1"/>
        <v>28.440479999999997</v>
      </c>
      <c r="U22" s="7">
        <f>'[7]May Prod'!D21</f>
        <v>0</v>
      </c>
      <c r="V22" s="8">
        <f t="shared" si="14"/>
        <v>0</v>
      </c>
      <c r="W22" s="10">
        <f t="shared" si="2"/>
        <v>0</v>
      </c>
      <c r="X22" s="7">
        <f>'[7]May Prod'!D276</f>
        <v>370999.99999999866</v>
      </c>
      <c r="Y22" s="8">
        <f t="shared" si="15"/>
        <v>0.37099999999999866</v>
      </c>
      <c r="Z22" s="10">
        <f t="shared" si="3"/>
        <v>1.1389699999999958</v>
      </c>
      <c r="AA22" s="15"/>
      <c r="AB22" s="7">
        <f t="shared" si="16"/>
        <v>22393000</v>
      </c>
      <c r="AC22" s="8">
        <f t="shared" si="16"/>
        <v>22.393000000000001</v>
      </c>
      <c r="AD22" s="8">
        <f t="shared" si="16"/>
        <v>68.746510000000001</v>
      </c>
    </row>
    <row r="23" spans="1:30" x14ac:dyDescent="0.2">
      <c r="A23" s="27">
        <v>38491</v>
      </c>
      <c r="B23" s="7">
        <f>'[7]May Prod'!I22</f>
        <v>13099999.999998545</v>
      </c>
      <c r="C23" s="8">
        <f t="shared" si="4"/>
        <v>13.099999999998545</v>
      </c>
      <c r="D23" s="10">
        <f t="shared" si="5"/>
        <v>40.216999999995529</v>
      </c>
      <c r="E23" s="7">
        <f>'[7]May Prod'!E22</f>
        <v>3000000</v>
      </c>
      <c r="F23" s="8">
        <f t="shared" si="6"/>
        <v>3</v>
      </c>
      <c r="G23" s="10">
        <f t="shared" si="7"/>
        <v>9.2099999999999991</v>
      </c>
      <c r="H23" s="7">
        <f>'[7]May Prod'!F22</f>
        <v>9060000</v>
      </c>
      <c r="I23" s="8">
        <f t="shared" si="8"/>
        <v>9.06</v>
      </c>
      <c r="J23" s="10">
        <f t="shared" si="9"/>
        <v>27.8142</v>
      </c>
      <c r="K23" s="7">
        <f>'[7]May Prod'!H277</f>
        <v>1236676</v>
      </c>
      <c r="L23" s="8">
        <f t="shared" si="10"/>
        <v>1.2366760000000001</v>
      </c>
      <c r="M23" s="10">
        <f t="shared" si="11"/>
        <v>3.7965953200000002</v>
      </c>
      <c r="N23" s="21"/>
      <c r="O23" s="7">
        <f>'[7]May Prod'!H22</f>
        <v>12425000</v>
      </c>
      <c r="P23" s="8">
        <f t="shared" si="12"/>
        <v>12.425000000000001</v>
      </c>
      <c r="Q23" s="10">
        <f t="shared" si="0"/>
        <v>38.144750000000002</v>
      </c>
      <c r="R23" s="7">
        <f>'[7]May Prod'!C22</f>
        <v>12822000</v>
      </c>
      <c r="S23" s="8">
        <f t="shared" si="13"/>
        <v>12.821999999999999</v>
      </c>
      <c r="T23" s="10">
        <f t="shared" si="1"/>
        <v>39.363539999999993</v>
      </c>
      <c r="U23" s="7">
        <f>'[7]May Prod'!D22</f>
        <v>0</v>
      </c>
      <c r="V23" s="8">
        <f t="shared" si="14"/>
        <v>0</v>
      </c>
      <c r="W23" s="10">
        <f t="shared" si="2"/>
        <v>0</v>
      </c>
      <c r="X23" s="7">
        <f>'[7]May Prod'!D277</f>
        <v>397000.00000000023</v>
      </c>
      <c r="Y23" s="8">
        <f t="shared" si="15"/>
        <v>0.39700000000000024</v>
      </c>
      <c r="Z23" s="10">
        <f t="shared" si="3"/>
        <v>1.2187900000000007</v>
      </c>
      <c r="AA23" s="15"/>
      <c r="AB23" s="7">
        <f t="shared" si="16"/>
        <v>25524999.999998547</v>
      </c>
      <c r="AC23" s="8">
        <f t="shared" si="16"/>
        <v>25.524999999998546</v>
      </c>
      <c r="AD23" s="8">
        <f t="shared" si="16"/>
        <v>78.361749999995538</v>
      </c>
    </row>
    <row r="24" spans="1:30" x14ac:dyDescent="0.2">
      <c r="A24" s="27">
        <v>38492</v>
      </c>
      <c r="B24" s="7">
        <f>'[7]May Prod'!I23</f>
        <v>13100000.000002183</v>
      </c>
      <c r="C24" s="8">
        <f t="shared" si="4"/>
        <v>13.100000000002183</v>
      </c>
      <c r="D24" s="10">
        <f t="shared" si="5"/>
        <v>40.217000000006699</v>
      </c>
      <c r="E24" s="7">
        <f>'[7]May Prod'!E23</f>
        <v>5000000</v>
      </c>
      <c r="F24" s="8">
        <f t="shared" si="6"/>
        <v>5</v>
      </c>
      <c r="G24" s="10">
        <f t="shared" si="7"/>
        <v>15.35</v>
      </c>
      <c r="H24" s="7">
        <f>'[7]May Prod'!F23</f>
        <v>8660000</v>
      </c>
      <c r="I24" s="8">
        <f t="shared" si="8"/>
        <v>8.66</v>
      </c>
      <c r="J24" s="10">
        <f t="shared" si="9"/>
        <v>26.586199999999998</v>
      </c>
      <c r="K24" s="7">
        <f>'[7]May Prod'!H278</f>
        <v>1290273</v>
      </c>
      <c r="L24" s="8">
        <f t="shared" si="10"/>
        <v>1.290273</v>
      </c>
      <c r="M24" s="10">
        <f t="shared" si="11"/>
        <v>3.9611381099999998</v>
      </c>
      <c r="N24" s="21"/>
      <c r="O24" s="7">
        <f>'[7]May Prod'!H23</f>
        <v>14543000</v>
      </c>
      <c r="P24" s="8">
        <f t="shared" si="12"/>
        <v>14.542999999999999</v>
      </c>
      <c r="Q24" s="10">
        <f t="shared" si="0"/>
        <v>44.647009999999995</v>
      </c>
      <c r="R24" s="7">
        <f>'[7]May Prod'!C23</f>
        <v>14885000</v>
      </c>
      <c r="S24" s="8">
        <f t="shared" si="13"/>
        <v>14.885</v>
      </c>
      <c r="T24" s="10">
        <f t="shared" si="1"/>
        <v>45.696949999999994</v>
      </c>
      <c r="U24" s="7">
        <f>'[7]May Prod'!D23</f>
        <v>0</v>
      </c>
      <c r="V24" s="8">
        <f t="shared" si="14"/>
        <v>0</v>
      </c>
      <c r="W24" s="10">
        <f t="shared" si="2"/>
        <v>0</v>
      </c>
      <c r="X24" s="7">
        <f>'[7]May Prod'!D278</f>
        <v>342000.00000000052</v>
      </c>
      <c r="Y24" s="8">
        <f t="shared" si="15"/>
        <v>0.34200000000000053</v>
      </c>
      <c r="Z24" s="10">
        <f t="shared" si="3"/>
        <v>1.0499400000000016</v>
      </c>
      <c r="AA24" s="15"/>
      <c r="AB24" s="7">
        <f t="shared" si="16"/>
        <v>27643000.000002183</v>
      </c>
      <c r="AC24" s="8">
        <f t="shared" si="16"/>
        <v>27.643000000002182</v>
      </c>
      <c r="AD24" s="8">
        <f t="shared" si="16"/>
        <v>84.864010000006687</v>
      </c>
    </row>
    <row r="25" spans="1:30" x14ac:dyDescent="0.2">
      <c r="A25" s="27">
        <v>38493</v>
      </c>
      <c r="B25" s="7">
        <f>'[7]May Prod'!I24</f>
        <v>10399999.999997817</v>
      </c>
      <c r="C25" s="8">
        <f t="shared" si="4"/>
        <v>10.399999999997817</v>
      </c>
      <c r="D25" s="10">
        <f t="shared" si="5"/>
        <v>31.927999999993297</v>
      </c>
      <c r="E25" s="7">
        <f>'[7]May Prod'!E24</f>
        <v>4000000</v>
      </c>
      <c r="F25" s="8">
        <f t="shared" si="6"/>
        <v>4</v>
      </c>
      <c r="G25" s="10">
        <f t="shared" si="7"/>
        <v>12.28</v>
      </c>
      <c r="H25" s="7">
        <f>'[7]May Prod'!F24</f>
        <v>6390000</v>
      </c>
      <c r="I25" s="8">
        <f t="shared" si="8"/>
        <v>6.39</v>
      </c>
      <c r="J25" s="10">
        <f t="shared" si="9"/>
        <v>19.617299999999997</v>
      </c>
      <c r="K25" s="7">
        <f>'[7]May Prod'!H279</f>
        <v>1181406</v>
      </c>
      <c r="L25" s="8">
        <f t="shared" si="10"/>
        <v>1.181406</v>
      </c>
      <c r="M25" s="10">
        <f t="shared" si="11"/>
        <v>3.6269164199999997</v>
      </c>
      <c r="N25" s="21"/>
      <c r="O25" s="7">
        <f>'[7]May Prod'!H24</f>
        <v>11389000</v>
      </c>
      <c r="P25" s="8">
        <f t="shared" si="12"/>
        <v>11.388999999999999</v>
      </c>
      <c r="Q25" s="10">
        <f t="shared" si="0"/>
        <v>34.964229999999993</v>
      </c>
      <c r="R25" s="7">
        <f>'[7]May Prod'!C24</f>
        <v>11816000</v>
      </c>
      <c r="S25" s="8">
        <f t="shared" si="13"/>
        <v>11.816000000000001</v>
      </c>
      <c r="T25" s="10">
        <f t="shared" si="1"/>
        <v>36.275120000000001</v>
      </c>
      <c r="U25" s="7">
        <f>'[7]May Prod'!D24</f>
        <v>0</v>
      </c>
      <c r="V25" s="8">
        <f t="shared" si="14"/>
        <v>0</v>
      </c>
      <c r="W25" s="10">
        <f t="shared" si="2"/>
        <v>0</v>
      </c>
      <c r="X25" s="7">
        <f>'[7]May Prod'!D279</f>
        <v>426999.99999999959</v>
      </c>
      <c r="Y25" s="8">
        <f t="shared" si="15"/>
        <v>0.4269999999999996</v>
      </c>
      <c r="Z25" s="10">
        <f t="shared" si="3"/>
        <v>1.3108899999999988</v>
      </c>
      <c r="AA25" s="15"/>
      <c r="AB25" s="7">
        <f t="shared" si="16"/>
        <v>21788999.999997817</v>
      </c>
      <c r="AC25" s="8">
        <f t="shared" si="16"/>
        <v>21.788999999997817</v>
      </c>
      <c r="AD25" s="8">
        <f t="shared" si="16"/>
        <v>66.89222999999329</v>
      </c>
    </row>
    <row r="26" spans="1:30" x14ac:dyDescent="0.2">
      <c r="A26" s="27">
        <v>38494</v>
      </c>
      <c r="B26" s="7">
        <f>'[7]May Prod'!I25</f>
        <v>8300000.0000029104</v>
      </c>
      <c r="C26" s="8">
        <f t="shared" si="4"/>
        <v>8.3000000000029104</v>
      </c>
      <c r="D26" s="10">
        <f t="shared" si="5"/>
        <v>25.481000000008933</v>
      </c>
      <c r="E26" s="7">
        <f>'[7]May Prod'!E25</f>
        <v>3000000</v>
      </c>
      <c r="F26" s="8">
        <f t="shared" si="6"/>
        <v>3</v>
      </c>
      <c r="G26" s="10">
        <f t="shared" si="7"/>
        <v>9.2099999999999991</v>
      </c>
      <c r="H26" s="7">
        <f>'[7]May Prod'!F25</f>
        <v>5020000</v>
      </c>
      <c r="I26" s="8">
        <f t="shared" si="8"/>
        <v>5.0199999999999996</v>
      </c>
      <c r="J26" s="10">
        <f t="shared" si="9"/>
        <v>15.411399999999999</v>
      </c>
      <c r="K26" s="7">
        <f>'[7]May Prod'!H280</f>
        <v>967000</v>
      </c>
      <c r="L26" s="8">
        <f t="shared" si="10"/>
        <v>0.96699999999999997</v>
      </c>
      <c r="M26" s="10">
        <f t="shared" si="11"/>
        <v>2.9686899999999996</v>
      </c>
      <c r="N26" s="21"/>
      <c r="O26" s="7">
        <f>'[7]May Prod'!H25</f>
        <v>11055000</v>
      </c>
      <c r="P26" s="8">
        <f t="shared" si="12"/>
        <v>11.055</v>
      </c>
      <c r="Q26" s="10">
        <f t="shared" si="0"/>
        <v>33.938849999999995</v>
      </c>
      <c r="R26" s="7">
        <f>'[7]May Prod'!C25</f>
        <v>11497000</v>
      </c>
      <c r="S26" s="8">
        <f t="shared" si="13"/>
        <v>11.497</v>
      </c>
      <c r="T26" s="10">
        <f t="shared" si="1"/>
        <v>35.295789999999997</v>
      </c>
      <c r="U26" s="7">
        <f>'[7]May Prod'!D25</f>
        <v>0</v>
      </c>
      <c r="V26" s="8">
        <f t="shared" si="14"/>
        <v>0</v>
      </c>
      <c r="W26" s="10">
        <f t="shared" si="2"/>
        <v>0</v>
      </c>
      <c r="X26" s="7">
        <f>'[7]May Prod'!D280</f>
        <v>442000.00000000017</v>
      </c>
      <c r="Y26" s="8">
        <f t="shared" si="15"/>
        <v>0.44200000000000017</v>
      </c>
      <c r="Z26" s="10">
        <f t="shared" si="3"/>
        <v>1.3569400000000005</v>
      </c>
      <c r="AA26" s="15"/>
      <c r="AB26" s="7">
        <f t="shared" si="16"/>
        <v>19355000.000002909</v>
      </c>
      <c r="AC26" s="8">
        <f t="shared" si="16"/>
        <v>19.35500000000291</v>
      </c>
      <c r="AD26" s="8">
        <f t="shared" si="16"/>
        <v>59.419850000008928</v>
      </c>
    </row>
    <row r="27" spans="1:30" x14ac:dyDescent="0.2">
      <c r="A27" s="27">
        <v>38495</v>
      </c>
      <c r="B27" s="7">
        <f>'[7]May Prod'!I26</f>
        <v>8599999.9999985453</v>
      </c>
      <c r="C27" s="8">
        <f t="shared" si="4"/>
        <v>8.5999999999985448</v>
      </c>
      <c r="D27" s="10">
        <f t="shared" si="5"/>
        <v>26.401999999995532</v>
      </c>
      <c r="E27" s="7">
        <f>'[7]May Prod'!E26</f>
        <v>4000000</v>
      </c>
      <c r="F27" s="8">
        <f t="shared" si="6"/>
        <v>4</v>
      </c>
      <c r="G27" s="10">
        <f t="shared" si="7"/>
        <v>12.28</v>
      </c>
      <c r="H27" s="7">
        <f>'[7]May Prod'!F26</f>
        <v>5010000</v>
      </c>
      <c r="I27" s="8">
        <f t="shared" si="8"/>
        <v>5.01</v>
      </c>
      <c r="J27" s="10">
        <f t="shared" si="9"/>
        <v>15.380699999999999</v>
      </c>
      <c r="K27" s="7">
        <f>'[7]May Prod'!H281</f>
        <v>764070</v>
      </c>
      <c r="L27" s="8">
        <f t="shared" si="10"/>
        <v>0.76407000000000003</v>
      </c>
      <c r="M27" s="10">
        <f t="shared" si="11"/>
        <v>2.3456948999999998</v>
      </c>
      <c r="N27" s="21"/>
      <c r="O27" s="7">
        <f>'[7]May Prod'!H26</f>
        <v>7727000</v>
      </c>
      <c r="P27" s="8">
        <f t="shared" si="12"/>
        <v>7.7270000000000003</v>
      </c>
      <c r="Q27" s="10">
        <f t="shared" si="0"/>
        <v>23.721889999999998</v>
      </c>
      <c r="R27" s="7">
        <f>'[7]May Prod'!C26</f>
        <v>8092000</v>
      </c>
      <c r="S27" s="8">
        <f t="shared" si="13"/>
        <v>8.0920000000000005</v>
      </c>
      <c r="T27" s="10">
        <f t="shared" si="1"/>
        <v>24.84244</v>
      </c>
      <c r="U27" s="7">
        <f>'[7]May Prod'!D26</f>
        <v>0</v>
      </c>
      <c r="V27" s="8">
        <f t="shared" si="14"/>
        <v>0</v>
      </c>
      <c r="W27" s="10">
        <f t="shared" si="2"/>
        <v>0</v>
      </c>
      <c r="X27" s="7">
        <f>'[7]May Prod'!D281</f>
        <v>365000.00000000023</v>
      </c>
      <c r="Y27" s="8">
        <f t="shared" si="15"/>
        <v>0.36500000000000021</v>
      </c>
      <c r="Z27" s="10">
        <f t="shared" si="3"/>
        <v>1.1205500000000006</v>
      </c>
      <c r="AA27" s="15"/>
      <c r="AB27" s="7">
        <f t="shared" si="16"/>
        <v>16326999.999998545</v>
      </c>
      <c r="AC27" s="8">
        <f t="shared" si="16"/>
        <v>16.326999999998545</v>
      </c>
      <c r="AD27" s="8">
        <f t="shared" si="16"/>
        <v>50.123889999995527</v>
      </c>
    </row>
    <row r="28" spans="1:30" x14ac:dyDescent="0.2">
      <c r="A28" s="27">
        <v>38496</v>
      </c>
      <c r="B28" s="7">
        <f>'[7]May Prod'!I27</f>
        <v>9200000.0000007283</v>
      </c>
      <c r="C28" s="8">
        <f t="shared" si="4"/>
        <v>9.2000000000007276</v>
      </c>
      <c r="D28" s="10">
        <f t="shared" si="5"/>
        <v>28.244000000002231</v>
      </c>
      <c r="E28" s="7">
        <f>'[7]May Prod'!E27</f>
        <v>3000000</v>
      </c>
      <c r="F28" s="8">
        <f t="shared" si="6"/>
        <v>3</v>
      </c>
      <c r="G28" s="10">
        <f t="shared" si="7"/>
        <v>9.2099999999999991</v>
      </c>
      <c r="H28" s="7">
        <f>'[7]May Prod'!F27</f>
        <v>6030000</v>
      </c>
      <c r="I28" s="8">
        <f t="shared" si="8"/>
        <v>6.03</v>
      </c>
      <c r="J28" s="10">
        <f t="shared" si="9"/>
        <v>18.5121</v>
      </c>
      <c r="K28" s="7">
        <f>'[7]May Prod'!H282</f>
        <v>968470</v>
      </c>
      <c r="L28" s="8">
        <f t="shared" si="10"/>
        <v>0.96847000000000005</v>
      </c>
      <c r="M28" s="10">
        <f t="shared" si="11"/>
        <v>2.9732029</v>
      </c>
      <c r="N28" s="21"/>
      <c r="O28" s="7">
        <f>'[7]May Prod'!H27</f>
        <v>7741000.0000000009</v>
      </c>
      <c r="P28" s="8">
        <f t="shared" si="12"/>
        <v>7.7410000000000005</v>
      </c>
      <c r="Q28" s="10">
        <f t="shared" si="0"/>
        <v>23.764870000000002</v>
      </c>
      <c r="R28" s="7">
        <f>'[7]May Prod'!C27</f>
        <v>8047000</v>
      </c>
      <c r="S28" s="8">
        <f t="shared" si="13"/>
        <v>8.0470000000000006</v>
      </c>
      <c r="T28" s="10">
        <f t="shared" si="1"/>
        <v>24.70429</v>
      </c>
      <c r="U28" s="7">
        <f>'[7]May Prod'!D27</f>
        <v>0</v>
      </c>
      <c r="V28" s="8">
        <f t="shared" si="14"/>
        <v>0</v>
      </c>
      <c r="W28" s="10">
        <f t="shared" si="2"/>
        <v>0</v>
      </c>
      <c r="X28" s="7">
        <f>'[7]May Prod'!D282</f>
        <v>305999.99999999919</v>
      </c>
      <c r="Y28" s="8">
        <f t="shared" si="15"/>
        <v>0.30599999999999916</v>
      </c>
      <c r="Z28" s="10">
        <f t="shared" si="3"/>
        <v>0.93941999999999737</v>
      </c>
      <c r="AA28" s="15"/>
      <c r="AB28" s="7">
        <f t="shared" si="16"/>
        <v>16941000.00000073</v>
      </c>
      <c r="AC28" s="8">
        <f t="shared" si="16"/>
        <v>16.941000000000727</v>
      </c>
      <c r="AD28" s="8">
        <f t="shared" si="16"/>
        <v>52.008870000002233</v>
      </c>
    </row>
    <row r="29" spans="1:30" x14ac:dyDescent="0.2">
      <c r="A29" s="27">
        <v>38497</v>
      </c>
      <c r="B29" s="7">
        <f>'[7]May Prod'!I28</f>
        <v>10299999.999999272</v>
      </c>
      <c r="C29" s="8">
        <f t="shared" si="4"/>
        <v>10.299999999999272</v>
      </c>
      <c r="D29" s="10">
        <f t="shared" si="5"/>
        <v>31.620999999997764</v>
      </c>
      <c r="E29" s="7">
        <f>'[7]May Prod'!E28</f>
        <v>4000000</v>
      </c>
      <c r="F29" s="8">
        <f t="shared" si="6"/>
        <v>4</v>
      </c>
      <c r="G29" s="10">
        <f t="shared" si="7"/>
        <v>12.28</v>
      </c>
      <c r="H29" s="7">
        <f>'[7]May Prod'!F28</f>
        <v>6970000</v>
      </c>
      <c r="I29" s="8">
        <f t="shared" si="8"/>
        <v>6.97</v>
      </c>
      <c r="J29" s="10">
        <f t="shared" si="9"/>
        <v>21.397899999999996</v>
      </c>
      <c r="K29" s="7">
        <f>'[7]May Prod'!H283</f>
        <v>953216</v>
      </c>
      <c r="L29" s="8">
        <f t="shared" si="10"/>
        <v>0.95321599999999995</v>
      </c>
      <c r="M29" s="10">
        <f t="shared" si="11"/>
        <v>2.9263731199999996</v>
      </c>
      <c r="N29" s="21"/>
      <c r="O29" s="7">
        <f>'[7]May Prod'!H28</f>
        <v>6856999.9999999981</v>
      </c>
      <c r="P29" s="8">
        <f t="shared" si="12"/>
        <v>6.8569999999999984</v>
      </c>
      <c r="Q29" s="10">
        <f t="shared" si="0"/>
        <v>21.050989999999995</v>
      </c>
      <c r="R29" s="7">
        <f>'[7]May Prod'!C28</f>
        <v>7287000</v>
      </c>
      <c r="S29" s="8">
        <f t="shared" si="13"/>
        <v>7.2869999999999999</v>
      </c>
      <c r="T29" s="10">
        <f t="shared" si="1"/>
        <v>22.371089999999999</v>
      </c>
      <c r="U29" s="7">
        <f>'[7]May Prod'!D28</f>
        <v>0</v>
      </c>
      <c r="V29" s="8">
        <f t="shared" si="14"/>
        <v>0</v>
      </c>
      <c r="W29" s="10">
        <f t="shared" si="2"/>
        <v>0</v>
      </c>
      <c r="X29" s="7">
        <f>'[7]May Prod'!D283</f>
        <v>430000.00000000151</v>
      </c>
      <c r="Y29" s="8">
        <f t="shared" si="15"/>
        <v>0.43000000000000149</v>
      </c>
      <c r="Z29" s="10">
        <f t="shared" si="3"/>
        <v>1.3201000000000045</v>
      </c>
      <c r="AA29" s="15"/>
      <c r="AB29" s="7">
        <f t="shared" si="16"/>
        <v>17156999.99999927</v>
      </c>
      <c r="AC29" s="8">
        <f t="shared" si="16"/>
        <v>17.156999999999272</v>
      </c>
      <c r="AD29" s="8">
        <f t="shared" si="16"/>
        <v>52.671989999997763</v>
      </c>
    </row>
    <row r="30" spans="1:30" x14ac:dyDescent="0.2">
      <c r="A30" s="27">
        <v>38498</v>
      </c>
      <c r="B30" s="7">
        <f>'[7]May Prod'!I29</f>
        <v>10500000</v>
      </c>
      <c r="C30" s="8">
        <f t="shared" si="4"/>
        <v>10.5</v>
      </c>
      <c r="D30" s="10">
        <f t="shared" si="5"/>
        <v>32.234999999999999</v>
      </c>
      <c r="E30" s="7">
        <f>'[7]May Prod'!E29</f>
        <v>3000000</v>
      </c>
      <c r="F30" s="8">
        <f t="shared" si="6"/>
        <v>3</v>
      </c>
      <c r="G30" s="10">
        <f t="shared" si="7"/>
        <v>9.2099999999999991</v>
      </c>
      <c r="H30" s="7">
        <f>'[7]May Prod'!F29</f>
        <v>6960000</v>
      </c>
      <c r="I30" s="8">
        <f t="shared" si="8"/>
        <v>6.96</v>
      </c>
      <c r="J30" s="10">
        <f t="shared" si="9"/>
        <v>21.3672</v>
      </c>
      <c r="K30" s="7">
        <f>'[7]May Prod'!H284</f>
        <v>1059276</v>
      </c>
      <c r="L30" s="8">
        <f t="shared" si="10"/>
        <v>1.0592760000000001</v>
      </c>
      <c r="M30" s="10">
        <f t="shared" si="11"/>
        <v>3.2519773199999999</v>
      </c>
      <c r="N30" s="21"/>
      <c r="O30" s="7">
        <f>'[7]May Prod'!H29</f>
        <v>6806000.0000000009</v>
      </c>
      <c r="P30" s="8">
        <f t="shared" si="12"/>
        <v>6.8060000000000009</v>
      </c>
      <c r="Q30" s="10">
        <f t="shared" si="0"/>
        <v>20.89442</v>
      </c>
      <c r="R30" s="7">
        <f>'[7]May Prod'!C29</f>
        <v>7109000</v>
      </c>
      <c r="S30" s="8">
        <f t="shared" si="13"/>
        <v>7.109</v>
      </c>
      <c r="T30" s="10">
        <f t="shared" si="1"/>
        <v>21.824629999999999</v>
      </c>
      <c r="U30" s="7">
        <f>'[7]May Prod'!D29</f>
        <v>0</v>
      </c>
      <c r="V30" s="8">
        <f t="shared" si="14"/>
        <v>0</v>
      </c>
      <c r="W30" s="10">
        <f t="shared" si="2"/>
        <v>0</v>
      </c>
      <c r="X30" s="7">
        <f>'[7]May Prod'!D284</f>
        <v>302999.99999999907</v>
      </c>
      <c r="Y30" s="8">
        <f t="shared" si="15"/>
        <v>0.30299999999999905</v>
      </c>
      <c r="Z30" s="10">
        <f t="shared" si="3"/>
        <v>0.93020999999999698</v>
      </c>
      <c r="AA30" s="15"/>
      <c r="AB30" s="7">
        <f t="shared" si="16"/>
        <v>17306000</v>
      </c>
      <c r="AC30" s="8">
        <f t="shared" si="16"/>
        <v>17.306000000000001</v>
      </c>
      <c r="AD30" s="8">
        <f t="shared" si="16"/>
        <v>53.129419999999996</v>
      </c>
    </row>
    <row r="31" spans="1:30" x14ac:dyDescent="0.2">
      <c r="A31" s="27">
        <v>38499</v>
      </c>
      <c r="B31" s="7">
        <f>'[7]May Prod'!I30</f>
        <v>10400000.000001455</v>
      </c>
      <c r="C31" s="8">
        <f t="shared" si="4"/>
        <v>10.400000000001455</v>
      </c>
      <c r="D31" s="10">
        <f t="shared" si="5"/>
        <v>31.928000000004467</v>
      </c>
      <c r="E31" s="7">
        <f>'[7]May Prod'!E30</f>
        <v>4000000</v>
      </c>
      <c r="F31" s="8">
        <f t="shared" si="6"/>
        <v>4</v>
      </c>
      <c r="G31" s="10">
        <f t="shared" si="7"/>
        <v>12.28</v>
      </c>
      <c r="H31" s="7">
        <f>'[7]May Prod'!F30</f>
        <v>6920000</v>
      </c>
      <c r="I31" s="8">
        <f t="shared" si="8"/>
        <v>6.92</v>
      </c>
      <c r="J31" s="10">
        <f t="shared" si="9"/>
        <v>21.244399999999999</v>
      </c>
      <c r="K31" s="7">
        <f>'[7]May Prod'!H285</f>
        <v>890038</v>
      </c>
      <c r="L31" s="8">
        <f t="shared" si="10"/>
        <v>0.890038</v>
      </c>
      <c r="M31" s="10">
        <f t="shared" si="11"/>
        <v>2.7324166599999997</v>
      </c>
      <c r="N31" s="21"/>
      <c r="O31" s="7">
        <f>'[7]May Prod'!H30</f>
        <v>8962999.9999999981</v>
      </c>
      <c r="P31" s="8">
        <f t="shared" si="12"/>
        <v>8.9629999999999974</v>
      </c>
      <c r="Q31" s="10">
        <f t="shared" si="0"/>
        <v>27.51640999999999</v>
      </c>
      <c r="R31" s="7">
        <f>'[7]May Prod'!C30</f>
        <v>9333000</v>
      </c>
      <c r="S31" s="8">
        <f t="shared" si="13"/>
        <v>9.3330000000000002</v>
      </c>
      <c r="T31" s="10">
        <f t="shared" si="1"/>
        <v>28.65231</v>
      </c>
      <c r="U31" s="7">
        <f>'[7]May Prod'!D30</f>
        <v>0</v>
      </c>
      <c r="V31" s="8">
        <f t="shared" si="14"/>
        <v>0</v>
      </c>
      <c r="W31" s="10">
        <f t="shared" si="2"/>
        <v>0</v>
      </c>
      <c r="X31" s="7">
        <f>'[7]May Prod'!D285</f>
        <v>370000.00000000099</v>
      </c>
      <c r="Y31" s="8">
        <f t="shared" si="15"/>
        <v>0.37000000000000099</v>
      </c>
      <c r="Z31" s="10">
        <f t="shared" si="3"/>
        <v>1.135900000000003</v>
      </c>
      <c r="AA31" s="15"/>
      <c r="AB31" s="7">
        <f t="shared" si="16"/>
        <v>19363000.000001453</v>
      </c>
      <c r="AC31" s="8">
        <f t="shared" si="16"/>
        <v>19.363000000001453</v>
      </c>
      <c r="AD31" s="8">
        <f t="shared" si="16"/>
        <v>59.444410000004453</v>
      </c>
    </row>
    <row r="32" spans="1:30" x14ac:dyDescent="0.2">
      <c r="A32" s="27">
        <v>38500</v>
      </c>
      <c r="B32" s="7">
        <f>'[7]May Prod'!I31</f>
        <v>10699999.999997091</v>
      </c>
      <c r="C32" s="8">
        <f t="shared" si="4"/>
        <v>10.699999999997091</v>
      </c>
      <c r="D32" s="10">
        <f t="shared" si="5"/>
        <v>32.848999999991072</v>
      </c>
      <c r="E32" s="7">
        <f>'[7]May Prod'!E31</f>
        <v>3000000</v>
      </c>
      <c r="F32" s="8">
        <f t="shared" si="6"/>
        <v>3</v>
      </c>
      <c r="G32" s="10">
        <f t="shared" si="7"/>
        <v>9.2099999999999991</v>
      </c>
      <c r="H32" s="7">
        <f>'[7]May Prod'!F31</f>
        <v>7430000</v>
      </c>
      <c r="I32" s="8">
        <f t="shared" si="8"/>
        <v>7.43</v>
      </c>
      <c r="J32" s="10">
        <f t="shared" si="9"/>
        <v>22.810099999999998</v>
      </c>
      <c r="K32" s="7">
        <f>'[7]May Prod'!H286</f>
        <v>1129829</v>
      </c>
      <c r="L32" s="8">
        <f t="shared" si="10"/>
        <v>1.129829</v>
      </c>
      <c r="M32" s="10">
        <f t="shared" si="11"/>
        <v>3.4685750299999998</v>
      </c>
      <c r="N32" s="21"/>
      <c r="O32" s="7">
        <f>'[7]May Prod'!H31</f>
        <v>13832000.000000002</v>
      </c>
      <c r="P32" s="8">
        <f t="shared" si="12"/>
        <v>13.832000000000003</v>
      </c>
      <c r="Q32" s="10">
        <f t="shared" si="0"/>
        <v>42.464240000000004</v>
      </c>
      <c r="R32" s="7">
        <f>'[7]May Prod'!C31</f>
        <v>14216000</v>
      </c>
      <c r="S32" s="8">
        <f t="shared" si="13"/>
        <v>14.215999999999999</v>
      </c>
      <c r="T32" s="10">
        <f t="shared" si="1"/>
        <v>43.643119999999996</v>
      </c>
      <c r="U32" s="7">
        <f>'[7]May Prod'!D31</f>
        <v>0</v>
      </c>
      <c r="V32" s="8">
        <f t="shared" si="14"/>
        <v>0</v>
      </c>
      <c r="W32" s="10">
        <f t="shared" si="2"/>
        <v>0</v>
      </c>
      <c r="X32" s="7">
        <f>'[7]May Prod'!D286</f>
        <v>383999.99999999854</v>
      </c>
      <c r="Y32" s="8">
        <f t="shared" si="15"/>
        <v>0.38399999999999856</v>
      </c>
      <c r="Z32" s="10">
        <f t="shared" si="3"/>
        <v>1.1788799999999955</v>
      </c>
      <c r="AA32" s="15"/>
      <c r="AB32" s="7">
        <f t="shared" si="16"/>
        <v>24531999.999997094</v>
      </c>
      <c r="AC32" s="8">
        <f t="shared" si="16"/>
        <v>24.531999999997094</v>
      </c>
      <c r="AD32" s="8">
        <f t="shared" si="16"/>
        <v>75.313239999991083</v>
      </c>
    </row>
    <row r="33" spans="1:30" x14ac:dyDescent="0.2">
      <c r="A33" s="27">
        <v>38501</v>
      </c>
      <c r="B33" s="7">
        <f>'[7]May Prod'!I32</f>
        <v>12700000.000000728</v>
      </c>
      <c r="C33" s="8">
        <f t="shared" si="4"/>
        <v>12.700000000000728</v>
      </c>
      <c r="D33" s="10">
        <f t="shared" si="5"/>
        <v>38.989000000002228</v>
      </c>
      <c r="E33" s="7">
        <f>'[7]May Prod'!E32</f>
        <v>4000000</v>
      </c>
      <c r="F33" s="8">
        <f t="shared" si="6"/>
        <v>4</v>
      </c>
      <c r="G33" s="10">
        <f t="shared" si="7"/>
        <v>12.28</v>
      </c>
      <c r="H33" s="7">
        <f>'[7]May Prod'!F32</f>
        <v>8880000</v>
      </c>
      <c r="I33" s="8">
        <f t="shared" si="8"/>
        <v>8.8800000000000008</v>
      </c>
      <c r="J33" s="10">
        <f t="shared" si="9"/>
        <v>27.261600000000001</v>
      </c>
      <c r="K33" s="7">
        <f>'[7]May Prod'!H287</f>
        <v>1127544</v>
      </c>
      <c r="L33" s="8">
        <f t="shared" si="10"/>
        <v>1.1275440000000001</v>
      </c>
      <c r="M33" s="10">
        <f t="shared" si="11"/>
        <v>3.4615600799999999</v>
      </c>
      <c r="N33" s="21"/>
      <c r="O33" s="7">
        <f>'[7]May Prod'!H32</f>
        <v>15979000</v>
      </c>
      <c r="P33" s="8">
        <f t="shared" si="12"/>
        <v>15.978999999999999</v>
      </c>
      <c r="Q33" s="10">
        <f t="shared" si="0"/>
        <v>49.055529999999997</v>
      </c>
      <c r="R33" s="7">
        <f>'[7]May Prod'!C32</f>
        <v>16347000</v>
      </c>
      <c r="S33" s="8">
        <f t="shared" si="13"/>
        <v>16.347000000000001</v>
      </c>
      <c r="T33" s="10">
        <f t="shared" si="1"/>
        <v>50.185290000000002</v>
      </c>
      <c r="U33" s="7">
        <f>'[7]May Prod'!D32</f>
        <v>0</v>
      </c>
      <c r="V33" s="8">
        <f t="shared" si="14"/>
        <v>0</v>
      </c>
      <c r="W33" s="10">
        <f t="shared" si="2"/>
        <v>0</v>
      </c>
      <c r="X33" s="7">
        <f>'[7]May Prod'!D287</f>
        <v>368000.00000000035</v>
      </c>
      <c r="Y33" s="8">
        <f t="shared" si="15"/>
        <v>0.36800000000000033</v>
      </c>
      <c r="Z33" s="10">
        <f t="shared" si="3"/>
        <v>1.129760000000001</v>
      </c>
      <c r="AA33" s="15"/>
      <c r="AB33" s="7">
        <f t="shared" si="16"/>
        <v>28679000.00000073</v>
      </c>
      <c r="AC33" s="8">
        <f t="shared" si="16"/>
        <v>28.679000000000727</v>
      </c>
      <c r="AD33" s="8">
        <f t="shared" si="16"/>
        <v>88.044530000002226</v>
      </c>
    </row>
    <row r="34" spans="1:30" x14ac:dyDescent="0.2">
      <c r="A34" s="27">
        <v>38502</v>
      </c>
      <c r="B34" s="7">
        <f>'[7]May Prod'!I33</f>
        <v>11600000.000002183</v>
      </c>
      <c r="C34" s="8">
        <f t="shared" si="4"/>
        <v>11.600000000002183</v>
      </c>
      <c r="D34" s="10">
        <f t="shared" si="5"/>
        <v>35.612000000006702</v>
      </c>
      <c r="E34" s="7">
        <f>'[7]May Prod'!E33</f>
        <v>3000000</v>
      </c>
      <c r="F34" s="8">
        <f t="shared" si="6"/>
        <v>3</v>
      </c>
      <c r="G34" s="10">
        <f t="shared" si="7"/>
        <v>9.2099999999999991</v>
      </c>
      <c r="H34" s="7">
        <f>'[7]May Prod'!F33</f>
        <v>7550000</v>
      </c>
      <c r="I34" s="8">
        <f t="shared" si="8"/>
        <v>7.55</v>
      </c>
      <c r="J34" s="10">
        <f t="shared" si="9"/>
        <v>23.1785</v>
      </c>
      <c r="K34" s="7">
        <f>'[7]May Prod'!H288</f>
        <v>1048245</v>
      </c>
      <c r="L34" s="8">
        <f t="shared" si="10"/>
        <v>1.0482450000000001</v>
      </c>
      <c r="M34" s="10">
        <f t="shared" si="11"/>
        <v>3.2181121500000001</v>
      </c>
      <c r="N34" s="21"/>
      <c r="O34" s="7">
        <f>'[7]May Prod'!H33</f>
        <v>11222000</v>
      </c>
      <c r="P34" s="8">
        <f t="shared" si="12"/>
        <v>11.222</v>
      </c>
      <c r="Q34" s="10">
        <f t="shared" si="0"/>
        <v>34.451539999999994</v>
      </c>
      <c r="R34" s="7">
        <f>'[7]May Prod'!C33</f>
        <v>11715000</v>
      </c>
      <c r="S34" s="8">
        <f t="shared" si="13"/>
        <v>11.715</v>
      </c>
      <c r="T34" s="10">
        <f t="shared" si="1"/>
        <v>35.965049999999998</v>
      </c>
      <c r="U34" s="7">
        <f>'[7]May Prod'!D33</f>
        <v>0</v>
      </c>
      <c r="V34" s="8">
        <f t="shared" si="14"/>
        <v>0</v>
      </c>
      <c r="W34" s="10">
        <f t="shared" si="2"/>
        <v>0</v>
      </c>
      <c r="X34" s="7">
        <f>'[7]May Prod'!D288</f>
        <v>493000.00000000035</v>
      </c>
      <c r="Y34" s="8">
        <f t="shared" si="15"/>
        <v>0.49300000000000033</v>
      </c>
      <c r="Z34" s="10">
        <f t="shared" si="3"/>
        <v>1.513510000000001</v>
      </c>
      <c r="AA34" s="15"/>
      <c r="AB34" s="7">
        <f t="shared" si="16"/>
        <v>22822000.000002183</v>
      </c>
      <c r="AC34" s="8">
        <f t="shared" si="16"/>
        <v>22.822000000002184</v>
      </c>
      <c r="AD34" s="8">
        <f t="shared" si="16"/>
        <v>70.063540000006697</v>
      </c>
    </row>
    <row r="35" spans="1:30" ht="13.5" thickBot="1" x14ac:dyDescent="0.25">
      <c r="A35" s="27">
        <v>38503</v>
      </c>
      <c r="B35" s="29">
        <f>'[7]May Prod'!I34</f>
        <v>10000000</v>
      </c>
      <c r="C35" s="9">
        <f t="shared" si="4"/>
        <v>10</v>
      </c>
      <c r="D35" s="11">
        <f t="shared" si="5"/>
        <v>30.7</v>
      </c>
      <c r="E35" s="29">
        <f>'[7]May Prod'!E34</f>
        <v>4000000</v>
      </c>
      <c r="F35" s="9">
        <f t="shared" si="6"/>
        <v>4</v>
      </c>
      <c r="G35" s="11">
        <f t="shared" si="7"/>
        <v>12.28</v>
      </c>
      <c r="H35" s="29">
        <f>'[7]May Prod'!F34</f>
        <v>6490000</v>
      </c>
      <c r="I35" s="8">
        <f t="shared" si="8"/>
        <v>6.49</v>
      </c>
      <c r="J35" s="11">
        <f t="shared" si="9"/>
        <v>19.924299999999999</v>
      </c>
      <c r="K35" s="7">
        <f>'[7]May Prod'!H289</f>
        <v>1019416</v>
      </c>
      <c r="L35" s="9">
        <f t="shared" si="10"/>
        <v>1.0194160000000001</v>
      </c>
      <c r="M35" s="11">
        <f t="shared" si="11"/>
        <v>3.1296071200000002</v>
      </c>
      <c r="N35" s="21"/>
      <c r="O35" s="29">
        <f>'[7]May Prod'!H34</f>
        <v>12101000</v>
      </c>
      <c r="P35" s="9">
        <f t="shared" si="12"/>
        <v>12.101000000000001</v>
      </c>
      <c r="Q35" s="11">
        <f t="shared" si="0"/>
        <v>37.150069999999999</v>
      </c>
      <c r="R35" s="29">
        <f>'[7]May Prod'!C34</f>
        <v>12347000</v>
      </c>
      <c r="S35" s="9">
        <f t="shared" si="13"/>
        <v>12.347</v>
      </c>
      <c r="T35" s="11">
        <f t="shared" si="1"/>
        <v>37.905289999999994</v>
      </c>
      <c r="U35" s="7">
        <f>'[7]May Prod'!D34</f>
        <v>0</v>
      </c>
      <c r="V35" s="9">
        <f t="shared" si="14"/>
        <v>0</v>
      </c>
      <c r="W35" s="11">
        <f t="shared" si="2"/>
        <v>0</v>
      </c>
      <c r="X35" s="7">
        <f>'[7]May Prod'!D289</f>
        <v>246000.00000000044</v>
      </c>
      <c r="Y35" s="8">
        <f t="shared" si="15"/>
        <v>0.24600000000000044</v>
      </c>
      <c r="Z35" s="10">
        <f t="shared" si="3"/>
        <v>0.75522000000000133</v>
      </c>
      <c r="AA35" s="15"/>
      <c r="AB35" s="7">
        <f t="shared" si="16"/>
        <v>22101000</v>
      </c>
      <c r="AC35" s="8">
        <f t="shared" si="16"/>
        <v>22.100999999999999</v>
      </c>
      <c r="AD35" s="8">
        <f t="shared" si="16"/>
        <v>67.850070000000002</v>
      </c>
    </row>
    <row r="36" spans="1:30" s="18" customFormat="1" ht="13.5" thickBot="1" x14ac:dyDescent="0.25">
      <c r="A36" s="15"/>
      <c r="B36" s="38"/>
      <c r="C36" s="39">
        <f>SUM(C5:C35)</f>
        <v>326.70000000000073</v>
      </c>
      <c r="D36" s="39">
        <f t="shared" si="5"/>
        <v>1002.9690000000022</v>
      </c>
      <c r="E36" s="38"/>
      <c r="F36" s="39">
        <f>SUM(F5:F35)</f>
        <v>101</v>
      </c>
      <c r="G36" s="39">
        <f t="shared" si="7"/>
        <v>310.07</v>
      </c>
      <c r="H36" s="38"/>
      <c r="I36" s="39">
        <f>SUM(I5:I35)</f>
        <v>220.24</v>
      </c>
      <c r="J36" s="39">
        <f t="shared" si="9"/>
        <v>676.13679999999999</v>
      </c>
      <c r="K36" s="38"/>
      <c r="L36" s="39">
        <f>SUM(L5:L35)</f>
        <v>30.962035</v>
      </c>
      <c r="M36" s="39">
        <f>L36*3.07</f>
        <v>95.053447449999993</v>
      </c>
      <c r="N36" s="14"/>
      <c r="O36" s="38"/>
      <c r="P36" s="39">
        <f>SUM(P5:P35)</f>
        <v>325.44499999999999</v>
      </c>
      <c r="Q36" s="39">
        <f t="shared" si="0"/>
        <v>999.11614999999995</v>
      </c>
      <c r="R36" s="38"/>
      <c r="S36" s="39">
        <f>SUM(S5:S35)</f>
        <v>336.77999999999992</v>
      </c>
      <c r="T36" s="39">
        <f t="shared" si="1"/>
        <v>1033.9145999999996</v>
      </c>
      <c r="U36" s="38"/>
      <c r="V36" s="39">
        <f>SUM(V5:V35)</f>
        <v>3.9999999999999994E-2</v>
      </c>
      <c r="W36" s="39">
        <f>V36*3.07</f>
        <v>0.12279999999999998</v>
      </c>
      <c r="X36" s="38"/>
      <c r="Y36" s="39">
        <f>SUM(Y5:Y35)</f>
        <v>11.375</v>
      </c>
      <c r="Z36" s="39">
        <f>Y36*3.07</f>
        <v>34.921250000000001</v>
      </c>
      <c r="AA36" s="14"/>
      <c r="AB36" s="38"/>
      <c r="AC36" s="39">
        <f>SUM(AC5:AC35)</f>
        <v>652.14500000000066</v>
      </c>
      <c r="AD36" s="39">
        <f>AC36*3.07</f>
        <v>2002.0851500000019</v>
      </c>
    </row>
    <row r="37" spans="1:30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0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3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T26" sqref="T20:T26"/>
    </sheetView>
  </sheetViews>
  <sheetFormatPr defaultRowHeight="12.75" x14ac:dyDescent="0.2"/>
  <cols>
    <col min="2" max="2" width="11.140625" customWidth="1"/>
    <col min="5" max="5" width="15.28515625" customWidth="1"/>
    <col min="7" max="7" width="11.42578125" customWidth="1"/>
    <col min="8" max="8" width="13.7109375" customWidth="1"/>
    <col min="11" max="11" width="10.7109375" bestFit="1" customWidth="1"/>
    <col min="12" max="12" width="11" customWidth="1"/>
    <col min="15" max="15" width="13.42578125" bestFit="1" customWidth="1"/>
    <col min="18" max="18" width="10.140625" customWidth="1"/>
    <col min="19" max="21" width="9.140625" customWidth="1"/>
    <col min="22" max="22" width="11.140625" customWidth="1"/>
    <col min="23" max="23" width="9.140625" customWidth="1"/>
    <col min="28" max="28" width="12.140625" customWidth="1"/>
  </cols>
  <sheetData>
    <row r="1" spans="1:32" x14ac:dyDescent="0.2">
      <c r="A1" s="45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5" t="s">
        <v>2</v>
      </c>
    </row>
    <row r="5" spans="1:32" x14ac:dyDescent="0.2">
      <c r="A5" s="27">
        <v>38504</v>
      </c>
      <c r="B5" s="7">
        <f>'[8]Jun Prod'!I4</f>
        <v>11599999.999998545</v>
      </c>
      <c r="C5" s="8">
        <f>B5/1000000</f>
        <v>11.599999999998545</v>
      </c>
      <c r="D5" s="10">
        <f>C5*3.07</f>
        <v>35.611999999995533</v>
      </c>
      <c r="E5" s="7">
        <f>'[8]Jun Prod'!E4</f>
        <v>4000000</v>
      </c>
      <c r="F5" s="8">
        <f>E5/1000000</f>
        <v>4</v>
      </c>
      <c r="G5" s="10">
        <f>F5*3.07</f>
        <v>12.28</v>
      </c>
      <c r="H5" s="7">
        <f>'[8]Jun Prod'!F4</f>
        <v>7470000</v>
      </c>
      <c r="I5" s="8">
        <f>H5/1000000</f>
        <v>7.47</v>
      </c>
      <c r="J5" s="10">
        <f>I5*3.07</f>
        <v>22.932899999999997</v>
      </c>
      <c r="K5" s="7">
        <f>'[8]Jun Prod'!H252</f>
        <v>978941</v>
      </c>
      <c r="L5" s="8">
        <f>K5/1000000</f>
        <v>0.97894099999999995</v>
      </c>
      <c r="M5" s="10">
        <f>L5*3.07</f>
        <v>3.0053488699999997</v>
      </c>
      <c r="N5" s="21"/>
      <c r="O5" s="7">
        <f>'[8]Jun Prod'!H4</f>
        <v>15302000</v>
      </c>
      <c r="P5" s="8">
        <f>O5/1000000</f>
        <v>15.302</v>
      </c>
      <c r="Q5" s="10">
        <f>P5*3.07</f>
        <v>46.977139999999999</v>
      </c>
      <c r="R5" s="7">
        <f>'[8]Jun Prod'!C4</f>
        <v>15809000</v>
      </c>
      <c r="S5" s="8">
        <f>R5/1000000</f>
        <v>15.808999999999999</v>
      </c>
      <c r="T5" s="10">
        <f>S5*3.07</f>
        <v>48.533629999999995</v>
      </c>
      <c r="U5" s="7">
        <f>'[8]Jun Prod'!D4</f>
        <v>0</v>
      </c>
      <c r="V5" s="8">
        <f>U5/1000000</f>
        <v>0</v>
      </c>
      <c r="W5" s="10">
        <f>V5*3.07</f>
        <v>0</v>
      </c>
      <c r="X5" s="7">
        <f>'[8]Jun Prod'!D252</f>
        <v>506999.99999999965</v>
      </c>
      <c r="Y5" s="8">
        <f>X5/1000000</f>
        <v>0.50699999999999967</v>
      </c>
      <c r="Z5" s="10">
        <f>Y5*3.07</f>
        <v>1.5564899999999988</v>
      </c>
      <c r="AA5" s="15"/>
      <c r="AB5" s="7">
        <f>B5+O5</f>
        <v>26901999.999998547</v>
      </c>
      <c r="AC5" s="8">
        <f>C5+P5</f>
        <v>26.901999999998544</v>
      </c>
      <c r="AD5" s="8">
        <f>D5+Q5</f>
        <v>82.589139999995524</v>
      </c>
      <c r="AF5" s="8">
        <f t="shared" ref="AF5:AF14" si="0">T5-Q5-Z5</f>
        <v>-2.2204460492503131E-15</v>
      </c>
    </row>
    <row r="6" spans="1:32" x14ac:dyDescent="0.2">
      <c r="A6" s="27">
        <v>38505</v>
      </c>
      <c r="B6" s="7">
        <f>'[8]Jun Prod'!I5</f>
        <v>12500000</v>
      </c>
      <c r="C6" s="8">
        <f t="shared" ref="C6:C34" si="1">B6/1000000</f>
        <v>12.5</v>
      </c>
      <c r="D6" s="10">
        <f t="shared" ref="D6:D35" si="2">C6*3.07</f>
        <v>38.375</v>
      </c>
      <c r="E6" s="7">
        <f>'[8]Jun Prod'!E5</f>
        <v>5000000</v>
      </c>
      <c r="F6" s="8">
        <f t="shared" ref="F6:F34" si="3">E6/1000000</f>
        <v>5</v>
      </c>
      <c r="G6" s="10">
        <f t="shared" ref="G6:G35" si="4">F6*3.07</f>
        <v>15.35</v>
      </c>
      <c r="H6" s="7">
        <f>'[8]Jun Prod'!F5</f>
        <v>7680000</v>
      </c>
      <c r="I6" s="8">
        <f t="shared" ref="I6:I34" si="5">H6/1000000</f>
        <v>7.68</v>
      </c>
      <c r="J6" s="10">
        <f t="shared" ref="J6:J35" si="6">I6*3.07</f>
        <v>23.577599999999997</v>
      </c>
      <c r="K6" s="7">
        <f>'[8]Jun Prod'!H253</f>
        <v>1011213</v>
      </c>
      <c r="L6" s="8">
        <f>K6/1000000</f>
        <v>1.0112129999999999</v>
      </c>
      <c r="M6" s="10">
        <f t="shared" ref="M6:M35" si="7">L6*3.07</f>
        <v>3.1044239099999995</v>
      </c>
      <c r="N6" s="21"/>
      <c r="O6" s="7">
        <f>'[8]Jun Prod'!H5</f>
        <v>15230000.000000002</v>
      </c>
      <c r="P6" s="8">
        <f t="shared" ref="P6:P34" si="8">O6/1000000</f>
        <v>15.230000000000002</v>
      </c>
      <c r="Q6" s="10">
        <f t="shared" ref="Q6:Q35" si="9">P6*3.07</f>
        <v>46.756100000000004</v>
      </c>
      <c r="R6" s="7">
        <f>'[8]Jun Prod'!C5</f>
        <v>15819000</v>
      </c>
      <c r="S6" s="8">
        <f t="shared" ref="S6:S34" si="10">R6/1000000</f>
        <v>15.819000000000001</v>
      </c>
      <c r="T6" s="10">
        <f t="shared" ref="T6:T35" si="11">S6*3.07</f>
        <v>48.564329999999998</v>
      </c>
      <c r="U6" s="7">
        <f>'[8]Jun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 Prod'!D253</f>
        <v>588999.9999999986</v>
      </c>
      <c r="Y6" s="8">
        <f t="shared" ref="Y6:Y34" si="14">X6/1000000</f>
        <v>0.58899999999999864</v>
      </c>
      <c r="Z6" s="10">
        <f t="shared" ref="Z6:Z35" si="15">Y6*3.07</f>
        <v>1.8082299999999958</v>
      </c>
      <c r="AA6" s="15"/>
      <c r="AB6" s="7">
        <f t="shared" ref="AB6:AD34" si="16">B6+O6</f>
        <v>27730000</v>
      </c>
      <c r="AC6" s="8">
        <f t="shared" si="16"/>
        <v>27.730000000000004</v>
      </c>
      <c r="AD6" s="8">
        <f t="shared" si="16"/>
        <v>85.131100000000004</v>
      </c>
      <c r="AF6" s="8">
        <f t="shared" si="0"/>
        <v>0</v>
      </c>
    </row>
    <row r="7" spans="1:32" x14ac:dyDescent="0.2">
      <c r="A7" s="27">
        <v>38506</v>
      </c>
      <c r="B7" s="7">
        <f>'[8]Jun Prod'!I6</f>
        <v>11700000.000000728</v>
      </c>
      <c r="C7" s="8">
        <f t="shared" si="1"/>
        <v>11.700000000000728</v>
      </c>
      <c r="D7" s="10">
        <f t="shared" si="2"/>
        <v>35.919000000002235</v>
      </c>
      <c r="E7" s="7">
        <f>'[8]Jun Prod'!E6</f>
        <v>4000000</v>
      </c>
      <c r="F7" s="8">
        <f t="shared" si="3"/>
        <v>4</v>
      </c>
      <c r="G7" s="10">
        <f t="shared" si="4"/>
        <v>12.28</v>
      </c>
      <c r="H7" s="7">
        <f>'[8]Jun Prod'!F6</f>
        <v>7150000</v>
      </c>
      <c r="I7" s="8">
        <f t="shared" si="5"/>
        <v>7.15</v>
      </c>
      <c r="J7" s="10">
        <f t="shared" si="6"/>
        <v>21.950500000000002</v>
      </c>
      <c r="K7" s="7">
        <f>'[8]Jun Prod'!H254</f>
        <v>1052154</v>
      </c>
      <c r="L7" s="8">
        <f t="shared" ref="L7:L34" si="17">K7/1000000</f>
        <v>1.052154</v>
      </c>
      <c r="M7" s="10">
        <f t="shared" si="7"/>
        <v>3.2301127799999998</v>
      </c>
      <c r="N7" s="21"/>
      <c r="O7" s="7">
        <f>'[8]Jun Prod'!H6</f>
        <v>16350000</v>
      </c>
      <c r="P7" s="8">
        <f t="shared" si="8"/>
        <v>16.350000000000001</v>
      </c>
      <c r="Q7" s="10">
        <f t="shared" si="9"/>
        <v>50.194500000000005</v>
      </c>
      <c r="R7" s="7">
        <f>'[8]Jun Prod'!C6</f>
        <v>16938000</v>
      </c>
      <c r="S7" s="8">
        <f t="shared" si="10"/>
        <v>16.937999999999999</v>
      </c>
      <c r="T7" s="10">
        <f t="shared" si="11"/>
        <v>51.999659999999992</v>
      </c>
      <c r="U7" s="7">
        <f>'[8]Jun Prod'!D6</f>
        <v>0</v>
      </c>
      <c r="V7" s="8">
        <f t="shared" si="12"/>
        <v>0</v>
      </c>
      <c r="W7" s="10">
        <f t="shared" si="13"/>
        <v>0</v>
      </c>
      <c r="X7" s="7">
        <f>'[8]Jun Prod'!D254</f>
        <v>588000.00000000093</v>
      </c>
      <c r="Y7" s="8">
        <f t="shared" si="14"/>
        <v>0.58800000000000097</v>
      </c>
      <c r="Z7" s="10">
        <f t="shared" si="15"/>
        <v>1.8051600000000028</v>
      </c>
      <c r="AA7" s="15"/>
      <c r="AB7" s="7">
        <f t="shared" si="16"/>
        <v>28050000.00000073</v>
      </c>
      <c r="AC7" s="8">
        <f t="shared" si="16"/>
        <v>28.050000000000729</v>
      </c>
      <c r="AD7" s="8">
        <f t="shared" si="16"/>
        <v>86.113500000002233</v>
      </c>
      <c r="AF7" s="8">
        <f t="shared" si="0"/>
        <v>-1.6209256159527285E-14</v>
      </c>
    </row>
    <row r="8" spans="1:32" x14ac:dyDescent="0.2">
      <c r="A8" s="27">
        <v>38507</v>
      </c>
      <c r="B8" s="7">
        <f>'[8]Jun Prod'!I7</f>
        <v>16299999.999999272</v>
      </c>
      <c r="C8" s="8">
        <f t="shared" si="1"/>
        <v>16.299999999999272</v>
      </c>
      <c r="D8" s="10">
        <f t="shared" si="2"/>
        <v>50.040999999997766</v>
      </c>
      <c r="E8" s="7">
        <f>'[8]Jun Prod'!E7</f>
        <v>7000000</v>
      </c>
      <c r="F8" s="8">
        <f t="shared" si="3"/>
        <v>7</v>
      </c>
      <c r="G8" s="10">
        <f t="shared" si="4"/>
        <v>21.49</v>
      </c>
      <c r="H8" s="7">
        <f>'[8]Jun Prod'!F7</f>
        <v>9150000</v>
      </c>
      <c r="I8" s="8">
        <f t="shared" si="5"/>
        <v>9.15</v>
      </c>
      <c r="J8" s="10">
        <f t="shared" si="6"/>
        <v>28.090499999999999</v>
      </c>
      <c r="K8" s="7">
        <f>'[8]Jun Prod'!H255</f>
        <v>1548015</v>
      </c>
      <c r="L8" s="8">
        <f t="shared" si="17"/>
        <v>1.5480149999999999</v>
      </c>
      <c r="M8" s="10">
        <f t="shared" si="7"/>
        <v>4.7524060499999994</v>
      </c>
      <c r="N8" s="21"/>
      <c r="O8" s="7">
        <f>'[8]Jun Prod'!H7</f>
        <v>15398999.999999998</v>
      </c>
      <c r="P8" s="8">
        <f t="shared" si="8"/>
        <v>15.398999999999997</v>
      </c>
      <c r="Q8" s="10">
        <f t="shared" si="9"/>
        <v>47.274929999999991</v>
      </c>
      <c r="R8" s="7">
        <f>'[8]Jun Prod'!C7</f>
        <v>15897000</v>
      </c>
      <c r="S8" s="8">
        <f t="shared" si="10"/>
        <v>15.897</v>
      </c>
      <c r="T8" s="10">
        <f t="shared" si="11"/>
        <v>48.803789999999999</v>
      </c>
      <c r="U8" s="7">
        <f>'[8]Jun Prod'!D7</f>
        <v>0</v>
      </c>
      <c r="V8" s="8">
        <f t="shared" si="12"/>
        <v>0</v>
      </c>
      <c r="W8" s="10">
        <f t="shared" si="13"/>
        <v>0</v>
      </c>
      <c r="X8" s="7">
        <f>'[8]Jun Prod'!D255</f>
        <v>498000.00000000111</v>
      </c>
      <c r="Y8" s="8">
        <f t="shared" si="14"/>
        <v>0.49800000000000111</v>
      </c>
      <c r="Z8" s="10">
        <f t="shared" si="15"/>
        <v>1.5288600000000032</v>
      </c>
      <c r="AA8" s="15"/>
      <c r="AB8" s="7">
        <f t="shared" si="16"/>
        <v>31698999.99999927</v>
      </c>
      <c r="AC8" s="8">
        <f t="shared" si="16"/>
        <v>31.69899999999927</v>
      </c>
      <c r="AD8" s="8">
        <f t="shared" si="16"/>
        <v>97.315929999997763</v>
      </c>
      <c r="AF8" s="8">
        <f t="shared" si="0"/>
        <v>5.5511151231257827E-15</v>
      </c>
    </row>
    <row r="9" spans="1:32" x14ac:dyDescent="0.2">
      <c r="A9" s="27">
        <v>38508</v>
      </c>
      <c r="B9" s="7">
        <f>'[8]Jun Prod'!I8</f>
        <v>13700000.000000728</v>
      </c>
      <c r="C9" s="8">
        <f t="shared" si="1"/>
        <v>13.700000000000728</v>
      </c>
      <c r="D9" s="10">
        <f t="shared" si="2"/>
        <v>42.059000000002229</v>
      </c>
      <c r="E9" s="7">
        <f>'[8]Jun Prod'!E8</f>
        <v>6000000</v>
      </c>
      <c r="F9" s="8">
        <f t="shared" si="3"/>
        <v>6</v>
      </c>
      <c r="G9" s="10">
        <f t="shared" si="4"/>
        <v>18.419999999999998</v>
      </c>
      <c r="H9" s="7">
        <f>'[8]Jun Prod'!F8</f>
        <v>8330000</v>
      </c>
      <c r="I9" s="8">
        <f t="shared" si="5"/>
        <v>8.33</v>
      </c>
      <c r="J9" s="10">
        <f t="shared" si="6"/>
        <v>25.5731</v>
      </c>
      <c r="K9" s="7">
        <f>'[8]Jun Prod'!H256</f>
        <v>1426900</v>
      </c>
      <c r="L9" s="8">
        <f t="shared" si="17"/>
        <v>1.4269000000000001</v>
      </c>
      <c r="M9" s="10">
        <f t="shared" si="7"/>
        <v>4.3805829999999997</v>
      </c>
      <c r="N9" s="21"/>
      <c r="O9" s="7">
        <f>'[8]Jun Prod'!H8</f>
        <v>13249000.000000002</v>
      </c>
      <c r="P9" s="8">
        <f t="shared" si="8"/>
        <v>13.249000000000002</v>
      </c>
      <c r="Q9" s="10">
        <f t="shared" si="9"/>
        <v>40.674430000000008</v>
      </c>
      <c r="R9" s="7">
        <f>'[8]Jun Prod'!C8</f>
        <v>13873000</v>
      </c>
      <c r="S9" s="8">
        <f t="shared" si="10"/>
        <v>13.872999999999999</v>
      </c>
      <c r="T9" s="10">
        <f t="shared" si="11"/>
        <v>42.590109999999996</v>
      </c>
      <c r="U9" s="7">
        <f>'[8]Jun Prod'!D8</f>
        <v>0</v>
      </c>
      <c r="V9" s="8">
        <f t="shared" si="12"/>
        <v>0</v>
      </c>
      <c r="W9" s="10">
        <f t="shared" si="13"/>
        <v>0</v>
      </c>
      <c r="X9" s="7">
        <f>'[8]Jun Prod'!D256</f>
        <v>623999.99999999884</v>
      </c>
      <c r="Y9" s="8">
        <f t="shared" si="14"/>
        <v>0.62399999999999889</v>
      </c>
      <c r="Z9" s="10">
        <f t="shared" si="15"/>
        <v>1.9156799999999965</v>
      </c>
      <c r="AA9" s="15"/>
      <c r="AB9" s="7">
        <f t="shared" si="16"/>
        <v>26949000.00000073</v>
      </c>
      <c r="AC9" s="8">
        <f t="shared" si="16"/>
        <v>26.94900000000073</v>
      </c>
      <c r="AD9" s="8">
        <f t="shared" si="16"/>
        <v>82.733430000002244</v>
      </c>
      <c r="AF9" s="8">
        <f t="shared" si="0"/>
        <v>-8.8817841970012523E-15</v>
      </c>
    </row>
    <row r="10" spans="1:32" x14ac:dyDescent="0.2">
      <c r="A10" s="27">
        <v>38509</v>
      </c>
      <c r="B10" s="7">
        <f>'[8]Jun Prod'!I9</f>
        <v>16000000</v>
      </c>
      <c r="C10" s="8">
        <f t="shared" si="1"/>
        <v>16</v>
      </c>
      <c r="D10" s="10">
        <f t="shared" si="2"/>
        <v>49.12</v>
      </c>
      <c r="E10" s="7">
        <f>'[8]Jun Prod'!E9</f>
        <v>7000000</v>
      </c>
      <c r="F10" s="8">
        <f t="shared" si="3"/>
        <v>7</v>
      </c>
      <c r="G10" s="10">
        <f t="shared" si="4"/>
        <v>21.49</v>
      </c>
      <c r="H10" s="7">
        <f>'[8]Jun Prod'!F9</f>
        <v>9190000</v>
      </c>
      <c r="I10" s="8">
        <f t="shared" si="5"/>
        <v>9.19</v>
      </c>
      <c r="J10" s="10">
        <f t="shared" si="6"/>
        <v>28.213299999999997</v>
      </c>
      <c r="K10" s="7">
        <f>'[8]Jun Prod'!H257</f>
        <v>1595201</v>
      </c>
      <c r="L10" s="8">
        <f t="shared" si="17"/>
        <v>1.5952010000000001</v>
      </c>
      <c r="M10" s="10">
        <f t="shared" si="7"/>
        <v>4.8972670699999998</v>
      </c>
      <c r="N10" s="21"/>
      <c r="O10" s="7">
        <f>'[8]Jun Prod'!H9</f>
        <v>13761999.999999998</v>
      </c>
      <c r="P10" s="8">
        <f t="shared" si="8"/>
        <v>13.761999999999999</v>
      </c>
      <c r="Q10" s="10">
        <f t="shared" si="9"/>
        <v>42.249339999999997</v>
      </c>
      <c r="R10" s="7">
        <f>'[8]Jun Prod'!C9</f>
        <v>14164000</v>
      </c>
      <c r="S10" s="8">
        <f t="shared" si="10"/>
        <v>14.164</v>
      </c>
      <c r="T10" s="10">
        <f t="shared" si="11"/>
        <v>43.48348</v>
      </c>
      <c r="U10" s="7">
        <f>'[8]Jun Prod'!D9</f>
        <v>0</v>
      </c>
      <c r="V10" s="8">
        <f t="shared" si="12"/>
        <v>0</v>
      </c>
      <c r="W10" s="10">
        <f t="shared" si="13"/>
        <v>0</v>
      </c>
      <c r="X10" s="7">
        <f>'[8]Jun Prod'!D257</f>
        <v>402000.00000000105</v>
      </c>
      <c r="Y10" s="8">
        <f t="shared" si="14"/>
        <v>0.40200000000000102</v>
      </c>
      <c r="Z10" s="10">
        <f t="shared" si="15"/>
        <v>1.2341400000000031</v>
      </c>
      <c r="AA10" s="15"/>
      <c r="AB10" s="7">
        <f t="shared" si="16"/>
        <v>29762000</v>
      </c>
      <c r="AC10" s="8">
        <f t="shared" si="16"/>
        <v>29.762</v>
      </c>
      <c r="AD10" s="8">
        <f t="shared" si="16"/>
        <v>91.369339999999994</v>
      </c>
      <c r="AF10" s="8">
        <f t="shared" si="0"/>
        <v>0</v>
      </c>
    </row>
    <row r="11" spans="1:32" x14ac:dyDescent="0.2">
      <c r="A11" s="27">
        <v>38510</v>
      </c>
      <c r="B11" s="7">
        <f>'[8]Jun Prod'!I10</f>
        <v>15500000</v>
      </c>
      <c r="C11" s="8">
        <f t="shared" si="1"/>
        <v>15.5</v>
      </c>
      <c r="D11" s="10">
        <f t="shared" si="2"/>
        <v>47.585000000000001</v>
      </c>
      <c r="E11" s="7">
        <f>'[8]Jun Prod'!E10</f>
        <v>6000000</v>
      </c>
      <c r="F11" s="8">
        <f t="shared" si="3"/>
        <v>6</v>
      </c>
      <c r="G11" s="10">
        <f t="shared" si="4"/>
        <v>18.419999999999998</v>
      </c>
      <c r="H11" s="7">
        <f>'[8]Jun Prod'!F10</f>
        <v>8890000</v>
      </c>
      <c r="I11" s="8">
        <f t="shared" si="5"/>
        <v>8.89</v>
      </c>
      <c r="J11" s="10">
        <f t="shared" si="6"/>
        <v>27.292300000000001</v>
      </c>
      <c r="K11" s="7">
        <f>'[8]Jun Prod'!H258</f>
        <v>1287250</v>
      </c>
      <c r="L11" s="8">
        <f t="shared" si="17"/>
        <v>1.28725</v>
      </c>
      <c r="M11" s="10">
        <f t="shared" si="7"/>
        <v>3.9518575</v>
      </c>
      <c r="N11" s="21"/>
      <c r="O11" s="7">
        <f>'[8]Jun Prod'!H10</f>
        <v>13530999.999999998</v>
      </c>
      <c r="P11" s="8">
        <f t="shared" si="8"/>
        <v>13.530999999999999</v>
      </c>
      <c r="Q11" s="10">
        <f t="shared" si="9"/>
        <v>41.540169999999996</v>
      </c>
      <c r="R11" s="7">
        <f>'[8]Jun Prod'!C10</f>
        <v>13779000</v>
      </c>
      <c r="S11" s="8">
        <f t="shared" si="10"/>
        <v>13.779</v>
      </c>
      <c r="T11" s="10">
        <f t="shared" si="11"/>
        <v>42.30153</v>
      </c>
      <c r="U11" s="7">
        <f>'[8]Jun Prod'!D10</f>
        <v>0</v>
      </c>
      <c r="V11" s="8">
        <f t="shared" si="12"/>
        <v>0</v>
      </c>
      <c r="W11" s="10">
        <f t="shared" si="13"/>
        <v>0</v>
      </c>
      <c r="X11" s="7">
        <f>'[8]Jun Prod'!D258</f>
        <v>248000.00000000111</v>
      </c>
      <c r="Y11" s="8">
        <f t="shared" si="14"/>
        <v>0.24800000000000111</v>
      </c>
      <c r="Z11" s="10">
        <f t="shared" si="15"/>
        <v>0.76136000000000337</v>
      </c>
      <c r="AA11" s="15"/>
      <c r="AB11" s="7">
        <f t="shared" si="16"/>
        <v>29031000</v>
      </c>
      <c r="AC11" s="8">
        <f t="shared" si="16"/>
        <v>29.030999999999999</v>
      </c>
      <c r="AD11" s="8">
        <f t="shared" si="16"/>
        <v>89.125169999999997</v>
      </c>
      <c r="AF11" s="8">
        <f t="shared" si="0"/>
        <v>0</v>
      </c>
    </row>
    <row r="12" spans="1:32" x14ac:dyDescent="0.2">
      <c r="A12" s="27">
        <v>38511</v>
      </c>
      <c r="B12" s="7">
        <f>'[8]Jun Prod'!I11</f>
        <v>15200000.000000728</v>
      </c>
      <c r="C12" s="8">
        <f t="shared" si="1"/>
        <v>15.200000000000728</v>
      </c>
      <c r="D12" s="10">
        <f t="shared" si="2"/>
        <v>46.664000000002233</v>
      </c>
      <c r="E12" s="7">
        <f>'[8]Jun Prod'!E11</f>
        <v>6000000</v>
      </c>
      <c r="F12" s="8">
        <f t="shared" si="3"/>
        <v>6</v>
      </c>
      <c r="G12" s="10">
        <f t="shared" si="4"/>
        <v>18.419999999999998</v>
      </c>
      <c r="H12" s="7">
        <f>'[8]Jun Prod'!F11</f>
        <v>9170000</v>
      </c>
      <c r="I12" s="8">
        <f t="shared" si="5"/>
        <v>9.17</v>
      </c>
      <c r="J12" s="10">
        <f t="shared" si="6"/>
        <v>28.151899999999998</v>
      </c>
      <c r="K12" s="7">
        <f>'[8]Jun Prod'!H259</f>
        <v>1397587</v>
      </c>
      <c r="L12" s="8">
        <f t="shared" si="17"/>
        <v>1.3975869999999999</v>
      </c>
      <c r="M12" s="10">
        <f t="shared" si="7"/>
        <v>4.2905920899999996</v>
      </c>
      <c r="N12" s="21"/>
      <c r="O12" s="7">
        <f>'[8]Jun Prod'!H11</f>
        <v>14124000.000000002</v>
      </c>
      <c r="P12" s="8">
        <f t="shared" si="8"/>
        <v>14.124000000000002</v>
      </c>
      <c r="Q12" s="10">
        <f t="shared" si="9"/>
        <v>43.360680000000002</v>
      </c>
      <c r="R12" s="7">
        <f>'[8]Jun Prod'!C11</f>
        <v>14649000</v>
      </c>
      <c r="S12" s="8">
        <f t="shared" si="10"/>
        <v>14.648999999999999</v>
      </c>
      <c r="T12" s="10">
        <f t="shared" si="11"/>
        <v>44.972429999999996</v>
      </c>
      <c r="U12" s="7">
        <f>'[8]Jun Prod'!D11</f>
        <v>0</v>
      </c>
      <c r="V12" s="8">
        <f t="shared" si="12"/>
        <v>0</v>
      </c>
      <c r="W12" s="10">
        <f t="shared" si="13"/>
        <v>0</v>
      </c>
      <c r="X12" s="7">
        <f>'[8]Jun Prod'!D259</f>
        <v>524999.9999999986</v>
      </c>
      <c r="Y12" s="8">
        <f t="shared" si="14"/>
        <v>0.52499999999999858</v>
      </c>
      <c r="Z12" s="10">
        <f t="shared" si="15"/>
        <v>1.6117499999999956</v>
      </c>
      <c r="AA12" s="15"/>
      <c r="AB12" s="7">
        <f t="shared" si="16"/>
        <v>29324000.00000073</v>
      </c>
      <c r="AC12" s="8">
        <f t="shared" si="16"/>
        <v>29.32400000000073</v>
      </c>
      <c r="AD12" s="8">
        <f t="shared" si="16"/>
        <v>90.024680000002235</v>
      </c>
      <c r="AF12" s="8">
        <f t="shared" si="0"/>
        <v>-1.9984014443252818E-15</v>
      </c>
    </row>
    <row r="13" spans="1:32" x14ac:dyDescent="0.2">
      <c r="A13" s="27">
        <v>38512</v>
      </c>
      <c r="B13" s="7">
        <f>'[8]Jun Prod'!I12</f>
        <v>9799999.9999992717</v>
      </c>
      <c r="C13" s="8">
        <f t="shared" si="1"/>
        <v>9.7999999999992724</v>
      </c>
      <c r="D13" s="10">
        <f t="shared" si="2"/>
        <v>30.085999999997764</v>
      </c>
      <c r="E13" s="7">
        <f>'[8]Jun Prod'!E12</f>
        <v>4000000</v>
      </c>
      <c r="F13" s="8">
        <f t="shared" si="3"/>
        <v>4</v>
      </c>
      <c r="G13" s="10">
        <f t="shared" si="4"/>
        <v>12.28</v>
      </c>
      <c r="H13" s="7">
        <f>'[8]Jun Prod'!F12</f>
        <v>6360000</v>
      </c>
      <c r="I13" s="8">
        <f t="shared" si="5"/>
        <v>6.36</v>
      </c>
      <c r="J13" s="10">
        <f t="shared" si="6"/>
        <v>19.525200000000002</v>
      </c>
      <c r="K13" s="7">
        <f>'[8]Jun Prod'!H260</f>
        <v>1041421</v>
      </c>
      <c r="L13" s="8">
        <f t="shared" si="17"/>
        <v>1.0414209999999999</v>
      </c>
      <c r="M13" s="10">
        <f t="shared" si="7"/>
        <v>3.1971624699999994</v>
      </c>
      <c r="N13" s="21"/>
      <c r="O13" s="7">
        <f>'[8]Jun Prod'!H12</f>
        <v>10211999.999999998</v>
      </c>
      <c r="P13" s="8">
        <f t="shared" si="8"/>
        <v>10.211999999999998</v>
      </c>
      <c r="Q13" s="10">
        <f t="shared" si="9"/>
        <v>31.350839999999991</v>
      </c>
      <c r="R13" s="7">
        <f>'[8]Jun Prod'!C12</f>
        <v>10809000</v>
      </c>
      <c r="S13" s="8">
        <f t="shared" si="10"/>
        <v>10.808999999999999</v>
      </c>
      <c r="T13" s="10">
        <f t="shared" si="11"/>
        <v>33.183629999999994</v>
      </c>
      <c r="U13" s="7">
        <f>'[8]Jun Prod'!D12</f>
        <v>0</v>
      </c>
      <c r="V13" s="8">
        <f t="shared" si="12"/>
        <v>0</v>
      </c>
      <c r="W13" s="10">
        <f t="shared" si="13"/>
        <v>0</v>
      </c>
      <c r="X13" s="7">
        <f>'[8]Jun Prod'!D260</f>
        <v>597000.00000000128</v>
      </c>
      <c r="Y13" s="8">
        <f t="shared" si="14"/>
        <v>0.59700000000000131</v>
      </c>
      <c r="Z13" s="10">
        <f t="shared" si="15"/>
        <v>1.8327900000000039</v>
      </c>
      <c r="AA13" s="15"/>
      <c r="AB13" s="7">
        <f t="shared" si="16"/>
        <v>20011999.99999927</v>
      </c>
      <c r="AC13" s="8">
        <f t="shared" si="16"/>
        <v>20.011999999999269</v>
      </c>
      <c r="AD13" s="8">
        <f t="shared" si="16"/>
        <v>61.436839999997758</v>
      </c>
      <c r="AF13" s="8">
        <f t="shared" si="0"/>
        <v>0</v>
      </c>
    </row>
    <row r="14" spans="1:32" x14ac:dyDescent="0.2">
      <c r="A14" s="27">
        <v>38513</v>
      </c>
      <c r="B14" s="7">
        <f>'[8]Jun Prod'!I13</f>
        <v>13099999.999998545</v>
      </c>
      <c r="C14" s="8">
        <f t="shared" si="1"/>
        <v>13.099999999998545</v>
      </c>
      <c r="D14" s="10">
        <f t="shared" si="2"/>
        <v>40.216999999995529</v>
      </c>
      <c r="E14" s="7">
        <f>'[8]Jun Prod'!E13</f>
        <v>5000000</v>
      </c>
      <c r="F14" s="8">
        <f t="shared" si="3"/>
        <v>5</v>
      </c>
      <c r="G14" s="10">
        <f t="shared" si="4"/>
        <v>15.35</v>
      </c>
      <c r="H14" s="7">
        <f>'[8]Jun Prod'!F13</f>
        <v>7670000</v>
      </c>
      <c r="I14" s="8">
        <f t="shared" si="5"/>
        <v>7.67</v>
      </c>
      <c r="J14" s="10">
        <f t="shared" si="6"/>
        <v>23.546899999999997</v>
      </c>
      <c r="K14" s="7">
        <f>'[8]Jun Prod'!H261</f>
        <v>1133341</v>
      </c>
      <c r="L14" s="8">
        <f t="shared" si="17"/>
        <v>1.1333409999999999</v>
      </c>
      <c r="M14" s="10">
        <f t="shared" si="7"/>
        <v>3.4793568699999997</v>
      </c>
      <c r="N14" s="21"/>
      <c r="O14" s="7">
        <f>'[8]Jun Prod'!H13</f>
        <v>12575000.000000002</v>
      </c>
      <c r="P14" s="8">
        <f t="shared" si="8"/>
        <v>12.575000000000001</v>
      </c>
      <c r="Q14" s="10">
        <f t="shared" si="9"/>
        <v>38.605249999999998</v>
      </c>
      <c r="R14" s="7">
        <f>'[8]Jun Prod'!C13</f>
        <v>13108000</v>
      </c>
      <c r="S14" s="56">
        <f t="shared" si="10"/>
        <v>13.108000000000001</v>
      </c>
      <c r="T14" s="10">
        <f t="shared" si="11"/>
        <v>40.24156</v>
      </c>
      <c r="U14" s="7">
        <f>'[8]Jun Prod'!D13</f>
        <v>0</v>
      </c>
      <c r="V14" s="8">
        <f t="shared" si="12"/>
        <v>0</v>
      </c>
      <c r="W14" s="10">
        <f t="shared" si="13"/>
        <v>0</v>
      </c>
      <c r="X14" s="7">
        <f>'[8]Jun Prod'!D261</f>
        <v>532999.99999999767</v>
      </c>
      <c r="Y14" s="8">
        <f t="shared" si="14"/>
        <v>0.5329999999999977</v>
      </c>
      <c r="Z14" s="10">
        <f t="shared" si="15"/>
        <v>1.6363099999999928</v>
      </c>
      <c r="AA14" s="15"/>
      <c r="AB14" s="7">
        <f t="shared" si="16"/>
        <v>25674999.999998547</v>
      </c>
      <c r="AC14" s="8">
        <f t="shared" si="16"/>
        <v>25.674999999998548</v>
      </c>
      <c r="AD14" s="8">
        <f t="shared" si="16"/>
        <v>78.822249999995535</v>
      </c>
      <c r="AF14" s="8">
        <f t="shared" si="0"/>
        <v>8.8817841970012523E-15</v>
      </c>
    </row>
    <row r="15" spans="1:32" x14ac:dyDescent="0.2">
      <c r="A15" s="27">
        <v>38514</v>
      </c>
      <c r="B15" s="7">
        <f>'[8]Jun Prod'!I14</f>
        <v>15000000</v>
      </c>
      <c r="C15" s="8">
        <f t="shared" si="1"/>
        <v>15</v>
      </c>
      <c r="D15" s="10">
        <f t="shared" si="2"/>
        <v>46.05</v>
      </c>
      <c r="E15" s="7">
        <f>'[8]Jun Prod'!E14</f>
        <v>6000000</v>
      </c>
      <c r="F15" s="8">
        <f t="shared" si="3"/>
        <v>6</v>
      </c>
      <c r="G15" s="10">
        <f t="shared" si="4"/>
        <v>18.419999999999998</v>
      </c>
      <c r="H15" s="7">
        <f>'[8]Jun Prod'!F14</f>
        <v>9000000</v>
      </c>
      <c r="I15" s="8">
        <f t="shared" si="5"/>
        <v>9</v>
      </c>
      <c r="J15" s="10">
        <f t="shared" si="6"/>
        <v>27.63</v>
      </c>
      <c r="K15" s="7">
        <f>'[8]Jun Prod'!H262</f>
        <v>1379840</v>
      </c>
      <c r="L15" s="8">
        <f t="shared" si="17"/>
        <v>1.37984</v>
      </c>
      <c r="M15" s="10">
        <f t="shared" si="7"/>
        <v>4.2361087999999993</v>
      </c>
      <c r="N15" s="21"/>
      <c r="O15" s="7">
        <f>'[8]Jun Prod'!H14</f>
        <v>14862000</v>
      </c>
      <c r="P15" s="8">
        <f t="shared" si="8"/>
        <v>14.862</v>
      </c>
      <c r="Q15" s="10">
        <f t="shared" si="9"/>
        <v>45.626339999999999</v>
      </c>
      <c r="R15" s="7">
        <f>'[8]Jun Prod'!C14</f>
        <v>15278000</v>
      </c>
      <c r="S15" s="56">
        <f t="shared" si="10"/>
        <v>15.278</v>
      </c>
      <c r="T15" s="10">
        <f t="shared" si="11"/>
        <v>46.903459999999995</v>
      </c>
      <c r="U15" s="7">
        <f>'[8]Jun Prod'!D14</f>
        <v>0</v>
      </c>
      <c r="V15" s="8">
        <f t="shared" si="12"/>
        <v>0</v>
      </c>
      <c r="W15" s="10">
        <f t="shared" si="13"/>
        <v>0</v>
      </c>
      <c r="X15" s="7">
        <f>'[8]Jun Prod'!D262</f>
        <v>416000.00000000035</v>
      </c>
      <c r="Y15" s="8">
        <f t="shared" si="14"/>
        <v>0.41600000000000037</v>
      </c>
      <c r="Z15" s="10">
        <f t="shared" si="15"/>
        <v>1.2771200000000011</v>
      </c>
      <c r="AA15" s="15"/>
      <c r="AB15" s="7">
        <f t="shared" si="16"/>
        <v>29862000</v>
      </c>
      <c r="AC15" s="8">
        <f t="shared" si="16"/>
        <v>29.862000000000002</v>
      </c>
      <c r="AD15" s="8">
        <f t="shared" si="16"/>
        <v>91.676339999999996</v>
      </c>
      <c r="AF15" s="8">
        <f>T15-Q15-Z15</f>
        <v>-4.6629367034256575E-15</v>
      </c>
    </row>
    <row r="16" spans="1:32" x14ac:dyDescent="0.2">
      <c r="A16" s="27">
        <v>38515</v>
      </c>
      <c r="B16" s="7">
        <f>'[8]Jun Prod'!I15</f>
        <v>12000000</v>
      </c>
      <c r="C16" s="8">
        <f t="shared" si="1"/>
        <v>12</v>
      </c>
      <c r="D16" s="10">
        <f t="shared" si="2"/>
        <v>36.839999999999996</v>
      </c>
      <c r="E16" s="7">
        <f>'[8]Jun Prod'!E15</f>
        <v>4000000</v>
      </c>
      <c r="F16" s="8">
        <f t="shared" si="3"/>
        <v>4</v>
      </c>
      <c r="G16" s="10">
        <f t="shared" si="4"/>
        <v>12.28</v>
      </c>
      <c r="H16" s="7">
        <f>'[8]Jun Prod'!F15</f>
        <v>7840000</v>
      </c>
      <c r="I16" s="8">
        <f t="shared" si="5"/>
        <v>7.84</v>
      </c>
      <c r="J16" s="10">
        <f t="shared" si="6"/>
        <v>24.0688</v>
      </c>
      <c r="K16" s="7">
        <f>'[8]Jun Prod'!H263</f>
        <v>1178313</v>
      </c>
      <c r="L16" s="8">
        <f t="shared" si="17"/>
        <v>1.1783129999999999</v>
      </c>
      <c r="M16" s="10">
        <f t="shared" si="7"/>
        <v>3.6174209099999994</v>
      </c>
      <c r="N16" s="21"/>
      <c r="O16" s="7">
        <f>'[8]Jun Prod'!H15</f>
        <v>13493999.999999998</v>
      </c>
      <c r="P16" s="8">
        <f t="shared" si="8"/>
        <v>13.493999999999998</v>
      </c>
      <c r="Q16" s="10">
        <f t="shared" si="9"/>
        <v>41.426579999999994</v>
      </c>
      <c r="R16" s="7">
        <f>'[8]Jun Prod'!C15</f>
        <v>13908000</v>
      </c>
      <c r="S16" s="56">
        <f t="shared" si="10"/>
        <v>13.907999999999999</v>
      </c>
      <c r="T16" s="10">
        <f t="shared" si="11"/>
        <v>42.697559999999996</v>
      </c>
      <c r="U16" s="7">
        <f>'[8]Jun Prod'!D15</f>
        <v>0</v>
      </c>
      <c r="V16" s="8">
        <f t="shared" si="12"/>
        <v>0</v>
      </c>
      <c r="W16" s="10">
        <f t="shared" si="13"/>
        <v>0</v>
      </c>
      <c r="X16" s="7">
        <f>'[8]Jun Prod'!D263</f>
        <v>414000.00000000146</v>
      </c>
      <c r="Y16" s="8">
        <f t="shared" si="14"/>
        <v>0.41400000000000148</v>
      </c>
      <c r="Z16" s="10">
        <f t="shared" si="15"/>
        <v>1.2709800000000044</v>
      </c>
      <c r="AA16" s="15"/>
      <c r="AB16" s="7">
        <f t="shared" si="16"/>
        <v>25494000</v>
      </c>
      <c r="AC16" s="8">
        <f t="shared" si="16"/>
        <v>25.494</v>
      </c>
      <c r="AD16" s="8">
        <f t="shared" si="16"/>
        <v>78.26657999999999</v>
      </c>
      <c r="AF16" s="8">
        <f>T16-Q16-Z16</f>
        <v>-2.886579864025407E-15</v>
      </c>
    </row>
    <row r="17" spans="1:32" x14ac:dyDescent="0.2">
      <c r="A17" s="27">
        <v>38516</v>
      </c>
      <c r="B17" s="7">
        <f>'[8]Jun Prod'!I16</f>
        <v>15200000.000000728</v>
      </c>
      <c r="C17" s="8">
        <f t="shared" si="1"/>
        <v>15.200000000000728</v>
      </c>
      <c r="D17" s="10">
        <f t="shared" si="2"/>
        <v>46.664000000002233</v>
      </c>
      <c r="E17" s="7">
        <f>'[8]Jun Prod'!E16</f>
        <v>6000000</v>
      </c>
      <c r="F17" s="8">
        <f t="shared" si="3"/>
        <v>6</v>
      </c>
      <c r="G17" s="10">
        <f t="shared" si="4"/>
        <v>18.419999999999998</v>
      </c>
      <c r="H17" s="7">
        <f>'[8]Jun Prod'!F16</f>
        <v>8900000</v>
      </c>
      <c r="I17" s="8">
        <f t="shared" si="5"/>
        <v>8.9</v>
      </c>
      <c r="J17" s="10">
        <f t="shared" si="6"/>
        <v>27.323</v>
      </c>
      <c r="K17" s="7">
        <f>'[8]Jun Prod'!H264</f>
        <v>1316524</v>
      </c>
      <c r="L17" s="8">
        <f t="shared" si="17"/>
        <v>1.316524</v>
      </c>
      <c r="M17" s="10">
        <f t="shared" si="7"/>
        <v>4.0417286800000003</v>
      </c>
      <c r="N17" s="21"/>
      <c r="O17" s="7">
        <f>'[8]Jun Prod'!H16</f>
        <v>15854000.000000002</v>
      </c>
      <c r="P17" s="8">
        <f t="shared" si="8"/>
        <v>15.854000000000001</v>
      </c>
      <c r="Q17" s="10">
        <f t="shared" si="9"/>
        <v>48.671779999999998</v>
      </c>
      <c r="R17" s="7">
        <f>'[8]Jun Prod'!C16</f>
        <v>16364000</v>
      </c>
      <c r="S17" s="56">
        <f t="shared" si="10"/>
        <v>16.364000000000001</v>
      </c>
      <c r="T17" s="10">
        <f t="shared" si="11"/>
        <v>50.237479999999998</v>
      </c>
      <c r="U17" s="7">
        <f>'[8]Jun Prod'!D16</f>
        <v>0</v>
      </c>
      <c r="V17" s="8">
        <f t="shared" si="12"/>
        <v>0</v>
      </c>
      <c r="W17" s="10">
        <f t="shared" si="13"/>
        <v>0</v>
      </c>
      <c r="X17" s="7">
        <f>'[8]Jun Prod'!D264</f>
        <v>509999.99999999802</v>
      </c>
      <c r="Y17" s="8">
        <f t="shared" si="14"/>
        <v>0.50999999999999801</v>
      </c>
      <c r="Z17" s="10">
        <f t="shared" si="15"/>
        <v>1.5656999999999939</v>
      </c>
      <c r="AA17" s="15"/>
      <c r="AB17" s="7">
        <f t="shared" si="16"/>
        <v>31054000.00000073</v>
      </c>
      <c r="AC17" s="8">
        <f t="shared" si="16"/>
        <v>31.054000000000727</v>
      </c>
      <c r="AD17" s="8">
        <f t="shared" si="16"/>
        <v>95.335780000002231</v>
      </c>
      <c r="AF17" s="8">
        <f>T17-Q17-Z17</f>
        <v>5.773159728050814E-15</v>
      </c>
    </row>
    <row r="18" spans="1:32" x14ac:dyDescent="0.2">
      <c r="A18" s="27">
        <v>38517</v>
      </c>
      <c r="B18" s="7">
        <f>'[8]Jun Prod'!I17</f>
        <v>14599999.999998545</v>
      </c>
      <c r="C18" s="8">
        <f t="shared" si="1"/>
        <v>14.599999999998545</v>
      </c>
      <c r="D18" s="10">
        <f t="shared" si="2"/>
        <v>44.821999999995533</v>
      </c>
      <c r="E18" s="7">
        <f>'[8]Jun Prod'!E17</f>
        <v>7000000</v>
      </c>
      <c r="F18" s="8">
        <f t="shared" si="3"/>
        <v>7</v>
      </c>
      <c r="G18" s="10">
        <f t="shared" si="4"/>
        <v>21.49</v>
      </c>
      <c r="H18" s="7">
        <f>'[8]Jun Prod'!F17</f>
        <v>8130000.0000000009</v>
      </c>
      <c r="I18" s="8">
        <f t="shared" si="5"/>
        <v>8.1300000000000008</v>
      </c>
      <c r="J18" s="10">
        <f t="shared" si="6"/>
        <v>24.959099999999999</v>
      </c>
      <c r="K18" s="7">
        <f>'[8]Jun Prod'!H265</f>
        <v>1321734</v>
      </c>
      <c r="L18" s="8">
        <f t="shared" si="17"/>
        <v>1.321734</v>
      </c>
      <c r="M18" s="10">
        <f t="shared" si="7"/>
        <v>4.0577233799999997</v>
      </c>
      <c r="N18" s="21"/>
      <c r="O18" s="7">
        <f>'[8]Jun Prod'!H17</f>
        <v>15587999.999999998</v>
      </c>
      <c r="P18" s="8">
        <f t="shared" si="8"/>
        <v>15.587999999999997</v>
      </c>
      <c r="Q18" s="10">
        <f t="shared" si="9"/>
        <v>47.855159999999991</v>
      </c>
      <c r="R18" s="7">
        <f>'[8]Jun Prod'!C17</f>
        <v>16162000</v>
      </c>
      <c r="S18" s="56">
        <f t="shared" si="10"/>
        <v>16.161999999999999</v>
      </c>
      <c r="T18" s="10">
        <f t="shared" si="11"/>
        <v>49.617339999999992</v>
      </c>
      <c r="U18" s="7">
        <f>'[8]Jun Prod'!D17</f>
        <v>0</v>
      </c>
      <c r="V18" s="8">
        <f t="shared" si="12"/>
        <v>0</v>
      </c>
      <c r="W18" s="10">
        <f t="shared" si="13"/>
        <v>0</v>
      </c>
      <c r="X18" s="7">
        <f>'[8]Jun Prod'!D265</f>
        <v>574000.00000000163</v>
      </c>
      <c r="Y18" s="8">
        <f t="shared" si="14"/>
        <v>0.57400000000000162</v>
      </c>
      <c r="Z18" s="10">
        <f t="shared" si="15"/>
        <v>1.762180000000005</v>
      </c>
      <c r="AA18" s="15"/>
      <c r="AB18" s="7">
        <f t="shared" si="16"/>
        <v>30187999.999998543</v>
      </c>
      <c r="AC18" s="8">
        <f t="shared" si="16"/>
        <v>30.187999999998542</v>
      </c>
      <c r="AD18" s="8">
        <f t="shared" si="16"/>
        <v>92.677159999995524</v>
      </c>
      <c r="AF18" s="8">
        <f>T18-Q18-Z18</f>
        <v>-4.2188474935755949E-15</v>
      </c>
    </row>
    <row r="19" spans="1:32" x14ac:dyDescent="0.2">
      <c r="A19" s="27">
        <v>38518</v>
      </c>
      <c r="B19" s="7">
        <f>'[8]Jun Prod'!I18</f>
        <v>15500000</v>
      </c>
      <c r="C19" s="8">
        <f t="shared" si="1"/>
        <v>15.5</v>
      </c>
      <c r="D19" s="10">
        <f t="shared" si="2"/>
        <v>47.585000000000001</v>
      </c>
      <c r="E19" s="7">
        <f>'[8]Jun Prod'!E18</f>
        <v>7000000</v>
      </c>
      <c r="F19" s="8">
        <f t="shared" si="3"/>
        <v>7</v>
      </c>
      <c r="G19" s="10">
        <f t="shared" si="4"/>
        <v>21.49</v>
      </c>
      <c r="H19" s="7">
        <f>'[8]Jun Prod'!F18</f>
        <v>7620000</v>
      </c>
      <c r="I19" s="8">
        <f t="shared" si="5"/>
        <v>7.62</v>
      </c>
      <c r="J19" s="10">
        <f t="shared" si="6"/>
        <v>23.3934</v>
      </c>
      <c r="K19" s="7">
        <f>'[8]Jun Prod'!H266</f>
        <v>1394397</v>
      </c>
      <c r="L19" s="8">
        <f t="shared" si="17"/>
        <v>1.3943970000000001</v>
      </c>
      <c r="M19" s="10">
        <f t="shared" si="7"/>
        <v>4.2807987900000004</v>
      </c>
      <c r="N19" s="21"/>
      <c r="O19" s="7">
        <f>'[8]Jun Prod'!H18</f>
        <v>15381000.000000002</v>
      </c>
      <c r="P19" s="8">
        <f t="shared" si="8"/>
        <v>15.381000000000002</v>
      </c>
      <c r="Q19" s="10">
        <f t="shared" si="9"/>
        <v>47.219670000000001</v>
      </c>
      <c r="R19" s="7">
        <f>'[8]Jun Prod'!C18</f>
        <v>15947000</v>
      </c>
      <c r="S19" s="56">
        <f t="shared" si="10"/>
        <v>15.946999999999999</v>
      </c>
      <c r="T19" s="10">
        <f t="shared" si="11"/>
        <v>48.957289999999993</v>
      </c>
      <c r="U19" s="7">
        <f>'[8]Jun Prod'!D18</f>
        <v>0</v>
      </c>
      <c r="V19" s="8">
        <f t="shared" si="12"/>
        <v>0</v>
      </c>
      <c r="W19" s="10">
        <f t="shared" si="13"/>
        <v>0</v>
      </c>
      <c r="X19" s="7">
        <f>'[8]Jun Prod'!D266</f>
        <v>565999.99999999895</v>
      </c>
      <c r="Y19" s="8">
        <f t="shared" si="14"/>
        <v>0.56599999999999895</v>
      </c>
      <c r="Z19" s="10">
        <f t="shared" si="15"/>
        <v>1.7376199999999966</v>
      </c>
      <c r="AA19" s="15"/>
      <c r="AB19" s="7">
        <f t="shared" si="16"/>
        <v>30881000</v>
      </c>
      <c r="AC19" s="8">
        <f t="shared" si="16"/>
        <v>30.881</v>
      </c>
      <c r="AD19" s="8">
        <f t="shared" si="16"/>
        <v>94.804670000000002</v>
      </c>
      <c r="AF19" s="8">
        <f>T19-Q19-Z19</f>
        <v>-3.9968028886505635E-15</v>
      </c>
    </row>
    <row r="20" spans="1:32" x14ac:dyDescent="0.2">
      <c r="A20" s="27">
        <v>38519</v>
      </c>
      <c r="B20" s="7">
        <f>'[8]Jun Prod'!I19</f>
        <v>14800000.000002909</v>
      </c>
      <c r="C20" s="8">
        <f t="shared" si="1"/>
        <v>14.800000000002909</v>
      </c>
      <c r="D20" s="10">
        <f t="shared" si="2"/>
        <v>45.436000000008924</v>
      </c>
      <c r="E20" s="7">
        <f>'[8]Jun Prod'!E19</f>
        <v>8000000</v>
      </c>
      <c r="F20" s="8">
        <f t="shared" si="3"/>
        <v>8</v>
      </c>
      <c r="G20" s="10">
        <f t="shared" si="4"/>
        <v>24.56</v>
      </c>
      <c r="H20" s="7">
        <f>'[8]Jun Prod'!F19</f>
        <v>7930000</v>
      </c>
      <c r="I20" s="8">
        <f t="shared" si="5"/>
        <v>7.93</v>
      </c>
      <c r="J20" s="10">
        <f t="shared" si="6"/>
        <v>24.345099999999999</v>
      </c>
      <c r="K20" s="7">
        <f>'[8]Jun Prod'!H267</f>
        <v>1317736</v>
      </c>
      <c r="L20" s="8">
        <f t="shared" si="17"/>
        <v>1.317736</v>
      </c>
      <c r="M20" s="10">
        <f t="shared" si="7"/>
        <v>4.04544952</v>
      </c>
      <c r="N20" s="21"/>
      <c r="O20" s="7">
        <f>'[8]Jun Prod'!H19</f>
        <v>15677000.000000002</v>
      </c>
      <c r="P20" s="8">
        <f t="shared" si="8"/>
        <v>15.677000000000001</v>
      </c>
      <c r="Q20" s="10">
        <f t="shared" si="9"/>
        <v>48.128390000000003</v>
      </c>
      <c r="R20" s="7">
        <f>'[8]Jun Prod'!C19</f>
        <v>16173000</v>
      </c>
      <c r="S20" s="56">
        <f t="shared" si="10"/>
        <v>16.172999999999998</v>
      </c>
      <c r="T20" s="10">
        <f t="shared" si="11"/>
        <v>49.651109999999996</v>
      </c>
      <c r="U20" s="7">
        <f>'[8]Jun Prod'!D19</f>
        <v>0</v>
      </c>
      <c r="V20" s="8">
        <f t="shared" si="12"/>
        <v>0</v>
      </c>
      <c r="W20" s="10">
        <f t="shared" si="13"/>
        <v>0</v>
      </c>
      <c r="X20" s="7">
        <f>'[8]Jun Prod'!D267</f>
        <v>495999.99999999866</v>
      </c>
      <c r="Y20" s="8">
        <f t="shared" si="14"/>
        <v>0.49599999999999866</v>
      </c>
      <c r="Z20" s="10">
        <f t="shared" si="15"/>
        <v>1.5227199999999959</v>
      </c>
      <c r="AA20" s="15"/>
      <c r="AB20" s="7">
        <f t="shared" si="16"/>
        <v>30477000.000002913</v>
      </c>
      <c r="AC20" s="8">
        <f t="shared" si="16"/>
        <v>30.47700000000291</v>
      </c>
      <c r="AD20" s="8">
        <f t="shared" si="16"/>
        <v>93.564390000008927</v>
      </c>
      <c r="AF20" s="8">
        <f t="shared" ref="AF20:AF34" si="18">T20-Q20-Z20</f>
        <v>-3.3306690738754696E-15</v>
      </c>
    </row>
    <row r="21" spans="1:32" x14ac:dyDescent="0.2">
      <c r="A21" s="27">
        <v>38520</v>
      </c>
      <c r="B21" s="7">
        <f>'[8]Jun Prod'!I20</f>
        <v>17099999.999998543</v>
      </c>
      <c r="C21" s="8">
        <f t="shared" si="1"/>
        <v>17.099999999998545</v>
      </c>
      <c r="D21" s="10">
        <f t="shared" si="2"/>
        <v>52.496999999995531</v>
      </c>
      <c r="E21" s="7">
        <f>'[8]Jun Prod'!E20</f>
        <v>9000000</v>
      </c>
      <c r="F21" s="8">
        <f t="shared" si="3"/>
        <v>9</v>
      </c>
      <c r="G21" s="10">
        <f t="shared" si="4"/>
        <v>27.63</v>
      </c>
      <c r="H21" s="7">
        <f>'[8]Jun Prod'!F20</f>
        <v>8730000</v>
      </c>
      <c r="I21" s="8">
        <f t="shared" si="5"/>
        <v>8.73</v>
      </c>
      <c r="J21" s="10">
        <f t="shared" si="6"/>
        <v>26.801099999999998</v>
      </c>
      <c r="K21" s="7">
        <f>'[8]Jun Prod'!H268</f>
        <v>1701126</v>
      </c>
      <c r="L21" s="8">
        <f t="shared" si="17"/>
        <v>1.7011259999999999</v>
      </c>
      <c r="M21" s="10">
        <f t="shared" si="7"/>
        <v>5.2224568199999997</v>
      </c>
      <c r="N21" s="21"/>
      <c r="O21" s="7">
        <f>'[8]Jun Prod'!H20</f>
        <v>15764999.999999996</v>
      </c>
      <c r="P21" s="8">
        <f t="shared" si="8"/>
        <v>15.764999999999997</v>
      </c>
      <c r="Q21" s="10">
        <f t="shared" si="9"/>
        <v>48.398549999999986</v>
      </c>
      <c r="R21" s="7">
        <f>'[8]Jun Prod'!C20</f>
        <v>16227000</v>
      </c>
      <c r="S21" s="8">
        <f t="shared" si="10"/>
        <v>16.227</v>
      </c>
      <c r="T21" s="10">
        <f t="shared" si="11"/>
        <v>49.816890000000001</v>
      </c>
      <c r="U21" s="7">
        <f>'[8]Jun Prod'!D20</f>
        <v>0</v>
      </c>
      <c r="V21" s="8">
        <f t="shared" si="12"/>
        <v>0</v>
      </c>
      <c r="W21" s="10">
        <f t="shared" si="13"/>
        <v>0</v>
      </c>
      <c r="X21" s="7">
        <f>'[8]Jun Prod'!D268</f>
        <v>462000.00000000332</v>
      </c>
      <c r="Y21" s="8">
        <f t="shared" si="14"/>
        <v>0.4620000000000033</v>
      </c>
      <c r="Z21" s="10">
        <f t="shared" si="15"/>
        <v>1.4183400000000101</v>
      </c>
      <c r="AA21" s="15"/>
      <c r="AB21" s="7">
        <f t="shared" si="16"/>
        <v>32864999.99999854</v>
      </c>
      <c r="AC21" s="8">
        <f t="shared" si="16"/>
        <v>32.864999999998545</v>
      </c>
      <c r="AD21" s="8">
        <f t="shared" si="16"/>
        <v>100.89554999999552</v>
      </c>
      <c r="AF21" s="8">
        <f t="shared" si="18"/>
        <v>4.6629367034256575E-15</v>
      </c>
    </row>
    <row r="22" spans="1:32" x14ac:dyDescent="0.2">
      <c r="A22" s="27">
        <v>38521</v>
      </c>
      <c r="B22" s="7">
        <f>'[8]Jun Prod'!I21</f>
        <v>19599999.999998543</v>
      </c>
      <c r="C22" s="8">
        <f t="shared" si="1"/>
        <v>19.599999999998545</v>
      </c>
      <c r="D22" s="10">
        <f t="shared" si="2"/>
        <v>60.171999999995528</v>
      </c>
      <c r="E22" s="7">
        <f>'[8]Jun Prod'!E21</f>
        <v>11000000</v>
      </c>
      <c r="F22" s="8">
        <f t="shared" si="3"/>
        <v>11</v>
      </c>
      <c r="G22" s="10">
        <f t="shared" si="4"/>
        <v>33.769999999999996</v>
      </c>
      <c r="H22" s="7">
        <f>'[8]Jun Prod'!F21</f>
        <v>8369999.9999999991</v>
      </c>
      <c r="I22" s="8">
        <f t="shared" si="5"/>
        <v>8.3699999999999992</v>
      </c>
      <c r="J22" s="10">
        <f t="shared" si="6"/>
        <v>25.695899999999995</v>
      </c>
      <c r="K22" s="7">
        <f>'[8]Jun Prod'!H269</f>
        <v>2003159</v>
      </c>
      <c r="L22" s="8">
        <f t="shared" si="17"/>
        <v>2.0031590000000001</v>
      </c>
      <c r="M22" s="10">
        <f t="shared" si="7"/>
        <v>6.14969813</v>
      </c>
      <c r="N22" s="21"/>
      <c r="O22" s="7">
        <f>'[8]Jun Prod'!H21</f>
        <v>14245000.000000002</v>
      </c>
      <c r="P22" s="8">
        <f t="shared" si="8"/>
        <v>14.245000000000001</v>
      </c>
      <c r="Q22" s="10">
        <f t="shared" si="9"/>
        <v>43.732150000000004</v>
      </c>
      <c r="R22" s="7">
        <f>'[8]Jun Prod'!C21</f>
        <v>14772000</v>
      </c>
      <c r="S22" s="8">
        <f t="shared" si="10"/>
        <v>14.772</v>
      </c>
      <c r="T22" s="10">
        <f t="shared" si="11"/>
        <v>45.35004</v>
      </c>
      <c r="U22" s="7">
        <f>'[8]Jun Prod'!D21</f>
        <v>0</v>
      </c>
      <c r="V22" s="8">
        <f t="shared" si="12"/>
        <v>0</v>
      </c>
      <c r="W22" s="10">
        <f t="shared" si="13"/>
        <v>0</v>
      </c>
      <c r="X22" s="7">
        <f>'[8]Jun Prod'!D269</f>
        <v>526999.99999999744</v>
      </c>
      <c r="Y22" s="8">
        <f t="shared" si="14"/>
        <v>0.52699999999999747</v>
      </c>
      <c r="Z22" s="10">
        <f t="shared" si="15"/>
        <v>1.6178899999999921</v>
      </c>
      <c r="AA22" s="15"/>
      <c r="AB22" s="7">
        <f t="shared" si="16"/>
        <v>33844999.999998547</v>
      </c>
      <c r="AC22" s="8">
        <f t="shared" si="16"/>
        <v>33.844999999998549</v>
      </c>
      <c r="AD22" s="8">
        <f t="shared" si="16"/>
        <v>103.90414999999552</v>
      </c>
      <c r="AF22" s="8">
        <f t="shared" si="18"/>
        <v>3.5527136788005009E-15</v>
      </c>
    </row>
    <row r="23" spans="1:32" x14ac:dyDescent="0.2">
      <c r="A23" s="27">
        <v>38522</v>
      </c>
      <c r="B23" s="7">
        <f>'[8]Jun Prod'!I22</f>
        <v>12200000.000000728</v>
      </c>
      <c r="C23" s="8">
        <f t="shared" si="1"/>
        <v>12.200000000000728</v>
      </c>
      <c r="D23" s="10">
        <f t="shared" si="2"/>
        <v>37.454000000002232</v>
      </c>
      <c r="E23" s="7">
        <f>'[8]Jun Prod'!E22</f>
        <v>7000000</v>
      </c>
      <c r="F23" s="8">
        <f t="shared" si="3"/>
        <v>7</v>
      </c>
      <c r="G23" s="10">
        <f t="shared" si="4"/>
        <v>21.49</v>
      </c>
      <c r="H23" s="7">
        <f>'[8]Jun Prod'!F22</f>
        <v>6600000</v>
      </c>
      <c r="I23" s="8">
        <f t="shared" si="5"/>
        <v>6.6</v>
      </c>
      <c r="J23" s="10">
        <f t="shared" si="6"/>
        <v>20.261999999999997</v>
      </c>
      <c r="K23" s="7">
        <f>'[8]Jun Prod'!H270</f>
        <v>1668070</v>
      </c>
      <c r="L23" s="8">
        <f t="shared" si="17"/>
        <v>1.6680699999999999</v>
      </c>
      <c r="M23" s="10">
        <f t="shared" si="7"/>
        <v>5.1209748999999993</v>
      </c>
      <c r="N23" s="21"/>
      <c r="O23" s="7">
        <f>'[8]Jun Prod'!H22</f>
        <v>11401999.999999998</v>
      </c>
      <c r="P23" s="8">
        <f t="shared" si="8"/>
        <v>11.401999999999997</v>
      </c>
      <c r="Q23" s="10">
        <f t="shared" si="9"/>
        <v>35.004139999999992</v>
      </c>
      <c r="R23" s="7">
        <f>'[8]Jun Prod'!C22</f>
        <v>11775000</v>
      </c>
      <c r="S23" s="8">
        <f t="shared" ref="S23" si="19">R23/1000000</f>
        <v>11.775</v>
      </c>
      <c r="T23" s="10">
        <f t="shared" ref="T23" si="20">S23*3.07</f>
        <v>36.149250000000002</v>
      </c>
      <c r="U23" s="7">
        <f>'[8]Jun Prod'!D22</f>
        <v>0</v>
      </c>
      <c r="V23" s="8">
        <f t="shared" si="12"/>
        <v>0</v>
      </c>
      <c r="W23" s="10">
        <f t="shared" si="13"/>
        <v>0</v>
      </c>
      <c r="X23" s="7">
        <f>'[8]Jun Prod'!D270</f>
        <v>373000.00000000111</v>
      </c>
      <c r="Y23" s="8">
        <f t="shared" si="14"/>
        <v>0.37300000000000111</v>
      </c>
      <c r="Z23" s="10">
        <f t="shared" si="15"/>
        <v>1.1451100000000034</v>
      </c>
      <c r="AA23" s="15"/>
      <c r="AB23" s="7">
        <f t="shared" si="16"/>
        <v>23602000.000000726</v>
      </c>
      <c r="AC23" s="8">
        <f t="shared" si="16"/>
        <v>23.602000000000725</v>
      </c>
      <c r="AD23" s="8">
        <f t="shared" si="16"/>
        <v>72.458140000002231</v>
      </c>
      <c r="AF23" s="8">
        <f t="shared" si="18"/>
        <v>6.2172489379008766E-15</v>
      </c>
    </row>
    <row r="24" spans="1:32" x14ac:dyDescent="0.2">
      <c r="A24" s="27">
        <v>38523</v>
      </c>
      <c r="B24" s="7">
        <f>'[8]Jun Prod'!I23</f>
        <v>18400000.000001457</v>
      </c>
      <c r="C24" s="8">
        <f t="shared" si="1"/>
        <v>18.400000000001455</v>
      </c>
      <c r="D24" s="10">
        <f t="shared" si="2"/>
        <v>56.488000000004462</v>
      </c>
      <c r="E24" s="7">
        <f>'[8]Jun Prod'!E23</f>
        <v>9000000</v>
      </c>
      <c r="F24" s="8">
        <f t="shared" si="3"/>
        <v>9</v>
      </c>
      <c r="G24" s="10">
        <f t="shared" si="4"/>
        <v>27.63</v>
      </c>
      <c r="H24" s="7">
        <f>'[8]Jun Prod'!F23</f>
        <v>8760000</v>
      </c>
      <c r="I24" s="8">
        <f t="shared" si="5"/>
        <v>8.76</v>
      </c>
      <c r="J24" s="10">
        <f t="shared" si="6"/>
        <v>26.893199999999997</v>
      </c>
      <c r="K24" s="7">
        <f>'[8]Jun Prod'!H271</f>
        <v>1707143</v>
      </c>
      <c r="L24" s="8">
        <f t="shared" si="17"/>
        <v>1.7071430000000001</v>
      </c>
      <c r="M24" s="10">
        <f t="shared" si="7"/>
        <v>5.2409290100000003</v>
      </c>
      <c r="N24" s="21"/>
      <c r="O24" s="7">
        <f>'[8]Jun Prod'!H23</f>
        <v>14116000.000000002</v>
      </c>
      <c r="P24" s="8">
        <f t="shared" si="8"/>
        <v>14.116000000000001</v>
      </c>
      <c r="Q24" s="10">
        <f t="shared" si="9"/>
        <v>43.336120000000001</v>
      </c>
      <c r="R24" s="7">
        <f>'[8]Jun Prod'!C23</f>
        <v>14690000</v>
      </c>
      <c r="S24" s="8">
        <f t="shared" si="10"/>
        <v>14.69</v>
      </c>
      <c r="T24" s="10">
        <f t="shared" si="11"/>
        <v>45.098299999999995</v>
      </c>
      <c r="U24" s="7">
        <f>'[8]Jun Prod'!D23</f>
        <v>0</v>
      </c>
      <c r="V24" s="8">
        <f t="shared" si="12"/>
        <v>0</v>
      </c>
      <c r="W24" s="10">
        <f t="shared" si="13"/>
        <v>0</v>
      </c>
      <c r="X24" s="7">
        <f>'[8]Jun Prod'!D271</f>
        <v>573999.99999999802</v>
      </c>
      <c r="Y24" s="8">
        <f t="shared" si="14"/>
        <v>0.57399999999999807</v>
      </c>
      <c r="Z24" s="10">
        <f t="shared" si="15"/>
        <v>1.7621799999999941</v>
      </c>
      <c r="AA24" s="15"/>
      <c r="AB24" s="7">
        <f t="shared" si="16"/>
        <v>32516000.00000146</v>
      </c>
      <c r="AC24" s="8">
        <f t="shared" si="16"/>
        <v>32.516000000001455</v>
      </c>
      <c r="AD24" s="8">
        <f t="shared" si="16"/>
        <v>99.824120000004456</v>
      </c>
      <c r="AF24" s="8">
        <f t="shared" si="18"/>
        <v>0</v>
      </c>
    </row>
    <row r="25" spans="1:32" x14ac:dyDescent="0.2">
      <c r="A25" s="27">
        <v>38524</v>
      </c>
      <c r="B25" s="7">
        <f>'[8]Jun Prod'!I24</f>
        <v>18000000</v>
      </c>
      <c r="C25" s="8">
        <f t="shared" si="1"/>
        <v>18</v>
      </c>
      <c r="D25" s="10">
        <f t="shared" si="2"/>
        <v>55.26</v>
      </c>
      <c r="E25" s="7">
        <f>'[8]Jun Prod'!E24</f>
        <v>10000000</v>
      </c>
      <c r="F25" s="8">
        <f t="shared" si="3"/>
        <v>10</v>
      </c>
      <c r="G25" s="10">
        <f t="shared" si="4"/>
        <v>30.7</v>
      </c>
      <c r="H25" s="7">
        <f>'[8]Jun Prod'!F24</f>
        <v>8790000</v>
      </c>
      <c r="I25" s="8">
        <f t="shared" si="5"/>
        <v>8.7899999999999991</v>
      </c>
      <c r="J25" s="10">
        <f t="shared" si="6"/>
        <v>26.985299999999995</v>
      </c>
      <c r="K25" s="7">
        <f>'[8]Jun Prod'!H272</f>
        <v>1453083</v>
      </c>
      <c r="L25" s="8">
        <f t="shared" si="17"/>
        <v>1.4530829999999999</v>
      </c>
      <c r="M25" s="10">
        <f t="shared" si="7"/>
        <v>4.4609648099999992</v>
      </c>
      <c r="N25" s="21"/>
      <c r="O25" s="7">
        <f>'[8]Jun Prod'!H24</f>
        <v>14083999.999999998</v>
      </c>
      <c r="P25" s="8">
        <f t="shared" si="8"/>
        <v>14.083999999999998</v>
      </c>
      <c r="Q25" s="10">
        <f t="shared" si="9"/>
        <v>43.23787999999999</v>
      </c>
      <c r="R25" s="7">
        <f>'[8]Jun Prod'!C24</f>
        <v>14507000</v>
      </c>
      <c r="S25" s="8">
        <f t="shared" si="10"/>
        <v>14.507</v>
      </c>
      <c r="T25" s="10">
        <f t="shared" si="11"/>
        <v>44.536489999999993</v>
      </c>
      <c r="U25" s="7">
        <f>'[8]Jun Prod'!D24</f>
        <v>0</v>
      </c>
      <c r="V25" s="8">
        <f t="shared" si="12"/>
        <v>0</v>
      </c>
      <c r="W25" s="10">
        <f t="shared" si="13"/>
        <v>0</v>
      </c>
      <c r="X25" s="7">
        <f>'[8]Jun Prod'!D272</f>
        <v>423000.0000000018</v>
      </c>
      <c r="Y25" s="8">
        <f t="shared" si="14"/>
        <v>0.42300000000000182</v>
      </c>
      <c r="Z25" s="10">
        <f t="shared" si="15"/>
        <v>1.2986100000000056</v>
      </c>
      <c r="AA25" s="15"/>
      <c r="AB25" s="7">
        <f t="shared" si="16"/>
        <v>32084000</v>
      </c>
      <c r="AC25" s="8">
        <f t="shared" si="16"/>
        <v>32.083999999999996</v>
      </c>
      <c r="AD25" s="8">
        <f t="shared" si="16"/>
        <v>98.497879999999981</v>
      </c>
      <c r="AF25" s="8">
        <f t="shared" si="18"/>
        <v>-1.9984014443252818E-15</v>
      </c>
    </row>
    <row r="26" spans="1:32" x14ac:dyDescent="0.2">
      <c r="A26" s="27">
        <v>38525</v>
      </c>
      <c r="B26" s="7">
        <f>'[8]Jun Prod'!I25</f>
        <v>18200000.000000726</v>
      </c>
      <c r="C26" s="8">
        <f t="shared" si="1"/>
        <v>18.200000000000728</v>
      </c>
      <c r="D26" s="10">
        <f t="shared" si="2"/>
        <v>55.874000000002233</v>
      </c>
      <c r="E26" s="7">
        <f>'[8]Jun Prod'!E25</f>
        <v>9000000</v>
      </c>
      <c r="F26" s="8">
        <f t="shared" si="3"/>
        <v>9</v>
      </c>
      <c r="G26" s="10">
        <f t="shared" si="4"/>
        <v>27.63</v>
      </c>
      <c r="H26" s="7">
        <f>'[8]Jun Prod'!F25</f>
        <v>9230000</v>
      </c>
      <c r="I26" s="8">
        <f t="shared" si="5"/>
        <v>9.23</v>
      </c>
      <c r="J26" s="10">
        <f t="shared" si="6"/>
        <v>28.336099999999998</v>
      </c>
      <c r="K26" s="7">
        <f>'[8]Jun Prod'!H273</f>
        <v>1595894</v>
      </c>
      <c r="L26" s="8">
        <f t="shared" si="17"/>
        <v>1.5958939999999999</v>
      </c>
      <c r="M26" s="10">
        <f t="shared" si="7"/>
        <v>4.8993945799999992</v>
      </c>
      <c r="N26" s="21"/>
      <c r="O26" s="7">
        <f>'[8]Jun Prod'!H25</f>
        <v>13435000.000000002</v>
      </c>
      <c r="P26" s="8">
        <f t="shared" si="8"/>
        <v>13.435000000000002</v>
      </c>
      <c r="Q26" s="10">
        <f t="shared" si="9"/>
        <v>41.245450000000005</v>
      </c>
      <c r="R26" s="7">
        <f>'[8]Jun Prod'!C25</f>
        <v>14012000</v>
      </c>
      <c r="S26" s="8">
        <f t="shared" si="10"/>
        <v>14.012</v>
      </c>
      <c r="T26" s="10">
        <f t="shared" si="11"/>
        <v>43.016840000000002</v>
      </c>
      <c r="U26" s="7">
        <f>'[8]Jun Prod'!D25</f>
        <v>0</v>
      </c>
      <c r="V26" s="8">
        <f t="shared" si="12"/>
        <v>0</v>
      </c>
      <c r="W26" s="10">
        <f t="shared" si="13"/>
        <v>0</v>
      </c>
      <c r="X26" s="7">
        <f>'[8]Jun Prod'!D273</f>
        <v>576999.99999999814</v>
      </c>
      <c r="Y26" s="8">
        <f t="shared" si="14"/>
        <v>0.57699999999999818</v>
      </c>
      <c r="Z26" s="10">
        <f t="shared" si="15"/>
        <v>1.7713899999999942</v>
      </c>
      <c r="AA26" s="15"/>
      <c r="AB26" s="7">
        <f t="shared" si="16"/>
        <v>31635000.00000073</v>
      </c>
      <c r="AC26" s="8">
        <f t="shared" si="16"/>
        <v>31.63500000000073</v>
      </c>
      <c r="AD26" s="8">
        <f t="shared" si="16"/>
        <v>97.119450000002246</v>
      </c>
      <c r="AF26" s="8">
        <f t="shared" si="18"/>
        <v>2.4424906541753444E-15</v>
      </c>
    </row>
    <row r="27" spans="1:32" x14ac:dyDescent="0.2">
      <c r="A27" s="27">
        <v>38526</v>
      </c>
      <c r="B27" s="7">
        <f>'[8]Jun Prod'!I26</f>
        <v>16299999.999999272</v>
      </c>
      <c r="C27" s="8">
        <f t="shared" si="1"/>
        <v>16.299999999999272</v>
      </c>
      <c r="D27" s="10">
        <f t="shared" si="2"/>
        <v>50.040999999997766</v>
      </c>
      <c r="E27" s="7">
        <f>'[8]Jun Prod'!E26</f>
        <v>8000000</v>
      </c>
      <c r="F27" s="8">
        <f t="shared" si="3"/>
        <v>8</v>
      </c>
      <c r="G27" s="10">
        <f t="shared" si="4"/>
        <v>24.56</v>
      </c>
      <c r="H27" s="7">
        <f>'[8]Jun Prod'!F26</f>
        <v>7810000</v>
      </c>
      <c r="I27" s="8">
        <f t="shared" si="5"/>
        <v>7.81</v>
      </c>
      <c r="J27" s="10">
        <f t="shared" si="6"/>
        <v>23.976699999999997</v>
      </c>
      <c r="K27" s="7">
        <f>'[8]Jun Prod'!H274</f>
        <v>1600143</v>
      </c>
      <c r="L27" s="8">
        <f t="shared" si="17"/>
        <v>1.6001430000000001</v>
      </c>
      <c r="M27" s="10">
        <f t="shared" si="7"/>
        <v>4.9124390099999999</v>
      </c>
      <c r="N27" s="21"/>
      <c r="O27" s="7">
        <f>'[8]Jun Prod'!H26</f>
        <v>12507999.999999998</v>
      </c>
      <c r="P27" s="8">
        <f t="shared" si="8"/>
        <v>12.507999999999997</v>
      </c>
      <c r="Q27" s="10">
        <f t="shared" si="9"/>
        <v>38.399559999999987</v>
      </c>
      <c r="R27" s="7">
        <f>'[8]Jun Prod'!C26</f>
        <v>13079000</v>
      </c>
      <c r="S27" s="8">
        <f t="shared" si="10"/>
        <v>13.079000000000001</v>
      </c>
      <c r="T27" s="10">
        <f t="shared" si="11"/>
        <v>40.152529999999999</v>
      </c>
      <c r="U27" s="7">
        <f>'[8]Jun Prod'!D26</f>
        <v>0</v>
      </c>
      <c r="V27" s="8">
        <f t="shared" si="12"/>
        <v>0</v>
      </c>
      <c r="W27" s="10">
        <f t="shared" si="13"/>
        <v>0</v>
      </c>
      <c r="X27" s="7">
        <f>'[8]Jun Prod'!D274</f>
        <v>571000.00000000151</v>
      </c>
      <c r="Y27" s="8">
        <f t="shared" si="14"/>
        <v>0.57100000000000151</v>
      </c>
      <c r="Z27" s="10">
        <f t="shared" si="15"/>
        <v>1.7529700000000046</v>
      </c>
      <c r="AA27" s="15"/>
      <c r="AB27" s="7">
        <f t="shared" si="16"/>
        <v>28807999.99999927</v>
      </c>
      <c r="AC27" s="8">
        <f t="shared" si="16"/>
        <v>28.807999999999268</v>
      </c>
      <c r="AD27" s="8">
        <f t="shared" si="16"/>
        <v>88.44055999999776</v>
      </c>
      <c r="AF27" s="8">
        <f t="shared" si="18"/>
        <v>7.3274719625260332E-15</v>
      </c>
    </row>
    <row r="28" spans="1:32" x14ac:dyDescent="0.2">
      <c r="A28" s="27">
        <v>38527</v>
      </c>
      <c r="B28" s="7">
        <f>'[8]Jun Prod'!I27</f>
        <v>18599999.999998543</v>
      </c>
      <c r="C28" s="8">
        <f t="shared" si="1"/>
        <v>18.599999999998545</v>
      </c>
      <c r="D28" s="10">
        <f t="shared" si="2"/>
        <v>57.101999999995527</v>
      </c>
      <c r="E28" s="7">
        <f>'[8]Jun Prod'!E27</f>
        <v>10000000</v>
      </c>
      <c r="F28" s="8">
        <f t="shared" si="3"/>
        <v>10</v>
      </c>
      <c r="G28" s="10">
        <f t="shared" si="4"/>
        <v>30.7</v>
      </c>
      <c r="H28" s="7">
        <f>'[8]Jun Prod'!F27</f>
        <v>9210000</v>
      </c>
      <c r="I28" s="8">
        <f t="shared" si="5"/>
        <v>9.2100000000000009</v>
      </c>
      <c r="J28" s="10">
        <f t="shared" si="6"/>
        <v>28.274700000000003</v>
      </c>
      <c r="K28" s="7">
        <f>'[8]Jun Prod'!H275</f>
        <v>1874355</v>
      </c>
      <c r="L28" s="8">
        <f t="shared" si="17"/>
        <v>1.874355</v>
      </c>
      <c r="M28" s="10">
        <f t="shared" si="7"/>
        <v>5.75426985</v>
      </c>
      <c r="N28" s="21"/>
      <c r="O28" s="7">
        <f>'[8]Jun Prod'!H27</f>
        <v>13388000</v>
      </c>
      <c r="P28" s="8">
        <f t="shared" si="8"/>
        <v>13.388</v>
      </c>
      <c r="Q28" s="10">
        <f t="shared" si="9"/>
        <v>41.10116</v>
      </c>
      <c r="R28" s="7">
        <f>'[8]Jun Prod'!C27</f>
        <v>13905000</v>
      </c>
      <c r="S28" s="8">
        <f t="shared" si="10"/>
        <v>13.904999999999999</v>
      </c>
      <c r="T28" s="10">
        <f t="shared" si="11"/>
        <v>42.688349999999993</v>
      </c>
      <c r="U28" s="7">
        <f>'[8]Jun Prod'!D27</f>
        <v>0</v>
      </c>
      <c r="V28" s="8">
        <f t="shared" si="12"/>
        <v>0</v>
      </c>
      <c r="W28" s="10">
        <f t="shared" si="13"/>
        <v>0</v>
      </c>
      <c r="X28" s="7">
        <f>'[8]Jun Prod'!D275</f>
        <v>516999.99999999948</v>
      </c>
      <c r="Y28" s="8">
        <f t="shared" si="14"/>
        <v>0.51699999999999946</v>
      </c>
      <c r="Z28" s="10">
        <f t="shared" si="15"/>
        <v>1.5871899999999983</v>
      </c>
      <c r="AA28" s="15"/>
      <c r="AB28" s="7">
        <f t="shared" si="16"/>
        <v>31987999.999998543</v>
      </c>
      <c r="AC28" s="8">
        <f t="shared" si="16"/>
        <v>31.987999999998543</v>
      </c>
      <c r="AD28" s="8">
        <f t="shared" si="16"/>
        <v>98.203159999995535</v>
      </c>
      <c r="AF28" s="8">
        <f t="shared" si="18"/>
        <v>-5.773159728050814E-15</v>
      </c>
    </row>
    <row r="29" spans="1:32" x14ac:dyDescent="0.2">
      <c r="A29" s="27">
        <v>38528</v>
      </c>
      <c r="B29" s="7">
        <f>'[8]Jun Prod'!I28</f>
        <v>19100000.000002183</v>
      </c>
      <c r="C29" s="8">
        <f t="shared" si="1"/>
        <v>19.100000000002183</v>
      </c>
      <c r="D29" s="10">
        <f t="shared" si="2"/>
        <v>58.637000000006701</v>
      </c>
      <c r="E29" s="7">
        <f>'[8]Jun Prod'!E28</f>
        <v>11000000</v>
      </c>
      <c r="F29" s="8">
        <f t="shared" si="3"/>
        <v>11</v>
      </c>
      <c r="G29" s="10">
        <f t="shared" si="4"/>
        <v>33.769999999999996</v>
      </c>
      <c r="H29" s="7">
        <f>'[8]Jun Prod'!F28</f>
        <v>9590000</v>
      </c>
      <c r="I29" s="8">
        <f t="shared" si="5"/>
        <v>9.59</v>
      </c>
      <c r="J29" s="10">
        <f t="shared" si="6"/>
        <v>29.441299999999998</v>
      </c>
      <c r="K29" s="7">
        <f>'[8]Jun Prod'!H276</f>
        <v>2232688</v>
      </c>
      <c r="L29" s="8">
        <f>K29/1000000</f>
        <v>2.232688</v>
      </c>
      <c r="M29" s="10">
        <f t="shared" si="7"/>
        <v>6.8543521599999995</v>
      </c>
      <c r="N29" s="21"/>
      <c r="O29" s="7">
        <f>'[8]Jun Prod'!H28</f>
        <v>12487999.999999998</v>
      </c>
      <c r="P29" s="8">
        <f t="shared" si="8"/>
        <v>12.487999999999998</v>
      </c>
      <c r="Q29" s="10">
        <f t="shared" si="9"/>
        <v>38.338159999999988</v>
      </c>
      <c r="R29" s="7">
        <f>'[8]Jun Prod'!C28</f>
        <v>12911000</v>
      </c>
      <c r="S29" s="8">
        <f t="shared" si="10"/>
        <v>12.911</v>
      </c>
      <c r="T29" s="10">
        <f t="shared" si="11"/>
        <v>39.636769999999999</v>
      </c>
      <c r="U29" s="7">
        <f>'[8]Jun Prod'!D28</f>
        <v>0</v>
      </c>
      <c r="V29" s="8">
        <f t="shared" si="12"/>
        <v>0</v>
      </c>
      <c r="W29" s="10">
        <f t="shared" si="13"/>
        <v>0</v>
      </c>
      <c r="X29" s="7">
        <f>'[8]Jun Prod'!D276</f>
        <v>423000.0000000018</v>
      </c>
      <c r="Y29" s="8">
        <f t="shared" si="14"/>
        <v>0.42300000000000182</v>
      </c>
      <c r="Z29" s="10">
        <f t="shared" si="15"/>
        <v>1.2986100000000056</v>
      </c>
      <c r="AA29" s="15"/>
      <c r="AB29" s="7">
        <f t="shared" si="16"/>
        <v>31588000.000002183</v>
      </c>
      <c r="AC29" s="8">
        <f t="shared" si="16"/>
        <v>31.588000000002182</v>
      </c>
      <c r="AD29" s="8">
        <f t="shared" si="16"/>
        <v>96.975160000006696</v>
      </c>
      <c r="AF29" s="8">
        <f t="shared" si="18"/>
        <v>5.1070259132757201E-15</v>
      </c>
    </row>
    <row r="30" spans="1:32" x14ac:dyDescent="0.2">
      <c r="A30" s="27">
        <v>38529</v>
      </c>
      <c r="B30" s="7">
        <f>'[8]Jun Prod'!I29</f>
        <v>24199999.999997091</v>
      </c>
      <c r="C30" s="8">
        <f t="shared" si="1"/>
        <v>24.19999999999709</v>
      </c>
      <c r="D30" s="10">
        <f t="shared" si="2"/>
        <v>74.293999999991058</v>
      </c>
      <c r="E30" s="7">
        <f>'[8]Jun Prod'!E29</f>
        <v>12000000</v>
      </c>
      <c r="F30" s="8">
        <f t="shared" si="3"/>
        <v>12</v>
      </c>
      <c r="G30" s="10">
        <f t="shared" si="4"/>
        <v>36.839999999999996</v>
      </c>
      <c r="H30" s="7">
        <f>'[8]Jun Prod'!F29</f>
        <v>12140000</v>
      </c>
      <c r="I30" s="8">
        <f t="shared" si="5"/>
        <v>12.14</v>
      </c>
      <c r="J30" s="10">
        <f t="shared" si="6"/>
        <v>37.269799999999996</v>
      </c>
      <c r="K30" s="7">
        <f>'[8]Jun Prod'!H277</f>
        <v>2149214</v>
      </c>
      <c r="L30" s="8">
        <f t="shared" si="17"/>
        <v>2.1492140000000002</v>
      </c>
      <c r="M30" s="10">
        <f t="shared" si="7"/>
        <v>6.5980869800000006</v>
      </c>
      <c r="N30" s="21"/>
      <c r="O30" s="7">
        <f>'[8]Jun Prod'!H29</f>
        <v>14596000.000000002</v>
      </c>
      <c r="P30" s="8">
        <f t="shared" si="8"/>
        <v>14.596000000000002</v>
      </c>
      <c r="Q30" s="10">
        <f t="shared" si="9"/>
        <v>44.809720000000006</v>
      </c>
      <c r="R30" s="7">
        <f>'[8]Jun Prod'!C29</f>
        <v>15097000</v>
      </c>
      <c r="S30" s="8">
        <f t="shared" si="10"/>
        <v>15.097</v>
      </c>
      <c r="T30" s="10">
        <f t="shared" si="11"/>
        <v>46.347789999999996</v>
      </c>
      <c r="U30" s="7">
        <f>'[8]Jun Prod'!D29</f>
        <v>0</v>
      </c>
      <c r="V30" s="8">
        <f t="shared" si="12"/>
        <v>0</v>
      </c>
      <c r="W30" s="10">
        <f t="shared" si="13"/>
        <v>0</v>
      </c>
      <c r="X30" s="7">
        <f>'[8]Jun Prod'!D277</f>
        <v>500999.99999999767</v>
      </c>
      <c r="Y30" s="8">
        <f t="shared" si="14"/>
        <v>0.50099999999999767</v>
      </c>
      <c r="Z30" s="10">
        <f t="shared" si="15"/>
        <v>1.5380699999999927</v>
      </c>
      <c r="AA30" s="15"/>
      <c r="AB30" s="7">
        <f t="shared" si="16"/>
        <v>38795999.999997094</v>
      </c>
      <c r="AC30" s="8">
        <f t="shared" si="16"/>
        <v>38.795999999997093</v>
      </c>
      <c r="AD30" s="8">
        <f t="shared" si="16"/>
        <v>119.10371999999106</v>
      </c>
      <c r="AF30" s="8">
        <f t="shared" si="18"/>
        <v>-2.2204460492503131E-15</v>
      </c>
    </row>
    <row r="31" spans="1:32" x14ac:dyDescent="0.2">
      <c r="A31" s="27">
        <v>38530</v>
      </c>
      <c r="B31" s="7">
        <f>'[8]Jun Prod'!I30</f>
        <v>20300000.000002909</v>
      </c>
      <c r="C31" s="8">
        <f t="shared" si="1"/>
        <v>20.30000000000291</v>
      </c>
      <c r="D31" s="10">
        <f t="shared" si="2"/>
        <v>62.321000000008929</v>
      </c>
      <c r="E31" s="7">
        <f>'[8]Jun Prod'!E30</f>
        <v>10000000</v>
      </c>
      <c r="F31" s="8">
        <f t="shared" si="3"/>
        <v>10</v>
      </c>
      <c r="G31" s="10">
        <f t="shared" si="4"/>
        <v>30.7</v>
      </c>
      <c r="H31" s="7">
        <f>'[8]Jun Prod'!F30</f>
        <v>10360000</v>
      </c>
      <c r="I31" s="8">
        <f t="shared" si="5"/>
        <v>10.36</v>
      </c>
      <c r="J31" s="10">
        <f t="shared" si="6"/>
        <v>31.805199999999996</v>
      </c>
      <c r="K31" s="7">
        <f>'[8]Jun Prod'!H278</f>
        <v>1798747</v>
      </c>
      <c r="L31" s="8">
        <f t="shared" si="17"/>
        <v>1.7987470000000001</v>
      </c>
      <c r="M31" s="10">
        <f t="shared" si="7"/>
        <v>5.5221532900000003</v>
      </c>
      <c r="N31" s="21"/>
      <c r="O31" s="7">
        <f>'[8]Jun Prod'!H30</f>
        <v>11898999.999999998</v>
      </c>
      <c r="P31" s="8">
        <f t="shared" si="8"/>
        <v>11.898999999999997</v>
      </c>
      <c r="Q31" s="10">
        <f t="shared" si="9"/>
        <v>36.529929999999993</v>
      </c>
      <c r="R31" s="7">
        <f>'[8]Jun Prod'!C30</f>
        <v>12392000</v>
      </c>
      <c r="S31" s="8">
        <f t="shared" si="10"/>
        <v>12.391999999999999</v>
      </c>
      <c r="T31" s="10">
        <f t="shared" si="11"/>
        <v>38.043439999999997</v>
      </c>
      <c r="U31" s="7">
        <f>'[8]Jun Prod'!D30</f>
        <v>0</v>
      </c>
      <c r="V31" s="8">
        <f t="shared" si="12"/>
        <v>0</v>
      </c>
      <c r="W31" s="10">
        <f t="shared" si="13"/>
        <v>0</v>
      </c>
      <c r="X31" s="7">
        <f>'[8]Jun Prod'!D278</f>
        <v>493000.0000000021</v>
      </c>
      <c r="Y31" s="8">
        <f t="shared" si="14"/>
        <v>0.4930000000000021</v>
      </c>
      <c r="Z31" s="10">
        <f t="shared" si="15"/>
        <v>1.5135100000000064</v>
      </c>
      <c r="AA31" s="15"/>
      <c r="AB31" s="7">
        <f t="shared" si="16"/>
        <v>32199000.000002906</v>
      </c>
      <c r="AC31" s="8">
        <f t="shared" si="16"/>
        <v>32.199000000002911</v>
      </c>
      <c r="AD31" s="8">
        <f t="shared" si="16"/>
        <v>98.85093000000893</v>
      </c>
      <c r="AF31" s="8">
        <f t="shared" si="18"/>
        <v>-2.6645352591003757E-15</v>
      </c>
    </row>
    <row r="32" spans="1:32" x14ac:dyDescent="0.2">
      <c r="A32" s="27">
        <v>38531</v>
      </c>
      <c r="B32" s="7">
        <f>'[8]Jun Prod'!I31</f>
        <v>16899999.999997817</v>
      </c>
      <c r="C32" s="8">
        <f t="shared" si="1"/>
        <v>16.899999999997817</v>
      </c>
      <c r="D32" s="10">
        <f t="shared" si="2"/>
        <v>51.882999999993295</v>
      </c>
      <c r="E32" s="7">
        <f>'[8]Jun Prod'!E31</f>
        <v>9000000</v>
      </c>
      <c r="F32" s="8">
        <f t="shared" si="3"/>
        <v>9</v>
      </c>
      <c r="G32" s="10">
        <f t="shared" si="4"/>
        <v>27.63</v>
      </c>
      <c r="H32" s="7">
        <f>'[8]Jun Prod'!F31</f>
        <v>8310000.0000000009</v>
      </c>
      <c r="I32" s="8">
        <f t="shared" si="5"/>
        <v>8.31</v>
      </c>
      <c r="J32" s="10">
        <f t="shared" si="6"/>
        <v>25.511700000000001</v>
      </c>
      <c r="K32" s="7">
        <f>'[8]Jun Prod'!H279</f>
        <v>1323898</v>
      </c>
      <c r="L32" s="8">
        <f t="shared" si="17"/>
        <v>1.323898</v>
      </c>
      <c r="M32" s="10">
        <f t="shared" si="7"/>
        <v>4.0643668599999998</v>
      </c>
      <c r="N32" s="21"/>
      <c r="O32" s="7">
        <f>'[8]Jun Prod'!H31</f>
        <v>13088000.000000002</v>
      </c>
      <c r="P32" s="8">
        <f t="shared" si="8"/>
        <v>13.088000000000003</v>
      </c>
      <c r="Q32" s="10">
        <f t="shared" si="9"/>
        <v>40.180160000000008</v>
      </c>
      <c r="R32" s="7">
        <f>'[8]Jun Prod'!C31</f>
        <v>13659000</v>
      </c>
      <c r="S32" s="8">
        <f t="shared" si="10"/>
        <v>13.659000000000001</v>
      </c>
      <c r="T32" s="10">
        <f t="shared" si="11"/>
        <v>41.933129999999998</v>
      </c>
      <c r="U32" s="7">
        <f>'[8]Jun Prod'!D31</f>
        <v>0</v>
      </c>
      <c r="V32" s="8">
        <f t="shared" si="12"/>
        <v>0</v>
      </c>
      <c r="W32" s="10">
        <f t="shared" si="13"/>
        <v>0</v>
      </c>
      <c r="X32" s="7">
        <f>'[8]Jun Prod'!D279</f>
        <v>570999.9999999979</v>
      </c>
      <c r="Y32" s="8">
        <f t="shared" si="14"/>
        <v>0.57099999999999795</v>
      </c>
      <c r="Z32" s="10">
        <f t="shared" si="15"/>
        <v>1.7529699999999937</v>
      </c>
      <c r="AA32" s="15"/>
      <c r="AB32" s="7">
        <f t="shared" si="16"/>
        <v>29987999.999997817</v>
      </c>
      <c r="AC32" s="8">
        <f>C32+P32</f>
        <v>29.987999999997818</v>
      </c>
      <c r="AD32" s="8">
        <f>D32+Q32</f>
        <v>92.063159999993303</v>
      </c>
      <c r="AF32" s="8">
        <f t="shared" si="18"/>
        <v>-3.1086244689504383E-15</v>
      </c>
    </row>
    <row r="33" spans="1:32" x14ac:dyDescent="0.2">
      <c r="A33" s="27">
        <v>38532</v>
      </c>
      <c r="B33" s="7">
        <f>'[8]Jun Prod'!I32</f>
        <v>19500000</v>
      </c>
      <c r="C33" s="8">
        <f t="shared" si="1"/>
        <v>19.5</v>
      </c>
      <c r="D33" s="10">
        <f t="shared" si="2"/>
        <v>59.864999999999995</v>
      </c>
      <c r="E33" s="7">
        <f>'[8]Jun Prod'!E32</f>
        <v>10000000</v>
      </c>
      <c r="F33" s="8">
        <f t="shared" si="3"/>
        <v>10</v>
      </c>
      <c r="G33" s="10">
        <f t="shared" si="4"/>
        <v>30.7</v>
      </c>
      <c r="H33" s="7">
        <f>'[8]Jun Prod'!F32</f>
        <v>9570000</v>
      </c>
      <c r="I33" s="8">
        <f t="shared" si="5"/>
        <v>9.57</v>
      </c>
      <c r="J33" s="10">
        <f t="shared" si="6"/>
        <v>29.379899999999999</v>
      </c>
      <c r="K33" s="7">
        <f>'[8]Jun Prod'!H280</f>
        <v>1622954</v>
      </c>
      <c r="L33" s="8">
        <f t="shared" si="17"/>
        <v>1.622954</v>
      </c>
      <c r="M33" s="10">
        <f t="shared" si="7"/>
        <v>4.9824687799999996</v>
      </c>
      <c r="N33" s="21"/>
      <c r="O33" s="7">
        <f>'[8]Jun Prod'!H32</f>
        <v>14513999.999999998</v>
      </c>
      <c r="P33" s="8">
        <f t="shared" si="8"/>
        <v>14.513999999999998</v>
      </c>
      <c r="Q33" s="10">
        <f t="shared" si="9"/>
        <v>44.557979999999993</v>
      </c>
      <c r="R33" s="7">
        <f>'[8]Jun Prod'!C32</f>
        <v>14940000</v>
      </c>
      <c r="S33" s="8">
        <f t="shared" si="10"/>
        <v>14.94</v>
      </c>
      <c r="T33" s="10">
        <f t="shared" si="11"/>
        <v>45.865799999999993</v>
      </c>
      <c r="U33" s="7">
        <f>'[8]Jun Prod'!D32</f>
        <v>0</v>
      </c>
      <c r="V33" s="8">
        <f t="shared" si="12"/>
        <v>0</v>
      </c>
      <c r="W33" s="10">
        <f t="shared" si="13"/>
        <v>0</v>
      </c>
      <c r="X33" s="7">
        <f>'[8]Jun Prod'!D280</f>
        <v>426000.00000000192</v>
      </c>
      <c r="Y33" s="8">
        <f t="shared" si="14"/>
        <v>0.42600000000000193</v>
      </c>
      <c r="Z33" s="10">
        <f t="shared" si="15"/>
        <v>1.3078200000000058</v>
      </c>
      <c r="AA33" s="15"/>
      <c r="AB33" s="7">
        <f t="shared" si="16"/>
        <v>34014000</v>
      </c>
      <c r="AC33" s="8">
        <f t="shared" si="16"/>
        <v>34.013999999999996</v>
      </c>
      <c r="AD33" s="8">
        <f t="shared" si="16"/>
        <v>104.42298</v>
      </c>
      <c r="AF33" s="8">
        <f t="shared" si="18"/>
        <v>-6.2172489379008766E-15</v>
      </c>
    </row>
    <row r="34" spans="1:32" ht="13.5" thickBot="1" x14ac:dyDescent="0.25">
      <c r="A34" s="27">
        <v>38533</v>
      </c>
      <c r="B34" s="7">
        <f>'[8]Jun Prod'!I33</f>
        <v>22200000.000000726</v>
      </c>
      <c r="C34" s="8">
        <f t="shared" si="1"/>
        <v>22.200000000000728</v>
      </c>
      <c r="D34" s="10">
        <f t="shared" si="2"/>
        <v>68.154000000002227</v>
      </c>
      <c r="E34" s="7">
        <f>'[8]Jun Prod'!E33</f>
        <v>11000000</v>
      </c>
      <c r="F34" s="8">
        <f t="shared" si="3"/>
        <v>11</v>
      </c>
      <c r="G34" s="10">
        <f t="shared" si="4"/>
        <v>33.769999999999996</v>
      </c>
      <c r="H34" s="7">
        <f>'[8]Jun Prod'!F33</f>
        <v>11650000</v>
      </c>
      <c r="I34" s="8">
        <f t="shared" si="5"/>
        <v>11.65</v>
      </c>
      <c r="J34" s="10">
        <f t="shared" si="6"/>
        <v>35.765499999999996</v>
      </c>
      <c r="K34" s="7">
        <f>'[8]Jun Prod'!H281</f>
        <v>1869032</v>
      </c>
      <c r="L34" s="8">
        <f t="shared" si="17"/>
        <v>1.869032</v>
      </c>
      <c r="M34" s="10">
        <f t="shared" si="7"/>
        <v>5.7379282399999996</v>
      </c>
      <c r="N34" s="21"/>
      <c r="O34" s="7">
        <f>'[8]Jun Prod'!H33</f>
        <v>12282000</v>
      </c>
      <c r="P34" s="8">
        <f t="shared" si="8"/>
        <v>12.282</v>
      </c>
      <c r="Q34" s="10">
        <f t="shared" si="9"/>
        <v>37.705739999999999</v>
      </c>
      <c r="R34" s="7">
        <f>'[8]Jun Prod'!C33</f>
        <v>12855000</v>
      </c>
      <c r="S34" s="8">
        <f t="shared" si="10"/>
        <v>12.855</v>
      </c>
      <c r="T34" s="10">
        <f t="shared" si="11"/>
        <v>39.464849999999998</v>
      </c>
      <c r="U34" s="7">
        <f>'[8]Jun Prod'!D33</f>
        <v>0</v>
      </c>
      <c r="V34" s="8">
        <f t="shared" si="12"/>
        <v>0</v>
      </c>
      <c r="W34" s="10">
        <f t="shared" si="13"/>
        <v>0</v>
      </c>
      <c r="X34" s="7">
        <f>'[8]Jun Prod'!D281</f>
        <v>573000.00000000035</v>
      </c>
      <c r="Y34" s="8">
        <f t="shared" si="14"/>
        <v>0.5730000000000004</v>
      </c>
      <c r="Z34" s="10">
        <f t="shared" si="15"/>
        <v>1.7591100000000011</v>
      </c>
      <c r="AA34" s="15"/>
      <c r="AB34" s="7">
        <f t="shared" si="16"/>
        <v>34482000.00000073</v>
      </c>
      <c r="AC34" s="8">
        <f t="shared" si="16"/>
        <v>34.482000000000724</v>
      </c>
      <c r="AD34" s="8">
        <f t="shared" si="16"/>
        <v>105.85974000000223</v>
      </c>
      <c r="AF34" s="8">
        <f t="shared" si="18"/>
        <v>0</v>
      </c>
    </row>
    <row r="35" spans="1:32" ht="13.5" thickBot="1" x14ac:dyDescent="0.25">
      <c r="A35" s="3"/>
      <c r="B35" s="38"/>
      <c r="C35" s="39">
        <f>SUM(C5:C34)</f>
        <v>483.09999999999854</v>
      </c>
      <c r="D35" s="39">
        <f t="shared" si="2"/>
        <v>1483.1169999999954</v>
      </c>
      <c r="E35" s="38"/>
      <c r="F35" s="39">
        <f>SUM(F5:F34)</f>
        <v>228</v>
      </c>
      <c r="G35" s="39">
        <f t="shared" si="4"/>
        <v>699.95999999999992</v>
      </c>
      <c r="H35" s="38"/>
      <c r="I35" s="39">
        <f>SUM(I5:I34)</f>
        <v>259.59999999999997</v>
      </c>
      <c r="J35" s="39">
        <f t="shared" si="6"/>
        <v>796.97199999999987</v>
      </c>
      <c r="K35" s="38"/>
      <c r="L35" s="39">
        <f>SUM(L5:L34)</f>
        <v>44.980072999999997</v>
      </c>
      <c r="M35" s="39">
        <f t="shared" si="7"/>
        <v>138.08882410999999</v>
      </c>
      <c r="N35" s="14"/>
      <c r="O35" s="38"/>
      <c r="P35" s="39">
        <f>SUM(P5:P34)</f>
        <v>418.39999999999992</v>
      </c>
      <c r="Q35" s="39">
        <f t="shared" si="9"/>
        <v>1284.4879999999996</v>
      </c>
      <c r="R35" s="38"/>
      <c r="S35" s="39">
        <f>SUM(S5:S34)</f>
        <v>433.49799999999999</v>
      </c>
      <c r="T35" s="39">
        <f t="shared" si="11"/>
        <v>1330.8388599999998</v>
      </c>
      <c r="U35" s="38"/>
      <c r="V35" s="39">
        <f>SUM(V5:V34)</f>
        <v>0</v>
      </c>
      <c r="W35" s="39">
        <f t="shared" si="13"/>
        <v>0</v>
      </c>
      <c r="X35" s="38"/>
      <c r="Y35" s="39">
        <f>SUM(Y5:Y34)</f>
        <v>15.098000000000001</v>
      </c>
      <c r="Z35" s="39">
        <f t="shared" si="15"/>
        <v>46.350859999999997</v>
      </c>
      <c r="AA35" s="14"/>
      <c r="AB35" s="38"/>
      <c r="AC35" s="39">
        <f>SUM(AC5:AC34)</f>
        <v>901.49999999999852</v>
      </c>
      <c r="AD35" s="39">
        <f>AC35*3.07</f>
        <v>2767.6049999999955</v>
      </c>
      <c r="AF35" s="39">
        <f>SUM(AF5:AF34)</f>
        <v>-2.0872192862952943E-14</v>
      </c>
    </row>
    <row r="36" spans="1:32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  <c r="AF36" s="30"/>
    </row>
    <row r="43" spans="1:32" x14ac:dyDescent="0.2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J37"/>
  <sheetViews>
    <sheetView workbookViewId="0">
      <pane xSplit="1" ySplit="4" topLeftCell="B23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I33" sqref="I33"/>
    </sheetView>
  </sheetViews>
  <sheetFormatPr defaultRowHeight="12.75" x14ac:dyDescent="0.2"/>
  <cols>
    <col min="2" max="2" width="11.140625" customWidth="1"/>
    <col min="5" max="5" width="11.28515625" customWidth="1"/>
    <col min="8" max="8" width="13.5703125" customWidth="1"/>
    <col min="9" max="9" width="9.7109375" customWidth="1"/>
    <col min="10" max="10" width="11.5703125" customWidth="1"/>
    <col min="11" max="11" width="13.42578125" bestFit="1" customWidth="1"/>
    <col min="12" max="12" width="11.42578125" customWidth="1"/>
    <col min="15" max="15" width="11.140625" customWidth="1"/>
    <col min="18" max="18" width="11.140625" customWidth="1"/>
    <col min="22" max="22" width="10.5703125" customWidth="1"/>
    <col min="28" max="31" width="0" hidden="1" customWidth="1"/>
    <col min="32" max="32" width="12.140625" customWidth="1"/>
  </cols>
  <sheetData>
    <row r="1" spans="1:36" x14ac:dyDescent="0.2">
      <c r="A1" s="45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6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6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5</v>
      </c>
      <c r="AC3" s="58"/>
      <c r="AD3" s="59"/>
      <c r="AF3" s="60" t="s">
        <v>8</v>
      </c>
      <c r="AG3" s="61"/>
      <c r="AH3" s="62"/>
      <c r="AJ3" s="34" t="s">
        <v>9</v>
      </c>
    </row>
    <row r="4" spans="1:36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5" t="s">
        <v>0</v>
      </c>
      <c r="AG4" s="36" t="s">
        <v>1</v>
      </c>
      <c r="AH4" s="37" t="s">
        <v>2</v>
      </c>
      <c r="AJ4" s="5" t="s">
        <v>2</v>
      </c>
    </row>
    <row r="5" spans="1:36" x14ac:dyDescent="0.2">
      <c r="A5" s="27">
        <v>38534</v>
      </c>
      <c r="B5" s="7">
        <f>'[9]Jul Prod'!I4</f>
        <v>24000000</v>
      </c>
      <c r="C5" s="8">
        <f t="shared" ref="C5:C6" si="0">B5/1000000</f>
        <v>24</v>
      </c>
      <c r="D5" s="10">
        <f t="shared" ref="D5:D6" si="1">C5*3.07</f>
        <v>73.679999999999993</v>
      </c>
      <c r="E5" s="7">
        <f>'[9]Jul Prod'!E4</f>
        <v>10000000</v>
      </c>
      <c r="F5" s="8">
        <f>E5/1000000</f>
        <v>10</v>
      </c>
      <c r="G5" s="10">
        <f>F5*3.07</f>
        <v>30.7</v>
      </c>
      <c r="H5" s="7">
        <f>'[9]Jul Prod'!F4</f>
        <v>13570000</v>
      </c>
      <c r="I5" s="8">
        <f>H5/1000000</f>
        <v>13.57</v>
      </c>
      <c r="J5" s="10">
        <f>I5*3.07</f>
        <v>41.6599</v>
      </c>
      <c r="K5" s="7">
        <f>'[9]Jul Prod'!H259</f>
        <v>1962349</v>
      </c>
      <c r="L5" s="8">
        <f>K5/1000000</f>
        <v>1.9623489999999999</v>
      </c>
      <c r="M5" s="10">
        <f>L5*3.07</f>
        <v>6.0244114299999998</v>
      </c>
      <c r="N5" s="21"/>
      <c r="O5" s="7">
        <f>'[9]Jul Prod'!H4</f>
        <v>12078000</v>
      </c>
      <c r="P5" s="8">
        <f>O5/1000000</f>
        <v>12.077999999999999</v>
      </c>
      <c r="Q5" s="10">
        <f>P5*3.07</f>
        <v>37.079459999999997</v>
      </c>
      <c r="R5" s="7">
        <f>'[9]Jul Prod'!C4</f>
        <v>12662000</v>
      </c>
      <c r="S5" s="8">
        <f>R5/1000000</f>
        <v>12.662000000000001</v>
      </c>
      <c r="T5" s="10">
        <f>S5*3.07</f>
        <v>38.872340000000001</v>
      </c>
      <c r="U5" s="7">
        <f>'[9]Jul Prod'!D4</f>
        <v>0</v>
      </c>
      <c r="V5" s="8">
        <f>U5/1000000</f>
        <v>0</v>
      </c>
      <c r="W5" s="10">
        <f>V5*3.07</f>
        <v>0</v>
      </c>
      <c r="X5" s="7">
        <f>'[9]Jul Prod'!D259</f>
        <v>583999.99999999965</v>
      </c>
      <c r="Y5" s="8">
        <f>X5/1000000</f>
        <v>0.58399999999999963</v>
      </c>
      <c r="Z5" s="10">
        <f>Y5*3.07</f>
        <v>1.7928799999999987</v>
      </c>
      <c r="AA5" s="15"/>
      <c r="AB5" s="7">
        <f>'[9]Jul Prod'!G4</f>
        <v>0</v>
      </c>
      <c r="AC5" s="8">
        <f>AB5/1000000</f>
        <v>0</v>
      </c>
      <c r="AD5" s="10">
        <f>AC5*3.07</f>
        <v>0</v>
      </c>
      <c r="AF5" s="7">
        <f>B5+O5</f>
        <v>36078000</v>
      </c>
      <c r="AG5" s="8">
        <f>C5+P5</f>
        <v>36.078000000000003</v>
      </c>
      <c r="AH5" s="8">
        <f>D5+Q5</f>
        <v>110.75945999999999</v>
      </c>
      <c r="AJ5" s="8">
        <f t="shared" ref="AJ5:AJ14" si="2">T5-Q5-Z5</f>
        <v>5.1070259132757201E-15</v>
      </c>
    </row>
    <row r="6" spans="1:36" x14ac:dyDescent="0.2">
      <c r="A6" s="27">
        <v>38535</v>
      </c>
      <c r="B6" s="7">
        <f>'[9]Jul Prod'!I5</f>
        <v>23700000.000000726</v>
      </c>
      <c r="C6" s="8">
        <f t="shared" si="0"/>
        <v>23.700000000000728</v>
      </c>
      <c r="D6" s="10">
        <f t="shared" si="1"/>
        <v>72.759000000002231</v>
      </c>
      <c r="E6" s="7">
        <f>'[9]Jul Prod'!E5</f>
        <v>11000000</v>
      </c>
      <c r="F6" s="8">
        <f t="shared" ref="F6:F35" si="3">E6/1000000</f>
        <v>11</v>
      </c>
      <c r="G6" s="10">
        <f t="shared" ref="G6:G36" si="4">F6*3.07</f>
        <v>33.769999999999996</v>
      </c>
      <c r="H6" s="7">
        <f>'[9]Jul Prod'!F5</f>
        <v>13390000</v>
      </c>
      <c r="I6" s="8">
        <f t="shared" ref="I6:I35" si="5">H6/1000000</f>
        <v>13.39</v>
      </c>
      <c r="J6" s="10">
        <f t="shared" ref="J6:J36" si="6">I6*3.07</f>
        <v>41.107300000000002</v>
      </c>
      <c r="K6" s="7">
        <f>'[9]Jul Prod'!H260</f>
        <v>1781811</v>
      </c>
      <c r="L6" s="8">
        <f t="shared" ref="L6:L35" si="7">K6/1000000</f>
        <v>1.781811</v>
      </c>
      <c r="M6" s="10">
        <f t="shared" ref="M6:M36" si="8">L6*3.07</f>
        <v>5.4701597699999995</v>
      </c>
      <c r="N6" s="21"/>
      <c r="O6" s="7">
        <f>'[9]Jul Prod'!H5</f>
        <v>12553000</v>
      </c>
      <c r="P6" s="8">
        <f t="shared" ref="P6:P35" si="9">O6/1000000</f>
        <v>12.553000000000001</v>
      </c>
      <c r="Q6" s="10">
        <f t="shared" ref="Q6:Q36" si="10">P6*3.07</f>
        <v>38.537709999999997</v>
      </c>
      <c r="R6" s="7">
        <f>'[9]Jul Prod'!C5</f>
        <v>13059000</v>
      </c>
      <c r="S6" s="8">
        <f t="shared" ref="S6:S35" si="11">R6/1000000</f>
        <v>13.058999999999999</v>
      </c>
      <c r="T6" s="10">
        <f t="shared" ref="T6:T36" si="12">S6*3.07</f>
        <v>40.091129999999993</v>
      </c>
      <c r="U6" s="7">
        <f>'[9]Jul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'[9]Jul Prod'!D260</f>
        <v>506000.00000000023</v>
      </c>
      <c r="Y6" s="8">
        <f t="shared" ref="Y6:Y35" si="15">X6/1000000</f>
        <v>0.50600000000000023</v>
      </c>
      <c r="Z6" s="10">
        <f t="shared" ref="Z6:Z36" si="16">Y6*3.07</f>
        <v>1.5534200000000007</v>
      </c>
      <c r="AA6" s="15"/>
      <c r="AB6" s="7">
        <f>'[9]Jul Prod'!G5</f>
        <v>0</v>
      </c>
      <c r="AC6" s="8">
        <f t="shared" ref="AC6:AC35" si="17">AB6/1000000</f>
        <v>0</v>
      </c>
      <c r="AD6" s="10">
        <f t="shared" ref="AD6:AD36" si="18">AC6*3.07</f>
        <v>0</v>
      </c>
      <c r="AF6" s="7">
        <f t="shared" ref="AF6:AF35" si="19">B6+O6</f>
        <v>36253000.00000073</v>
      </c>
      <c r="AG6" s="8">
        <f t="shared" ref="AG6:AG35" si="20">C6+P6</f>
        <v>36.253000000000725</v>
      </c>
      <c r="AH6" s="8">
        <f t="shared" ref="AH6:AH35" si="21">D6+Q6</f>
        <v>111.29671000000224</v>
      </c>
      <c r="AJ6" s="8">
        <f t="shared" si="2"/>
        <v>-5.1070259132757201E-15</v>
      </c>
    </row>
    <row r="7" spans="1:36" x14ac:dyDescent="0.2">
      <c r="A7" s="27">
        <v>38536</v>
      </c>
      <c r="B7" s="7">
        <f>'[9]Jul Prod'!I6</f>
        <v>24200000.000000726</v>
      </c>
      <c r="C7" s="8">
        <f t="shared" ref="C7:C35" si="22">B7/1000000</f>
        <v>24.200000000000728</v>
      </c>
      <c r="D7" s="10">
        <f t="shared" ref="D7:D36" si="23">C7*3.07</f>
        <v>74.294000000002228</v>
      </c>
      <c r="E7" s="7">
        <f>'[9]Jul Prod'!E6</f>
        <v>12000000</v>
      </c>
      <c r="F7" s="8">
        <f t="shared" si="3"/>
        <v>12</v>
      </c>
      <c r="G7" s="10">
        <f t="shared" si="4"/>
        <v>36.839999999999996</v>
      </c>
      <c r="H7" s="7">
        <f>'[9]Jul Prod'!F6</f>
        <v>12960000</v>
      </c>
      <c r="I7" s="8">
        <f t="shared" si="5"/>
        <v>12.96</v>
      </c>
      <c r="J7" s="10">
        <f t="shared" si="6"/>
        <v>39.787199999999999</v>
      </c>
      <c r="K7" s="7">
        <f>'[9]Jul Prod'!H261</f>
        <v>2166722</v>
      </c>
      <c r="L7" s="8">
        <f t="shared" si="7"/>
        <v>2.166722</v>
      </c>
      <c r="M7" s="10">
        <f t="shared" si="8"/>
        <v>6.6518365399999997</v>
      </c>
      <c r="N7" s="21"/>
      <c r="O7" s="7">
        <f>'[9]Jul Prod'!H6</f>
        <v>11802000.000000004</v>
      </c>
      <c r="P7" s="8">
        <f t="shared" si="9"/>
        <v>11.802000000000003</v>
      </c>
      <c r="Q7" s="10">
        <f t="shared" si="10"/>
        <v>36.232140000000008</v>
      </c>
      <c r="R7" s="7">
        <f>'[9]Jul Prod'!C6</f>
        <v>12180000</v>
      </c>
      <c r="S7" s="8">
        <f t="shared" si="11"/>
        <v>12.18</v>
      </c>
      <c r="T7" s="10">
        <f t="shared" si="12"/>
        <v>37.392599999999995</v>
      </c>
      <c r="U7" s="7">
        <f>'[9]Jul Prod'!D6</f>
        <v>0</v>
      </c>
      <c r="V7" s="8">
        <f t="shared" si="13"/>
        <v>0</v>
      </c>
      <c r="W7" s="10">
        <f t="shared" si="14"/>
        <v>0</v>
      </c>
      <c r="X7" s="7">
        <f>'[9]Jul Prod'!D261</f>
        <v>377999.99999999657</v>
      </c>
      <c r="Y7" s="8">
        <f t="shared" si="15"/>
        <v>0.37799999999999656</v>
      </c>
      <c r="Z7" s="10">
        <f t="shared" si="16"/>
        <v>1.1604599999999894</v>
      </c>
      <c r="AA7" s="15"/>
      <c r="AB7" s="7">
        <f>'[9]Jul Prod'!G6</f>
        <v>0</v>
      </c>
      <c r="AC7" s="8">
        <f t="shared" si="17"/>
        <v>0</v>
      </c>
      <c r="AD7" s="10">
        <f t="shared" si="18"/>
        <v>0</v>
      </c>
      <c r="AF7" s="7">
        <f t="shared" si="19"/>
        <v>36002000.00000073</v>
      </c>
      <c r="AG7" s="8">
        <f t="shared" si="20"/>
        <v>36.002000000000734</v>
      </c>
      <c r="AH7" s="8">
        <f t="shared" si="21"/>
        <v>110.52614000000224</v>
      </c>
      <c r="AJ7" s="8">
        <f t="shared" si="2"/>
        <v>-3.1086244689504383E-15</v>
      </c>
    </row>
    <row r="8" spans="1:36" x14ac:dyDescent="0.2">
      <c r="A8" s="27">
        <v>38537</v>
      </c>
      <c r="B8" s="7">
        <f>'[9]Jul Prod'!I7</f>
        <v>23599999.999998543</v>
      </c>
      <c r="C8" s="8">
        <f t="shared" si="22"/>
        <v>23.599999999998545</v>
      </c>
      <c r="D8" s="10">
        <f t="shared" si="23"/>
        <v>72.451999999995522</v>
      </c>
      <c r="E8" s="7">
        <f>'[9]Jul Prod'!E7</f>
        <v>11000000</v>
      </c>
      <c r="F8" s="8">
        <f t="shared" si="3"/>
        <v>11</v>
      </c>
      <c r="G8" s="10">
        <f t="shared" si="4"/>
        <v>33.769999999999996</v>
      </c>
      <c r="H8" s="7">
        <f>'[9]Jul Prod'!F7</f>
        <v>13060000</v>
      </c>
      <c r="I8" s="8">
        <f t="shared" si="5"/>
        <v>13.06</v>
      </c>
      <c r="J8" s="10">
        <f t="shared" si="6"/>
        <v>40.094200000000001</v>
      </c>
      <c r="K8" s="7">
        <f>'[9]Jul Prod'!H262</f>
        <v>1921858</v>
      </c>
      <c r="L8" s="8">
        <f t="shared" si="7"/>
        <v>1.9218580000000001</v>
      </c>
      <c r="M8" s="10">
        <f t="shared" si="8"/>
        <v>5.9001040600000003</v>
      </c>
      <c r="N8" s="21"/>
      <c r="O8" s="7">
        <f>'[9]Jul Prod'!H7</f>
        <v>12496999.999999996</v>
      </c>
      <c r="P8" s="8">
        <f t="shared" si="9"/>
        <v>12.496999999999996</v>
      </c>
      <c r="Q8" s="10">
        <f t="shared" si="10"/>
        <v>38.36578999999999</v>
      </c>
      <c r="R8" s="7">
        <f>'[9]Jul Prod'!C7</f>
        <v>12742000</v>
      </c>
      <c r="S8" s="8">
        <f t="shared" si="11"/>
        <v>12.742000000000001</v>
      </c>
      <c r="T8" s="10">
        <f t="shared" si="12"/>
        <v>39.117939999999997</v>
      </c>
      <c r="U8" s="7">
        <f>'[9]Jul Prod'!D7</f>
        <v>0</v>
      </c>
      <c r="V8" s="8">
        <f t="shared" si="13"/>
        <v>0</v>
      </c>
      <c r="W8" s="10">
        <f t="shared" si="14"/>
        <v>0</v>
      </c>
      <c r="X8" s="7">
        <f>'[9]Jul Prod'!D262</f>
        <v>245000.00000000454</v>
      </c>
      <c r="Y8" s="8">
        <f t="shared" si="15"/>
        <v>0.24500000000000455</v>
      </c>
      <c r="Z8" s="10">
        <f t="shared" si="16"/>
        <v>0.75215000000001397</v>
      </c>
      <c r="AA8" s="15"/>
      <c r="AB8" s="7">
        <f>'[9]Jul Prod'!G7</f>
        <v>0</v>
      </c>
      <c r="AC8" s="8">
        <f t="shared" si="17"/>
        <v>0</v>
      </c>
      <c r="AD8" s="10">
        <f t="shared" si="18"/>
        <v>0</v>
      </c>
      <c r="AF8" s="7">
        <f t="shared" si="19"/>
        <v>36096999.99999854</v>
      </c>
      <c r="AG8" s="8">
        <f t="shared" si="20"/>
        <v>36.096999999998545</v>
      </c>
      <c r="AH8" s="8">
        <f t="shared" si="21"/>
        <v>110.81778999999551</v>
      </c>
      <c r="AJ8" s="8">
        <f t="shared" si="2"/>
        <v>-6.5503158452884236E-15</v>
      </c>
    </row>
    <row r="9" spans="1:36" x14ac:dyDescent="0.2">
      <c r="A9" s="27">
        <v>38538</v>
      </c>
      <c r="B9" s="7">
        <f>'[9]Jul Prod'!I8</f>
        <v>22000000</v>
      </c>
      <c r="C9" s="8">
        <f t="shared" si="22"/>
        <v>22</v>
      </c>
      <c r="D9" s="10">
        <f t="shared" si="23"/>
        <v>67.539999999999992</v>
      </c>
      <c r="E9" s="7">
        <f>'[9]Jul Prod'!E8</f>
        <v>10000000</v>
      </c>
      <c r="F9" s="8">
        <f t="shared" si="3"/>
        <v>10</v>
      </c>
      <c r="G9" s="10">
        <f t="shared" si="4"/>
        <v>30.7</v>
      </c>
      <c r="H9" s="7">
        <f>'[9]Jul Prod'!F8</f>
        <v>11910000</v>
      </c>
      <c r="I9" s="8">
        <f t="shared" si="5"/>
        <v>11.91</v>
      </c>
      <c r="J9" s="10">
        <f t="shared" si="6"/>
        <v>36.563699999999997</v>
      </c>
      <c r="K9" s="7">
        <f>'[9]Jul Prod'!H263</f>
        <v>1911176</v>
      </c>
      <c r="L9" s="8">
        <f t="shared" si="7"/>
        <v>1.911176</v>
      </c>
      <c r="M9" s="10">
        <f t="shared" si="8"/>
        <v>5.8673103199999996</v>
      </c>
      <c r="N9" s="21"/>
      <c r="O9" s="7">
        <f>'[9]Jul Prod'!H8</f>
        <v>10617000</v>
      </c>
      <c r="P9" s="8">
        <f t="shared" si="9"/>
        <v>10.617000000000001</v>
      </c>
      <c r="Q9" s="10">
        <f t="shared" si="10"/>
        <v>32.594189999999998</v>
      </c>
      <c r="R9" s="7">
        <f>'[9]Jul Prod'!C8</f>
        <v>10986000</v>
      </c>
      <c r="S9" s="8">
        <f t="shared" si="11"/>
        <v>10.986000000000001</v>
      </c>
      <c r="T9" s="10">
        <f t="shared" si="12"/>
        <v>33.727020000000003</v>
      </c>
      <c r="U9" s="7">
        <f>'[9]Jul Prod'!D8</f>
        <v>0</v>
      </c>
      <c r="V9" s="8">
        <f t="shared" si="13"/>
        <v>0</v>
      </c>
      <c r="W9" s="10">
        <f t="shared" si="14"/>
        <v>0</v>
      </c>
      <c r="X9" s="7">
        <f>'[9]Jul Prod'!D263</f>
        <v>368999.99999999977</v>
      </c>
      <c r="Y9" s="8">
        <f t="shared" si="15"/>
        <v>0.36899999999999977</v>
      </c>
      <c r="Z9" s="10">
        <f t="shared" si="16"/>
        <v>1.1328299999999993</v>
      </c>
      <c r="AA9" s="15"/>
      <c r="AB9" s="7">
        <f>'[9]Jul Prod'!G8</f>
        <v>0</v>
      </c>
      <c r="AC9" s="8">
        <f t="shared" si="17"/>
        <v>0</v>
      </c>
      <c r="AD9" s="10">
        <f t="shared" si="18"/>
        <v>0</v>
      </c>
      <c r="AF9" s="7">
        <f t="shared" si="19"/>
        <v>32617000</v>
      </c>
      <c r="AG9" s="8">
        <f t="shared" si="20"/>
        <v>32.617000000000004</v>
      </c>
      <c r="AH9" s="8">
        <f t="shared" si="21"/>
        <v>100.13418999999999</v>
      </c>
      <c r="AJ9" s="8">
        <f>T9-Q9-Z9</f>
        <v>6.2172489379008766E-15</v>
      </c>
    </row>
    <row r="10" spans="1:36" x14ac:dyDescent="0.2">
      <c r="A10" s="27">
        <v>38539</v>
      </c>
      <c r="B10" s="7">
        <f>'[9]Jul Prod'!I9</f>
        <v>27299999.999999274</v>
      </c>
      <c r="C10" s="8">
        <f t="shared" si="22"/>
        <v>27.299999999999272</v>
      </c>
      <c r="D10" s="10">
        <f t="shared" si="23"/>
        <v>83.810999999997762</v>
      </c>
      <c r="E10" s="7">
        <f>'[9]Jul Prod'!E9</f>
        <v>14000000</v>
      </c>
      <c r="F10" s="8">
        <f t="shared" si="3"/>
        <v>14</v>
      </c>
      <c r="G10" s="10">
        <f t="shared" si="4"/>
        <v>42.98</v>
      </c>
      <c r="H10" s="7">
        <f>'[9]Jul Prod'!F9</f>
        <v>14060000</v>
      </c>
      <c r="I10" s="8">
        <f t="shared" si="5"/>
        <v>14.06</v>
      </c>
      <c r="J10" s="10">
        <f t="shared" si="6"/>
        <v>43.164200000000001</v>
      </c>
      <c r="K10" s="7">
        <f>'[9]Jul Prod'!H264</f>
        <v>2276940</v>
      </c>
      <c r="L10" s="8">
        <f t="shared" si="7"/>
        <v>2.2769400000000002</v>
      </c>
      <c r="M10" s="10">
        <f t="shared" si="8"/>
        <v>6.9902058</v>
      </c>
      <c r="N10" s="21"/>
      <c r="O10" s="7">
        <f>'[9]Jul Prod'!H9</f>
        <v>11523000</v>
      </c>
      <c r="P10" s="8">
        <f t="shared" si="9"/>
        <v>11.523</v>
      </c>
      <c r="Q10" s="10">
        <f t="shared" si="10"/>
        <v>35.375609999999995</v>
      </c>
      <c r="R10" s="7">
        <f>'[9]Jul Prod'!C9</f>
        <v>11895000</v>
      </c>
      <c r="S10" s="8">
        <f t="shared" si="11"/>
        <v>11.895</v>
      </c>
      <c r="T10" s="10">
        <f t="shared" si="12"/>
        <v>36.517649999999996</v>
      </c>
      <c r="U10" s="7">
        <f>'[9]Jul Prod'!D9</f>
        <v>0</v>
      </c>
      <c r="V10" s="8">
        <f t="shared" si="13"/>
        <v>0</v>
      </c>
      <c r="W10" s="10">
        <f t="shared" si="14"/>
        <v>0</v>
      </c>
      <c r="X10" s="7">
        <f>'[9]Jul Prod'!D264</f>
        <v>371999.99999999988</v>
      </c>
      <c r="Y10" s="8">
        <f t="shared" si="15"/>
        <v>0.37199999999999989</v>
      </c>
      <c r="Z10" s="10">
        <f t="shared" si="16"/>
        <v>1.1420399999999995</v>
      </c>
      <c r="AA10" s="15"/>
      <c r="AB10" s="7">
        <f>'[9]Jul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38822999.99999927</v>
      </c>
      <c r="AG10" s="8">
        <f t="shared" si="20"/>
        <v>38.822999999999269</v>
      </c>
      <c r="AH10" s="8">
        <f t="shared" si="21"/>
        <v>119.18660999999776</v>
      </c>
      <c r="AJ10" s="8">
        <f t="shared" si="2"/>
        <v>1.9984014443252818E-15</v>
      </c>
    </row>
    <row r="11" spans="1:36" x14ac:dyDescent="0.2">
      <c r="A11" s="27">
        <v>38540</v>
      </c>
      <c r="B11" s="7">
        <f>'[9]Jul Prod'!I10</f>
        <v>24700000.000000726</v>
      </c>
      <c r="C11" s="8">
        <f t="shared" si="22"/>
        <v>24.700000000000728</v>
      </c>
      <c r="D11" s="10">
        <f t="shared" si="23"/>
        <v>75.829000000002225</v>
      </c>
      <c r="E11" s="7">
        <f>'[9]Jul Prod'!E10</f>
        <v>12000000</v>
      </c>
      <c r="F11" s="8">
        <f t="shared" si="3"/>
        <v>12</v>
      </c>
      <c r="G11" s="10">
        <f t="shared" si="4"/>
        <v>36.839999999999996</v>
      </c>
      <c r="H11" s="7">
        <f>'[9]Jul Prod'!F10</f>
        <v>11950000</v>
      </c>
      <c r="I11" s="8">
        <f t="shared" si="5"/>
        <v>11.95</v>
      </c>
      <c r="J11" s="10">
        <f t="shared" si="6"/>
        <v>36.686499999999995</v>
      </c>
      <c r="K11" s="7">
        <f>'[9]Jul Prod'!H265</f>
        <v>2076062</v>
      </c>
      <c r="L11" s="8">
        <f t="shared" si="7"/>
        <v>2.0760619999999999</v>
      </c>
      <c r="M11" s="10">
        <f t="shared" si="8"/>
        <v>6.3735103399999993</v>
      </c>
      <c r="N11" s="21"/>
      <c r="O11" s="7">
        <f>'[9]Jul Prod'!H10</f>
        <v>10951000.000000002</v>
      </c>
      <c r="P11" s="8">
        <f t="shared" si="9"/>
        <v>10.951000000000002</v>
      </c>
      <c r="Q11" s="10">
        <f t="shared" si="10"/>
        <v>33.619570000000003</v>
      </c>
      <c r="R11" s="7">
        <f>'[9]Jul Prod'!C10</f>
        <v>11263000</v>
      </c>
      <c r="S11" s="8">
        <f t="shared" si="11"/>
        <v>11.263</v>
      </c>
      <c r="T11" s="10">
        <f t="shared" si="12"/>
        <v>34.57741</v>
      </c>
      <c r="U11" s="7">
        <f>'[9]Jul Prod'!D10</f>
        <v>0</v>
      </c>
      <c r="V11" s="8">
        <f t="shared" si="13"/>
        <v>0</v>
      </c>
      <c r="W11" s="10">
        <f t="shared" si="14"/>
        <v>0</v>
      </c>
      <c r="X11" s="7">
        <f>'[9]Jul Prod'!D265</f>
        <v>311999.99999999761</v>
      </c>
      <c r="Y11" s="8">
        <f t="shared" si="15"/>
        <v>0.31199999999999761</v>
      </c>
      <c r="Z11" s="10">
        <f t="shared" si="16"/>
        <v>0.95783999999999259</v>
      </c>
      <c r="AA11" s="15"/>
      <c r="AB11" s="7">
        <f>'[9]Jul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35651000.00000073</v>
      </c>
      <c r="AG11" s="8">
        <f t="shared" si="20"/>
        <v>35.651000000000728</v>
      </c>
      <c r="AH11" s="8">
        <f t="shared" si="21"/>
        <v>109.44857000000223</v>
      </c>
      <c r="AJ11" s="8">
        <f t="shared" si="2"/>
        <v>4.7739590058881731E-15</v>
      </c>
    </row>
    <row r="12" spans="1:36" x14ac:dyDescent="0.2">
      <c r="A12" s="27">
        <v>38541</v>
      </c>
      <c r="B12" s="7">
        <f>'[9]Jul Prod'!I11</f>
        <v>18900000.000001457</v>
      </c>
      <c r="C12" s="8">
        <f t="shared" si="22"/>
        <v>18.900000000001455</v>
      </c>
      <c r="D12" s="10">
        <f t="shared" si="23"/>
        <v>58.023000000004465</v>
      </c>
      <c r="E12" s="7">
        <f>'[9]Jul Prod'!E11</f>
        <v>10000000</v>
      </c>
      <c r="F12" s="8">
        <f t="shared" si="3"/>
        <v>10</v>
      </c>
      <c r="G12" s="10">
        <f t="shared" si="4"/>
        <v>30.7</v>
      </c>
      <c r="H12" s="7">
        <f>'[9]Jul Prod'!F11</f>
        <v>9900000</v>
      </c>
      <c r="I12" s="8">
        <f t="shared" si="5"/>
        <v>9.9</v>
      </c>
      <c r="J12" s="10">
        <f t="shared" si="6"/>
        <v>30.393000000000001</v>
      </c>
      <c r="K12" s="7">
        <f>'[9]Jul Prod'!H266</f>
        <v>1774347</v>
      </c>
      <c r="L12" s="8">
        <f t="shared" si="7"/>
        <v>1.7743469999999999</v>
      </c>
      <c r="M12" s="10">
        <f t="shared" si="8"/>
        <v>5.4472452899999997</v>
      </c>
      <c r="N12" s="21"/>
      <c r="O12" s="7">
        <f>'[9]Jul Prod'!H11</f>
        <v>10685999.999999998</v>
      </c>
      <c r="P12" s="8">
        <f t="shared" si="9"/>
        <v>10.685999999999998</v>
      </c>
      <c r="Q12" s="10">
        <f t="shared" si="10"/>
        <v>32.80601999999999</v>
      </c>
      <c r="R12" s="7">
        <f>'[9]Jul Prod'!C11</f>
        <v>10996000</v>
      </c>
      <c r="S12" s="8">
        <f t="shared" si="11"/>
        <v>10.996</v>
      </c>
      <c r="T12" s="10">
        <f t="shared" si="12"/>
        <v>33.757719999999999</v>
      </c>
      <c r="U12" s="7">
        <f>'[9]Jul Prod'!D11</f>
        <v>0</v>
      </c>
      <c r="V12" s="8">
        <f t="shared" si="13"/>
        <v>0</v>
      </c>
      <c r="W12" s="10">
        <f t="shared" si="14"/>
        <v>0</v>
      </c>
      <c r="X12" s="7">
        <f>'[9]Jul Prod'!D266</f>
        <v>310000.00000000227</v>
      </c>
      <c r="Y12" s="8">
        <f t="shared" si="15"/>
        <v>0.31000000000000227</v>
      </c>
      <c r="Z12" s="10">
        <f t="shared" si="16"/>
        <v>0.95170000000000698</v>
      </c>
      <c r="AA12" s="15"/>
      <c r="AB12" s="7">
        <f>'[9]Jul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29586000.000001453</v>
      </c>
      <c r="AG12" s="8">
        <f t="shared" si="20"/>
        <v>29.586000000001455</v>
      </c>
      <c r="AH12" s="8">
        <f t="shared" si="21"/>
        <v>90.829020000004448</v>
      </c>
      <c r="AJ12" s="8">
        <f t="shared" si="2"/>
        <v>2.55351295663786E-15</v>
      </c>
    </row>
    <row r="13" spans="1:36" x14ac:dyDescent="0.2">
      <c r="A13" s="27">
        <v>38542</v>
      </c>
      <c r="B13" s="7">
        <f>'[9]Jul Prod'!I12</f>
        <v>21599999.999998543</v>
      </c>
      <c r="C13" s="8">
        <f t="shared" si="22"/>
        <v>21.599999999998545</v>
      </c>
      <c r="D13" s="10">
        <f t="shared" si="23"/>
        <v>66.311999999995535</v>
      </c>
      <c r="E13" s="7">
        <f>'[9]Jul Prod'!E12</f>
        <v>11000000</v>
      </c>
      <c r="F13" s="8">
        <f t="shared" si="3"/>
        <v>11</v>
      </c>
      <c r="G13" s="10">
        <f t="shared" si="4"/>
        <v>33.769999999999996</v>
      </c>
      <c r="H13" s="7">
        <f>'[9]Jul Prod'!F12</f>
        <v>10300000</v>
      </c>
      <c r="I13" s="8">
        <f t="shared" si="5"/>
        <v>10.3</v>
      </c>
      <c r="J13" s="10">
        <f t="shared" si="6"/>
        <v>31.621000000000002</v>
      </c>
      <c r="K13" s="7">
        <f>'[9]Jul Prod'!H267</f>
        <v>1619159</v>
      </c>
      <c r="L13" s="8">
        <f t="shared" si="7"/>
        <v>1.619159</v>
      </c>
      <c r="M13" s="10">
        <f t="shared" si="8"/>
        <v>4.9708181299999996</v>
      </c>
      <c r="N13" s="21"/>
      <c r="O13" s="7">
        <f>'[9]Jul Prod'!H12</f>
        <v>12716000.000000002</v>
      </c>
      <c r="P13" s="8">
        <f t="shared" si="9"/>
        <v>12.716000000000001</v>
      </c>
      <c r="Q13" s="10">
        <f t="shared" si="10"/>
        <v>39.038119999999999</v>
      </c>
      <c r="R13" s="7">
        <f>'[9]Jul Prod'!C12</f>
        <v>12903000</v>
      </c>
      <c r="S13" s="8">
        <f t="shared" si="11"/>
        <v>12.903</v>
      </c>
      <c r="T13" s="10">
        <f t="shared" si="12"/>
        <v>39.612209999999997</v>
      </c>
      <c r="U13" s="7">
        <f>'[9]Jul Prod'!D12</f>
        <v>0</v>
      </c>
      <c r="V13" s="8">
        <f t="shared" si="13"/>
        <v>0</v>
      </c>
      <c r="W13" s="10">
        <f t="shared" si="14"/>
        <v>0</v>
      </c>
      <c r="X13" s="7">
        <f>'[9]Jul Prod'!D267</f>
        <v>186999.99999999761</v>
      </c>
      <c r="Y13" s="8">
        <f t="shared" si="15"/>
        <v>0.18699999999999761</v>
      </c>
      <c r="Z13" s="10">
        <f t="shared" si="16"/>
        <v>0.57408999999999266</v>
      </c>
      <c r="AA13" s="15"/>
      <c r="AB13" s="7">
        <f>'[9]Jul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34315999.999998547</v>
      </c>
      <c r="AG13" s="8">
        <f t="shared" si="20"/>
        <v>34.315999999998546</v>
      </c>
      <c r="AH13" s="8">
        <f t="shared" si="21"/>
        <v>105.35011999999554</v>
      </c>
      <c r="AJ13" s="8">
        <f t="shared" si="2"/>
        <v>5.5511151231257827E-15</v>
      </c>
    </row>
    <row r="14" spans="1:36" x14ac:dyDescent="0.2">
      <c r="A14" s="27">
        <v>38543</v>
      </c>
      <c r="B14" s="7">
        <f>'[9]Jul Prod'!I13</f>
        <v>24799999.999999274</v>
      </c>
      <c r="C14" s="8">
        <f t="shared" si="22"/>
        <v>24.799999999999272</v>
      </c>
      <c r="D14" s="10">
        <f t="shared" si="23"/>
        <v>76.135999999997765</v>
      </c>
      <c r="E14" s="7">
        <f>'[9]Jul Prod'!E13</f>
        <v>13000000</v>
      </c>
      <c r="F14" s="8">
        <f t="shared" si="3"/>
        <v>13</v>
      </c>
      <c r="G14" s="10">
        <f t="shared" si="4"/>
        <v>39.909999999999997</v>
      </c>
      <c r="H14" s="7">
        <f>'[9]Jul Prod'!F13</f>
        <v>11800000</v>
      </c>
      <c r="I14" s="8">
        <f t="shared" si="5"/>
        <v>11.8</v>
      </c>
      <c r="J14" s="10">
        <f t="shared" si="6"/>
        <v>36.225999999999999</v>
      </c>
      <c r="K14" s="7">
        <f>'[9]Jul Prod'!H268</f>
        <v>2053379</v>
      </c>
      <c r="L14" s="8">
        <f t="shared" si="7"/>
        <v>2.0533790000000001</v>
      </c>
      <c r="M14" s="10">
        <f t="shared" si="8"/>
        <v>6.3038735299999997</v>
      </c>
      <c r="N14" s="21"/>
      <c r="O14" s="7">
        <f>'[9]Jul Prod'!H13</f>
        <v>10285000</v>
      </c>
      <c r="P14" s="8">
        <f t="shared" si="9"/>
        <v>10.285</v>
      </c>
      <c r="Q14" s="10">
        <f t="shared" si="10"/>
        <v>31.574949999999998</v>
      </c>
      <c r="R14" s="7">
        <f>'[9]Jul Prod'!C13</f>
        <v>10657000</v>
      </c>
      <c r="S14" s="8">
        <f t="shared" si="11"/>
        <v>10.657</v>
      </c>
      <c r="T14" s="10">
        <f t="shared" si="12"/>
        <v>32.716989999999996</v>
      </c>
      <c r="U14" s="7">
        <f>'[9]Jul Prod'!D13</f>
        <v>0</v>
      </c>
      <c r="V14" s="8">
        <f t="shared" si="13"/>
        <v>0</v>
      </c>
      <c r="W14" s="10">
        <f t="shared" si="14"/>
        <v>0</v>
      </c>
      <c r="X14" s="7">
        <f>'[9]Jul Prod'!D268</f>
        <v>371999.99999999988</v>
      </c>
      <c r="Y14" s="8">
        <f t="shared" si="15"/>
        <v>0.37199999999999989</v>
      </c>
      <c r="Z14" s="10">
        <f t="shared" si="16"/>
        <v>1.1420399999999995</v>
      </c>
      <c r="AA14" s="15"/>
      <c r="AB14" s="7">
        <f>'[9]Jul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35084999.99999927</v>
      </c>
      <c r="AG14" s="8">
        <f t="shared" si="20"/>
        <v>35.084999999999269</v>
      </c>
      <c r="AH14" s="8">
        <f t="shared" si="21"/>
        <v>107.71094999999777</v>
      </c>
      <c r="AJ14" s="8">
        <f t="shared" si="2"/>
        <v>0</v>
      </c>
    </row>
    <row r="15" spans="1:36" x14ac:dyDescent="0.2">
      <c r="A15" s="27">
        <v>38544</v>
      </c>
      <c r="B15" s="7">
        <f>'[9]Jul Prod'!I14</f>
        <v>24200000.000000726</v>
      </c>
      <c r="C15" s="8">
        <f t="shared" si="22"/>
        <v>24.200000000000728</v>
      </c>
      <c r="D15" s="10">
        <f t="shared" si="23"/>
        <v>74.294000000002228</v>
      </c>
      <c r="E15" s="7">
        <f>'[9]Jul Prod'!E14</f>
        <v>12000000</v>
      </c>
      <c r="F15" s="8">
        <f t="shared" si="3"/>
        <v>12</v>
      </c>
      <c r="G15" s="10">
        <f t="shared" si="4"/>
        <v>36.839999999999996</v>
      </c>
      <c r="H15" s="7">
        <f>'[9]Jul Prod'!F14</f>
        <v>12090000</v>
      </c>
      <c r="I15" s="8">
        <f t="shared" si="5"/>
        <v>12.09</v>
      </c>
      <c r="J15" s="10">
        <f t="shared" si="6"/>
        <v>37.116299999999995</v>
      </c>
      <c r="K15" s="7">
        <f>'[9]Jul Prod'!H269</f>
        <v>2090347</v>
      </c>
      <c r="L15" s="8">
        <f t="shared" si="7"/>
        <v>2.090347</v>
      </c>
      <c r="M15" s="10">
        <f t="shared" si="8"/>
        <v>6.4173652899999993</v>
      </c>
      <c r="N15" s="21"/>
      <c r="O15" s="7">
        <f>'[9]Jul Prod'!H14</f>
        <v>11697999.999999998</v>
      </c>
      <c r="P15" s="8">
        <f t="shared" si="9"/>
        <v>11.697999999999999</v>
      </c>
      <c r="Q15" s="10">
        <f t="shared" si="10"/>
        <v>35.912859999999995</v>
      </c>
      <c r="R15" s="7">
        <f>'[9]Jul Prod'!C14</f>
        <v>12005000</v>
      </c>
      <c r="S15" s="8">
        <f t="shared" si="11"/>
        <v>12.005000000000001</v>
      </c>
      <c r="T15" s="10">
        <f t="shared" si="12"/>
        <v>36.855350000000001</v>
      </c>
      <c r="U15" s="7">
        <f>'[9]Jul Prod'!D14</f>
        <v>0</v>
      </c>
      <c r="V15" s="8">
        <f t="shared" si="13"/>
        <v>0</v>
      </c>
      <c r="W15" s="10">
        <f t="shared" si="14"/>
        <v>0</v>
      </c>
      <c r="X15" s="7">
        <f>'[9]Jul Prod'!D269</f>
        <v>307000.00000000215</v>
      </c>
      <c r="Y15" s="8">
        <f t="shared" si="15"/>
        <v>0.30700000000000216</v>
      </c>
      <c r="Z15" s="10">
        <f t="shared" si="16"/>
        <v>0.9424900000000066</v>
      </c>
      <c r="AA15" s="15"/>
      <c r="AB15" s="7">
        <f>'[9]Jul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35898000.000000723</v>
      </c>
      <c r="AG15" s="8">
        <f t="shared" si="20"/>
        <v>35.898000000000728</v>
      </c>
      <c r="AH15" s="8">
        <f t="shared" si="21"/>
        <v>110.20686000000222</v>
      </c>
      <c r="AJ15" s="8">
        <f>T15-Q15-Z15</f>
        <v>0</v>
      </c>
    </row>
    <row r="16" spans="1:36" x14ac:dyDescent="0.2">
      <c r="A16" s="27">
        <v>38545</v>
      </c>
      <c r="B16" s="7">
        <f>'[9]Jul Prod'!I15</f>
        <v>16000000</v>
      </c>
      <c r="C16" s="8">
        <f t="shared" si="22"/>
        <v>16</v>
      </c>
      <c r="D16" s="10">
        <f t="shared" si="23"/>
        <v>49.12</v>
      </c>
      <c r="E16" s="7">
        <f>'[9]Jul Prod'!E15</f>
        <v>8000000</v>
      </c>
      <c r="F16" s="8">
        <f t="shared" si="3"/>
        <v>8</v>
      </c>
      <c r="G16" s="10">
        <f t="shared" si="4"/>
        <v>24.56</v>
      </c>
      <c r="H16" s="7">
        <f>'[9]Jul Prod'!F15</f>
        <v>8060000.0000000009</v>
      </c>
      <c r="I16" s="8">
        <f t="shared" si="5"/>
        <v>8.06</v>
      </c>
      <c r="J16" s="10">
        <f t="shared" si="6"/>
        <v>24.744199999999999</v>
      </c>
      <c r="K16" s="7">
        <f>'[9]Jul Prod'!H270</f>
        <v>1623284</v>
      </c>
      <c r="L16" s="8">
        <f t="shared" si="7"/>
        <v>1.6232839999999999</v>
      </c>
      <c r="M16" s="10">
        <f t="shared" si="8"/>
        <v>4.9834818799999994</v>
      </c>
      <c r="N16" s="21"/>
      <c r="O16" s="7">
        <f>'[9]Jul Prod'!H15</f>
        <v>10564000</v>
      </c>
      <c r="P16" s="8">
        <f t="shared" si="9"/>
        <v>10.564</v>
      </c>
      <c r="Q16" s="10">
        <f t="shared" si="10"/>
        <v>32.431480000000001</v>
      </c>
      <c r="R16" s="7">
        <f>'[9]Jul Prod'!C15</f>
        <v>10811000</v>
      </c>
      <c r="S16" s="8">
        <f t="shared" si="11"/>
        <v>10.811</v>
      </c>
      <c r="T16" s="10">
        <f t="shared" si="12"/>
        <v>33.189769999999996</v>
      </c>
      <c r="U16" s="7">
        <f>'[9]Jul Prod'!D15</f>
        <v>0</v>
      </c>
      <c r="V16" s="8">
        <f t="shared" si="13"/>
        <v>0</v>
      </c>
      <c r="W16" s="10">
        <f t="shared" si="14"/>
        <v>0</v>
      </c>
      <c r="X16" s="7">
        <f>'[9]Jul Prod'!D270</f>
        <v>246999.99999999988</v>
      </c>
      <c r="Y16" s="8">
        <f t="shared" si="15"/>
        <v>0.24699999999999989</v>
      </c>
      <c r="Z16" s="10">
        <f t="shared" si="16"/>
        <v>0.75828999999999958</v>
      </c>
      <c r="AA16" s="15"/>
      <c r="AB16" s="7">
        <f>'[9]Jul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26564000</v>
      </c>
      <c r="AG16" s="8">
        <f t="shared" si="20"/>
        <v>26.564</v>
      </c>
      <c r="AH16" s="8">
        <f t="shared" si="21"/>
        <v>81.551479999999998</v>
      </c>
      <c r="AJ16" s="8">
        <f>T16-Q16-Z16</f>
        <v>-4.3298697960381105E-15</v>
      </c>
    </row>
    <row r="17" spans="1:36" x14ac:dyDescent="0.2">
      <c r="A17" s="27">
        <v>38546</v>
      </c>
      <c r="B17" s="7">
        <f>'[9]Jul Prod'!I16</f>
        <v>16000000</v>
      </c>
      <c r="C17" s="8">
        <f t="shared" si="22"/>
        <v>16</v>
      </c>
      <c r="D17" s="10">
        <f t="shared" si="23"/>
        <v>49.12</v>
      </c>
      <c r="E17" s="7">
        <f>'[9]Jul Prod'!E16</f>
        <v>6000000</v>
      </c>
      <c r="F17" s="8">
        <f t="shared" si="3"/>
        <v>6</v>
      </c>
      <c r="G17" s="10">
        <f t="shared" si="4"/>
        <v>18.419999999999998</v>
      </c>
      <c r="H17" s="7">
        <f>'[9]Jul Prod'!F16</f>
        <v>9040000</v>
      </c>
      <c r="I17" s="8">
        <f t="shared" si="5"/>
        <v>9.0399999999999991</v>
      </c>
      <c r="J17" s="10">
        <f t="shared" si="6"/>
        <v>27.752799999999997</v>
      </c>
      <c r="K17" s="7">
        <f>'[9]Jul Prod'!H271</f>
        <v>1355415</v>
      </c>
      <c r="L17" s="8">
        <f t="shared" si="7"/>
        <v>1.355415</v>
      </c>
      <c r="M17" s="10">
        <f t="shared" si="8"/>
        <v>4.1611240499999997</v>
      </c>
      <c r="N17" s="21"/>
      <c r="O17" s="7">
        <f>'[9]Jul Prod'!H16</f>
        <v>9801999.9999999981</v>
      </c>
      <c r="P17" s="8">
        <f t="shared" si="9"/>
        <v>9.8019999999999978</v>
      </c>
      <c r="Q17" s="10">
        <f t="shared" si="10"/>
        <v>30.092139999999993</v>
      </c>
      <c r="R17" s="7">
        <f>'[9]Jul Prod'!C16</f>
        <v>10051000</v>
      </c>
      <c r="S17" s="8">
        <f t="shared" si="11"/>
        <v>10.051</v>
      </c>
      <c r="T17" s="10">
        <f t="shared" si="12"/>
        <v>30.856569999999998</v>
      </c>
      <c r="U17" s="7">
        <f>'[9]Jul Prod'!D16</f>
        <v>0</v>
      </c>
      <c r="V17" s="8">
        <f t="shared" si="13"/>
        <v>0</v>
      </c>
      <c r="W17" s="10">
        <f t="shared" si="14"/>
        <v>0</v>
      </c>
      <c r="X17" s="7">
        <f>'[9]Jul Prod'!D271</f>
        <v>249000.00000000233</v>
      </c>
      <c r="Y17" s="8">
        <f t="shared" si="15"/>
        <v>0.24900000000000233</v>
      </c>
      <c r="Z17" s="10">
        <f t="shared" si="16"/>
        <v>0.76443000000000716</v>
      </c>
      <c r="AA17" s="15"/>
      <c r="AB17" s="7">
        <f>'[9]Jul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25802000</v>
      </c>
      <c r="AG17" s="8">
        <f t="shared" si="20"/>
        <v>25.802</v>
      </c>
      <c r="AH17" s="8">
        <f t="shared" si="21"/>
        <v>79.212139999999991</v>
      </c>
      <c r="AJ17" s="8">
        <f>T17-Q17-Z17</f>
        <v>-2.7755575615628914E-15</v>
      </c>
    </row>
    <row r="18" spans="1:36" x14ac:dyDescent="0.2">
      <c r="A18" s="27">
        <v>38547</v>
      </c>
      <c r="B18" s="7">
        <f>'[9]Jul Prod'!I17</f>
        <v>22900000.000001457</v>
      </c>
      <c r="C18" s="8">
        <f t="shared" si="22"/>
        <v>22.900000000001455</v>
      </c>
      <c r="D18" s="10">
        <f t="shared" si="23"/>
        <v>70.303000000004459</v>
      </c>
      <c r="E18" s="7">
        <f>'[9]Jul Prod'!E17</f>
        <v>12000000</v>
      </c>
      <c r="F18" s="8">
        <f t="shared" si="3"/>
        <v>12</v>
      </c>
      <c r="G18" s="10">
        <f t="shared" si="4"/>
        <v>36.839999999999996</v>
      </c>
      <c r="H18" s="7">
        <f>'[9]Jul Prod'!F17</f>
        <v>11800000</v>
      </c>
      <c r="I18" s="8">
        <f t="shared" si="5"/>
        <v>11.8</v>
      </c>
      <c r="J18" s="10">
        <f t="shared" si="6"/>
        <v>36.225999999999999</v>
      </c>
      <c r="K18" s="7">
        <f>'[9]Jul Prod'!H272</f>
        <v>2009597</v>
      </c>
      <c r="L18" s="8">
        <f t="shared" si="7"/>
        <v>2.0095969999999999</v>
      </c>
      <c r="M18" s="10">
        <f t="shared" si="8"/>
        <v>6.169462789999999</v>
      </c>
      <c r="N18" s="21"/>
      <c r="O18" s="7">
        <f>'[9]Jul Prod'!H17</f>
        <v>7109000.0000000037</v>
      </c>
      <c r="P18" s="8">
        <f t="shared" si="9"/>
        <v>7.1090000000000035</v>
      </c>
      <c r="Q18" s="10">
        <f t="shared" si="10"/>
        <v>21.82463000000001</v>
      </c>
      <c r="R18" s="7">
        <f>'[9]Jul Prod'!C17</f>
        <v>7400000</v>
      </c>
      <c r="S18" s="8">
        <f t="shared" si="11"/>
        <v>7.4</v>
      </c>
      <c r="T18" s="10">
        <f t="shared" si="12"/>
        <v>22.718</v>
      </c>
      <c r="U18" s="7">
        <f>'[9]Jul Prod'!D17</f>
        <v>0</v>
      </c>
      <c r="V18" s="8">
        <f t="shared" si="13"/>
        <v>0</v>
      </c>
      <c r="W18" s="10">
        <f t="shared" si="14"/>
        <v>0</v>
      </c>
      <c r="X18" s="7">
        <f>'[9]Jul Prod'!D272</f>
        <v>290999.9999999968</v>
      </c>
      <c r="Y18" s="8">
        <f t="shared" si="15"/>
        <v>0.29099999999999682</v>
      </c>
      <c r="Z18" s="10">
        <f t="shared" si="16"/>
        <v>0.89336999999999023</v>
      </c>
      <c r="AA18" s="15"/>
      <c r="AB18" s="7">
        <f>'[9]Jul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30009000.00000146</v>
      </c>
      <c r="AG18" s="8">
        <f t="shared" si="20"/>
        <v>30.009000000001457</v>
      </c>
      <c r="AH18" s="8">
        <f t="shared" si="21"/>
        <v>92.127630000004473</v>
      </c>
      <c r="AJ18" s="8">
        <f>T18-Q18-Z18</f>
        <v>0</v>
      </c>
    </row>
    <row r="19" spans="1:36" x14ac:dyDescent="0.2">
      <c r="A19" s="27">
        <v>38548</v>
      </c>
      <c r="B19" s="7">
        <f>'[9]Jul Prod'!I18</f>
        <v>18500000</v>
      </c>
      <c r="C19" s="8">
        <f t="shared" si="22"/>
        <v>18.5</v>
      </c>
      <c r="D19" s="10">
        <f t="shared" si="23"/>
        <v>56.794999999999995</v>
      </c>
      <c r="E19" s="7">
        <f>'[9]Jul Prod'!E18</f>
        <v>10000000</v>
      </c>
      <c r="F19" s="8">
        <f t="shared" si="3"/>
        <v>10</v>
      </c>
      <c r="G19" s="10">
        <f t="shared" si="4"/>
        <v>30.7</v>
      </c>
      <c r="H19" s="7">
        <f>'[9]Jul Prod'!F18</f>
        <v>8770000</v>
      </c>
      <c r="I19" s="8">
        <f t="shared" si="5"/>
        <v>8.77</v>
      </c>
      <c r="J19" s="10">
        <f t="shared" si="6"/>
        <v>26.923899999999996</v>
      </c>
      <c r="K19" s="7">
        <f>'[9]Jul Prod'!H273</f>
        <v>1701817</v>
      </c>
      <c r="L19" s="8">
        <f t="shared" si="7"/>
        <v>1.7018169999999999</v>
      </c>
      <c r="M19" s="10">
        <f t="shared" si="8"/>
        <v>5.2245781899999999</v>
      </c>
      <c r="N19" s="21"/>
      <c r="O19" s="7">
        <f>'[9]Jul Prod'!H18</f>
        <v>7683000</v>
      </c>
      <c r="P19" s="8">
        <f t="shared" si="9"/>
        <v>7.6829999999999998</v>
      </c>
      <c r="Q19" s="10">
        <f t="shared" si="10"/>
        <v>23.58681</v>
      </c>
      <c r="R19" s="7">
        <f>'[9]Jul Prod'!C18</f>
        <v>7975000</v>
      </c>
      <c r="S19" s="8">
        <f t="shared" si="11"/>
        <v>7.9749999999999996</v>
      </c>
      <c r="T19" s="10">
        <f t="shared" si="12"/>
        <v>24.483249999999998</v>
      </c>
      <c r="U19" s="7">
        <f>'[9]Jul Prod'!D18</f>
        <v>0</v>
      </c>
      <c r="V19" s="8">
        <f t="shared" si="13"/>
        <v>0</v>
      </c>
      <c r="W19" s="10">
        <f t="shared" si="14"/>
        <v>0</v>
      </c>
      <c r="X19" s="7">
        <f>'[9]Jul Prod'!D273</f>
        <v>292000</v>
      </c>
      <c r="Y19" s="8">
        <f t="shared" si="15"/>
        <v>0.29199999999999998</v>
      </c>
      <c r="Z19" s="10">
        <f t="shared" si="16"/>
        <v>0.8964399999999999</v>
      </c>
      <c r="AA19" s="15"/>
      <c r="AB19" s="7">
        <f>'[9]Jul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26183000</v>
      </c>
      <c r="AG19" s="8">
        <f t="shared" si="20"/>
        <v>26.183</v>
      </c>
      <c r="AH19" s="8">
        <f t="shared" si="21"/>
        <v>80.381810000000002</v>
      </c>
      <c r="AJ19" s="8">
        <f>T19-Q19-Z19</f>
        <v>-1.5543122344752192E-15</v>
      </c>
    </row>
    <row r="20" spans="1:36" x14ac:dyDescent="0.2">
      <c r="A20" s="27">
        <v>38549</v>
      </c>
      <c r="B20" s="7">
        <f>'[9]Jul Prod'!I19</f>
        <v>15500000</v>
      </c>
      <c r="C20" s="8">
        <f t="shared" si="22"/>
        <v>15.5</v>
      </c>
      <c r="D20" s="10">
        <f t="shared" si="23"/>
        <v>47.585000000000001</v>
      </c>
      <c r="E20" s="7">
        <f>'[9]Jul Prod'!E19</f>
        <v>7000000</v>
      </c>
      <c r="F20" s="8">
        <f t="shared" si="3"/>
        <v>7</v>
      </c>
      <c r="G20" s="10">
        <f t="shared" si="4"/>
        <v>21.49</v>
      </c>
      <c r="H20" s="7">
        <f>'[9]Jul Prod'!F19</f>
        <v>8180000</v>
      </c>
      <c r="I20" s="8">
        <f t="shared" si="5"/>
        <v>8.18</v>
      </c>
      <c r="J20" s="10">
        <f t="shared" si="6"/>
        <v>25.112599999999997</v>
      </c>
      <c r="K20" s="7">
        <f>'[9]Jul Prod'!H274</f>
        <v>1305330</v>
      </c>
      <c r="L20" s="8">
        <f t="shared" si="7"/>
        <v>1.3053300000000001</v>
      </c>
      <c r="M20" s="10">
        <f t="shared" si="8"/>
        <v>4.0073631000000001</v>
      </c>
      <c r="N20" s="21"/>
      <c r="O20" s="7">
        <f>'[9]Jul Prod'!H19</f>
        <v>7759000</v>
      </c>
      <c r="P20" s="8">
        <f t="shared" si="9"/>
        <v>7.7590000000000003</v>
      </c>
      <c r="Q20" s="10">
        <f t="shared" si="10"/>
        <v>23.820129999999999</v>
      </c>
      <c r="R20" s="7">
        <f>'[9]Jul Prod'!C19</f>
        <v>8071000</v>
      </c>
      <c r="S20" s="8">
        <f t="shared" si="11"/>
        <v>8.0709999999999997</v>
      </c>
      <c r="T20" s="10">
        <f t="shared" si="12"/>
        <v>24.777969999999996</v>
      </c>
      <c r="U20" s="7">
        <f>'[9]Jul Prod'!D19</f>
        <v>0</v>
      </c>
      <c r="V20" s="8">
        <f t="shared" si="13"/>
        <v>0</v>
      </c>
      <c r="W20" s="10">
        <f t="shared" si="14"/>
        <v>0</v>
      </c>
      <c r="X20" s="7">
        <f>'[9]Jul Prod'!D274</f>
        <v>312000.00000000006</v>
      </c>
      <c r="Y20" s="8">
        <f t="shared" si="15"/>
        <v>0.31200000000000006</v>
      </c>
      <c r="Z20" s="10">
        <f t="shared" si="16"/>
        <v>0.95784000000000014</v>
      </c>
      <c r="AA20" s="15"/>
      <c r="AB20" s="7">
        <f>'[9]Jul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23259000</v>
      </c>
      <c r="AG20" s="8">
        <f t="shared" si="20"/>
        <v>23.259</v>
      </c>
      <c r="AH20" s="8">
        <f t="shared" si="21"/>
        <v>71.40513</v>
      </c>
      <c r="AJ20" s="8">
        <f t="shared" ref="AJ20:AJ35" si="24">T20-Q20-Z20</f>
        <v>-2.7755575615628914E-15</v>
      </c>
    </row>
    <row r="21" spans="1:36" x14ac:dyDescent="0.2">
      <c r="A21" s="27">
        <v>38550</v>
      </c>
      <c r="B21" s="7">
        <f>'[9]Jul Prod'!I20</f>
        <v>14000000</v>
      </c>
      <c r="C21" s="8">
        <f t="shared" si="22"/>
        <v>14</v>
      </c>
      <c r="D21" s="10">
        <f t="shared" si="23"/>
        <v>42.98</v>
      </c>
      <c r="E21" s="7">
        <f>'[9]Jul Prod'!E20</f>
        <v>7000000</v>
      </c>
      <c r="F21" s="8">
        <f t="shared" si="3"/>
        <v>7</v>
      </c>
      <c r="G21" s="10">
        <f t="shared" si="4"/>
        <v>21.49</v>
      </c>
      <c r="H21" s="7">
        <f>'[9]Jul Prod'!F20</f>
        <v>7060000</v>
      </c>
      <c r="I21" s="8">
        <f t="shared" si="5"/>
        <v>7.06</v>
      </c>
      <c r="J21" s="10">
        <f t="shared" si="6"/>
        <v>21.674199999999999</v>
      </c>
      <c r="K21" s="7">
        <f>'[9]Jul Prod'!H275</f>
        <v>1156147</v>
      </c>
      <c r="L21" s="8">
        <f t="shared" si="7"/>
        <v>1.156147</v>
      </c>
      <c r="M21" s="10">
        <f t="shared" si="8"/>
        <v>3.5493712899999998</v>
      </c>
      <c r="N21" s="21"/>
      <c r="O21" s="7">
        <f>'[9]Jul Prod'!H20</f>
        <v>8968000</v>
      </c>
      <c r="P21" s="8">
        <f t="shared" si="9"/>
        <v>8.968</v>
      </c>
      <c r="Q21" s="10">
        <f t="shared" si="10"/>
        <v>27.531759999999998</v>
      </c>
      <c r="R21" s="7">
        <f>'[9]Jul Prod'!C20</f>
        <v>9365000</v>
      </c>
      <c r="S21" s="8">
        <f t="shared" si="11"/>
        <v>9.3650000000000002</v>
      </c>
      <c r="T21" s="10">
        <f t="shared" si="12"/>
        <v>28.75055</v>
      </c>
      <c r="U21" s="7">
        <f>'[9]Jul Prod'!D20</f>
        <v>0</v>
      </c>
      <c r="V21" s="8">
        <f t="shared" si="13"/>
        <v>0</v>
      </c>
      <c r="W21" s="10">
        <f t="shared" si="14"/>
        <v>0</v>
      </c>
      <c r="X21" s="7">
        <f>'[9]Jul Prod'!D275</f>
        <v>396999.99999999988</v>
      </c>
      <c r="Y21" s="8">
        <f t="shared" si="15"/>
        <v>0.39699999999999991</v>
      </c>
      <c r="Z21" s="10">
        <f t="shared" si="16"/>
        <v>1.2187899999999996</v>
      </c>
      <c r="AA21" s="15"/>
      <c r="AB21" s="7">
        <f>'[9]Jul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22968000</v>
      </c>
      <c r="AG21" s="8">
        <f t="shared" si="20"/>
        <v>22.968</v>
      </c>
      <c r="AH21" s="8">
        <f t="shared" si="21"/>
        <v>70.511759999999995</v>
      </c>
      <c r="AJ21" s="8">
        <f t="shared" si="24"/>
        <v>2.4424906541753444E-15</v>
      </c>
    </row>
    <row r="22" spans="1:36" x14ac:dyDescent="0.2">
      <c r="A22" s="27">
        <v>38551</v>
      </c>
      <c r="B22" s="7">
        <f>'[9]Jul Prod'!I21</f>
        <v>17799999.999999274</v>
      </c>
      <c r="C22" s="8">
        <f t="shared" si="22"/>
        <v>17.799999999999272</v>
      </c>
      <c r="D22" s="10">
        <f t="shared" si="23"/>
        <v>54.645999999997763</v>
      </c>
      <c r="E22" s="7">
        <f>'[9]Jul Prod'!E21</f>
        <v>9000000</v>
      </c>
      <c r="F22" s="8">
        <f t="shared" si="3"/>
        <v>9</v>
      </c>
      <c r="G22" s="10">
        <f t="shared" si="4"/>
        <v>27.63</v>
      </c>
      <c r="H22" s="7">
        <f>'[9]Jul Prod'!F21</f>
        <v>9190000</v>
      </c>
      <c r="I22" s="8">
        <f t="shared" si="5"/>
        <v>9.19</v>
      </c>
      <c r="J22" s="10">
        <f t="shared" si="6"/>
        <v>28.213299999999997</v>
      </c>
      <c r="K22" s="7">
        <f>'[9]Jul Prod'!H276</f>
        <v>1439488</v>
      </c>
      <c r="L22" s="8">
        <f t="shared" si="7"/>
        <v>1.4394880000000001</v>
      </c>
      <c r="M22" s="10">
        <f t="shared" si="8"/>
        <v>4.4192281600000003</v>
      </c>
      <c r="N22" s="21"/>
      <c r="O22" s="7">
        <f>'[9]Jul Prod'!H21</f>
        <v>7337000</v>
      </c>
      <c r="P22" s="8">
        <f t="shared" si="9"/>
        <v>7.3369999999999997</v>
      </c>
      <c r="Q22" s="10">
        <f t="shared" si="10"/>
        <v>22.524589999999996</v>
      </c>
      <c r="R22" s="7">
        <f>'[9]Jul Prod'!C21</f>
        <v>7744000</v>
      </c>
      <c r="S22" s="8">
        <f t="shared" si="11"/>
        <v>7.7439999999999998</v>
      </c>
      <c r="T22" s="10">
        <f t="shared" si="12"/>
        <v>23.774079999999998</v>
      </c>
      <c r="U22" s="7">
        <f>'[9]Jul Prod'!D21</f>
        <v>0</v>
      </c>
      <c r="V22" s="8">
        <f t="shared" si="13"/>
        <v>0</v>
      </c>
      <c r="W22" s="10">
        <f t="shared" si="14"/>
        <v>0</v>
      </c>
      <c r="X22" s="7">
        <f>'[9]Jul Prod'!D276</f>
        <v>407000</v>
      </c>
      <c r="Y22" s="8">
        <f t="shared" si="15"/>
        <v>0.40699999999999997</v>
      </c>
      <c r="Z22" s="10">
        <f t="shared" si="16"/>
        <v>1.2494899999999998</v>
      </c>
      <c r="AA22" s="15"/>
      <c r="AB22" s="7">
        <f>'[9]Jul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25136999.999999274</v>
      </c>
      <c r="AG22" s="8">
        <f t="shared" si="20"/>
        <v>25.136999999999272</v>
      </c>
      <c r="AH22" s="8">
        <f t="shared" si="21"/>
        <v>77.170589999997759</v>
      </c>
      <c r="AI22" s="18"/>
      <c r="AJ22" s="8">
        <f t="shared" si="24"/>
        <v>1.7763568394002505E-15</v>
      </c>
    </row>
    <row r="23" spans="1:36" x14ac:dyDescent="0.2">
      <c r="A23" s="27">
        <v>38552</v>
      </c>
      <c r="B23" s="7">
        <f>'[9]Jul Prod'!I22</f>
        <v>22700000.000000726</v>
      </c>
      <c r="C23" s="8">
        <f t="shared" si="22"/>
        <v>22.700000000000728</v>
      </c>
      <c r="D23" s="10">
        <f t="shared" si="23"/>
        <v>69.689000000002224</v>
      </c>
      <c r="E23" s="7">
        <f>'[9]Jul Prod'!E22</f>
        <v>11000000</v>
      </c>
      <c r="F23" s="8">
        <f t="shared" si="3"/>
        <v>11</v>
      </c>
      <c r="G23" s="10">
        <f t="shared" si="4"/>
        <v>33.769999999999996</v>
      </c>
      <c r="H23" s="7">
        <f>'[9]Jul Prod'!F22</f>
        <v>12020000</v>
      </c>
      <c r="I23" s="8">
        <f t="shared" si="5"/>
        <v>12.02</v>
      </c>
      <c r="J23" s="10">
        <f t="shared" si="6"/>
        <v>36.901399999999995</v>
      </c>
      <c r="K23" s="7">
        <f>'[9]Jul Prod'!H277</f>
        <v>1892805</v>
      </c>
      <c r="L23" s="8">
        <f t="shared" si="7"/>
        <v>1.8928050000000001</v>
      </c>
      <c r="M23" s="10">
        <f t="shared" si="8"/>
        <v>5.8109113499999996</v>
      </c>
      <c r="N23" s="21"/>
      <c r="O23" s="7">
        <f>'[9]Jul Prod'!H22</f>
        <v>8540000</v>
      </c>
      <c r="P23" s="8">
        <f t="shared" si="9"/>
        <v>8.5399999999999991</v>
      </c>
      <c r="Q23" s="10">
        <f t="shared" si="10"/>
        <v>26.217799999999997</v>
      </c>
      <c r="R23" s="7">
        <f>'[9]Jul Prod'!C22</f>
        <v>8891000</v>
      </c>
      <c r="S23" s="8">
        <f t="shared" si="11"/>
        <v>8.891</v>
      </c>
      <c r="T23" s="10">
        <f t="shared" si="12"/>
        <v>27.295369999999998</v>
      </c>
      <c r="U23" s="7">
        <f>'[9]Jul Prod'!D22</f>
        <v>0</v>
      </c>
      <c r="V23" s="8">
        <f t="shared" si="13"/>
        <v>0</v>
      </c>
      <c r="W23" s="10">
        <f t="shared" si="14"/>
        <v>0</v>
      </c>
      <c r="X23" s="7">
        <f>'[9]Jul Prod'!D277</f>
        <v>351000.00000000017</v>
      </c>
      <c r="Y23" s="8">
        <f t="shared" si="15"/>
        <v>0.3510000000000002</v>
      </c>
      <c r="Z23" s="10">
        <f t="shared" si="16"/>
        <v>1.0775700000000006</v>
      </c>
      <c r="AA23" s="15"/>
      <c r="AB23" s="7">
        <f>'[9]Jul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31240000.000000726</v>
      </c>
      <c r="AG23" s="8">
        <f t="shared" si="20"/>
        <v>31.240000000000727</v>
      </c>
      <c r="AH23" s="8">
        <f t="shared" si="21"/>
        <v>95.906800000002221</v>
      </c>
      <c r="AJ23" s="8">
        <f t="shared" si="24"/>
        <v>0</v>
      </c>
    </row>
    <row r="24" spans="1:36" x14ac:dyDescent="0.2">
      <c r="A24" s="27">
        <v>38553</v>
      </c>
      <c r="B24" s="7">
        <f>'[9]Jul Prod'!I23</f>
        <v>24500000</v>
      </c>
      <c r="C24" s="8">
        <f t="shared" si="22"/>
        <v>24.5</v>
      </c>
      <c r="D24" s="10">
        <f t="shared" si="23"/>
        <v>75.214999999999989</v>
      </c>
      <c r="E24" s="7">
        <f>'[9]Jul Prod'!E23</f>
        <v>11000000</v>
      </c>
      <c r="F24" s="8">
        <f t="shared" si="3"/>
        <v>11</v>
      </c>
      <c r="G24" s="10">
        <f t="shared" si="4"/>
        <v>33.769999999999996</v>
      </c>
      <c r="H24" s="7">
        <f>'[9]Jul Prod'!F23</f>
        <v>13420000</v>
      </c>
      <c r="I24" s="8">
        <f t="shared" si="5"/>
        <v>13.42</v>
      </c>
      <c r="J24" s="10">
        <f t="shared" si="6"/>
        <v>41.199399999999997</v>
      </c>
      <c r="K24" s="7">
        <f>'[9]Jul Prod'!H278</f>
        <v>2118077</v>
      </c>
      <c r="L24" s="8">
        <f t="shared" si="7"/>
        <v>2.118077</v>
      </c>
      <c r="M24" s="10">
        <f t="shared" si="8"/>
        <v>6.5024963899999992</v>
      </c>
      <c r="N24" s="21"/>
      <c r="O24" s="7">
        <f>'[9]Jul Prod'!H23</f>
        <v>8996000</v>
      </c>
      <c r="P24" s="8">
        <f t="shared" si="9"/>
        <v>8.9960000000000004</v>
      </c>
      <c r="Q24" s="10">
        <f t="shared" si="10"/>
        <v>27.617719999999998</v>
      </c>
      <c r="R24" s="7">
        <f>'[9]Jul Prod'!C23</f>
        <v>9318000</v>
      </c>
      <c r="S24" s="8">
        <f t="shared" si="11"/>
        <v>9.3179999999999996</v>
      </c>
      <c r="T24" s="10">
        <f t="shared" si="12"/>
        <v>28.606259999999999</v>
      </c>
      <c r="U24" s="7">
        <f>'[9]Jul Prod'!D23</f>
        <v>0</v>
      </c>
      <c r="V24" s="8">
        <f t="shared" si="13"/>
        <v>0</v>
      </c>
      <c r="W24" s="10">
        <f t="shared" si="14"/>
        <v>0</v>
      </c>
      <c r="X24" s="7">
        <f>'[9]Jul Prod'!D278</f>
        <v>322000.00000000006</v>
      </c>
      <c r="Y24" s="8">
        <f t="shared" si="15"/>
        <v>0.32200000000000006</v>
      </c>
      <c r="Z24" s="10">
        <f t="shared" si="16"/>
        <v>0.9885400000000002</v>
      </c>
      <c r="AA24" s="15"/>
      <c r="AB24" s="7">
        <f>'[9]Jul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33496000</v>
      </c>
      <c r="AG24" s="8">
        <f t="shared" si="20"/>
        <v>33.496000000000002</v>
      </c>
      <c r="AH24" s="8">
        <f t="shared" si="21"/>
        <v>102.83271999999999</v>
      </c>
      <c r="AJ24" s="8">
        <f t="shared" si="24"/>
        <v>0</v>
      </c>
    </row>
    <row r="25" spans="1:36" x14ac:dyDescent="0.2">
      <c r="A25" s="27">
        <v>38554</v>
      </c>
      <c r="B25" s="7">
        <f>'[9]Jul Prod'!I24</f>
        <v>22099999.999998543</v>
      </c>
      <c r="C25" s="8">
        <f t="shared" si="22"/>
        <v>22.099999999998545</v>
      </c>
      <c r="D25" s="10">
        <f t="shared" si="23"/>
        <v>67.846999999995532</v>
      </c>
      <c r="E25" s="7">
        <f>'[9]Jul Prod'!E24</f>
        <v>11000000</v>
      </c>
      <c r="F25" s="8">
        <f t="shared" si="3"/>
        <v>11</v>
      </c>
      <c r="G25" s="10">
        <f t="shared" si="4"/>
        <v>33.769999999999996</v>
      </c>
      <c r="H25" s="7">
        <f>'[9]Jul Prod'!F24</f>
        <v>11460000</v>
      </c>
      <c r="I25" s="8">
        <f t="shared" si="5"/>
        <v>11.46</v>
      </c>
      <c r="J25" s="10">
        <f t="shared" si="6"/>
        <v>35.182200000000002</v>
      </c>
      <c r="K25" s="7">
        <f>'[9]Jul Prod'!H279</f>
        <v>1939677</v>
      </c>
      <c r="L25" s="8">
        <f t="shared" si="7"/>
        <v>1.9396770000000001</v>
      </c>
      <c r="M25" s="10">
        <f t="shared" si="8"/>
        <v>5.9548083900000002</v>
      </c>
      <c r="N25" s="21"/>
      <c r="O25" s="7">
        <f>'[9]Jul Prod'!H24</f>
        <v>8677000</v>
      </c>
      <c r="P25" s="8">
        <f t="shared" si="9"/>
        <v>8.6769999999999996</v>
      </c>
      <c r="Q25" s="10">
        <f t="shared" si="10"/>
        <v>26.638389999999998</v>
      </c>
      <c r="R25" s="7">
        <f>'[9]Jul Prod'!C24</f>
        <v>9076000</v>
      </c>
      <c r="S25" s="8">
        <f t="shared" si="11"/>
        <v>9.0760000000000005</v>
      </c>
      <c r="T25" s="10">
        <f t="shared" si="12"/>
        <v>27.863320000000002</v>
      </c>
      <c r="U25" s="7">
        <f>'[9]Jul Prod'!D24</f>
        <v>0</v>
      </c>
      <c r="V25" s="8">
        <f t="shared" si="13"/>
        <v>0</v>
      </c>
      <c r="W25" s="10">
        <f t="shared" si="14"/>
        <v>0</v>
      </c>
      <c r="X25" s="7">
        <f>'[9]Jul Prod'!D279</f>
        <v>398999.99999999959</v>
      </c>
      <c r="Y25" s="8">
        <f t="shared" si="15"/>
        <v>0.39899999999999958</v>
      </c>
      <c r="Z25" s="10">
        <f t="shared" si="16"/>
        <v>1.2249299999999987</v>
      </c>
      <c r="AA25" s="15"/>
      <c r="AB25" s="7">
        <f>'[9]Jul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30776999.999998543</v>
      </c>
      <c r="AG25" s="8">
        <f t="shared" si="20"/>
        <v>30.776999999998544</v>
      </c>
      <c r="AH25" s="8">
        <f t="shared" si="21"/>
        <v>94.485389999995533</v>
      </c>
      <c r="AJ25" s="8">
        <f t="shared" si="24"/>
        <v>5.3290705182007514E-15</v>
      </c>
    </row>
    <row r="26" spans="1:36" x14ac:dyDescent="0.2">
      <c r="A26" s="27">
        <v>38555</v>
      </c>
      <c r="B26" s="7">
        <f>'[9]Jul Prod'!I25</f>
        <v>23799999.999999274</v>
      </c>
      <c r="C26" s="8">
        <f t="shared" si="22"/>
        <v>23.799999999999272</v>
      </c>
      <c r="D26" s="10">
        <f t="shared" si="23"/>
        <v>73.065999999997757</v>
      </c>
      <c r="E26" s="7">
        <f>'[9]Jul Prod'!E25</f>
        <v>12000000</v>
      </c>
      <c r="F26" s="8">
        <f t="shared" si="3"/>
        <v>12</v>
      </c>
      <c r="G26" s="10">
        <f t="shared" si="4"/>
        <v>36.839999999999996</v>
      </c>
      <c r="H26" s="7">
        <f>'[9]Jul Prod'!F25</f>
        <v>12700000</v>
      </c>
      <c r="I26" s="8">
        <f t="shared" si="5"/>
        <v>12.7</v>
      </c>
      <c r="J26" s="10">
        <f t="shared" si="6"/>
        <v>38.988999999999997</v>
      </c>
      <c r="K26" s="7">
        <f>'[9]Jul Prod'!H280</f>
        <v>1982758</v>
      </c>
      <c r="L26" s="8">
        <f t="shared" si="7"/>
        <v>1.982758</v>
      </c>
      <c r="M26" s="10">
        <f t="shared" si="8"/>
        <v>6.0870670599999999</v>
      </c>
      <c r="N26" s="21"/>
      <c r="O26" s="7">
        <f>'[9]Jul Prod'!H25</f>
        <v>12337000</v>
      </c>
      <c r="P26" s="8">
        <f t="shared" si="9"/>
        <v>12.337</v>
      </c>
      <c r="Q26" s="10">
        <f t="shared" si="10"/>
        <v>37.874589999999998</v>
      </c>
      <c r="R26" s="7">
        <f>'[9]Jul Prod'!C25</f>
        <v>12681000</v>
      </c>
      <c r="S26" s="8">
        <f t="shared" si="11"/>
        <v>12.680999999999999</v>
      </c>
      <c r="T26" s="10">
        <f t="shared" si="12"/>
        <v>38.930669999999992</v>
      </c>
      <c r="U26" s="7">
        <f>'[9]Jul Prod'!D25</f>
        <v>0</v>
      </c>
      <c r="V26" s="8">
        <f t="shared" si="13"/>
        <v>0</v>
      </c>
      <c r="W26" s="10">
        <f t="shared" si="14"/>
        <v>0</v>
      </c>
      <c r="X26" s="7">
        <f>'[9]Jul Prod'!D280</f>
        <v>344000.00000000029</v>
      </c>
      <c r="Y26" s="8">
        <f t="shared" si="15"/>
        <v>0.34400000000000031</v>
      </c>
      <c r="Z26" s="10">
        <f t="shared" si="16"/>
        <v>1.0560800000000008</v>
      </c>
      <c r="AA26" s="15"/>
      <c r="AB26" s="7">
        <f>'[9]Jul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36136999.99999927</v>
      </c>
      <c r="AG26" s="8">
        <f t="shared" si="20"/>
        <v>36.136999999999276</v>
      </c>
      <c r="AH26" s="8">
        <f t="shared" si="21"/>
        <v>110.94058999999775</v>
      </c>
      <c r="AJ26" s="8">
        <f t="shared" si="24"/>
        <v>-6.4392935428259079E-15</v>
      </c>
    </row>
    <row r="27" spans="1:36" x14ac:dyDescent="0.2">
      <c r="A27" s="27">
        <v>38556</v>
      </c>
      <c r="B27" s="7">
        <f>'[9]Jul Prod'!I26</f>
        <v>24600000.000002183</v>
      </c>
      <c r="C27" s="8">
        <f t="shared" si="22"/>
        <v>24.600000000002183</v>
      </c>
      <c r="D27" s="10">
        <f t="shared" si="23"/>
        <v>75.522000000006699</v>
      </c>
      <c r="E27" s="7">
        <f>'[9]Jul Prod'!E26</f>
        <v>12000000</v>
      </c>
      <c r="F27" s="8">
        <f t="shared" si="3"/>
        <v>12</v>
      </c>
      <c r="G27" s="10">
        <f t="shared" si="4"/>
        <v>36.839999999999996</v>
      </c>
      <c r="H27" s="7">
        <f>'[9]Jul Prod'!F26</f>
        <v>12790000</v>
      </c>
      <c r="I27" s="8">
        <f t="shared" si="5"/>
        <v>12.79</v>
      </c>
      <c r="J27" s="10">
        <f t="shared" si="6"/>
        <v>39.265299999999996</v>
      </c>
      <c r="K27" s="7">
        <f>'[9]Jul Prod'!H281</f>
        <v>2164308</v>
      </c>
      <c r="L27" s="8">
        <f t="shared" si="7"/>
        <v>2.1643080000000001</v>
      </c>
      <c r="M27" s="10">
        <f t="shared" si="8"/>
        <v>6.6444255600000002</v>
      </c>
      <c r="N27" s="21"/>
      <c r="O27" s="7">
        <f>'[9]Jul Prod'!H26</f>
        <v>9243000</v>
      </c>
      <c r="P27" s="8">
        <f t="shared" si="9"/>
        <v>9.2430000000000003</v>
      </c>
      <c r="Q27" s="10">
        <f t="shared" si="10"/>
        <v>28.376010000000001</v>
      </c>
      <c r="R27" s="7">
        <f>'[9]Jul Prod'!C26</f>
        <v>9618000</v>
      </c>
      <c r="S27" s="8">
        <f t="shared" si="11"/>
        <v>9.6180000000000003</v>
      </c>
      <c r="T27" s="10">
        <f t="shared" si="12"/>
        <v>29.527259999999998</v>
      </c>
      <c r="U27" s="7">
        <f>'[9]Jul Prod'!D26</f>
        <v>0</v>
      </c>
      <c r="V27" s="8">
        <f t="shared" si="13"/>
        <v>0</v>
      </c>
      <c r="W27" s="10">
        <f t="shared" si="14"/>
        <v>0</v>
      </c>
      <c r="X27" s="7">
        <f>'[9]Jul Prod'!D281</f>
        <v>375000</v>
      </c>
      <c r="Y27" s="8">
        <f t="shared" si="15"/>
        <v>0.375</v>
      </c>
      <c r="Z27" s="10">
        <f t="shared" si="16"/>
        <v>1.1512499999999999</v>
      </c>
      <c r="AA27" s="15"/>
      <c r="AB27" s="7">
        <f>'[9]Jul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33843000.000002183</v>
      </c>
      <c r="AG27" s="8">
        <f t="shared" si="20"/>
        <v>33.843000000002185</v>
      </c>
      <c r="AH27" s="8">
        <f t="shared" si="21"/>
        <v>103.89801000000671</v>
      </c>
      <c r="AJ27" s="8">
        <f t="shared" si="24"/>
        <v>-2.4424906541753444E-15</v>
      </c>
    </row>
    <row r="28" spans="1:36" x14ac:dyDescent="0.2">
      <c r="A28" s="27">
        <v>38557</v>
      </c>
      <c r="B28" s="7">
        <f>'[9]Jul Prod'!I27</f>
        <v>26199999.999997091</v>
      </c>
      <c r="C28" s="8">
        <f t="shared" si="22"/>
        <v>26.19999999999709</v>
      </c>
      <c r="D28" s="10">
        <f t="shared" si="23"/>
        <v>80.433999999991059</v>
      </c>
      <c r="E28" s="7">
        <f>'[9]Jul Prod'!E27</f>
        <v>12000000</v>
      </c>
      <c r="F28" s="8">
        <f t="shared" si="3"/>
        <v>12</v>
      </c>
      <c r="G28" s="10">
        <f t="shared" si="4"/>
        <v>36.839999999999996</v>
      </c>
      <c r="H28" s="7">
        <f>'[9]Jul Prod'!F27</f>
        <v>13890000</v>
      </c>
      <c r="I28" s="8">
        <f t="shared" si="5"/>
        <v>13.89</v>
      </c>
      <c r="J28" s="10">
        <f t="shared" si="6"/>
        <v>42.642299999999999</v>
      </c>
      <c r="K28" s="7">
        <f>'[9]Jul Prod'!H282</f>
        <v>2138434</v>
      </c>
      <c r="L28" s="8">
        <f t="shared" si="7"/>
        <v>2.1384340000000002</v>
      </c>
      <c r="M28" s="10">
        <f t="shared" si="8"/>
        <v>6.5649923800000005</v>
      </c>
      <c r="N28" s="21"/>
      <c r="O28" s="7">
        <f>'[9]Jul Prod'!H27</f>
        <v>8924000</v>
      </c>
      <c r="P28" s="8">
        <f t="shared" si="9"/>
        <v>8.9239999999999995</v>
      </c>
      <c r="Q28" s="10">
        <f t="shared" si="10"/>
        <v>27.396679999999996</v>
      </c>
      <c r="R28" s="7">
        <f>'[9]Jul Prod'!C27</f>
        <v>9275000</v>
      </c>
      <c r="S28" s="8">
        <f t="shared" si="11"/>
        <v>9.2750000000000004</v>
      </c>
      <c r="T28" s="10">
        <f t="shared" si="12"/>
        <v>28.474249999999998</v>
      </c>
      <c r="U28" s="7">
        <f>'[9]Jul Prod'!D27</f>
        <v>0</v>
      </c>
      <c r="V28" s="8">
        <f t="shared" si="13"/>
        <v>0</v>
      </c>
      <c r="W28" s="10">
        <f t="shared" si="14"/>
        <v>0</v>
      </c>
      <c r="X28" s="7">
        <f>'[9]Jul Prod'!D282</f>
        <v>351000</v>
      </c>
      <c r="Y28" s="8">
        <f t="shared" si="15"/>
        <v>0.35099999999999998</v>
      </c>
      <c r="Z28" s="10">
        <f t="shared" si="16"/>
        <v>1.0775699999999999</v>
      </c>
      <c r="AA28" s="15"/>
      <c r="AB28" s="7">
        <f>'[9]Jul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35123999.999997094</v>
      </c>
      <c r="AG28" s="8">
        <f t="shared" si="20"/>
        <v>35.123999999997089</v>
      </c>
      <c r="AH28" s="8">
        <f t="shared" si="21"/>
        <v>107.83067999999105</v>
      </c>
      <c r="AJ28" s="8">
        <f t="shared" si="24"/>
        <v>0</v>
      </c>
    </row>
    <row r="29" spans="1:36" x14ac:dyDescent="0.2">
      <c r="A29" s="27">
        <v>38558</v>
      </c>
      <c r="B29" s="7">
        <f>'[9]Jul Prod'!I28</f>
        <v>21900000.000001457</v>
      </c>
      <c r="C29" s="8">
        <f t="shared" si="22"/>
        <v>21.900000000001455</v>
      </c>
      <c r="D29" s="10">
        <f t="shared" si="23"/>
        <v>67.233000000004466</v>
      </c>
      <c r="E29" s="7">
        <f>'[9]Jul Prod'!E28</f>
        <v>11000000</v>
      </c>
      <c r="F29" s="8">
        <f t="shared" si="3"/>
        <v>11</v>
      </c>
      <c r="G29" s="10">
        <f t="shared" si="4"/>
        <v>33.769999999999996</v>
      </c>
      <c r="H29" s="7">
        <f>'[9]Jul Prod'!F28</f>
        <v>10930000</v>
      </c>
      <c r="I29" s="8">
        <f t="shared" si="5"/>
        <v>10.93</v>
      </c>
      <c r="J29" s="10">
        <f t="shared" si="6"/>
        <v>33.555099999999996</v>
      </c>
      <c r="K29" s="7">
        <f>'[9]Jul Prod'!H283</f>
        <v>1819290</v>
      </c>
      <c r="L29" s="8">
        <f t="shared" si="7"/>
        <v>1.8192900000000001</v>
      </c>
      <c r="M29" s="10">
        <f t="shared" si="8"/>
        <v>5.5852202999999996</v>
      </c>
      <c r="N29" s="21"/>
      <c r="O29" s="7">
        <f>'[9]Jul Prod'!H28</f>
        <v>10368000</v>
      </c>
      <c r="P29" s="8">
        <f t="shared" si="9"/>
        <v>10.368</v>
      </c>
      <c r="Q29" s="10">
        <f t="shared" si="10"/>
        <v>31.82976</v>
      </c>
      <c r="R29" s="7">
        <f>'[9]Jul Prod'!C28</f>
        <v>10742000</v>
      </c>
      <c r="S29" s="8">
        <f t="shared" si="11"/>
        <v>10.742000000000001</v>
      </c>
      <c r="T29" s="10">
        <f t="shared" si="12"/>
        <v>32.977940000000004</v>
      </c>
      <c r="U29" s="7">
        <f>'[9]Jul Prod'!D28</f>
        <v>0</v>
      </c>
      <c r="V29" s="8">
        <f t="shared" si="13"/>
        <v>0</v>
      </c>
      <c r="W29" s="10">
        <f t="shared" si="14"/>
        <v>0</v>
      </c>
      <c r="X29" s="7">
        <f>'[9]Jul Prod'!D283</f>
        <v>374000.00000000012</v>
      </c>
      <c r="Y29" s="8">
        <f t="shared" si="15"/>
        <v>0.37400000000000011</v>
      </c>
      <c r="Z29" s="10">
        <f t="shared" si="16"/>
        <v>1.1481800000000002</v>
      </c>
      <c r="AA29" s="15"/>
      <c r="AB29" s="7">
        <f>'[9]Jul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32268000.000001457</v>
      </c>
      <c r="AG29" s="8">
        <f t="shared" si="20"/>
        <v>32.268000000001457</v>
      </c>
      <c r="AH29" s="8">
        <f t="shared" si="21"/>
        <v>99.062760000004459</v>
      </c>
      <c r="AJ29" s="8">
        <f t="shared" si="24"/>
        <v>3.3306690738754696E-15</v>
      </c>
    </row>
    <row r="30" spans="1:36" x14ac:dyDescent="0.2">
      <c r="A30" s="27">
        <v>38559</v>
      </c>
      <c r="B30" s="7">
        <f>'[9]Jul Prod'!I29</f>
        <v>23000000</v>
      </c>
      <c r="C30" s="8">
        <f t="shared" si="22"/>
        <v>23</v>
      </c>
      <c r="D30" s="10">
        <f t="shared" si="23"/>
        <v>70.61</v>
      </c>
      <c r="E30" s="7">
        <f>'[9]Jul Prod'!E29</f>
        <v>11000000</v>
      </c>
      <c r="F30" s="8">
        <f t="shared" si="3"/>
        <v>11</v>
      </c>
      <c r="G30" s="10">
        <f t="shared" si="4"/>
        <v>33.769999999999996</v>
      </c>
      <c r="H30" s="7">
        <f>'[9]Jul Prod'!F29</f>
        <v>11460000</v>
      </c>
      <c r="I30" s="8">
        <f t="shared" si="5"/>
        <v>11.46</v>
      </c>
      <c r="J30" s="10">
        <f t="shared" si="6"/>
        <v>35.182200000000002</v>
      </c>
      <c r="K30" s="7">
        <f>'[9]Jul Prod'!H284</f>
        <v>1925231</v>
      </c>
      <c r="L30" s="8">
        <f>K30/1000000</f>
        <v>1.9252309999999999</v>
      </c>
      <c r="M30" s="10">
        <f t="shared" si="8"/>
        <v>5.9104591699999993</v>
      </c>
      <c r="N30" s="21"/>
      <c r="O30" s="7">
        <f>'[9]Jul Prod'!H29</f>
        <v>11159000</v>
      </c>
      <c r="P30" s="8">
        <f t="shared" si="9"/>
        <v>11.159000000000001</v>
      </c>
      <c r="Q30" s="10">
        <f t="shared" si="10"/>
        <v>34.258130000000001</v>
      </c>
      <c r="R30" s="7">
        <f>'[9]Jul Prod'!C29</f>
        <v>11476000</v>
      </c>
      <c r="S30" s="8">
        <f t="shared" si="11"/>
        <v>11.476000000000001</v>
      </c>
      <c r="T30" s="10">
        <f t="shared" si="12"/>
        <v>35.231320000000004</v>
      </c>
      <c r="U30" s="7">
        <f>'[9]Jul Prod'!D29</f>
        <v>0</v>
      </c>
      <c r="V30" s="8">
        <f t="shared" si="13"/>
        <v>0</v>
      </c>
      <c r="W30" s="10">
        <f t="shared" si="14"/>
        <v>0</v>
      </c>
      <c r="X30" s="7">
        <f>'[9]Jul Prod'!D284</f>
        <v>317000.00000000017</v>
      </c>
      <c r="Y30" s="8">
        <f t="shared" si="15"/>
        <v>0.31700000000000017</v>
      </c>
      <c r="Z30" s="10">
        <f t="shared" si="16"/>
        <v>0.97319000000000044</v>
      </c>
      <c r="AA30" s="15"/>
      <c r="AB30" s="7">
        <f>'[9]Jul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34159000</v>
      </c>
      <c r="AG30" s="8">
        <f t="shared" si="20"/>
        <v>34.158999999999999</v>
      </c>
      <c r="AH30" s="8">
        <f t="shared" si="21"/>
        <v>104.86813000000001</v>
      </c>
      <c r="AJ30" s="8">
        <f t="shared" si="24"/>
        <v>1.9984014443252818E-15</v>
      </c>
    </row>
    <row r="31" spans="1:36" x14ac:dyDescent="0.2">
      <c r="A31" s="27">
        <v>38560</v>
      </c>
      <c r="B31" s="7">
        <f>'[9]Jul Prod'!I30</f>
        <v>21500000</v>
      </c>
      <c r="C31" s="8">
        <f t="shared" si="22"/>
        <v>21.5</v>
      </c>
      <c r="D31" s="10">
        <f t="shared" si="23"/>
        <v>66.004999999999995</v>
      </c>
      <c r="E31" s="7">
        <f>'[9]Jul Prod'!E30</f>
        <v>11000000</v>
      </c>
      <c r="F31" s="8">
        <f t="shared" si="3"/>
        <v>11</v>
      </c>
      <c r="G31" s="10">
        <f t="shared" si="4"/>
        <v>33.769999999999996</v>
      </c>
      <c r="H31" s="7">
        <f>'[9]Jul Prod'!F30</f>
        <v>11770000</v>
      </c>
      <c r="I31" s="8">
        <f t="shared" si="5"/>
        <v>11.77</v>
      </c>
      <c r="J31" s="10">
        <f t="shared" si="6"/>
        <v>36.133899999999997</v>
      </c>
      <c r="K31" s="7">
        <f>'[9]Jul Prod'!H285</f>
        <v>1828206</v>
      </c>
      <c r="L31" s="8">
        <f t="shared" si="7"/>
        <v>1.828206</v>
      </c>
      <c r="M31" s="10">
        <f t="shared" si="8"/>
        <v>5.6125924199999995</v>
      </c>
      <c r="N31" s="21"/>
      <c r="O31" s="7">
        <f>'[9]Jul Prod'!H30</f>
        <v>10189000</v>
      </c>
      <c r="P31" s="8">
        <f t="shared" si="9"/>
        <v>10.189</v>
      </c>
      <c r="Q31" s="10">
        <f t="shared" si="10"/>
        <v>31.28023</v>
      </c>
      <c r="R31" s="7">
        <f>'[9]Jul Prod'!C30</f>
        <v>10520000</v>
      </c>
      <c r="S31" s="8">
        <f t="shared" si="11"/>
        <v>10.52</v>
      </c>
      <c r="T31" s="10">
        <f t="shared" si="12"/>
        <v>32.296399999999998</v>
      </c>
      <c r="U31" s="7">
        <f>'[9]Jul Prod'!D30</f>
        <v>0</v>
      </c>
      <c r="V31" s="8">
        <f t="shared" si="13"/>
        <v>0</v>
      </c>
      <c r="W31" s="10">
        <f t="shared" si="14"/>
        <v>0</v>
      </c>
      <c r="X31" s="7">
        <f>'[9]Jul Prod'!D285</f>
        <v>330999.99999999953</v>
      </c>
      <c r="Y31" s="8">
        <f t="shared" si="15"/>
        <v>0.33099999999999952</v>
      </c>
      <c r="Z31" s="10">
        <f t="shared" si="16"/>
        <v>1.0161699999999985</v>
      </c>
      <c r="AA31" s="15"/>
      <c r="AB31" s="7">
        <f>'[9]Jul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31689000</v>
      </c>
      <c r="AG31" s="8">
        <f t="shared" si="20"/>
        <v>31.689</v>
      </c>
      <c r="AH31" s="8">
        <f t="shared" si="21"/>
        <v>97.285229999999999</v>
      </c>
      <c r="AJ31" s="8">
        <f t="shared" si="24"/>
        <v>0</v>
      </c>
    </row>
    <row r="32" spans="1:36" x14ac:dyDescent="0.2">
      <c r="A32" s="27">
        <v>38561</v>
      </c>
      <c r="B32" s="7">
        <f>'[9]Jul Prod'!I31</f>
        <v>22900000.000001457</v>
      </c>
      <c r="C32" s="8">
        <f t="shared" si="22"/>
        <v>22.900000000001455</v>
      </c>
      <c r="D32" s="10">
        <f t="shared" si="23"/>
        <v>70.303000000004459</v>
      </c>
      <c r="E32" s="7">
        <f>'[9]Jul Prod'!E31</f>
        <v>11000000</v>
      </c>
      <c r="F32" s="8">
        <f t="shared" si="3"/>
        <v>11</v>
      </c>
      <c r="G32" s="10">
        <f t="shared" si="4"/>
        <v>33.769999999999996</v>
      </c>
      <c r="H32" s="7">
        <f>'[9]Jul Prod'!F31</f>
        <v>11490000</v>
      </c>
      <c r="I32" s="8">
        <f t="shared" si="5"/>
        <v>11.49</v>
      </c>
      <c r="J32" s="10">
        <f t="shared" si="6"/>
        <v>35.274299999999997</v>
      </c>
      <c r="K32" s="7">
        <f>'[9]Jul Prod'!H286</f>
        <v>1868666</v>
      </c>
      <c r="L32" s="8">
        <f t="shared" si="7"/>
        <v>1.8686659999999999</v>
      </c>
      <c r="M32" s="10">
        <f t="shared" si="8"/>
        <v>5.7368046199999991</v>
      </c>
      <c r="N32" s="21"/>
      <c r="O32" s="7">
        <f>'[9]Jul Prod'!H31</f>
        <v>9531000</v>
      </c>
      <c r="P32" s="8">
        <f t="shared" si="9"/>
        <v>9.5310000000000006</v>
      </c>
      <c r="Q32" s="10">
        <f t="shared" si="10"/>
        <v>29.260169999999999</v>
      </c>
      <c r="R32" s="7">
        <f>'[9]Jul Prod'!C31</f>
        <v>9907000</v>
      </c>
      <c r="S32" s="8">
        <f t="shared" si="11"/>
        <v>9.907</v>
      </c>
      <c r="T32" s="10">
        <f t="shared" si="12"/>
        <v>30.414489999999997</v>
      </c>
      <c r="U32" s="7">
        <f>'[9]Jul Prod'!D31</f>
        <v>0</v>
      </c>
      <c r="V32" s="8">
        <f t="shared" si="13"/>
        <v>0</v>
      </c>
      <c r="W32" s="10">
        <f t="shared" si="14"/>
        <v>0</v>
      </c>
      <c r="X32" s="7">
        <f>'[9]Jul Prod'!D286</f>
        <v>376000.00000000035</v>
      </c>
      <c r="Y32" s="8">
        <f t="shared" si="15"/>
        <v>0.37600000000000033</v>
      </c>
      <c r="Z32" s="10">
        <f t="shared" si="16"/>
        <v>1.1543200000000009</v>
      </c>
      <c r="AA32" s="15"/>
      <c r="AB32" s="7">
        <f>'[9]Jul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32431000.000001457</v>
      </c>
      <c r="AG32" s="8">
        <f t="shared" si="20"/>
        <v>32.431000000001454</v>
      </c>
      <c r="AH32" s="8">
        <f t="shared" si="21"/>
        <v>99.563170000004462</v>
      </c>
      <c r="AJ32" s="8">
        <f t="shared" si="24"/>
        <v>-2.4424906541753444E-15</v>
      </c>
    </row>
    <row r="33" spans="1:36" x14ac:dyDescent="0.2">
      <c r="A33" s="27">
        <v>38562</v>
      </c>
      <c r="B33" s="7">
        <f>'[9]Jul Prod'!I32</f>
        <v>18399999.999997817</v>
      </c>
      <c r="C33" s="8">
        <f t="shared" si="22"/>
        <v>18.399999999997817</v>
      </c>
      <c r="D33" s="10">
        <f t="shared" si="23"/>
        <v>56.487999999993299</v>
      </c>
      <c r="E33" s="7">
        <f>'[9]Jul Prod'!E32</f>
        <v>11000000</v>
      </c>
      <c r="F33" s="8">
        <f t="shared" si="3"/>
        <v>11</v>
      </c>
      <c r="G33" s="10">
        <f t="shared" si="4"/>
        <v>33.769999999999996</v>
      </c>
      <c r="H33" s="7">
        <f>'[9]Jul Prod'!F32</f>
        <v>8450000</v>
      </c>
      <c r="I33" s="8">
        <f t="shared" si="5"/>
        <v>8.4499999999999993</v>
      </c>
      <c r="J33" s="10">
        <f t="shared" si="6"/>
        <v>25.941499999999998</v>
      </c>
      <c r="K33" s="7">
        <f>'[9]Jul Prod'!H287</f>
        <v>1590235</v>
      </c>
      <c r="L33" s="8">
        <f t="shared" si="7"/>
        <v>1.5902350000000001</v>
      </c>
      <c r="M33" s="10">
        <f t="shared" si="8"/>
        <v>4.8820214499999999</v>
      </c>
      <c r="N33" s="21"/>
      <c r="O33" s="7">
        <f>'[9]Jul Prod'!H32</f>
        <v>8505000</v>
      </c>
      <c r="P33" s="8">
        <f t="shared" si="9"/>
        <v>8.5050000000000008</v>
      </c>
      <c r="Q33" s="10">
        <f t="shared" si="10"/>
        <v>26.11035</v>
      </c>
      <c r="R33" s="7">
        <f>'[9]Jul Prod'!C32</f>
        <v>8897000</v>
      </c>
      <c r="S33" s="8">
        <f t="shared" si="11"/>
        <v>8.8970000000000002</v>
      </c>
      <c r="T33" s="10">
        <f t="shared" si="12"/>
        <v>27.313790000000001</v>
      </c>
      <c r="U33" s="7">
        <f>'[9]Jul Prod'!D32</f>
        <v>0</v>
      </c>
      <c r="V33" s="8">
        <f t="shared" si="13"/>
        <v>0</v>
      </c>
      <c r="W33" s="10">
        <f t="shared" si="14"/>
        <v>0</v>
      </c>
      <c r="X33" s="7">
        <f>'[9]Jul Prod'!D287</f>
        <v>391999.99999999948</v>
      </c>
      <c r="Y33" s="8">
        <f t="shared" si="15"/>
        <v>0.39199999999999946</v>
      </c>
      <c r="Z33" s="10">
        <f t="shared" si="16"/>
        <v>1.2034399999999983</v>
      </c>
      <c r="AA33" s="15"/>
      <c r="AB33" s="7">
        <f>'[9]Jul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26904999.999997817</v>
      </c>
      <c r="AG33" s="8">
        <f t="shared" si="20"/>
        <v>26.90499999999782</v>
      </c>
      <c r="AH33" s="8">
        <f t="shared" si="21"/>
        <v>82.598349999993303</v>
      </c>
      <c r="AJ33" s="8">
        <f t="shared" si="24"/>
        <v>2.2204460492503131E-15</v>
      </c>
    </row>
    <row r="34" spans="1:36" x14ac:dyDescent="0.2">
      <c r="A34" s="27">
        <v>38563</v>
      </c>
      <c r="B34" s="7">
        <f>'[9]Jul Prod'!I33</f>
        <v>12799999.999999272</v>
      </c>
      <c r="C34" s="8">
        <f t="shared" si="22"/>
        <v>12.799999999999272</v>
      </c>
      <c r="D34" s="10">
        <f t="shared" si="23"/>
        <v>39.295999999997761</v>
      </c>
      <c r="E34" s="7">
        <f>'[9]Jul Prod'!E33</f>
        <v>6000000</v>
      </c>
      <c r="F34" s="8">
        <f t="shared" si="3"/>
        <v>6</v>
      </c>
      <c r="G34" s="10">
        <f t="shared" si="4"/>
        <v>18.419999999999998</v>
      </c>
      <c r="H34" s="7">
        <f>'[9]Jul Prod'!F33</f>
        <v>6530000</v>
      </c>
      <c r="I34" s="8">
        <f t="shared" si="5"/>
        <v>6.53</v>
      </c>
      <c r="J34" s="10">
        <f t="shared" si="6"/>
        <v>20.0471</v>
      </c>
      <c r="K34" s="7">
        <f>'[9]Jul Prod'!H288</f>
        <v>1319659</v>
      </c>
      <c r="L34" s="8">
        <f t="shared" si="7"/>
        <v>1.3196589999999999</v>
      </c>
      <c r="M34" s="10">
        <f t="shared" si="8"/>
        <v>4.0513531299999999</v>
      </c>
      <c r="N34" s="21"/>
      <c r="O34" s="7">
        <f>'[9]Jul Prod'!H33</f>
        <v>5686000</v>
      </c>
      <c r="P34" s="8">
        <f t="shared" si="9"/>
        <v>5.6859999999999999</v>
      </c>
      <c r="Q34" s="10">
        <f t="shared" si="10"/>
        <v>17.456019999999999</v>
      </c>
      <c r="R34" s="7">
        <f>'[9]Jul Prod'!C33</f>
        <v>6048000</v>
      </c>
      <c r="S34" s="8">
        <f t="shared" si="11"/>
        <v>6.048</v>
      </c>
      <c r="T34" s="10">
        <f t="shared" si="12"/>
        <v>18.567360000000001</v>
      </c>
      <c r="U34" s="7">
        <f>'[9]Jul Prod'!D33</f>
        <v>0</v>
      </c>
      <c r="V34" s="8">
        <f t="shared" si="13"/>
        <v>0</v>
      </c>
      <c r="W34" s="10">
        <f t="shared" si="14"/>
        <v>0</v>
      </c>
      <c r="X34" s="7">
        <f>'[9]Jul Prod'!D288</f>
        <v>362000.00000000012</v>
      </c>
      <c r="Y34" s="8">
        <f t="shared" si="15"/>
        <v>0.3620000000000001</v>
      </c>
      <c r="Z34" s="10">
        <f t="shared" si="16"/>
        <v>1.1113400000000002</v>
      </c>
      <c r="AA34" s="15"/>
      <c r="AB34" s="7">
        <f>'[9]Jul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18485999.99999927</v>
      </c>
      <c r="AG34" s="8">
        <f t="shared" si="20"/>
        <v>18.485999999999272</v>
      </c>
      <c r="AH34" s="8">
        <f t="shared" si="21"/>
        <v>56.752019999997756</v>
      </c>
      <c r="AJ34" s="8">
        <f t="shared" si="24"/>
        <v>1.7763568394002505E-15</v>
      </c>
    </row>
    <row r="35" spans="1:36" ht="13.5" thickBot="1" x14ac:dyDescent="0.25">
      <c r="A35" s="27">
        <v>38564</v>
      </c>
      <c r="B35" s="7">
        <f>'[9]Jul Prod'!I34</f>
        <v>12700000.000000728</v>
      </c>
      <c r="C35" s="9">
        <f t="shared" si="22"/>
        <v>12.700000000000728</v>
      </c>
      <c r="D35" s="11">
        <f t="shared" si="23"/>
        <v>38.989000000002228</v>
      </c>
      <c r="E35" s="7">
        <f>'[9]Jul Prod'!E34</f>
        <v>7000000</v>
      </c>
      <c r="F35" s="9">
        <f t="shared" si="3"/>
        <v>7</v>
      </c>
      <c r="G35" s="11">
        <f t="shared" si="4"/>
        <v>21.49</v>
      </c>
      <c r="H35" s="7">
        <f>'[9]Jul Prod'!F34</f>
        <v>6470000</v>
      </c>
      <c r="I35" s="8">
        <f t="shared" si="5"/>
        <v>6.47</v>
      </c>
      <c r="J35" s="11">
        <f t="shared" si="6"/>
        <v>19.8629</v>
      </c>
      <c r="K35" s="7">
        <f>'[9]Jul Prod'!H289</f>
        <v>1021054</v>
      </c>
      <c r="L35" s="9">
        <f t="shared" si="7"/>
        <v>1.0210539999999999</v>
      </c>
      <c r="M35" s="11">
        <f t="shared" si="8"/>
        <v>3.1346357799999995</v>
      </c>
      <c r="N35" s="21"/>
      <c r="O35" s="7">
        <f>'[9]Jul Prod'!H34</f>
        <v>5718000</v>
      </c>
      <c r="P35" s="9">
        <f t="shared" si="9"/>
        <v>5.718</v>
      </c>
      <c r="Q35" s="11">
        <f t="shared" si="10"/>
        <v>17.554259999999999</v>
      </c>
      <c r="R35" s="7">
        <f>'[9]Jul Prod'!C34</f>
        <v>5977000</v>
      </c>
      <c r="S35" s="9">
        <f t="shared" si="11"/>
        <v>5.9770000000000003</v>
      </c>
      <c r="T35" s="11">
        <f t="shared" si="12"/>
        <v>18.34939</v>
      </c>
      <c r="U35" s="7">
        <f>'[9]Jul Prod'!D34</f>
        <v>0</v>
      </c>
      <c r="V35" s="9">
        <f t="shared" si="13"/>
        <v>0</v>
      </c>
      <c r="W35" s="11">
        <f t="shared" si="14"/>
        <v>0</v>
      </c>
      <c r="X35" s="7">
        <f>'[9]Jul Prod'!D289</f>
        <v>259000.00000000035</v>
      </c>
      <c r="Y35" s="9">
        <f t="shared" si="15"/>
        <v>0.25900000000000034</v>
      </c>
      <c r="Z35" s="11">
        <f t="shared" si="16"/>
        <v>0.795130000000001</v>
      </c>
      <c r="AA35" s="15"/>
      <c r="AB35" s="7">
        <f>'[9]Jul Prod'!G34</f>
        <v>0</v>
      </c>
      <c r="AC35" s="9">
        <f t="shared" si="17"/>
        <v>0</v>
      </c>
      <c r="AD35" s="11">
        <f t="shared" si="18"/>
        <v>0</v>
      </c>
      <c r="AF35" s="7">
        <f t="shared" si="19"/>
        <v>18418000.00000073</v>
      </c>
      <c r="AG35" s="8">
        <f t="shared" si="20"/>
        <v>18.418000000000728</v>
      </c>
      <c r="AH35" s="8">
        <f t="shared" si="21"/>
        <v>56.543260000002228</v>
      </c>
      <c r="AJ35" s="8">
        <f t="shared" si="24"/>
        <v>0</v>
      </c>
    </row>
    <row r="36" spans="1:36" ht="13.5" thickBot="1" x14ac:dyDescent="0.25">
      <c r="A36" s="14"/>
      <c r="B36" s="38"/>
      <c r="C36" s="39">
        <f>SUM(C5:C35)</f>
        <v>656.79999999999927</v>
      </c>
      <c r="D36" s="39">
        <f t="shared" si="23"/>
        <v>2016.3759999999977</v>
      </c>
      <c r="E36" s="38"/>
      <c r="F36" s="39">
        <f>SUM(F5:F35)</f>
        <v>322</v>
      </c>
      <c r="G36" s="39">
        <f t="shared" si="4"/>
        <v>988.54</v>
      </c>
      <c r="H36" s="38"/>
      <c r="I36" s="39">
        <f>SUM(I5:I35)</f>
        <v>340.46999999999997</v>
      </c>
      <c r="J36" s="39">
        <f t="shared" si="6"/>
        <v>1045.2429</v>
      </c>
      <c r="K36" s="38"/>
      <c r="L36" s="39">
        <f>SUM(L5:L35)</f>
        <v>55.833627999999997</v>
      </c>
      <c r="M36" s="39">
        <f t="shared" si="8"/>
        <v>171.40923795999998</v>
      </c>
      <c r="N36" s="14"/>
      <c r="O36" s="38"/>
      <c r="P36" s="39">
        <f>SUM(P5:P35)</f>
        <v>304.50099999999998</v>
      </c>
      <c r="Q36" s="39">
        <f t="shared" si="10"/>
        <v>934.81806999999992</v>
      </c>
      <c r="R36" s="38"/>
      <c r="S36" s="39">
        <f>SUM(S5:S35)</f>
        <v>315.19099999999997</v>
      </c>
      <c r="T36" s="39">
        <f t="shared" si="12"/>
        <v>967.63636999999983</v>
      </c>
      <c r="U36" s="38"/>
      <c r="V36" s="39">
        <f>SUM(V5:V35)</f>
        <v>0</v>
      </c>
      <c r="W36" s="39">
        <f t="shared" si="14"/>
        <v>0</v>
      </c>
      <c r="X36" s="38"/>
      <c r="Y36" s="39">
        <f>SUM(Y5:Y35)</f>
        <v>10.69</v>
      </c>
      <c r="Z36" s="39">
        <f t="shared" si="16"/>
        <v>32.818299999999994</v>
      </c>
      <c r="AA36" s="14"/>
      <c r="AB36" s="38"/>
      <c r="AC36" s="39">
        <f>SUM(AC5:AC35)</f>
        <v>0</v>
      </c>
      <c r="AD36" s="39">
        <f t="shared" si="18"/>
        <v>0</v>
      </c>
      <c r="AF36" s="38"/>
      <c r="AG36" s="39">
        <f>SUM(AG5:AG35)</f>
        <v>961.30099999999914</v>
      </c>
      <c r="AH36" s="39">
        <f>AG36*3.07</f>
        <v>2951.1940699999973</v>
      </c>
      <c r="AJ36" s="39">
        <f>SUM(AJ5:AJ35)</f>
        <v>7.5495165674510645E-15</v>
      </c>
    </row>
    <row r="37" spans="1:36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C5" activePane="bottomRight" state="frozen"/>
      <selection pane="topRight" activeCell="B1" sqref="B1"/>
      <selection pane="bottomLeft" activeCell="A5" sqref="A5"/>
      <selection pane="bottomRight" activeCell="M13" sqref="M13"/>
    </sheetView>
  </sheetViews>
  <sheetFormatPr defaultRowHeight="12.75" x14ac:dyDescent="0.2"/>
  <cols>
    <col min="2" max="2" width="12.85546875" customWidth="1"/>
    <col min="5" max="5" width="12.85546875" customWidth="1"/>
    <col min="8" max="8" width="11" customWidth="1"/>
    <col min="11" max="11" width="11" customWidth="1"/>
    <col min="12" max="12" width="10.85546875" customWidth="1"/>
    <col min="15" max="15" width="11.28515625" customWidth="1"/>
    <col min="18" max="18" width="10.5703125" customWidth="1"/>
    <col min="22" max="22" width="10.5703125" customWidth="1"/>
    <col min="28" max="28" width="10.7109375" customWidth="1"/>
  </cols>
  <sheetData>
    <row r="1" spans="1:32" x14ac:dyDescent="0.2">
      <c r="A1" s="45" t="s">
        <v>14</v>
      </c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">
      <c r="A5" s="27">
        <v>38565</v>
      </c>
      <c r="B5" s="7">
        <f>'[10]Aug Prod'!I4</f>
        <v>13100000.000002183</v>
      </c>
      <c r="C5" s="8">
        <f>B5/1000000</f>
        <v>13.100000000002183</v>
      </c>
      <c r="D5" s="10">
        <f>C5*3.07</f>
        <v>40.217000000006699</v>
      </c>
      <c r="E5" s="7">
        <f>'[10]Aug Prod'!E4</f>
        <v>6000000</v>
      </c>
      <c r="F5" s="8">
        <f>E5/1000000</f>
        <v>6</v>
      </c>
      <c r="G5" s="10">
        <f>F5*3.07</f>
        <v>18.419999999999998</v>
      </c>
      <c r="H5" s="7">
        <f>'[10]Aug Prod'!F4</f>
        <v>6560000</v>
      </c>
      <c r="I5" s="8">
        <f>H5/1000000</f>
        <v>6.56</v>
      </c>
      <c r="J5" s="10">
        <f>I5*3.07</f>
        <v>20.139199999999999</v>
      </c>
      <c r="K5" s="7">
        <f>'[10]Aug Prod'!H259</f>
        <v>1012289</v>
      </c>
      <c r="L5" s="8">
        <f>K5/1000000</f>
        <v>1.012289</v>
      </c>
      <c r="M5" s="10">
        <f>L5*3.07</f>
        <v>3.1077272299999996</v>
      </c>
      <c r="N5" s="21"/>
      <c r="O5" s="7">
        <f>'[10]Aug Prod'!H4</f>
        <v>6208000</v>
      </c>
      <c r="P5" s="8">
        <f>O5/1000000</f>
        <v>6.2080000000000002</v>
      </c>
      <c r="Q5" s="10">
        <f>P5*3.07</f>
        <v>19.05856</v>
      </c>
      <c r="R5" s="7">
        <f>'[10]Aug Prod'!C4</f>
        <v>6500000</v>
      </c>
      <c r="S5" s="8">
        <f>R5/1000000</f>
        <v>6.5</v>
      </c>
      <c r="T5" s="10">
        <f>S5*3.07</f>
        <v>19.954999999999998</v>
      </c>
      <c r="U5" s="7">
        <f>'[10]Aug Prod'!D4</f>
        <v>0</v>
      </c>
      <c r="V5" s="8">
        <f>U5/1000000</f>
        <v>0</v>
      </c>
      <c r="W5" s="10">
        <f>V5*3.07</f>
        <v>0</v>
      </c>
      <c r="X5" s="7">
        <f>'[10]Aug Prod'!D259</f>
        <v>291999.99999999983</v>
      </c>
      <c r="Y5" s="8">
        <f>X5/1000000</f>
        <v>0.29199999999999982</v>
      </c>
      <c r="Z5" s="10">
        <f>Y5*3.07</f>
        <v>0.89643999999999935</v>
      </c>
      <c r="AA5" s="15"/>
      <c r="AB5" s="7">
        <f>B5+O5</f>
        <v>19308000.000002183</v>
      </c>
      <c r="AC5" s="8">
        <f>C5+P5</f>
        <v>19.308000000002181</v>
      </c>
      <c r="AD5" s="8">
        <f>D5+Q5</f>
        <v>59.275560000006699</v>
      </c>
      <c r="AF5" s="8">
        <f t="shared" ref="AF5:AF14" si="0">T5-Q5-Z5</f>
        <v>-9.9920072216264089E-16</v>
      </c>
    </row>
    <row r="6" spans="1:32" x14ac:dyDescent="0.2">
      <c r="A6" s="27">
        <v>38566</v>
      </c>
      <c r="B6" s="7">
        <f>'[10]Aug Prod'!I5</f>
        <v>13500000</v>
      </c>
      <c r="C6" s="8">
        <f t="shared" ref="C6:C35" si="1">B6/1000000</f>
        <v>13.5</v>
      </c>
      <c r="D6" s="10">
        <f t="shared" ref="D6:D35" si="2">C6*3.07</f>
        <v>41.445</v>
      </c>
      <c r="E6" s="7">
        <f>'[10]Aug Prod'!E5</f>
        <v>7000000</v>
      </c>
      <c r="F6" s="8">
        <f t="shared" ref="F6:F35" si="3">E6/1000000</f>
        <v>7</v>
      </c>
      <c r="G6" s="10">
        <f t="shared" ref="G6:G35" si="4">F6*3.07</f>
        <v>21.49</v>
      </c>
      <c r="H6" s="7">
        <f>'[10]Aug Prod'!F5</f>
        <v>6560000</v>
      </c>
      <c r="I6" s="8">
        <f t="shared" ref="I6:I35" si="5">H6/1000000</f>
        <v>6.56</v>
      </c>
      <c r="J6" s="10">
        <f t="shared" ref="J6:J35" si="6">I6*3.07</f>
        <v>20.139199999999999</v>
      </c>
      <c r="K6" s="7">
        <f>'[10]Aug Prod'!H260</f>
        <v>1138887</v>
      </c>
      <c r="L6" s="8">
        <f t="shared" ref="L6:L32" si="7">K6/1000000</f>
        <v>1.138887</v>
      </c>
      <c r="M6" s="10">
        <f t="shared" ref="M6:M32" si="8">L6*3.07</f>
        <v>3.4963830899999997</v>
      </c>
      <c r="N6" s="21"/>
      <c r="O6" s="7">
        <f>'[10]Aug Prod'!H5</f>
        <v>9300000</v>
      </c>
      <c r="P6" s="8">
        <f t="shared" ref="P6:P35" si="9">O6/1000000</f>
        <v>9.3000000000000007</v>
      </c>
      <c r="Q6" s="10">
        <f t="shared" ref="Q6:Q35" si="10">P6*3.07</f>
        <v>28.551000000000002</v>
      </c>
      <c r="R6" s="7">
        <f>'[10]Aug Prod'!C5</f>
        <v>9548000</v>
      </c>
      <c r="S6" s="8">
        <f t="shared" ref="S6:S35" si="11">R6/1000000</f>
        <v>9.548</v>
      </c>
      <c r="T6" s="10">
        <f t="shared" ref="T6:T35" si="12">S6*3.07</f>
        <v>29.312359999999998</v>
      </c>
      <c r="U6" s="7">
        <f>'[10]Aug Prod'!D5</f>
        <v>0</v>
      </c>
      <c r="V6" s="8">
        <f t="shared" ref="V6:V35" si="13">U6/1000000</f>
        <v>0</v>
      </c>
      <c r="W6" s="10">
        <f t="shared" ref="W6:W35" si="14">V6*3.07</f>
        <v>0</v>
      </c>
      <c r="X6" s="7">
        <f>'[10]Aug Prod'!D260</f>
        <v>248000.00000000023</v>
      </c>
      <c r="Y6" s="8">
        <f t="shared" ref="Y6:Y35" si="15">X6/1000000</f>
        <v>0.24800000000000022</v>
      </c>
      <c r="Z6" s="10">
        <f t="shared" ref="Z6:Z35" si="16">Y6*3.07</f>
        <v>0.76136000000000059</v>
      </c>
      <c r="AA6" s="15"/>
      <c r="AB6" s="7">
        <f t="shared" ref="AB6:AD35" si="17">B6+O6</f>
        <v>22800000</v>
      </c>
      <c r="AC6" s="8">
        <f t="shared" si="17"/>
        <v>22.8</v>
      </c>
      <c r="AD6" s="8">
        <f t="shared" si="17"/>
        <v>69.996000000000009</v>
      </c>
      <c r="AF6" s="8">
        <f t="shared" si="0"/>
        <v>-4.3298697960381105E-15</v>
      </c>
    </row>
    <row r="7" spans="1:32" x14ac:dyDescent="0.2">
      <c r="A7" s="27">
        <v>38567</v>
      </c>
      <c r="B7" s="7">
        <f>'[10]Aug Prod'!I6</f>
        <v>13099999.999998545</v>
      </c>
      <c r="C7" s="8">
        <f t="shared" si="1"/>
        <v>13.099999999998545</v>
      </c>
      <c r="D7" s="10">
        <f t="shared" si="2"/>
        <v>40.216999999995529</v>
      </c>
      <c r="E7" s="7">
        <f>'[10]Aug Prod'!E6</f>
        <v>7000000</v>
      </c>
      <c r="F7" s="8">
        <f t="shared" si="3"/>
        <v>7</v>
      </c>
      <c r="G7" s="10">
        <f t="shared" si="4"/>
        <v>21.49</v>
      </c>
      <c r="H7" s="7">
        <f>'[10]Aug Prod'!F6</f>
        <v>6990000</v>
      </c>
      <c r="I7" s="8">
        <f t="shared" si="5"/>
        <v>6.99</v>
      </c>
      <c r="J7" s="10">
        <f t="shared" si="6"/>
        <v>21.459299999999999</v>
      </c>
      <c r="K7" s="7">
        <f>'[10]Aug Prod'!H261</f>
        <v>1218003</v>
      </c>
      <c r="L7" s="8">
        <f t="shared" si="7"/>
        <v>1.2180029999999999</v>
      </c>
      <c r="M7" s="10">
        <f t="shared" si="8"/>
        <v>3.7392692099999998</v>
      </c>
      <c r="N7" s="21"/>
      <c r="O7" s="7">
        <f>'[10]Aug Prod'!H6</f>
        <v>11053000</v>
      </c>
      <c r="P7" s="8">
        <f t="shared" si="9"/>
        <v>11.053000000000001</v>
      </c>
      <c r="Q7" s="10">
        <f t="shared" si="10"/>
        <v>33.93271</v>
      </c>
      <c r="R7" s="7">
        <f>'[10]Aug Prod'!C6</f>
        <v>11448000</v>
      </c>
      <c r="S7" s="8">
        <f t="shared" si="11"/>
        <v>11.448</v>
      </c>
      <c r="T7" s="10">
        <f t="shared" si="12"/>
        <v>35.145359999999997</v>
      </c>
      <c r="U7" s="7">
        <f>'[10]Aug Prod'!D6</f>
        <v>0</v>
      </c>
      <c r="V7" s="8">
        <f t="shared" si="13"/>
        <v>0</v>
      </c>
      <c r="W7" s="10">
        <f t="shared" si="14"/>
        <v>0</v>
      </c>
      <c r="X7" s="7">
        <f>'[10]Aug Prod'!D261</f>
        <v>394999.99999999959</v>
      </c>
      <c r="Y7" s="8">
        <f t="shared" si="15"/>
        <v>0.39499999999999957</v>
      </c>
      <c r="Z7" s="10">
        <f t="shared" si="16"/>
        <v>1.2126499999999987</v>
      </c>
      <c r="AA7" s="15"/>
      <c r="AB7" s="7">
        <f t="shared" si="17"/>
        <v>24152999.999998547</v>
      </c>
      <c r="AC7" s="8">
        <f t="shared" si="17"/>
        <v>24.152999999998546</v>
      </c>
      <c r="AD7" s="8">
        <f t="shared" si="17"/>
        <v>74.149709999995537</v>
      </c>
      <c r="AF7" s="8">
        <f t="shared" si="0"/>
        <v>-2.2204460492503131E-15</v>
      </c>
    </row>
    <row r="8" spans="1:32" x14ac:dyDescent="0.2">
      <c r="A8" s="27">
        <v>38568</v>
      </c>
      <c r="B8" s="7">
        <f>'[10]Aug Prod'!I7</f>
        <v>14200000.000000728</v>
      </c>
      <c r="C8" s="8">
        <f t="shared" si="1"/>
        <v>14.200000000000728</v>
      </c>
      <c r="D8" s="10">
        <f t="shared" si="2"/>
        <v>43.594000000002232</v>
      </c>
      <c r="E8" s="7">
        <f>'[10]Aug Prod'!E7</f>
        <v>7000000</v>
      </c>
      <c r="F8" s="8">
        <f t="shared" si="3"/>
        <v>7</v>
      </c>
      <c r="G8" s="10">
        <f t="shared" si="4"/>
        <v>21.49</v>
      </c>
      <c r="H8" s="7">
        <f>'[10]Aug Prod'!F7</f>
        <v>6920000</v>
      </c>
      <c r="I8" s="8">
        <f t="shared" si="5"/>
        <v>6.92</v>
      </c>
      <c r="J8" s="10">
        <f t="shared" si="6"/>
        <v>21.244399999999999</v>
      </c>
      <c r="K8" s="7">
        <f>'[10]Aug Prod'!H262</f>
        <v>1258099</v>
      </c>
      <c r="L8" s="8">
        <f t="shared" si="7"/>
        <v>1.2580990000000001</v>
      </c>
      <c r="M8" s="10">
        <f t="shared" si="8"/>
        <v>3.8623639299999999</v>
      </c>
      <c r="N8" s="21"/>
      <c r="O8" s="7">
        <f>'[10]Aug Prod'!H7</f>
        <v>11462000</v>
      </c>
      <c r="P8" s="8">
        <f t="shared" si="9"/>
        <v>11.462</v>
      </c>
      <c r="Q8" s="10">
        <f t="shared" si="10"/>
        <v>35.188339999999997</v>
      </c>
      <c r="R8" s="7">
        <f>'[10]Aug Prod'!C7</f>
        <v>11855000</v>
      </c>
      <c r="S8" s="8">
        <f t="shared" si="11"/>
        <v>11.855</v>
      </c>
      <c r="T8" s="10">
        <f t="shared" si="12"/>
        <v>36.394849999999998</v>
      </c>
      <c r="U8" s="7">
        <f>'[10]Aug Prod'!D7</f>
        <v>0</v>
      </c>
      <c r="V8" s="8">
        <f t="shared" si="13"/>
        <v>0</v>
      </c>
      <c r="W8" s="10">
        <f t="shared" si="14"/>
        <v>0</v>
      </c>
      <c r="X8" s="7">
        <f>'[10]Aug Prod'!D262</f>
        <v>393000.0000000007</v>
      </c>
      <c r="Y8" s="8">
        <f t="shared" si="15"/>
        <v>0.39300000000000068</v>
      </c>
      <c r="Z8" s="10">
        <f t="shared" si="16"/>
        <v>1.206510000000002</v>
      </c>
      <c r="AA8" s="15"/>
      <c r="AB8" s="7">
        <f t="shared" si="17"/>
        <v>25662000.00000073</v>
      </c>
      <c r="AC8" s="8">
        <f t="shared" si="17"/>
        <v>25.662000000000727</v>
      </c>
      <c r="AD8" s="8">
        <f>D8+Q8</f>
        <v>78.782340000002222</v>
      </c>
      <c r="AF8" s="8">
        <f t="shared" si="0"/>
        <v>0</v>
      </c>
    </row>
    <row r="9" spans="1:32" x14ac:dyDescent="0.2">
      <c r="A9" s="27">
        <v>38569</v>
      </c>
      <c r="B9" s="7">
        <f>'[10]Aug Prod'!I8</f>
        <v>18799999.999999274</v>
      </c>
      <c r="C9" s="8">
        <f t="shared" si="1"/>
        <v>18.799999999999272</v>
      </c>
      <c r="D9" s="10">
        <f t="shared" si="2"/>
        <v>57.715999999997763</v>
      </c>
      <c r="E9" s="7">
        <f>'[10]Aug Prod'!E8</f>
        <v>9000000</v>
      </c>
      <c r="F9" s="8">
        <f t="shared" si="3"/>
        <v>9</v>
      </c>
      <c r="G9" s="10">
        <f t="shared" si="4"/>
        <v>27.63</v>
      </c>
      <c r="H9" s="7">
        <f>'[10]Aug Prod'!F8</f>
        <v>10010000</v>
      </c>
      <c r="I9" s="8">
        <f t="shared" si="5"/>
        <v>10.01</v>
      </c>
      <c r="J9" s="10">
        <f t="shared" si="6"/>
        <v>30.730699999999999</v>
      </c>
      <c r="K9" s="7">
        <f>'[10]Aug Prod'!H263</f>
        <v>1599408</v>
      </c>
      <c r="L9" s="8">
        <f t="shared" si="7"/>
        <v>1.5994079999999999</v>
      </c>
      <c r="M9" s="10">
        <f t="shared" si="8"/>
        <v>4.91018256</v>
      </c>
      <c r="N9" s="21"/>
      <c r="O9" s="7">
        <f>'[10]Aug Prod'!H8</f>
        <v>10286000</v>
      </c>
      <c r="P9" s="8">
        <f t="shared" si="9"/>
        <v>10.286</v>
      </c>
      <c r="Q9" s="10">
        <f t="shared" si="10"/>
        <v>31.578019999999999</v>
      </c>
      <c r="R9" s="7">
        <f>'[10]Aug Prod'!C8</f>
        <v>10649000</v>
      </c>
      <c r="S9" s="8">
        <f t="shared" si="11"/>
        <v>10.648999999999999</v>
      </c>
      <c r="T9" s="10">
        <f t="shared" si="12"/>
        <v>32.692429999999995</v>
      </c>
      <c r="U9" s="7">
        <f>'[10]Aug Prod'!D8</f>
        <v>0</v>
      </c>
      <c r="V9" s="8">
        <f t="shared" si="13"/>
        <v>0</v>
      </c>
      <c r="W9" s="10">
        <f t="shared" si="14"/>
        <v>0</v>
      </c>
      <c r="X9" s="7">
        <f>'[10]Aug Prod'!D263</f>
        <v>362999.99999999953</v>
      </c>
      <c r="Y9" s="8">
        <f t="shared" si="15"/>
        <v>0.36299999999999955</v>
      </c>
      <c r="Z9" s="10">
        <f t="shared" si="16"/>
        <v>1.1144099999999986</v>
      </c>
      <c r="AA9" s="15"/>
      <c r="AB9" s="7">
        <f t="shared" si="17"/>
        <v>29085999.999999274</v>
      </c>
      <c r="AC9" s="8">
        <f t="shared" si="17"/>
        <v>29.085999999999274</v>
      </c>
      <c r="AD9" s="8">
        <f t="shared" si="17"/>
        <v>89.294019999997758</v>
      </c>
      <c r="AF9" s="8">
        <f t="shared" si="0"/>
        <v>-2.6645352591003757E-15</v>
      </c>
    </row>
    <row r="10" spans="1:32" x14ac:dyDescent="0.2">
      <c r="A10" s="27">
        <v>38570</v>
      </c>
      <c r="B10" s="7">
        <f>'[10]Aug Prod'!I9</f>
        <v>19299999.999999274</v>
      </c>
      <c r="C10" s="8">
        <f t="shared" si="1"/>
        <v>19.299999999999272</v>
      </c>
      <c r="D10" s="10">
        <f t="shared" si="2"/>
        <v>59.250999999997767</v>
      </c>
      <c r="E10" s="7">
        <f>'[10]Aug Prod'!E9</f>
        <v>8000000</v>
      </c>
      <c r="F10" s="8">
        <f t="shared" si="3"/>
        <v>8</v>
      </c>
      <c r="G10" s="10">
        <f t="shared" si="4"/>
        <v>24.56</v>
      </c>
      <c r="H10" s="7">
        <f>'[10]Aug Prod'!F9</f>
        <v>10870000</v>
      </c>
      <c r="I10" s="8">
        <f t="shared" si="5"/>
        <v>10.87</v>
      </c>
      <c r="J10" s="10">
        <f t="shared" si="6"/>
        <v>33.370899999999999</v>
      </c>
      <c r="K10" s="7">
        <f>'[10]Aug Prod'!H264</f>
        <v>1464993</v>
      </c>
      <c r="L10" s="8">
        <f t="shared" si="7"/>
        <v>1.464993</v>
      </c>
      <c r="M10" s="10">
        <f t="shared" si="8"/>
        <v>4.4975285099999995</v>
      </c>
      <c r="N10" s="21"/>
      <c r="O10" s="7">
        <f>'[10]Aug Prod'!H9</f>
        <v>10428000</v>
      </c>
      <c r="P10" s="8">
        <f t="shared" si="9"/>
        <v>10.428000000000001</v>
      </c>
      <c r="Q10" s="10">
        <f t="shared" si="10"/>
        <v>32.013960000000004</v>
      </c>
      <c r="R10" s="7">
        <f>'[10]Aug Prod'!C9</f>
        <v>10795000</v>
      </c>
      <c r="S10" s="8">
        <f t="shared" si="11"/>
        <v>10.795</v>
      </c>
      <c r="T10" s="10">
        <f t="shared" si="12"/>
        <v>33.140650000000001</v>
      </c>
      <c r="U10" s="7">
        <f>'[10]Aug Prod'!D9</f>
        <v>0</v>
      </c>
      <c r="V10" s="8">
        <f t="shared" si="13"/>
        <v>0</v>
      </c>
      <c r="W10" s="10">
        <f t="shared" si="14"/>
        <v>0</v>
      </c>
      <c r="X10" s="7">
        <f>'[10]Aug Prod'!D264</f>
        <v>367000.00000000087</v>
      </c>
      <c r="Y10" s="8">
        <f t="shared" si="15"/>
        <v>0.36700000000000088</v>
      </c>
      <c r="Z10" s="10">
        <f t="shared" si="16"/>
        <v>1.1266900000000026</v>
      </c>
      <c r="AA10" s="15"/>
      <c r="AB10" s="7">
        <f t="shared" si="17"/>
        <v>29727999.999999274</v>
      </c>
      <c r="AC10" s="8">
        <f t="shared" si="17"/>
        <v>29.727999999999273</v>
      </c>
      <c r="AD10" s="8">
        <f t="shared" si="17"/>
        <v>91.264959999997771</v>
      </c>
      <c r="AF10" s="8">
        <f t="shared" si="0"/>
        <v>-6.2172489379008766E-15</v>
      </c>
    </row>
    <row r="11" spans="1:32" x14ac:dyDescent="0.2">
      <c r="A11" s="27">
        <v>38571</v>
      </c>
      <c r="B11" s="7">
        <f>'[10]Aug Prod'!I10</f>
        <v>19299999.999999274</v>
      </c>
      <c r="C11" s="8">
        <f t="shared" si="1"/>
        <v>19.299999999999272</v>
      </c>
      <c r="D11" s="10">
        <f t="shared" si="2"/>
        <v>59.250999999997767</v>
      </c>
      <c r="E11" s="7">
        <f>'[10]Aug Prod'!E10</f>
        <v>9000000</v>
      </c>
      <c r="F11" s="8">
        <f t="shared" si="3"/>
        <v>9</v>
      </c>
      <c r="G11" s="10">
        <f t="shared" si="4"/>
        <v>27.63</v>
      </c>
      <c r="H11" s="7">
        <f>'[10]Aug Prod'!F10</f>
        <v>10430000</v>
      </c>
      <c r="I11" s="8">
        <f t="shared" si="5"/>
        <v>10.43</v>
      </c>
      <c r="J11" s="10">
        <f t="shared" si="6"/>
        <v>32.020099999999999</v>
      </c>
      <c r="K11" s="7">
        <f>'[10]Aug Prod'!H265</f>
        <v>1648527</v>
      </c>
      <c r="L11" s="8">
        <f t="shared" si="7"/>
        <v>1.6485270000000001</v>
      </c>
      <c r="M11" s="10">
        <f t="shared" si="8"/>
        <v>5.0609778900000002</v>
      </c>
      <c r="N11" s="21"/>
      <c r="O11" s="7">
        <f>'[10]Aug Prod'!H10</f>
        <v>9083000</v>
      </c>
      <c r="P11" s="8">
        <f t="shared" si="9"/>
        <v>9.0830000000000002</v>
      </c>
      <c r="Q11" s="10">
        <f t="shared" si="10"/>
        <v>27.884809999999998</v>
      </c>
      <c r="R11" s="7">
        <f>'[10]Aug Prod'!C10</f>
        <v>9462000</v>
      </c>
      <c r="S11" s="8">
        <f t="shared" si="11"/>
        <v>9.4619999999999997</v>
      </c>
      <c r="T11" s="10">
        <f t="shared" si="12"/>
        <v>29.048339999999996</v>
      </c>
      <c r="U11" s="7">
        <f>'[10]Aug Prod'!D10</f>
        <v>0</v>
      </c>
      <c r="V11" s="8">
        <f t="shared" si="13"/>
        <v>0</v>
      </c>
      <c r="W11" s="10">
        <f t="shared" si="14"/>
        <v>0</v>
      </c>
      <c r="X11" s="7">
        <f>'[10]Aug Prod'!D265</f>
        <v>378999.99999999953</v>
      </c>
      <c r="Y11" s="8">
        <f t="shared" si="15"/>
        <v>0.37899999999999956</v>
      </c>
      <c r="Z11" s="10">
        <f t="shared" si="16"/>
        <v>1.1635299999999986</v>
      </c>
      <c r="AA11" s="15"/>
      <c r="AB11" s="7">
        <f t="shared" si="17"/>
        <v>28382999.999999274</v>
      </c>
      <c r="AC11" s="8">
        <f t="shared" si="17"/>
        <v>28.382999999999271</v>
      </c>
      <c r="AD11" s="8">
        <f t="shared" si="17"/>
        <v>87.135809999997761</v>
      </c>
      <c r="AF11" s="8">
        <f t="shared" si="0"/>
        <v>0</v>
      </c>
    </row>
    <row r="12" spans="1:32" x14ac:dyDescent="0.2">
      <c r="A12" s="27">
        <v>38572</v>
      </c>
      <c r="B12" s="7">
        <f>'[10]Aug Prod'!I11</f>
        <v>18600000.000002183</v>
      </c>
      <c r="C12" s="8">
        <f t="shared" si="1"/>
        <v>18.600000000002183</v>
      </c>
      <c r="D12" s="10">
        <f t="shared" si="2"/>
        <v>57.102000000006697</v>
      </c>
      <c r="E12" s="7">
        <f>'[10]Aug Prod'!E11</f>
        <v>8000000</v>
      </c>
      <c r="F12" s="8">
        <f t="shared" si="3"/>
        <v>8</v>
      </c>
      <c r="G12" s="10">
        <f t="shared" si="4"/>
        <v>24.56</v>
      </c>
      <c r="H12" s="7">
        <f>'[10]Aug Prod'!F11</f>
        <v>10190000</v>
      </c>
      <c r="I12" s="8">
        <f t="shared" si="5"/>
        <v>10.19</v>
      </c>
      <c r="J12" s="10">
        <f t="shared" si="6"/>
        <v>31.283299999999997</v>
      </c>
      <c r="K12" s="7">
        <f>'[10]Aug Prod'!H266</f>
        <v>1582761</v>
      </c>
      <c r="L12" s="8">
        <f t="shared" si="7"/>
        <v>1.5827610000000001</v>
      </c>
      <c r="M12" s="10">
        <f t="shared" si="8"/>
        <v>4.8590762700000001</v>
      </c>
      <c r="N12" s="21"/>
      <c r="O12" s="7">
        <f>'[10]Aug Prod'!H11</f>
        <v>10316000</v>
      </c>
      <c r="P12" s="8">
        <f t="shared" si="9"/>
        <v>10.316000000000001</v>
      </c>
      <c r="Q12" s="10">
        <f t="shared" si="10"/>
        <v>31.670120000000001</v>
      </c>
      <c r="R12" s="7">
        <f>'[10]Aug Prod'!C11</f>
        <v>10691000</v>
      </c>
      <c r="S12" s="8">
        <f t="shared" si="11"/>
        <v>10.691000000000001</v>
      </c>
      <c r="T12" s="10">
        <f t="shared" si="12"/>
        <v>32.821370000000002</v>
      </c>
      <c r="U12" s="7">
        <f>'[10]Aug Prod'!D11</f>
        <v>0</v>
      </c>
      <c r="V12" s="8">
        <f t="shared" si="13"/>
        <v>0</v>
      </c>
      <c r="W12" s="10">
        <f t="shared" si="14"/>
        <v>0</v>
      </c>
      <c r="X12" s="7">
        <f>'[10]Aug Prod'!D266</f>
        <v>375000</v>
      </c>
      <c r="Y12" s="8">
        <f t="shared" si="15"/>
        <v>0.375</v>
      </c>
      <c r="Z12" s="10">
        <f t="shared" si="16"/>
        <v>1.1512499999999999</v>
      </c>
      <c r="AA12" s="15"/>
      <c r="AB12" s="7">
        <f t="shared" si="17"/>
        <v>28916000.000002183</v>
      </c>
      <c r="AC12" s="8">
        <f t="shared" si="17"/>
        <v>28.916000000002185</v>
      </c>
      <c r="AD12" s="8">
        <f t="shared" si="17"/>
        <v>88.772120000006694</v>
      </c>
      <c r="AF12" s="8">
        <f t="shared" si="0"/>
        <v>0</v>
      </c>
    </row>
    <row r="13" spans="1:32" x14ac:dyDescent="0.2">
      <c r="A13" s="27">
        <v>38573</v>
      </c>
      <c r="B13" s="7">
        <f>'[10]Aug Prod'!I12</f>
        <v>18200000.000000726</v>
      </c>
      <c r="C13" s="8">
        <f t="shared" si="1"/>
        <v>18.200000000000728</v>
      </c>
      <c r="D13" s="10">
        <f t="shared" si="2"/>
        <v>55.874000000002233</v>
      </c>
      <c r="E13" s="7">
        <f>'[10]Aug Prod'!E12</f>
        <v>9000000</v>
      </c>
      <c r="F13" s="8">
        <f t="shared" si="3"/>
        <v>9</v>
      </c>
      <c r="G13" s="10">
        <f t="shared" si="4"/>
        <v>27.63</v>
      </c>
      <c r="H13" s="7">
        <f>'[10]Aug Prod'!F12</f>
        <v>9980000</v>
      </c>
      <c r="I13" s="8">
        <f t="shared" si="5"/>
        <v>9.98</v>
      </c>
      <c r="J13" s="10">
        <f t="shared" si="6"/>
        <v>30.6386</v>
      </c>
      <c r="K13" s="7">
        <f>'[10]Aug Prod'!H267</f>
        <v>1590000</v>
      </c>
      <c r="L13" s="8">
        <f t="shared" si="7"/>
        <v>1.59</v>
      </c>
      <c r="M13" s="10">
        <f t="shared" si="8"/>
        <v>4.8813000000000004</v>
      </c>
      <c r="N13" s="21"/>
      <c r="O13" s="7">
        <f>'[10]Aug Prod'!H12</f>
        <v>11648000</v>
      </c>
      <c r="P13" s="8">
        <f t="shared" si="9"/>
        <v>11.648</v>
      </c>
      <c r="Q13" s="10">
        <f t="shared" si="10"/>
        <v>35.759359999999994</v>
      </c>
      <c r="R13" s="7">
        <f>'[10]Aug Prod'!C12</f>
        <v>11994000</v>
      </c>
      <c r="S13" s="8">
        <f t="shared" si="11"/>
        <v>11.994</v>
      </c>
      <c r="T13" s="10">
        <f t="shared" si="12"/>
        <v>36.821579999999997</v>
      </c>
      <c r="U13" s="7">
        <f>'[10]Aug Prod'!D12</f>
        <v>0</v>
      </c>
      <c r="V13" s="8">
        <f t="shared" si="13"/>
        <v>0</v>
      </c>
      <c r="W13" s="10">
        <f t="shared" si="14"/>
        <v>0</v>
      </c>
      <c r="X13" s="7">
        <f>'[10]Aug Prod'!D267</f>
        <v>346000.00000000006</v>
      </c>
      <c r="Y13" s="8">
        <f t="shared" si="15"/>
        <v>0.34600000000000009</v>
      </c>
      <c r="Z13" s="10">
        <f t="shared" si="16"/>
        <v>1.0622200000000002</v>
      </c>
      <c r="AA13" s="15"/>
      <c r="AB13" s="7">
        <f t="shared" si="17"/>
        <v>29848000.000000726</v>
      </c>
      <c r="AC13" s="8">
        <f t="shared" si="17"/>
        <v>29.848000000000727</v>
      </c>
      <c r="AD13" s="8">
        <f t="shared" si="17"/>
        <v>91.633360000002227</v>
      </c>
      <c r="AF13" s="8">
        <f t="shared" si="0"/>
        <v>3.3306690738754696E-15</v>
      </c>
    </row>
    <row r="14" spans="1:32" x14ac:dyDescent="0.2">
      <c r="A14" s="27">
        <v>38574</v>
      </c>
      <c r="B14" s="7">
        <f>'[10]Aug Prod'!I13</f>
        <v>17399999.999997817</v>
      </c>
      <c r="C14" s="8">
        <f t="shared" si="1"/>
        <v>17.399999999997817</v>
      </c>
      <c r="D14" s="10">
        <f t="shared" si="2"/>
        <v>53.417999999993299</v>
      </c>
      <c r="E14" s="7">
        <f>'[10]Aug Prod'!E13</f>
        <v>9000000</v>
      </c>
      <c r="F14" s="8">
        <f t="shared" si="3"/>
        <v>9</v>
      </c>
      <c r="G14" s="10">
        <f t="shared" si="4"/>
        <v>27.63</v>
      </c>
      <c r="H14" s="7">
        <f>'[10]Aug Prod'!F13</f>
        <v>8790000</v>
      </c>
      <c r="I14" s="8">
        <f t="shared" si="5"/>
        <v>8.7899999999999991</v>
      </c>
      <c r="J14" s="10">
        <f t="shared" si="6"/>
        <v>26.985299999999995</v>
      </c>
      <c r="K14" s="7">
        <f>'[10]Aug Prod'!H268</f>
        <v>1459754.0000000005</v>
      </c>
      <c r="L14" s="8">
        <f t="shared" si="7"/>
        <v>1.4597540000000004</v>
      </c>
      <c r="M14" s="10">
        <f t="shared" si="8"/>
        <v>4.4814447800000012</v>
      </c>
      <c r="N14" s="21"/>
      <c r="O14" s="7">
        <f>'[10]Aug Prod'!H13</f>
        <v>11583000</v>
      </c>
      <c r="P14" s="8">
        <f t="shared" si="9"/>
        <v>11.583</v>
      </c>
      <c r="Q14" s="10">
        <f t="shared" si="10"/>
        <v>35.559809999999999</v>
      </c>
      <c r="R14" s="7">
        <f>'[10]Aug Prod'!C13</f>
        <v>11881000</v>
      </c>
      <c r="S14" s="8">
        <f t="shared" si="11"/>
        <v>11.881</v>
      </c>
      <c r="T14" s="10">
        <f t="shared" si="12"/>
        <v>36.474669999999996</v>
      </c>
      <c r="U14" s="7">
        <f>'[10]Aug Prod'!D13</f>
        <v>0</v>
      </c>
      <c r="V14" s="8">
        <f t="shared" si="13"/>
        <v>0</v>
      </c>
      <c r="W14" s="10">
        <f t="shared" si="14"/>
        <v>0</v>
      </c>
      <c r="X14" s="7">
        <f>'[10]Aug Prod'!D268</f>
        <v>298000.00000000006</v>
      </c>
      <c r="Y14" s="8">
        <f t="shared" si="15"/>
        <v>0.29800000000000004</v>
      </c>
      <c r="Z14" s="10">
        <f t="shared" si="16"/>
        <v>0.91486000000000012</v>
      </c>
      <c r="AA14" s="15"/>
      <c r="AB14" s="7">
        <f t="shared" si="17"/>
        <v>28982999.999997817</v>
      </c>
      <c r="AC14" s="8">
        <f t="shared" si="17"/>
        <v>28.982999999997816</v>
      </c>
      <c r="AD14" s="8">
        <f t="shared" si="17"/>
        <v>88.977809999993298</v>
      </c>
      <c r="AF14" s="8">
        <f t="shared" si="0"/>
        <v>-2.7755575615628914E-15</v>
      </c>
    </row>
    <row r="15" spans="1:32" x14ac:dyDescent="0.2">
      <c r="A15" s="27">
        <v>38575</v>
      </c>
      <c r="B15" s="7">
        <f>'[10]Aug Prod'!I14</f>
        <v>19400000.000001457</v>
      </c>
      <c r="C15" s="8">
        <f t="shared" si="1"/>
        <v>19.400000000001455</v>
      </c>
      <c r="D15" s="10">
        <f t="shared" si="2"/>
        <v>59.558000000004462</v>
      </c>
      <c r="E15" s="7">
        <f>'[10]Aug Prod'!E14</f>
        <v>10000000</v>
      </c>
      <c r="F15" s="8">
        <f t="shared" si="3"/>
        <v>10</v>
      </c>
      <c r="G15" s="10">
        <f t="shared" si="4"/>
        <v>30.7</v>
      </c>
      <c r="H15" s="7">
        <f>'[10]Aug Prod'!F14</f>
        <v>9700000</v>
      </c>
      <c r="I15" s="8">
        <f t="shared" si="5"/>
        <v>9.6999999999999993</v>
      </c>
      <c r="J15" s="10">
        <f t="shared" si="6"/>
        <v>29.778999999999996</v>
      </c>
      <c r="K15" s="7">
        <f>'[10]Aug Prod'!H269</f>
        <v>1570591</v>
      </c>
      <c r="L15" s="8">
        <f t="shared" si="7"/>
        <v>1.5705910000000001</v>
      </c>
      <c r="M15" s="10">
        <f t="shared" si="8"/>
        <v>4.8217143699999996</v>
      </c>
      <c r="N15" s="21"/>
      <c r="O15" s="7">
        <f>'[10]Aug Prod'!H14</f>
        <v>11859000.000000002</v>
      </c>
      <c r="P15" s="8">
        <f t="shared" si="9"/>
        <v>11.859000000000002</v>
      </c>
      <c r="Q15" s="10">
        <f t="shared" si="10"/>
        <v>36.407130000000002</v>
      </c>
      <c r="R15" s="7">
        <f>'[10]Aug Prod'!C14</f>
        <v>12246000</v>
      </c>
      <c r="S15" s="8">
        <f t="shared" si="11"/>
        <v>12.246</v>
      </c>
      <c r="T15" s="10">
        <f t="shared" si="12"/>
        <v>37.595219999999998</v>
      </c>
      <c r="U15" s="7">
        <f>'[10]Aug Prod'!D14</f>
        <v>0</v>
      </c>
      <c r="V15" s="8">
        <f t="shared" si="13"/>
        <v>0</v>
      </c>
      <c r="W15" s="10">
        <f t="shared" si="14"/>
        <v>0</v>
      </c>
      <c r="X15" s="7">
        <f>'[10]Aug Prod'!D269</f>
        <v>386999.99999999866</v>
      </c>
      <c r="Y15" s="8">
        <f t="shared" si="15"/>
        <v>0.38699999999999868</v>
      </c>
      <c r="Z15" s="10">
        <f t="shared" si="16"/>
        <v>1.1880899999999959</v>
      </c>
      <c r="AA15" s="15"/>
      <c r="AB15" s="7">
        <f t="shared" si="17"/>
        <v>31259000.00000146</v>
      </c>
      <c r="AC15" s="8">
        <f t="shared" si="17"/>
        <v>31.259000000001457</v>
      </c>
      <c r="AD15" s="8">
        <f t="shared" si="17"/>
        <v>95.965130000004464</v>
      </c>
      <c r="AF15" s="8">
        <f>T15-Q15-Z15</f>
        <v>0</v>
      </c>
    </row>
    <row r="16" spans="1:32" x14ac:dyDescent="0.2">
      <c r="A16" s="27">
        <v>38576</v>
      </c>
      <c r="B16" s="7">
        <f>'[10]Aug Prod'!I15</f>
        <v>19099999.999998543</v>
      </c>
      <c r="C16" s="8">
        <f t="shared" si="1"/>
        <v>19.099999999998545</v>
      </c>
      <c r="D16" s="10">
        <f t="shared" si="2"/>
        <v>58.636999999995531</v>
      </c>
      <c r="E16" s="7">
        <f>'[10]Aug Prod'!E15</f>
        <v>8000000</v>
      </c>
      <c r="F16" s="8">
        <f t="shared" si="3"/>
        <v>8</v>
      </c>
      <c r="G16" s="10">
        <f t="shared" si="4"/>
        <v>24.56</v>
      </c>
      <c r="H16" s="7">
        <f>'[10]Aug Prod'!F15</f>
        <v>10200000</v>
      </c>
      <c r="I16" s="8">
        <f t="shared" si="5"/>
        <v>10.199999999999999</v>
      </c>
      <c r="J16" s="10">
        <f t="shared" si="6"/>
        <v>31.313999999999997</v>
      </c>
      <c r="K16" s="7">
        <f>'[10]Aug Prod'!H270</f>
        <v>1664187</v>
      </c>
      <c r="L16" s="8">
        <f t="shared" si="7"/>
        <v>1.6641870000000001</v>
      </c>
      <c r="M16" s="10">
        <f t="shared" si="8"/>
        <v>5.1090540899999999</v>
      </c>
      <c r="N16" s="21"/>
      <c r="O16" s="7">
        <f>'[10]Aug Prod'!H15</f>
        <v>10172999.999999998</v>
      </c>
      <c r="P16" s="8">
        <f t="shared" si="9"/>
        <v>10.172999999999998</v>
      </c>
      <c r="Q16" s="10">
        <f t="shared" si="10"/>
        <v>31.231109999999994</v>
      </c>
      <c r="R16" s="7">
        <f>'[10]Aug Prod'!C15</f>
        <v>10552000</v>
      </c>
      <c r="S16" s="8">
        <f t="shared" si="11"/>
        <v>10.552</v>
      </c>
      <c r="T16" s="10">
        <f t="shared" si="12"/>
        <v>32.394639999999995</v>
      </c>
      <c r="U16" s="7">
        <f>'[10]Aug Prod'!D15</f>
        <v>0</v>
      </c>
      <c r="V16" s="8">
        <f t="shared" si="13"/>
        <v>0</v>
      </c>
      <c r="W16" s="10">
        <f t="shared" si="14"/>
        <v>0</v>
      </c>
      <c r="X16" s="7">
        <f>'[10]Aug Prod'!D270</f>
        <v>379000.00000000134</v>
      </c>
      <c r="Y16" s="8">
        <f t="shared" si="15"/>
        <v>0.37900000000000134</v>
      </c>
      <c r="Z16" s="10">
        <f t="shared" si="16"/>
        <v>1.1635300000000039</v>
      </c>
      <c r="AA16" s="15"/>
      <c r="AB16" s="7">
        <f t="shared" si="17"/>
        <v>29272999.99999854</v>
      </c>
      <c r="AC16" s="8">
        <f t="shared" si="17"/>
        <v>29.272999999998543</v>
      </c>
      <c r="AD16" s="8">
        <f t="shared" si="17"/>
        <v>89.868109999995525</v>
      </c>
      <c r="AF16" s="8">
        <f>T16-Q16-Z16</f>
        <v>-2.4424906541753444E-15</v>
      </c>
    </row>
    <row r="17" spans="1:32" x14ac:dyDescent="0.2">
      <c r="A17" s="27">
        <v>38577</v>
      </c>
      <c r="B17" s="7">
        <f>'[10]Aug Prod'!I16</f>
        <v>21000000</v>
      </c>
      <c r="C17" s="8">
        <f t="shared" si="1"/>
        <v>21</v>
      </c>
      <c r="D17" s="10">
        <f t="shared" si="2"/>
        <v>64.47</v>
      </c>
      <c r="E17" s="7">
        <f>'[10]Aug Prod'!E16</f>
        <v>9000000</v>
      </c>
      <c r="F17" s="8">
        <f t="shared" si="3"/>
        <v>9</v>
      </c>
      <c r="G17" s="10">
        <f t="shared" si="4"/>
        <v>27.63</v>
      </c>
      <c r="H17" s="7">
        <f>'[10]Aug Prod'!F16</f>
        <v>11770000</v>
      </c>
      <c r="I17" s="8">
        <f t="shared" si="5"/>
        <v>11.77</v>
      </c>
      <c r="J17" s="10">
        <f t="shared" si="6"/>
        <v>36.133899999999997</v>
      </c>
      <c r="K17" s="7">
        <f>'[10]Aug Prod'!H271</f>
        <v>62892.099999999627</v>
      </c>
      <c r="L17" s="8">
        <f t="shared" si="7"/>
        <v>6.2892099999999632E-2</v>
      </c>
      <c r="M17" s="10">
        <f t="shared" si="8"/>
        <v>0.19307874699999886</v>
      </c>
      <c r="N17" s="21"/>
      <c r="O17" s="7">
        <f>'[10]Aug Prod'!H16</f>
        <v>11188000</v>
      </c>
      <c r="P17" s="8">
        <f t="shared" si="9"/>
        <v>11.188000000000001</v>
      </c>
      <c r="Q17" s="10">
        <f t="shared" si="10"/>
        <v>34.347160000000002</v>
      </c>
      <c r="R17" s="7">
        <f>'[10]Aug Prod'!C16</f>
        <v>11544000</v>
      </c>
      <c r="S17" s="8">
        <f t="shared" si="11"/>
        <v>11.544</v>
      </c>
      <c r="T17" s="10">
        <f t="shared" si="12"/>
        <v>35.440080000000002</v>
      </c>
      <c r="U17" s="7">
        <f>'[10]Aug Prod'!D16</f>
        <v>0</v>
      </c>
      <c r="V17" s="8">
        <f t="shared" si="13"/>
        <v>0</v>
      </c>
      <c r="W17" s="10">
        <f t="shared" si="14"/>
        <v>0</v>
      </c>
      <c r="X17" s="7">
        <f>'[10]Aug Prod'!D271</f>
        <v>355999.99999999988</v>
      </c>
      <c r="Y17" s="8">
        <f t="shared" si="15"/>
        <v>0.35599999999999987</v>
      </c>
      <c r="Z17" s="10">
        <f t="shared" si="16"/>
        <v>1.0929199999999994</v>
      </c>
      <c r="AA17" s="15"/>
      <c r="AB17" s="7">
        <f t="shared" si="17"/>
        <v>32188000</v>
      </c>
      <c r="AC17" s="8">
        <f t="shared" si="17"/>
        <v>32.188000000000002</v>
      </c>
      <c r="AD17" s="8">
        <f t="shared" si="17"/>
        <v>98.817160000000001</v>
      </c>
      <c r="AF17" s="8">
        <f>T17-Q17-Z17</f>
        <v>0</v>
      </c>
    </row>
    <row r="18" spans="1:32" x14ac:dyDescent="0.2">
      <c r="A18" s="27">
        <v>38578</v>
      </c>
      <c r="B18" s="7">
        <f>'[10]Aug Prod'!I17</f>
        <v>19400000.000001457</v>
      </c>
      <c r="C18" s="8">
        <f t="shared" si="1"/>
        <v>19.400000000001455</v>
      </c>
      <c r="D18" s="10">
        <f t="shared" si="2"/>
        <v>59.558000000004462</v>
      </c>
      <c r="E18" s="7">
        <f>'[10]Aug Prod'!E17</f>
        <v>10000000</v>
      </c>
      <c r="F18" s="8">
        <f t="shared" si="3"/>
        <v>10</v>
      </c>
      <c r="G18" s="10">
        <f t="shared" si="4"/>
        <v>30.7</v>
      </c>
      <c r="H18" s="7">
        <f>'[10]Aug Prod'!F17</f>
        <v>10380000</v>
      </c>
      <c r="I18" s="8">
        <f t="shared" si="5"/>
        <v>10.38</v>
      </c>
      <c r="J18" s="10">
        <f t="shared" si="6"/>
        <v>31.866600000000002</v>
      </c>
      <c r="K18" s="7">
        <f>'[10]Aug Prod'!H272</f>
        <v>465018</v>
      </c>
      <c r="L18" s="8">
        <f t="shared" si="7"/>
        <v>0.46501799999999999</v>
      </c>
      <c r="M18" s="10">
        <f t="shared" si="8"/>
        <v>1.42760526</v>
      </c>
      <c r="N18" s="21"/>
      <c r="O18" s="7">
        <f>'[10]Aug Prod'!H17</f>
        <v>11607000.000000002</v>
      </c>
      <c r="P18" s="8">
        <f t="shared" si="9"/>
        <v>11.607000000000001</v>
      </c>
      <c r="Q18" s="10">
        <f t="shared" si="10"/>
        <v>35.633490000000002</v>
      </c>
      <c r="R18" s="7">
        <f>'[10]Aug Prod'!C17</f>
        <v>12013000</v>
      </c>
      <c r="S18" s="8">
        <f t="shared" si="11"/>
        <v>12.013</v>
      </c>
      <c r="T18" s="10">
        <f t="shared" si="12"/>
        <v>36.879909999999995</v>
      </c>
      <c r="U18" s="7">
        <f>'[10]Aug Prod'!D17</f>
        <v>0</v>
      </c>
      <c r="V18" s="8">
        <f t="shared" si="13"/>
        <v>0</v>
      </c>
      <c r="W18" s="10">
        <f t="shared" si="14"/>
        <v>0</v>
      </c>
      <c r="X18" s="7">
        <f>'[10]Aug Prod'!D272</f>
        <v>405999.99999999878</v>
      </c>
      <c r="Y18" s="8">
        <f t="shared" si="15"/>
        <v>0.40599999999999875</v>
      </c>
      <c r="Z18" s="10">
        <f t="shared" si="16"/>
        <v>1.2464199999999961</v>
      </c>
      <c r="AA18" s="15"/>
      <c r="AB18" s="7">
        <f t="shared" si="17"/>
        <v>31007000.00000146</v>
      </c>
      <c r="AC18" s="8">
        <f t="shared" si="17"/>
        <v>31.007000000001455</v>
      </c>
      <c r="AD18" s="8">
        <f t="shared" si="17"/>
        <v>95.191490000004464</v>
      </c>
      <c r="AF18" s="8">
        <f>T18-Q18-Z18</f>
        <v>-2.6645352591003757E-15</v>
      </c>
    </row>
    <row r="19" spans="1:32" x14ac:dyDescent="0.2">
      <c r="A19" s="27">
        <v>38579</v>
      </c>
      <c r="B19" s="7">
        <f>'[10]Aug Prod'!I18</f>
        <v>18299999.999999274</v>
      </c>
      <c r="C19" s="8">
        <f t="shared" si="1"/>
        <v>18.299999999999272</v>
      </c>
      <c r="D19" s="10">
        <f t="shared" si="2"/>
        <v>56.180999999997766</v>
      </c>
      <c r="E19" s="7">
        <f>'[10]Aug Prod'!E18</f>
        <v>9000000</v>
      </c>
      <c r="F19" s="8">
        <f t="shared" si="3"/>
        <v>9</v>
      </c>
      <c r="G19" s="10">
        <f t="shared" si="4"/>
        <v>27.63</v>
      </c>
      <c r="H19" s="7">
        <f>'[10]Aug Prod'!F18</f>
        <v>9130000</v>
      </c>
      <c r="I19" s="8">
        <f t="shared" si="5"/>
        <v>9.1300000000000008</v>
      </c>
      <c r="J19" s="10">
        <f t="shared" si="6"/>
        <v>28.0291</v>
      </c>
      <c r="K19" s="7">
        <f>'[10]Aug Prod'!H273</f>
        <v>1541195</v>
      </c>
      <c r="L19" s="8">
        <f t="shared" si="7"/>
        <v>1.5411950000000001</v>
      </c>
      <c r="M19" s="10">
        <f t="shared" si="8"/>
        <v>4.7314686500000001</v>
      </c>
      <c r="N19" s="21"/>
      <c r="O19" s="7">
        <f>'[10]Aug Prod'!H18</f>
        <v>10348999.999999998</v>
      </c>
      <c r="P19" s="8">
        <f t="shared" si="9"/>
        <v>10.348999999999998</v>
      </c>
      <c r="Q19" s="10">
        <f t="shared" si="10"/>
        <v>31.771429999999995</v>
      </c>
      <c r="R19" s="7">
        <f>'[10]Aug Prod'!C18</f>
        <v>10747000</v>
      </c>
      <c r="S19" s="8">
        <f t="shared" si="11"/>
        <v>10.747</v>
      </c>
      <c r="T19" s="10">
        <f t="shared" si="12"/>
        <v>32.993289999999995</v>
      </c>
      <c r="U19" s="7">
        <f>'[10]Aug Prod'!D18</f>
        <v>0</v>
      </c>
      <c r="V19" s="8">
        <f t="shared" si="13"/>
        <v>0</v>
      </c>
      <c r="W19" s="10">
        <f t="shared" si="14"/>
        <v>0</v>
      </c>
      <c r="X19" s="7">
        <f>'[10]Aug Prod'!D273</f>
        <v>398000.00000000146</v>
      </c>
      <c r="Y19" s="8">
        <f t="shared" si="15"/>
        <v>0.39800000000000146</v>
      </c>
      <c r="Z19" s="10">
        <f t="shared" si="16"/>
        <v>1.2218600000000044</v>
      </c>
      <c r="AA19" s="15"/>
      <c r="AB19" s="7">
        <f t="shared" si="17"/>
        <v>28648999.99999927</v>
      </c>
      <c r="AC19" s="8">
        <f t="shared" si="17"/>
        <v>28.648999999999269</v>
      </c>
      <c r="AD19" s="8">
        <f>D19+Q19</f>
        <v>87.952429999997761</v>
      </c>
      <c r="AF19" s="8">
        <f>T19-Q19-Z19</f>
        <v>-4.8849813083506888E-15</v>
      </c>
    </row>
    <row r="20" spans="1:32" x14ac:dyDescent="0.2">
      <c r="A20" s="27">
        <v>38580</v>
      </c>
      <c r="B20" s="7">
        <f>'[10]Aug Prod'!I19</f>
        <v>22200000.000000726</v>
      </c>
      <c r="C20" s="8">
        <f t="shared" si="1"/>
        <v>22.200000000000728</v>
      </c>
      <c r="D20" s="10">
        <f t="shared" si="2"/>
        <v>68.154000000002227</v>
      </c>
      <c r="E20" s="7">
        <f>'[10]Aug Prod'!E19</f>
        <v>10000000</v>
      </c>
      <c r="F20" s="8">
        <f t="shared" si="3"/>
        <v>10</v>
      </c>
      <c r="G20" s="10">
        <f t="shared" si="4"/>
        <v>30.7</v>
      </c>
      <c r="H20" s="7">
        <f>'[10]Aug Prod'!F19</f>
        <v>13080000</v>
      </c>
      <c r="I20" s="8">
        <f t="shared" si="5"/>
        <v>13.08</v>
      </c>
      <c r="J20" s="10">
        <f t="shared" si="6"/>
        <v>40.1556</v>
      </c>
      <c r="K20" s="7">
        <f>'[10]Aug Prod'!H274</f>
        <v>1867520</v>
      </c>
      <c r="L20" s="8">
        <f t="shared" si="7"/>
        <v>1.8675200000000001</v>
      </c>
      <c r="M20" s="10">
        <f t="shared" si="8"/>
        <v>5.7332863999999999</v>
      </c>
      <c r="N20" s="21"/>
      <c r="O20" s="7">
        <f>'[10]Aug Prod'!H19</f>
        <v>11622000</v>
      </c>
      <c r="P20" s="8">
        <f t="shared" si="9"/>
        <v>11.622</v>
      </c>
      <c r="Q20" s="10">
        <f t="shared" si="10"/>
        <v>35.679539999999996</v>
      </c>
      <c r="R20" s="7">
        <f>'[10]Aug Prod'!C19</f>
        <v>12071000</v>
      </c>
      <c r="S20" s="8">
        <f t="shared" si="11"/>
        <v>12.071</v>
      </c>
      <c r="T20" s="10">
        <f t="shared" si="12"/>
        <v>37.057969999999997</v>
      </c>
      <c r="U20" s="7">
        <f>'[10]Aug Prod'!D19</f>
        <v>0</v>
      </c>
      <c r="V20" s="8">
        <f t="shared" si="13"/>
        <v>0</v>
      </c>
      <c r="W20" s="10">
        <f t="shared" si="14"/>
        <v>0</v>
      </c>
      <c r="X20" s="7">
        <f>'[10]Aug Prod'!D274</f>
        <v>448999.99999999983</v>
      </c>
      <c r="Y20" s="8">
        <f t="shared" si="15"/>
        <v>0.44899999999999984</v>
      </c>
      <c r="Z20" s="10">
        <f t="shared" si="16"/>
        <v>1.3784299999999994</v>
      </c>
      <c r="AA20" s="15"/>
      <c r="AB20" s="7">
        <f t="shared" si="17"/>
        <v>33822000.00000073</v>
      </c>
      <c r="AC20" s="8">
        <f t="shared" si="17"/>
        <v>33.822000000000727</v>
      </c>
      <c r="AD20" s="8">
        <f t="shared" si="17"/>
        <v>103.83354000000222</v>
      </c>
      <c r="AF20" s="8">
        <f t="shared" ref="AF20:AF35" si="18">T20-Q20-Z20</f>
        <v>2.2204460492503131E-15</v>
      </c>
    </row>
    <row r="21" spans="1:32" x14ac:dyDescent="0.2">
      <c r="A21" s="27">
        <v>38581</v>
      </c>
      <c r="B21" s="7">
        <f>'[10]Aug Prod'!I20</f>
        <v>21700000.000000726</v>
      </c>
      <c r="C21" s="8">
        <f t="shared" si="1"/>
        <v>21.700000000000728</v>
      </c>
      <c r="D21" s="10">
        <f t="shared" si="2"/>
        <v>66.619000000002231</v>
      </c>
      <c r="E21" s="7">
        <f>'[10]Aug Prod'!E20</f>
        <v>9000000</v>
      </c>
      <c r="F21" s="8">
        <f t="shared" si="3"/>
        <v>9</v>
      </c>
      <c r="G21" s="10">
        <f t="shared" si="4"/>
        <v>27.63</v>
      </c>
      <c r="H21" s="7">
        <f>'[10]Aug Prod'!F20</f>
        <v>11620000</v>
      </c>
      <c r="I21" s="8">
        <f t="shared" si="5"/>
        <v>11.62</v>
      </c>
      <c r="J21" s="10">
        <f t="shared" si="6"/>
        <v>35.673399999999994</v>
      </c>
      <c r="K21" s="7">
        <f>'[10]Aug Prod'!H275</f>
        <v>1744333</v>
      </c>
      <c r="L21" s="8">
        <f t="shared" si="7"/>
        <v>1.7443329999999999</v>
      </c>
      <c r="M21" s="10">
        <f t="shared" si="8"/>
        <v>5.3551023099999995</v>
      </c>
      <c r="N21" s="21"/>
      <c r="O21" s="7">
        <f>'[10]Aug Prod'!H20</f>
        <v>11118000.000000002</v>
      </c>
      <c r="P21" s="8">
        <f t="shared" si="9"/>
        <v>11.118000000000002</v>
      </c>
      <c r="Q21" s="10">
        <f t="shared" si="10"/>
        <v>34.132260000000002</v>
      </c>
      <c r="R21" s="7">
        <f>'[10]Aug Prod'!C20</f>
        <v>11428000</v>
      </c>
      <c r="S21" s="8">
        <f t="shared" si="11"/>
        <v>11.428000000000001</v>
      </c>
      <c r="T21" s="10">
        <f t="shared" si="12"/>
        <v>35.083959999999998</v>
      </c>
      <c r="U21" s="7">
        <f>'[10]Aug Prod'!D20</f>
        <v>0</v>
      </c>
      <c r="V21" s="8">
        <f t="shared" si="13"/>
        <v>0</v>
      </c>
      <c r="W21" s="10">
        <f t="shared" si="14"/>
        <v>0</v>
      </c>
      <c r="X21" s="7">
        <f>'[10]Aug Prod'!D275</f>
        <v>309999.99999999872</v>
      </c>
      <c r="Y21" s="8">
        <f t="shared" si="15"/>
        <v>0.30999999999999872</v>
      </c>
      <c r="Z21" s="10">
        <f t="shared" si="16"/>
        <v>0.95169999999999599</v>
      </c>
      <c r="AA21" s="15"/>
      <c r="AB21" s="7">
        <f t="shared" si="17"/>
        <v>32818000.00000073</v>
      </c>
      <c r="AC21" s="8">
        <f t="shared" si="17"/>
        <v>32.81800000000073</v>
      </c>
      <c r="AD21" s="8">
        <f t="shared" si="17"/>
        <v>100.75126000000223</v>
      </c>
      <c r="AF21" s="8">
        <f t="shared" si="18"/>
        <v>0</v>
      </c>
    </row>
    <row r="22" spans="1:32" x14ac:dyDescent="0.2">
      <c r="A22" s="27">
        <v>38582</v>
      </c>
      <c r="B22" s="7">
        <f>'[10]Aug Prod'!I21</f>
        <v>21699999.999997091</v>
      </c>
      <c r="C22" s="8">
        <f t="shared" si="1"/>
        <v>21.69999999999709</v>
      </c>
      <c r="D22" s="10">
        <f t="shared" si="2"/>
        <v>66.618999999991061</v>
      </c>
      <c r="E22" s="7">
        <f>'[10]Aug Prod'!E21</f>
        <v>9000000</v>
      </c>
      <c r="F22" s="8">
        <f t="shared" si="3"/>
        <v>9</v>
      </c>
      <c r="G22" s="10">
        <f t="shared" si="4"/>
        <v>27.63</v>
      </c>
      <c r="H22" s="7">
        <f>'[10]Aug Prod'!F21</f>
        <v>12640000</v>
      </c>
      <c r="I22" s="8">
        <f t="shared" si="5"/>
        <v>12.64</v>
      </c>
      <c r="J22" s="10">
        <f t="shared" si="6"/>
        <v>38.8048</v>
      </c>
      <c r="K22" s="7">
        <f>'[10]Aug Prod'!H276</f>
        <v>1892385</v>
      </c>
      <c r="L22" s="8">
        <f t="shared" si="7"/>
        <v>1.892385</v>
      </c>
      <c r="M22" s="10">
        <f t="shared" si="8"/>
        <v>5.8096219499999995</v>
      </c>
      <c r="N22" s="21"/>
      <c r="O22" s="7">
        <f>'[10]Aug Prod'!H21</f>
        <v>11587000</v>
      </c>
      <c r="P22" s="8">
        <f t="shared" si="9"/>
        <v>11.587</v>
      </c>
      <c r="Q22" s="10">
        <f t="shared" si="10"/>
        <v>35.572089999999996</v>
      </c>
      <c r="R22" s="7">
        <f>'[10]Aug Prod'!C21</f>
        <v>11900000</v>
      </c>
      <c r="S22" s="8">
        <f t="shared" si="11"/>
        <v>11.9</v>
      </c>
      <c r="T22" s="10">
        <f t="shared" si="12"/>
        <v>36.533000000000001</v>
      </c>
      <c r="U22" s="7">
        <f>'[10]Aug Prod'!D21</f>
        <v>0</v>
      </c>
      <c r="V22" s="8">
        <f t="shared" si="13"/>
        <v>0</v>
      </c>
      <c r="W22" s="10">
        <f t="shared" si="14"/>
        <v>0</v>
      </c>
      <c r="X22" s="7">
        <f>'[10]Aug Prod'!D276</f>
        <v>313000.00000000058</v>
      </c>
      <c r="Y22" s="8">
        <f t="shared" si="15"/>
        <v>0.31300000000000056</v>
      </c>
      <c r="Z22" s="10">
        <f t="shared" si="16"/>
        <v>0.96091000000000171</v>
      </c>
      <c r="AA22" s="15"/>
      <c r="AB22" s="7">
        <f t="shared" si="17"/>
        <v>33286999.999997091</v>
      </c>
      <c r="AC22" s="8">
        <f t="shared" si="17"/>
        <v>33.286999999997093</v>
      </c>
      <c r="AD22" s="8">
        <f t="shared" si="17"/>
        <v>102.19108999999105</v>
      </c>
      <c r="AF22" s="8">
        <f t="shared" si="18"/>
        <v>3.7747582837255322E-15</v>
      </c>
    </row>
    <row r="23" spans="1:32" x14ac:dyDescent="0.2">
      <c r="A23" s="27">
        <v>38583</v>
      </c>
      <c r="B23" s="7">
        <f>'[10]Aug Prod'!I22</f>
        <v>21700000.000000726</v>
      </c>
      <c r="C23" s="8">
        <f t="shared" si="1"/>
        <v>21.700000000000728</v>
      </c>
      <c r="D23" s="10">
        <f t="shared" si="2"/>
        <v>66.619000000002231</v>
      </c>
      <c r="E23" s="7">
        <f>'[10]Aug Prod'!E22</f>
        <v>10000000</v>
      </c>
      <c r="F23" s="8">
        <f t="shared" si="3"/>
        <v>10</v>
      </c>
      <c r="G23" s="10">
        <f t="shared" si="4"/>
        <v>30.7</v>
      </c>
      <c r="H23" s="7">
        <f>'[10]Aug Prod'!F22</f>
        <v>11510000</v>
      </c>
      <c r="I23" s="8">
        <f t="shared" si="5"/>
        <v>11.51</v>
      </c>
      <c r="J23" s="10">
        <f t="shared" si="6"/>
        <v>35.335699999999996</v>
      </c>
      <c r="K23" s="7">
        <f>'[10]Aug Prod'!H277</f>
        <v>1689375</v>
      </c>
      <c r="L23" s="8">
        <f t="shared" si="7"/>
        <v>1.6893750000000001</v>
      </c>
      <c r="M23" s="10">
        <f t="shared" si="8"/>
        <v>5.1863812500000002</v>
      </c>
      <c r="N23" s="21"/>
      <c r="O23" s="7">
        <f>'[10]Aug Prod'!H22</f>
        <v>11419000</v>
      </c>
      <c r="P23" s="8">
        <f t="shared" si="9"/>
        <v>11.419</v>
      </c>
      <c r="Q23" s="10">
        <f t="shared" si="10"/>
        <v>35.056330000000003</v>
      </c>
      <c r="R23" s="7">
        <f>'[10]Aug Prod'!C22</f>
        <v>11759000</v>
      </c>
      <c r="S23" s="8">
        <f t="shared" si="11"/>
        <v>11.759</v>
      </c>
      <c r="T23" s="10">
        <f t="shared" si="12"/>
        <v>36.10013</v>
      </c>
      <c r="U23" s="7">
        <f>'[10]Aug Prod'!D22</f>
        <v>0</v>
      </c>
      <c r="V23" s="8">
        <f t="shared" si="13"/>
        <v>0</v>
      </c>
      <c r="W23" s="10">
        <f t="shared" si="14"/>
        <v>0</v>
      </c>
      <c r="X23" s="7">
        <f>'[10]Aug Prod'!D277</f>
        <v>339999.99999999988</v>
      </c>
      <c r="Y23" s="8">
        <f t="shared" si="15"/>
        <v>0.33999999999999986</v>
      </c>
      <c r="Z23" s="10">
        <f t="shared" si="16"/>
        <v>1.0437999999999996</v>
      </c>
      <c r="AA23" s="15"/>
      <c r="AB23" s="7">
        <f t="shared" si="17"/>
        <v>33119000.000000726</v>
      </c>
      <c r="AC23" s="8">
        <f t="shared" si="17"/>
        <v>33.119000000000725</v>
      </c>
      <c r="AD23" s="8">
        <f t="shared" si="17"/>
        <v>101.67533000000223</v>
      </c>
      <c r="AF23" s="8">
        <f t="shared" si="18"/>
        <v>-2.2204460492503131E-15</v>
      </c>
    </row>
    <row r="24" spans="1:32" x14ac:dyDescent="0.2">
      <c r="A24" s="27">
        <v>38584</v>
      </c>
      <c r="B24" s="7">
        <f>'[10]Aug Prod'!I23</f>
        <v>21799999.999999274</v>
      </c>
      <c r="C24" s="8">
        <f t="shared" si="1"/>
        <v>21.799999999999272</v>
      </c>
      <c r="D24" s="10">
        <f t="shared" si="2"/>
        <v>66.925999999997757</v>
      </c>
      <c r="E24" s="7">
        <f>'[10]Aug Prod'!E23</f>
        <v>9000000</v>
      </c>
      <c r="F24" s="8">
        <f t="shared" si="3"/>
        <v>9</v>
      </c>
      <c r="G24" s="10">
        <f t="shared" si="4"/>
        <v>27.63</v>
      </c>
      <c r="H24" s="7">
        <f>'[10]Aug Prod'!F23</f>
        <v>12160000</v>
      </c>
      <c r="I24" s="8">
        <f t="shared" si="5"/>
        <v>12.16</v>
      </c>
      <c r="J24" s="10">
        <f t="shared" si="6"/>
        <v>37.331199999999995</v>
      </c>
      <c r="K24" s="7">
        <f>'[10]Aug Prod'!H278</f>
        <v>1765295</v>
      </c>
      <c r="L24" s="8">
        <f t="shared" si="7"/>
        <v>1.7652950000000001</v>
      </c>
      <c r="M24" s="10">
        <f t="shared" si="8"/>
        <v>5.4194556499999997</v>
      </c>
      <c r="N24" s="21"/>
      <c r="O24" s="7">
        <f>'[10]Aug Prod'!H23</f>
        <v>11539000</v>
      </c>
      <c r="P24" s="8">
        <f t="shared" si="9"/>
        <v>11.539</v>
      </c>
      <c r="Q24" s="10">
        <f t="shared" si="10"/>
        <v>35.424729999999997</v>
      </c>
      <c r="R24" s="7">
        <f>'[10]Aug Prod'!C23</f>
        <v>11889000</v>
      </c>
      <c r="S24" s="8">
        <f t="shared" si="11"/>
        <v>11.888999999999999</v>
      </c>
      <c r="T24" s="10">
        <f t="shared" si="12"/>
        <v>36.499229999999997</v>
      </c>
      <c r="U24" s="7">
        <f>'[10]Aug Prod'!D23</f>
        <v>0</v>
      </c>
      <c r="V24" s="8">
        <f t="shared" si="13"/>
        <v>0</v>
      </c>
      <c r="W24" s="10">
        <f t="shared" si="14"/>
        <v>0</v>
      </c>
      <c r="X24" s="7">
        <f>'[10]Aug Prod'!D278</f>
        <v>349999.99999999965</v>
      </c>
      <c r="Y24" s="8">
        <f t="shared" si="15"/>
        <v>0.34999999999999964</v>
      </c>
      <c r="Z24" s="10">
        <f t="shared" si="16"/>
        <v>1.0744999999999989</v>
      </c>
      <c r="AA24" s="15"/>
      <c r="AB24" s="7">
        <f t="shared" si="17"/>
        <v>33338999.999999274</v>
      </c>
      <c r="AC24" s="8">
        <f t="shared" si="17"/>
        <v>33.338999999999274</v>
      </c>
      <c r="AD24" s="8">
        <f>D24+Q24</f>
        <v>102.35072999999775</v>
      </c>
      <c r="AF24" s="8">
        <f t="shared" si="18"/>
        <v>0</v>
      </c>
    </row>
    <row r="25" spans="1:32" x14ac:dyDescent="0.2">
      <c r="A25" s="27">
        <v>38585</v>
      </c>
      <c r="B25" s="7">
        <f>'[10]Aug Prod'!I24</f>
        <v>18600000.000002183</v>
      </c>
      <c r="C25" s="8">
        <f t="shared" si="1"/>
        <v>18.600000000002183</v>
      </c>
      <c r="D25" s="10">
        <f t="shared" si="2"/>
        <v>57.102000000006697</v>
      </c>
      <c r="E25" s="7">
        <f>'[10]Aug Prod'!E24</f>
        <v>8000000</v>
      </c>
      <c r="F25" s="8">
        <f t="shared" si="3"/>
        <v>8</v>
      </c>
      <c r="G25" s="10">
        <f t="shared" si="4"/>
        <v>24.56</v>
      </c>
      <c r="H25" s="7">
        <f>'[10]Aug Prod'!F24</f>
        <v>10330000</v>
      </c>
      <c r="I25" s="8">
        <f t="shared" si="5"/>
        <v>10.33</v>
      </c>
      <c r="J25" s="10">
        <f t="shared" si="6"/>
        <v>31.713099999999997</v>
      </c>
      <c r="K25" s="7">
        <f>'[10]Aug Prod'!H279</f>
        <v>1374824</v>
      </c>
      <c r="L25" s="8">
        <f t="shared" si="7"/>
        <v>1.374824</v>
      </c>
      <c r="M25" s="10">
        <f t="shared" si="8"/>
        <v>4.2207096799999997</v>
      </c>
      <c r="N25" s="21"/>
      <c r="O25" s="7">
        <f>'[10]Aug Prod'!H24</f>
        <v>8741000</v>
      </c>
      <c r="P25" s="8">
        <f t="shared" si="9"/>
        <v>8.7409999999999997</v>
      </c>
      <c r="Q25" s="10">
        <f t="shared" si="10"/>
        <v>26.834869999999999</v>
      </c>
      <c r="R25" s="7">
        <f>'[10]Aug Prod'!C24</f>
        <v>9118000</v>
      </c>
      <c r="S25" s="8">
        <f t="shared" si="11"/>
        <v>9.1180000000000003</v>
      </c>
      <c r="T25" s="10">
        <f t="shared" si="12"/>
        <v>27.992259999999998</v>
      </c>
      <c r="U25" s="7">
        <f>'[10]Aug Prod'!D24</f>
        <v>0</v>
      </c>
      <c r="V25" s="8">
        <f t="shared" si="13"/>
        <v>0</v>
      </c>
      <c r="W25" s="10">
        <f t="shared" si="14"/>
        <v>0</v>
      </c>
      <c r="X25" s="7">
        <f>'[10]Aug Prod'!D279</f>
        <v>377000.00000000064</v>
      </c>
      <c r="Y25" s="8">
        <f t="shared" si="15"/>
        <v>0.37700000000000067</v>
      </c>
      <c r="Z25" s="10">
        <f t="shared" si="16"/>
        <v>1.1573900000000019</v>
      </c>
      <c r="AA25" s="15"/>
      <c r="AB25" s="7">
        <f t="shared" si="17"/>
        <v>27341000.000002183</v>
      </c>
      <c r="AC25" s="8">
        <f t="shared" si="17"/>
        <v>27.341000000002182</v>
      </c>
      <c r="AD25" s="8">
        <f t="shared" si="17"/>
        <v>83.936870000006692</v>
      </c>
      <c r="AF25" s="8">
        <f t="shared" si="18"/>
        <v>-2.4424906541753444E-15</v>
      </c>
    </row>
    <row r="26" spans="1:32" x14ac:dyDescent="0.2">
      <c r="A26" s="27">
        <v>38586</v>
      </c>
      <c r="B26" s="7">
        <f>'[10]Aug Prod'!I25</f>
        <v>17200000.000000726</v>
      </c>
      <c r="C26" s="8">
        <f t="shared" si="1"/>
        <v>17.200000000000728</v>
      </c>
      <c r="D26" s="10">
        <f t="shared" si="2"/>
        <v>52.804000000002233</v>
      </c>
      <c r="E26" s="7">
        <f>'[10]Aug Prod'!E25</f>
        <v>9000000</v>
      </c>
      <c r="F26" s="8">
        <f t="shared" si="3"/>
        <v>9</v>
      </c>
      <c r="G26" s="10">
        <f t="shared" si="4"/>
        <v>27.63</v>
      </c>
      <c r="H26" s="7">
        <f>'[10]Aug Prod'!F25</f>
        <v>8380000.0000000009</v>
      </c>
      <c r="I26" s="8">
        <f t="shared" si="5"/>
        <v>8.3800000000000008</v>
      </c>
      <c r="J26" s="10">
        <f t="shared" si="6"/>
        <v>25.726600000000001</v>
      </c>
      <c r="K26" s="7">
        <f>'[10]Aug Prod'!H280</f>
        <v>1373156</v>
      </c>
      <c r="L26" s="8">
        <f t="shared" si="7"/>
        <v>1.373156</v>
      </c>
      <c r="M26" s="10">
        <f t="shared" si="8"/>
        <v>4.2155889200000001</v>
      </c>
      <c r="N26" s="21"/>
      <c r="O26" s="7">
        <f>'[10]Aug Prod'!H25</f>
        <v>9791000</v>
      </c>
      <c r="P26" s="8">
        <f t="shared" si="9"/>
        <v>9.7910000000000004</v>
      </c>
      <c r="Q26" s="10">
        <f t="shared" si="10"/>
        <v>30.05837</v>
      </c>
      <c r="R26" s="7">
        <f>'[10]Aug Prod'!C25</f>
        <v>10109000</v>
      </c>
      <c r="S26" s="8">
        <f t="shared" si="11"/>
        <v>10.109</v>
      </c>
      <c r="T26" s="10">
        <f t="shared" si="12"/>
        <v>31.03463</v>
      </c>
      <c r="U26" s="7">
        <f>'[10]Aug Prod'!D25</f>
        <v>0</v>
      </c>
      <c r="V26" s="8">
        <f t="shared" si="13"/>
        <v>0</v>
      </c>
      <c r="W26" s="10">
        <f t="shared" si="14"/>
        <v>0</v>
      </c>
      <c r="X26" s="7">
        <f>'[10]Aug Prod'!D280</f>
        <v>317999.99999999959</v>
      </c>
      <c r="Y26" s="8">
        <f t="shared" si="15"/>
        <v>0.31799999999999962</v>
      </c>
      <c r="Z26" s="10">
        <f t="shared" si="16"/>
        <v>0.9762599999999988</v>
      </c>
      <c r="AA26" s="15"/>
      <c r="AB26" s="7">
        <f t="shared" si="17"/>
        <v>26991000.000000726</v>
      </c>
      <c r="AC26" s="8">
        <f t="shared" si="17"/>
        <v>26.991000000000728</v>
      </c>
      <c r="AD26" s="8">
        <f t="shared" si="17"/>
        <v>82.86237000000223</v>
      </c>
      <c r="AF26" s="8">
        <f t="shared" si="18"/>
        <v>1.1102230246251565E-15</v>
      </c>
    </row>
    <row r="27" spans="1:32" x14ac:dyDescent="0.2">
      <c r="A27" s="27">
        <v>38587</v>
      </c>
      <c r="B27" s="7">
        <f>'[10]Aug Prod'!I26</f>
        <v>17399999.999997817</v>
      </c>
      <c r="C27" s="8">
        <f t="shared" si="1"/>
        <v>17.399999999997817</v>
      </c>
      <c r="D27" s="10">
        <f t="shared" si="2"/>
        <v>53.417999999993299</v>
      </c>
      <c r="E27" s="7">
        <f>'[10]Aug Prod'!E26</f>
        <v>11000000</v>
      </c>
      <c r="F27" s="8">
        <f t="shared" si="3"/>
        <v>11</v>
      </c>
      <c r="G27" s="10">
        <f t="shared" si="4"/>
        <v>33.769999999999996</v>
      </c>
      <c r="H27" s="7">
        <f>'[10]Aug Prod'!F26</f>
        <v>6040000</v>
      </c>
      <c r="I27" s="8">
        <f t="shared" si="5"/>
        <v>6.04</v>
      </c>
      <c r="J27" s="10">
        <f t="shared" si="6"/>
        <v>18.5428</v>
      </c>
      <c r="K27" s="7">
        <f>'[10]Aug Prod'!H281</f>
        <v>1412003</v>
      </c>
      <c r="L27" s="8">
        <f t="shared" si="7"/>
        <v>1.4120029999999999</v>
      </c>
      <c r="M27" s="10">
        <f t="shared" si="8"/>
        <v>4.3348492099999998</v>
      </c>
      <c r="N27" s="21"/>
      <c r="O27" s="7">
        <f>'[10]Aug Prod'!H26</f>
        <v>11024000</v>
      </c>
      <c r="P27" s="8">
        <f t="shared" si="9"/>
        <v>11.023999999999999</v>
      </c>
      <c r="Q27" s="10">
        <f t="shared" si="10"/>
        <v>33.843679999999999</v>
      </c>
      <c r="R27" s="7">
        <f>'[10]Aug Prod'!C26</f>
        <v>11379000</v>
      </c>
      <c r="S27" s="8">
        <f t="shared" si="11"/>
        <v>11.379</v>
      </c>
      <c r="T27" s="10">
        <f t="shared" si="12"/>
        <v>34.933529999999998</v>
      </c>
      <c r="U27" s="7">
        <f>'[10]Aug Prod'!D26</f>
        <v>0</v>
      </c>
      <c r="V27" s="8">
        <f t="shared" si="13"/>
        <v>0</v>
      </c>
      <c r="W27" s="10">
        <f t="shared" si="14"/>
        <v>0</v>
      </c>
      <c r="X27" s="7">
        <f>'[10]Aug Prod'!D281</f>
        <v>355000.00000000041</v>
      </c>
      <c r="Y27" s="8">
        <f t="shared" si="15"/>
        <v>0.35500000000000043</v>
      </c>
      <c r="Z27" s="10">
        <f t="shared" si="16"/>
        <v>1.0898500000000013</v>
      </c>
      <c r="AA27" s="15"/>
      <c r="AB27" s="7">
        <f t="shared" si="17"/>
        <v>28423999.999997817</v>
      </c>
      <c r="AC27" s="8">
        <f t="shared" si="17"/>
        <v>28.423999999997818</v>
      </c>
      <c r="AD27" s="8">
        <f t="shared" si="17"/>
        <v>87.261679999993305</v>
      </c>
      <c r="AF27" s="8">
        <f>T27-Q27-Z27</f>
        <v>-2.886579864025407E-15</v>
      </c>
    </row>
    <row r="28" spans="1:32" x14ac:dyDescent="0.2">
      <c r="A28" s="27">
        <v>38588</v>
      </c>
      <c r="B28" s="7">
        <f>'[10]Aug Prod'!I27</f>
        <v>16400000.000001455</v>
      </c>
      <c r="C28" s="8">
        <f t="shared" si="1"/>
        <v>16.400000000001455</v>
      </c>
      <c r="D28" s="10">
        <f t="shared" si="2"/>
        <v>50.348000000004468</v>
      </c>
      <c r="E28" s="7">
        <f>'[10]Aug Prod'!E27</f>
        <v>11000000</v>
      </c>
      <c r="F28" s="8">
        <f t="shared" si="3"/>
        <v>11</v>
      </c>
      <c r="G28" s="10">
        <f t="shared" si="4"/>
        <v>33.769999999999996</v>
      </c>
      <c r="H28" s="7">
        <f>'[10]Aug Prod'!F27</f>
        <v>5940000</v>
      </c>
      <c r="I28" s="8">
        <f t="shared" si="5"/>
        <v>5.94</v>
      </c>
      <c r="J28" s="10">
        <f t="shared" si="6"/>
        <v>18.235800000000001</v>
      </c>
      <c r="K28" s="7">
        <f>'[10]Aug Prod'!H282</f>
        <v>1368213</v>
      </c>
      <c r="L28" s="8">
        <f t="shared" si="7"/>
        <v>1.3682129999999999</v>
      </c>
      <c r="M28" s="10">
        <f t="shared" si="8"/>
        <v>4.2004139099999991</v>
      </c>
      <c r="N28" s="21"/>
      <c r="O28" s="7">
        <f>'[10]Aug Prod'!H27</f>
        <v>11077000</v>
      </c>
      <c r="P28" s="8">
        <f t="shared" si="9"/>
        <v>11.077</v>
      </c>
      <c r="Q28" s="10">
        <f t="shared" si="10"/>
        <v>34.006389999999996</v>
      </c>
      <c r="R28" s="7">
        <f>'[10]Aug Prod'!C27</f>
        <v>11516000</v>
      </c>
      <c r="S28" s="8">
        <f t="shared" si="11"/>
        <v>11.516</v>
      </c>
      <c r="T28" s="10">
        <f t="shared" si="12"/>
        <v>35.354119999999995</v>
      </c>
      <c r="U28" s="7">
        <f>'[10]Aug Prod'!D27</f>
        <v>0</v>
      </c>
      <c r="V28" s="8">
        <f t="shared" si="13"/>
        <v>0</v>
      </c>
      <c r="W28" s="10">
        <f t="shared" si="14"/>
        <v>0</v>
      </c>
      <c r="X28" s="7">
        <f>'[10]Aug Prod'!D282</f>
        <v>439000.00000000006</v>
      </c>
      <c r="Y28" s="8">
        <f t="shared" si="15"/>
        <v>0.43900000000000006</v>
      </c>
      <c r="Z28" s="10">
        <f t="shared" si="16"/>
        <v>1.3477300000000001</v>
      </c>
      <c r="AA28" s="15"/>
      <c r="AB28" s="7">
        <f t="shared" si="17"/>
        <v>27477000.000001453</v>
      </c>
      <c r="AC28" s="8">
        <f t="shared" si="17"/>
        <v>27.477000000001453</v>
      </c>
      <c r="AD28" s="8">
        <f t="shared" si="17"/>
        <v>84.354390000004457</v>
      </c>
      <c r="AF28" s="8">
        <f t="shared" si="18"/>
        <v>0</v>
      </c>
    </row>
    <row r="29" spans="1:32" x14ac:dyDescent="0.2">
      <c r="A29" s="27">
        <v>38589</v>
      </c>
      <c r="B29" s="7">
        <f>'[10]Aug Prod'!I28</f>
        <v>19799999.999999274</v>
      </c>
      <c r="C29" s="8">
        <f t="shared" si="1"/>
        <v>19.799999999999272</v>
      </c>
      <c r="D29" s="10">
        <f t="shared" si="2"/>
        <v>60.785999999997763</v>
      </c>
      <c r="E29" s="7">
        <f>'[10]Aug Prod'!E28</f>
        <v>11000000</v>
      </c>
      <c r="F29" s="8">
        <f t="shared" si="3"/>
        <v>11</v>
      </c>
      <c r="G29" s="10">
        <f t="shared" si="4"/>
        <v>33.769999999999996</v>
      </c>
      <c r="H29" s="7">
        <f>'[10]Aug Prod'!F28</f>
        <v>8510000</v>
      </c>
      <c r="I29" s="8">
        <f t="shared" si="5"/>
        <v>8.51</v>
      </c>
      <c r="J29" s="10">
        <f t="shared" si="6"/>
        <v>26.125699999999998</v>
      </c>
      <c r="K29" s="7">
        <f>'[10]Aug Prod'!H283</f>
        <v>1637093</v>
      </c>
      <c r="L29" s="8">
        <f t="shared" si="7"/>
        <v>1.6370929999999999</v>
      </c>
      <c r="M29" s="10">
        <f t="shared" si="8"/>
        <v>5.0258755099999997</v>
      </c>
      <c r="N29" s="21"/>
      <c r="O29" s="7">
        <f>'[10]Aug Prod'!H28</f>
        <v>11711000</v>
      </c>
      <c r="P29" s="8">
        <f t="shared" si="9"/>
        <v>11.711</v>
      </c>
      <c r="Q29" s="10">
        <f t="shared" si="10"/>
        <v>35.952770000000001</v>
      </c>
      <c r="R29" s="7">
        <f>'[10]Aug Prod'!C28</f>
        <v>12009000</v>
      </c>
      <c r="S29" s="8">
        <f t="shared" si="11"/>
        <v>12.009</v>
      </c>
      <c r="T29" s="10">
        <f t="shared" si="12"/>
        <v>36.867629999999998</v>
      </c>
      <c r="U29" s="7">
        <f>'[10]Aug Prod'!D28</f>
        <v>0</v>
      </c>
      <c r="V29" s="8">
        <f t="shared" si="13"/>
        <v>0</v>
      </c>
      <c r="W29" s="10">
        <f t="shared" si="14"/>
        <v>0</v>
      </c>
      <c r="X29" s="7">
        <f>'[10]Aug Prod'!D283</f>
        <v>298000.00000000006</v>
      </c>
      <c r="Y29" s="8">
        <f t="shared" si="15"/>
        <v>0.29800000000000004</v>
      </c>
      <c r="Z29" s="10">
        <f t="shared" si="16"/>
        <v>0.91486000000000012</v>
      </c>
      <c r="AA29" s="15"/>
      <c r="AB29" s="7">
        <f t="shared" si="17"/>
        <v>31510999.999999274</v>
      </c>
      <c r="AC29" s="8">
        <f t="shared" si="17"/>
        <v>31.510999999999271</v>
      </c>
      <c r="AD29" s="8">
        <f t="shared" si="17"/>
        <v>96.738769999997771</v>
      </c>
      <c r="AF29" s="8">
        <f t="shared" si="18"/>
        <v>-2.7755575615628914E-15</v>
      </c>
    </row>
    <row r="30" spans="1:32" x14ac:dyDescent="0.2">
      <c r="A30" s="27">
        <v>38590</v>
      </c>
      <c r="B30" s="7">
        <f>'[10]Aug Prod'!I29</f>
        <v>15400000.000001455</v>
      </c>
      <c r="C30" s="8">
        <f t="shared" si="1"/>
        <v>15.400000000001455</v>
      </c>
      <c r="D30" s="10">
        <f t="shared" si="2"/>
        <v>47.278000000004468</v>
      </c>
      <c r="E30" s="7">
        <f>'[10]Aug Prod'!E29</f>
        <v>8000000</v>
      </c>
      <c r="F30" s="8">
        <f t="shared" si="3"/>
        <v>8</v>
      </c>
      <c r="G30" s="10">
        <f t="shared" si="4"/>
        <v>24.56</v>
      </c>
      <c r="H30" s="7">
        <f>'[10]Aug Prod'!F29</f>
        <v>7820000</v>
      </c>
      <c r="I30" s="8">
        <f t="shared" si="5"/>
        <v>7.82</v>
      </c>
      <c r="J30" s="10">
        <f t="shared" si="6"/>
        <v>24.007400000000001</v>
      </c>
      <c r="K30" s="7">
        <f>'[10]Aug Prod'!H284</f>
        <v>1323788</v>
      </c>
      <c r="L30" s="8">
        <f t="shared" si="7"/>
        <v>1.323788</v>
      </c>
      <c r="M30" s="10">
        <f t="shared" si="8"/>
        <v>4.0640291599999996</v>
      </c>
      <c r="N30" s="21"/>
      <c r="O30" s="7">
        <f>'[10]Aug Prod'!H29</f>
        <v>7311000</v>
      </c>
      <c r="P30" s="8">
        <f t="shared" si="9"/>
        <v>7.3109999999999999</v>
      </c>
      <c r="Q30" s="10">
        <f t="shared" si="10"/>
        <v>22.444769999999998</v>
      </c>
      <c r="R30" s="7">
        <f>'[10]Aug Prod'!C29</f>
        <v>7718000</v>
      </c>
      <c r="S30" s="8">
        <f t="shared" si="11"/>
        <v>7.718</v>
      </c>
      <c r="T30" s="10">
        <f t="shared" si="12"/>
        <v>23.69426</v>
      </c>
      <c r="U30" s="7">
        <f>'[10]Aug Prod'!D29</f>
        <v>0</v>
      </c>
      <c r="V30" s="8">
        <f t="shared" si="13"/>
        <v>0</v>
      </c>
      <c r="W30" s="10">
        <f t="shared" si="14"/>
        <v>0</v>
      </c>
      <c r="X30" s="7">
        <f>'[10]Aug Prod'!D284</f>
        <v>407000</v>
      </c>
      <c r="Y30" s="8">
        <f t="shared" si="15"/>
        <v>0.40699999999999997</v>
      </c>
      <c r="Z30" s="10">
        <f t="shared" si="16"/>
        <v>1.2494899999999998</v>
      </c>
      <c r="AA30" s="15"/>
      <c r="AB30" s="7">
        <f t="shared" si="17"/>
        <v>22711000.000001453</v>
      </c>
      <c r="AC30" s="8">
        <f t="shared" si="17"/>
        <v>22.711000000001455</v>
      </c>
      <c r="AD30" s="8">
        <f>D30+Q30</f>
        <v>69.722770000004459</v>
      </c>
      <c r="AF30" s="8">
        <f t="shared" si="18"/>
        <v>1.7763568394002505E-15</v>
      </c>
    </row>
    <row r="31" spans="1:32" x14ac:dyDescent="0.2">
      <c r="A31" s="27">
        <v>38591</v>
      </c>
      <c r="B31" s="7">
        <f>'[10]Aug Prod'!I30</f>
        <v>10899999.999997817</v>
      </c>
      <c r="C31" s="8">
        <f t="shared" si="1"/>
        <v>10.899999999997817</v>
      </c>
      <c r="D31" s="10">
        <f t="shared" si="2"/>
        <v>33.462999999993301</v>
      </c>
      <c r="E31" s="7">
        <f>'[10]Aug Prod'!E30</f>
        <v>5000000</v>
      </c>
      <c r="F31" s="8">
        <f t="shared" si="3"/>
        <v>5</v>
      </c>
      <c r="G31" s="10">
        <f t="shared" si="4"/>
        <v>15.35</v>
      </c>
      <c r="H31" s="7">
        <f>'[10]Aug Prod'!F30</f>
        <v>6210000</v>
      </c>
      <c r="I31" s="8">
        <f t="shared" si="5"/>
        <v>6.21</v>
      </c>
      <c r="J31" s="10">
        <f t="shared" si="6"/>
        <v>19.064699999999998</v>
      </c>
      <c r="K31" s="7">
        <f>'[10]Aug Prod'!H285</f>
        <v>1124208</v>
      </c>
      <c r="L31" s="8">
        <f t="shared" si="7"/>
        <v>1.1242080000000001</v>
      </c>
      <c r="M31" s="10">
        <f t="shared" si="8"/>
        <v>3.4513185600000003</v>
      </c>
      <c r="N31" s="21"/>
      <c r="O31" s="7">
        <f>'[10]Aug Prod'!H30</f>
        <v>9443000</v>
      </c>
      <c r="P31" s="8">
        <f t="shared" si="9"/>
        <v>9.4429999999999996</v>
      </c>
      <c r="Q31" s="10">
        <f t="shared" si="10"/>
        <v>28.990009999999998</v>
      </c>
      <c r="R31" s="7">
        <f>'[10]Aug Prod'!C30</f>
        <v>9859000</v>
      </c>
      <c r="S31" s="8">
        <f t="shared" si="11"/>
        <v>9.859</v>
      </c>
      <c r="T31" s="10">
        <f t="shared" si="12"/>
        <v>30.267129999999998</v>
      </c>
      <c r="U31" s="7">
        <f>'[10]Aug Prod'!D30</f>
        <v>0</v>
      </c>
      <c r="V31" s="8">
        <f t="shared" si="13"/>
        <v>0</v>
      </c>
      <c r="W31" s="10">
        <f t="shared" si="14"/>
        <v>0</v>
      </c>
      <c r="X31" s="7">
        <f>'[10]Aug Prod'!D285</f>
        <v>416000.00000000035</v>
      </c>
      <c r="Y31" s="8">
        <f t="shared" si="15"/>
        <v>0.41600000000000037</v>
      </c>
      <c r="Z31" s="10">
        <f t="shared" si="16"/>
        <v>1.2771200000000011</v>
      </c>
      <c r="AA31" s="15"/>
      <c r="AB31" s="7">
        <f t="shared" si="17"/>
        <v>20342999.999997817</v>
      </c>
      <c r="AC31" s="8">
        <f t="shared" si="17"/>
        <v>20.342999999997815</v>
      </c>
      <c r="AD31" s="8">
        <f t="shared" si="17"/>
        <v>62.453009999993299</v>
      </c>
      <c r="AF31" s="8">
        <f t="shared" si="18"/>
        <v>0</v>
      </c>
    </row>
    <row r="32" spans="1:32" x14ac:dyDescent="0.2">
      <c r="A32" s="27">
        <v>38592</v>
      </c>
      <c r="B32" s="7">
        <f>'[10]Aug Prod'!I31</f>
        <v>11900000.000001455</v>
      </c>
      <c r="C32" s="8">
        <f t="shared" si="1"/>
        <v>11.900000000001455</v>
      </c>
      <c r="D32" s="10">
        <f t="shared" si="2"/>
        <v>36.533000000004463</v>
      </c>
      <c r="E32" s="7">
        <f>'[10]Aug Prod'!E31</f>
        <v>5000000</v>
      </c>
      <c r="F32" s="8">
        <f t="shared" si="3"/>
        <v>5</v>
      </c>
      <c r="G32" s="10">
        <f t="shared" si="4"/>
        <v>15.35</v>
      </c>
      <c r="H32" s="7">
        <f>'[10]Aug Prod'!F31</f>
        <v>6930000</v>
      </c>
      <c r="I32" s="8">
        <f t="shared" si="5"/>
        <v>6.93</v>
      </c>
      <c r="J32" s="10">
        <f t="shared" si="6"/>
        <v>21.275099999999998</v>
      </c>
      <c r="K32" s="7">
        <f>'[10]Aug Prod'!H286</f>
        <v>1038861</v>
      </c>
      <c r="L32" s="8">
        <f t="shared" si="7"/>
        <v>1.038861</v>
      </c>
      <c r="M32" s="10">
        <f t="shared" si="8"/>
        <v>3.1893032699999999</v>
      </c>
      <c r="N32" s="21"/>
      <c r="O32" s="7">
        <f>'[10]Aug Prod'!H31</f>
        <v>9481000.0000000019</v>
      </c>
      <c r="P32" s="8">
        <f t="shared" si="9"/>
        <v>9.4810000000000016</v>
      </c>
      <c r="Q32" s="10">
        <f t="shared" si="10"/>
        <v>29.106670000000005</v>
      </c>
      <c r="R32" s="7">
        <f>'[10]Aug Prod'!C31</f>
        <v>9903000</v>
      </c>
      <c r="S32" s="8">
        <f t="shared" si="11"/>
        <v>9.9030000000000005</v>
      </c>
      <c r="T32" s="10">
        <f t="shared" si="12"/>
        <v>30.40221</v>
      </c>
      <c r="U32" s="7">
        <f>'[10]Aug Prod'!D31</f>
        <v>0</v>
      </c>
      <c r="V32" s="8">
        <f t="shared" si="13"/>
        <v>0</v>
      </c>
      <c r="W32" s="10">
        <f t="shared" si="14"/>
        <v>0</v>
      </c>
      <c r="X32" s="7">
        <f>'[10]Aug Prod'!D286</f>
        <v>421999.99999999884</v>
      </c>
      <c r="Y32" s="8">
        <f t="shared" si="15"/>
        <v>0.42199999999999882</v>
      </c>
      <c r="Z32" s="10">
        <f t="shared" si="16"/>
        <v>1.2955399999999964</v>
      </c>
      <c r="AA32" s="15"/>
      <c r="AB32" s="7">
        <f t="shared" si="17"/>
        <v>21381000.000001457</v>
      </c>
      <c r="AC32" s="8">
        <f t="shared" si="17"/>
        <v>21.381000000001457</v>
      </c>
      <c r="AD32" s="8">
        <f t="shared" si="17"/>
        <v>65.639670000004472</v>
      </c>
      <c r="AF32" s="8">
        <f t="shared" si="18"/>
        <v>0</v>
      </c>
    </row>
    <row r="33" spans="1:32" x14ac:dyDescent="0.2">
      <c r="A33" s="27">
        <v>38593</v>
      </c>
      <c r="B33" s="7">
        <f>'[10]Aug Prod'!I32</f>
        <v>14599999.999998545</v>
      </c>
      <c r="C33" s="8">
        <f t="shared" si="1"/>
        <v>14.599999999998545</v>
      </c>
      <c r="D33" s="10">
        <f t="shared" si="2"/>
        <v>44.821999999995533</v>
      </c>
      <c r="E33" s="7">
        <f>'[10]Aug Prod'!E32</f>
        <v>7000000</v>
      </c>
      <c r="F33" s="8">
        <f t="shared" si="3"/>
        <v>7</v>
      </c>
      <c r="G33" s="10">
        <f t="shared" si="4"/>
        <v>21.49</v>
      </c>
      <c r="H33" s="7">
        <f>'[10]Aug Prod'!F32</f>
        <v>7440000</v>
      </c>
      <c r="I33" s="8">
        <f t="shared" si="5"/>
        <v>7.44</v>
      </c>
      <c r="J33" s="10">
        <f t="shared" si="6"/>
        <v>22.840800000000002</v>
      </c>
      <c r="K33" s="7">
        <f>'[10]Aug Prod'!H287</f>
        <v>1316075</v>
      </c>
      <c r="L33" s="8">
        <f t="shared" ref="L33" si="19">K33/1000000</f>
        <v>1.3160750000000001</v>
      </c>
      <c r="M33" s="10">
        <f t="shared" ref="M33" si="20">L33*3.07</f>
        <v>4.0403502500000004</v>
      </c>
      <c r="N33" s="21"/>
      <c r="O33" s="7">
        <f>'[10]Aug Prod'!H32</f>
        <v>8795999.9999999981</v>
      </c>
      <c r="P33" s="8">
        <f t="shared" si="9"/>
        <v>8.7959999999999976</v>
      </c>
      <c r="Q33" s="10">
        <f t="shared" si="10"/>
        <v>27.003719999999991</v>
      </c>
      <c r="R33" s="7">
        <f>'[10]Aug Prod'!C32</f>
        <v>9231000</v>
      </c>
      <c r="S33" s="8">
        <f t="shared" si="11"/>
        <v>9.2309999999999999</v>
      </c>
      <c r="T33" s="10">
        <f t="shared" si="12"/>
        <v>28.339169999999999</v>
      </c>
      <c r="U33" s="7">
        <f>'[10]Aug Prod'!D32</f>
        <v>0</v>
      </c>
      <c r="V33" s="8">
        <f t="shared" si="13"/>
        <v>0</v>
      </c>
      <c r="W33" s="10">
        <f t="shared" si="14"/>
        <v>0</v>
      </c>
      <c r="X33" s="7">
        <f>'[10]Aug Prod'!D287</f>
        <v>435000.00000000227</v>
      </c>
      <c r="Y33" s="8">
        <f t="shared" si="15"/>
        <v>0.43500000000000227</v>
      </c>
      <c r="Z33" s="10">
        <f t="shared" si="16"/>
        <v>1.3354500000000069</v>
      </c>
      <c r="AA33" s="15"/>
      <c r="AB33" s="7">
        <f t="shared" si="17"/>
        <v>23395999.999998543</v>
      </c>
      <c r="AC33" s="8">
        <f t="shared" si="17"/>
        <v>23.395999999998544</v>
      </c>
      <c r="AD33" s="8">
        <f t="shared" si="17"/>
        <v>71.825719999995528</v>
      </c>
      <c r="AF33" s="8">
        <f t="shared" si="18"/>
        <v>1.7763568394002505E-15</v>
      </c>
    </row>
    <row r="34" spans="1:32" x14ac:dyDescent="0.2">
      <c r="A34" s="27">
        <v>38594</v>
      </c>
      <c r="B34" s="7">
        <f>'[10]Aug Prod'!I33</f>
        <v>16400000.000001455</v>
      </c>
      <c r="C34" s="8">
        <f t="shared" si="1"/>
        <v>16.400000000001455</v>
      </c>
      <c r="D34" s="10">
        <f t="shared" si="2"/>
        <v>50.348000000004468</v>
      </c>
      <c r="E34" s="7">
        <f>'[10]Aug Prod'!E33</f>
        <v>8000000</v>
      </c>
      <c r="F34" s="8">
        <f t="shared" si="3"/>
        <v>8</v>
      </c>
      <c r="G34" s="10">
        <f t="shared" si="4"/>
        <v>24.56</v>
      </c>
      <c r="H34" s="7">
        <f>'[10]Aug Prod'!F33</f>
        <v>7910000</v>
      </c>
      <c r="I34" s="8">
        <f t="shared" si="5"/>
        <v>7.91</v>
      </c>
      <c r="J34" s="10">
        <f t="shared" si="6"/>
        <v>24.2837</v>
      </c>
      <c r="K34" s="7">
        <f>'[10]Aug Prod'!H288</f>
        <v>1453819</v>
      </c>
      <c r="L34" s="8">
        <f t="shared" ref="L34:L35" si="21">K34/1000000</f>
        <v>1.453819</v>
      </c>
      <c r="M34" s="10">
        <f t="shared" ref="M34:M35" si="22">L34*3.07</f>
        <v>4.4632243300000001</v>
      </c>
      <c r="N34" s="21"/>
      <c r="O34" s="7">
        <f>'[10]Aug Prod'!H33</f>
        <v>7568000.0000000009</v>
      </c>
      <c r="P34" s="8">
        <f t="shared" si="9"/>
        <v>7.5680000000000005</v>
      </c>
      <c r="Q34" s="10">
        <f t="shared" si="10"/>
        <v>23.23376</v>
      </c>
      <c r="R34" s="7">
        <f>'[10]Aug Prod'!C33</f>
        <v>7864000</v>
      </c>
      <c r="S34" s="8">
        <f t="shared" si="11"/>
        <v>7.8639999999999999</v>
      </c>
      <c r="T34" s="10">
        <f t="shared" si="12"/>
        <v>24.142479999999999</v>
      </c>
      <c r="U34" s="7">
        <f>'[10]Aug Prod'!D33</f>
        <v>0</v>
      </c>
      <c r="V34" s="8">
        <f t="shared" si="13"/>
        <v>0</v>
      </c>
      <c r="W34" s="10">
        <f t="shared" si="14"/>
        <v>0</v>
      </c>
      <c r="X34" s="7">
        <f>'[10]Aug Prod'!D288</f>
        <v>295999.99999999936</v>
      </c>
      <c r="Y34" s="8">
        <f t="shared" si="15"/>
        <v>0.29599999999999937</v>
      </c>
      <c r="Z34" s="10">
        <f t="shared" si="16"/>
        <v>0.90871999999999808</v>
      </c>
      <c r="AA34" s="15"/>
      <c r="AB34" s="7">
        <f t="shared" si="17"/>
        <v>23968000.000001457</v>
      </c>
      <c r="AC34" s="8">
        <f t="shared" si="17"/>
        <v>23.968000000001457</v>
      </c>
      <c r="AD34" s="8">
        <f t="shared" si="17"/>
        <v>73.581760000004465</v>
      </c>
      <c r="AF34" s="8">
        <f t="shared" si="18"/>
        <v>0</v>
      </c>
    </row>
    <row r="35" spans="1:32" ht="13.5" thickBot="1" x14ac:dyDescent="0.25">
      <c r="A35" s="27">
        <v>38595</v>
      </c>
      <c r="B35" s="7">
        <f>'[10]Aug Prod'!I34</f>
        <v>14899999.999997817</v>
      </c>
      <c r="C35" s="8">
        <f t="shared" si="1"/>
        <v>14.899999999997817</v>
      </c>
      <c r="D35" s="10">
        <f t="shared" si="2"/>
        <v>45.742999999993295</v>
      </c>
      <c r="E35" s="7">
        <f>'[10]Aug Prod'!E34</f>
        <v>8000000</v>
      </c>
      <c r="F35" s="8">
        <f t="shared" si="3"/>
        <v>8</v>
      </c>
      <c r="G35" s="10">
        <f t="shared" si="4"/>
        <v>24.56</v>
      </c>
      <c r="H35" s="7">
        <f>'[10]Aug Prod'!F34</f>
        <v>7810000</v>
      </c>
      <c r="I35" s="8">
        <f t="shared" si="5"/>
        <v>7.81</v>
      </c>
      <c r="J35" s="10">
        <f t="shared" si="6"/>
        <v>23.976699999999997</v>
      </c>
      <c r="K35" s="7">
        <f>'[10]Aug Prod'!H289</f>
        <v>1286025</v>
      </c>
      <c r="L35" s="8">
        <f t="shared" si="21"/>
        <v>1.286025</v>
      </c>
      <c r="M35" s="10">
        <f t="shared" si="22"/>
        <v>3.9480967499999999</v>
      </c>
      <c r="N35" s="21"/>
      <c r="O35" s="7">
        <f>'[10]Aug Prod'!H34</f>
        <v>7928000.0000000028</v>
      </c>
      <c r="P35" s="8">
        <f t="shared" si="9"/>
        <v>7.9280000000000026</v>
      </c>
      <c r="Q35" s="10">
        <f t="shared" si="10"/>
        <v>24.338960000000007</v>
      </c>
      <c r="R35" s="7">
        <f>'[10]Aug Prod'!C34</f>
        <v>8301000</v>
      </c>
      <c r="S35" s="8">
        <f t="shared" si="11"/>
        <v>8.3010000000000002</v>
      </c>
      <c r="T35" s="10">
        <f t="shared" si="12"/>
        <v>25.484069999999999</v>
      </c>
      <c r="U35" s="7">
        <f>'[10]Aug Prod'!D34</f>
        <v>0</v>
      </c>
      <c r="V35" s="8">
        <f t="shared" si="13"/>
        <v>0</v>
      </c>
      <c r="W35" s="10">
        <f t="shared" si="14"/>
        <v>0</v>
      </c>
      <c r="X35" s="7">
        <f>'[10]Aug Prod'!D289</f>
        <v>372999.99999999756</v>
      </c>
      <c r="Y35" s="8">
        <f t="shared" si="15"/>
        <v>0.37299999999999756</v>
      </c>
      <c r="Z35" s="10">
        <f t="shared" si="16"/>
        <v>1.1451099999999925</v>
      </c>
      <c r="AA35" s="15"/>
      <c r="AB35" s="7">
        <f t="shared" si="17"/>
        <v>22827999.999997821</v>
      </c>
      <c r="AC35" s="8">
        <f t="shared" si="17"/>
        <v>22.827999999997822</v>
      </c>
      <c r="AD35" s="8">
        <f t="shared" si="17"/>
        <v>70.081959999993302</v>
      </c>
      <c r="AF35" s="8">
        <f t="shared" si="18"/>
        <v>0</v>
      </c>
    </row>
    <row r="36" spans="1:32" ht="13.5" thickBot="1" x14ac:dyDescent="0.25">
      <c r="A36" s="14"/>
      <c r="B36" s="38"/>
      <c r="C36" s="39">
        <f>SUM(C5:C35)</f>
        <v>545.29999999999927</v>
      </c>
      <c r="D36" s="39">
        <f t="shared" ref="D36" si="23">C36*3.07</f>
        <v>1674.0709999999976</v>
      </c>
      <c r="E36" s="38"/>
      <c r="F36" s="39">
        <f>SUM(F5:F35)</f>
        <v>263</v>
      </c>
      <c r="G36" s="39">
        <f t="shared" ref="G36" si="24">F36*3.07</f>
        <v>807.41</v>
      </c>
      <c r="H36" s="38"/>
      <c r="I36" s="39">
        <f>SUM(I5:I35)</f>
        <v>282.81000000000006</v>
      </c>
      <c r="J36" s="39">
        <f t="shared" ref="J36" si="25">I36*3.07</f>
        <v>868.22670000000016</v>
      </c>
      <c r="K36" s="38"/>
      <c r="L36" s="39">
        <f>SUM(L5:L35)</f>
        <v>42.943577100000006</v>
      </c>
      <c r="M36" s="39">
        <f t="shared" ref="M36" si="26">L36*3.07</f>
        <v>131.83678169700002</v>
      </c>
      <c r="N36" s="14"/>
      <c r="O36" s="38"/>
      <c r="P36" s="39">
        <f>SUM(P5:P35)</f>
        <v>316.6989999999999</v>
      </c>
      <c r="Q36" s="39">
        <f t="shared" ref="Q36" si="27">P36*3.07</f>
        <v>972.26592999999968</v>
      </c>
      <c r="R36" s="38"/>
      <c r="S36" s="39">
        <f>SUM(S5:S35)</f>
        <v>327.97900000000004</v>
      </c>
      <c r="T36" s="39">
        <f t="shared" ref="T36" si="28">S36*3.07</f>
        <v>1006.8955300000001</v>
      </c>
      <c r="U36" s="38"/>
      <c r="V36" s="39">
        <f>SUM(V5:V35)</f>
        <v>0</v>
      </c>
      <c r="W36" s="39">
        <f t="shared" ref="W36" si="29">V36*3.07</f>
        <v>0</v>
      </c>
      <c r="X36" s="38"/>
      <c r="Y36" s="39">
        <f>SUM(Y5:Y35)</f>
        <v>11.279999999999998</v>
      </c>
      <c r="Z36" s="39">
        <f t="shared" ref="Z36" si="30">Y36*3.07</f>
        <v>34.629599999999989</v>
      </c>
      <c r="AA36" s="14"/>
      <c r="AB36" s="38"/>
      <c r="AC36" s="39">
        <f>SUM(AC5:AC35)</f>
        <v>861.99899999999934</v>
      </c>
      <c r="AD36" s="39">
        <f>AC36*3.07</f>
        <v>2646.3369299999977</v>
      </c>
      <c r="AF36" s="39">
        <f>SUM(AF5:AF35)</f>
        <v>-2.55351295663786E-14</v>
      </c>
    </row>
    <row r="37" spans="1:32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38"/>
  <sheetViews>
    <sheetView tabSelected="1" workbookViewId="0">
      <pane xSplit="1" ySplit="4" topLeftCell="B17" activePane="bottomRight" state="frozen"/>
      <selection activeCell="T39" sqref="T39"/>
      <selection pane="topRight" activeCell="T39" sqref="T39"/>
      <selection pane="bottomLeft" activeCell="T39" sqref="T39"/>
      <selection pane="bottomRight" activeCell="T34" sqref="T34"/>
    </sheetView>
  </sheetViews>
  <sheetFormatPr defaultRowHeight="12.75" x14ac:dyDescent="0.2"/>
  <cols>
    <col min="2" max="2" width="12.5703125" customWidth="1"/>
    <col min="5" max="5" width="11.28515625" customWidth="1"/>
    <col min="8" max="8" width="11.28515625" customWidth="1"/>
    <col min="11" max="11" width="14.42578125" customWidth="1"/>
    <col min="12" max="12" width="10.42578125" customWidth="1"/>
    <col min="13" max="13" width="10.140625" customWidth="1"/>
    <col min="15" max="15" width="13.5703125" customWidth="1"/>
    <col min="18" max="18" width="11.140625" customWidth="1"/>
    <col min="22" max="22" width="11" customWidth="1"/>
    <col min="28" max="28" width="11.140625" customWidth="1"/>
  </cols>
  <sheetData>
    <row r="1" spans="1:32" x14ac:dyDescent="0.2">
      <c r="A1" s="45" t="s">
        <v>14</v>
      </c>
      <c r="B1" s="41"/>
      <c r="C1" s="42"/>
      <c r="D1" s="42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">
      <c r="A5" s="27">
        <v>38596</v>
      </c>
      <c r="B5" s="7">
        <f>'[11]Sep Prod'!I4</f>
        <v>13000000</v>
      </c>
      <c r="C5" s="8">
        <f>B5/1000000</f>
        <v>13</v>
      </c>
      <c r="D5" s="10">
        <f>C5*3.07</f>
        <v>39.909999999999997</v>
      </c>
      <c r="E5" s="7">
        <f>'[11]Sep Prod'!E4</f>
        <v>6000000</v>
      </c>
      <c r="F5" s="8">
        <f>E5/1000000</f>
        <v>6</v>
      </c>
      <c r="G5" s="10">
        <f>F5*3.07</f>
        <v>18.419999999999998</v>
      </c>
      <c r="H5" s="7">
        <f>'[11]Sep Prod'!F4</f>
        <v>6340000</v>
      </c>
      <c r="I5" s="8">
        <f t="shared" ref="I5" si="0">H5/1000000</f>
        <v>6.34</v>
      </c>
      <c r="J5" s="10">
        <f>I5*3.07</f>
        <v>19.463799999999999</v>
      </c>
      <c r="K5" s="7">
        <f>'[11]Sep Prod'!H252</f>
        <v>1231667</v>
      </c>
      <c r="L5" s="8">
        <f>K5/1000000</f>
        <v>1.2316670000000001</v>
      </c>
      <c r="M5" s="10">
        <f>L5*3.07</f>
        <v>3.7812176900000001</v>
      </c>
      <c r="N5" s="21"/>
      <c r="O5" s="7">
        <f>'[11]Sep Prod'!H4</f>
        <v>8600000</v>
      </c>
      <c r="P5" s="8">
        <f>O5/1000000</f>
        <v>8.6</v>
      </c>
      <c r="Q5" s="10">
        <f>P5*3.07</f>
        <v>26.401999999999997</v>
      </c>
      <c r="R5" s="7">
        <f>'[11]Sep Prod'!C4</f>
        <v>9103000</v>
      </c>
      <c r="S5" s="8">
        <f>R5/1000000</f>
        <v>9.1029999999999998</v>
      </c>
      <c r="T5" s="10">
        <f>S5*3.07</f>
        <v>27.946209999999997</v>
      </c>
      <c r="U5" s="7">
        <f>'[11]Sep Prod'!D4</f>
        <v>0</v>
      </c>
      <c r="V5" s="8">
        <f>U5/1000000</f>
        <v>0</v>
      </c>
      <c r="W5" s="10">
        <f>V5*3.07</f>
        <v>0</v>
      </c>
      <c r="X5" s="7">
        <f>'[11]Sep Prod'!D252</f>
        <v>503000.00000000012</v>
      </c>
      <c r="Y5" s="8">
        <f>X5/1000000</f>
        <v>0.50300000000000011</v>
      </c>
      <c r="Z5" s="10">
        <f>Y5*3.07</f>
        <v>1.5442100000000003</v>
      </c>
      <c r="AA5" s="15"/>
      <c r="AB5" s="7">
        <f>B5+O5</f>
        <v>21600000</v>
      </c>
      <c r="AC5" s="8">
        <f>C5+P5</f>
        <v>21.6</v>
      </c>
      <c r="AD5" s="8">
        <f>D5+Q5</f>
        <v>66.311999999999998</v>
      </c>
      <c r="AF5" s="8">
        <f>T5-Q5-Z5</f>
        <v>0</v>
      </c>
    </row>
    <row r="6" spans="1:32" x14ac:dyDescent="0.2">
      <c r="A6" s="27">
        <v>38597</v>
      </c>
      <c r="B6" s="7">
        <f>'[11]Sep Prod'!I5</f>
        <v>16500000</v>
      </c>
      <c r="C6" s="8">
        <f t="shared" ref="C6:C34" si="1">B6/1000000</f>
        <v>16.5</v>
      </c>
      <c r="D6" s="10">
        <f t="shared" ref="D6:D34" si="2">C6*3.07</f>
        <v>50.654999999999994</v>
      </c>
      <c r="E6" s="7">
        <f>'[11]Sep Prod'!E5</f>
        <v>9000000</v>
      </c>
      <c r="F6" s="8">
        <f t="shared" ref="F6:F34" si="3">E6/1000000</f>
        <v>9</v>
      </c>
      <c r="G6" s="10">
        <f t="shared" ref="G6:G34" si="4">F6*3.07</f>
        <v>27.63</v>
      </c>
      <c r="H6" s="7">
        <f>'[11]Sep Prod'!F5</f>
        <v>8240000</v>
      </c>
      <c r="I6" s="8">
        <f t="shared" ref="I6:I34" si="5">H6/1000000</f>
        <v>8.24</v>
      </c>
      <c r="J6" s="10">
        <f t="shared" ref="J6:J34" si="6">I6*3.07</f>
        <v>25.296800000000001</v>
      </c>
      <c r="K6" s="7">
        <f>'[11]Sep Prod'!H253</f>
        <v>1391655</v>
      </c>
      <c r="L6" s="8">
        <f t="shared" ref="L6:L34" si="7">K6/1000000</f>
        <v>1.3916550000000001</v>
      </c>
      <c r="M6" s="10">
        <f t="shared" ref="M6:M34" si="8">L6*3.07</f>
        <v>4.2723808500000002</v>
      </c>
      <c r="N6" s="21"/>
      <c r="O6" s="7">
        <f>'[11]Sep Prod'!H5</f>
        <v>11394000</v>
      </c>
      <c r="P6" s="8">
        <f t="shared" ref="P6:P34" si="9">O6/1000000</f>
        <v>11.394</v>
      </c>
      <c r="Q6" s="10">
        <f t="shared" ref="Q6:Q34" si="10">P6*3.07</f>
        <v>34.979579999999999</v>
      </c>
      <c r="R6" s="7">
        <f>'[11]Sep Prod'!C5</f>
        <v>11833000</v>
      </c>
      <c r="S6" s="8">
        <f t="shared" ref="S6:S34" si="11">R6/1000000</f>
        <v>11.833</v>
      </c>
      <c r="T6" s="10">
        <f t="shared" ref="T6:T34" si="12">S6*3.07</f>
        <v>36.327309999999997</v>
      </c>
      <c r="U6" s="7">
        <f>'[11]Sep Prod'!D5</f>
        <v>0</v>
      </c>
      <c r="V6" s="8">
        <f t="shared" ref="V6:V34" si="13">U6/1000000</f>
        <v>0</v>
      </c>
      <c r="W6" s="10">
        <f t="shared" ref="W6:W34" si="14">V6*3.07</f>
        <v>0</v>
      </c>
      <c r="X6" s="7">
        <f>'[11]Sep Prod'!D253</f>
        <v>439000.00000000006</v>
      </c>
      <c r="Y6" s="8">
        <f t="shared" ref="Y6:Y34" si="15">X6/1000000</f>
        <v>0.43900000000000006</v>
      </c>
      <c r="Z6" s="10">
        <f t="shared" ref="Z6:Z35" si="16">Y6*3.07</f>
        <v>1.3477300000000001</v>
      </c>
      <c r="AA6" s="15"/>
      <c r="AB6" s="7">
        <f t="shared" ref="AB6:AD35" si="17">B6+O6</f>
        <v>27894000</v>
      </c>
      <c r="AC6" s="8">
        <f t="shared" si="17"/>
        <v>27.893999999999998</v>
      </c>
      <c r="AD6" s="8">
        <f t="shared" si="17"/>
        <v>85.63458</v>
      </c>
      <c r="AF6" s="8">
        <f t="shared" ref="AF6:AF14" si="18">T6-Q6-Z6</f>
        <v>0</v>
      </c>
    </row>
    <row r="7" spans="1:32" x14ac:dyDescent="0.2">
      <c r="A7" s="27">
        <v>38598</v>
      </c>
      <c r="B7" s="7">
        <f>'[11]Sep Prod'!I6</f>
        <v>19500000</v>
      </c>
      <c r="C7" s="8">
        <f t="shared" si="1"/>
        <v>19.5</v>
      </c>
      <c r="D7" s="10">
        <f t="shared" si="2"/>
        <v>59.864999999999995</v>
      </c>
      <c r="E7" s="7">
        <f>'[11]Sep Prod'!E6</f>
        <v>10000000</v>
      </c>
      <c r="F7" s="8">
        <f t="shared" si="3"/>
        <v>10</v>
      </c>
      <c r="G7" s="10">
        <f t="shared" si="4"/>
        <v>30.7</v>
      </c>
      <c r="H7" s="7">
        <f>'[11]Sep Prod'!F6</f>
        <v>9440000</v>
      </c>
      <c r="I7" s="8">
        <f t="shared" si="5"/>
        <v>9.44</v>
      </c>
      <c r="J7" s="10">
        <f t="shared" si="6"/>
        <v>28.980799999999999</v>
      </c>
      <c r="K7" s="7">
        <f>'[11]Sep Prod'!H254</f>
        <v>1587940</v>
      </c>
      <c r="L7" s="8">
        <f t="shared" si="7"/>
        <v>1.5879399999999999</v>
      </c>
      <c r="M7" s="10">
        <f t="shared" si="8"/>
        <v>4.8749757999999996</v>
      </c>
      <c r="N7" s="21"/>
      <c r="O7" s="7">
        <f>'[11]Sep Prod'!H6</f>
        <v>11576000</v>
      </c>
      <c r="P7" s="8">
        <f t="shared" si="9"/>
        <v>11.576000000000001</v>
      </c>
      <c r="Q7" s="10">
        <f t="shared" si="10"/>
        <v>35.538319999999999</v>
      </c>
      <c r="R7" s="7">
        <f>'[11]Sep Prod'!C6</f>
        <v>11931000</v>
      </c>
      <c r="S7" s="8">
        <f t="shared" si="11"/>
        <v>11.930999999999999</v>
      </c>
      <c r="T7" s="10">
        <f t="shared" si="12"/>
        <v>36.628169999999997</v>
      </c>
      <c r="U7" s="7">
        <f>'[11]Sep Prod'!D6</f>
        <v>0</v>
      </c>
      <c r="V7" s="8">
        <f t="shared" si="13"/>
        <v>0</v>
      </c>
      <c r="W7" s="10">
        <f t="shared" si="14"/>
        <v>0</v>
      </c>
      <c r="X7" s="7">
        <f>'[11]Sep Prod'!D254</f>
        <v>355000.00000000041</v>
      </c>
      <c r="Y7" s="8">
        <f t="shared" si="15"/>
        <v>0.35500000000000043</v>
      </c>
      <c r="Z7" s="10">
        <f t="shared" si="16"/>
        <v>1.0898500000000013</v>
      </c>
      <c r="AA7" s="15"/>
      <c r="AB7" s="7">
        <f t="shared" si="17"/>
        <v>31076000</v>
      </c>
      <c r="AC7" s="8">
        <f t="shared" si="17"/>
        <v>31.076000000000001</v>
      </c>
      <c r="AD7" s="8">
        <f t="shared" si="17"/>
        <v>95.403319999999994</v>
      </c>
      <c r="AF7" s="8">
        <f t="shared" si="18"/>
        <v>-2.886579864025407E-15</v>
      </c>
    </row>
    <row r="8" spans="1:32" x14ac:dyDescent="0.2">
      <c r="A8" s="27">
        <v>38599</v>
      </c>
      <c r="B8" s="7">
        <f>'[11]Sep Prod'!I7</f>
        <v>17600000.000002183</v>
      </c>
      <c r="C8" s="8">
        <f t="shared" si="1"/>
        <v>17.600000000002183</v>
      </c>
      <c r="D8" s="10">
        <f t="shared" si="2"/>
        <v>54.032000000006697</v>
      </c>
      <c r="E8" s="7">
        <f>'[11]Sep Prod'!E7</f>
        <v>10000000</v>
      </c>
      <c r="F8" s="8">
        <f t="shared" si="3"/>
        <v>10</v>
      </c>
      <c r="G8" s="10">
        <f t="shared" si="4"/>
        <v>30.7</v>
      </c>
      <c r="H8" s="7">
        <f>'[11]Sep Prod'!F7</f>
        <v>8460000</v>
      </c>
      <c r="I8" s="8">
        <f t="shared" si="5"/>
        <v>8.4600000000000009</v>
      </c>
      <c r="J8" s="10">
        <f t="shared" si="6"/>
        <v>25.972200000000001</v>
      </c>
      <c r="K8" s="7">
        <f>'[11]Sep Prod'!H255</f>
        <v>1540237</v>
      </c>
      <c r="L8" s="8">
        <f t="shared" si="7"/>
        <v>1.5402370000000001</v>
      </c>
      <c r="M8" s="10">
        <f t="shared" si="8"/>
        <v>4.7285275899999997</v>
      </c>
      <c r="N8" s="21"/>
      <c r="O8" s="7">
        <f>'[11]Sep Prod'!H7</f>
        <v>9155000</v>
      </c>
      <c r="P8" s="8">
        <f t="shared" si="9"/>
        <v>9.1549999999999994</v>
      </c>
      <c r="Q8" s="10">
        <f t="shared" si="10"/>
        <v>28.105849999999997</v>
      </c>
      <c r="R8" s="7">
        <f>'[11]Sep Prod'!C7</f>
        <v>9719000</v>
      </c>
      <c r="S8" s="8">
        <f t="shared" si="11"/>
        <v>9.7189999999999994</v>
      </c>
      <c r="T8" s="10">
        <f t="shared" si="12"/>
        <v>29.837329999999998</v>
      </c>
      <c r="U8" s="7">
        <f>'[11]Sep Prod'!D7</f>
        <v>0</v>
      </c>
      <c r="V8" s="8">
        <f t="shared" si="13"/>
        <v>0</v>
      </c>
      <c r="W8" s="10">
        <f t="shared" si="14"/>
        <v>0</v>
      </c>
      <c r="X8" s="7">
        <f>'[11]Sep Prod'!D255</f>
        <v>564000</v>
      </c>
      <c r="Y8" s="8">
        <f t="shared" si="15"/>
        <v>0.56399999999999995</v>
      </c>
      <c r="Z8" s="10">
        <f t="shared" si="16"/>
        <v>1.7314799999999997</v>
      </c>
      <c r="AA8" s="15"/>
      <c r="AB8" s="7">
        <f t="shared" si="17"/>
        <v>26755000.000002183</v>
      </c>
      <c r="AC8" s="8">
        <f t="shared" si="17"/>
        <v>26.755000000002184</v>
      </c>
      <c r="AD8" s="8">
        <f>D8+Q8</f>
        <v>82.137850000006694</v>
      </c>
      <c r="AF8" s="8">
        <f t="shared" si="18"/>
        <v>0</v>
      </c>
    </row>
    <row r="9" spans="1:32" x14ac:dyDescent="0.2">
      <c r="A9" s="27">
        <v>38600</v>
      </c>
      <c r="B9" s="7">
        <f>'[11]Sep Prod'!I8</f>
        <v>15299999.999999272</v>
      </c>
      <c r="C9" s="8">
        <f t="shared" si="1"/>
        <v>15.299999999999272</v>
      </c>
      <c r="D9" s="10">
        <f t="shared" si="2"/>
        <v>46.970999999997765</v>
      </c>
      <c r="E9" s="7">
        <f>'[11]Sep Prod'!E8</f>
        <v>8000000</v>
      </c>
      <c r="F9" s="8">
        <f t="shared" si="3"/>
        <v>8</v>
      </c>
      <c r="G9" s="10">
        <f t="shared" si="4"/>
        <v>24.56</v>
      </c>
      <c r="H9" s="7">
        <f>'[11]Sep Prod'!F8</f>
        <v>7710000</v>
      </c>
      <c r="I9" s="8">
        <f t="shared" si="5"/>
        <v>7.71</v>
      </c>
      <c r="J9" s="10">
        <f t="shared" si="6"/>
        <v>23.669699999999999</v>
      </c>
      <c r="K9" s="7">
        <f>'[11]Sep Prod'!H256</f>
        <v>1319773</v>
      </c>
      <c r="L9" s="8">
        <f t="shared" si="7"/>
        <v>1.3197730000000001</v>
      </c>
      <c r="M9" s="10">
        <f t="shared" si="8"/>
        <v>4.0517031100000001</v>
      </c>
      <c r="N9" s="21"/>
      <c r="O9" s="7">
        <f>'[11]Sep Prod'!H8</f>
        <v>4485999.9999999991</v>
      </c>
      <c r="P9" s="8">
        <f t="shared" si="9"/>
        <v>4.4859999999999989</v>
      </c>
      <c r="Q9" s="10">
        <f t="shared" si="10"/>
        <v>13.772019999999996</v>
      </c>
      <c r="R9" s="7">
        <f>'[11]Sep Prod'!C8</f>
        <v>5158000</v>
      </c>
      <c r="S9" s="8">
        <f t="shared" si="11"/>
        <v>5.1580000000000004</v>
      </c>
      <c r="T9" s="10">
        <f t="shared" si="12"/>
        <v>15.83506</v>
      </c>
      <c r="U9" s="7">
        <f>'[11]Sep Prod'!D8</f>
        <v>0</v>
      </c>
      <c r="V9" s="8">
        <f t="shared" si="13"/>
        <v>0</v>
      </c>
      <c r="W9" s="10">
        <f t="shared" si="14"/>
        <v>0</v>
      </c>
      <c r="X9" s="7">
        <f>'[11]Sep Prod'!D256</f>
        <v>672000.00000000058</v>
      </c>
      <c r="Y9" s="8">
        <f t="shared" si="15"/>
        <v>0.6720000000000006</v>
      </c>
      <c r="Z9" s="10">
        <f t="shared" si="16"/>
        <v>2.0630400000000018</v>
      </c>
      <c r="AA9" s="15"/>
      <c r="AB9" s="7">
        <f t="shared" si="17"/>
        <v>19785999.99999927</v>
      </c>
      <c r="AC9" s="8">
        <f t="shared" si="17"/>
        <v>19.78599999999927</v>
      </c>
      <c r="AD9" s="8">
        <f t="shared" si="17"/>
        <v>60.743019999997763</v>
      </c>
      <c r="AF9" s="8">
        <f t="shared" si="18"/>
        <v>0</v>
      </c>
    </row>
    <row r="10" spans="1:32" x14ac:dyDescent="0.2">
      <c r="A10" s="27">
        <v>38601</v>
      </c>
      <c r="B10" s="7">
        <f>'[11]Sep Prod'!I9</f>
        <v>12599999.999998545</v>
      </c>
      <c r="C10" s="8">
        <f t="shared" si="1"/>
        <v>12.599999999998545</v>
      </c>
      <c r="D10" s="10">
        <f t="shared" si="2"/>
        <v>38.681999999995533</v>
      </c>
      <c r="E10" s="7">
        <f>'[11]Sep Prod'!E9</f>
        <v>6000000</v>
      </c>
      <c r="F10" s="8">
        <f t="shared" si="3"/>
        <v>6</v>
      </c>
      <c r="G10" s="10">
        <f t="shared" si="4"/>
        <v>18.419999999999998</v>
      </c>
      <c r="H10" s="7">
        <f>'[11]Sep Prod'!F9</f>
        <v>5930000</v>
      </c>
      <c r="I10" s="8">
        <f t="shared" si="5"/>
        <v>5.93</v>
      </c>
      <c r="J10" s="10">
        <f t="shared" si="6"/>
        <v>18.205099999999998</v>
      </c>
      <c r="K10" s="7">
        <f>'[11]Sep Prod'!H257</f>
        <v>931304</v>
      </c>
      <c r="L10" s="8">
        <f t="shared" si="7"/>
        <v>0.93130400000000002</v>
      </c>
      <c r="M10" s="10">
        <f t="shared" si="8"/>
        <v>2.8591032799999998</v>
      </c>
      <c r="N10" s="21"/>
      <c r="O10" s="7">
        <f>'[11]Sep Prod'!H9</f>
        <v>9326000</v>
      </c>
      <c r="P10" s="8">
        <f t="shared" si="9"/>
        <v>9.3260000000000005</v>
      </c>
      <c r="Q10" s="10">
        <f t="shared" si="10"/>
        <v>28.63082</v>
      </c>
      <c r="R10" s="7">
        <f>'[11]Sep Prod'!C9</f>
        <v>9829000</v>
      </c>
      <c r="S10" s="8">
        <f t="shared" si="11"/>
        <v>9.8290000000000006</v>
      </c>
      <c r="T10" s="10">
        <f t="shared" si="12"/>
        <v>30.17503</v>
      </c>
      <c r="U10" s="7">
        <f>'[11]Sep Prod'!D9</f>
        <v>0</v>
      </c>
      <c r="V10" s="8">
        <f t="shared" si="13"/>
        <v>0</v>
      </c>
      <c r="W10" s="10">
        <f t="shared" si="14"/>
        <v>0</v>
      </c>
      <c r="X10" s="7">
        <f>'[11]Sep Prod'!D257</f>
        <v>503000.00000000012</v>
      </c>
      <c r="Y10" s="8">
        <f t="shared" si="15"/>
        <v>0.50300000000000011</v>
      </c>
      <c r="Z10" s="10">
        <f t="shared" si="16"/>
        <v>1.5442100000000003</v>
      </c>
      <c r="AA10" s="15"/>
      <c r="AB10" s="7">
        <f t="shared" si="17"/>
        <v>21925999.999998547</v>
      </c>
      <c r="AC10" s="8">
        <f t="shared" si="17"/>
        <v>21.925999999998545</v>
      </c>
      <c r="AD10" s="8">
        <f t="shared" si="17"/>
        <v>67.312819999995526</v>
      </c>
      <c r="AF10" s="8">
        <f t="shared" si="18"/>
        <v>0</v>
      </c>
    </row>
    <row r="11" spans="1:32" x14ac:dyDescent="0.2">
      <c r="A11" s="27">
        <v>38602</v>
      </c>
      <c r="B11" s="7">
        <f>'[11]Sep Prod'!I10</f>
        <v>12700000.000000728</v>
      </c>
      <c r="C11" s="8">
        <f t="shared" si="1"/>
        <v>12.700000000000728</v>
      </c>
      <c r="D11" s="10">
        <f t="shared" si="2"/>
        <v>38.989000000002228</v>
      </c>
      <c r="E11" s="7">
        <f>'[11]Sep Prod'!E10</f>
        <v>6000000</v>
      </c>
      <c r="F11" s="8">
        <f t="shared" si="3"/>
        <v>6</v>
      </c>
      <c r="G11" s="10">
        <f t="shared" si="4"/>
        <v>18.419999999999998</v>
      </c>
      <c r="H11" s="7">
        <f>'[11]Sep Prod'!F10</f>
        <v>6640000</v>
      </c>
      <c r="I11" s="8">
        <f t="shared" si="5"/>
        <v>6.64</v>
      </c>
      <c r="J11" s="10">
        <f t="shared" si="6"/>
        <v>20.384799999999998</v>
      </c>
      <c r="K11" s="7">
        <f>'[11]Sep Prod'!H258</f>
        <v>1151214</v>
      </c>
      <c r="L11" s="8">
        <f t="shared" si="7"/>
        <v>1.151214</v>
      </c>
      <c r="M11" s="10">
        <f t="shared" si="8"/>
        <v>3.5342269799999997</v>
      </c>
      <c r="N11" s="21"/>
      <c r="O11" s="7">
        <f>'[11]Sep Prod'!H10</f>
        <v>9650000</v>
      </c>
      <c r="P11" s="8">
        <f t="shared" si="9"/>
        <v>9.65</v>
      </c>
      <c r="Q11" s="10">
        <f t="shared" si="10"/>
        <v>29.625499999999999</v>
      </c>
      <c r="R11" s="7">
        <f>'[11]Sep Prod'!C10</f>
        <v>9990000</v>
      </c>
      <c r="S11" s="8">
        <f t="shared" si="11"/>
        <v>9.99</v>
      </c>
      <c r="T11" s="10">
        <f t="shared" si="12"/>
        <v>30.6693</v>
      </c>
      <c r="U11" s="7">
        <f>'[11]Sep Prod'!D10</f>
        <v>0</v>
      </c>
      <c r="V11" s="8">
        <f t="shared" si="13"/>
        <v>0</v>
      </c>
      <c r="W11" s="10">
        <f t="shared" si="14"/>
        <v>0</v>
      </c>
      <c r="X11" s="7">
        <f>'[11]Sep Prod'!D258</f>
        <v>339999.99999999988</v>
      </c>
      <c r="Y11" s="8">
        <f t="shared" si="15"/>
        <v>0.33999999999999986</v>
      </c>
      <c r="Z11" s="10">
        <f t="shared" si="16"/>
        <v>1.0437999999999996</v>
      </c>
      <c r="AA11" s="15"/>
      <c r="AB11" s="7">
        <f t="shared" si="17"/>
        <v>22350000.00000073</v>
      </c>
      <c r="AC11" s="8">
        <f t="shared" si="17"/>
        <v>22.350000000000726</v>
      </c>
      <c r="AD11" s="8">
        <f t="shared" si="17"/>
        <v>68.614500000002224</v>
      </c>
      <c r="AF11" s="8">
        <f t="shared" si="18"/>
        <v>0</v>
      </c>
    </row>
    <row r="12" spans="1:32" x14ac:dyDescent="0.2">
      <c r="A12" s="27">
        <v>38603</v>
      </c>
      <c r="B12" s="7">
        <f>'[11]Sep Prod'!I11</f>
        <v>15900000.000001455</v>
      </c>
      <c r="C12" s="8">
        <f t="shared" si="1"/>
        <v>15.900000000001455</v>
      </c>
      <c r="D12" s="10">
        <f t="shared" si="2"/>
        <v>48.813000000004465</v>
      </c>
      <c r="E12" s="7">
        <f>'[11]Sep Prod'!E11</f>
        <v>8000000</v>
      </c>
      <c r="F12" s="8">
        <f t="shared" si="3"/>
        <v>8</v>
      </c>
      <c r="G12" s="10">
        <f t="shared" si="4"/>
        <v>24.56</v>
      </c>
      <c r="H12" s="7">
        <f>'[11]Sep Prod'!F11</f>
        <v>7790000</v>
      </c>
      <c r="I12" s="8">
        <f t="shared" si="5"/>
        <v>7.79</v>
      </c>
      <c r="J12" s="10">
        <f t="shared" si="6"/>
        <v>23.915299999999998</v>
      </c>
      <c r="K12" s="7">
        <f>'[11]Sep Prod'!H259</f>
        <v>1298008</v>
      </c>
      <c r="L12" s="8">
        <f t="shared" si="7"/>
        <v>1.2980080000000001</v>
      </c>
      <c r="M12" s="10">
        <f t="shared" si="8"/>
        <v>3.9848845599999998</v>
      </c>
      <c r="N12" s="21"/>
      <c r="O12" s="7">
        <f>'[11]Sep Prod'!H11</f>
        <v>9872000</v>
      </c>
      <c r="P12" s="8">
        <f t="shared" si="9"/>
        <v>9.8719999999999999</v>
      </c>
      <c r="Q12" s="10">
        <f t="shared" si="10"/>
        <v>30.307039999999997</v>
      </c>
      <c r="R12" s="7">
        <f>'[11]Sep Prod'!C11</f>
        <v>10296000</v>
      </c>
      <c r="S12" s="8">
        <f t="shared" si="11"/>
        <v>10.295999999999999</v>
      </c>
      <c r="T12" s="10">
        <f t="shared" si="12"/>
        <v>31.608719999999998</v>
      </c>
      <c r="U12" s="7">
        <f>'[11]Sep Prod'!D11</f>
        <v>0</v>
      </c>
      <c r="V12" s="8">
        <f t="shared" si="13"/>
        <v>0</v>
      </c>
      <c r="W12" s="10">
        <f t="shared" si="14"/>
        <v>0</v>
      </c>
      <c r="X12" s="7">
        <f>'[11]Sep Prod'!D259</f>
        <v>423999.99999999948</v>
      </c>
      <c r="Y12" s="8">
        <f t="shared" si="15"/>
        <v>0.42399999999999949</v>
      </c>
      <c r="Z12" s="10">
        <f t="shared" si="16"/>
        <v>1.3016799999999984</v>
      </c>
      <c r="AA12" s="15"/>
      <c r="AB12" s="7">
        <f t="shared" si="17"/>
        <v>25772000.000001453</v>
      </c>
      <c r="AC12" s="8">
        <f t="shared" si="17"/>
        <v>25.772000000001455</v>
      </c>
      <c r="AD12" s="8">
        <f t="shared" si="17"/>
        <v>79.120040000004465</v>
      </c>
      <c r="AF12" s="8">
        <f t="shared" si="18"/>
        <v>2.6645352591003757E-15</v>
      </c>
    </row>
    <row r="13" spans="1:32" x14ac:dyDescent="0.2">
      <c r="A13" s="27">
        <v>38604</v>
      </c>
      <c r="B13" s="7">
        <f>'[11]Sep Prod'!I12</f>
        <v>15500000</v>
      </c>
      <c r="C13" s="8">
        <f t="shared" si="1"/>
        <v>15.5</v>
      </c>
      <c r="D13" s="10">
        <f t="shared" si="2"/>
        <v>47.585000000000001</v>
      </c>
      <c r="E13" s="7">
        <f>'[11]Sep Prod'!E12</f>
        <v>8000000</v>
      </c>
      <c r="F13" s="8">
        <f t="shared" si="3"/>
        <v>8</v>
      </c>
      <c r="G13" s="10">
        <f t="shared" si="4"/>
        <v>24.56</v>
      </c>
      <c r="H13" s="7">
        <f>'[11]Sep Prod'!F12</f>
        <v>8260000</v>
      </c>
      <c r="I13" s="8">
        <f t="shared" si="5"/>
        <v>8.26</v>
      </c>
      <c r="J13" s="10">
        <f t="shared" si="6"/>
        <v>25.358199999999997</v>
      </c>
      <c r="K13" s="7">
        <f>'[11]Sep Prod'!H260</f>
        <v>1407366</v>
      </c>
      <c r="L13" s="8">
        <f t="shared" si="7"/>
        <v>1.4073659999999999</v>
      </c>
      <c r="M13" s="10">
        <f t="shared" si="8"/>
        <v>4.3206136199999996</v>
      </c>
      <c r="N13" s="21"/>
      <c r="O13" s="7">
        <f>'[11]Sep Prod'!H12</f>
        <v>8590000</v>
      </c>
      <c r="P13" s="8">
        <f t="shared" si="9"/>
        <v>8.59</v>
      </c>
      <c r="Q13" s="10">
        <f t="shared" si="10"/>
        <v>26.371299999999998</v>
      </c>
      <c r="R13" s="7">
        <f>'[11]Sep Prod'!C12</f>
        <v>9081000</v>
      </c>
      <c r="S13" s="8">
        <f t="shared" si="11"/>
        <v>9.0809999999999995</v>
      </c>
      <c r="T13" s="10">
        <f t="shared" si="12"/>
        <v>27.878669999999996</v>
      </c>
      <c r="U13" s="7">
        <f>'[11]Sep Prod'!D12</f>
        <v>0</v>
      </c>
      <c r="V13" s="8">
        <f t="shared" si="13"/>
        <v>0</v>
      </c>
      <c r="W13" s="10">
        <f t="shared" si="14"/>
        <v>0</v>
      </c>
      <c r="X13" s="7">
        <f>'[11]Sep Prod'!D260</f>
        <v>490999.99999999965</v>
      </c>
      <c r="Y13" s="8">
        <f t="shared" si="15"/>
        <v>0.49099999999999966</v>
      </c>
      <c r="Z13" s="10">
        <f t="shared" si="16"/>
        <v>1.5073699999999988</v>
      </c>
      <c r="AA13" s="15"/>
      <c r="AB13" s="7">
        <f t="shared" si="17"/>
        <v>24090000</v>
      </c>
      <c r="AC13" s="8">
        <f t="shared" si="17"/>
        <v>24.09</v>
      </c>
      <c r="AD13" s="8">
        <f t="shared" si="17"/>
        <v>73.956299999999999</v>
      </c>
      <c r="AF13" s="8">
        <f t="shared" si="18"/>
        <v>0</v>
      </c>
    </row>
    <row r="14" spans="1:32" x14ac:dyDescent="0.2">
      <c r="A14" s="27">
        <v>38605</v>
      </c>
      <c r="B14" s="7">
        <f>'[11]Sep Prod'!I13</f>
        <v>11399999.999997817</v>
      </c>
      <c r="C14" s="8">
        <f t="shared" si="1"/>
        <v>11.399999999997817</v>
      </c>
      <c r="D14" s="10">
        <f t="shared" si="2"/>
        <v>34.997999999993297</v>
      </c>
      <c r="E14" s="7">
        <f>'[11]Sep Prod'!E13</f>
        <v>6000000</v>
      </c>
      <c r="F14" s="8">
        <f t="shared" si="3"/>
        <v>6</v>
      </c>
      <c r="G14" s="10">
        <f t="shared" si="4"/>
        <v>18.419999999999998</v>
      </c>
      <c r="H14" s="7">
        <f>'[11]Sep Prod'!F13</f>
        <v>5440000</v>
      </c>
      <c r="I14" s="8">
        <f t="shared" si="5"/>
        <v>5.44</v>
      </c>
      <c r="J14" s="10">
        <f t="shared" si="6"/>
        <v>16.700800000000001</v>
      </c>
      <c r="K14" s="7">
        <f>'[11]Sep Prod'!H261</f>
        <v>1001850</v>
      </c>
      <c r="L14" s="8">
        <f t="shared" si="7"/>
        <v>1.0018499999999999</v>
      </c>
      <c r="M14" s="10">
        <f t="shared" si="8"/>
        <v>3.0756794999999997</v>
      </c>
      <c r="N14" s="21"/>
      <c r="O14" s="7">
        <f>'[11]Sep Prod'!H13</f>
        <v>6567000.0000000009</v>
      </c>
      <c r="P14" s="8">
        <f t="shared" si="9"/>
        <v>6.5670000000000011</v>
      </c>
      <c r="Q14" s="10">
        <f t="shared" si="10"/>
        <v>20.160690000000002</v>
      </c>
      <c r="R14" s="7">
        <f>'[11]Sep Prod'!C13</f>
        <v>7177000</v>
      </c>
      <c r="S14" s="8">
        <f t="shared" si="11"/>
        <v>7.1769999999999996</v>
      </c>
      <c r="T14" s="10">
        <f t="shared" si="12"/>
        <v>22.033389999999997</v>
      </c>
      <c r="U14" s="7">
        <f>'[11]Sep Prod'!D13</f>
        <v>0</v>
      </c>
      <c r="V14" s="8">
        <f t="shared" si="13"/>
        <v>0</v>
      </c>
      <c r="W14" s="10">
        <f t="shared" si="14"/>
        <v>0</v>
      </c>
      <c r="X14" s="7">
        <f>'[11]Sep Prod'!D261</f>
        <v>609999.99999999942</v>
      </c>
      <c r="Y14" s="8">
        <f t="shared" si="15"/>
        <v>0.60999999999999943</v>
      </c>
      <c r="Z14" s="10">
        <f t="shared" si="16"/>
        <v>1.8726999999999983</v>
      </c>
      <c r="AA14" s="15"/>
      <c r="AB14" s="7">
        <f t="shared" si="17"/>
        <v>17966999.999997817</v>
      </c>
      <c r="AC14" s="8">
        <f t="shared" si="17"/>
        <v>17.966999999997817</v>
      </c>
      <c r="AD14" s="8">
        <f t="shared" si="17"/>
        <v>55.1586899999933</v>
      </c>
      <c r="AF14" s="8">
        <f t="shared" si="18"/>
        <v>-3.5527136788005009E-15</v>
      </c>
    </row>
    <row r="15" spans="1:32" x14ac:dyDescent="0.2">
      <c r="A15" s="27">
        <v>38606</v>
      </c>
      <c r="B15" s="7">
        <f>'[11]Sep Prod'!I14</f>
        <v>10000000</v>
      </c>
      <c r="C15" s="8">
        <f t="shared" si="1"/>
        <v>10</v>
      </c>
      <c r="D15" s="10">
        <f t="shared" si="2"/>
        <v>30.7</v>
      </c>
      <c r="E15" s="7">
        <f>'[11]Sep Prod'!E14</f>
        <v>5000000</v>
      </c>
      <c r="F15" s="8">
        <f t="shared" si="3"/>
        <v>5</v>
      </c>
      <c r="G15" s="10">
        <f t="shared" si="4"/>
        <v>15.35</v>
      </c>
      <c r="H15" s="7">
        <f>'[11]Sep Prod'!F14</f>
        <v>5070000</v>
      </c>
      <c r="I15" s="8">
        <f t="shared" si="5"/>
        <v>5.07</v>
      </c>
      <c r="J15" s="10">
        <f t="shared" si="6"/>
        <v>15.5649</v>
      </c>
      <c r="K15" s="7">
        <f>'[11]Sep Prod'!H262</f>
        <v>919092</v>
      </c>
      <c r="L15" s="8">
        <f t="shared" si="7"/>
        <v>0.91909200000000002</v>
      </c>
      <c r="M15" s="10">
        <f t="shared" si="8"/>
        <v>2.82161244</v>
      </c>
      <c r="N15" s="21"/>
      <c r="O15" s="7">
        <f>'[11]Sep Prod'!H14</f>
        <v>7931999.9999999981</v>
      </c>
      <c r="P15" s="8">
        <f t="shared" si="9"/>
        <v>7.9319999999999977</v>
      </c>
      <c r="Q15" s="10">
        <f t="shared" si="10"/>
        <v>24.35123999999999</v>
      </c>
      <c r="R15" s="7">
        <f>'[11]Sep Prod'!C14</f>
        <v>8335000</v>
      </c>
      <c r="S15" s="8">
        <f t="shared" si="11"/>
        <v>8.3350000000000009</v>
      </c>
      <c r="T15" s="10">
        <f t="shared" si="12"/>
        <v>25.588450000000002</v>
      </c>
      <c r="U15" s="7">
        <f>'[11]Sep Prod'!D14</f>
        <v>0</v>
      </c>
      <c r="V15" s="8">
        <f t="shared" si="13"/>
        <v>0</v>
      </c>
      <c r="W15" s="10">
        <f t="shared" si="14"/>
        <v>0</v>
      </c>
      <c r="X15" s="7">
        <f>'[11]Sep Prod'!D262</f>
        <v>403000.00000000227</v>
      </c>
      <c r="Y15" s="8">
        <f t="shared" si="15"/>
        <v>0.40300000000000225</v>
      </c>
      <c r="Z15" s="10">
        <f t="shared" si="16"/>
        <v>1.2372100000000068</v>
      </c>
      <c r="AA15" s="15"/>
      <c r="AB15" s="7">
        <f t="shared" si="17"/>
        <v>17932000</v>
      </c>
      <c r="AC15" s="8">
        <f t="shared" si="17"/>
        <v>17.931999999999999</v>
      </c>
      <c r="AD15" s="8">
        <f t="shared" si="17"/>
        <v>55.051239999999993</v>
      </c>
      <c r="AF15" s="8">
        <f>T15-Q15-Z15</f>
        <v>4.8849813083506888E-15</v>
      </c>
    </row>
    <row r="16" spans="1:32" x14ac:dyDescent="0.2">
      <c r="A16" s="27">
        <v>38607</v>
      </c>
      <c r="B16" s="7">
        <f>'[11]Sep Prod'!I15</f>
        <v>8800000.0000029095</v>
      </c>
      <c r="C16" s="8">
        <f t="shared" si="1"/>
        <v>8.8000000000029086</v>
      </c>
      <c r="D16" s="10">
        <f t="shared" si="2"/>
        <v>27.01600000000893</v>
      </c>
      <c r="E16" s="7">
        <f>'[11]Sep Prod'!E15</f>
        <v>3000000</v>
      </c>
      <c r="F16" s="8">
        <f t="shared" si="3"/>
        <v>3</v>
      </c>
      <c r="G16" s="10">
        <f t="shared" si="4"/>
        <v>9.2099999999999991</v>
      </c>
      <c r="H16" s="7">
        <f>'[11]Sep Prod'!F15</f>
        <v>5000000</v>
      </c>
      <c r="I16" s="8">
        <f t="shared" si="5"/>
        <v>5</v>
      </c>
      <c r="J16" s="10">
        <f t="shared" si="6"/>
        <v>15.35</v>
      </c>
      <c r="K16" s="7">
        <f>'[11]Sep Prod'!H263</f>
        <v>745735</v>
      </c>
      <c r="L16" s="8">
        <f t="shared" si="7"/>
        <v>0.74573500000000004</v>
      </c>
      <c r="M16" s="10">
        <f t="shared" si="8"/>
        <v>2.28940645</v>
      </c>
      <c r="N16" s="21"/>
      <c r="O16" s="7">
        <f>'[11]Sep Prod'!H15</f>
        <v>5660000.0000000019</v>
      </c>
      <c r="P16" s="8">
        <f t="shared" si="9"/>
        <v>5.6600000000000019</v>
      </c>
      <c r="Q16" s="10">
        <f t="shared" si="10"/>
        <v>17.376200000000004</v>
      </c>
      <c r="R16" s="7">
        <f>'[11]Sep Prod'!C15</f>
        <v>5987000</v>
      </c>
      <c r="S16" s="8">
        <f t="shared" si="11"/>
        <v>5.9870000000000001</v>
      </c>
      <c r="T16" s="10">
        <f t="shared" si="12"/>
        <v>18.380089999999999</v>
      </c>
      <c r="U16" s="7">
        <f>'[11]Sep Prod'!D15</f>
        <v>0</v>
      </c>
      <c r="V16" s="8">
        <f t="shared" si="13"/>
        <v>0</v>
      </c>
      <c r="W16" s="10">
        <f t="shared" si="14"/>
        <v>0</v>
      </c>
      <c r="X16" s="7">
        <f>'[11]Sep Prod'!D263</f>
        <v>326999.9999999982</v>
      </c>
      <c r="Y16" s="8">
        <f t="shared" si="15"/>
        <v>0.32699999999999818</v>
      </c>
      <c r="Z16" s="10">
        <f t="shared" si="16"/>
        <v>1.0038899999999944</v>
      </c>
      <c r="AA16" s="15"/>
      <c r="AB16" s="7">
        <f t="shared" si="17"/>
        <v>14460000.000002911</v>
      </c>
      <c r="AC16" s="8">
        <f t="shared" si="17"/>
        <v>14.460000000002911</v>
      </c>
      <c r="AD16" s="8">
        <f t="shared" si="17"/>
        <v>44.392200000008934</v>
      </c>
      <c r="AF16" s="8">
        <f>T16-Q16-Z16</f>
        <v>0</v>
      </c>
    </row>
    <row r="17" spans="1:32" x14ac:dyDescent="0.2">
      <c r="A17" s="27">
        <v>38608</v>
      </c>
      <c r="B17" s="7">
        <f>'[11]Sep Prod'!I16</f>
        <v>10099999.999998545</v>
      </c>
      <c r="C17" s="8">
        <f t="shared" si="1"/>
        <v>10.099999999998545</v>
      </c>
      <c r="D17" s="10">
        <f t="shared" si="2"/>
        <v>31.006999999995532</v>
      </c>
      <c r="E17" s="7">
        <f>'[11]Sep Prod'!E16</f>
        <v>5000000</v>
      </c>
      <c r="F17" s="8">
        <f t="shared" si="3"/>
        <v>5</v>
      </c>
      <c r="G17" s="10">
        <f t="shared" si="4"/>
        <v>15.35</v>
      </c>
      <c r="H17" s="7">
        <f>'[11]Sep Prod'!F16</f>
        <v>5670000</v>
      </c>
      <c r="I17" s="8">
        <f t="shared" si="5"/>
        <v>5.67</v>
      </c>
      <c r="J17" s="10">
        <f t="shared" si="6"/>
        <v>17.4069</v>
      </c>
      <c r="K17" s="7">
        <f>'[11]Sep Prod'!H264</f>
        <v>890000</v>
      </c>
      <c r="L17" s="8">
        <f t="shared" si="7"/>
        <v>0.89</v>
      </c>
      <c r="M17" s="10">
        <f t="shared" si="8"/>
        <v>2.7323</v>
      </c>
      <c r="N17" s="21"/>
      <c r="O17" s="7">
        <f>'[11]Sep Prod'!H16</f>
        <v>7532000</v>
      </c>
      <c r="P17" s="8">
        <f t="shared" si="9"/>
        <v>7.532</v>
      </c>
      <c r="Q17" s="10">
        <f t="shared" si="10"/>
        <v>23.123239999999999</v>
      </c>
      <c r="R17" s="7">
        <f>'[11]Sep Prod'!C16</f>
        <v>7962000</v>
      </c>
      <c r="S17" s="8">
        <f t="shared" si="11"/>
        <v>7.9619999999999997</v>
      </c>
      <c r="T17" s="10">
        <f t="shared" si="12"/>
        <v>24.443339999999999</v>
      </c>
      <c r="U17" s="7">
        <f>'[11]Sep Prod'!D16</f>
        <v>0</v>
      </c>
      <c r="V17" s="8">
        <f t="shared" si="13"/>
        <v>0</v>
      </c>
      <c r="W17" s="10">
        <f t="shared" si="14"/>
        <v>0</v>
      </c>
      <c r="X17" s="7">
        <f>'[11]Sep Prod'!D264</f>
        <v>429999.99999999971</v>
      </c>
      <c r="Y17" s="8">
        <f t="shared" si="15"/>
        <v>0.42999999999999972</v>
      </c>
      <c r="Z17" s="10">
        <f t="shared" si="16"/>
        <v>1.3200999999999992</v>
      </c>
      <c r="AA17" s="15"/>
      <c r="AB17" s="7">
        <f t="shared" si="17"/>
        <v>17631999.999998547</v>
      </c>
      <c r="AC17" s="8">
        <f t="shared" si="17"/>
        <v>17.631999999998545</v>
      </c>
      <c r="AD17" s="8">
        <f t="shared" si="17"/>
        <v>54.130239999995531</v>
      </c>
      <c r="AF17" s="8">
        <f>T17-Q17-Z17</f>
        <v>0</v>
      </c>
    </row>
    <row r="18" spans="1:32" x14ac:dyDescent="0.2">
      <c r="A18" s="27">
        <v>38609</v>
      </c>
      <c r="B18" s="7">
        <f>'[11]Sep Prod'!I17</f>
        <v>11599999.999998545</v>
      </c>
      <c r="C18" s="8">
        <f t="shared" si="1"/>
        <v>11.599999999998545</v>
      </c>
      <c r="D18" s="10">
        <f t="shared" si="2"/>
        <v>35.611999999995533</v>
      </c>
      <c r="E18" s="7">
        <f>'[11]Sep Prod'!E17</f>
        <v>6000000</v>
      </c>
      <c r="F18" s="8">
        <f t="shared" si="3"/>
        <v>6</v>
      </c>
      <c r="G18" s="10">
        <f t="shared" si="4"/>
        <v>18.419999999999998</v>
      </c>
      <c r="H18" s="7">
        <f>'[11]Sep Prod'!F17</f>
        <v>5880000</v>
      </c>
      <c r="I18" s="8">
        <f t="shared" si="5"/>
        <v>5.88</v>
      </c>
      <c r="J18" s="10">
        <f t="shared" si="6"/>
        <v>18.051599999999997</v>
      </c>
      <c r="K18" s="7">
        <f>'[11]Sep Prod'!H265</f>
        <v>1071957</v>
      </c>
      <c r="L18" s="8">
        <f t="shared" si="7"/>
        <v>1.071957</v>
      </c>
      <c r="M18" s="10">
        <f t="shared" si="8"/>
        <v>3.29090799</v>
      </c>
      <c r="N18" s="21"/>
      <c r="O18" s="7">
        <f>'[11]Sep Prod'!H17</f>
        <v>6609000</v>
      </c>
      <c r="P18" s="8">
        <f t="shared" si="9"/>
        <v>6.609</v>
      </c>
      <c r="Q18" s="10">
        <f t="shared" si="10"/>
        <v>20.289629999999999</v>
      </c>
      <c r="R18" s="7">
        <f>'[11]Sep Prod'!C17</f>
        <v>7042000</v>
      </c>
      <c r="S18" s="8">
        <f t="shared" si="11"/>
        <v>7.0419999999999998</v>
      </c>
      <c r="T18" s="10">
        <f t="shared" si="12"/>
        <v>21.618939999999998</v>
      </c>
      <c r="U18" s="7">
        <f>'[11]Sep Prod'!D17</f>
        <v>0</v>
      </c>
      <c r="V18" s="8">
        <f t="shared" si="13"/>
        <v>0</v>
      </c>
      <c r="W18" s="10">
        <f t="shared" si="14"/>
        <v>0</v>
      </c>
      <c r="X18" s="7">
        <f>'[11]Sep Prod'!D265</f>
        <v>432999.99999999983</v>
      </c>
      <c r="Y18" s="8">
        <f t="shared" si="15"/>
        <v>0.43299999999999983</v>
      </c>
      <c r="Z18" s="10">
        <f t="shared" si="16"/>
        <v>1.3293099999999993</v>
      </c>
      <c r="AA18" s="15"/>
      <c r="AB18" s="7">
        <f t="shared" si="17"/>
        <v>18208999.999998547</v>
      </c>
      <c r="AC18" s="8">
        <f t="shared" si="17"/>
        <v>18.208999999998547</v>
      </c>
      <c r="AD18" s="8">
        <f t="shared" si="17"/>
        <v>55.901629999995535</v>
      </c>
      <c r="AF18" s="8">
        <f>T18-Q18-Z18</f>
        <v>0</v>
      </c>
    </row>
    <row r="19" spans="1:32" x14ac:dyDescent="0.2">
      <c r="A19" s="27">
        <v>38610</v>
      </c>
      <c r="B19" s="7">
        <f>'[11]Sep Prod'!I18</f>
        <v>11800000.000002909</v>
      </c>
      <c r="C19" s="8">
        <f t="shared" si="1"/>
        <v>11.800000000002909</v>
      </c>
      <c r="D19" s="10">
        <f t="shared" si="2"/>
        <v>36.226000000008931</v>
      </c>
      <c r="E19" s="7">
        <f>'[11]Sep Prod'!E18</f>
        <v>6000000</v>
      </c>
      <c r="F19" s="8">
        <f t="shared" si="3"/>
        <v>6</v>
      </c>
      <c r="G19" s="10">
        <f t="shared" si="4"/>
        <v>18.419999999999998</v>
      </c>
      <c r="H19" s="7">
        <f>'[11]Sep Prod'!F18</f>
        <v>5980000</v>
      </c>
      <c r="I19" s="8">
        <f t="shared" si="5"/>
        <v>5.98</v>
      </c>
      <c r="J19" s="10">
        <f t="shared" si="6"/>
        <v>18.358599999999999</v>
      </c>
      <c r="K19" s="7">
        <f>'[11]Sep Prod'!H266</f>
        <v>1117215</v>
      </c>
      <c r="L19" s="8">
        <f t="shared" si="7"/>
        <v>1.1172150000000001</v>
      </c>
      <c r="M19" s="10">
        <f t="shared" si="8"/>
        <v>3.4298500500000002</v>
      </c>
      <c r="N19" s="21"/>
      <c r="O19" s="7">
        <f>'[11]Sep Prod'!H18</f>
        <v>6774999.9999999963</v>
      </c>
      <c r="P19" s="8">
        <f t="shared" si="9"/>
        <v>6.7749999999999959</v>
      </c>
      <c r="Q19" s="10">
        <f t="shared" si="10"/>
        <v>20.799249999999986</v>
      </c>
      <c r="R19" s="7">
        <f>'[11]Sep Prod'!C18</f>
        <v>7176000</v>
      </c>
      <c r="S19" s="8">
        <f t="shared" si="11"/>
        <v>7.1760000000000002</v>
      </c>
      <c r="T19" s="10">
        <f t="shared" si="12"/>
        <v>22.03032</v>
      </c>
      <c r="U19" s="7">
        <f>'[11]Sep Prod'!D18</f>
        <v>0</v>
      </c>
      <c r="V19" s="8">
        <f t="shared" si="13"/>
        <v>0</v>
      </c>
      <c r="W19" s="10">
        <f t="shared" si="14"/>
        <v>0</v>
      </c>
      <c r="X19" s="7">
        <f>'[11]Sep Prod'!D266</f>
        <v>401000.00000000338</v>
      </c>
      <c r="Y19" s="8">
        <f t="shared" si="15"/>
        <v>0.40100000000000335</v>
      </c>
      <c r="Z19" s="10">
        <f t="shared" si="16"/>
        <v>1.2310700000000103</v>
      </c>
      <c r="AA19" s="15"/>
      <c r="AB19" s="7">
        <f t="shared" si="17"/>
        <v>18575000.000002906</v>
      </c>
      <c r="AC19" s="8">
        <f t="shared" si="17"/>
        <v>18.575000000002905</v>
      </c>
      <c r="AD19" s="8">
        <f>D19+Q19</f>
        <v>57.025250000008917</v>
      </c>
      <c r="AF19" s="8">
        <f>T19-Q19-Z19</f>
        <v>2.886579864025407E-15</v>
      </c>
    </row>
    <row r="20" spans="1:32" x14ac:dyDescent="0.2">
      <c r="A20" s="27">
        <v>38611</v>
      </c>
      <c r="B20" s="7">
        <f>'[11]Sep Prod'!I19</f>
        <v>10899999.999997817</v>
      </c>
      <c r="C20" s="8">
        <f t="shared" si="1"/>
        <v>10.899999999997817</v>
      </c>
      <c r="D20" s="10">
        <f t="shared" si="2"/>
        <v>33.462999999993301</v>
      </c>
      <c r="E20" s="7">
        <f>'[11]Sep Prod'!E19</f>
        <v>6000000</v>
      </c>
      <c r="F20" s="8">
        <f t="shared" si="3"/>
        <v>6</v>
      </c>
      <c r="G20" s="10">
        <f t="shared" si="4"/>
        <v>18.419999999999998</v>
      </c>
      <c r="H20" s="7">
        <f>'[11]Sep Prod'!F19</f>
        <v>5350000</v>
      </c>
      <c r="I20" s="8">
        <f t="shared" si="5"/>
        <v>5.35</v>
      </c>
      <c r="J20" s="10">
        <f t="shared" si="6"/>
        <v>16.424499999999998</v>
      </c>
      <c r="K20" s="7">
        <f>'[11]Sep Prod'!H267</f>
        <v>936555</v>
      </c>
      <c r="L20" s="8">
        <f t="shared" si="7"/>
        <v>0.93655500000000003</v>
      </c>
      <c r="M20" s="10">
        <f t="shared" si="8"/>
        <v>2.8752238499999998</v>
      </c>
      <c r="N20" s="21"/>
      <c r="O20" s="7">
        <f>'[11]Sep Prod'!H19</f>
        <v>10879000.000000002</v>
      </c>
      <c r="P20" s="8">
        <f t="shared" si="9"/>
        <v>10.879000000000001</v>
      </c>
      <c r="Q20" s="10">
        <f t="shared" si="10"/>
        <v>33.398530000000001</v>
      </c>
      <c r="R20" s="7">
        <f>'[11]Sep Prod'!C19</f>
        <v>11314000</v>
      </c>
      <c r="S20" s="8">
        <f t="shared" si="11"/>
        <v>11.314</v>
      </c>
      <c r="T20" s="10">
        <f t="shared" si="12"/>
        <v>34.733979999999995</v>
      </c>
      <c r="U20" s="7">
        <f>'[11]Sep Prod'!D19</f>
        <v>0</v>
      </c>
      <c r="V20" s="8">
        <f t="shared" si="13"/>
        <v>0</v>
      </c>
      <c r="W20" s="10">
        <f t="shared" si="14"/>
        <v>0</v>
      </c>
      <c r="X20" s="7">
        <f>'[11]Sep Prod'!D267</f>
        <v>434999.99999999872</v>
      </c>
      <c r="Y20" s="8">
        <f t="shared" si="15"/>
        <v>0.43499999999999872</v>
      </c>
      <c r="Z20" s="10">
        <f t="shared" si="16"/>
        <v>1.335449999999996</v>
      </c>
      <c r="AA20" s="15"/>
      <c r="AB20" s="7">
        <f t="shared" si="17"/>
        <v>21778999.999997817</v>
      </c>
      <c r="AC20" s="8">
        <f t="shared" si="17"/>
        <v>21.778999999997819</v>
      </c>
      <c r="AD20" s="8">
        <f t="shared" si="17"/>
        <v>66.861529999993309</v>
      </c>
      <c r="AF20" s="8">
        <f t="shared" ref="AF20:AF35" si="19">T20-Q20-Z20</f>
        <v>0</v>
      </c>
    </row>
    <row r="21" spans="1:32" x14ac:dyDescent="0.2">
      <c r="A21" s="27">
        <v>38612</v>
      </c>
      <c r="B21" s="7">
        <f>'[11]Sep Prod'!I20</f>
        <v>17900000.000001457</v>
      </c>
      <c r="C21" s="8">
        <f t="shared" si="1"/>
        <v>17.900000000001455</v>
      </c>
      <c r="D21" s="10">
        <f t="shared" si="2"/>
        <v>54.953000000004465</v>
      </c>
      <c r="E21" s="7">
        <f>'[11]Sep Prod'!E20</f>
        <v>8000000</v>
      </c>
      <c r="F21" s="8">
        <f t="shared" si="3"/>
        <v>8</v>
      </c>
      <c r="G21" s="10">
        <f t="shared" si="4"/>
        <v>24.56</v>
      </c>
      <c r="H21" s="7">
        <f>'[11]Sep Prod'!F20</f>
        <v>9720000</v>
      </c>
      <c r="I21" s="8">
        <f t="shared" si="5"/>
        <v>9.7200000000000006</v>
      </c>
      <c r="J21" s="10">
        <f t="shared" si="6"/>
        <v>29.840399999999999</v>
      </c>
      <c r="K21" s="7">
        <f>'[11]Sep Prod'!H268</f>
        <v>1479642</v>
      </c>
      <c r="L21" s="8">
        <f t="shared" si="7"/>
        <v>1.4796419999999999</v>
      </c>
      <c r="M21" s="10">
        <f t="shared" si="8"/>
        <v>4.5425009399999992</v>
      </c>
      <c r="N21" s="21"/>
      <c r="O21" s="7">
        <f>'[11]Sep Prod'!H20</f>
        <v>10502000</v>
      </c>
      <c r="P21" s="8">
        <f t="shared" si="9"/>
        <v>10.502000000000001</v>
      </c>
      <c r="Q21" s="10">
        <f t="shared" si="10"/>
        <v>32.241140000000001</v>
      </c>
      <c r="R21" s="7">
        <f>'[11]Sep Prod'!C20</f>
        <v>11016000</v>
      </c>
      <c r="S21" s="8">
        <f t="shared" si="11"/>
        <v>11.016</v>
      </c>
      <c r="T21" s="10">
        <f t="shared" si="12"/>
        <v>33.819119999999998</v>
      </c>
      <c r="U21" s="7">
        <f>'[11]Sep Prod'!D20</f>
        <v>0</v>
      </c>
      <c r="V21" s="8">
        <f t="shared" si="13"/>
        <v>0</v>
      </c>
      <c r="W21" s="10">
        <f t="shared" si="14"/>
        <v>0</v>
      </c>
      <c r="X21" s="7">
        <f>'[11]Sep Prod'!D268</f>
        <v>513999.99999999936</v>
      </c>
      <c r="Y21" s="8">
        <f t="shared" si="15"/>
        <v>0.51399999999999935</v>
      </c>
      <c r="Z21" s="10">
        <f t="shared" si="16"/>
        <v>1.5779799999999979</v>
      </c>
      <c r="AA21" s="15"/>
      <c r="AB21" s="7">
        <f t="shared" si="17"/>
        <v>28402000.000001457</v>
      </c>
      <c r="AC21" s="8">
        <f t="shared" si="17"/>
        <v>28.402000000001458</v>
      </c>
      <c r="AD21" s="8">
        <f t="shared" si="17"/>
        <v>87.194140000004467</v>
      </c>
      <c r="AF21" s="8">
        <f t="shared" si="19"/>
        <v>0</v>
      </c>
    </row>
    <row r="22" spans="1:32" x14ac:dyDescent="0.2">
      <c r="A22" s="27">
        <v>38613</v>
      </c>
      <c r="B22" s="7">
        <f>'[11]Sep Prod'!I21</f>
        <v>15399999.999997817</v>
      </c>
      <c r="C22" s="8">
        <f t="shared" si="1"/>
        <v>15.399999999997817</v>
      </c>
      <c r="D22" s="10">
        <f t="shared" si="2"/>
        <v>47.277999999993298</v>
      </c>
      <c r="E22" s="7">
        <f>'[11]Sep Prod'!E21</f>
        <v>8000000</v>
      </c>
      <c r="F22" s="8">
        <f t="shared" si="3"/>
        <v>8</v>
      </c>
      <c r="G22" s="10">
        <f t="shared" si="4"/>
        <v>24.56</v>
      </c>
      <c r="H22" s="7">
        <f>'[11]Sep Prod'!F21</f>
        <v>8210000.0000000009</v>
      </c>
      <c r="I22" s="8">
        <f t="shared" si="5"/>
        <v>8.2100000000000009</v>
      </c>
      <c r="J22" s="10">
        <f t="shared" si="6"/>
        <v>25.204700000000003</v>
      </c>
      <c r="K22" s="7">
        <f>'[11]Sep Prod'!H269</f>
        <v>1423748</v>
      </c>
      <c r="L22" s="8">
        <f t="shared" si="7"/>
        <v>1.423748</v>
      </c>
      <c r="M22" s="10">
        <f t="shared" si="8"/>
        <v>4.3709063600000002</v>
      </c>
      <c r="N22" s="21"/>
      <c r="O22" s="7">
        <f>'[11]Sep Prod'!H21</f>
        <v>9805999.9999999981</v>
      </c>
      <c r="P22" s="8">
        <f t="shared" si="9"/>
        <v>9.8059999999999974</v>
      </c>
      <c r="Q22" s="10">
        <f t="shared" si="10"/>
        <v>30.10441999999999</v>
      </c>
      <c r="R22" s="7">
        <f>'[11]Sep Prod'!C21</f>
        <v>10345000</v>
      </c>
      <c r="S22" s="8">
        <f t="shared" si="11"/>
        <v>10.345000000000001</v>
      </c>
      <c r="T22" s="10">
        <f t="shared" si="12"/>
        <v>31.759150000000002</v>
      </c>
      <c r="U22" s="7">
        <f>'[11]Sep Prod'!D21</f>
        <v>0</v>
      </c>
      <c r="V22" s="8">
        <f t="shared" si="13"/>
        <v>0</v>
      </c>
      <c r="W22" s="10">
        <f t="shared" si="14"/>
        <v>0</v>
      </c>
      <c r="X22" s="7">
        <f>'[11]Sep Prod'!D269</f>
        <v>539000.00000000151</v>
      </c>
      <c r="Y22" s="8">
        <f t="shared" si="15"/>
        <v>0.53900000000000148</v>
      </c>
      <c r="Z22" s="10">
        <f t="shared" si="16"/>
        <v>1.6547300000000045</v>
      </c>
      <c r="AA22" s="15"/>
      <c r="AB22" s="7">
        <f t="shared" si="17"/>
        <v>25205999.999997817</v>
      </c>
      <c r="AC22" s="8">
        <f t="shared" si="17"/>
        <v>25.205999999997815</v>
      </c>
      <c r="AD22" s="8">
        <f t="shared" si="17"/>
        <v>77.382419999993289</v>
      </c>
      <c r="AF22" s="8">
        <f t="shared" si="19"/>
        <v>6.8833827526759706E-15</v>
      </c>
    </row>
    <row r="23" spans="1:32" x14ac:dyDescent="0.2">
      <c r="A23" s="27">
        <v>38614</v>
      </c>
      <c r="B23" s="7">
        <f>'[11]Sep Prod'!I22</f>
        <v>15700000.000000728</v>
      </c>
      <c r="C23" s="8">
        <f t="shared" si="1"/>
        <v>15.700000000000728</v>
      </c>
      <c r="D23" s="10">
        <f t="shared" si="2"/>
        <v>48.199000000002229</v>
      </c>
      <c r="E23" s="7">
        <f>'[11]Sep Prod'!E22</f>
        <v>7000000</v>
      </c>
      <c r="F23" s="8">
        <f t="shared" si="3"/>
        <v>7</v>
      </c>
      <c r="G23" s="10">
        <f t="shared" si="4"/>
        <v>21.49</v>
      </c>
      <c r="H23" s="7">
        <f>'[11]Sep Prod'!F22</f>
        <v>7940000</v>
      </c>
      <c r="I23" s="8">
        <f t="shared" si="5"/>
        <v>7.94</v>
      </c>
      <c r="J23" s="10">
        <f t="shared" si="6"/>
        <v>24.375800000000002</v>
      </c>
      <c r="K23" s="7">
        <f>'[11]Sep Prod'!H270</f>
        <v>1214533</v>
      </c>
      <c r="L23" s="8">
        <f t="shared" si="7"/>
        <v>1.2145330000000001</v>
      </c>
      <c r="M23" s="10">
        <f t="shared" si="8"/>
        <v>3.72861631</v>
      </c>
      <c r="N23" s="21"/>
      <c r="O23" s="7">
        <f>'[11]Sep Prod'!H22</f>
        <v>10932000.000000002</v>
      </c>
      <c r="P23" s="8">
        <f t="shared" si="9"/>
        <v>10.932000000000002</v>
      </c>
      <c r="Q23" s="10">
        <f t="shared" si="10"/>
        <v>33.561240000000005</v>
      </c>
      <c r="R23" s="7">
        <f>'[11]Sep Prod'!C22</f>
        <v>11637000</v>
      </c>
      <c r="S23" s="8">
        <f t="shared" si="11"/>
        <v>11.637</v>
      </c>
      <c r="T23" s="10">
        <f t="shared" si="12"/>
        <v>35.725589999999997</v>
      </c>
      <c r="U23" s="7">
        <f>'[11]Sep Prod'!D22</f>
        <v>0</v>
      </c>
      <c r="V23" s="8">
        <f t="shared" si="13"/>
        <v>0</v>
      </c>
      <c r="W23" s="10">
        <f t="shared" si="14"/>
        <v>0</v>
      </c>
      <c r="X23" s="7">
        <f>'[11]Sep Prod'!D270</f>
        <v>704999.99999999825</v>
      </c>
      <c r="Y23" s="8">
        <f t="shared" si="15"/>
        <v>0.70499999999999829</v>
      </c>
      <c r="Z23" s="10">
        <f t="shared" si="16"/>
        <v>2.1643499999999944</v>
      </c>
      <c r="AA23" s="15"/>
      <c r="AB23" s="7">
        <f t="shared" si="17"/>
        <v>26632000.00000073</v>
      </c>
      <c r="AC23" s="8">
        <f t="shared" si="17"/>
        <v>26.63200000000073</v>
      </c>
      <c r="AD23" s="8">
        <f t="shared" si="17"/>
        <v>81.760240000002227</v>
      </c>
      <c r="AF23" s="8">
        <f t="shared" si="19"/>
        <v>0</v>
      </c>
    </row>
    <row r="24" spans="1:32" x14ac:dyDescent="0.2">
      <c r="A24" s="27">
        <v>38615</v>
      </c>
      <c r="B24" s="7">
        <f>'[11]Sep Prod'!I23</f>
        <v>14000000</v>
      </c>
      <c r="C24" s="8">
        <f t="shared" si="1"/>
        <v>14</v>
      </c>
      <c r="D24" s="10">
        <f t="shared" si="2"/>
        <v>42.98</v>
      </c>
      <c r="E24" s="7">
        <f>'[11]Sep Prod'!E23</f>
        <v>5000000</v>
      </c>
      <c r="F24" s="8">
        <f t="shared" si="3"/>
        <v>5</v>
      </c>
      <c r="G24" s="10">
        <f t="shared" si="4"/>
        <v>15.35</v>
      </c>
      <c r="H24" s="7">
        <f>'[11]Sep Prod'!F23</f>
        <v>9050000</v>
      </c>
      <c r="I24" s="8">
        <f t="shared" si="5"/>
        <v>9.0500000000000007</v>
      </c>
      <c r="J24" s="10">
        <f t="shared" si="6"/>
        <v>27.7835</v>
      </c>
      <c r="K24" s="7">
        <f>'[11]Sep Prod'!H271</f>
        <v>1257368</v>
      </c>
      <c r="L24" s="8">
        <f t="shared" si="7"/>
        <v>1.257368</v>
      </c>
      <c r="M24" s="10">
        <f t="shared" si="8"/>
        <v>3.8601197599999999</v>
      </c>
      <c r="N24" s="21"/>
      <c r="O24" s="7">
        <f>'[11]Sep Prod'!H23</f>
        <v>12171999.999999998</v>
      </c>
      <c r="P24" s="8">
        <f t="shared" si="9"/>
        <v>12.171999999999999</v>
      </c>
      <c r="Q24" s="10">
        <f t="shared" si="10"/>
        <v>37.368039999999993</v>
      </c>
      <c r="R24" s="7">
        <f>'[11]Sep Prod'!C23</f>
        <v>12856000</v>
      </c>
      <c r="S24" s="8">
        <f t="shared" si="11"/>
        <v>12.856</v>
      </c>
      <c r="T24" s="10">
        <f t="shared" si="12"/>
        <v>39.467919999999999</v>
      </c>
      <c r="U24" s="7">
        <f>'[11]Sep Prod'!D23</f>
        <v>0</v>
      </c>
      <c r="V24" s="8">
        <f t="shared" si="13"/>
        <v>0</v>
      </c>
      <c r="W24" s="10">
        <f t="shared" si="14"/>
        <v>0</v>
      </c>
      <c r="X24" s="7">
        <f>'[11]Sep Prod'!D271</f>
        <v>684000.00000000105</v>
      </c>
      <c r="Y24" s="8">
        <f t="shared" si="15"/>
        <v>0.68400000000000105</v>
      </c>
      <c r="Z24" s="10">
        <f t="shared" si="16"/>
        <v>2.0998800000000033</v>
      </c>
      <c r="AA24" s="15"/>
      <c r="AB24" s="7">
        <f t="shared" si="17"/>
        <v>26172000</v>
      </c>
      <c r="AC24" s="8">
        <f t="shared" si="17"/>
        <v>26.171999999999997</v>
      </c>
      <c r="AD24" s="8">
        <f>D24+Q24</f>
        <v>80.348039999999997</v>
      </c>
      <c r="AF24" s="8">
        <f t="shared" si="19"/>
        <v>0</v>
      </c>
    </row>
    <row r="25" spans="1:32" x14ac:dyDescent="0.2">
      <c r="A25" s="27">
        <v>38616</v>
      </c>
      <c r="B25" s="7">
        <f>'[11]Sep Prod'!I24</f>
        <v>14100000.000002183</v>
      </c>
      <c r="C25" s="8">
        <f t="shared" si="1"/>
        <v>14.100000000002183</v>
      </c>
      <c r="D25" s="10">
        <f t="shared" si="2"/>
        <v>43.287000000006699</v>
      </c>
      <c r="E25" s="7">
        <f>'[11]Sep Prod'!E24</f>
        <v>5000000</v>
      </c>
      <c r="F25" s="8">
        <f t="shared" si="3"/>
        <v>5</v>
      </c>
      <c r="G25" s="10">
        <f t="shared" si="4"/>
        <v>15.35</v>
      </c>
      <c r="H25" s="7">
        <f>'[11]Sep Prod'!F24</f>
        <v>9040000</v>
      </c>
      <c r="I25" s="8">
        <f t="shared" si="5"/>
        <v>9.0399999999999991</v>
      </c>
      <c r="J25" s="10">
        <f t="shared" si="6"/>
        <v>27.752799999999997</v>
      </c>
      <c r="K25" s="7">
        <f>'[11]Sep Prod'!H272</f>
        <v>1248584</v>
      </c>
      <c r="L25" s="8">
        <f t="shared" si="7"/>
        <v>1.2485839999999999</v>
      </c>
      <c r="M25" s="10">
        <f t="shared" si="8"/>
        <v>3.8331528799999997</v>
      </c>
      <c r="N25" s="21"/>
      <c r="O25" s="7">
        <f>'[11]Sep Prod'!H24</f>
        <v>12552000</v>
      </c>
      <c r="P25" s="8">
        <f t="shared" si="9"/>
        <v>12.552</v>
      </c>
      <c r="Q25" s="10">
        <f t="shared" si="10"/>
        <v>38.534639999999996</v>
      </c>
      <c r="R25" s="7">
        <f>'[11]Sep Prod'!C24</f>
        <v>13130000</v>
      </c>
      <c r="S25" s="8">
        <f t="shared" si="11"/>
        <v>13.13</v>
      </c>
      <c r="T25" s="10">
        <f t="shared" si="12"/>
        <v>40.309100000000001</v>
      </c>
      <c r="U25" s="7">
        <f>'[11]Sep Prod'!D24</f>
        <v>0</v>
      </c>
      <c r="V25" s="8">
        <f t="shared" si="13"/>
        <v>0</v>
      </c>
      <c r="W25" s="10">
        <f t="shared" si="14"/>
        <v>0</v>
      </c>
      <c r="X25" s="7">
        <f>'[11]Sep Prod'!D272</f>
        <v>577999.99999999942</v>
      </c>
      <c r="Y25" s="8">
        <f t="shared" si="15"/>
        <v>0.5779999999999994</v>
      </c>
      <c r="Z25" s="10">
        <f t="shared" si="16"/>
        <v>1.7744599999999981</v>
      </c>
      <c r="AA25" s="15"/>
      <c r="AB25" s="7">
        <f t="shared" si="17"/>
        <v>26652000.000002183</v>
      </c>
      <c r="AC25" s="8">
        <f t="shared" si="17"/>
        <v>26.652000000002182</v>
      </c>
      <c r="AD25" s="8">
        <f t="shared" si="17"/>
        <v>81.821640000006695</v>
      </c>
      <c r="AF25" s="8">
        <f t="shared" si="19"/>
        <v>6.6613381477509392E-15</v>
      </c>
    </row>
    <row r="26" spans="1:32" x14ac:dyDescent="0.2">
      <c r="A26" s="27">
        <v>38617</v>
      </c>
      <c r="B26" s="7">
        <f>'[11]Sep Prod'!I25</f>
        <v>14000000</v>
      </c>
      <c r="C26" s="8">
        <f t="shared" si="1"/>
        <v>14</v>
      </c>
      <c r="D26" s="10">
        <f t="shared" si="2"/>
        <v>42.98</v>
      </c>
      <c r="E26" s="7">
        <f>'[11]Sep Prod'!E25</f>
        <v>5000000</v>
      </c>
      <c r="F26" s="8">
        <f t="shared" si="3"/>
        <v>5</v>
      </c>
      <c r="G26" s="10">
        <f t="shared" si="4"/>
        <v>15.35</v>
      </c>
      <c r="H26" s="7">
        <f>'[11]Sep Prod'!F25</f>
        <v>8520000</v>
      </c>
      <c r="I26" s="8">
        <f t="shared" si="5"/>
        <v>8.52</v>
      </c>
      <c r="J26" s="10">
        <f t="shared" si="6"/>
        <v>26.156399999999998</v>
      </c>
      <c r="K26" s="7">
        <f>'[11]Sep Prod'!H273</f>
        <v>1161289</v>
      </c>
      <c r="L26" s="8">
        <f t="shared" si="7"/>
        <v>1.161289</v>
      </c>
      <c r="M26" s="10">
        <f t="shared" si="8"/>
        <v>3.5651572300000001</v>
      </c>
      <c r="N26" s="21"/>
      <c r="O26" s="7">
        <f>'[11]Sep Prod'!H25</f>
        <v>10639000.000000002</v>
      </c>
      <c r="P26" s="8">
        <f t="shared" si="9"/>
        <v>10.639000000000001</v>
      </c>
      <c r="Q26" s="10">
        <f t="shared" si="10"/>
        <v>32.661729999999999</v>
      </c>
      <c r="R26" s="7">
        <f>'[11]Sep Prod'!C25</f>
        <v>11321000</v>
      </c>
      <c r="S26" s="8">
        <f t="shared" si="11"/>
        <v>11.321</v>
      </c>
      <c r="T26" s="10">
        <f t="shared" si="12"/>
        <v>34.755469999999995</v>
      </c>
      <c r="U26" s="7">
        <f>'[11]Sep Prod'!D25</f>
        <v>0</v>
      </c>
      <c r="V26" s="8">
        <f t="shared" si="13"/>
        <v>0</v>
      </c>
      <c r="W26" s="10">
        <f t="shared" si="14"/>
        <v>0</v>
      </c>
      <c r="X26" s="7">
        <f>'[11]Sep Prod'!D273</f>
        <v>681999.9999999986</v>
      </c>
      <c r="Y26" s="8">
        <f t="shared" si="15"/>
        <v>0.68199999999999861</v>
      </c>
      <c r="Z26" s="10">
        <f t="shared" si="16"/>
        <v>2.0937399999999955</v>
      </c>
      <c r="AA26" s="15"/>
      <c r="AB26" s="7">
        <f t="shared" si="17"/>
        <v>24639000</v>
      </c>
      <c r="AC26" s="8">
        <f t="shared" si="17"/>
        <v>24.639000000000003</v>
      </c>
      <c r="AD26" s="8">
        <f t="shared" si="17"/>
        <v>75.641729999999995</v>
      </c>
      <c r="AF26" s="8">
        <f t="shared" si="19"/>
        <v>0</v>
      </c>
    </row>
    <row r="27" spans="1:32" x14ac:dyDescent="0.2">
      <c r="A27" s="27">
        <v>38618</v>
      </c>
      <c r="B27" s="7">
        <f>'[11]Sep Prod'!I26</f>
        <v>15199999.999997091</v>
      </c>
      <c r="C27" s="8">
        <f t="shared" si="1"/>
        <v>15.199999999997091</v>
      </c>
      <c r="D27" s="10">
        <f t="shared" si="2"/>
        <v>46.66399999999107</v>
      </c>
      <c r="E27" s="7">
        <f>'[11]Sep Prod'!E26</f>
        <v>7000000</v>
      </c>
      <c r="F27" s="8">
        <f t="shared" si="3"/>
        <v>7</v>
      </c>
      <c r="G27" s="10">
        <f t="shared" si="4"/>
        <v>21.49</v>
      </c>
      <c r="H27" s="7">
        <f>'[11]Sep Prod'!F26</f>
        <v>8710000</v>
      </c>
      <c r="I27" s="8">
        <f t="shared" si="5"/>
        <v>8.7100000000000009</v>
      </c>
      <c r="J27" s="10">
        <f t="shared" si="6"/>
        <v>26.739700000000003</v>
      </c>
      <c r="K27" s="7">
        <f>'[11]Sep Prod'!H274</f>
        <v>1306889</v>
      </c>
      <c r="L27" s="8">
        <f t="shared" si="7"/>
        <v>1.306889</v>
      </c>
      <c r="M27" s="10">
        <f t="shared" si="8"/>
        <v>4.0121492299999995</v>
      </c>
      <c r="N27" s="21"/>
      <c r="O27" s="7">
        <f>'[11]Sep Prod'!H26</f>
        <v>8889000</v>
      </c>
      <c r="P27" s="8">
        <f t="shared" si="9"/>
        <v>8.8889999999999993</v>
      </c>
      <c r="Q27" s="10">
        <f t="shared" si="10"/>
        <v>27.289229999999996</v>
      </c>
      <c r="R27" s="7">
        <f>'[11]Sep Prod'!C26</f>
        <v>9471000</v>
      </c>
      <c r="S27" s="8">
        <f t="shared" si="11"/>
        <v>9.4710000000000001</v>
      </c>
      <c r="T27" s="10">
        <f t="shared" si="12"/>
        <v>29.075969999999998</v>
      </c>
      <c r="U27" s="7">
        <f>'[11]Sep Prod'!D26</f>
        <v>0</v>
      </c>
      <c r="V27" s="8">
        <f t="shared" si="13"/>
        <v>0</v>
      </c>
      <c r="W27" s="10">
        <f t="shared" si="14"/>
        <v>0</v>
      </c>
      <c r="X27" s="7">
        <f>'[11]Sep Prod'!D274</f>
        <v>582000.0000000007</v>
      </c>
      <c r="Y27" s="8">
        <f t="shared" si="15"/>
        <v>0.58200000000000074</v>
      </c>
      <c r="Z27" s="10">
        <f t="shared" si="16"/>
        <v>1.7867400000000022</v>
      </c>
      <c r="AA27" s="15"/>
      <c r="AB27" s="7">
        <f t="shared" si="17"/>
        <v>24088999.999997091</v>
      </c>
      <c r="AC27" s="8">
        <f t="shared" si="17"/>
        <v>24.088999999997093</v>
      </c>
      <c r="AD27" s="8">
        <f t="shared" si="17"/>
        <v>73.953229999991066</v>
      </c>
      <c r="AF27" s="8">
        <f t="shared" si="19"/>
        <v>0</v>
      </c>
    </row>
    <row r="28" spans="1:32" x14ac:dyDescent="0.2">
      <c r="A28" s="27">
        <v>38619</v>
      </c>
      <c r="B28" s="7">
        <f>'[11]Sep Prod'!I27</f>
        <v>14500000</v>
      </c>
      <c r="C28" s="8">
        <f t="shared" si="1"/>
        <v>14.5</v>
      </c>
      <c r="D28" s="10">
        <f t="shared" si="2"/>
        <v>44.515000000000001</v>
      </c>
      <c r="E28" s="7">
        <f>'[11]Sep Prod'!E27</f>
        <v>6000000</v>
      </c>
      <c r="F28" s="8">
        <f t="shared" si="3"/>
        <v>6</v>
      </c>
      <c r="G28" s="10">
        <f t="shared" si="4"/>
        <v>18.419999999999998</v>
      </c>
      <c r="H28" s="7">
        <f>'[11]Sep Prod'!F27</f>
        <v>8500000</v>
      </c>
      <c r="I28" s="8">
        <f t="shared" si="5"/>
        <v>8.5</v>
      </c>
      <c r="J28" s="10">
        <f t="shared" si="6"/>
        <v>26.094999999999999</v>
      </c>
      <c r="K28" s="7">
        <f>'[11]Sep Prod'!H275</f>
        <v>1253531</v>
      </c>
      <c r="L28" s="8">
        <f t="shared" si="7"/>
        <v>1.253531</v>
      </c>
      <c r="M28" s="10">
        <f t="shared" si="8"/>
        <v>3.8483401699999997</v>
      </c>
      <c r="N28" s="21"/>
      <c r="O28" s="7">
        <f>'[11]Sep Prod'!H27</f>
        <v>9479000</v>
      </c>
      <c r="P28" s="8">
        <f t="shared" si="9"/>
        <v>9.4789999999999992</v>
      </c>
      <c r="Q28" s="10">
        <f t="shared" si="10"/>
        <v>29.100529999999996</v>
      </c>
      <c r="R28" s="7">
        <f>'[11]Sep Prod'!C27</f>
        <v>10031000</v>
      </c>
      <c r="S28" s="8">
        <f t="shared" si="11"/>
        <v>10.031000000000001</v>
      </c>
      <c r="T28" s="10">
        <f t="shared" si="12"/>
        <v>30.795169999999999</v>
      </c>
      <c r="U28" s="7">
        <f>'[11]Sep Prod'!D27</f>
        <v>0</v>
      </c>
      <c r="V28" s="8">
        <f t="shared" si="13"/>
        <v>0</v>
      </c>
      <c r="W28" s="10">
        <f t="shared" si="14"/>
        <v>0</v>
      </c>
      <c r="X28" s="7">
        <f>'[11]Sep Prod'!D275</f>
        <v>551999.99999999965</v>
      </c>
      <c r="Y28" s="8">
        <f t="shared" si="15"/>
        <v>0.5519999999999996</v>
      </c>
      <c r="Z28" s="10">
        <f t="shared" si="16"/>
        <v>1.6946399999999986</v>
      </c>
      <c r="AA28" s="15"/>
      <c r="AB28" s="7">
        <f t="shared" si="17"/>
        <v>23979000</v>
      </c>
      <c r="AC28" s="8">
        <f t="shared" si="17"/>
        <v>23.978999999999999</v>
      </c>
      <c r="AD28" s="8">
        <f t="shared" si="17"/>
        <v>73.615529999999993</v>
      </c>
      <c r="AF28" s="8">
        <f t="shared" si="19"/>
        <v>4.6629367034256575E-15</v>
      </c>
    </row>
    <row r="29" spans="1:32" x14ac:dyDescent="0.2">
      <c r="A29" s="27">
        <v>38620</v>
      </c>
      <c r="B29" s="7">
        <f>'[11]Sep Prod'!I28</f>
        <v>15500000</v>
      </c>
      <c r="C29" s="8">
        <f t="shared" si="1"/>
        <v>15.5</v>
      </c>
      <c r="D29" s="10">
        <f t="shared" si="2"/>
        <v>47.585000000000001</v>
      </c>
      <c r="E29" s="7">
        <f>'[11]Sep Prod'!E28</f>
        <v>5000000</v>
      </c>
      <c r="F29" s="8">
        <f t="shared" si="3"/>
        <v>5</v>
      </c>
      <c r="G29" s="10">
        <f t="shared" si="4"/>
        <v>15.35</v>
      </c>
      <c r="H29" s="7">
        <f>'[11]Sep Prod'!F28</f>
        <v>10390000</v>
      </c>
      <c r="I29" s="8">
        <f t="shared" si="5"/>
        <v>10.39</v>
      </c>
      <c r="J29" s="10">
        <f t="shared" si="6"/>
        <v>31.897300000000001</v>
      </c>
      <c r="K29" s="7">
        <f>'[11]Sep Prod'!H276</f>
        <v>1301946</v>
      </c>
      <c r="L29" s="8">
        <f t="shared" si="7"/>
        <v>1.301946</v>
      </c>
      <c r="M29" s="10">
        <f t="shared" si="8"/>
        <v>3.9969742199999998</v>
      </c>
      <c r="N29" s="21"/>
      <c r="O29" s="7">
        <f>'[11]Sep Prod'!H28</f>
        <v>12277000</v>
      </c>
      <c r="P29" s="8">
        <f t="shared" si="9"/>
        <v>12.276999999999999</v>
      </c>
      <c r="Q29" s="10">
        <f t="shared" si="10"/>
        <v>37.690389999999994</v>
      </c>
      <c r="R29" s="7">
        <f>'[11]Sep Prod'!C28</f>
        <v>12946000</v>
      </c>
      <c r="S29" s="8">
        <f t="shared" si="11"/>
        <v>12.946</v>
      </c>
      <c r="T29" s="10">
        <f t="shared" si="12"/>
        <v>39.744219999999999</v>
      </c>
      <c r="U29" s="7">
        <f>'[11]Sep Prod'!D28</f>
        <v>0</v>
      </c>
      <c r="V29" s="8">
        <f t="shared" si="13"/>
        <v>0</v>
      </c>
      <c r="W29" s="10">
        <f t="shared" si="14"/>
        <v>0</v>
      </c>
      <c r="X29" s="7">
        <f>'[11]Sep Prod'!D276</f>
        <v>669000.00000000047</v>
      </c>
      <c r="Y29" s="8">
        <f t="shared" si="15"/>
        <v>0.66900000000000048</v>
      </c>
      <c r="Z29" s="10">
        <f t="shared" si="16"/>
        <v>2.0538300000000014</v>
      </c>
      <c r="AA29" s="15"/>
      <c r="AB29" s="7">
        <f t="shared" si="17"/>
        <v>27777000</v>
      </c>
      <c r="AC29" s="8">
        <f t="shared" si="17"/>
        <v>27.777000000000001</v>
      </c>
      <c r="AD29" s="8">
        <f t="shared" si="17"/>
        <v>85.275389999999987</v>
      </c>
      <c r="AF29" s="8">
        <f t="shared" si="19"/>
        <v>3.5527136788005009E-15</v>
      </c>
    </row>
    <row r="30" spans="1:32" x14ac:dyDescent="0.2">
      <c r="A30" s="27">
        <v>38621</v>
      </c>
      <c r="B30" s="7">
        <f>'[11]Sep Prod'!I29</f>
        <v>16200000.000000728</v>
      </c>
      <c r="C30" s="8">
        <f t="shared" si="1"/>
        <v>16.200000000000728</v>
      </c>
      <c r="D30" s="10">
        <f t="shared" si="2"/>
        <v>49.734000000002233</v>
      </c>
      <c r="E30" s="7">
        <f>'[11]Sep Prod'!E29</f>
        <v>4000000</v>
      </c>
      <c r="F30" s="8">
        <f t="shared" si="3"/>
        <v>4</v>
      </c>
      <c r="G30" s="10">
        <f t="shared" si="4"/>
        <v>12.28</v>
      </c>
      <c r="H30" s="7">
        <f>'[11]Sep Prod'!F29</f>
        <v>11460000</v>
      </c>
      <c r="I30" s="8">
        <f t="shared" si="5"/>
        <v>11.46</v>
      </c>
      <c r="J30" s="10">
        <f t="shared" si="6"/>
        <v>35.182200000000002</v>
      </c>
      <c r="K30" s="7">
        <f>'[11]Sep Prod'!H277</f>
        <v>1431463</v>
      </c>
      <c r="L30" s="8">
        <f t="shared" si="7"/>
        <v>1.4314629999999999</v>
      </c>
      <c r="M30" s="10">
        <f t="shared" si="8"/>
        <v>4.3945914099999994</v>
      </c>
      <c r="N30" s="21"/>
      <c r="O30" s="7">
        <f>'[11]Sep Prod'!H29</f>
        <v>11727000</v>
      </c>
      <c r="P30" s="8">
        <f t="shared" si="9"/>
        <v>11.727</v>
      </c>
      <c r="Q30" s="10">
        <f t="shared" si="10"/>
        <v>36.001889999999996</v>
      </c>
      <c r="R30" s="7">
        <f>'[11]Sep Prod'!C29</f>
        <v>12405000</v>
      </c>
      <c r="S30" s="8">
        <f t="shared" si="11"/>
        <v>12.404999999999999</v>
      </c>
      <c r="T30" s="10">
        <f t="shared" si="12"/>
        <v>38.083349999999996</v>
      </c>
      <c r="U30" s="7">
        <f>'[11]Sep Prod'!D29</f>
        <v>0</v>
      </c>
      <c r="V30" s="8">
        <f t="shared" si="13"/>
        <v>0</v>
      </c>
      <c r="W30" s="10">
        <f t="shared" si="14"/>
        <v>0</v>
      </c>
      <c r="X30" s="7">
        <f>'[11]Sep Prod'!D277</f>
        <v>678000.00000000081</v>
      </c>
      <c r="Y30" s="8">
        <f t="shared" si="15"/>
        <v>0.67800000000000082</v>
      </c>
      <c r="Z30" s="10">
        <f t="shared" si="16"/>
        <v>2.0814600000000025</v>
      </c>
      <c r="AA30" s="15"/>
      <c r="AB30" s="7">
        <f t="shared" si="17"/>
        <v>27927000.00000073</v>
      </c>
      <c r="AC30" s="8">
        <f t="shared" si="17"/>
        <v>27.927000000000728</v>
      </c>
      <c r="AD30" s="8">
        <f>D30+Q30</f>
        <v>85.735890000002229</v>
      </c>
      <c r="AF30" s="8">
        <f t="shared" si="19"/>
        <v>0</v>
      </c>
    </row>
    <row r="31" spans="1:32" x14ac:dyDescent="0.2">
      <c r="A31" s="27">
        <v>38622</v>
      </c>
      <c r="B31" s="7">
        <f>'[11]Sep Prod'!I30</f>
        <v>14000000</v>
      </c>
      <c r="C31" s="8">
        <f t="shared" si="1"/>
        <v>14</v>
      </c>
      <c r="D31" s="10">
        <f t="shared" si="2"/>
        <v>42.98</v>
      </c>
      <c r="E31" s="7">
        <f>'[11]Sep Prod'!E30</f>
        <v>4000000</v>
      </c>
      <c r="F31" s="8">
        <f t="shared" si="3"/>
        <v>4</v>
      </c>
      <c r="G31" s="10">
        <f t="shared" si="4"/>
        <v>12.28</v>
      </c>
      <c r="H31" s="7">
        <f>'[11]Sep Prod'!F30</f>
        <v>9010000</v>
      </c>
      <c r="I31" s="8">
        <f t="shared" si="5"/>
        <v>9.01</v>
      </c>
      <c r="J31" s="10">
        <f t="shared" si="6"/>
        <v>27.660699999999999</v>
      </c>
      <c r="K31" s="7">
        <f>'[11]Sep Prod'!H278</f>
        <v>1161053</v>
      </c>
      <c r="L31" s="8">
        <f t="shared" si="7"/>
        <v>1.1610529999999999</v>
      </c>
      <c r="M31" s="10">
        <f t="shared" si="8"/>
        <v>3.5644327099999993</v>
      </c>
      <c r="N31" s="21"/>
      <c r="O31" s="7">
        <f>'[11]Sep Prod'!H30</f>
        <v>12417000</v>
      </c>
      <c r="P31" s="8">
        <f t="shared" si="9"/>
        <v>12.417</v>
      </c>
      <c r="Q31" s="10">
        <f t="shared" si="10"/>
        <v>38.120190000000001</v>
      </c>
      <c r="R31" s="7">
        <f>'[11]Sep Prod'!C30</f>
        <v>12934000</v>
      </c>
      <c r="S31" s="8">
        <f t="shared" si="11"/>
        <v>12.933999999999999</v>
      </c>
      <c r="T31" s="10">
        <f t="shared" si="12"/>
        <v>39.707379999999993</v>
      </c>
      <c r="U31" s="7">
        <f>'[11]Sep Prod'!D30</f>
        <v>0</v>
      </c>
      <c r="V31" s="8">
        <f t="shared" si="13"/>
        <v>0</v>
      </c>
      <c r="W31" s="10">
        <f t="shared" si="14"/>
        <v>0</v>
      </c>
      <c r="X31" s="7">
        <f>'[11]Sep Prod'!D278</f>
        <v>516999.99999999948</v>
      </c>
      <c r="Y31" s="8">
        <f t="shared" si="15"/>
        <v>0.51699999999999946</v>
      </c>
      <c r="Z31" s="10">
        <f t="shared" si="16"/>
        <v>1.5871899999999983</v>
      </c>
      <c r="AA31" s="15"/>
      <c r="AB31" s="7">
        <f t="shared" si="17"/>
        <v>26417000</v>
      </c>
      <c r="AC31" s="8">
        <f t="shared" si="17"/>
        <v>26.417000000000002</v>
      </c>
      <c r="AD31" s="8">
        <f t="shared" si="17"/>
        <v>81.100189999999998</v>
      </c>
      <c r="AF31" s="8">
        <f>T31-Q31-Z31</f>
        <v>-5.773159728050814E-15</v>
      </c>
    </row>
    <row r="32" spans="1:32" x14ac:dyDescent="0.2">
      <c r="A32" s="27">
        <v>38623</v>
      </c>
      <c r="B32" s="7">
        <f>'[11]Sep Prod'!I31</f>
        <v>14000000</v>
      </c>
      <c r="C32" s="8">
        <f t="shared" si="1"/>
        <v>14</v>
      </c>
      <c r="D32" s="10">
        <f t="shared" si="2"/>
        <v>42.98</v>
      </c>
      <c r="E32" s="7">
        <f>'[11]Sep Prod'!E31</f>
        <v>6000000</v>
      </c>
      <c r="F32" s="8">
        <f t="shared" si="3"/>
        <v>6</v>
      </c>
      <c r="G32" s="10">
        <f t="shared" si="4"/>
        <v>18.419999999999998</v>
      </c>
      <c r="H32" s="7">
        <f>'[11]Sep Prod'!F31</f>
        <v>9200000</v>
      </c>
      <c r="I32" s="8">
        <f t="shared" si="5"/>
        <v>9.1999999999999993</v>
      </c>
      <c r="J32" s="10">
        <f t="shared" si="6"/>
        <v>28.243999999999996</v>
      </c>
      <c r="K32" s="7">
        <f>'[11]Sep Prod'!H279</f>
        <v>1226037</v>
      </c>
      <c r="L32" s="8">
        <f t="shared" si="7"/>
        <v>1.226037</v>
      </c>
      <c r="M32" s="10">
        <f t="shared" si="8"/>
        <v>3.7639335899999997</v>
      </c>
      <c r="N32" s="21"/>
      <c r="O32" s="7">
        <f>'[11]Sep Prod'!H31</f>
        <v>12490999.999999996</v>
      </c>
      <c r="P32" s="8">
        <f t="shared" si="9"/>
        <v>12.490999999999996</v>
      </c>
      <c r="Q32" s="10">
        <f t="shared" si="10"/>
        <v>38.347369999999984</v>
      </c>
      <c r="R32" s="7">
        <f>'[11]Sep Prod'!C31</f>
        <v>13063000</v>
      </c>
      <c r="S32" s="8">
        <f t="shared" si="11"/>
        <v>13.063000000000001</v>
      </c>
      <c r="T32" s="10">
        <f t="shared" si="12"/>
        <v>40.103409999999997</v>
      </c>
      <c r="U32" s="7">
        <f>'[11]Sep Prod'!D31</f>
        <v>0</v>
      </c>
      <c r="V32" s="8">
        <f t="shared" si="13"/>
        <v>0</v>
      </c>
      <c r="W32" s="10">
        <f t="shared" si="14"/>
        <v>0</v>
      </c>
      <c r="X32" s="7">
        <f>'[11]Sep Prod'!D279</f>
        <v>572000.00000000268</v>
      </c>
      <c r="Y32" s="8">
        <f t="shared" si="15"/>
        <v>0.57200000000000273</v>
      </c>
      <c r="Z32" s="10">
        <f t="shared" si="16"/>
        <v>1.7560400000000083</v>
      </c>
      <c r="AA32" s="15"/>
      <c r="AB32" s="7">
        <f t="shared" si="17"/>
        <v>26490999.999999996</v>
      </c>
      <c r="AC32" s="8">
        <f t="shared" si="17"/>
        <v>26.490999999999996</v>
      </c>
      <c r="AD32" s="8">
        <f t="shared" si="17"/>
        <v>81.327369999999974</v>
      </c>
      <c r="AF32" s="8">
        <f t="shared" si="19"/>
        <v>4.6629367034256575E-15</v>
      </c>
    </row>
    <row r="33" spans="1:32" x14ac:dyDescent="0.2">
      <c r="A33" s="27">
        <v>38624</v>
      </c>
      <c r="B33" s="7">
        <f>'[11]Sep Prod'!I32</f>
        <v>11000000</v>
      </c>
      <c r="C33" s="8">
        <f t="shared" si="1"/>
        <v>11</v>
      </c>
      <c r="D33" s="10">
        <f t="shared" si="2"/>
        <v>33.769999999999996</v>
      </c>
      <c r="E33" s="7">
        <f>'[11]Sep Prod'!E32</f>
        <v>2000000</v>
      </c>
      <c r="F33" s="8">
        <f t="shared" si="3"/>
        <v>2</v>
      </c>
      <c r="G33" s="10">
        <f t="shared" si="4"/>
        <v>6.14</v>
      </c>
      <c r="H33" s="7">
        <f>'[11]Sep Prod'!F32</f>
        <v>7440000</v>
      </c>
      <c r="I33" s="8">
        <f t="shared" si="5"/>
        <v>7.44</v>
      </c>
      <c r="J33" s="10">
        <f t="shared" si="6"/>
        <v>22.840800000000002</v>
      </c>
      <c r="K33" s="7">
        <f>'[11]Sep Prod'!H280</f>
        <v>933211</v>
      </c>
      <c r="L33" s="8">
        <f t="shared" si="7"/>
        <v>0.93321100000000001</v>
      </c>
      <c r="M33" s="10">
        <f t="shared" si="8"/>
        <v>2.8649577699999997</v>
      </c>
      <c r="N33" s="21"/>
      <c r="O33" s="7">
        <f>'[11]Sep Prod'!H32</f>
        <v>9835000.0000000019</v>
      </c>
      <c r="P33" s="8">
        <f t="shared" si="9"/>
        <v>9.8350000000000026</v>
      </c>
      <c r="Q33" s="10">
        <f t="shared" si="10"/>
        <v>30.193450000000006</v>
      </c>
      <c r="R33" s="7">
        <f>'[11]Sep Prod'!C32</f>
        <v>10110000</v>
      </c>
      <c r="S33" s="8">
        <f t="shared" si="11"/>
        <v>10.11</v>
      </c>
      <c r="T33" s="10">
        <f t="shared" si="12"/>
        <v>31.037699999999997</v>
      </c>
      <c r="U33" s="7">
        <f>'[11]Sep Prod'!D32</f>
        <v>0</v>
      </c>
      <c r="V33" s="8">
        <f t="shared" si="13"/>
        <v>0</v>
      </c>
      <c r="W33" s="10">
        <f t="shared" si="14"/>
        <v>0</v>
      </c>
      <c r="X33" s="7">
        <f>'[11]Sep Prod'!D280</f>
        <v>274999.9999999986</v>
      </c>
      <c r="Y33" s="8">
        <f t="shared" si="15"/>
        <v>0.27499999999999858</v>
      </c>
      <c r="Z33" s="10">
        <f t="shared" si="16"/>
        <v>0.84424999999999562</v>
      </c>
      <c r="AA33" s="15"/>
      <c r="AB33" s="7">
        <f t="shared" si="17"/>
        <v>20835000</v>
      </c>
      <c r="AC33" s="8">
        <f t="shared" si="17"/>
        <v>20.835000000000001</v>
      </c>
      <c r="AD33" s="8">
        <f t="shared" si="17"/>
        <v>63.963450000000002</v>
      </c>
      <c r="AF33" s="8">
        <f t="shared" si="19"/>
        <v>-3.8857805861880479E-15</v>
      </c>
    </row>
    <row r="34" spans="1:32" ht="13.5" thickBot="1" x14ac:dyDescent="0.25">
      <c r="A34" s="27">
        <v>38625</v>
      </c>
      <c r="B34" s="7">
        <f>'[11]Sep Prod'!I33</f>
        <v>8100000.000002183</v>
      </c>
      <c r="C34" s="8">
        <f t="shared" si="1"/>
        <v>8.1000000000021828</v>
      </c>
      <c r="D34" s="10">
        <f t="shared" si="2"/>
        <v>24.867000000006701</v>
      </c>
      <c r="E34" s="7">
        <f>'[11]Sep Prod'!E33</f>
        <v>0</v>
      </c>
      <c r="F34" s="8">
        <f t="shared" si="3"/>
        <v>0</v>
      </c>
      <c r="G34" s="10">
        <f t="shared" si="4"/>
        <v>0</v>
      </c>
      <c r="H34" s="7">
        <f>'[11]Sep Prod'!F33</f>
        <v>8050000.0000000009</v>
      </c>
      <c r="I34" s="8">
        <f t="shared" si="5"/>
        <v>8.0500000000000007</v>
      </c>
      <c r="J34" s="10">
        <f t="shared" si="6"/>
        <v>24.7135</v>
      </c>
      <c r="K34" s="7">
        <f>'[11]Sep Prod'!H281</f>
        <v>852333</v>
      </c>
      <c r="L34" s="8">
        <f t="shared" si="7"/>
        <v>0.85233300000000001</v>
      </c>
      <c r="M34" s="10">
        <f t="shared" si="8"/>
        <v>2.6166623099999997</v>
      </c>
      <c r="N34" s="21"/>
      <c r="O34" s="7">
        <f>'[11]Sep Prod'!H33</f>
        <v>9763000</v>
      </c>
      <c r="P34" s="8">
        <f t="shared" si="9"/>
        <v>9.7629999999999999</v>
      </c>
      <c r="Q34" s="10">
        <f t="shared" si="10"/>
        <v>29.972409999999996</v>
      </c>
      <c r="R34" s="7">
        <f>'[11]Sep Prod'!C33</f>
        <v>10129000</v>
      </c>
      <c r="S34" s="8">
        <f t="shared" si="11"/>
        <v>10.129</v>
      </c>
      <c r="T34" s="10">
        <f t="shared" si="12"/>
        <v>31.096029999999995</v>
      </c>
      <c r="U34" s="7">
        <f>'[11]Sep Prod'!D33</f>
        <v>0</v>
      </c>
      <c r="V34" s="8">
        <f t="shared" si="13"/>
        <v>0</v>
      </c>
      <c r="W34" s="10">
        <f t="shared" si="14"/>
        <v>0</v>
      </c>
      <c r="X34" s="7">
        <f>'[11]Sep Prod'!D281</f>
        <v>365999.99999999965</v>
      </c>
      <c r="Y34" s="8">
        <f t="shared" si="15"/>
        <v>0.36599999999999966</v>
      </c>
      <c r="Z34" s="10">
        <f t="shared" si="16"/>
        <v>1.123619999999999</v>
      </c>
      <c r="AA34" s="15"/>
      <c r="AB34" s="7">
        <f t="shared" si="17"/>
        <v>17863000.000002183</v>
      </c>
      <c r="AC34" s="8">
        <f t="shared" si="17"/>
        <v>17.863000000002181</v>
      </c>
      <c r="AD34" s="8">
        <f t="shared" si="17"/>
        <v>54.839410000006694</v>
      </c>
      <c r="AF34" s="8">
        <f t="shared" si="19"/>
        <v>0</v>
      </c>
    </row>
    <row r="35" spans="1:32" ht="13.5" thickBot="1" x14ac:dyDescent="0.25">
      <c r="A35" s="3"/>
      <c r="B35" s="38">
        <f t="shared" ref="B35:I35" si="20">SUM(B5:B34)</f>
        <v>412800000.00000298</v>
      </c>
      <c r="C35" s="39">
        <f t="shared" si="20"/>
        <v>412.80000000000291</v>
      </c>
      <c r="D35" s="39">
        <f t="shared" si="20"/>
        <v>1267.2960000000091</v>
      </c>
      <c r="E35" s="38">
        <f t="shared" si="20"/>
        <v>180000000</v>
      </c>
      <c r="F35" s="39">
        <f t="shared" si="20"/>
        <v>180</v>
      </c>
      <c r="G35" s="39">
        <f t="shared" si="20"/>
        <v>552.6</v>
      </c>
      <c r="H35" s="38">
        <f t="shared" si="20"/>
        <v>232440000</v>
      </c>
      <c r="I35" s="39">
        <f t="shared" si="20"/>
        <v>232.44000000000003</v>
      </c>
      <c r="J35" s="39">
        <f t="shared" ref="J35" si="21">I35*3.07</f>
        <v>713.59080000000006</v>
      </c>
      <c r="K35" s="38">
        <f>SUM(K5:K34)</f>
        <v>35793195</v>
      </c>
      <c r="L35" s="39">
        <f>SUM(L5:L34)</f>
        <v>35.793194999999997</v>
      </c>
      <c r="M35" s="39">
        <f t="shared" ref="M35" si="22">L35*3.07</f>
        <v>109.88510864999999</v>
      </c>
      <c r="N35" s="14"/>
      <c r="O35" s="38">
        <f>SUM(O5:O34)</f>
        <v>288084000</v>
      </c>
      <c r="P35" s="39">
        <f>SUM(P5:P34)</f>
        <v>288.08399999999995</v>
      </c>
      <c r="Q35" s="39">
        <f t="shared" ref="Q35" si="23">P35*3.07</f>
        <v>884.41787999999974</v>
      </c>
      <c r="R35" s="38"/>
      <c r="S35" s="39">
        <f>SUM(S5:S34)</f>
        <v>303.32700000000006</v>
      </c>
      <c r="T35" s="39">
        <f t="shared" ref="T35" si="24">S35*3.07</f>
        <v>931.21389000000011</v>
      </c>
      <c r="U35" s="38">
        <f>SUM(U5:U34)</f>
        <v>0</v>
      </c>
      <c r="V35" s="39">
        <f>SUM(V5:V34)</f>
        <v>0</v>
      </c>
      <c r="W35" s="39">
        <f t="shared" ref="W35" si="25">V35*3.07</f>
        <v>0</v>
      </c>
      <c r="X35" s="38"/>
      <c r="Y35" s="39">
        <f>SUM(Y5:Y34)</f>
        <v>15.243000000000002</v>
      </c>
      <c r="Z35" s="39">
        <f t="shared" si="16"/>
        <v>46.796010000000003</v>
      </c>
      <c r="AA35" s="14"/>
      <c r="AB35" s="38">
        <f>B35+O35</f>
        <v>700884000.00000298</v>
      </c>
      <c r="AC35" s="39">
        <f t="shared" si="17"/>
        <v>700.88400000000286</v>
      </c>
      <c r="AD35" s="39">
        <f t="shared" si="17"/>
        <v>2151.7138800000089</v>
      </c>
      <c r="AF35" s="8">
        <f t="shared" si="19"/>
        <v>3.6237679523765109E-13</v>
      </c>
    </row>
    <row r="36" spans="1:32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0"/>
      <c r="AC36" s="30"/>
      <c r="AD36" s="23"/>
      <c r="AF36" s="30"/>
    </row>
    <row r="37" spans="1:32" x14ac:dyDescent="0.2">
      <c r="Q37" s="18"/>
    </row>
    <row r="38" spans="1:32" x14ac:dyDescent="0.2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5" sqref="T5:T36"/>
    </sheetView>
  </sheetViews>
  <sheetFormatPr defaultRowHeight="12.75" x14ac:dyDescent="0.2"/>
  <cols>
    <col min="2" max="2" width="11" customWidth="1"/>
    <col min="5" max="5" width="11.28515625" customWidth="1"/>
    <col min="8" max="8" width="14.28515625" customWidth="1"/>
    <col min="11" max="11" width="15.42578125" customWidth="1"/>
    <col min="12" max="12" width="10.7109375" customWidth="1"/>
    <col min="13" max="13" width="12.140625" customWidth="1"/>
    <col min="15" max="15" width="11" customWidth="1"/>
    <col min="18" max="18" width="10.7109375" customWidth="1"/>
    <col min="22" max="22" width="10.7109375" customWidth="1"/>
    <col min="28" max="28" width="13.42578125" customWidth="1"/>
  </cols>
  <sheetData>
    <row r="1" spans="1:32" x14ac:dyDescent="0.2">
      <c r="A1" s="45" t="s">
        <v>14</v>
      </c>
      <c r="B1" s="41"/>
      <c r="C1" s="42"/>
      <c r="D1" s="42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0" t="s">
        <v>10</v>
      </c>
      <c r="C3" s="61"/>
      <c r="D3" s="62"/>
      <c r="E3" s="60" t="s">
        <v>11</v>
      </c>
      <c r="F3" s="61"/>
      <c r="G3" s="62"/>
      <c r="H3" s="60" t="s">
        <v>12</v>
      </c>
      <c r="I3" s="61"/>
      <c r="J3" s="62"/>
      <c r="K3" s="60" t="s">
        <v>13</v>
      </c>
      <c r="L3" s="61"/>
      <c r="M3" s="62"/>
      <c r="N3" s="19"/>
      <c r="O3" s="60" t="s">
        <v>4</v>
      </c>
      <c r="P3" s="61"/>
      <c r="Q3" s="62"/>
      <c r="R3" s="60" t="s">
        <v>3</v>
      </c>
      <c r="S3" s="61"/>
      <c r="T3" s="62"/>
      <c r="U3" s="60" t="s">
        <v>6</v>
      </c>
      <c r="V3" s="61"/>
      <c r="W3" s="62"/>
      <c r="X3" s="60" t="s">
        <v>7</v>
      </c>
      <c r="Y3" s="61"/>
      <c r="Z3" s="62"/>
      <c r="AA3" s="19"/>
      <c r="AB3" s="57" t="s">
        <v>8</v>
      </c>
      <c r="AC3" s="58"/>
      <c r="AD3" s="59"/>
      <c r="AF3" s="34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2">
      <c r="A5" s="27">
        <v>38626</v>
      </c>
      <c r="B5" s="7">
        <f>'[12]Oct Prod'!I4</f>
        <v>8599999.9999985453</v>
      </c>
      <c r="C5" s="8">
        <f>B5/1000000</f>
        <v>8.5999999999985448</v>
      </c>
      <c r="D5" s="10">
        <f>C5*3.07</f>
        <v>26.401999999995532</v>
      </c>
      <c r="E5" s="7">
        <f>'[12]Oct Prod'!E4</f>
        <v>0</v>
      </c>
      <c r="F5" s="8">
        <f>E5/1000000</f>
        <v>0</v>
      </c>
      <c r="G5" s="10">
        <f>F5*3.07</f>
        <v>0</v>
      </c>
      <c r="H5" s="7">
        <f>'[12]Oct Prod'!F4</f>
        <v>8010000</v>
      </c>
      <c r="I5" s="8">
        <f>H5/1000000</f>
        <v>8.01</v>
      </c>
      <c r="J5" s="10">
        <f>I5*3.07</f>
        <v>24.590699999999998</v>
      </c>
      <c r="K5" s="7">
        <f>'[12]Oct Prod'!H259</f>
        <v>776116</v>
      </c>
      <c r="L5" s="8">
        <f>K5/1000000</f>
        <v>0.77611600000000003</v>
      </c>
      <c r="M5" s="10">
        <f>L5*3.07</f>
        <v>2.3826761200000002</v>
      </c>
      <c r="N5" s="21"/>
      <c r="O5" s="7">
        <f>'[12]Oct Prod'!H4</f>
        <v>11063000.000000004</v>
      </c>
      <c r="P5" s="8">
        <f>O5/1000000</f>
        <v>11.063000000000004</v>
      </c>
      <c r="Q5" s="10">
        <f>P5*3.07</f>
        <v>33.96341000000001</v>
      </c>
      <c r="R5" s="7">
        <f>'[12]Oct Prod'!C4</f>
        <v>11272000</v>
      </c>
      <c r="S5" s="8">
        <f>R5/1000000</f>
        <v>11.272</v>
      </c>
      <c r="T5" s="10">
        <f>S5*3.07</f>
        <v>34.605040000000002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208999.99999999607</v>
      </c>
      <c r="Y5" s="8">
        <f>X5/1000000</f>
        <v>0.20899999999999608</v>
      </c>
      <c r="Z5" s="10">
        <f>Y5*3.07</f>
        <v>0.64162999999998793</v>
      </c>
      <c r="AA5" s="15"/>
      <c r="AB5" s="7">
        <f>B5+O5</f>
        <v>19662999.999998547</v>
      </c>
      <c r="AC5" s="8">
        <f>C5+P5</f>
        <v>19.662999999998547</v>
      </c>
      <c r="AD5" s="8">
        <f>D5+Q5</f>
        <v>60.365409999995542</v>
      </c>
      <c r="AF5" s="8">
        <f>T5-Q5-Z5</f>
        <v>4.2188474935755949E-15</v>
      </c>
    </row>
    <row r="6" spans="1:32" x14ac:dyDescent="0.2">
      <c r="A6" s="27">
        <v>38627</v>
      </c>
      <c r="B6" s="7">
        <f>'[12]Oct Prod'!I5</f>
        <v>6700000.0000007274</v>
      </c>
      <c r="C6" s="8">
        <f t="shared" ref="C6:C35" si="0">B6/1000000</f>
        <v>6.7000000000007276</v>
      </c>
      <c r="D6" s="10">
        <f t="shared" ref="D6:D35" si="1">C6*3.07</f>
        <v>20.569000000002234</v>
      </c>
      <c r="E6" s="7">
        <f>'[12]Oct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'[12]Oct Prod'!F5</f>
        <v>6600000</v>
      </c>
      <c r="I6" s="8">
        <f t="shared" ref="I6:I35" si="4">H6/1000000</f>
        <v>6.6</v>
      </c>
      <c r="J6" s="10">
        <f t="shared" ref="J6:J35" si="5">I6*3.07</f>
        <v>20.261999999999997</v>
      </c>
      <c r="K6" s="7">
        <f>'[12]Oct Prod'!H260</f>
        <v>652363</v>
      </c>
      <c r="L6" s="8">
        <f t="shared" ref="L6:L32" si="6">K6/1000000</f>
        <v>0.65236300000000003</v>
      </c>
      <c r="M6" s="10">
        <f t="shared" ref="M6:M32" si="7">L6*3.07</f>
        <v>2.0027544100000001</v>
      </c>
      <c r="N6" s="21"/>
      <c r="O6" s="7">
        <f>'[12]Oct Prod'!H5</f>
        <v>7640999.9999999963</v>
      </c>
      <c r="P6" s="8">
        <f t="shared" ref="P6:P35" si="8">O6/1000000</f>
        <v>7.6409999999999965</v>
      </c>
      <c r="Q6" s="10">
        <f t="shared" ref="Q6:Q35" si="9">P6*3.07</f>
        <v>23.457869999999989</v>
      </c>
      <c r="R6" s="7">
        <f>'[12]Oct Prod'!C5</f>
        <v>7987000</v>
      </c>
      <c r="S6" s="8">
        <f t="shared" ref="S6:S35" si="10">R6/1000000</f>
        <v>7.9870000000000001</v>
      </c>
      <c r="T6" s="10">
        <f t="shared" ref="T6:T35" si="11">S6*3.07</f>
        <v>24.52009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346000.00000000361</v>
      </c>
      <c r="Y6" s="8">
        <f t="shared" ref="Y6:Y35" si="14">X6/1000000</f>
        <v>0.34600000000000358</v>
      </c>
      <c r="Z6" s="10">
        <f t="shared" ref="Z6:Z35" si="15">Y6*3.07</f>
        <v>1.062220000000011</v>
      </c>
      <c r="AA6" s="15"/>
      <c r="AB6" s="7">
        <f t="shared" ref="AB6:AD35" si="16">B6+O6</f>
        <v>14341000.000000723</v>
      </c>
      <c r="AC6" s="8">
        <f t="shared" si="16"/>
        <v>14.341000000000724</v>
      </c>
      <c r="AD6" s="8">
        <f t="shared" si="16"/>
        <v>44.026870000002219</v>
      </c>
      <c r="AF6" s="8">
        <f>T6-Q6-Z6</f>
        <v>0</v>
      </c>
    </row>
    <row r="7" spans="1:32" x14ac:dyDescent="0.2">
      <c r="A7" s="27">
        <v>38628</v>
      </c>
      <c r="B7" s="7">
        <f>'[12]Oct Prod'!I6</f>
        <v>8299999.9999992726</v>
      </c>
      <c r="C7" s="8">
        <f t="shared" si="0"/>
        <v>8.2999999999992724</v>
      </c>
      <c r="D7" s="10">
        <f t="shared" si="1"/>
        <v>25.480999999997763</v>
      </c>
      <c r="E7" s="7">
        <f>'[12]Oct Prod'!E6</f>
        <v>0</v>
      </c>
      <c r="F7" s="8">
        <f t="shared" si="2"/>
        <v>0</v>
      </c>
      <c r="G7" s="10">
        <f t="shared" si="3"/>
        <v>0</v>
      </c>
      <c r="H7" s="7">
        <f>'[12]Oct Prod'!F6</f>
        <v>7100000</v>
      </c>
      <c r="I7" s="8">
        <f t="shared" si="4"/>
        <v>7.1</v>
      </c>
      <c r="J7" s="10">
        <f t="shared" si="5"/>
        <v>21.796999999999997</v>
      </c>
      <c r="K7" s="7">
        <f>'[12]Oct Prod'!H261</f>
        <v>746470</v>
      </c>
      <c r="L7" s="8">
        <f t="shared" si="6"/>
        <v>0.74646999999999997</v>
      </c>
      <c r="M7" s="10">
        <f t="shared" si="7"/>
        <v>2.2916628999999999</v>
      </c>
      <c r="N7" s="21"/>
      <c r="O7" s="7">
        <f>'[12]Oct Prod'!H6</f>
        <v>10848000</v>
      </c>
      <c r="P7" s="8">
        <f t="shared" si="8"/>
        <v>10.848000000000001</v>
      </c>
      <c r="Q7" s="10">
        <f t="shared" si="9"/>
        <v>33.303359999999998</v>
      </c>
      <c r="R7" s="7">
        <f>'[12]Oct Prod'!C6</f>
        <v>11052000</v>
      </c>
      <c r="S7" s="8">
        <f t="shared" si="10"/>
        <v>11.052</v>
      </c>
      <c r="T7" s="10">
        <f t="shared" si="11"/>
        <v>33.929639999999999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204000.00000000061</v>
      </c>
      <c r="Y7" s="8">
        <f t="shared" si="14"/>
        <v>0.2040000000000006</v>
      </c>
      <c r="Z7" s="10">
        <f t="shared" si="15"/>
        <v>0.62628000000000184</v>
      </c>
      <c r="AA7" s="15"/>
      <c r="AB7" s="7">
        <f t="shared" si="16"/>
        <v>19147999.999999274</v>
      </c>
      <c r="AC7" s="8">
        <f t="shared" si="16"/>
        <v>19.147999999999271</v>
      </c>
      <c r="AD7" s="8">
        <f t="shared" si="16"/>
        <v>58.784359999997761</v>
      </c>
      <c r="AF7" s="8">
        <f t="shared" ref="AF7:AF14" si="17">T7-Q7-Z7</f>
        <v>0</v>
      </c>
    </row>
    <row r="8" spans="1:32" x14ac:dyDescent="0.2">
      <c r="A8" s="27">
        <v>38629</v>
      </c>
      <c r="B8" s="7">
        <f>'[12]Oct Prod'!I7</f>
        <v>5700000.0000007274</v>
      </c>
      <c r="C8" s="8">
        <f t="shared" si="0"/>
        <v>5.7000000000007276</v>
      </c>
      <c r="D8" s="10">
        <f t="shared" si="1"/>
        <v>17.499000000002233</v>
      </c>
      <c r="E8" s="7">
        <f>'[12]Oct Prod'!E7</f>
        <v>0</v>
      </c>
      <c r="F8" s="8">
        <f t="shared" si="2"/>
        <v>0</v>
      </c>
      <c r="G8" s="10">
        <f t="shared" si="3"/>
        <v>0</v>
      </c>
      <c r="H8" s="7">
        <f>'[12]Oct Prod'!F7</f>
        <v>5930000</v>
      </c>
      <c r="I8" s="8">
        <f t="shared" si="4"/>
        <v>5.93</v>
      </c>
      <c r="J8" s="10">
        <f t="shared" si="5"/>
        <v>18.205099999999998</v>
      </c>
      <c r="K8" s="7">
        <f>'[12]Oct Prod'!H262</f>
        <v>651668</v>
      </c>
      <c r="L8" s="8">
        <f t="shared" si="6"/>
        <v>0.65166800000000003</v>
      </c>
      <c r="M8" s="10">
        <f t="shared" si="7"/>
        <v>2.0006207599999999</v>
      </c>
      <c r="N8" s="21"/>
      <c r="O8" s="7">
        <f>'[12]Oct Prod'!H7</f>
        <v>11466000.000000004</v>
      </c>
      <c r="P8" s="8">
        <f t="shared" si="8"/>
        <v>11.466000000000003</v>
      </c>
      <c r="Q8" s="10">
        <f t="shared" si="9"/>
        <v>35.200620000000008</v>
      </c>
      <c r="R8" s="7">
        <f>'[12]Oct Prod'!C7</f>
        <v>11812000</v>
      </c>
      <c r="S8" s="8">
        <f t="shared" si="10"/>
        <v>11.811999999999999</v>
      </c>
      <c r="T8" s="10">
        <f t="shared" si="11"/>
        <v>36.262839999999997</v>
      </c>
      <c r="U8" s="7">
        <f>'[12]Oct Prod'!D7</f>
        <v>0</v>
      </c>
      <c r="V8" s="8">
        <f t="shared" si="12"/>
        <v>0</v>
      </c>
      <c r="W8" s="10">
        <f t="shared" si="13"/>
        <v>0</v>
      </c>
      <c r="X8" s="7">
        <f>'[12]Oct Prod'!D262</f>
        <v>345999.99999999651</v>
      </c>
      <c r="Y8" s="8">
        <f t="shared" si="14"/>
        <v>0.34599999999999653</v>
      </c>
      <c r="Z8" s="10">
        <f t="shared" si="15"/>
        <v>1.0622199999999893</v>
      </c>
      <c r="AA8" s="15"/>
      <c r="AB8" s="7">
        <f t="shared" si="16"/>
        <v>17166000.00000073</v>
      </c>
      <c r="AC8" s="8">
        <f t="shared" si="16"/>
        <v>17.166000000000729</v>
      </c>
      <c r="AD8" s="8">
        <f>D8+Q8</f>
        <v>52.699620000002241</v>
      </c>
      <c r="AF8" s="8">
        <f t="shared" si="17"/>
        <v>0</v>
      </c>
    </row>
    <row r="9" spans="1:32" x14ac:dyDescent="0.2">
      <c r="A9" s="27">
        <v>38630</v>
      </c>
      <c r="B9" s="7">
        <f>'[12]Oct Prod'!I8</f>
        <v>8299999.9999992726</v>
      </c>
      <c r="C9" s="8">
        <f t="shared" si="0"/>
        <v>8.2999999999992724</v>
      </c>
      <c r="D9" s="10">
        <f t="shared" si="1"/>
        <v>25.480999999997763</v>
      </c>
      <c r="E9" s="7">
        <f>'[12]Oct Prod'!E8</f>
        <v>0</v>
      </c>
      <c r="F9" s="8">
        <f t="shared" si="2"/>
        <v>0</v>
      </c>
      <c r="G9" s="10">
        <f t="shared" si="3"/>
        <v>0</v>
      </c>
      <c r="H9" s="7">
        <f>'[12]Oct Prod'!F8</f>
        <v>7960000</v>
      </c>
      <c r="I9" s="8">
        <f t="shared" si="4"/>
        <v>7.96</v>
      </c>
      <c r="J9" s="10">
        <f t="shared" si="5"/>
        <v>24.437199999999997</v>
      </c>
      <c r="K9" s="7">
        <f>'[12]Oct Prod'!H263</f>
        <v>900036</v>
      </c>
      <c r="L9" s="8">
        <f t="shared" si="6"/>
        <v>0.90003599999999995</v>
      </c>
      <c r="M9" s="10">
        <f t="shared" si="7"/>
        <v>2.7631105199999997</v>
      </c>
      <c r="N9" s="21"/>
      <c r="O9" s="7">
        <f>'[12]Oct Prod'!H8</f>
        <v>11854999.999999994</v>
      </c>
      <c r="P9" s="8">
        <f t="shared" si="8"/>
        <v>11.854999999999995</v>
      </c>
      <c r="Q9" s="10">
        <f t="shared" si="9"/>
        <v>36.394849999999984</v>
      </c>
      <c r="R9" s="7">
        <f>'[12]Oct Prod'!C8</f>
        <v>12127000</v>
      </c>
      <c r="S9" s="8">
        <f t="shared" si="10"/>
        <v>12.127000000000001</v>
      </c>
      <c r="T9" s="10">
        <f t="shared" si="11"/>
        <v>37.229889999999997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272000.00000000559</v>
      </c>
      <c r="Y9" s="8">
        <f t="shared" si="14"/>
        <v>0.27200000000000557</v>
      </c>
      <c r="Z9" s="10">
        <f t="shared" si="15"/>
        <v>0.8350400000000171</v>
      </c>
      <c r="AA9" s="15"/>
      <c r="AB9" s="7">
        <f t="shared" si="16"/>
        <v>20154999.999999266</v>
      </c>
      <c r="AC9" s="8">
        <f t="shared" si="16"/>
        <v>20.154999999999269</v>
      </c>
      <c r="AD9" s="8">
        <f t="shared" si="16"/>
        <v>61.875849999997747</v>
      </c>
      <c r="AF9" s="8">
        <f t="shared" si="17"/>
        <v>-3.5527136788005009E-15</v>
      </c>
    </row>
    <row r="10" spans="1:32" x14ac:dyDescent="0.2">
      <c r="A10" s="27">
        <v>38631</v>
      </c>
      <c r="B10" s="7">
        <f>'[12]Oct Prod'!I9</f>
        <v>7799999.9999992726</v>
      </c>
      <c r="C10" s="8">
        <f t="shared" si="0"/>
        <v>7.7999999999992724</v>
      </c>
      <c r="D10" s="10">
        <f t="shared" si="1"/>
        <v>23.945999999997763</v>
      </c>
      <c r="E10" s="7">
        <f>'[12]Oct Prod'!E9</f>
        <v>0</v>
      </c>
      <c r="F10" s="8">
        <f t="shared" si="2"/>
        <v>0</v>
      </c>
      <c r="G10" s="10">
        <f t="shared" si="3"/>
        <v>0</v>
      </c>
      <c r="H10" s="7">
        <f>'[12]Oct Prod'!F9</f>
        <v>7970000</v>
      </c>
      <c r="I10" s="8">
        <f t="shared" si="4"/>
        <v>7.97</v>
      </c>
      <c r="J10" s="10">
        <f t="shared" si="5"/>
        <v>24.467899999999997</v>
      </c>
      <c r="K10" s="7">
        <f>'[12]Oct Prod'!H264</f>
        <v>771432</v>
      </c>
      <c r="L10" s="8">
        <f t="shared" si="6"/>
        <v>0.77143200000000001</v>
      </c>
      <c r="M10" s="10">
        <f t="shared" si="7"/>
        <v>2.3682962399999998</v>
      </c>
      <c r="N10" s="21"/>
      <c r="O10" s="7">
        <f>'[12]Oct Prod'!H9</f>
        <v>11678000.000000004</v>
      </c>
      <c r="P10" s="8">
        <f t="shared" si="8"/>
        <v>11.678000000000004</v>
      </c>
      <c r="Q10" s="10">
        <f t="shared" si="9"/>
        <v>35.85146000000001</v>
      </c>
      <c r="R10" s="7">
        <f>'[12]Oct Prod'!C9</f>
        <v>12024000</v>
      </c>
      <c r="S10" s="8">
        <f t="shared" si="10"/>
        <v>12.023999999999999</v>
      </c>
      <c r="T10" s="10">
        <f t="shared" si="11"/>
        <v>36.913679999999992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345999.99999999651</v>
      </c>
      <c r="Y10" s="8">
        <f t="shared" si="14"/>
        <v>0.34599999999999653</v>
      </c>
      <c r="Z10" s="10">
        <f t="shared" si="15"/>
        <v>1.0622199999999893</v>
      </c>
      <c r="AA10" s="15"/>
      <c r="AB10" s="7">
        <f t="shared" si="16"/>
        <v>19477999.999999277</v>
      </c>
      <c r="AC10" s="8">
        <f t="shared" si="16"/>
        <v>19.477999999999277</v>
      </c>
      <c r="AD10" s="8">
        <f t="shared" si="16"/>
        <v>59.79745999999777</v>
      </c>
      <c r="AF10" s="8">
        <f t="shared" si="17"/>
        <v>-7.1054273576010019E-15</v>
      </c>
    </row>
    <row r="11" spans="1:32" x14ac:dyDescent="0.2">
      <c r="A11" s="27">
        <v>38632</v>
      </c>
      <c r="B11" s="7">
        <f>'[12]Oct Prod'!I10</f>
        <v>9700000.0000007283</v>
      </c>
      <c r="C11" s="8">
        <f t="shared" si="0"/>
        <v>9.7000000000007276</v>
      </c>
      <c r="D11" s="10">
        <f t="shared" si="1"/>
        <v>29.779000000002231</v>
      </c>
      <c r="E11" s="7">
        <f>'[12]Oct Prod'!E10</f>
        <v>0</v>
      </c>
      <c r="F11" s="8">
        <f t="shared" si="2"/>
        <v>0</v>
      </c>
      <c r="G11" s="10">
        <f t="shared" si="3"/>
        <v>0</v>
      </c>
      <c r="H11" s="7">
        <f>'[12]Oct Prod'!F10</f>
        <v>8760000</v>
      </c>
      <c r="I11" s="8">
        <f t="shared" si="4"/>
        <v>8.76</v>
      </c>
      <c r="J11" s="10">
        <f t="shared" si="5"/>
        <v>26.893199999999997</v>
      </c>
      <c r="K11" s="7">
        <f>'[12]Oct Prod'!H265</f>
        <v>876285</v>
      </c>
      <c r="L11" s="8">
        <f t="shared" si="6"/>
        <v>0.87628499999999998</v>
      </c>
      <c r="M11" s="10">
        <f t="shared" si="7"/>
        <v>2.69019495</v>
      </c>
      <c r="N11" s="21"/>
      <c r="O11" s="7">
        <f>'[12]Oct Prod'!H10</f>
        <v>11611999.999999996</v>
      </c>
      <c r="P11" s="8">
        <f t="shared" si="8"/>
        <v>11.611999999999997</v>
      </c>
      <c r="Q11" s="10">
        <f t="shared" si="9"/>
        <v>35.648839999999986</v>
      </c>
      <c r="R11" s="7">
        <f>'[12]Oct Prod'!C10</f>
        <v>11964000</v>
      </c>
      <c r="S11" s="8">
        <f t="shared" si="10"/>
        <v>11.964</v>
      </c>
      <c r="T11" s="10">
        <f t="shared" si="11"/>
        <v>36.729480000000002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352000.00000000384</v>
      </c>
      <c r="Y11" s="8">
        <f t="shared" si="14"/>
        <v>0.35200000000000387</v>
      </c>
      <c r="Z11" s="10">
        <f t="shared" si="15"/>
        <v>1.0806400000000118</v>
      </c>
      <c r="AA11" s="15"/>
      <c r="AB11" s="7">
        <f t="shared" si="16"/>
        <v>21312000.000000723</v>
      </c>
      <c r="AC11" s="8">
        <f t="shared" si="16"/>
        <v>21.312000000000722</v>
      </c>
      <c r="AD11" s="8">
        <f t="shared" si="16"/>
        <v>65.42784000000222</v>
      </c>
      <c r="AF11" s="8">
        <f t="shared" si="17"/>
        <v>4.8849813083506888E-15</v>
      </c>
    </row>
    <row r="12" spans="1:32" x14ac:dyDescent="0.2">
      <c r="A12" s="27">
        <v>38633</v>
      </c>
      <c r="B12" s="7">
        <f>'[12]Oct Prod'!I11</f>
        <v>10200000.000000728</v>
      </c>
      <c r="C12" s="8">
        <f t="shared" si="0"/>
        <v>10.200000000000728</v>
      </c>
      <c r="D12" s="10">
        <f t="shared" si="1"/>
        <v>31.314000000002231</v>
      </c>
      <c r="E12" s="7">
        <f>'[12]Oct Prod'!E11</f>
        <v>0</v>
      </c>
      <c r="F12" s="8">
        <f t="shared" si="2"/>
        <v>0</v>
      </c>
      <c r="G12" s="10">
        <f t="shared" si="3"/>
        <v>0</v>
      </c>
      <c r="H12" s="7">
        <f>'[12]Oct Prod'!F11</f>
        <v>9540000</v>
      </c>
      <c r="I12" s="8">
        <f t="shared" si="4"/>
        <v>9.5399999999999991</v>
      </c>
      <c r="J12" s="10">
        <f t="shared" si="5"/>
        <v>29.287799999999997</v>
      </c>
      <c r="K12" s="7">
        <f>'[12]Oct Prod'!H266</f>
        <v>879950</v>
      </c>
      <c r="L12" s="8">
        <f t="shared" si="6"/>
        <v>0.87995000000000001</v>
      </c>
      <c r="M12" s="10">
        <f t="shared" si="7"/>
        <v>2.7014464999999999</v>
      </c>
      <c r="N12" s="21"/>
      <c r="O12" s="7">
        <f>'[12]Oct Prod'!H11</f>
        <v>10305000.000000006</v>
      </c>
      <c r="P12" s="8">
        <f t="shared" si="8"/>
        <v>10.305000000000005</v>
      </c>
      <c r="Q12" s="10">
        <f t="shared" si="9"/>
        <v>31.636350000000014</v>
      </c>
      <c r="R12" s="7">
        <f>'[12]Oct Prod'!C11</f>
        <v>10786000</v>
      </c>
      <c r="S12" s="8">
        <f t="shared" si="10"/>
        <v>10.786</v>
      </c>
      <c r="T12" s="10">
        <f t="shared" si="11"/>
        <v>33.113019999999999</v>
      </c>
      <c r="U12" s="7">
        <f>'[12]Oct Prod'!D11</f>
        <v>0</v>
      </c>
      <c r="V12" s="8">
        <f t="shared" si="12"/>
        <v>0</v>
      </c>
      <c r="W12" s="10">
        <f t="shared" si="13"/>
        <v>0</v>
      </c>
      <c r="X12" s="7">
        <f>'[12]Oct Prod'!D266</f>
        <v>480999.99999999453</v>
      </c>
      <c r="Y12" s="8">
        <f t="shared" si="14"/>
        <v>0.48099999999999454</v>
      </c>
      <c r="Z12" s="10">
        <f t="shared" si="15"/>
        <v>1.4766699999999833</v>
      </c>
      <c r="AA12" s="15"/>
      <c r="AB12" s="7">
        <f t="shared" si="16"/>
        <v>20505000.000000734</v>
      </c>
      <c r="AC12" s="8">
        <f t="shared" si="16"/>
        <v>20.505000000000734</v>
      </c>
      <c r="AD12" s="8">
        <f t="shared" si="16"/>
        <v>62.950350000002246</v>
      </c>
      <c r="AF12" s="8">
        <f t="shared" si="17"/>
        <v>0</v>
      </c>
    </row>
    <row r="13" spans="1:32" x14ac:dyDescent="0.2">
      <c r="A13" s="27">
        <v>38634</v>
      </c>
      <c r="B13" s="7">
        <f>'[12]Oct Prod'!I12</f>
        <v>7899999.999997817</v>
      </c>
      <c r="C13" s="8">
        <f t="shared" si="0"/>
        <v>7.8999999999978172</v>
      </c>
      <c r="D13" s="10">
        <f t="shared" si="1"/>
        <v>24.252999999993296</v>
      </c>
      <c r="E13" s="7">
        <f>'[12]Oct Prod'!E12</f>
        <v>0</v>
      </c>
      <c r="F13" s="8">
        <f t="shared" si="2"/>
        <v>0</v>
      </c>
      <c r="G13" s="10">
        <f t="shared" si="3"/>
        <v>0</v>
      </c>
      <c r="H13" s="7">
        <f>'[12]Oct Prod'!F12</f>
        <v>7200000</v>
      </c>
      <c r="I13" s="8">
        <f t="shared" si="4"/>
        <v>7.2</v>
      </c>
      <c r="J13" s="10">
        <f t="shared" si="5"/>
        <v>22.103999999999999</v>
      </c>
      <c r="K13" s="7">
        <f>'[12]Oct Prod'!H267</f>
        <v>697794</v>
      </c>
      <c r="L13" s="8">
        <f t="shared" si="6"/>
        <v>0.69779400000000003</v>
      </c>
      <c r="M13" s="10">
        <f t="shared" si="7"/>
        <v>2.1422275800000001</v>
      </c>
      <c r="N13" s="21"/>
      <c r="O13" s="7">
        <f>'[12]Oct Prod'!H12</f>
        <v>8385000</v>
      </c>
      <c r="P13" s="8">
        <f t="shared" si="8"/>
        <v>8.3849999999999998</v>
      </c>
      <c r="Q13" s="10">
        <f t="shared" si="9"/>
        <v>25.741949999999999</v>
      </c>
      <c r="R13" s="7">
        <f>'[12]Oct Prod'!C12</f>
        <v>8711000</v>
      </c>
      <c r="S13" s="8">
        <f t="shared" si="10"/>
        <v>8.7110000000000003</v>
      </c>
      <c r="T13" s="10">
        <f t="shared" si="11"/>
        <v>26.74277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326000.00000000052</v>
      </c>
      <c r="Y13" s="8">
        <f t="shared" si="14"/>
        <v>0.32600000000000051</v>
      </c>
      <c r="Z13" s="10">
        <f t="shared" si="15"/>
        <v>1.0008200000000016</v>
      </c>
      <c r="AA13" s="15"/>
      <c r="AB13" s="7">
        <f t="shared" si="16"/>
        <v>16284999.999997817</v>
      </c>
      <c r="AC13" s="8">
        <f t="shared" si="16"/>
        <v>16.284999999997815</v>
      </c>
      <c r="AD13" s="8">
        <f t="shared" si="16"/>
        <v>49.994949999993295</v>
      </c>
      <c r="AF13" s="8">
        <f t="shared" si="17"/>
        <v>0</v>
      </c>
    </row>
    <row r="14" spans="1:32" x14ac:dyDescent="0.2">
      <c r="A14" s="27">
        <v>38635</v>
      </c>
      <c r="B14" s="7">
        <f>'[12]Oct Prod'!I13</f>
        <v>5700000.0000007274</v>
      </c>
      <c r="C14" s="8">
        <f t="shared" si="0"/>
        <v>5.7000000000007276</v>
      </c>
      <c r="D14" s="10">
        <f t="shared" si="1"/>
        <v>17.499000000002233</v>
      </c>
      <c r="E14" s="7">
        <f>'[12]Oct Prod'!E13</f>
        <v>0</v>
      </c>
      <c r="F14" s="8">
        <f t="shared" si="2"/>
        <v>0</v>
      </c>
      <c r="G14" s="10">
        <f t="shared" si="3"/>
        <v>0</v>
      </c>
      <c r="H14" s="7">
        <f>'[12]Oct Prod'!F13</f>
        <v>6190000</v>
      </c>
      <c r="I14" s="8">
        <f t="shared" si="4"/>
        <v>6.19</v>
      </c>
      <c r="J14" s="10">
        <f t="shared" si="5"/>
        <v>19.003299999999999</v>
      </c>
      <c r="K14" s="7">
        <f>'[12]Oct Prod'!H268</f>
        <v>642669</v>
      </c>
      <c r="L14" s="8">
        <f t="shared" si="6"/>
        <v>0.64266900000000005</v>
      </c>
      <c r="M14" s="10">
        <f t="shared" si="7"/>
        <v>1.9729938300000001</v>
      </c>
      <c r="N14" s="21"/>
      <c r="O14" s="7">
        <f>'[12]Oct Prod'!H13</f>
        <v>7874999.9999999991</v>
      </c>
      <c r="P14" s="8">
        <f t="shared" si="8"/>
        <v>7.8749999999999991</v>
      </c>
      <c r="Q14" s="10">
        <f t="shared" si="9"/>
        <v>24.176249999999996</v>
      </c>
      <c r="R14" s="7">
        <f>'[12]Oct Prod'!C13</f>
        <v>8091000</v>
      </c>
      <c r="S14" s="8">
        <f t="shared" si="10"/>
        <v>8.0909999999999993</v>
      </c>
      <c r="T14" s="10">
        <f t="shared" si="11"/>
        <v>24.839369999999995</v>
      </c>
      <c r="U14" s="7">
        <f>'[12]Oct Prod'!D13</f>
        <v>0</v>
      </c>
      <c r="V14" s="8">
        <f t="shared" ref="V14:V16" si="18">U14/1000000</f>
        <v>0</v>
      </c>
      <c r="W14" s="10">
        <f t="shared" ref="W14:W16" si="19">V14*3.07</f>
        <v>0</v>
      </c>
      <c r="X14" s="7">
        <f>'[12]Oct Prod'!D268</f>
        <v>216000.00000000108</v>
      </c>
      <c r="Y14" s="8">
        <f t="shared" si="14"/>
        <v>0.21600000000000108</v>
      </c>
      <c r="Z14" s="10">
        <f t="shared" si="15"/>
        <v>0.66312000000000326</v>
      </c>
      <c r="AA14" s="15"/>
      <c r="AB14" s="7">
        <f t="shared" si="16"/>
        <v>13575000.000000726</v>
      </c>
      <c r="AC14" s="8">
        <f t="shared" si="16"/>
        <v>13.575000000000728</v>
      </c>
      <c r="AD14" s="8">
        <f t="shared" si="16"/>
        <v>41.675250000002229</v>
      </c>
      <c r="AF14" s="8">
        <f t="shared" si="17"/>
        <v>-3.9968028886505635E-15</v>
      </c>
    </row>
    <row r="15" spans="1:32" x14ac:dyDescent="0.2">
      <c r="A15" s="27">
        <v>38636</v>
      </c>
      <c r="B15" s="7">
        <f>'[12]Oct Prod'!I14</f>
        <v>10799999.999999272</v>
      </c>
      <c r="C15" s="8">
        <f t="shared" si="0"/>
        <v>10.799999999999272</v>
      </c>
      <c r="D15" s="10">
        <f t="shared" si="1"/>
        <v>33.155999999997768</v>
      </c>
      <c r="E15" s="7">
        <f>'[12]Oct Prod'!E14</f>
        <v>0</v>
      </c>
      <c r="F15" s="8">
        <f t="shared" si="2"/>
        <v>0</v>
      </c>
      <c r="G15" s="10">
        <f t="shared" si="3"/>
        <v>0</v>
      </c>
      <c r="H15" s="7">
        <f>'[12]Oct Prod'!F14</f>
        <v>10020000</v>
      </c>
      <c r="I15" s="8">
        <f t="shared" si="4"/>
        <v>10.02</v>
      </c>
      <c r="J15" s="10">
        <f t="shared" si="5"/>
        <v>30.761399999999998</v>
      </c>
      <c r="K15" s="7">
        <f>'[12]Oct Prod'!H269</f>
        <v>860165</v>
      </c>
      <c r="L15" s="8">
        <f t="shared" si="6"/>
        <v>0.86016499999999996</v>
      </c>
      <c r="M15" s="10">
        <f t="shared" si="7"/>
        <v>2.6407065499999995</v>
      </c>
      <c r="N15" s="21"/>
      <c r="O15" s="7">
        <f>'[12]Oct Prod'!H14</f>
        <v>8673000.0000000019</v>
      </c>
      <c r="P15" s="8">
        <f t="shared" si="8"/>
        <v>8.6730000000000018</v>
      </c>
      <c r="Q15" s="10">
        <f t="shared" si="9"/>
        <v>26.626110000000004</v>
      </c>
      <c r="R15" s="7">
        <f>'[12]Oct Prod'!C14</f>
        <v>8954000</v>
      </c>
      <c r="S15" s="8">
        <f t="shared" si="10"/>
        <v>8.9540000000000006</v>
      </c>
      <c r="T15" s="10">
        <f t="shared" si="11"/>
        <v>27.488780000000002</v>
      </c>
      <c r="U15" s="7">
        <f>'[12]Oct Prod'!D14</f>
        <v>0</v>
      </c>
      <c r="V15" s="8">
        <f t="shared" si="18"/>
        <v>0</v>
      </c>
      <c r="W15" s="10">
        <f t="shared" si="19"/>
        <v>0</v>
      </c>
      <c r="X15" s="7">
        <f>'[12]Oct Prod'!D269</f>
        <v>280999.99999999878</v>
      </c>
      <c r="Y15" s="8">
        <f t="shared" si="14"/>
        <v>0.28099999999999875</v>
      </c>
      <c r="Z15" s="10">
        <f t="shared" si="15"/>
        <v>0.86266999999999616</v>
      </c>
      <c r="AA15" s="15"/>
      <c r="AB15" s="7">
        <f t="shared" si="16"/>
        <v>19472999.999999274</v>
      </c>
      <c r="AC15" s="8">
        <f t="shared" si="16"/>
        <v>19.472999999999274</v>
      </c>
      <c r="AD15" s="8">
        <f t="shared" si="16"/>
        <v>59.782109999997772</v>
      </c>
      <c r="AF15" s="8">
        <f>T15-Q15-Z15</f>
        <v>1.6653345369377348E-15</v>
      </c>
    </row>
    <row r="16" spans="1:32" x14ac:dyDescent="0.2">
      <c r="A16" s="27">
        <v>38637</v>
      </c>
      <c r="B16" s="7">
        <f>'[12]Oct Prod'!I15</f>
        <v>9100000.000002183</v>
      </c>
      <c r="C16" s="8">
        <f t="shared" si="0"/>
        <v>9.1000000000021828</v>
      </c>
      <c r="D16" s="10">
        <f t="shared" si="1"/>
        <v>27.937000000006698</v>
      </c>
      <c r="E16" s="7">
        <f>'[12]Oct Prod'!E15</f>
        <v>0</v>
      </c>
      <c r="F16" s="8">
        <f t="shared" si="2"/>
        <v>0</v>
      </c>
      <c r="G16" s="10">
        <f t="shared" si="3"/>
        <v>0</v>
      </c>
      <c r="H16" s="7">
        <f>'[12]Oct Prod'!F15</f>
        <v>8289999.9999999991</v>
      </c>
      <c r="I16" s="8">
        <f t="shared" si="4"/>
        <v>8.2899999999999991</v>
      </c>
      <c r="J16" s="10">
        <f t="shared" si="5"/>
        <v>25.450299999999995</v>
      </c>
      <c r="K16" s="7">
        <f>'[12]Oct Prod'!H270</f>
        <v>772170</v>
      </c>
      <c r="L16" s="8">
        <f t="shared" ref="L16:L20" si="20">K16/1000000</f>
        <v>0.77217000000000002</v>
      </c>
      <c r="M16" s="10">
        <f t="shared" ref="M16:M20" si="21">L16*3.07</f>
        <v>2.3705618999999998</v>
      </c>
      <c r="N16" s="21"/>
      <c r="O16" s="7">
        <f>'[12]Oct Prod'!H15</f>
        <v>6651999.9999999991</v>
      </c>
      <c r="P16" s="8">
        <f t="shared" si="8"/>
        <v>6.6519999999999992</v>
      </c>
      <c r="Q16" s="10">
        <f t="shared" si="9"/>
        <v>20.421639999999996</v>
      </c>
      <c r="R16" s="7">
        <f>'[12]Oct Prod'!C15</f>
        <v>6929000</v>
      </c>
      <c r="S16" s="8">
        <f t="shared" si="10"/>
        <v>6.9290000000000003</v>
      </c>
      <c r="T16" s="10">
        <f t="shared" si="11"/>
        <v>21.272030000000001</v>
      </c>
      <c r="U16" s="7">
        <f>'[12]Oct Prod'!D15</f>
        <v>0</v>
      </c>
      <c r="V16" s="8">
        <f t="shared" si="18"/>
        <v>0</v>
      </c>
      <c r="W16" s="10">
        <f t="shared" si="19"/>
        <v>0</v>
      </c>
      <c r="X16" s="7">
        <f>'[12]Oct Prod'!D270</f>
        <v>277000.00000000105</v>
      </c>
      <c r="Y16" s="8">
        <f t="shared" si="14"/>
        <v>0.27700000000000102</v>
      </c>
      <c r="Z16" s="10">
        <f t="shared" si="15"/>
        <v>0.85039000000000309</v>
      </c>
      <c r="AA16" s="15"/>
      <c r="AB16" s="7">
        <f t="shared" si="16"/>
        <v>15752000.000002183</v>
      </c>
      <c r="AC16" s="8">
        <f t="shared" si="16"/>
        <v>15.752000000002182</v>
      </c>
      <c r="AD16" s="8">
        <f t="shared" si="16"/>
        <v>48.358640000006694</v>
      </c>
      <c r="AF16" s="8">
        <f>T16-Q16-Z16</f>
        <v>1.3322676295501878E-15</v>
      </c>
    </row>
    <row r="17" spans="1:32" x14ac:dyDescent="0.2">
      <c r="A17" s="27">
        <v>38638</v>
      </c>
      <c r="B17" s="7">
        <f>'[12]Oct Prod'!I16</f>
        <v>6500000</v>
      </c>
      <c r="C17" s="8">
        <f t="shared" si="0"/>
        <v>6.5</v>
      </c>
      <c r="D17" s="10">
        <f t="shared" si="1"/>
        <v>19.954999999999998</v>
      </c>
      <c r="E17" s="7">
        <f>'[12]Oct Prod'!E16</f>
        <v>0</v>
      </c>
      <c r="F17" s="8">
        <f t="shared" si="2"/>
        <v>0</v>
      </c>
      <c r="G17" s="10">
        <f t="shared" si="3"/>
        <v>0</v>
      </c>
      <c r="H17" s="7">
        <f>'[12]Oct Prod'!F16</f>
        <v>6050000</v>
      </c>
      <c r="I17" s="8">
        <f t="shared" si="4"/>
        <v>6.05</v>
      </c>
      <c r="J17" s="10">
        <f t="shared" si="5"/>
        <v>18.573499999999999</v>
      </c>
      <c r="K17" s="7">
        <f>'[12]Oct Prod'!H271</f>
        <v>843131</v>
      </c>
      <c r="L17" s="8">
        <f t="shared" si="20"/>
        <v>0.84313099999999996</v>
      </c>
      <c r="M17" s="10">
        <f t="shared" si="21"/>
        <v>2.5884121699999998</v>
      </c>
      <c r="N17" s="21"/>
      <c r="O17" s="7">
        <f>'[12]Oct Prod'!H16</f>
        <v>6689999.9999999981</v>
      </c>
      <c r="P17" s="8">
        <f t="shared" si="8"/>
        <v>6.6899999999999977</v>
      </c>
      <c r="Q17" s="10">
        <f t="shared" si="9"/>
        <v>20.538299999999992</v>
      </c>
      <c r="R17" s="7">
        <f>'[12]Oct Prod'!C16</f>
        <v>6936000</v>
      </c>
      <c r="S17" s="8">
        <f t="shared" si="10"/>
        <v>6.9359999999999999</v>
      </c>
      <c r="T17" s="10">
        <f t="shared" si="11"/>
        <v>21.293519999999997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246000.00000000221</v>
      </c>
      <c r="Y17" s="8">
        <f t="shared" si="14"/>
        <v>0.24600000000000222</v>
      </c>
      <c r="Z17" s="10">
        <f t="shared" si="15"/>
        <v>0.75522000000000677</v>
      </c>
      <c r="AA17" s="15"/>
      <c r="AB17" s="7">
        <f t="shared" si="16"/>
        <v>13189999.999999998</v>
      </c>
      <c r="AC17" s="8">
        <f t="shared" si="16"/>
        <v>13.189999999999998</v>
      </c>
      <c r="AD17" s="8">
        <f t="shared" si="16"/>
        <v>40.493299999999991</v>
      </c>
      <c r="AF17" s="8">
        <f>T17-Q17-Z17</f>
        <v>-1.8873791418627661E-15</v>
      </c>
    </row>
    <row r="18" spans="1:32" x14ac:dyDescent="0.2">
      <c r="A18" s="27">
        <v>38639</v>
      </c>
      <c r="B18" s="7">
        <f>'[12]Oct Prod'!I17</f>
        <v>5399999.999997817</v>
      </c>
      <c r="C18" s="8">
        <f t="shared" si="0"/>
        <v>5.3999999999978172</v>
      </c>
      <c r="D18" s="10">
        <f t="shared" si="1"/>
        <v>16.577999999993299</v>
      </c>
      <c r="E18" s="7">
        <f>'[12]Oct Prod'!E17</f>
        <v>0</v>
      </c>
      <c r="F18" s="8">
        <f t="shared" si="2"/>
        <v>0</v>
      </c>
      <c r="G18" s="10">
        <f t="shared" si="3"/>
        <v>0</v>
      </c>
      <c r="H18" s="7">
        <f>'[12]Oct Prod'!F17</f>
        <v>6050000</v>
      </c>
      <c r="I18" s="8">
        <f t="shared" si="4"/>
        <v>6.05</v>
      </c>
      <c r="J18" s="10">
        <f t="shared" si="5"/>
        <v>18.573499999999999</v>
      </c>
      <c r="K18" s="7">
        <f>'[12]Oct Prod'!H272</f>
        <v>625000</v>
      </c>
      <c r="L18" s="8">
        <f t="shared" si="20"/>
        <v>0.625</v>
      </c>
      <c r="M18" s="10">
        <f t="shared" si="21"/>
        <v>1.91875</v>
      </c>
      <c r="N18" s="21"/>
      <c r="O18" s="7">
        <f>'[12]Oct Prod'!H17</f>
        <v>8345000.0000000019</v>
      </c>
      <c r="P18" s="8">
        <f t="shared" si="8"/>
        <v>8.3450000000000024</v>
      </c>
      <c r="Q18" s="10">
        <f t="shared" si="9"/>
        <v>25.619150000000005</v>
      </c>
      <c r="R18" s="7">
        <f>'[12]Oct Prod'!C17</f>
        <v>8562000</v>
      </c>
      <c r="S18" s="8">
        <f t="shared" si="10"/>
        <v>8.5619999999999994</v>
      </c>
      <c r="T18" s="10">
        <f t="shared" si="11"/>
        <v>26.285339999999998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216999.99999999875</v>
      </c>
      <c r="Y18" s="8">
        <f t="shared" si="14"/>
        <v>0.21699999999999875</v>
      </c>
      <c r="Z18" s="10">
        <f t="shared" si="15"/>
        <v>0.66618999999999617</v>
      </c>
      <c r="AA18" s="15"/>
      <c r="AB18" s="7">
        <f t="shared" si="16"/>
        <v>13744999.999997819</v>
      </c>
      <c r="AC18" s="8">
        <f t="shared" si="16"/>
        <v>13.74499999999782</v>
      </c>
      <c r="AD18" s="8">
        <f t="shared" si="16"/>
        <v>42.1971499999933</v>
      </c>
      <c r="AF18" s="8">
        <f>T18-Q18-Z18</f>
        <v>-2.9976021664879227E-15</v>
      </c>
    </row>
    <row r="19" spans="1:32" x14ac:dyDescent="0.2">
      <c r="A19" s="27">
        <v>38640</v>
      </c>
      <c r="B19" s="7">
        <f>'[12]Oct Prod'!I18</f>
        <v>8500000</v>
      </c>
      <c r="C19" s="8">
        <f t="shared" si="0"/>
        <v>8.5</v>
      </c>
      <c r="D19" s="10">
        <f t="shared" si="1"/>
        <v>26.094999999999999</v>
      </c>
      <c r="E19" s="7">
        <f>'[12]Oct Prod'!E18</f>
        <v>0</v>
      </c>
      <c r="F19" s="8">
        <f t="shared" si="2"/>
        <v>0</v>
      </c>
      <c r="G19" s="10">
        <f t="shared" si="3"/>
        <v>0</v>
      </c>
      <c r="H19" s="7">
        <f>'[12]Oct Prod'!F18</f>
        <v>7520000</v>
      </c>
      <c r="I19" s="8">
        <f t="shared" si="4"/>
        <v>7.52</v>
      </c>
      <c r="J19" s="10">
        <f t="shared" si="5"/>
        <v>23.086399999999998</v>
      </c>
      <c r="K19" s="7">
        <f>'[12]Oct Prod'!H273</f>
        <v>784695</v>
      </c>
      <c r="L19" s="8">
        <f t="shared" si="20"/>
        <v>0.78469500000000003</v>
      </c>
      <c r="M19" s="10">
        <f t="shared" si="21"/>
        <v>2.4090136499999999</v>
      </c>
      <c r="N19" s="21"/>
      <c r="O19" s="7">
        <f>'[12]Oct Prod'!H18</f>
        <v>9598999.9999999981</v>
      </c>
      <c r="P19" s="8">
        <f t="shared" si="8"/>
        <v>9.5989999999999984</v>
      </c>
      <c r="Q19" s="10">
        <f t="shared" si="9"/>
        <v>29.468929999999993</v>
      </c>
      <c r="R19" s="7">
        <f>'[12]Oct Prod'!C18</f>
        <v>10022000</v>
      </c>
      <c r="S19" s="8">
        <f t="shared" si="10"/>
        <v>10.022</v>
      </c>
      <c r="T19" s="10">
        <f t="shared" si="11"/>
        <v>30.76754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423000.0000000018</v>
      </c>
      <c r="Y19" s="8">
        <f t="shared" si="14"/>
        <v>0.42300000000000182</v>
      </c>
      <c r="Z19" s="10">
        <f t="shared" si="15"/>
        <v>1.2986100000000056</v>
      </c>
      <c r="AA19" s="15"/>
      <c r="AB19" s="7">
        <f t="shared" si="16"/>
        <v>18099000</v>
      </c>
      <c r="AC19" s="8">
        <f t="shared" si="16"/>
        <v>18.098999999999997</v>
      </c>
      <c r="AD19" s="8">
        <f>D19+Q19</f>
        <v>55.563929999999992</v>
      </c>
      <c r="AF19" s="8">
        <f>T19-Q19-Z19</f>
        <v>0</v>
      </c>
    </row>
    <row r="20" spans="1:32" x14ac:dyDescent="0.2">
      <c r="A20" s="27">
        <v>38641</v>
      </c>
      <c r="B20" s="7">
        <f>'[12]Oct Prod'!I19</f>
        <v>10700000.000000728</v>
      </c>
      <c r="C20" s="8">
        <f t="shared" si="0"/>
        <v>10.700000000000728</v>
      </c>
      <c r="D20" s="10">
        <f t="shared" si="1"/>
        <v>32.849000000002235</v>
      </c>
      <c r="E20" s="7">
        <f>'[12]Oct Prod'!E19</f>
        <v>0</v>
      </c>
      <c r="F20" s="8">
        <f t="shared" si="2"/>
        <v>0</v>
      </c>
      <c r="G20" s="10">
        <f t="shared" si="3"/>
        <v>0</v>
      </c>
      <c r="H20" s="7">
        <f>'[12]Oct Prod'!F19</f>
        <v>10010000</v>
      </c>
      <c r="I20" s="8">
        <f t="shared" si="4"/>
        <v>10.01</v>
      </c>
      <c r="J20" s="10">
        <f t="shared" si="5"/>
        <v>30.730699999999999</v>
      </c>
      <c r="K20" s="7">
        <f>'[12]Oct Prod'!H274</f>
        <v>941532</v>
      </c>
      <c r="L20" s="8">
        <f t="shared" si="20"/>
        <v>0.94153200000000004</v>
      </c>
      <c r="M20" s="10">
        <f t="shared" si="21"/>
        <v>2.8905032400000001</v>
      </c>
      <c r="N20" s="21"/>
      <c r="O20" s="7">
        <f>'[12]Oct Prod'!H19</f>
        <v>6341000.0000000028</v>
      </c>
      <c r="P20" s="8">
        <f t="shared" si="8"/>
        <v>6.3410000000000029</v>
      </c>
      <c r="Q20" s="10">
        <f t="shared" si="9"/>
        <v>19.466870000000007</v>
      </c>
      <c r="R20" s="7">
        <f>'[12]Oct Prod'!C19</f>
        <v>6833000</v>
      </c>
      <c r="S20" s="8">
        <f t="shared" si="10"/>
        <v>6.8330000000000002</v>
      </c>
      <c r="T20" s="10">
        <f t="shared" si="11"/>
        <v>20.977309999999999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491999.99999999732</v>
      </c>
      <c r="Y20" s="8">
        <f t="shared" si="14"/>
        <v>0.49199999999999733</v>
      </c>
      <c r="Z20" s="10">
        <f t="shared" si="15"/>
        <v>1.5104399999999918</v>
      </c>
      <c r="AA20" s="15"/>
      <c r="AB20" s="7">
        <f t="shared" si="16"/>
        <v>17041000.00000073</v>
      </c>
      <c r="AC20" s="8">
        <f t="shared" si="16"/>
        <v>17.041000000000729</v>
      </c>
      <c r="AD20" s="8">
        <f t="shared" si="16"/>
        <v>52.315870000002242</v>
      </c>
      <c r="AF20" s="8">
        <f t="shared" ref="AF20:AF35" si="22">T20-Q20-Z20</f>
        <v>0</v>
      </c>
    </row>
    <row r="21" spans="1:32" x14ac:dyDescent="0.2">
      <c r="A21" s="27">
        <v>38642</v>
      </c>
      <c r="B21" s="7">
        <f>'[12]Oct Prod'!I20</f>
        <v>10799999.999999272</v>
      </c>
      <c r="C21" s="8">
        <f t="shared" si="0"/>
        <v>10.799999999999272</v>
      </c>
      <c r="D21" s="10">
        <f t="shared" si="1"/>
        <v>33.155999999997768</v>
      </c>
      <c r="E21" s="7">
        <f>'[12]Oct Prod'!E20</f>
        <v>0</v>
      </c>
      <c r="F21" s="8">
        <f t="shared" si="2"/>
        <v>0</v>
      </c>
      <c r="G21" s="10">
        <f t="shared" si="3"/>
        <v>0</v>
      </c>
      <c r="H21" s="7">
        <f>'[12]Oct Prod'!F20</f>
        <v>10800000</v>
      </c>
      <c r="I21" s="8">
        <f t="shared" si="4"/>
        <v>10.8</v>
      </c>
      <c r="J21" s="10">
        <f t="shared" si="5"/>
        <v>33.155999999999999</v>
      </c>
      <c r="K21" s="7">
        <f>'[12]Oct Prod'!H275</f>
        <v>1000761</v>
      </c>
      <c r="L21" s="8">
        <f t="shared" si="6"/>
        <v>1.000761</v>
      </c>
      <c r="M21" s="10">
        <f t="shared" si="7"/>
        <v>3.0723362700000001</v>
      </c>
      <c r="N21" s="21"/>
      <c r="O21" s="7">
        <f>'[12]Oct Prod'!H20</f>
        <v>4784000.0000000019</v>
      </c>
      <c r="P21" s="8">
        <f t="shared" si="8"/>
        <v>4.7840000000000016</v>
      </c>
      <c r="Q21" s="10">
        <f t="shared" si="9"/>
        <v>14.686880000000004</v>
      </c>
      <c r="R21" s="7">
        <f>'[12]Oct Prod'!C20</f>
        <v>4992000</v>
      </c>
      <c r="S21" s="8">
        <f t="shared" si="10"/>
        <v>4.992</v>
      </c>
      <c r="T21" s="10">
        <f t="shared" si="11"/>
        <v>15.325439999999999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207999.9999999984</v>
      </c>
      <c r="Y21" s="8">
        <f t="shared" si="14"/>
        <v>0.20799999999999841</v>
      </c>
      <c r="Z21" s="10">
        <f t="shared" si="15"/>
        <v>0.63855999999999513</v>
      </c>
      <c r="AA21" s="15"/>
      <c r="AB21" s="7">
        <f t="shared" si="16"/>
        <v>15583999.999999274</v>
      </c>
      <c r="AC21" s="8">
        <f t="shared" si="16"/>
        <v>15.583999999999275</v>
      </c>
      <c r="AD21" s="8">
        <f t="shared" si="16"/>
        <v>47.84287999999777</v>
      </c>
      <c r="AF21" s="8">
        <f t="shared" si="22"/>
        <v>0</v>
      </c>
    </row>
    <row r="22" spans="1:32" x14ac:dyDescent="0.2">
      <c r="A22" s="27">
        <v>38643</v>
      </c>
      <c r="B22" s="7">
        <f>'[12]Oct Prod'!I21</f>
        <v>10400000.000001455</v>
      </c>
      <c r="C22" s="8">
        <f t="shared" si="0"/>
        <v>10.400000000001455</v>
      </c>
      <c r="D22" s="10">
        <f t="shared" si="1"/>
        <v>31.928000000004467</v>
      </c>
      <c r="E22" s="7">
        <f>'[12]Oct Prod'!E21</f>
        <v>0</v>
      </c>
      <c r="F22" s="8">
        <f t="shared" si="2"/>
        <v>0</v>
      </c>
      <c r="G22" s="10">
        <f t="shared" si="3"/>
        <v>0</v>
      </c>
      <c r="H22" s="7">
        <f>'[12]Oct Prod'!F21</f>
        <v>9700000</v>
      </c>
      <c r="I22" s="8">
        <f t="shared" si="4"/>
        <v>9.6999999999999993</v>
      </c>
      <c r="J22" s="10">
        <f t="shared" si="5"/>
        <v>29.778999999999996</v>
      </c>
      <c r="K22" s="7">
        <f>'[12]Oct Prod'!H276</f>
        <v>869885</v>
      </c>
      <c r="L22" s="8">
        <f t="shared" si="6"/>
        <v>0.86988500000000002</v>
      </c>
      <c r="M22" s="10">
        <f t="shared" si="7"/>
        <v>2.6705469499999999</v>
      </c>
      <c r="N22" s="21"/>
      <c r="O22" s="7">
        <f>'[12]Oct Prod'!H21</f>
        <v>4858999.9999999991</v>
      </c>
      <c r="P22" s="8">
        <f t="shared" si="8"/>
        <v>4.8589999999999991</v>
      </c>
      <c r="Q22" s="10">
        <f t="shared" si="9"/>
        <v>14.917129999999997</v>
      </c>
      <c r="R22" s="7">
        <f>'[12]Oct Prod'!C21</f>
        <v>5072000</v>
      </c>
      <c r="S22" s="8">
        <f t="shared" si="10"/>
        <v>5.0720000000000001</v>
      </c>
      <c r="T22" s="10">
        <f t="shared" si="11"/>
        <v>15.57104</v>
      </c>
      <c r="U22" s="7">
        <f>'[12]Oct Prod'!D21</f>
        <v>0</v>
      </c>
      <c r="V22" s="8">
        <f t="shared" si="12"/>
        <v>0</v>
      </c>
      <c r="W22" s="10">
        <f t="shared" si="13"/>
        <v>0</v>
      </c>
      <c r="X22" s="7">
        <f>'[12]Oct Prod'!D276</f>
        <v>213000.00000000096</v>
      </c>
      <c r="Y22" s="8">
        <f t="shared" si="14"/>
        <v>0.21300000000000097</v>
      </c>
      <c r="Z22" s="10">
        <f t="shared" si="15"/>
        <v>0.65391000000000288</v>
      </c>
      <c r="AA22" s="15"/>
      <c r="AB22" s="7">
        <f t="shared" si="16"/>
        <v>15259000.000001453</v>
      </c>
      <c r="AC22" s="8">
        <f t="shared" si="16"/>
        <v>15.259000000001453</v>
      </c>
      <c r="AD22" s="8">
        <f t="shared" si="16"/>
        <v>46.84513000000446</v>
      </c>
      <c r="AF22" s="8">
        <f t="shared" si="22"/>
        <v>0</v>
      </c>
    </row>
    <row r="23" spans="1:32" x14ac:dyDescent="0.2">
      <c r="A23" s="27">
        <v>38644</v>
      </c>
      <c r="B23" s="7">
        <f>'[12]Oct Prod'!I22</f>
        <v>10500000</v>
      </c>
      <c r="C23" s="8">
        <f t="shared" si="0"/>
        <v>10.5</v>
      </c>
      <c r="D23" s="10">
        <f t="shared" si="1"/>
        <v>32.234999999999999</v>
      </c>
      <c r="E23" s="7">
        <f>'[12]Oct Prod'!E22</f>
        <v>0</v>
      </c>
      <c r="F23" s="8">
        <f t="shared" si="2"/>
        <v>0</v>
      </c>
      <c r="G23" s="10">
        <f t="shared" si="3"/>
        <v>0</v>
      </c>
      <c r="H23" s="7">
        <f>'[12]Oct Prod'!F22</f>
        <v>9340000</v>
      </c>
      <c r="I23" s="8">
        <f t="shared" si="4"/>
        <v>9.34</v>
      </c>
      <c r="J23" s="10">
        <f t="shared" si="5"/>
        <v>28.673799999999996</v>
      </c>
      <c r="K23" s="7">
        <f>'[12]Oct Prod'!H277</f>
        <v>812092</v>
      </c>
      <c r="L23" s="8">
        <f t="shared" si="6"/>
        <v>0.81209200000000004</v>
      </c>
      <c r="M23" s="10">
        <f t="shared" si="7"/>
        <v>2.4931224400000001</v>
      </c>
      <c r="N23" s="21"/>
      <c r="O23" s="7">
        <f>'[12]Oct Prod'!H22</f>
        <v>5778999.9999999991</v>
      </c>
      <c r="P23" s="8">
        <f t="shared" si="8"/>
        <v>5.778999999999999</v>
      </c>
      <c r="Q23" s="10">
        <f t="shared" si="9"/>
        <v>17.741529999999997</v>
      </c>
      <c r="R23" s="7">
        <f>'[12]Oct Prod'!C22</f>
        <v>5986000</v>
      </c>
      <c r="S23" s="8">
        <f t="shared" si="10"/>
        <v>5.9859999999999998</v>
      </c>
      <c r="T23" s="10">
        <f t="shared" si="11"/>
        <v>18.377019999999998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207000.00000000073</v>
      </c>
      <c r="Y23" s="8">
        <f t="shared" si="14"/>
        <v>0.20700000000000074</v>
      </c>
      <c r="Z23" s="10">
        <f t="shared" si="15"/>
        <v>0.63549000000000222</v>
      </c>
      <c r="AA23" s="15"/>
      <c r="AB23" s="7">
        <f t="shared" si="16"/>
        <v>16279000</v>
      </c>
      <c r="AC23" s="8">
        <f t="shared" si="16"/>
        <v>16.279</v>
      </c>
      <c r="AD23" s="8">
        <f t="shared" si="16"/>
        <v>49.976529999999997</v>
      </c>
      <c r="AF23" s="8">
        <f t="shared" si="22"/>
        <v>-1.4432899320127035E-15</v>
      </c>
    </row>
    <row r="24" spans="1:32" x14ac:dyDescent="0.2">
      <c r="A24" s="27">
        <v>38645</v>
      </c>
      <c r="B24" s="7">
        <f>'[12]Oct Prod'!I23</f>
        <v>14799999.999999272</v>
      </c>
      <c r="C24" s="8">
        <f t="shared" si="0"/>
        <v>14.799999999999272</v>
      </c>
      <c r="D24" s="10">
        <f t="shared" si="1"/>
        <v>45.435999999997762</v>
      </c>
      <c r="E24" s="7">
        <f>'[12]Oct Prod'!E23</f>
        <v>0</v>
      </c>
      <c r="F24" s="8">
        <f t="shared" si="2"/>
        <v>0</v>
      </c>
      <c r="G24" s="10">
        <f t="shared" si="3"/>
        <v>0</v>
      </c>
      <c r="H24" s="7">
        <f>'[12]Oct Prod'!F23</f>
        <v>14140000</v>
      </c>
      <c r="I24" s="8">
        <f t="shared" si="4"/>
        <v>14.14</v>
      </c>
      <c r="J24" s="10">
        <f t="shared" si="5"/>
        <v>43.409799999999997</v>
      </c>
      <c r="K24" s="7">
        <f>'[12]Oct Prod'!H278</f>
        <v>1254358</v>
      </c>
      <c r="L24" s="8">
        <f t="shared" si="6"/>
        <v>1.2543580000000001</v>
      </c>
      <c r="M24" s="10">
        <f t="shared" si="7"/>
        <v>3.85087906</v>
      </c>
      <c r="N24" s="21"/>
      <c r="O24" s="7">
        <f>'[12]Oct Prod'!H23</f>
        <v>2715999.9999999986</v>
      </c>
      <c r="P24" s="8">
        <f t="shared" si="8"/>
        <v>2.7159999999999984</v>
      </c>
      <c r="Q24" s="10">
        <f t="shared" si="9"/>
        <v>8.3381199999999946</v>
      </c>
      <c r="R24" s="7">
        <f>'[12]Oct Prod'!C23</f>
        <v>2874000</v>
      </c>
      <c r="S24" s="8">
        <f t="shared" si="10"/>
        <v>2.8740000000000001</v>
      </c>
      <c r="T24" s="10">
        <f t="shared" si="11"/>
        <v>8.8231800000000007</v>
      </c>
      <c r="U24" s="7">
        <f>'[12]Oct Prod'!D23</f>
        <v>0</v>
      </c>
      <c r="V24" s="8">
        <f t="shared" si="12"/>
        <v>0</v>
      </c>
      <c r="W24" s="10">
        <f t="shared" si="13"/>
        <v>0</v>
      </c>
      <c r="X24" s="7">
        <f>'[12]Oct Prod'!D278</f>
        <v>158000.00000000125</v>
      </c>
      <c r="Y24" s="8">
        <f t="shared" si="14"/>
        <v>0.15800000000000125</v>
      </c>
      <c r="Z24" s="10">
        <f t="shared" si="15"/>
        <v>0.48506000000000382</v>
      </c>
      <c r="AA24" s="15"/>
      <c r="AB24" s="7">
        <f t="shared" si="16"/>
        <v>17515999.99999927</v>
      </c>
      <c r="AC24" s="8">
        <f t="shared" si="16"/>
        <v>17.51599999999927</v>
      </c>
      <c r="AD24" s="8">
        <f>D24+Q24</f>
        <v>53.774119999997758</v>
      </c>
      <c r="AF24" s="8">
        <f t="shared" si="22"/>
        <v>2.2204460492503131E-15</v>
      </c>
    </row>
    <row r="25" spans="1:32" x14ac:dyDescent="0.2">
      <c r="A25" s="27">
        <v>38646</v>
      </c>
      <c r="B25" s="7">
        <f>'[12]Oct Prod'!I24</f>
        <v>17100000.000002183</v>
      </c>
      <c r="C25" s="8">
        <f t="shared" si="0"/>
        <v>17.100000000002183</v>
      </c>
      <c r="D25" s="10">
        <f t="shared" si="1"/>
        <v>52.4970000000067</v>
      </c>
      <c r="E25" s="7">
        <f>'[12]Oct Prod'!E24</f>
        <v>0</v>
      </c>
      <c r="F25" s="8">
        <f t="shared" si="2"/>
        <v>0</v>
      </c>
      <c r="G25" s="10">
        <f t="shared" si="3"/>
        <v>0</v>
      </c>
      <c r="H25" s="7">
        <f>'[12]Oct Prod'!F24</f>
        <v>15960000</v>
      </c>
      <c r="I25" s="8">
        <f t="shared" si="4"/>
        <v>15.96</v>
      </c>
      <c r="J25" s="10">
        <f t="shared" si="5"/>
        <v>48.997199999999999</v>
      </c>
      <c r="K25" s="7">
        <f>'[12]Oct Prod'!H279</f>
        <v>1463925</v>
      </c>
      <c r="L25" s="8">
        <f t="shared" si="6"/>
        <v>1.4639249999999999</v>
      </c>
      <c r="M25" s="10">
        <f t="shared" si="7"/>
        <v>4.4942497499999998</v>
      </c>
      <c r="N25" s="21"/>
      <c r="O25" s="7">
        <f>'[12]Oct Prod'!H24</f>
        <v>0</v>
      </c>
      <c r="P25" s="8">
        <f t="shared" si="8"/>
        <v>0</v>
      </c>
      <c r="Q25" s="10">
        <f t="shared" si="9"/>
        <v>0</v>
      </c>
      <c r="R25" s="7">
        <f>'[12]Oct Prod'!C24</f>
        <v>0</v>
      </c>
      <c r="S25" s="8">
        <f t="shared" si="10"/>
        <v>0</v>
      </c>
      <c r="T25" s="10">
        <f t="shared" si="11"/>
        <v>0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271000.00000000081</v>
      </c>
      <c r="Y25" s="8">
        <f t="shared" si="14"/>
        <v>0.2710000000000008</v>
      </c>
      <c r="Z25" s="10">
        <f t="shared" si="15"/>
        <v>0.83197000000000243</v>
      </c>
      <c r="AA25" s="15"/>
      <c r="AB25" s="7">
        <f t="shared" si="16"/>
        <v>17100000.000002183</v>
      </c>
      <c r="AC25" s="8">
        <f t="shared" si="16"/>
        <v>17.100000000002183</v>
      </c>
      <c r="AD25" s="8">
        <f t="shared" si="16"/>
        <v>52.4970000000067</v>
      </c>
      <c r="AF25" s="8">
        <f t="shared" si="22"/>
        <v>-0.83197000000000243</v>
      </c>
    </row>
    <row r="26" spans="1:32" x14ac:dyDescent="0.2">
      <c r="A26" s="27">
        <v>38647</v>
      </c>
      <c r="B26" s="7">
        <f>'[12]Oct Prod'!I25</f>
        <v>12000000</v>
      </c>
      <c r="C26" s="8">
        <f t="shared" si="0"/>
        <v>12</v>
      </c>
      <c r="D26" s="10">
        <f t="shared" si="1"/>
        <v>36.839999999999996</v>
      </c>
      <c r="E26" s="7">
        <f>'[12]Oct Prod'!E25</f>
        <v>0</v>
      </c>
      <c r="F26" s="8">
        <f t="shared" si="2"/>
        <v>0</v>
      </c>
      <c r="G26" s="10">
        <f t="shared" si="3"/>
        <v>0</v>
      </c>
      <c r="H26" s="7">
        <f>'[12]Oct Prod'!F25</f>
        <v>11380000</v>
      </c>
      <c r="I26" s="8">
        <f t="shared" si="4"/>
        <v>11.38</v>
      </c>
      <c r="J26" s="10">
        <f t="shared" si="5"/>
        <v>34.936599999999999</v>
      </c>
      <c r="K26" s="7">
        <f>'[12]Oct Prod'!H280</f>
        <v>1065467</v>
      </c>
      <c r="L26" s="8">
        <f t="shared" si="6"/>
        <v>1.0654669999999999</v>
      </c>
      <c r="M26" s="10">
        <f t="shared" si="7"/>
        <v>3.2709836899999996</v>
      </c>
      <c r="N26" s="21"/>
      <c r="O26" s="7">
        <f>'[12]Oct Prod'!H25</f>
        <v>0</v>
      </c>
      <c r="P26" s="8">
        <f t="shared" si="8"/>
        <v>0</v>
      </c>
      <c r="Q26" s="10">
        <f t="shared" si="9"/>
        <v>0</v>
      </c>
      <c r="R26" s="7">
        <f>'[12]Oct Prod'!C25</f>
        <v>0</v>
      </c>
      <c r="S26" s="8">
        <f t="shared" si="10"/>
        <v>0</v>
      </c>
      <c r="T26" s="10">
        <f t="shared" si="11"/>
        <v>0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999.99999999766942</v>
      </c>
      <c r="Y26" s="8">
        <f t="shared" si="14"/>
        <v>9.9999999999766942E-4</v>
      </c>
      <c r="Z26" s="10">
        <f t="shared" si="15"/>
        <v>3.0699999999928449E-3</v>
      </c>
      <c r="AA26" s="15"/>
      <c r="AB26" s="7">
        <f t="shared" si="16"/>
        <v>12000000</v>
      </c>
      <c r="AC26" s="8">
        <f t="shared" si="16"/>
        <v>12</v>
      </c>
      <c r="AD26" s="8">
        <f t="shared" si="16"/>
        <v>36.839999999999996</v>
      </c>
      <c r="AF26" s="8">
        <f t="shared" si="22"/>
        <v>-3.0699999999928449E-3</v>
      </c>
    </row>
    <row r="27" spans="1:32" x14ac:dyDescent="0.2">
      <c r="A27" s="27">
        <v>38648</v>
      </c>
      <c r="B27" s="7">
        <f>'[12]Oct Prod'!I26</f>
        <v>15299999.999999272</v>
      </c>
      <c r="C27" s="8">
        <f t="shared" si="0"/>
        <v>15.299999999999272</v>
      </c>
      <c r="D27" s="10">
        <f t="shared" si="1"/>
        <v>46.970999999997765</v>
      </c>
      <c r="E27" s="7">
        <f>'[12]Oct Prod'!E26</f>
        <v>0</v>
      </c>
      <c r="F27" s="8">
        <f t="shared" si="2"/>
        <v>0</v>
      </c>
      <c r="G27" s="10">
        <f t="shared" si="3"/>
        <v>0</v>
      </c>
      <c r="H27" s="7">
        <f>'[12]Oct Prod'!F26</f>
        <v>13860000</v>
      </c>
      <c r="I27" s="8">
        <f t="shared" si="4"/>
        <v>13.86</v>
      </c>
      <c r="J27" s="10">
        <f t="shared" si="5"/>
        <v>42.550199999999997</v>
      </c>
      <c r="K27" s="7">
        <f>'[12]Oct Prod'!H281</f>
        <v>1218726</v>
      </c>
      <c r="L27" s="8">
        <f t="shared" si="6"/>
        <v>1.218726</v>
      </c>
      <c r="M27" s="10">
        <f t="shared" si="7"/>
        <v>3.7414888199999998</v>
      </c>
      <c r="N27" s="21"/>
      <c r="O27" s="7">
        <f>'[12]Oct Prod'!H26</f>
        <v>0</v>
      </c>
      <c r="P27" s="8">
        <f t="shared" si="8"/>
        <v>0</v>
      </c>
      <c r="Q27" s="10">
        <f t="shared" si="9"/>
        <v>0</v>
      </c>
      <c r="R27" s="7">
        <f>'[12]Oct Prod'!C26</f>
        <v>0</v>
      </c>
      <c r="S27" s="8">
        <f t="shared" si="10"/>
        <v>0</v>
      </c>
      <c r="T27" s="10">
        <f t="shared" si="11"/>
        <v>0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15299999.999999272</v>
      </c>
      <c r="AC27" s="8">
        <f t="shared" si="16"/>
        <v>15.299999999999272</v>
      </c>
      <c r="AD27" s="8">
        <f t="shared" si="16"/>
        <v>46.970999999997765</v>
      </c>
      <c r="AF27" s="8">
        <f t="shared" si="22"/>
        <v>0</v>
      </c>
    </row>
    <row r="28" spans="1:32" x14ac:dyDescent="0.2">
      <c r="A28" s="27">
        <v>38649</v>
      </c>
      <c r="B28" s="7">
        <f>'[12]Oct Prod'!I27</f>
        <v>14299999.999999272</v>
      </c>
      <c r="C28" s="8">
        <f t="shared" si="0"/>
        <v>14.299999999999272</v>
      </c>
      <c r="D28" s="10">
        <f t="shared" si="1"/>
        <v>43.900999999997765</v>
      </c>
      <c r="E28" s="7">
        <f>'[12]Oct Prod'!E27</f>
        <v>0</v>
      </c>
      <c r="F28" s="8">
        <f t="shared" si="2"/>
        <v>0</v>
      </c>
      <c r="G28" s="10">
        <f t="shared" si="3"/>
        <v>0</v>
      </c>
      <c r="H28" s="7">
        <f>'[12]Oct Prod'!F27</f>
        <v>13930000</v>
      </c>
      <c r="I28" s="8">
        <f t="shared" si="4"/>
        <v>13.93</v>
      </c>
      <c r="J28" s="10">
        <f t="shared" si="5"/>
        <v>42.765099999999997</v>
      </c>
      <c r="K28" s="7">
        <f>'[12]Oct Prod'!H282</f>
        <v>1265745</v>
      </c>
      <c r="L28" s="8">
        <f t="shared" si="6"/>
        <v>1.2657449999999999</v>
      </c>
      <c r="M28" s="10">
        <f t="shared" si="7"/>
        <v>3.8858371499999995</v>
      </c>
      <c r="N28" s="21"/>
      <c r="O28" s="7">
        <f>'[12]Oct Prod'!H27</f>
        <v>0</v>
      </c>
      <c r="P28" s="8">
        <f t="shared" si="8"/>
        <v>0</v>
      </c>
      <c r="Q28" s="10">
        <f t="shared" si="9"/>
        <v>0</v>
      </c>
      <c r="R28" s="7">
        <f>'[12]Oct Prod'!C27</f>
        <v>0</v>
      </c>
      <c r="S28" s="8">
        <f t="shared" si="10"/>
        <v>0</v>
      </c>
      <c r="T28" s="10">
        <f t="shared" si="11"/>
        <v>0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14299999.999999272</v>
      </c>
      <c r="AC28" s="8">
        <f t="shared" si="16"/>
        <v>14.299999999999272</v>
      </c>
      <c r="AD28" s="8">
        <f t="shared" si="16"/>
        <v>43.900999999997765</v>
      </c>
      <c r="AF28" s="8">
        <f t="shared" si="22"/>
        <v>0</v>
      </c>
    </row>
    <row r="29" spans="1:32" x14ac:dyDescent="0.2">
      <c r="A29" s="27">
        <v>38650</v>
      </c>
      <c r="B29" s="7">
        <f>'[12]Oct Prod'!I28</f>
        <v>16599999.999998545</v>
      </c>
      <c r="C29" s="8">
        <f t="shared" si="0"/>
        <v>16.599999999998545</v>
      </c>
      <c r="D29" s="10">
        <f t="shared" si="1"/>
        <v>50.961999999995527</v>
      </c>
      <c r="E29" s="7">
        <f>'[12]Oct Prod'!E28</f>
        <v>0</v>
      </c>
      <c r="F29" s="8">
        <f t="shared" si="2"/>
        <v>0</v>
      </c>
      <c r="G29" s="10">
        <f t="shared" si="3"/>
        <v>0</v>
      </c>
      <c r="H29" s="7">
        <f>'[12]Oct Prod'!F28</f>
        <v>14990000</v>
      </c>
      <c r="I29" s="8">
        <f t="shared" si="4"/>
        <v>14.99</v>
      </c>
      <c r="J29" s="10">
        <f t="shared" si="5"/>
        <v>46.019300000000001</v>
      </c>
      <c r="K29" s="7">
        <f>'[12]Oct Prod'!H283</f>
        <v>1319609</v>
      </c>
      <c r="L29" s="8">
        <f t="shared" si="6"/>
        <v>1.319609</v>
      </c>
      <c r="M29" s="10">
        <f t="shared" si="7"/>
        <v>4.0511996300000002</v>
      </c>
      <c r="N29" s="21"/>
      <c r="O29" s="7">
        <f>'[12]Oct Prod'!H28</f>
        <v>0</v>
      </c>
      <c r="P29" s="8">
        <f t="shared" si="8"/>
        <v>0</v>
      </c>
      <c r="Q29" s="10">
        <f t="shared" si="9"/>
        <v>0</v>
      </c>
      <c r="R29" s="7">
        <f>'[12]Oct Prod'!C28</f>
        <v>0</v>
      </c>
      <c r="S29" s="8">
        <f t="shared" si="10"/>
        <v>0</v>
      </c>
      <c r="T29" s="10">
        <f t="shared" si="11"/>
        <v>0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16599999.999998545</v>
      </c>
      <c r="AC29" s="8">
        <f t="shared" si="16"/>
        <v>16.599999999998545</v>
      </c>
      <c r="AD29" s="8">
        <f t="shared" si="16"/>
        <v>50.961999999995527</v>
      </c>
      <c r="AF29" s="8">
        <f t="shared" si="22"/>
        <v>0</v>
      </c>
    </row>
    <row r="30" spans="1:32" x14ac:dyDescent="0.2">
      <c r="A30" s="27">
        <v>38651</v>
      </c>
      <c r="B30" s="7">
        <f>'[12]Oct Prod'!I29</f>
        <v>17100000.000002183</v>
      </c>
      <c r="C30" s="8">
        <f t="shared" si="0"/>
        <v>17.100000000002183</v>
      </c>
      <c r="D30" s="10">
        <f t="shared" si="1"/>
        <v>52.4970000000067</v>
      </c>
      <c r="E30" s="7">
        <f>'[12]Oct Prod'!E29</f>
        <v>0</v>
      </c>
      <c r="F30" s="8">
        <f t="shared" si="2"/>
        <v>0</v>
      </c>
      <c r="G30" s="10">
        <f t="shared" si="3"/>
        <v>0</v>
      </c>
      <c r="H30" s="7">
        <f>'[12]Oct Prod'!F29</f>
        <v>16020000</v>
      </c>
      <c r="I30" s="8">
        <f t="shared" si="4"/>
        <v>16.02</v>
      </c>
      <c r="J30" s="10">
        <f t="shared" si="5"/>
        <v>49.181399999999996</v>
      </c>
      <c r="K30" s="7">
        <f>'[12]Oct Prod'!H284</f>
        <v>1364167</v>
      </c>
      <c r="L30" s="8">
        <f t="shared" si="6"/>
        <v>1.3641669999999999</v>
      </c>
      <c r="M30" s="10">
        <f t="shared" si="7"/>
        <v>4.1879926899999997</v>
      </c>
      <c r="N30" s="21"/>
      <c r="O30" s="7">
        <f>'[12]Oct Prod'!H29</f>
        <v>0</v>
      </c>
      <c r="P30" s="8">
        <f t="shared" si="8"/>
        <v>0</v>
      </c>
      <c r="Q30" s="10">
        <f t="shared" si="9"/>
        <v>0</v>
      </c>
      <c r="R30" s="7">
        <f>'[12]Oct Prod'!C29</f>
        <v>0</v>
      </c>
      <c r="S30" s="8">
        <f t="shared" si="10"/>
        <v>0</v>
      </c>
      <c r="T30" s="10">
        <f t="shared" si="11"/>
        <v>0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17100000.000002183</v>
      </c>
      <c r="AC30" s="8">
        <f t="shared" si="16"/>
        <v>17.100000000002183</v>
      </c>
      <c r="AD30" s="8">
        <f>D30+Q30</f>
        <v>52.4970000000067</v>
      </c>
      <c r="AF30" s="8">
        <f t="shared" si="22"/>
        <v>0</v>
      </c>
    </row>
    <row r="31" spans="1:32" x14ac:dyDescent="0.2">
      <c r="A31" s="27">
        <v>38652</v>
      </c>
      <c r="B31" s="7">
        <f>'[12]Oct Prod'!I30</f>
        <v>10700000.000000728</v>
      </c>
      <c r="C31" s="8">
        <f t="shared" si="0"/>
        <v>10.700000000000728</v>
      </c>
      <c r="D31" s="10">
        <f t="shared" si="1"/>
        <v>32.849000000002235</v>
      </c>
      <c r="E31" s="7">
        <f>'[12]Oct Prod'!E30</f>
        <v>0</v>
      </c>
      <c r="F31" s="8">
        <f t="shared" si="2"/>
        <v>0</v>
      </c>
      <c r="G31" s="10">
        <f t="shared" si="3"/>
        <v>0</v>
      </c>
      <c r="H31" s="7">
        <f>'[12]Oct Prod'!F30</f>
        <v>10380000</v>
      </c>
      <c r="I31" s="8">
        <f t="shared" si="4"/>
        <v>10.38</v>
      </c>
      <c r="J31" s="10">
        <f t="shared" si="5"/>
        <v>31.866600000000002</v>
      </c>
      <c r="K31" s="7">
        <f>'[12]Oct Prod'!H285</f>
        <v>414520</v>
      </c>
      <c r="L31" s="8">
        <f t="shared" si="6"/>
        <v>0.41452</v>
      </c>
      <c r="M31" s="10">
        <f t="shared" si="7"/>
        <v>1.2725763999999999</v>
      </c>
      <c r="N31" s="21"/>
      <c r="O31" s="7">
        <f>'[12]Oct Prod'!H30</f>
        <v>0</v>
      </c>
      <c r="P31" s="8">
        <f t="shared" si="8"/>
        <v>0</v>
      </c>
      <c r="Q31" s="10">
        <f t="shared" si="9"/>
        <v>0</v>
      </c>
      <c r="R31" s="7">
        <f>'[12]Oct Prod'!C30</f>
        <v>0</v>
      </c>
      <c r="S31" s="8">
        <f t="shared" si="10"/>
        <v>0</v>
      </c>
      <c r="T31" s="10">
        <f t="shared" si="11"/>
        <v>0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10700000.000000728</v>
      </c>
      <c r="AC31" s="8">
        <f t="shared" si="16"/>
        <v>10.700000000000728</v>
      </c>
      <c r="AD31" s="8">
        <f t="shared" si="16"/>
        <v>32.849000000002235</v>
      </c>
      <c r="AF31" s="8">
        <f>T31-Q31-Z31</f>
        <v>0</v>
      </c>
    </row>
    <row r="32" spans="1:32" x14ac:dyDescent="0.2">
      <c r="A32" s="27">
        <v>38653</v>
      </c>
      <c r="B32" s="7">
        <f>'[12]Oct Prod'!I31</f>
        <v>12699999.999997091</v>
      </c>
      <c r="C32" s="8">
        <f t="shared" si="0"/>
        <v>12.699999999997091</v>
      </c>
      <c r="D32" s="10">
        <f t="shared" si="1"/>
        <v>38.988999999991066</v>
      </c>
      <c r="E32" s="7">
        <f>'[12]Oct Prod'!E31</f>
        <v>0</v>
      </c>
      <c r="F32" s="8">
        <f t="shared" si="2"/>
        <v>0</v>
      </c>
      <c r="G32" s="10">
        <f t="shared" si="3"/>
        <v>0</v>
      </c>
      <c r="H32" s="7">
        <f>'[12]Oct Prod'!F31</f>
        <v>11650000</v>
      </c>
      <c r="I32" s="8">
        <f t="shared" si="4"/>
        <v>11.65</v>
      </c>
      <c r="J32" s="10">
        <f t="shared" si="5"/>
        <v>35.765499999999996</v>
      </c>
      <c r="K32" s="7">
        <f>'[12]Oct Prod'!H286</f>
        <v>649517</v>
      </c>
      <c r="L32" s="8">
        <f t="shared" si="6"/>
        <v>0.64951700000000001</v>
      </c>
      <c r="M32" s="10">
        <f t="shared" si="7"/>
        <v>1.9940171899999999</v>
      </c>
      <c r="N32" s="21"/>
      <c r="O32" s="7">
        <f>'[12]Oct Prod'!H31</f>
        <v>0</v>
      </c>
      <c r="P32" s="8">
        <f t="shared" si="8"/>
        <v>0</v>
      </c>
      <c r="Q32" s="10">
        <f t="shared" si="9"/>
        <v>0</v>
      </c>
      <c r="R32" s="7">
        <f>'[12]Oct Prod'!C31</f>
        <v>0</v>
      </c>
      <c r="S32" s="8">
        <f t="shared" si="10"/>
        <v>0</v>
      </c>
      <c r="T32" s="10">
        <f t="shared" si="11"/>
        <v>0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12699999.999997091</v>
      </c>
      <c r="AC32" s="8">
        <f t="shared" si="16"/>
        <v>12.699999999997091</v>
      </c>
      <c r="AD32" s="8">
        <f t="shared" si="16"/>
        <v>38.988999999991066</v>
      </c>
      <c r="AF32" s="8">
        <f t="shared" si="22"/>
        <v>0</v>
      </c>
    </row>
    <row r="33" spans="1:32" x14ac:dyDescent="0.2">
      <c r="A33" s="27">
        <v>38654</v>
      </c>
      <c r="B33" s="7">
        <f>'[12]Oct Prod'!I32</f>
        <v>14100000.000002183</v>
      </c>
      <c r="C33" s="8">
        <f t="shared" si="0"/>
        <v>14.100000000002183</v>
      </c>
      <c r="D33" s="10">
        <f t="shared" si="1"/>
        <v>43.287000000006699</v>
      </c>
      <c r="E33" s="7">
        <f>'[12]Oct Prod'!E32</f>
        <v>4000000</v>
      </c>
      <c r="F33" s="8">
        <f t="shared" si="2"/>
        <v>4</v>
      </c>
      <c r="G33" s="10">
        <f t="shared" si="3"/>
        <v>12.28</v>
      </c>
      <c r="H33" s="7">
        <f>'[12]Oct Prod'!F32</f>
        <v>10920000</v>
      </c>
      <c r="I33" s="8">
        <f t="shared" si="4"/>
        <v>10.92</v>
      </c>
      <c r="J33" s="10">
        <f t="shared" si="5"/>
        <v>33.5244</v>
      </c>
      <c r="K33" s="7">
        <f>'[12]Oct Prod'!H287</f>
        <v>1158661</v>
      </c>
      <c r="L33" s="8">
        <f t="shared" ref="L33:L35" si="23">K33/1000000</f>
        <v>1.1586609999999999</v>
      </c>
      <c r="M33" s="10">
        <f t="shared" ref="M33:M35" si="24">L33*3.07</f>
        <v>3.5570892699999996</v>
      </c>
      <c r="N33" s="21"/>
      <c r="O33" s="7">
        <f>'[12]Oct Prod'!H32</f>
        <v>0</v>
      </c>
      <c r="P33" s="8">
        <f t="shared" si="8"/>
        <v>0</v>
      </c>
      <c r="Q33" s="10">
        <f t="shared" si="9"/>
        <v>0</v>
      </c>
      <c r="R33" s="7">
        <f>'[12]Oct Prod'!C32</f>
        <v>0</v>
      </c>
      <c r="S33" s="8">
        <f t="shared" si="10"/>
        <v>0</v>
      </c>
      <c r="T33" s="10">
        <f t="shared" si="11"/>
        <v>0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14100000.000002183</v>
      </c>
      <c r="AC33" s="8">
        <f t="shared" si="16"/>
        <v>14.100000000002183</v>
      </c>
      <c r="AD33" s="8">
        <f t="shared" si="16"/>
        <v>43.287000000006699</v>
      </c>
      <c r="AF33" s="8">
        <f t="shared" si="22"/>
        <v>0</v>
      </c>
    </row>
    <row r="34" spans="1:32" x14ac:dyDescent="0.2">
      <c r="A34" s="27">
        <v>38655</v>
      </c>
      <c r="B34" s="7">
        <f>'[12]Oct Prod'!I33</f>
        <v>14099999.999998545</v>
      </c>
      <c r="C34" s="8">
        <f t="shared" si="0"/>
        <v>14.099999999998545</v>
      </c>
      <c r="D34" s="10">
        <f t="shared" si="1"/>
        <v>43.28699999999553</v>
      </c>
      <c r="E34" s="7">
        <f>'[12]Oct Prod'!E33</f>
        <v>5000000</v>
      </c>
      <c r="F34" s="8">
        <f t="shared" si="2"/>
        <v>5</v>
      </c>
      <c r="G34" s="10">
        <f t="shared" si="3"/>
        <v>15.35</v>
      </c>
      <c r="H34" s="7">
        <f>'[12]Oct Prod'!F33</f>
        <v>8500000</v>
      </c>
      <c r="I34" s="8">
        <f t="shared" si="4"/>
        <v>8.5</v>
      </c>
      <c r="J34" s="10">
        <f t="shared" si="5"/>
        <v>26.094999999999999</v>
      </c>
      <c r="K34" s="7">
        <f>'[12]Oct Prod'!H288</f>
        <v>1221350</v>
      </c>
      <c r="L34" s="8">
        <f t="shared" si="23"/>
        <v>1.2213499999999999</v>
      </c>
      <c r="M34" s="10">
        <f t="shared" si="24"/>
        <v>3.7495444999999994</v>
      </c>
      <c r="N34" s="21"/>
      <c r="O34" s="7">
        <f>'[12]Oct Prod'!H33</f>
        <v>0</v>
      </c>
      <c r="P34" s="8">
        <f t="shared" si="8"/>
        <v>0</v>
      </c>
      <c r="Q34" s="10">
        <f t="shared" si="9"/>
        <v>0</v>
      </c>
      <c r="R34" s="7">
        <f>'[12]Oct Prod'!C33</f>
        <v>0</v>
      </c>
      <c r="S34" s="8">
        <f t="shared" si="10"/>
        <v>0</v>
      </c>
      <c r="T34" s="10">
        <f t="shared" si="11"/>
        <v>0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14099999.999998545</v>
      </c>
      <c r="AC34" s="8">
        <f t="shared" si="16"/>
        <v>14.099999999998545</v>
      </c>
      <c r="AD34" s="8">
        <f t="shared" si="16"/>
        <v>43.28699999999553</v>
      </c>
      <c r="AF34" s="8">
        <f t="shared" si="22"/>
        <v>0</v>
      </c>
    </row>
    <row r="35" spans="1:32" ht="13.5" thickBot="1" x14ac:dyDescent="0.25">
      <c r="A35" s="27">
        <v>38656</v>
      </c>
      <c r="B35" s="29">
        <f>'[12]Oct Prod'!I34</f>
        <v>12500000</v>
      </c>
      <c r="C35" s="9">
        <f t="shared" si="0"/>
        <v>12.5</v>
      </c>
      <c r="D35" s="11">
        <f t="shared" si="1"/>
        <v>38.375</v>
      </c>
      <c r="E35" s="29">
        <f>'[12]Oct Prod'!E34</f>
        <v>6000000</v>
      </c>
      <c r="F35" s="9">
        <f t="shared" si="2"/>
        <v>6</v>
      </c>
      <c r="G35" s="11">
        <f t="shared" si="3"/>
        <v>18.419999999999998</v>
      </c>
      <c r="H35" s="29">
        <f>'[12]Oct Prod'!F34</f>
        <v>6730000</v>
      </c>
      <c r="I35" s="9">
        <f t="shared" si="4"/>
        <v>6.73</v>
      </c>
      <c r="J35" s="11">
        <f t="shared" si="5"/>
        <v>20.661100000000001</v>
      </c>
      <c r="K35" s="7">
        <f>'[12]Oct Prod'!H289</f>
        <v>1062240</v>
      </c>
      <c r="L35" s="8">
        <f t="shared" si="23"/>
        <v>1.0622400000000001</v>
      </c>
      <c r="M35" s="10">
        <f t="shared" si="24"/>
        <v>3.2610768000000001</v>
      </c>
      <c r="N35" s="21"/>
      <c r="O35" s="29">
        <f>'[12]Oct Prod'!H34</f>
        <v>0</v>
      </c>
      <c r="P35" s="9">
        <f t="shared" si="8"/>
        <v>0</v>
      </c>
      <c r="Q35" s="11">
        <f t="shared" si="9"/>
        <v>0</v>
      </c>
      <c r="R35" s="29">
        <f>'[12]Oct Prod'!C34</f>
        <v>0</v>
      </c>
      <c r="S35" s="9">
        <f t="shared" si="10"/>
        <v>0</v>
      </c>
      <c r="T35" s="11">
        <f t="shared" si="11"/>
        <v>0</v>
      </c>
      <c r="U35" s="29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0</v>
      </c>
      <c r="Y35" s="9">
        <f t="shared" si="14"/>
        <v>0</v>
      </c>
      <c r="Z35" s="11">
        <f t="shared" si="15"/>
        <v>0</v>
      </c>
      <c r="AA35" s="15"/>
      <c r="AB35" s="7">
        <f t="shared" si="16"/>
        <v>12500000</v>
      </c>
      <c r="AC35" s="8">
        <f t="shared" si="16"/>
        <v>12.5</v>
      </c>
      <c r="AD35" s="8">
        <f t="shared" si="16"/>
        <v>38.375</v>
      </c>
      <c r="AF35" s="8">
        <f t="shared" si="22"/>
        <v>0</v>
      </c>
    </row>
    <row r="36" spans="1:32" ht="13.5" thickBot="1" x14ac:dyDescent="0.25">
      <c r="A36" s="14"/>
      <c r="B36" s="38"/>
      <c r="C36" s="39">
        <f>SUM(C5:C35)</f>
        <v>332.89999999999782</v>
      </c>
      <c r="D36" s="39">
        <f>SUM(D5:D35)</f>
        <v>1022.0029999999933</v>
      </c>
      <c r="E36" s="38"/>
      <c r="F36" s="39">
        <f>SUM(F5:F35)</f>
        <v>15</v>
      </c>
      <c r="G36" s="39">
        <f>SUM(G5:G35)</f>
        <v>46.05</v>
      </c>
      <c r="H36" s="38"/>
      <c r="I36" s="39">
        <f>SUM(I5:I35)</f>
        <v>301.50000000000006</v>
      </c>
      <c r="J36" s="39">
        <f>SUM(J5:J35)</f>
        <v>925.6049999999999</v>
      </c>
      <c r="K36" s="38"/>
      <c r="L36" s="39">
        <f>SUM(L5:L35)</f>
        <v>28.562498999999999</v>
      </c>
      <c r="M36" s="39">
        <f>SUM(M5:M35)</f>
        <v>87.686871930000009</v>
      </c>
      <c r="N36" s="14"/>
      <c r="O36" s="38"/>
      <c r="P36" s="39">
        <f>SUM(P5:P35)</f>
        <v>167.16600000000003</v>
      </c>
      <c r="Q36" s="39">
        <f>SUM(Q5:Q35)</f>
        <v>513.19961999999998</v>
      </c>
      <c r="R36" s="38"/>
      <c r="S36" s="39">
        <f>SUM(S5:S35)</f>
        <v>172.98599999999999</v>
      </c>
      <c r="T36" s="39">
        <f>SUM(T5:T35)</f>
        <v>531.06701999999996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6.0919999999999987</v>
      </c>
      <c r="Z36" s="39">
        <f>SUM(Z5:Z35)</f>
        <v>18.702439999999996</v>
      </c>
      <c r="AA36" s="14"/>
      <c r="AB36" s="38"/>
      <c r="AC36" s="39">
        <f>SUM(AC5:AC35)</f>
        <v>500.06599999999776</v>
      </c>
      <c r="AD36" s="39">
        <f>AC36*3.07</f>
        <v>1535.202619999993</v>
      </c>
      <c r="AF36" s="39">
        <f>SUM(AF5:AF35)</f>
        <v>-0.83504000000000189</v>
      </c>
    </row>
    <row r="37" spans="1:32" x14ac:dyDescent="0.2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workbookViewId="0">
      <selection activeCell="B20" sqref="B20"/>
    </sheetView>
  </sheetViews>
  <sheetFormatPr defaultRowHeight="12.75" x14ac:dyDescent="0.2"/>
  <cols>
    <col min="1" max="1" width="9.140625" style="54"/>
    <col min="2" max="2" width="16" style="54" bestFit="1" customWidth="1"/>
    <col min="3" max="3" width="16.28515625" style="54" bestFit="1" customWidth="1"/>
    <col min="4" max="4" width="16.85546875" style="54" bestFit="1" customWidth="1"/>
    <col min="5" max="5" width="15.7109375" style="54" bestFit="1" customWidth="1"/>
    <col min="6" max="6" width="13.85546875" style="54" bestFit="1" customWidth="1"/>
    <col min="7" max="7" width="21.85546875" style="54" bestFit="1" customWidth="1"/>
    <col min="8" max="8" width="14.140625" style="54" bestFit="1" customWidth="1"/>
    <col min="9" max="9" width="13.5703125" style="54" bestFit="1" customWidth="1"/>
    <col min="10" max="16384" width="9.140625" style="54"/>
  </cols>
  <sheetData>
    <row r="1" spans="1:11" s="47" customFormat="1" x14ac:dyDescent="0.2">
      <c r="B1" s="48" t="s">
        <v>10</v>
      </c>
      <c r="C1" s="48" t="s">
        <v>11</v>
      </c>
      <c r="D1" s="48" t="s">
        <v>12</v>
      </c>
      <c r="E1" s="48" t="s">
        <v>13</v>
      </c>
      <c r="F1" s="48" t="s">
        <v>4</v>
      </c>
      <c r="G1" s="48" t="s">
        <v>3</v>
      </c>
      <c r="H1" s="48" t="s">
        <v>6</v>
      </c>
      <c r="I1" s="48" t="s">
        <v>7</v>
      </c>
      <c r="J1" s="48"/>
      <c r="K1" s="48"/>
    </row>
    <row r="2" spans="1:11" s="49" customFormat="1" x14ac:dyDescent="0.2">
      <c r="B2" s="50" t="s">
        <v>2</v>
      </c>
      <c r="C2" s="50" t="s">
        <v>2</v>
      </c>
      <c r="D2" s="50" t="s">
        <v>2</v>
      </c>
      <c r="E2" s="50" t="s">
        <v>2</v>
      </c>
      <c r="F2" s="50" t="s">
        <v>2</v>
      </c>
      <c r="G2" s="50" t="s">
        <v>2</v>
      </c>
      <c r="H2" s="50" t="s">
        <v>2</v>
      </c>
      <c r="I2" s="50" t="s">
        <v>2</v>
      </c>
      <c r="J2" s="51"/>
      <c r="K2" s="51"/>
    </row>
    <row r="3" spans="1:11" x14ac:dyDescent="0.2">
      <c r="A3" s="52">
        <v>41579</v>
      </c>
      <c r="B3" s="53">
        <f>November!D35</f>
        <v>359.80400000000213</v>
      </c>
      <c r="C3" s="53">
        <f>November!G35</f>
        <v>79.819999999999993</v>
      </c>
      <c r="D3" s="53">
        <f>November!J35</f>
        <v>269.11619999999994</v>
      </c>
      <c r="E3" s="53">
        <f>November!M35</f>
        <v>33.812123469999996</v>
      </c>
      <c r="F3" s="53">
        <f>November!Q35</f>
        <v>720.10226999999998</v>
      </c>
      <c r="G3" s="53">
        <f>November!T35</f>
        <v>754.17926999999997</v>
      </c>
      <c r="H3" s="53">
        <f>November!W35</f>
        <v>3.0699999999999998E-3</v>
      </c>
      <c r="I3" s="53">
        <f>November!Z35</f>
        <v>34.080069999999999</v>
      </c>
    </row>
    <row r="4" spans="1:11" x14ac:dyDescent="0.2">
      <c r="A4" s="52">
        <v>41609</v>
      </c>
      <c r="B4" s="53">
        <f>December!D36</f>
        <v>0</v>
      </c>
      <c r="C4" s="53">
        <f>December!G36</f>
        <v>153.5</v>
      </c>
      <c r="D4" s="53">
        <f>December!J36</f>
        <v>0</v>
      </c>
      <c r="E4" s="53">
        <f>December!M36</f>
        <v>1.43689815</v>
      </c>
      <c r="F4" s="53">
        <f>December!Q36</f>
        <v>1076.9222300000001</v>
      </c>
      <c r="G4" s="53">
        <f>December!T36</f>
        <v>1125.08439</v>
      </c>
      <c r="H4" s="53">
        <f>December!W36</f>
        <v>0</v>
      </c>
      <c r="I4" s="53">
        <f>December!Z36</f>
        <v>48.162159999999993</v>
      </c>
    </row>
    <row r="5" spans="1:11" x14ac:dyDescent="0.2">
      <c r="A5" s="52">
        <v>41640</v>
      </c>
      <c r="B5" s="53">
        <f>January!D36</f>
        <v>0</v>
      </c>
      <c r="C5" s="53">
        <f>January!G36</f>
        <v>46.05</v>
      </c>
      <c r="D5" s="53">
        <f>January!J36</f>
        <v>0</v>
      </c>
      <c r="E5" s="53">
        <f>January!M36</f>
        <v>0</v>
      </c>
      <c r="F5" s="53">
        <f>January!Q36</f>
        <v>1089.7026400000002</v>
      </c>
      <c r="G5" s="53">
        <f>January!T36</f>
        <v>1132.9006099999999</v>
      </c>
      <c r="H5" s="53">
        <f>January!W36</f>
        <v>0</v>
      </c>
      <c r="I5" s="53">
        <f>January!Z36</f>
        <v>43.197969999999984</v>
      </c>
    </row>
    <row r="6" spans="1:11" x14ac:dyDescent="0.2">
      <c r="A6" s="52">
        <v>41671</v>
      </c>
      <c r="B6" s="53">
        <f>February!D34</f>
        <v>9.2099999999999991</v>
      </c>
      <c r="C6" s="53">
        <f>February!G34</f>
        <v>0</v>
      </c>
      <c r="D6" s="53">
        <f>February!J34</f>
        <v>31.805199999999999</v>
      </c>
      <c r="E6" s="53">
        <f>February!M34</f>
        <v>3.2334375899999994</v>
      </c>
      <c r="F6" s="53">
        <f>February!Q34</f>
        <v>981.56189000000006</v>
      </c>
      <c r="G6" s="53">
        <f>February!T34</f>
        <v>1019.55007</v>
      </c>
      <c r="H6" s="53">
        <f>February!W34</f>
        <v>3.15903</v>
      </c>
      <c r="I6" s="53">
        <f>February!Z34</f>
        <v>34.884409999999988</v>
      </c>
    </row>
    <row r="7" spans="1:11" x14ac:dyDescent="0.2">
      <c r="A7" s="52">
        <v>41699</v>
      </c>
      <c r="B7" s="53">
        <f>March!D36</f>
        <v>722.37099999999782</v>
      </c>
      <c r="C7" s="53">
        <f>March!G36</f>
        <v>0</v>
      </c>
      <c r="D7" s="53">
        <f>March!J36</f>
        <v>686.0222</v>
      </c>
      <c r="E7" s="53">
        <f>March!M36</f>
        <v>65.939255950000003</v>
      </c>
      <c r="F7" s="53">
        <f>March!Q36</f>
        <v>357.35106999999999</v>
      </c>
      <c r="G7" s="53">
        <f>March!T36</f>
        <v>374.92989</v>
      </c>
      <c r="H7" s="53">
        <f>March!W36</f>
        <v>9.2099999999999994E-3</v>
      </c>
      <c r="I7" s="53">
        <f>March!Z36</f>
        <v>17.588029999999996</v>
      </c>
    </row>
    <row r="8" spans="1:11" x14ac:dyDescent="0.2">
      <c r="A8" s="52">
        <v>41730</v>
      </c>
      <c r="B8" s="53">
        <f>April!D35</f>
        <v>1040.73</v>
      </c>
      <c r="C8" s="53">
        <f>April!G35</f>
        <v>76.75</v>
      </c>
      <c r="D8" s="53">
        <f>April!J35</f>
        <v>937.11749999999984</v>
      </c>
      <c r="E8" s="53">
        <f>April!M35</f>
        <v>101.26565077999999</v>
      </c>
      <c r="F8" s="53">
        <f>April!Q35</f>
        <v>270.33192000000003</v>
      </c>
      <c r="G8" s="53">
        <f>April!T35</f>
        <v>287.33050999999995</v>
      </c>
      <c r="H8" s="53">
        <f>April!W35</f>
        <v>0</v>
      </c>
      <c r="I8" s="53">
        <f>April!Z35</f>
        <v>12.81418</v>
      </c>
    </row>
    <row r="9" spans="1:11" x14ac:dyDescent="0.2">
      <c r="A9" s="52">
        <v>41760</v>
      </c>
      <c r="B9" s="53">
        <f>May!D36</f>
        <v>1002.9690000000022</v>
      </c>
      <c r="C9" s="53">
        <f>May!G36</f>
        <v>310.07</v>
      </c>
      <c r="D9" s="53">
        <f>May!J36</f>
        <v>676.13679999999999</v>
      </c>
      <c r="E9" s="53">
        <f>May!M36</f>
        <v>95.053447449999993</v>
      </c>
      <c r="F9" s="53">
        <f>May!Q36</f>
        <v>999.11614999999995</v>
      </c>
      <c r="G9" s="53">
        <f>May!T36</f>
        <v>1033.9145999999996</v>
      </c>
      <c r="H9" s="53">
        <f>May!W36</f>
        <v>0.12279999999999998</v>
      </c>
      <c r="I9" s="53">
        <f>May!Z36</f>
        <v>34.921250000000001</v>
      </c>
    </row>
    <row r="10" spans="1:11" x14ac:dyDescent="0.2">
      <c r="A10" s="52">
        <v>41791</v>
      </c>
      <c r="B10" s="53">
        <f>June!D35</f>
        <v>1483.1169999999954</v>
      </c>
      <c r="C10" s="53">
        <f>June!G35</f>
        <v>699.95999999999992</v>
      </c>
      <c r="D10" s="53">
        <f>June!J35</f>
        <v>796.97199999999987</v>
      </c>
      <c r="E10" s="53">
        <f>June!M35</f>
        <v>138.08882410999999</v>
      </c>
      <c r="F10" s="53">
        <f>June!Q35</f>
        <v>1284.4879999999996</v>
      </c>
      <c r="G10" s="53">
        <f>June!T35</f>
        <v>1330.8388599999998</v>
      </c>
      <c r="H10" s="53">
        <f>June!W35</f>
        <v>0</v>
      </c>
      <c r="I10" s="53">
        <f>June!Z35</f>
        <v>46.350859999999997</v>
      </c>
    </row>
    <row r="11" spans="1:11" x14ac:dyDescent="0.2">
      <c r="A11" s="52">
        <v>41821</v>
      </c>
      <c r="B11" s="53">
        <f>July!D36</f>
        <v>2016.3759999999977</v>
      </c>
      <c r="C11" s="53">
        <f>July!G36</f>
        <v>988.54</v>
      </c>
      <c r="D11" s="53">
        <f>July!J36</f>
        <v>1045.2429</v>
      </c>
      <c r="E11" s="53">
        <f>July!M36</f>
        <v>171.40923795999998</v>
      </c>
      <c r="F11" s="53">
        <f>July!Q36</f>
        <v>934.81806999999992</v>
      </c>
      <c r="G11" s="53">
        <f>July!T36</f>
        <v>967.63636999999983</v>
      </c>
      <c r="H11" s="53">
        <f>July!W36</f>
        <v>0</v>
      </c>
      <c r="I11" s="53">
        <f>July!Z36</f>
        <v>32.818299999999994</v>
      </c>
    </row>
    <row r="12" spans="1:11" x14ac:dyDescent="0.2">
      <c r="A12" s="52">
        <v>41852</v>
      </c>
      <c r="B12" s="53">
        <f>August!D36</f>
        <v>1674.0709999999976</v>
      </c>
      <c r="C12" s="53">
        <f>August!G36</f>
        <v>807.41</v>
      </c>
      <c r="D12" s="53">
        <f>August!J36</f>
        <v>868.22670000000016</v>
      </c>
      <c r="E12" s="53">
        <f>August!M36</f>
        <v>131.83678169700002</v>
      </c>
      <c r="F12" s="53">
        <f>August!Q36</f>
        <v>972.26592999999968</v>
      </c>
      <c r="G12" s="53">
        <f>August!T36</f>
        <v>1006.8955300000001</v>
      </c>
      <c r="H12" s="53">
        <f>August!W36</f>
        <v>0</v>
      </c>
      <c r="I12" s="53">
        <f>August!Z36</f>
        <v>34.629599999999989</v>
      </c>
    </row>
    <row r="13" spans="1:11" x14ac:dyDescent="0.2">
      <c r="A13" s="52">
        <v>41883</v>
      </c>
      <c r="B13" s="53">
        <f>September!D35</f>
        <v>1267.2960000000091</v>
      </c>
      <c r="C13" s="53">
        <f>September!G35</f>
        <v>552.6</v>
      </c>
      <c r="D13" s="53">
        <f>September!J35</f>
        <v>713.59080000000006</v>
      </c>
      <c r="E13" s="53">
        <f>September!M35</f>
        <v>109.88510864999999</v>
      </c>
      <c r="F13" s="53">
        <f>September!Q35</f>
        <v>884.41787999999974</v>
      </c>
      <c r="G13" s="53">
        <f>September!T35</f>
        <v>931.21389000000011</v>
      </c>
      <c r="H13" s="53">
        <f>September!W35</f>
        <v>0</v>
      </c>
      <c r="I13" s="53">
        <f>September!Z35</f>
        <v>46.796010000000003</v>
      </c>
    </row>
    <row r="14" spans="1:11" x14ac:dyDescent="0.2">
      <c r="A14" s="52">
        <v>41913</v>
      </c>
      <c r="B14" s="53">
        <f>October!D36</f>
        <v>1022.0029999999933</v>
      </c>
      <c r="C14" s="53">
        <f>October!G36</f>
        <v>46.05</v>
      </c>
      <c r="D14" s="53">
        <f>October!J36</f>
        <v>925.6049999999999</v>
      </c>
      <c r="E14" s="53">
        <f>October!M36</f>
        <v>87.686871930000009</v>
      </c>
      <c r="F14" s="53">
        <f>October!Q36</f>
        <v>513.19961999999998</v>
      </c>
      <c r="G14" s="53">
        <f>October!T36</f>
        <v>531.06701999999996</v>
      </c>
      <c r="H14" s="53">
        <f>October!W36</f>
        <v>0</v>
      </c>
      <c r="I14" s="53">
        <f>October!Z36</f>
        <v>18.702439999999996</v>
      </c>
    </row>
    <row r="15" spans="1:11" x14ac:dyDescent="0.2">
      <c r="A15" s="52">
        <v>41944</v>
      </c>
      <c r="B15" s="53"/>
      <c r="C15" s="53"/>
      <c r="D15" s="53"/>
      <c r="E15" s="53"/>
      <c r="F15" s="53"/>
      <c r="G15" s="53"/>
      <c r="H15" s="53"/>
      <c r="I15" s="53"/>
    </row>
    <row r="16" spans="1:11" x14ac:dyDescent="0.2">
      <c r="A16" s="52">
        <v>41974</v>
      </c>
      <c r="B16" s="53"/>
      <c r="C16" s="53"/>
      <c r="D16" s="53"/>
      <c r="E16" s="53"/>
      <c r="F16" s="53"/>
      <c r="G16" s="53"/>
      <c r="H16" s="53"/>
      <c r="I16" s="53"/>
    </row>
    <row r="17" spans="1:9" x14ac:dyDescent="0.2">
      <c r="A17" s="55" t="s">
        <v>15</v>
      </c>
      <c r="B17" s="53">
        <f>SUM(B3:B14)</f>
        <v>10597.946999999995</v>
      </c>
      <c r="C17" s="53">
        <f t="shared" ref="C17:I17" si="0">SUM(C3:C14)</f>
        <v>3760.75</v>
      </c>
      <c r="D17" s="53">
        <f t="shared" si="0"/>
        <v>6949.8352999999997</v>
      </c>
      <c r="E17" s="53">
        <f t="shared" si="0"/>
        <v>939.64763773699997</v>
      </c>
      <c r="F17" s="53">
        <f t="shared" si="0"/>
        <v>10084.277669999998</v>
      </c>
      <c r="G17" s="53">
        <f t="shared" si="0"/>
        <v>10495.541010000001</v>
      </c>
      <c r="H17" s="53">
        <f t="shared" si="0"/>
        <v>3.2941099999999999</v>
      </c>
      <c r="I17" s="53">
        <f t="shared" si="0"/>
        <v>404.94528000000003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DD03C9-12C8-43A5-A19E-157EF86C1586}"/>
</file>

<file path=customXml/itemProps2.xml><?xml version="1.0" encoding="utf-8"?>
<ds:datastoreItem xmlns:ds="http://schemas.openxmlformats.org/officeDocument/2006/customXml" ds:itemID="{8F8EB91C-72FF-4142-9C4D-97A3A7F1D950}"/>
</file>

<file path=customXml/itemProps3.xml><?xml version="1.0" encoding="utf-8"?>
<ds:datastoreItem xmlns:ds="http://schemas.openxmlformats.org/officeDocument/2006/customXml" ds:itemID="{485628F0-E0C3-43FB-A0BD-FE3BC5B977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mhull</cp:lastModifiedBy>
  <cp:lastPrinted>2012-07-11T20:09:08Z</cp:lastPrinted>
  <dcterms:created xsi:type="dcterms:W3CDTF">2004-01-27T20:05:57Z</dcterms:created>
  <dcterms:modified xsi:type="dcterms:W3CDTF">2014-11-06T17:13:32Z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