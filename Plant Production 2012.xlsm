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0.xml" ContentType="application/vnd.openxmlformats-officedocument.spreadsheetml.externalLink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comments1.xml" ContentType="application/vnd.openxmlformats-officedocument.spreadsheetml.comments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1.xml" ContentType="application/vnd.openxmlformats-officedocument.spreadsheetml.externalLink+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xl/externalLinks/externalLink9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945" yWindow="-30" windowWidth="11340" windowHeight="6795" tabRatio="706"/>
  </bookViews>
  <sheets>
    <sheet name="Summary" sheetId="15" r:id="rId1"/>
    <sheet name="November" sheetId="14" r:id="rId2"/>
    <sheet name="December" sheetId="13" r:id="rId3"/>
    <sheet name="January" sheetId="1" r:id="rId4"/>
    <sheet name="February" sheetId="4" r:id="rId5"/>
    <sheet name="March" sheetId="6" r:id="rId6"/>
    <sheet name="April" sheetId="7" r:id="rId7"/>
    <sheet name="May" sheetId="8" r:id="rId8"/>
    <sheet name="June" sheetId="9" r:id="rId9"/>
    <sheet name="July" sheetId="10" r:id="rId10"/>
    <sheet name="August" sheetId="11" r:id="rId11"/>
    <sheet name="September" sheetId="12" r:id="rId12"/>
    <sheet name="October" sheetId="5" r:id="rId13"/>
  </sheets>
  <externalReferences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</externalReferences>
  <definedNames>
    <definedName name="_xlnm.Print_Area" localSheetId="4">February!$A$1:$M$34</definedName>
    <definedName name="_xlnm.Print_Area" localSheetId="7">May!$A$1:$Z$36</definedName>
    <definedName name="_xlnm.Print_Area" localSheetId="1">November!$O$1:$AD$36</definedName>
    <definedName name="_xlnm.Print_Titles" localSheetId="6">April!$A:$A</definedName>
    <definedName name="_xlnm.Print_Titles" localSheetId="10">August!$A:$A</definedName>
    <definedName name="_xlnm.Print_Titles" localSheetId="4">February!$A:$A</definedName>
    <definedName name="_xlnm.Print_Titles" localSheetId="3">January!$A:$A</definedName>
    <definedName name="_xlnm.Print_Titles" localSheetId="9">July!$A:$A</definedName>
    <definedName name="_xlnm.Print_Titles" localSheetId="8">June!$A:$A</definedName>
    <definedName name="_xlnm.Print_Titles" localSheetId="5">March!$A:$A</definedName>
    <definedName name="_xlnm.Print_Titles" localSheetId="7">May!$A:$A</definedName>
    <definedName name="_xlnm.Print_Titles" localSheetId="11">September!$A:$A</definedName>
  </definedNames>
  <calcPr calcId="145621"/>
</workbook>
</file>

<file path=xl/calcChain.xml><?xml version="1.0" encoding="utf-8"?>
<calcChain xmlns="http://schemas.openxmlformats.org/spreadsheetml/2006/main">
  <c r="D11" i="15" l="1"/>
  <c r="D10" i="15"/>
  <c r="D9" i="15"/>
  <c r="C11" i="15"/>
  <c r="C10" i="15"/>
  <c r="C9" i="15"/>
  <c r="K28" i="5" l="1"/>
  <c r="K29" i="5"/>
  <c r="K30" i="5"/>
  <c r="K12" i="12" l="1"/>
  <c r="K13" i="12"/>
  <c r="K14" i="12"/>
  <c r="K15" i="12"/>
  <c r="X6" i="11" l="1"/>
  <c r="X7" i="11"/>
  <c r="X8" i="11"/>
  <c r="X9" i="11"/>
  <c r="X10" i="11"/>
  <c r="X11" i="1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U6" i="11"/>
  <c r="U7" i="11"/>
  <c r="U8" i="11"/>
  <c r="U9" i="11"/>
  <c r="U10" i="11"/>
  <c r="U11" i="11"/>
  <c r="U12" i="11"/>
  <c r="U13" i="11"/>
  <c r="U14" i="11"/>
  <c r="U15" i="11"/>
  <c r="U16" i="11"/>
  <c r="U17" i="11"/>
  <c r="U18" i="11"/>
  <c r="U19" i="11"/>
  <c r="U20" i="11"/>
  <c r="U21" i="11"/>
  <c r="U22" i="11"/>
  <c r="U23" i="11"/>
  <c r="U24" i="11"/>
  <c r="U25" i="11"/>
  <c r="U26" i="11"/>
  <c r="U27" i="11"/>
  <c r="U28" i="11"/>
  <c r="U29" i="11"/>
  <c r="U30" i="11"/>
  <c r="U31" i="11"/>
  <c r="U32" i="11"/>
  <c r="U33" i="11"/>
  <c r="U34" i="11"/>
  <c r="U35" i="1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R20" i="11"/>
  <c r="R21" i="11"/>
  <c r="R22" i="11"/>
  <c r="R23" i="11"/>
  <c r="R24" i="11"/>
  <c r="R25" i="11"/>
  <c r="R26" i="11"/>
  <c r="R27" i="11"/>
  <c r="R28" i="11"/>
  <c r="R29" i="11"/>
  <c r="R30" i="11"/>
  <c r="R31" i="11"/>
  <c r="R32" i="11"/>
  <c r="R33" i="11"/>
  <c r="R34" i="11"/>
  <c r="R35" i="11"/>
  <c r="R12" i="11"/>
  <c r="R13" i="11"/>
  <c r="R14" i="11"/>
  <c r="R15" i="11"/>
  <c r="R16" i="11"/>
  <c r="R17" i="11"/>
  <c r="R18" i="11"/>
  <c r="R19" i="11"/>
  <c r="R6" i="11"/>
  <c r="R7" i="11"/>
  <c r="R8" i="11"/>
  <c r="R9" i="11"/>
  <c r="R10" i="11"/>
  <c r="R11" i="11"/>
  <c r="K6" i="11" l="1"/>
  <c r="L6" i="11" s="1"/>
  <c r="M6" i="11" s="1"/>
  <c r="B6" i="11"/>
  <c r="C6" i="11" s="1"/>
  <c r="D6" i="11" s="1"/>
  <c r="E6" i="11"/>
  <c r="F6" i="11" s="1"/>
  <c r="G6" i="11" s="1"/>
  <c r="H6" i="11"/>
  <c r="I6" i="11" s="1"/>
  <c r="J6" i="11" s="1"/>
  <c r="B7" i="11"/>
  <c r="C7" i="11" s="1"/>
  <c r="D7" i="11" s="1"/>
  <c r="E7" i="11"/>
  <c r="F7" i="11" s="1"/>
  <c r="G7" i="11" s="1"/>
  <c r="H7" i="11"/>
  <c r="I7" i="11" s="1"/>
  <c r="J7" i="11" s="1"/>
  <c r="K7" i="11"/>
  <c r="L7" i="11" s="1"/>
  <c r="M7" i="11" s="1"/>
  <c r="B8" i="11"/>
  <c r="C8" i="11" s="1"/>
  <c r="D8" i="11" s="1"/>
  <c r="E8" i="11"/>
  <c r="F8" i="11" s="1"/>
  <c r="G8" i="11" s="1"/>
  <c r="H8" i="11"/>
  <c r="I8" i="11" s="1"/>
  <c r="J8" i="11" s="1"/>
  <c r="K8" i="11"/>
  <c r="L8" i="11" s="1"/>
  <c r="M8" i="11" s="1"/>
  <c r="B9" i="11"/>
  <c r="C9" i="11" s="1"/>
  <c r="D9" i="11" s="1"/>
  <c r="E9" i="11"/>
  <c r="F9" i="11" s="1"/>
  <c r="G9" i="11" s="1"/>
  <c r="H9" i="11"/>
  <c r="I9" i="11" s="1"/>
  <c r="J9" i="11" s="1"/>
  <c r="K9" i="11"/>
  <c r="L9" i="11" s="1"/>
  <c r="M9" i="11" s="1"/>
  <c r="B10" i="11"/>
  <c r="C10" i="11" s="1"/>
  <c r="D10" i="11" s="1"/>
  <c r="E10" i="11"/>
  <c r="F10" i="11" s="1"/>
  <c r="G10" i="11" s="1"/>
  <c r="H10" i="11"/>
  <c r="I10" i="11" s="1"/>
  <c r="J10" i="11" s="1"/>
  <c r="K10" i="11"/>
  <c r="L10" i="11" s="1"/>
  <c r="M10" i="11" s="1"/>
  <c r="B11" i="11"/>
  <c r="C11" i="11" s="1"/>
  <c r="D11" i="11" s="1"/>
  <c r="E11" i="11"/>
  <c r="F11" i="11" s="1"/>
  <c r="G11" i="11" s="1"/>
  <c r="H11" i="11"/>
  <c r="I11" i="11" s="1"/>
  <c r="K11" i="11"/>
  <c r="L11" i="11" s="1"/>
  <c r="M11" i="11" s="1"/>
  <c r="B12" i="11"/>
  <c r="C12" i="11" s="1"/>
  <c r="D12" i="11" s="1"/>
  <c r="E12" i="11"/>
  <c r="F12" i="11" s="1"/>
  <c r="G12" i="11" s="1"/>
  <c r="H12" i="11"/>
  <c r="I12" i="11" s="1"/>
  <c r="J12" i="11" s="1"/>
  <c r="K12" i="11"/>
  <c r="L12" i="11" s="1"/>
  <c r="M12" i="11" s="1"/>
  <c r="B13" i="11"/>
  <c r="C13" i="11" s="1"/>
  <c r="D13" i="11" s="1"/>
  <c r="E13" i="11"/>
  <c r="F13" i="11" s="1"/>
  <c r="G13" i="11" s="1"/>
  <c r="H13" i="11"/>
  <c r="I13" i="11" s="1"/>
  <c r="J13" i="11" s="1"/>
  <c r="K13" i="11"/>
  <c r="L13" i="11" s="1"/>
  <c r="M13" i="11" s="1"/>
  <c r="B14" i="11"/>
  <c r="C14" i="11" s="1"/>
  <c r="D14" i="11" s="1"/>
  <c r="E14" i="11"/>
  <c r="F14" i="11" s="1"/>
  <c r="G14" i="11" s="1"/>
  <c r="H14" i="11"/>
  <c r="I14" i="11" s="1"/>
  <c r="J14" i="11" s="1"/>
  <c r="K14" i="11"/>
  <c r="L14" i="11" s="1"/>
  <c r="M14" i="11" s="1"/>
  <c r="B15" i="11"/>
  <c r="C15" i="11" s="1"/>
  <c r="D15" i="11" s="1"/>
  <c r="E15" i="11"/>
  <c r="F15" i="11" s="1"/>
  <c r="G15" i="11" s="1"/>
  <c r="H15" i="11"/>
  <c r="I15" i="11" s="1"/>
  <c r="J15" i="11" s="1"/>
  <c r="K15" i="11"/>
  <c r="L15" i="11" s="1"/>
  <c r="M15" i="11" s="1"/>
  <c r="B16" i="11"/>
  <c r="C16" i="11" s="1"/>
  <c r="D16" i="11" s="1"/>
  <c r="E16" i="11"/>
  <c r="F16" i="11" s="1"/>
  <c r="G16" i="11" s="1"/>
  <c r="H16" i="11"/>
  <c r="I16" i="11" s="1"/>
  <c r="J16" i="11" s="1"/>
  <c r="K16" i="11"/>
  <c r="L16" i="11" s="1"/>
  <c r="M16" i="11" s="1"/>
  <c r="B17" i="11"/>
  <c r="C17" i="11" s="1"/>
  <c r="D17" i="11" s="1"/>
  <c r="E17" i="11"/>
  <c r="F17" i="11" s="1"/>
  <c r="G17" i="11" s="1"/>
  <c r="H17" i="11"/>
  <c r="I17" i="11" s="1"/>
  <c r="J17" i="11" s="1"/>
  <c r="K17" i="11"/>
  <c r="L17" i="11" s="1"/>
  <c r="M17" i="11" s="1"/>
  <c r="B18" i="11"/>
  <c r="C18" i="11" s="1"/>
  <c r="D18" i="11" s="1"/>
  <c r="E18" i="11"/>
  <c r="F18" i="11" s="1"/>
  <c r="G18" i="11" s="1"/>
  <c r="H18" i="11"/>
  <c r="I18" i="11" s="1"/>
  <c r="J18" i="11" s="1"/>
  <c r="K18" i="11"/>
  <c r="L18" i="11" s="1"/>
  <c r="M18" i="11" s="1"/>
  <c r="B19" i="11"/>
  <c r="C19" i="11" s="1"/>
  <c r="D19" i="11" s="1"/>
  <c r="E19" i="11"/>
  <c r="F19" i="11" s="1"/>
  <c r="G19" i="11" s="1"/>
  <c r="H19" i="11"/>
  <c r="I19" i="11" s="1"/>
  <c r="J19" i="11" s="1"/>
  <c r="K19" i="11"/>
  <c r="L19" i="11" s="1"/>
  <c r="M19" i="11" s="1"/>
  <c r="B20" i="11"/>
  <c r="C20" i="11" s="1"/>
  <c r="D20" i="11" s="1"/>
  <c r="E20" i="11"/>
  <c r="F20" i="11" s="1"/>
  <c r="G20" i="11" s="1"/>
  <c r="H20" i="11"/>
  <c r="I20" i="11" s="1"/>
  <c r="J20" i="11" s="1"/>
  <c r="K20" i="11"/>
  <c r="L20" i="11" s="1"/>
  <c r="M20" i="11" s="1"/>
  <c r="B21" i="11"/>
  <c r="C21" i="11" s="1"/>
  <c r="D21" i="11" s="1"/>
  <c r="E21" i="11"/>
  <c r="F21" i="11" s="1"/>
  <c r="G21" i="11" s="1"/>
  <c r="H21" i="11"/>
  <c r="I21" i="11" s="1"/>
  <c r="J21" i="11" s="1"/>
  <c r="K21" i="11"/>
  <c r="L21" i="11" s="1"/>
  <c r="M21" i="11" s="1"/>
  <c r="B22" i="11"/>
  <c r="C22" i="11" s="1"/>
  <c r="D22" i="11" s="1"/>
  <c r="E22" i="11"/>
  <c r="F22" i="11" s="1"/>
  <c r="G22" i="11" s="1"/>
  <c r="H22" i="11"/>
  <c r="I22" i="11" s="1"/>
  <c r="J22" i="11" s="1"/>
  <c r="K22" i="11"/>
  <c r="L22" i="11" s="1"/>
  <c r="M22" i="11" s="1"/>
  <c r="B23" i="11"/>
  <c r="C23" i="11" s="1"/>
  <c r="D23" i="11" s="1"/>
  <c r="E23" i="11"/>
  <c r="F23" i="11" s="1"/>
  <c r="G23" i="11" s="1"/>
  <c r="H23" i="11"/>
  <c r="I23" i="11" s="1"/>
  <c r="J23" i="11" s="1"/>
  <c r="K23" i="11"/>
  <c r="L23" i="11" s="1"/>
  <c r="M23" i="11" s="1"/>
  <c r="B24" i="11"/>
  <c r="C24" i="11" s="1"/>
  <c r="D24" i="11" s="1"/>
  <c r="E24" i="11"/>
  <c r="F24" i="11" s="1"/>
  <c r="G24" i="11" s="1"/>
  <c r="H24" i="11"/>
  <c r="I24" i="11" s="1"/>
  <c r="J24" i="11" s="1"/>
  <c r="K24" i="11"/>
  <c r="L24" i="11" s="1"/>
  <c r="M24" i="11" s="1"/>
  <c r="B25" i="11"/>
  <c r="C25" i="11" s="1"/>
  <c r="D25" i="11" s="1"/>
  <c r="E25" i="11"/>
  <c r="F25" i="11" s="1"/>
  <c r="G25" i="11" s="1"/>
  <c r="H25" i="11"/>
  <c r="I25" i="11" s="1"/>
  <c r="J25" i="11" s="1"/>
  <c r="K25" i="11"/>
  <c r="L25" i="11" s="1"/>
  <c r="M25" i="11" s="1"/>
  <c r="B26" i="11"/>
  <c r="C26" i="11" s="1"/>
  <c r="D26" i="11" s="1"/>
  <c r="E26" i="11"/>
  <c r="F26" i="11" s="1"/>
  <c r="G26" i="11" s="1"/>
  <c r="H26" i="11"/>
  <c r="I26" i="11" s="1"/>
  <c r="J26" i="11" s="1"/>
  <c r="K26" i="11"/>
  <c r="L26" i="11" s="1"/>
  <c r="M26" i="11" s="1"/>
  <c r="B27" i="11"/>
  <c r="C27" i="11" s="1"/>
  <c r="D27" i="11" s="1"/>
  <c r="E27" i="11"/>
  <c r="F27" i="11" s="1"/>
  <c r="G27" i="11" s="1"/>
  <c r="H27" i="11"/>
  <c r="I27" i="11" s="1"/>
  <c r="J27" i="11" s="1"/>
  <c r="K27" i="11"/>
  <c r="L27" i="11" s="1"/>
  <c r="M27" i="11" s="1"/>
  <c r="B28" i="11"/>
  <c r="C28" i="11" s="1"/>
  <c r="D28" i="11" s="1"/>
  <c r="E28" i="11"/>
  <c r="F28" i="11" s="1"/>
  <c r="G28" i="11" s="1"/>
  <c r="H28" i="11"/>
  <c r="I28" i="11" s="1"/>
  <c r="J28" i="11" s="1"/>
  <c r="K28" i="11"/>
  <c r="L28" i="11" s="1"/>
  <c r="M28" i="11" s="1"/>
  <c r="B29" i="11"/>
  <c r="C29" i="11" s="1"/>
  <c r="D29" i="11" s="1"/>
  <c r="E29" i="11"/>
  <c r="F29" i="11" s="1"/>
  <c r="G29" i="11" s="1"/>
  <c r="H29" i="11"/>
  <c r="I29" i="11" s="1"/>
  <c r="J29" i="11" s="1"/>
  <c r="K29" i="11"/>
  <c r="L29" i="11" s="1"/>
  <c r="M29" i="11" s="1"/>
  <c r="B30" i="11"/>
  <c r="C30" i="11" s="1"/>
  <c r="D30" i="11" s="1"/>
  <c r="E30" i="11"/>
  <c r="F30" i="11" s="1"/>
  <c r="G30" i="11" s="1"/>
  <c r="H30" i="11"/>
  <c r="I30" i="11" s="1"/>
  <c r="J30" i="11" s="1"/>
  <c r="K30" i="11"/>
  <c r="L30" i="11" s="1"/>
  <c r="M30" i="11" s="1"/>
  <c r="B31" i="11"/>
  <c r="C31" i="11" s="1"/>
  <c r="D31" i="11" s="1"/>
  <c r="E31" i="11"/>
  <c r="F31" i="11" s="1"/>
  <c r="G31" i="11" s="1"/>
  <c r="H31" i="11"/>
  <c r="I31" i="11" s="1"/>
  <c r="J31" i="11" s="1"/>
  <c r="K31" i="11"/>
  <c r="L31" i="11" s="1"/>
  <c r="M31" i="11" s="1"/>
  <c r="B32" i="11"/>
  <c r="C32" i="11" s="1"/>
  <c r="D32" i="11" s="1"/>
  <c r="E32" i="11"/>
  <c r="F32" i="11" s="1"/>
  <c r="G32" i="11" s="1"/>
  <c r="H32" i="11"/>
  <c r="I32" i="11" s="1"/>
  <c r="J32" i="11" s="1"/>
  <c r="K32" i="11"/>
  <c r="L32" i="11" s="1"/>
  <c r="M32" i="11" s="1"/>
  <c r="B33" i="11"/>
  <c r="C33" i="11" s="1"/>
  <c r="D33" i="11" s="1"/>
  <c r="E33" i="11"/>
  <c r="F33" i="11" s="1"/>
  <c r="G33" i="11" s="1"/>
  <c r="H33" i="11"/>
  <c r="I33" i="11" s="1"/>
  <c r="J33" i="11" s="1"/>
  <c r="K33" i="11"/>
  <c r="L33" i="11" s="1"/>
  <c r="M33" i="11" s="1"/>
  <c r="B34" i="11"/>
  <c r="C34" i="11" s="1"/>
  <c r="D34" i="11" s="1"/>
  <c r="E34" i="11"/>
  <c r="F34" i="11" s="1"/>
  <c r="G34" i="11" s="1"/>
  <c r="H34" i="11"/>
  <c r="I34" i="11" s="1"/>
  <c r="J34" i="11" s="1"/>
  <c r="K34" i="11"/>
  <c r="L34" i="11" s="1"/>
  <c r="M34" i="11" s="1"/>
  <c r="B35" i="11"/>
  <c r="C35" i="11" s="1"/>
  <c r="D35" i="11" s="1"/>
  <c r="E35" i="11"/>
  <c r="F35" i="11" s="1"/>
  <c r="G35" i="11" s="1"/>
  <c r="H35" i="11"/>
  <c r="I35" i="11" s="1"/>
  <c r="J35" i="11" s="1"/>
  <c r="K35" i="11"/>
  <c r="L35" i="11" s="1"/>
  <c r="M35" i="11" s="1"/>
  <c r="X5" i="11"/>
  <c r="U5" i="11"/>
  <c r="R5" i="11"/>
  <c r="K5" i="11"/>
  <c r="O5" i="11"/>
  <c r="H5" i="11"/>
  <c r="E5" i="11"/>
  <c r="B5" i="11"/>
  <c r="J11" i="11" l="1"/>
  <c r="E15" i="9"/>
  <c r="E16" i="9"/>
  <c r="F15" i="9"/>
  <c r="F16" i="9"/>
  <c r="I32" i="6" l="1"/>
  <c r="I33" i="6"/>
  <c r="I34" i="6"/>
  <c r="I35" i="6"/>
  <c r="I31" i="6"/>
  <c r="H31" i="6"/>
  <c r="X33" i="4" l="1"/>
  <c r="U33" i="4"/>
  <c r="K33" i="4"/>
  <c r="H33" i="4"/>
  <c r="E33" i="4"/>
  <c r="B33" i="4"/>
  <c r="O33" i="4"/>
  <c r="R33" i="4"/>
  <c r="X35" i="5" l="1"/>
  <c r="U35" i="5"/>
  <c r="R35" i="5"/>
  <c r="O35" i="5"/>
  <c r="X34" i="5"/>
  <c r="U34" i="5"/>
  <c r="R34" i="5"/>
  <c r="O34" i="5"/>
  <c r="X33" i="5"/>
  <c r="U33" i="5"/>
  <c r="R33" i="5"/>
  <c r="O33" i="5"/>
  <c r="X32" i="5"/>
  <c r="U32" i="5"/>
  <c r="R32" i="5"/>
  <c r="O32" i="5"/>
  <c r="X31" i="5"/>
  <c r="U31" i="5"/>
  <c r="R31" i="5"/>
  <c r="O31" i="5"/>
  <c r="X30" i="5"/>
  <c r="U30" i="5"/>
  <c r="R30" i="5"/>
  <c r="O30" i="5"/>
  <c r="X29" i="5"/>
  <c r="U29" i="5"/>
  <c r="R29" i="5"/>
  <c r="O29" i="5"/>
  <c r="X28" i="5"/>
  <c r="U28" i="5"/>
  <c r="R28" i="5"/>
  <c r="O28" i="5"/>
  <c r="X27" i="5"/>
  <c r="U27" i="5"/>
  <c r="R27" i="5"/>
  <c r="O27" i="5"/>
  <c r="X26" i="5"/>
  <c r="U26" i="5"/>
  <c r="R26" i="5"/>
  <c r="O26" i="5"/>
  <c r="X25" i="5"/>
  <c r="U25" i="5"/>
  <c r="R25" i="5"/>
  <c r="O25" i="5"/>
  <c r="X24" i="5"/>
  <c r="U24" i="5"/>
  <c r="R24" i="5"/>
  <c r="O24" i="5"/>
  <c r="X23" i="5"/>
  <c r="U23" i="5"/>
  <c r="R23" i="5"/>
  <c r="O23" i="5"/>
  <c r="X22" i="5"/>
  <c r="U22" i="5"/>
  <c r="R22" i="5"/>
  <c r="O22" i="5"/>
  <c r="X21" i="5"/>
  <c r="U21" i="5"/>
  <c r="R21" i="5"/>
  <c r="O21" i="5"/>
  <c r="X20" i="5"/>
  <c r="U20" i="5"/>
  <c r="R20" i="5"/>
  <c r="O20" i="5"/>
  <c r="X19" i="5"/>
  <c r="U19" i="5"/>
  <c r="R19" i="5"/>
  <c r="O19" i="5"/>
  <c r="X18" i="5"/>
  <c r="U18" i="5"/>
  <c r="R18" i="5"/>
  <c r="O18" i="5"/>
  <c r="X17" i="5"/>
  <c r="U17" i="5"/>
  <c r="R17" i="5"/>
  <c r="O17" i="5"/>
  <c r="X16" i="5"/>
  <c r="U16" i="5"/>
  <c r="R16" i="5"/>
  <c r="O16" i="5"/>
  <c r="X15" i="5"/>
  <c r="U15" i="5"/>
  <c r="R15" i="5"/>
  <c r="O15" i="5"/>
  <c r="X14" i="5"/>
  <c r="U14" i="5"/>
  <c r="R14" i="5"/>
  <c r="O14" i="5"/>
  <c r="X13" i="5"/>
  <c r="U13" i="5"/>
  <c r="R13" i="5"/>
  <c r="O13" i="5"/>
  <c r="X12" i="5"/>
  <c r="U12" i="5"/>
  <c r="R12" i="5"/>
  <c r="O12" i="5"/>
  <c r="X11" i="5"/>
  <c r="U11" i="5"/>
  <c r="R11" i="5"/>
  <c r="O11" i="5"/>
  <c r="X10" i="5"/>
  <c r="U10" i="5"/>
  <c r="R10" i="5"/>
  <c r="O10" i="5"/>
  <c r="X9" i="5"/>
  <c r="U9" i="5"/>
  <c r="R9" i="5"/>
  <c r="O9" i="5"/>
  <c r="X8" i="5"/>
  <c r="U8" i="5"/>
  <c r="R8" i="5"/>
  <c r="O8" i="5"/>
  <c r="X7" i="5"/>
  <c r="U7" i="5"/>
  <c r="R7" i="5"/>
  <c r="O7" i="5"/>
  <c r="X6" i="5"/>
  <c r="U6" i="5"/>
  <c r="R6" i="5"/>
  <c r="O6" i="5"/>
  <c r="X5" i="5"/>
  <c r="U5" i="5"/>
  <c r="R5" i="5"/>
  <c r="O5" i="5"/>
  <c r="K35" i="5"/>
  <c r="H35" i="5"/>
  <c r="I35" i="5" s="1"/>
  <c r="E35" i="5"/>
  <c r="B35" i="5"/>
  <c r="K34" i="5"/>
  <c r="H34" i="5"/>
  <c r="I34" i="5" s="1"/>
  <c r="E34" i="5"/>
  <c r="B34" i="5"/>
  <c r="K33" i="5"/>
  <c r="H33" i="5"/>
  <c r="I33" i="5" s="1"/>
  <c r="E33" i="5"/>
  <c r="B33" i="5"/>
  <c r="K32" i="5"/>
  <c r="H32" i="5"/>
  <c r="I32" i="5" s="1"/>
  <c r="E32" i="5"/>
  <c r="B32" i="5"/>
  <c r="K31" i="5"/>
  <c r="H31" i="5"/>
  <c r="I31" i="5" s="1"/>
  <c r="E31" i="5"/>
  <c r="B31" i="5"/>
  <c r="H30" i="5"/>
  <c r="I30" i="5" s="1"/>
  <c r="E30" i="5"/>
  <c r="B30" i="5"/>
  <c r="H29" i="5"/>
  <c r="I29" i="5" s="1"/>
  <c r="E29" i="5"/>
  <c r="B29" i="5"/>
  <c r="H28" i="5"/>
  <c r="I28" i="5" s="1"/>
  <c r="E28" i="5"/>
  <c r="B28" i="5"/>
  <c r="K27" i="5"/>
  <c r="H27" i="5"/>
  <c r="I27" i="5" s="1"/>
  <c r="E27" i="5"/>
  <c r="B27" i="5"/>
  <c r="K26" i="5"/>
  <c r="H26" i="5"/>
  <c r="I26" i="5" s="1"/>
  <c r="E26" i="5"/>
  <c r="B26" i="5"/>
  <c r="K25" i="5"/>
  <c r="H25" i="5"/>
  <c r="I25" i="5" s="1"/>
  <c r="E25" i="5"/>
  <c r="B25" i="5"/>
  <c r="K24" i="5"/>
  <c r="H24" i="5"/>
  <c r="I24" i="5" s="1"/>
  <c r="E24" i="5"/>
  <c r="B24" i="5"/>
  <c r="K23" i="5"/>
  <c r="H23" i="5"/>
  <c r="I23" i="5" s="1"/>
  <c r="E23" i="5"/>
  <c r="B23" i="5"/>
  <c r="K22" i="5"/>
  <c r="H22" i="5"/>
  <c r="I22" i="5" s="1"/>
  <c r="E22" i="5"/>
  <c r="B22" i="5"/>
  <c r="K21" i="5"/>
  <c r="H21" i="5"/>
  <c r="I21" i="5" s="1"/>
  <c r="E21" i="5"/>
  <c r="B21" i="5"/>
  <c r="K20" i="5"/>
  <c r="H20" i="5"/>
  <c r="I20" i="5" s="1"/>
  <c r="E20" i="5"/>
  <c r="B20" i="5"/>
  <c r="K19" i="5"/>
  <c r="H19" i="5"/>
  <c r="I19" i="5" s="1"/>
  <c r="E19" i="5"/>
  <c r="B19" i="5"/>
  <c r="K18" i="5"/>
  <c r="H18" i="5"/>
  <c r="I18" i="5" s="1"/>
  <c r="E18" i="5"/>
  <c r="B18" i="5"/>
  <c r="K17" i="5"/>
  <c r="H17" i="5"/>
  <c r="I17" i="5" s="1"/>
  <c r="E17" i="5"/>
  <c r="B17" i="5"/>
  <c r="K16" i="5"/>
  <c r="H16" i="5"/>
  <c r="I16" i="5" s="1"/>
  <c r="E16" i="5"/>
  <c r="B16" i="5"/>
  <c r="K15" i="5"/>
  <c r="H15" i="5"/>
  <c r="I15" i="5" s="1"/>
  <c r="E15" i="5"/>
  <c r="B15" i="5"/>
  <c r="K14" i="5"/>
  <c r="H14" i="5"/>
  <c r="I14" i="5" s="1"/>
  <c r="E14" i="5"/>
  <c r="B14" i="5"/>
  <c r="K13" i="5"/>
  <c r="H13" i="5"/>
  <c r="I13" i="5" s="1"/>
  <c r="E13" i="5"/>
  <c r="B13" i="5"/>
  <c r="K12" i="5"/>
  <c r="H12" i="5"/>
  <c r="I12" i="5" s="1"/>
  <c r="E12" i="5"/>
  <c r="B12" i="5"/>
  <c r="K11" i="5"/>
  <c r="H11" i="5"/>
  <c r="I11" i="5" s="1"/>
  <c r="E11" i="5"/>
  <c r="B11" i="5"/>
  <c r="K10" i="5"/>
  <c r="H10" i="5"/>
  <c r="I10" i="5" s="1"/>
  <c r="E10" i="5"/>
  <c r="B10" i="5"/>
  <c r="K9" i="5"/>
  <c r="H9" i="5"/>
  <c r="I9" i="5" s="1"/>
  <c r="E9" i="5"/>
  <c r="B9" i="5"/>
  <c r="K8" i="5"/>
  <c r="H8" i="5"/>
  <c r="I8" i="5" s="1"/>
  <c r="E8" i="5"/>
  <c r="B8" i="5"/>
  <c r="K7" i="5"/>
  <c r="H7" i="5"/>
  <c r="I7" i="5" s="1"/>
  <c r="E7" i="5"/>
  <c r="B7" i="5"/>
  <c r="K6" i="5"/>
  <c r="H6" i="5"/>
  <c r="I6" i="5" s="1"/>
  <c r="E6" i="5"/>
  <c r="B6" i="5"/>
  <c r="K5" i="5"/>
  <c r="H5" i="5"/>
  <c r="I5" i="5" s="1"/>
  <c r="E5" i="5"/>
  <c r="B5" i="5"/>
  <c r="X34" i="12"/>
  <c r="U34" i="12"/>
  <c r="R34" i="12"/>
  <c r="O34" i="12"/>
  <c r="X33" i="12"/>
  <c r="U33" i="12"/>
  <c r="R33" i="12"/>
  <c r="O33" i="12"/>
  <c r="X32" i="12"/>
  <c r="U32" i="12"/>
  <c r="R32" i="12"/>
  <c r="O32" i="12"/>
  <c r="X31" i="12"/>
  <c r="U31" i="12"/>
  <c r="R31" i="12"/>
  <c r="O31" i="12"/>
  <c r="X30" i="12"/>
  <c r="U30" i="12"/>
  <c r="R30" i="12"/>
  <c r="O30" i="12"/>
  <c r="X29" i="12"/>
  <c r="U29" i="12"/>
  <c r="R29" i="12"/>
  <c r="O29" i="12"/>
  <c r="X28" i="12"/>
  <c r="U28" i="12"/>
  <c r="R28" i="12"/>
  <c r="O28" i="12"/>
  <c r="X27" i="12"/>
  <c r="U27" i="12"/>
  <c r="R27" i="12"/>
  <c r="O27" i="12"/>
  <c r="X26" i="12"/>
  <c r="U26" i="12"/>
  <c r="R26" i="12"/>
  <c r="O26" i="12"/>
  <c r="X25" i="12"/>
  <c r="U25" i="12"/>
  <c r="R25" i="12"/>
  <c r="O25" i="12"/>
  <c r="X24" i="12"/>
  <c r="U24" i="12"/>
  <c r="R24" i="12"/>
  <c r="O24" i="12"/>
  <c r="X23" i="12"/>
  <c r="U23" i="12"/>
  <c r="R23" i="12"/>
  <c r="O23" i="12"/>
  <c r="X22" i="12"/>
  <c r="U22" i="12"/>
  <c r="R22" i="12"/>
  <c r="O22" i="12"/>
  <c r="X21" i="12"/>
  <c r="U21" i="12"/>
  <c r="R21" i="12"/>
  <c r="O21" i="12"/>
  <c r="X20" i="12"/>
  <c r="U20" i="12"/>
  <c r="R20" i="12"/>
  <c r="O20" i="12"/>
  <c r="X19" i="12"/>
  <c r="U19" i="12"/>
  <c r="R19" i="12"/>
  <c r="O19" i="12"/>
  <c r="X18" i="12"/>
  <c r="U18" i="12"/>
  <c r="R18" i="12"/>
  <c r="O18" i="12"/>
  <c r="X17" i="12"/>
  <c r="U17" i="12"/>
  <c r="R17" i="12"/>
  <c r="O17" i="12"/>
  <c r="X16" i="12"/>
  <c r="U16" i="12"/>
  <c r="R16" i="12"/>
  <c r="O16" i="12"/>
  <c r="X15" i="12"/>
  <c r="U15" i="12"/>
  <c r="R15" i="12"/>
  <c r="O15" i="12"/>
  <c r="X14" i="12"/>
  <c r="U14" i="12"/>
  <c r="R14" i="12"/>
  <c r="O14" i="12"/>
  <c r="X13" i="12"/>
  <c r="U13" i="12"/>
  <c r="R13" i="12"/>
  <c r="O13" i="12"/>
  <c r="X12" i="12"/>
  <c r="U12" i="12"/>
  <c r="R12" i="12"/>
  <c r="O12" i="12"/>
  <c r="X11" i="12"/>
  <c r="U11" i="12"/>
  <c r="R11" i="12"/>
  <c r="O11" i="12"/>
  <c r="X10" i="12"/>
  <c r="U10" i="12"/>
  <c r="R10" i="12"/>
  <c r="O10" i="12"/>
  <c r="X9" i="12"/>
  <c r="U9" i="12"/>
  <c r="R9" i="12"/>
  <c r="O9" i="12"/>
  <c r="X8" i="12"/>
  <c r="U8" i="12"/>
  <c r="R8" i="12"/>
  <c r="O8" i="12"/>
  <c r="X7" i="12"/>
  <c r="U7" i="12"/>
  <c r="R7" i="12"/>
  <c r="O7" i="12"/>
  <c r="X6" i="12"/>
  <c r="U6" i="12"/>
  <c r="R6" i="12"/>
  <c r="O6" i="12"/>
  <c r="X5" i="12"/>
  <c r="U5" i="12"/>
  <c r="R5" i="12"/>
  <c r="O5" i="12"/>
  <c r="K34" i="12"/>
  <c r="H34" i="12"/>
  <c r="I34" i="12" s="1"/>
  <c r="E34" i="12"/>
  <c r="B34" i="12"/>
  <c r="K33" i="12"/>
  <c r="H33" i="12"/>
  <c r="I33" i="12" s="1"/>
  <c r="E33" i="12"/>
  <c r="B33" i="12"/>
  <c r="K32" i="12"/>
  <c r="H32" i="12"/>
  <c r="I32" i="12" s="1"/>
  <c r="E32" i="12"/>
  <c r="B32" i="12"/>
  <c r="K31" i="12"/>
  <c r="H31" i="12"/>
  <c r="I31" i="12" s="1"/>
  <c r="E31" i="12"/>
  <c r="B31" i="12"/>
  <c r="K30" i="12"/>
  <c r="H30" i="12"/>
  <c r="I30" i="12" s="1"/>
  <c r="E30" i="12"/>
  <c r="B30" i="12"/>
  <c r="K29" i="12"/>
  <c r="H29" i="12"/>
  <c r="I29" i="12" s="1"/>
  <c r="E29" i="12"/>
  <c r="B29" i="12"/>
  <c r="K28" i="12"/>
  <c r="H28" i="12"/>
  <c r="I28" i="12" s="1"/>
  <c r="E28" i="12"/>
  <c r="B28" i="12"/>
  <c r="K27" i="12"/>
  <c r="H27" i="12"/>
  <c r="I27" i="12" s="1"/>
  <c r="E27" i="12"/>
  <c r="B27" i="12"/>
  <c r="K26" i="12"/>
  <c r="H26" i="12"/>
  <c r="I26" i="12" s="1"/>
  <c r="E26" i="12"/>
  <c r="B26" i="12"/>
  <c r="K25" i="12"/>
  <c r="H25" i="12"/>
  <c r="I25" i="12" s="1"/>
  <c r="E25" i="12"/>
  <c r="B25" i="12"/>
  <c r="K24" i="12"/>
  <c r="H24" i="12"/>
  <c r="I24" i="12" s="1"/>
  <c r="E24" i="12"/>
  <c r="B24" i="12"/>
  <c r="K23" i="12"/>
  <c r="H23" i="12"/>
  <c r="I23" i="12" s="1"/>
  <c r="E23" i="12"/>
  <c r="B23" i="12"/>
  <c r="K22" i="12"/>
  <c r="H22" i="12"/>
  <c r="I22" i="12" s="1"/>
  <c r="E22" i="12"/>
  <c r="B22" i="12"/>
  <c r="K21" i="12"/>
  <c r="H21" i="12"/>
  <c r="I21" i="12" s="1"/>
  <c r="E21" i="12"/>
  <c r="B21" i="12"/>
  <c r="K20" i="12"/>
  <c r="H20" i="12"/>
  <c r="I20" i="12" s="1"/>
  <c r="E20" i="12"/>
  <c r="B20" i="12"/>
  <c r="K19" i="12"/>
  <c r="H19" i="12"/>
  <c r="I19" i="12" s="1"/>
  <c r="E19" i="12"/>
  <c r="B19" i="12"/>
  <c r="K18" i="12"/>
  <c r="H18" i="12"/>
  <c r="I18" i="12" s="1"/>
  <c r="E18" i="12"/>
  <c r="B18" i="12"/>
  <c r="K17" i="12"/>
  <c r="H17" i="12"/>
  <c r="I17" i="12" s="1"/>
  <c r="E17" i="12"/>
  <c r="B17" i="12"/>
  <c r="K16" i="12"/>
  <c r="H16" i="12"/>
  <c r="I16" i="12" s="1"/>
  <c r="E16" i="12"/>
  <c r="B16" i="12"/>
  <c r="H15" i="12"/>
  <c r="I15" i="12" s="1"/>
  <c r="E15" i="12"/>
  <c r="B15" i="12"/>
  <c r="H14" i="12"/>
  <c r="I14" i="12" s="1"/>
  <c r="E14" i="12"/>
  <c r="B14" i="12"/>
  <c r="L13" i="12"/>
  <c r="H13" i="12"/>
  <c r="I13" i="12" s="1"/>
  <c r="E13" i="12"/>
  <c r="B13" i="12"/>
  <c r="H12" i="12"/>
  <c r="I12" i="12" s="1"/>
  <c r="E12" i="12"/>
  <c r="B12" i="12"/>
  <c r="K11" i="12"/>
  <c r="H11" i="12"/>
  <c r="I11" i="12" s="1"/>
  <c r="E11" i="12"/>
  <c r="B11" i="12"/>
  <c r="K10" i="12"/>
  <c r="H10" i="12"/>
  <c r="I10" i="12" s="1"/>
  <c r="E10" i="12"/>
  <c r="B10" i="12"/>
  <c r="K9" i="12"/>
  <c r="H9" i="12"/>
  <c r="I9" i="12" s="1"/>
  <c r="E9" i="12"/>
  <c r="B9" i="12"/>
  <c r="K8" i="12"/>
  <c r="H8" i="12"/>
  <c r="I8" i="12" s="1"/>
  <c r="E8" i="12"/>
  <c r="B8" i="12"/>
  <c r="K7" i="12"/>
  <c r="H7" i="12"/>
  <c r="I7" i="12" s="1"/>
  <c r="E7" i="12"/>
  <c r="B7" i="12"/>
  <c r="K6" i="12"/>
  <c r="H6" i="12"/>
  <c r="I6" i="12" s="1"/>
  <c r="E6" i="12"/>
  <c r="B6" i="12"/>
  <c r="K5" i="12"/>
  <c r="H5" i="12"/>
  <c r="I5" i="12" s="1"/>
  <c r="E5" i="12"/>
  <c r="B5" i="12"/>
  <c r="AB35" i="10"/>
  <c r="AB34" i="10"/>
  <c r="AB33" i="10"/>
  <c r="AB32" i="10"/>
  <c r="AB31" i="10"/>
  <c r="AB30" i="10"/>
  <c r="AB29" i="10"/>
  <c r="AB28" i="10"/>
  <c r="AB27" i="10"/>
  <c r="AB26" i="10"/>
  <c r="AB25" i="10"/>
  <c r="AB24" i="10"/>
  <c r="AB23" i="10"/>
  <c r="AB22" i="10"/>
  <c r="AB21" i="10"/>
  <c r="AB20" i="10"/>
  <c r="AB19" i="10"/>
  <c r="AB18" i="10"/>
  <c r="AB17" i="10"/>
  <c r="AB16" i="10"/>
  <c r="AB15" i="10"/>
  <c r="AB14" i="10"/>
  <c r="AB13" i="10"/>
  <c r="AB12" i="10"/>
  <c r="AB11" i="10"/>
  <c r="AB10" i="10"/>
  <c r="AB9" i="10"/>
  <c r="AB8" i="10"/>
  <c r="AB7" i="10"/>
  <c r="AB6" i="10"/>
  <c r="AB5" i="10"/>
  <c r="X35" i="10"/>
  <c r="U35" i="10"/>
  <c r="R35" i="10"/>
  <c r="O35" i="10"/>
  <c r="X34" i="10"/>
  <c r="U34" i="10"/>
  <c r="R34" i="10"/>
  <c r="O34" i="10"/>
  <c r="X33" i="10"/>
  <c r="U33" i="10"/>
  <c r="R33" i="10"/>
  <c r="O33" i="10"/>
  <c r="X32" i="10"/>
  <c r="U32" i="10"/>
  <c r="R32" i="10"/>
  <c r="O32" i="10"/>
  <c r="X31" i="10"/>
  <c r="U31" i="10"/>
  <c r="R31" i="10"/>
  <c r="O31" i="10"/>
  <c r="X30" i="10"/>
  <c r="U30" i="10"/>
  <c r="R30" i="10"/>
  <c r="O30" i="10"/>
  <c r="X29" i="10"/>
  <c r="U29" i="10"/>
  <c r="R29" i="10"/>
  <c r="O29" i="10"/>
  <c r="X28" i="10"/>
  <c r="U28" i="10"/>
  <c r="R28" i="10"/>
  <c r="O28" i="10"/>
  <c r="X27" i="10"/>
  <c r="U27" i="10"/>
  <c r="R27" i="10"/>
  <c r="O27" i="10"/>
  <c r="X26" i="10"/>
  <c r="U26" i="10"/>
  <c r="R26" i="10"/>
  <c r="O26" i="10"/>
  <c r="X25" i="10"/>
  <c r="U25" i="10"/>
  <c r="R25" i="10"/>
  <c r="O25" i="10"/>
  <c r="X24" i="10"/>
  <c r="U24" i="10"/>
  <c r="R24" i="10"/>
  <c r="O24" i="10"/>
  <c r="X23" i="10"/>
  <c r="U23" i="10"/>
  <c r="R23" i="10"/>
  <c r="O23" i="10"/>
  <c r="X22" i="10"/>
  <c r="U22" i="10"/>
  <c r="R22" i="10"/>
  <c r="O22" i="10"/>
  <c r="X21" i="10"/>
  <c r="U21" i="10"/>
  <c r="R21" i="10"/>
  <c r="O21" i="10"/>
  <c r="X20" i="10"/>
  <c r="U20" i="10"/>
  <c r="R20" i="10"/>
  <c r="O20" i="10"/>
  <c r="X19" i="10"/>
  <c r="U19" i="10"/>
  <c r="R19" i="10"/>
  <c r="O19" i="10"/>
  <c r="X18" i="10"/>
  <c r="U18" i="10"/>
  <c r="R18" i="10"/>
  <c r="O18" i="10"/>
  <c r="X17" i="10"/>
  <c r="U17" i="10"/>
  <c r="R17" i="10"/>
  <c r="O17" i="10"/>
  <c r="X16" i="10"/>
  <c r="U16" i="10"/>
  <c r="R16" i="10"/>
  <c r="O16" i="10"/>
  <c r="X15" i="10"/>
  <c r="U15" i="10"/>
  <c r="R15" i="10"/>
  <c r="O15" i="10"/>
  <c r="X14" i="10"/>
  <c r="U14" i="10"/>
  <c r="R14" i="10"/>
  <c r="O14" i="10"/>
  <c r="X13" i="10"/>
  <c r="U13" i="10"/>
  <c r="R13" i="10"/>
  <c r="O13" i="10"/>
  <c r="X12" i="10"/>
  <c r="U12" i="10"/>
  <c r="R12" i="10"/>
  <c r="O12" i="10"/>
  <c r="X11" i="10"/>
  <c r="U11" i="10"/>
  <c r="R11" i="10"/>
  <c r="O11" i="10"/>
  <c r="X10" i="10"/>
  <c r="U10" i="10"/>
  <c r="R10" i="10"/>
  <c r="O10" i="10"/>
  <c r="X9" i="10"/>
  <c r="U9" i="10"/>
  <c r="R9" i="10"/>
  <c r="O9" i="10"/>
  <c r="X8" i="10"/>
  <c r="U8" i="10"/>
  <c r="R8" i="10"/>
  <c r="O8" i="10"/>
  <c r="X7" i="10"/>
  <c r="U7" i="10"/>
  <c r="R7" i="10"/>
  <c r="O7" i="10"/>
  <c r="X6" i="10"/>
  <c r="U6" i="10"/>
  <c r="R6" i="10"/>
  <c r="O6" i="10"/>
  <c r="X5" i="10"/>
  <c r="U5" i="10"/>
  <c r="R5" i="10"/>
  <c r="O5" i="10"/>
  <c r="K35" i="10"/>
  <c r="H35" i="10"/>
  <c r="I35" i="10" s="1"/>
  <c r="E35" i="10"/>
  <c r="B35" i="10"/>
  <c r="K34" i="10"/>
  <c r="H34" i="10"/>
  <c r="I34" i="10" s="1"/>
  <c r="E34" i="10"/>
  <c r="B34" i="10"/>
  <c r="K33" i="10"/>
  <c r="H33" i="10"/>
  <c r="I33" i="10" s="1"/>
  <c r="E33" i="10"/>
  <c r="B33" i="10"/>
  <c r="K32" i="10"/>
  <c r="H32" i="10"/>
  <c r="I32" i="10" s="1"/>
  <c r="E32" i="10"/>
  <c r="B32" i="10"/>
  <c r="K31" i="10"/>
  <c r="H31" i="10"/>
  <c r="I31" i="10" s="1"/>
  <c r="E31" i="10"/>
  <c r="B31" i="10"/>
  <c r="K30" i="10"/>
  <c r="H30" i="10"/>
  <c r="I30" i="10" s="1"/>
  <c r="E30" i="10"/>
  <c r="B30" i="10"/>
  <c r="K29" i="10"/>
  <c r="H29" i="10"/>
  <c r="I29" i="10" s="1"/>
  <c r="E29" i="10"/>
  <c r="B29" i="10"/>
  <c r="K28" i="10"/>
  <c r="H28" i="10"/>
  <c r="I28" i="10" s="1"/>
  <c r="E28" i="10"/>
  <c r="B28" i="10"/>
  <c r="K27" i="10"/>
  <c r="H27" i="10"/>
  <c r="I27" i="10" s="1"/>
  <c r="E27" i="10"/>
  <c r="B27" i="10"/>
  <c r="K26" i="10"/>
  <c r="H26" i="10"/>
  <c r="I26" i="10" s="1"/>
  <c r="E26" i="10"/>
  <c r="B26" i="10"/>
  <c r="K25" i="10"/>
  <c r="H25" i="10"/>
  <c r="I25" i="10" s="1"/>
  <c r="E25" i="10"/>
  <c r="B25" i="10"/>
  <c r="K24" i="10"/>
  <c r="H24" i="10"/>
  <c r="I24" i="10" s="1"/>
  <c r="E24" i="10"/>
  <c r="B24" i="10"/>
  <c r="K23" i="10"/>
  <c r="H23" i="10"/>
  <c r="I23" i="10" s="1"/>
  <c r="E23" i="10"/>
  <c r="B23" i="10"/>
  <c r="K22" i="10"/>
  <c r="H22" i="10"/>
  <c r="I22" i="10" s="1"/>
  <c r="E22" i="10"/>
  <c r="B22" i="10"/>
  <c r="K21" i="10"/>
  <c r="H21" i="10"/>
  <c r="I21" i="10" s="1"/>
  <c r="E21" i="10"/>
  <c r="B21" i="10"/>
  <c r="K20" i="10"/>
  <c r="H20" i="10"/>
  <c r="I20" i="10" s="1"/>
  <c r="E20" i="10"/>
  <c r="B20" i="10"/>
  <c r="K19" i="10"/>
  <c r="H19" i="10"/>
  <c r="I19" i="10" s="1"/>
  <c r="E19" i="10"/>
  <c r="B19" i="10"/>
  <c r="K18" i="10"/>
  <c r="H18" i="10"/>
  <c r="I18" i="10" s="1"/>
  <c r="E18" i="10"/>
  <c r="B18" i="10"/>
  <c r="K17" i="10"/>
  <c r="H17" i="10"/>
  <c r="I17" i="10" s="1"/>
  <c r="E17" i="10"/>
  <c r="B17" i="10"/>
  <c r="K16" i="10"/>
  <c r="H16" i="10"/>
  <c r="I16" i="10" s="1"/>
  <c r="E16" i="10"/>
  <c r="B16" i="10"/>
  <c r="K15" i="10"/>
  <c r="H15" i="10"/>
  <c r="I15" i="10" s="1"/>
  <c r="E15" i="10"/>
  <c r="B15" i="10"/>
  <c r="K14" i="10"/>
  <c r="H14" i="10"/>
  <c r="I14" i="10" s="1"/>
  <c r="E14" i="10"/>
  <c r="B14" i="10"/>
  <c r="K13" i="10"/>
  <c r="H13" i="10"/>
  <c r="I13" i="10" s="1"/>
  <c r="E13" i="10"/>
  <c r="B13" i="10"/>
  <c r="K12" i="10"/>
  <c r="H12" i="10"/>
  <c r="I12" i="10" s="1"/>
  <c r="E12" i="10"/>
  <c r="B12" i="10"/>
  <c r="K11" i="10"/>
  <c r="H11" i="10"/>
  <c r="I11" i="10" s="1"/>
  <c r="E11" i="10"/>
  <c r="B11" i="10"/>
  <c r="K10" i="10"/>
  <c r="H10" i="10"/>
  <c r="E10" i="10"/>
  <c r="B10" i="10"/>
  <c r="K9" i="10"/>
  <c r="H9" i="10"/>
  <c r="E9" i="10"/>
  <c r="B9" i="10"/>
  <c r="K8" i="10"/>
  <c r="H8" i="10"/>
  <c r="E8" i="10"/>
  <c r="B8" i="10"/>
  <c r="K7" i="10"/>
  <c r="H7" i="10"/>
  <c r="E7" i="10"/>
  <c r="B7" i="10"/>
  <c r="K6" i="10"/>
  <c r="H6" i="10"/>
  <c r="E6" i="10"/>
  <c r="B6" i="10"/>
  <c r="K5" i="10"/>
  <c r="H5" i="10"/>
  <c r="E5" i="10"/>
  <c r="B5" i="10"/>
  <c r="X34" i="9"/>
  <c r="U34" i="9"/>
  <c r="R34" i="9"/>
  <c r="O34" i="9"/>
  <c r="P34" i="9" s="1"/>
  <c r="X33" i="9"/>
  <c r="U33" i="9"/>
  <c r="R33" i="9"/>
  <c r="O33" i="9"/>
  <c r="P33" i="9" s="1"/>
  <c r="X32" i="9"/>
  <c r="U32" i="9"/>
  <c r="R32" i="9"/>
  <c r="O32" i="9"/>
  <c r="P32" i="9" s="1"/>
  <c r="X31" i="9"/>
  <c r="U31" i="9"/>
  <c r="R31" i="9"/>
  <c r="O31" i="9"/>
  <c r="P31" i="9" s="1"/>
  <c r="X30" i="9"/>
  <c r="U30" i="9"/>
  <c r="R30" i="9"/>
  <c r="O30" i="9"/>
  <c r="P30" i="9" s="1"/>
  <c r="X29" i="9"/>
  <c r="U29" i="9"/>
  <c r="R29" i="9"/>
  <c r="O29" i="9"/>
  <c r="P29" i="9" s="1"/>
  <c r="X28" i="9"/>
  <c r="U28" i="9"/>
  <c r="R28" i="9"/>
  <c r="O28" i="9"/>
  <c r="P28" i="9" s="1"/>
  <c r="X27" i="9"/>
  <c r="U27" i="9"/>
  <c r="R27" i="9"/>
  <c r="O27" i="9"/>
  <c r="P27" i="9" s="1"/>
  <c r="X26" i="9"/>
  <c r="U26" i="9"/>
  <c r="R26" i="9"/>
  <c r="O26" i="9"/>
  <c r="P26" i="9" s="1"/>
  <c r="X25" i="9"/>
  <c r="U25" i="9"/>
  <c r="R25" i="9"/>
  <c r="O25" i="9"/>
  <c r="P25" i="9" s="1"/>
  <c r="X24" i="9"/>
  <c r="U24" i="9"/>
  <c r="R24" i="9"/>
  <c r="O24" i="9"/>
  <c r="P24" i="9" s="1"/>
  <c r="X23" i="9"/>
  <c r="U23" i="9"/>
  <c r="R23" i="9"/>
  <c r="O23" i="9"/>
  <c r="P23" i="9" s="1"/>
  <c r="X22" i="9"/>
  <c r="U22" i="9"/>
  <c r="R22" i="9"/>
  <c r="O22" i="9"/>
  <c r="P22" i="9" s="1"/>
  <c r="X21" i="9"/>
  <c r="U21" i="9"/>
  <c r="R21" i="9"/>
  <c r="O21" i="9"/>
  <c r="P21" i="9" s="1"/>
  <c r="X20" i="9"/>
  <c r="U20" i="9"/>
  <c r="R20" i="9"/>
  <c r="O20" i="9"/>
  <c r="P20" i="9" s="1"/>
  <c r="X19" i="9"/>
  <c r="U19" i="9"/>
  <c r="R19" i="9"/>
  <c r="O19" i="9"/>
  <c r="P19" i="9" s="1"/>
  <c r="X18" i="9"/>
  <c r="U18" i="9"/>
  <c r="R18" i="9"/>
  <c r="O18" i="9"/>
  <c r="P18" i="9" s="1"/>
  <c r="X17" i="9"/>
  <c r="U17" i="9"/>
  <c r="R17" i="9"/>
  <c r="O17" i="9"/>
  <c r="P17" i="9" s="1"/>
  <c r="X16" i="9"/>
  <c r="U16" i="9"/>
  <c r="R16" i="9"/>
  <c r="O16" i="9"/>
  <c r="P16" i="9" s="1"/>
  <c r="X15" i="9"/>
  <c r="U15" i="9"/>
  <c r="R15" i="9"/>
  <c r="O15" i="9"/>
  <c r="P15" i="9" s="1"/>
  <c r="X14" i="9"/>
  <c r="U14" i="9"/>
  <c r="R14" i="9"/>
  <c r="O14" i="9"/>
  <c r="P14" i="9" s="1"/>
  <c r="X13" i="9"/>
  <c r="U13" i="9"/>
  <c r="R13" i="9"/>
  <c r="O13" i="9"/>
  <c r="P13" i="9" s="1"/>
  <c r="X12" i="9"/>
  <c r="U12" i="9"/>
  <c r="R12" i="9"/>
  <c r="O12" i="9"/>
  <c r="P12" i="9" s="1"/>
  <c r="X11" i="9"/>
  <c r="U11" i="9"/>
  <c r="R11" i="9"/>
  <c r="O11" i="9"/>
  <c r="P11" i="9" s="1"/>
  <c r="X10" i="9"/>
  <c r="U10" i="9"/>
  <c r="R10" i="9"/>
  <c r="O10" i="9"/>
  <c r="P10" i="9" s="1"/>
  <c r="X9" i="9"/>
  <c r="U9" i="9"/>
  <c r="R9" i="9"/>
  <c r="O9" i="9"/>
  <c r="P9" i="9" s="1"/>
  <c r="X8" i="9"/>
  <c r="U8" i="9"/>
  <c r="R8" i="9"/>
  <c r="O8" i="9"/>
  <c r="P8" i="9" s="1"/>
  <c r="X7" i="9"/>
  <c r="U7" i="9"/>
  <c r="R7" i="9"/>
  <c r="O7" i="9"/>
  <c r="P7" i="9" s="1"/>
  <c r="X6" i="9"/>
  <c r="U6" i="9"/>
  <c r="R6" i="9"/>
  <c r="O6" i="9"/>
  <c r="P6" i="9" s="1"/>
  <c r="X5" i="9"/>
  <c r="U5" i="9"/>
  <c r="R5" i="9"/>
  <c r="O5" i="9"/>
  <c r="P5" i="9" s="1"/>
  <c r="P35" i="9" s="1"/>
  <c r="K34" i="9"/>
  <c r="H34" i="9"/>
  <c r="I34" i="9" s="1"/>
  <c r="E34" i="9"/>
  <c r="B34" i="9"/>
  <c r="K33" i="9"/>
  <c r="H33" i="9"/>
  <c r="I33" i="9" s="1"/>
  <c r="E33" i="9"/>
  <c r="B33" i="9"/>
  <c r="K32" i="9"/>
  <c r="H32" i="9"/>
  <c r="I32" i="9" s="1"/>
  <c r="E32" i="9"/>
  <c r="B32" i="9"/>
  <c r="K31" i="9"/>
  <c r="H31" i="9"/>
  <c r="I31" i="9" s="1"/>
  <c r="E31" i="9"/>
  <c r="B31" i="9"/>
  <c r="K30" i="9"/>
  <c r="H30" i="9"/>
  <c r="I30" i="9" s="1"/>
  <c r="E30" i="9"/>
  <c r="B30" i="9"/>
  <c r="K29" i="9"/>
  <c r="H29" i="9"/>
  <c r="E29" i="9"/>
  <c r="B29" i="9"/>
  <c r="K28" i="9"/>
  <c r="H28" i="9"/>
  <c r="E28" i="9"/>
  <c r="B28" i="9"/>
  <c r="K27" i="9"/>
  <c r="H27" i="9"/>
  <c r="E27" i="9"/>
  <c r="B27" i="9"/>
  <c r="K26" i="9"/>
  <c r="H26" i="9"/>
  <c r="E26" i="9"/>
  <c r="B26" i="9"/>
  <c r="K25" i="9"/>
  <c r="H25" i="9"/>
  <c r="E25" i="9"/>
  <c r="B25" i="9"/>
  <c r="K24" i="9"/>
  <c r="H24" i="9"/>
  <c r="E24" i="9"/>
  <c r="B24" i="9"/>
  <c r="K23" i="9"/>
  <c r="H23" i="9"/>
  <c r="E23" i="9"/>
  <c r="B23" i="9"/>
  <c r="K22" i="9"/>
  <c r="H22" i="9"/>
  <c r="E22" i="9"/>
  <c r="B22" i="9"/>
  <c r="K21" i="9"/>
  <c r="H21" i="9"/>
  <c r="E21" i="9"/>
  <c r="B21" i="9"/>
  <c r="K20" i="9"/>
  <c r="H20" i="9"/>
  <c r="E20" i="9"/>
  <c r="B20" i="9"/>
  <c r="K19" i="9"/>
  <c r="H19" i="9"/>
  <c r="E19" i="9"/>
  <c r="B19" i="9"/>
  <c r="K18" i="9"/>
  <c r="H18" i="9"/>
  <c r="E18" i="9"/>
  <c r="B18" i="9"/>
  <c r="K17" i="9"/>
  <c r="H17" i="9"/>
  <c r="E17" i="9"/>
  <c r="B17" i="9"/>
  <c r="K16" i="9"/>
  <c r="H16" i="9"/>
  <c r="B16" i="9"/>
  <c r="K15" i="9"/>
  <c r="H15" i="9"/>
  <c r="B15" i="9"/>
  <c r="K14" i="9"/>
  <c r="H14" i="9"/>
  <c r="E14" i="9"/>
  <c r="B14" i="9"/>
  <c r="K13" i="9"/>
  <c r="H13" i="9"/>
  <c r="E13" i="9"/>
  <c r="B13" i="9"/>
  <c r="K12" i="9"/>
  <c r="H12" i="9"/>
  <c r="E12" i="9"/>
  <c r="B12" i="9"/>
  <c r="K11" i="9"/>
  <c r="H11" i="9"/>
  <c r="I11" i="9" s="1"/>
  <c r="E11" i="9"/>
  <c r="B11" i="9"/>
  <c r="K10" i="9"/>
  <c r="H10" i="9"/>
  <c r="I10" i="9" s="1"/>
  <c r="E10" i="9"/>
  <c r="B10" i="9"/>
  <c r="K9" i="9"/>
  <c r="H9" i="9"/>
  <c r="E9" i="9"/>
  <c r="B9" i="9"/>
  <c r="K8" i="9"/>
  <c r="H8" i="9"/>
  <c r="E8" i="9"/>
  <c r="B8" i="9"/>
  <c r="K7" i="9"/>
  <c r="H7" i="9"/>
  <c r="E7" i="9"/>
  <c r="B7" i="9"/>
  <c r="K6" i="9"/>
  <c r="H6" i="9"/>
  <c r="E6" i="9"/>
  <c r="B6" i="9"/>
  <c r="K5" i="9"/>
  <c r="H5" i="9"/>
  <c r="E5" i="9"/>
  <c r="B5" i="9"/>
  <c r="X35" i="8"/>
  <c r="U35" i="8"/>
  <c r="R35" i="8"/>
  <c r="O35" i="8"/>
  <c r="X34" i="8"/>
  <c r="U34" i="8"/>
  <c r="R34" i="8"/>
  <c r="O34" i="8"/>
  <c r="X33" i="8"/>
  <c r="U33" i="8"/>
  <c r="R33" i="8"/>
  <c r="O33" i="8"/>
  <c r="X32" i="8"/>
  <c r="U32" i="8"/>
  <c r="R32" i="8"/>
  <c r="O32" i="8"/>
  <c r="X31" i="8"/>
  <c r="U31" i="8"/>
  <c r="R31" i="8"/>
  <c r="O31" i="8"/>
  <c r="X30" i="8"/>
  <c r="U30" i="8"/>
  <c r="R30" i="8"/>
  <c r="O30" i="8"/>
  <c r="X29" i="8"/>
  <c r="U29" i="8"/>
  <c r="R29" i="8"/>
  <c r="O29" i="8"/>
  <c r="X28" i="8"/>
  <c r="U28" i="8"/>
  <c r="R28" i="8"/>
  <c r="O28" i="8"/>
  <c r="X27" i="8"/>
  <c r="U27" i="8"/>
  <c r="R27" i="8"/>
  <c r="O27" i="8"/>
  <c r="X26" i="8"/>
  <c r="U26" i="8"/>
  <c r="R26" i="8"/>
  <c r="O26" i="8"/>
  <c r="X25" i="8"/>
  <c r="U25" i="8"/>
  <c r="R25" i="8"/>
  <c r="O25" i="8"/>
  <c r="X24" i="8"/>
  <c r="U24" i="8"/>
  <c r="R24" i="8"/>
  <c r="O24" i="8"/>
  <c r="X23" i="8"/>
  <c r="U23" i="8"/>
  <c r="R23" i="8"/>
  <c r="O23" i="8"/>
  <c r="X22" i="8"/>
  <c r="U22" i="8"/>
  <c r="R22" i="8"/>
  <c r="O22" i="8"/>
  <c r="X21" i="8"/>
  <c r="U21" i="8"/>
  <c r="R21" i="8"/>
  <c r="O21" i="8"/>
  <c r="X20" i="8"/>
  <c r="U20" i="8"/>
  <c r="R20" i="8"/>
  <c r="O20" i="8"/>
  <c r="X19" i="8"/>
  <c r="U19" i="8"/>
  <c r="R19" i="8"/>
  <c r="O19" i="8"/>
  <c r="X18" i="8"/>
  <c r="U18" i="8"/>
  <c r="R18" i="8"/>
  <c r="O18" i="8"/>
  <c r="X17" i="8"/>
  <c r="U17" i="8"/>
  <c r="R17" i="8"/>
  <c r="O17" i="8"/>
  <c r="X16" i="8"/>
  <c r="U16" i="8"/>
  <c r="R16" i="8"/>
  <c r="O16" i="8"/>
  <c r="X15" i="8"/>
  <c r="U15" i="8"/>
  <c r="R15" i="8"/>
  <c r="O15" i="8"/>
  <c r="X14" i="8"/>
  <c r="U14" i="8"/>
  <c r="R14" i="8"/>
  <c r="O14" i="8"/>
  <c r="X13" i="8"/>
  <c r="U13" i="8"/>
  <c r="R13" i="8"/>
  <c r="O13" i="8"/>
  <c r="X12" i="8"/>
  <c r="U12" i="8"/>
  <c r="R12" i="8"/>
  <c r="O12" i="8"/>
  <c r="X11" i="8"/>
  <c r="U11" i="8"/>
  <c r="R11" i="8"/>
  <c r="O11" i="8"/>
  <c r="X10" i="8"/>
  <c r="U10" i="8"/>
  <c r="R10" i="8"/>
  <c r="O10" i="8"/>
  <c r="X9" i="8"/>
  <c r="U9" i="8"/>
  <c r="R9" i="8"/>
  <c r="O9" i="8"/>
  <c r="X8" i="8"/>
  <c r="U8" i="8"/>
  <c r="R8" i="8"/>
  <c r="O8" i="8"/>
  <c r="X7" i="8"/>
  <c r="U7" i="8"/>
  <c r="R7" i="8"/>
  <c r="O7" i="8"/>
  <c r="X6" i="8"/>
  <c r="U6" i="8"/>
  <c r="R6" i="8"/>
  <c r="O6" i="8"/>
  <c r="X5" i="8"/>
  <c r="U5" i="8"/>
  <c r="R5" i="8"/>
  <c r="O5" i="8"/>
  <c r="K35" i="8"/>
  <c r="H35" i="8"/>
  <c r="I35" i="8" s="1"/>
  <c r="E35" i="8"/>
  <c r="B35" i="8"/>
  <c r="K34" i="8"/>
  <c r="H34" i="8"/>
  <c r="I34" i="8" s="1"/>
  <c r="E34" i="8"/>
  <c r="B34" i="8"/>
  <c r="K33" i="8"/>
  <c r="H33" i="8"/>
  <c r="I33" i="8" s="1"/>
  <c r="E33" i="8"/>
  <c r="B33" i="8"/>
  <c r="K32" i="8"/>
  <c r="H32" i="8"/>
  <c r="I32" i="8" s="1"/>
  <c r="E32" i="8"/>
  <c r="B32" i="8"/>
  <c r="K31" i="8"/>
  <c r="H31" i="8"/>
  <c r="I31" i="8" s="1"/>
  <c r="E31" i="8"/>
  <c r="B31" i="8"/>
  <c r="K30" i="8"/>
  <c r="H30" i="8"/>
  <c r="E30" i="8"/>
  <c r="B30" i="8"/>
  <c r="K29" i="8"/>
  <c r="H29" i="8"/>
  <c r="E29" i="8"/>
  <c r="B29" i="8"/>
  <c r="K28" i="8"/>
  <c r="H28" i="8"/>
  <c r="E28" i="8"/>
  <c r="B28" i="8"/>
  <c r="K27" i="8"/>
  <c r="H27" i="8"/>
  <c r="E27" i="8"/>
  <c r="B27" i="8"/>
  <c r="K26" i="8"/>
  <c r="H26" i="8"/>
  <c r="E26" i="8"/>
  <c r="B26" i="8"/>
  <c r="K25" i="8"/>
  <c r="H25" i="8"/>
  <c r="E25" i="8"/>
  <c r="B25" i="8"/>
  <c r="K24" i="8"/>
  <c r="H24" i="8"/>
  <c r="E24" i="8"/>
  <c r="B24" i="8"/>
  <c r="K23" i="8"/>
  <c r="H23" i="8"/>
  <c r="E23" i="8"/>
  <c r="B23" i="8"/>
  <c r="K22" i="8"/>
  <c r="H22" i="8"/>
  <c r="E22" i="8"/>
  <c r="B22" i="8"/>
  <c r="K21" i="8"/>
  <c r="H21" i="8"/>
  <c r="I21" i="8" s="1"/>
  <c r="E21" i="8"/>
  <c r="B21" i="8"/>
  <c r="K20" i="8"/>
  <c r="H20" i="8"/>
  <c r="I20" i="8" s="1"/>
  <c r="E20" i="8"/>
  <c r="B20" i="8"/>
  <c r="K19" i="8"/>
  <c r="H19" i="8"/>
  <c r="E19" i="8"/>
  <c r="B19" i="8"/>
  <c r="K18" i="8"/>
  <c r="H18" i="8"/>
  <c r="E18" i="8"/>
  <c r="B18" i="8"/>
  <c r="K17" i="8"/>
  <c r="H17" i="8"/>
  <c r="E17" i="8"/>
  <c r="B17" i="8"/>
  <c r="K16" i="8"/>
  <c r="H16" i="8"/>
  <c r="E16" i="8"/>
  <c r="B16" i="8"/>
  <c r="K15" i="8"/>
  <c r="H15" i="8"/>
  <c r="E15" i="8"/>
  <c r="B15" i="8"/>
  <c r="K14" i="8"/>
  <c r="H14" i="8"/>
  <c r="E14" i="8"/>
  <c r="B14" i="8"/>
  <c r="K13" i="8"/>
  <c r="H13" i="8"/>
  <c r="E13" i="8"/>
  <c r="B13" i="8"/>
  <c r="K12" i="8"/>
  <c r="H12" i="8"/>
  <c r="E12" i="8"/>
  <c r="B12" i="8"/>
  <c r="K11" i="8"/>
  <c r="H11" i="8"/>
  <c r="E11" i="8"/>
  <c r="B11" i="8"/>
  <c r="K10" i="8"/>
  <c r="H10" i="8"/>
  <c r="E10" i="8"/>
  <c r="B10" i="8"/>
  <c r="K9" i="8"/>
  <c r="H9" i="8"/>
  <c r="E9" i="8"/>
  <c r="B9" i="8"/>
  <c r="K8" i="8"/>
  <c r="H8" i="8"/>
  <c r="E8" i="8"/>
  <c r="B8" i="8"/>
  <c r="K7" i="8"/>
  <c r="H7" i="8"/>
  <c r="E7" i="8"/>
  <c r="B7" i="8"/>
  <c r="K6" i="8"/>
  <c r="H6" i="8"/>
  <c r="E6" i="8"/>
  <c r="B6" i="8"/>
  <c r="K5" i="8"/>
  <c r="H5" i="8"/>
  <c r="E5" i="8"/>
  <c r="B5" i="8"/>
  <c r="X34" i="7"/>
  <c r="U34" i="7"/>
  <c r="R34" i="7"/>
  <c r="O34" i="7"/>
  <c r="X33" i="7"/>
  <c r="U33" i="7"/>
  <c r="R33" i="7"/>
  <c r="O33" i="7"/>
  <c r="X32" i="7"/>
  <c r="U32" i="7"/>
  <c r="R32" i="7"/>
  <c r="O32" i="7"/>
  <c r="X31" i="7"/>
  <c r="U31" i="7"/>
  <c r="R31" i="7"/>
  <c r="O31" i="7"/>
  <c r="X30" i="7"/>
  <c r="U30" i="7"/>
  <c r="R30" i="7"/>
  <c r="O30" i="7"/>
  <c r="X29" i="7"/>
  <c r="U29" i="7"/>
  <c r="R29" i="7"/>
  <c r="O29" i="7"/>
  <c r="X28" i="7"/>
  <c r="U28" i="7"/>
  <c r="R28" i="7"/>
  <c r="O28" i="7"/>
  <c r="X27" i="7"/>
  <c r="U27" i="7"/>
  <c r="R27" i="7"/>
  <c r="O27" i="7"/>
  <c r="X26" i="7"/>
  <c r="U26" i="7"/>
  <c r="R26" i="7"/>
  <c r="O26" i="7"/>
  <c r="X25" i="7"/>
  <c r="U25" i="7"/>
  <c r="R25" i="7"/>
  <c r="O25" i="7"/>
  <c r="X24" i="7"/>
  <c r="U24" i="7"/>
  <c r="R24" i="7"/>
  <c r="O24" i="7"/>
  <c r="X23" i="7"/>
  <c r="U23" i="7"/>
  <c r="R23" i="7"/>
  <c r="O23" i="7"/>
  <c r="X22" i="7"/>
  <c r="U22" i="7"/>
  <c r="R22" i="7"/>
  <c r="O22" i="7"/>
  <c r="X21" i="7"/>
  <c r="U21" i="7"/>
  <c r="R21" i="7"/>
  <c r="O21" i="7"/>
  <c r="X20" i="7"/>
  <c r="U20" i="7"/>
  <c r="R20" i="7"/>
  <c r="O20" i="7"/>
  <c r="X19" i="7"/>
  <c r="U19" i="7"/>
  <c r="R19" i="7"/>
  <c r="O19" i="7"/>
  <c r="X18" i="7"/>
  <c r="U18" i="7"/>
  <c r="R18" i="7"/>
  <c r="O18" i="7"/>
  <c r="X17" i="7"/>
  <c r="U17" i="7"/>
  <c r="R17" i="7"/>
  <c r="O17" i="7"/>
  <c r="X16" i="7"/>
  <c r="U16" i="7"/>
  <c r="R16" i="7"/>
  <c r="O16" i="7"/>
  <c r="X15" i="7"/>
  <c r="U15" i="7"/>
  <c r="R15" i="7"/>
  <c r="O15" i="7"/>
  <c r="X14" i="7"/>
  <c r="U14" i="7"/>
  <c r="R14" i="7"/>
  <c r="S14" i="7" s="1"/>
  <c r="T14" i="7" s="1"/>
  <c r="O14" i="7"/>
  <c r="X13" i="7"/>
  <c r="U13" i="7"/>
  <c r="R13" i="7"/>
  <c r="O13" i="7"/>
  <c r="X12" i="7"/>
  <c r="U12" i="7"/>
  <c r="R12" i="7"/>
  <c r="O12" i="7"/>
  <c r="X11" i="7"/>
  <c r="U11" i="7"/>
  <c r="R11" i="7"/>
  <c r="O11" i="7"/>
  <c r="X10" i="7"/>
  <c r="U10" i="7"/>
  <c r="R10" i="7"/>
  <c r="O10" i="7"/>
  <c r="X9" i="7"/>
  <c r="U9" i="7"/>
  <c r="R9" i="7"/>
  <c r="O9" i="7"/>
  <c r="X8" i="7"/>
  <c r="U8" i="7"/>
  <c r="R8" i="7"/>
  <c r="O8" i="7"/>
  <c r="X7" i="7"/>
  <c r="U7" i="7"/>
  <c r="R7" i="7"/>
  <c r="O7" i="7"/>
  <c r="X6" i="7"/>
  <c r="U6" i="7"/>
  <c r="R6" i="7"/>
  <c r="O6" i="7"/>
  <c r="X5" i="7"/>
  <c r="U5" i="7"/>
  <c r="R5" i="7"/>
  <c r="O5" i="7"/>
  <c r="K34" i="7"/>
  <c r="H34" i="7"/>
  <c r="I34" i="7" s="1"/>
  <c r="E34" i="7"/>
  <c r="B34" i="7"/>
  <c r="K33" i="7"/>
  <c r="L33" i="7" s="1"/>
  <c r="H33" i="7"/>
  <c r="I33" i="7" s="1"/>
  <c r="E33" i="7"/>
  <c r="B33" i="7"/>
  <c r="K32" i="7"/>
  <c r="H32" i="7"/>
  <c r="I32" i="7" s="1"/>
  <c r="E32" i="7"/>
  <c r="B32" i="7"/>
  <c r="K31" i="7"/>
  <c r="H31" i="7"/>
  <c r="I31" i="7" s="1"/>
  <c r="E31" i="7"/>
  <c r="B31" i="7"/>
  <c r="K30" i="7"/>
  <c r="H30" i="7"/>
  <c r="I30" i="7" s="1"/>
  <c r="E30" i="7"/>
  <c r="B30" i="7"/>
  <c r="K29" i="7"/>
  <c r="H29" i="7"/>
  <c r="I29" i="7" s="1"/>
  <c r="E29" i="7"/>
  <c r="B29" i="7"/>
  <c r="K28" i="7"/>
  <c r="H28" i="7"/>
  <c r="I28" i="7" s="1"/>
  <c r="E28" i="7"/>
  <c r="B28" i="7"/>
  <c r="K27" i="7"/>
  <c r="H27" i="7"/>
  <c r="I27" i="7" s="1"/>
  <c r="E27" i="7"/>
  <c r="B27" i="7"/>
  <c r="K26" i="7"/>
  <c r="H26" i="7"/>
  <c r="I26" i="7" s="1"/>
  <c r="E26" i="7"/>
  <c r="B26" i="7"/>
  <c r="K25" i="7"/>
  <c r="H25" i="7"/>
  <c r="I25" i="7" s="1"/>
  <c r="E25" i="7"/>
  <c r="B25" i="7"/>
  <c r="K24" i="7"/>
  <c r="H24" i="7"/>
  <c r="I24" i="7" s="1"/>
  <c r="E24" i="7"/>
  <c r="B24" i="7"/>
  <c r="K23" i="7"/>
  <c r="H23" i="7"/>
  <c r="I23" i="7" s="1"/>
  <c r="E23" i="7"/>
  <c r="B23" i="7"/>
  <c r="K22" i="7"/>
  <c r="H22" i="7"/>
  <c r="I22" i="7" s="1"/>
  <c r="E22" i="7"/>
  <c r="B22" i="7"/>
  <c r="K21" i="7"/>
  <c r="H21" i="7"/>
  <c r="I21" i="7" s="1"/>
  <c r="E21" i="7"/>
  <c r="B21" i="7"/>
  <c r="K20" i="7"/>
  <c r="H20" i="7"/>
  <c r="I20" i="7" s="1"/>
  <c r="E20" i="7"/>
  <c r="B20" i="7"/>
  <c r="K19" i="7"/>
  <c r="H19" i="7"/>
  <c r="I19" i="7" s="1"/>
  <c r="E19" i="7"/>
  <c r="B19" i="7"/>
  <c r="K18" i="7"/>
  <c r="H18" i="7"/>
  <c r="I18" i="7" s="1"/>
  <c r="E18" i="7"/>
  <c r="B18" i="7"/>
  <c r="K17" i="7"/>
  <c r="H17" i="7"/>
  <c r="I17" i="7" s="1"/>
  <c r="J17" i="7" s="1"/>
  <c r="E17" i="7"/>
  <c r="B17" i="7"/>
  <c r="K16" i="7"/>
  <c r="H16" i="7"/>
  <c r="I16" i="7" s="1"/>
  <c r="J16" i="7" s="1"/>
  <c r="E16" i="7"/>
  <c r="B16" i="7"/>
  <c r="K15" i="7"/>
  <c r="H15" i="7"/>
  <c r="I15" i="7" s="1"/>
  <c r="J15" i="7" s="1"/>
  <c r="E15" i="7"/>
  <c r="B15" i="7"/>
  <c r="K14" i="7"/>
  <c r="H14" i="7"/>
  <c r="I14" i="7" s="1"/>
  <c r="J14" i="7" s="1"/>
  <c r="E14" i="7"/>
  <c r="B14" i="7"/>
  <c r="K13" i="7"/>
  <c r="H13" i="7"/>
  <c r="I13" i="7" s="1"/>
  <c r="E13" i="7"/>
  <c r="B13" i="7"/>
  <c r="K12" i="7"/>
  <c r="H12" i="7"/>
  <c r="I12" i="7" s="1"/>
  <c r="E12" i="7"/>
  <c r="B12" i="7"/>
  <c r="K11" i="7"/>
  <c r="H11" i="7"/>
  <c r="I11" i="7" s="1"/>
  <c r="E11" i="7"/>
  <c r="B11" i="7"/>
  <c r="K10" i="7"/>
  <c r="H10" i="7"/>
  <c r="I10" i="7" s="1"/>
  <c r="E10" i="7"/>
  <c r="B10" i="7"/>
  <c r="K9" i="7"/>
  <c r="H9" i="7"/>
  <c r="I9" i="7" s="1"/>
  <c r="E9" i="7"/>
  <c r="B9" i="7"/>
  <c r="K8" i="7"/>
  <c r="H8" i="7"/>
  <c r="I8" i="7" s="1"/>
  <c r="E8" i="7"/>
  <c r="B8" i="7"/>
  <c r="K7" i="7"/>
  <c r="H7" i="7"/>
  <c r="E7" i="7"/>
  <c r="B7" i="7"/>
  <c r="K6" i="7"/>
  <c r="H6" i="7"/>
  <c r="E6" i="7"/>
  <c r="B6" i="7"/>
  <c r="K5" i="7"/>
  <c r="H5" i="7"/>
  <c r="I5" i="7" s="1"/>
  <c r="E5" i="7"/>
  <c r="B5" i="7"/>
  <c r="X35" i="6"/>
  <c r="U35" i="6"/>
  <c r="R35" i="6"/>
  <c r="O35" i="6"/>
  <c r="X34" i="6"/>
  <c r="U34" i="6"/>
  <c r="R34" i="6"/>
  <c r="O34" i="6"/>
  <c r="X33" i="6"/>
  <c r="U33" i="6"/>
  <c r="R33" i="6"/>
  <c r="O33" i="6"/>
  <c r="X32" i="6"/>
  <c r="U32" i="6"/>
  <c r="R32" i="6"/>
  <c r="O32" i="6"/>
  <c r="X31" i="6"/>
  <c r="U31" i="6"/>
  <c r="R31" i="6"/>
  <c r="O31" i="6"/>
  <c r="X30" i="6"/>
  <c r="U30" i="6"/>
  <c r="R30" i="6"/>
  <c r="O30" i="6"/>
  <c r="X29" i="6"/>
  <c r="U29" i="6"/>
  <c r="R29" i="6"/>
  <c r="O29" i="6"/>
  <c r="X28" i="6"/>
  <c r="U28" i="6"/>
  <c r="R28" i="6"/>
  <c r="O28" i="6"/>
  <c r="X27" i="6"/>
  <c r="U27" i="6"/>
  <c r="R27" i="6"/>
  <c r="O27" i="6"/>
  <c r="X26" i="6"/>
  <c r="U26" i="6"/>
  <c r="R26" i="6"/>
  <c r="O26" i="6"/>
  <c r="X25" i="6"/>
  <c r="U25" i="6"/>
  <c r="R25" i="6"/>
  <c r="O25" i="6"/>
  <c r="X24" i="6"/>
  <c r="U24" i="6"/>
  <c r="R24" i="6"/>
  <c r="O24" i="6"/>
  <c r="X23" i="6"/>
  <c r="U23" i="6"/>
  <c r="R23" i="6"/>
  <c r="O23" i="6"/>
  <c r="X22" i="6"/>
  <c r="U22" i="6"/>
  <c r="R22" i="6"/>
  <c r="O22" i="6"/>
  <c r="X21" i="6"/>
  <c r="U21" i="6"/>
  <c r="R21" i="6"/>
  <c r="O21" i="6"/>
  <c r="X20" i="6"/>
  <c r="U20" i="6"/>
  <c r="R20" i="6"/>
  <c r="O20" i="6"/>
  <c r="X19" i="6"/>
  <c r="U19" i="6"/>
  <c r="R19" i="6"/>
  <c r="O19" i="6"/>
  <c r="X18" i="6"/>
  <c r="U18" i="6"/>
  <c r="R18" i="6"/>
  <c r="O18" i="6"/>
  <c r="X17" i="6"/>
  <c r="U17" i="6"/>
  <c r="R17" i="6"/>
  <c r="O17" i="6"/>
  <c r="X16" i="6"/>
  <c r="U16" i="6"/>
  <c r="R16" i="6"/>
  <c r="O16" i="6"/>
  <c r="X15" i="6"/>
  <c r="U15" i="6"/>
  <c r="R15" i="6"/>
  <c r="O15" i="6"/>
  <c r="X14" i="6"/>
  <c r="U14" i="6"/>
  <c r="R14" i="6"/>
  <c r="O14" i="6"/>
  <c r="X13" i="6"/>
  <c r="U13" i="6"/>
  <c r="R13" i="6"/>
  <c r="O13" i="6"/>
  <c r="X12" i="6"/>
  <c r="U12" i="6"/>
  <c r="R12" i="6"/>
  <c r="O12" i="6"/>
  <c r="X11" i="6"/>
  <c r="U11" i="6"/>
  <c r="R11" i="6"/>
  <c r="O11" i="6"/>
  <c r="X10" i="6"/>
  <c r="U10" i="6"/>
  <c r="R10" i="6"/>
  <c r="O10" i="6"/>
  <c r="X9" i="6"/>
  <c r="U9" i="6"/>
  <c r="R9" i="6"/>
  <c r="O9" i="6"/>
  <c r="X8" i="6"/>
  <c r="U8" i="6"/>
  <c r="R8" i="6"/>
  <c r="O8" i="6"/>
  <c r="X7" i="6"/>
  <c r="U7" i="6"/>
  <c r="R7" i="6"/>
  <c r="O7" i="6"/>
  <c r="X6" i="6"/>
  <c r="U6" i="6"/>
  <c r="R6" i="6"/>
  <c r="O6" i="6"/>
  <c r="X5" i="6"/>
  <c r="U5" i="6"/>
  <c r="R5" i="6"/>
  <c r="O5" i="6"/>
  <c r="K35" i="6"/>
  <c r="H35" i="6"/>
  <c r="E35" i="6"/>
  <c r="B35" i="6"/>
  <c r="K34" i="6"/>
  <c r="H34" i="6"/>
  <c r="E34" i="6"/>
  <c r="B34" i="6"/>
  <c r="K33" i="6"/>
  <c r="H33" i="6"/>
  <c r="E33" i="6"/>
  <c r="B33" i="6"/>
  <c r="K32" i="6"/>
  <c r="H32" i="6"/>
  <c r="E32" i="6"/>
  <c r="B32" i="6"/>
  <c r="K31" i="6"/>
  <c r="E31" i="6"/>
  <c r="B31" i="6"/>
  <c r="K30" i="6"/>
  <c r="H30" i="6"/>
  <c r="E30" i="6"/>
  <c r="B30" i="6"/>
  <c r="K29" i="6"/>
  <c r="H29" i="6"/>
  <c r="E29" i="6"/>
  <c r="B29" i="6"/>
  <c r="K28" i="6"/>
  <c r="H28" i="6"/>
  <c r="E28" i="6"/>
  <c r="B28" i="6"/>
  <c r="K27" i="6"/>
  <c r="H27" i="6"/>
  <c r="E27" i="6"/>
  <c r="B27" i="6"/>
  <c r="K26" i="6"/>
  <c r="H26" i="6"/>
  <c r="E26" i="6"/>
  <c r="B26" i="6"/>
  <c r="K25" i="6"/>
  <c r="H25" i="6"/>
  <c r="E25" i="6"/>
  <c r="B25" i="6"/>
  <c r="K24" i="6"/>
  <c r="H24" i="6"/>
  <c r="E24" i="6"/>
  <c r="B24" i="6"/>
  <c r="K23" i="6"/>
  <c r="H23" i="6"/>
  <c r="E23" i="6"/>
  <c r="B23" i="6"/>
  <c r="K22" i="6"/>
  <c r="H22" i="6"/>
  <c r="E22" i="6"/>
  <c r="B22" i="6"/>
  <c r="K21" i="6"/>
  <c r="H21" i="6"/>
  <c r="E21" i="6"/>
  <c r="B21" i="6"/>
  <c r="K20" i="6"/>
  <c r="H20" i="6"/>
  <c r="E20" i="6"/>
  <c r="B20" i="6"/>
  <c r="K19" i="6"/>
  <c r="H19" i="6"/>
  <c r="E19" i="6"/>
  <c r="B19" i="6"/>
  <c r="K18" i="6"/>
  <c r="H18" i="6"/>
  <c r="E18" i="6"/>
  <c r="B18" i="6"/>
  <c r="K17" i="6"/>
  <c r="H17" i="6"/>
  <c r="E17" i="6"/>
  <c r="B17" i="6"/>
  <c r="K16" i="6"/>
  <c r="H16" i="6"/>
  <c r="E16" i="6"/>
  <c r="B16" i="6"/>
  <c r="K15" i="6"/>
  <c r="H15" i="6"/>
  <c r="E15" i="6"/>
  <c r="B15" i="6"/>
  <c r="K14" i="6"/>
  <c r="H14" i="6"/>
  <c r="E14" i="6"/>
  <c r="B14" i="6"/>
  <c r="K13" i="6"/>
  <c r="H13" i="6"/>
  <c r="E13" i="6"/>
  <c r="B13" i="6"/>
  <c r="K12" i="6"/>
  <c r="H12" i="6"/>
  <c r="E12" i="6"/>
  <c r="B12" i="6"/>
  <c r="K11" i="6"/>
  <c r="H11" i="6"/>
  <c r="E11" i="6"/>
  <c r="B11" i="6"/>
  <c r="K10" i="6"/>
  <c r="H10" i="6"/>
  <c r="E10" i="6"/>
  <c r="B10" i="6"/>
  <c r="K9" i="6"/>
  <c r="H9" i="6"/>
  <c r="E9" i="6"/>
  <c r="B9" i="6"/>
  <c r="K8" i="6"/>
  <c r="H8" i="6"/>
  <c r="E8" i="6"/>
  <c r="B8" i="6"/>
  <c r="K7" i="6"/>
  <c r="H7" i="6"/>
  <c r="E7" i="6"/>
  <c r="B7" i="6"/>
  <c r="K6" i="6"/>
  <c r="H6" i="6"/>
  <c r="E6" i="6"/>
  <c r="B6" i="6"/>
  <c r="K5" i="6"/>
  <c r="H5" i="6"/>
  <c r="E5" i="6"/>
  <c r="B5" i="6"/>
  <c r="X32" i="4"/>
  <c r="U32" i="4"/>
  <c r="R32" i="4"/>
  <c r="O32" i="4"/>
  <c r="X31" i="4"/>
  <c r="U31" i="4"/>
  <c r="R31" i="4"/>
  <c r="O31" i="4"/>
  <c r="X30" i="4"/>
  <c r="U30" i="4"/>
  <c r="R30" i="4"/>
  <c r="O30" i="4"/>
  <c r="X29" i="4"/>
  <c r="U29" i="4"/>
  <c r="R29" i="4"/>
  <c r="O29" i="4"/>
  <c r="X28" i="4"/>
  <c r="U28" i="4"/>
  <c r="R28" i="4"/>
  <c r="O28" i="4"/>
  <c r="X27" i="4"/>
  <c r="U27" i="4"/>
  <c r="R27" i="4"/>
  <c r="O27" i="4"/>
  <c r="X26" i="4"/>
  <c r="U26" i="4"/>
  <c r="R26" i="4"/>
  <c r="O26" i="4"/>
  <c r="X25" i="4"/>
  <c r="U25" i="4"/>
  <c r="R25" i="4"/>
  <c r="O25" i="4"/>
  <c r="X24" i="4"/>
  <c r="U24" i="4"/>
  <c r="R24" i="4"/>
  <c r="O24" i="4"/>
  <c r="X23" i="4"/>
  <c r="U23" i="4"/>
  <c r="R23" i="4"/>
  <c r="O23" i="4"/>
  <c r="X22" i="4"/>
  <c r="U22" i="4"/>
  <c r="R22" i="4"/>
  <c r="O22" i="4"/>
  <c r="X21" i="4"/>
  <c r="U21" i="4"/>
  <c r="R21" i="4"/>
  <c r="O21" i="4"/>
  <c r="X20" i="4"/>
  <c r="U20" i="4"/>
  <c r="R20" i="4"/>
  <c r="O20" i="4"/>
  <c r="X19" i="4"/>
  <c r="U19" i="4"/>
  <c r="R19" i="4"/>
  <c r="O19" i="4"/>
  <c r="X18" i="4"/>
  <c r="U18" i="4"/>
  <c r="R18" i="4"/>
  <c r="O18" i="4"/>
  <c r="X17" i="4"/>
  <c r="U17" i="4"/>
  <c r="R17" i="4"/>
  <c r="O17" i="4"/>
  <c r="X16" i="4"/>
  <c r="U16" i="4"/>
  <c r="R16" i="4"/>
  <c r="O16" i="4"/>
  <c r="X15" i="4"/>
  <c r="U15" i="4"/>
  <c r="R15" i="4"/>
  <c r="O15" i="4"/>
  <c r="X14" i="4"/>
  <c r="U14" i="4"/>
  <c r="R14" i="4"/>
  <c r="O14" i="4"/>
  <c r="X13" i="4"/>
  <c r="U13" i="4"/>
  <c r="R13" i="4"/>
  <c r="O13" i="4"/>
  <c r="X12" i="4"/>
  <c r="U12" i="4"/>
  <c r="R12" i="4"/>
  <c r="O12" i="4"/>
  <c r="X11" i="4"/>
  <c r="U11" i="4"/>
  <c r="R11" i="4"/>
  <c r="O11" i="4"/>
  <c r="X10" i="4"/>
  <c r="U10" i="4"/>
  <c r="R10" i="4"/>
  <c r="O10" i="4"/>
  <c r="X9" i="4"/>
  <c r="U9" i="4"/>
  <c r="R9" i="4"/>
  <c r="O9" i="4"/>
  <c r="X8" i="4"/>
  <c r="U8" i="4"/>
  <c r="R8" i="4"/>
  <c r="O8" i="4"/>
  <c r="X7" i="4"/>
  <c r="U7" i="4"/>
  <c r="R7" i="4"/>
  <c r="O7" i="4"/>
  <c r="X6" i="4"/>
  <c r="U6" i="4"/>
  <c r="R6" i="4"/>
  <c r="O6" i="4"/>
  <c r="X5" i="4"/>
  <c r="U5" i="4"/>
  <c r="R5" i="4"/>
  <c r="O5" i="4"/>
  <c r="K32" i="4"/>
  <c r="H32" i="4"/>
  <c r="E32" i="4"/>
  <c r="B32" i="4"/>
  <c r="K31" i="4"/>
  <c r="H31" i="4"/>
  <c r="E31" i="4"/>
  <c r="B31" i="4"/>
  <c r="K30" i="4"/>
  <c r="H30" i="4"/>
  <c r="E30" i="4"/>
  <c r="B30" i="4"/>
  <c r="K29" i="4"/>
  <c r="H29" i="4"/>
  <c r="E29" i="4"/>
  <c r="B29" i="4"/>
  <c r="K28" i="4"/>
  <c r="H28" i="4"/>
  <c r="E28" i="4"/>
  <c r="B28" i="4"/>
  <c r="K27" i="4"/>
  <c r="H27" i="4"/>
  <c r="E27" i="4"/>
  <c r="B27" i="4"/>
  <c r="K26" i="4"/>
  <c r="H26" i="4"/>
  <c r="E26" i="4"/>
  <c r="B26" i="4"/>
  <c r="K25" i="4"/>
  <c r="H25" i="4"/>
  <c r="E25" i="4"/>
  <c r="B25" i="4"/>
  <c r="K24" i="4"/>
  <c r="H24" i="4"/>
  <c r="E24" i="4"/>
  <c r="B24" i="4"/>
  <c r="K23" i="4"/>
  <c r="H23" i="4"/>
  <c r="E23" i="4"/>
  <c r="B23" i="4"/>
  <c r="K22" i="4"/>
  <c r="H22" i="4"/>
  <c r="E22" i="4"/>
  <c r="B22" i="4"/>
  <c r="K21" i="4"/>
  <c r="H21" i="4"/>
  <c r="E21" i="4"/>
  <c r="B21" i="4"/>
  <c r="K20" i="4"/>
  <c r="H20" i="4"/>
  <c r="E20" i="4"/>
  <c r="B20" i="4"/>
  <c r="K19" i="4"/>
  <c r="H19" i="4"/>
  <c r="E19" i="4"/>
  <c r="B19" i="4"/>
  <c r="K18" i="4"/>
  <c r="H18" i="4"/>
  <c r="E18" i="4"/>
  <c r="B18" i="4"/>
  <c r="K17" i="4"/>
  <c r="H17" i="4"/>
  <c r="E17" i="4"/>
  <c r="B17" i="4"/>
  <c r="K16" i="4"/>
  <c r="H16" i="4"/>
  <c r="E16" i="4"/>
  <c r="B16" i="4"/>
  <c r="K15" i="4"/>
  <c r="H15" i="4"/>
  <c r="E15" i="4"/>
  <c r="B15" i="4"/>
  <c r="K14" i="4"/>
  <c r="H14" i="4"/>
  <c r="E14" i="4"/>
  <c r="B14" i="4"/>
  <c r="K13" i="4"/>
  <c r="H13" i="4"/>
  <c r="E13" i="4"/>
  <c r="B13" i="4"/>
  <c r="K12" i="4"/>
  <c r="H12" i="4"/>
  <c r="E12" i="4"/>
  <c r="B12" i="4"/>
  <c r="K11" i="4"/>
  <c r="H11" i="4"/>
  <c r="E11" i="4"/>
  <c r="B11" i="4"/>
  <c r="K10" i="4"/>
  <c r="H10" i="4"/>
  <c r="E10" i="4"/>
  <c r="B10" i="4"/>
  <c r="K9" i="4"/>
  <c r="H9" i="4"/>
  <c r="E9" i="4"/>
  <c r="B9" i="4"/>
  <c r="K8" i="4"/>
  <c r="H8" i="4"/>
  <c r="E8" i="4"/>
  <c r="B8" i="4"/>
  <c r="K7" i="4"/>
  <c r="H7" i="4"/>
  <c r="E7" i="4"/>
  <c r="B7" i="4"/>
  <c r="K6" i="4"/>
  <c r="H6" i="4"/>
  <c r="E6" i="4"/>
  <c r="B6" i="4"/>
  <c r="K5" i="4"/>
  <c r="H5" i="4"/>
  <c r="E5" i="4"/>
  <c r="B5" i="4"/>
  <c r="X35" i="1"/>
  <c r="U35" i="1"/>
  <c r="R35" i="1"/>
  <c r="O35" i="1"/>
  <c r="X34" i="1"/>
  <c r="U34" i="1"/>
  <c r="R34" i="1"/>
  <c r="O34" i="1"/>
  <c r="X33" i="1"/>
  <c r="U33" i="1"/>
  <c r="R33" i="1"/>
  <c r="O33" i="1"/>
  <c r="X32" i="1"/>
  <c r="U32" i="1"/>
  <c r="R32" i="1"/>
  <c r="O32" i="1"/>
  <c r="X31" i="1"/>
  <c r="U31" i="1"/>
  <c r="R31" i="1"/>
  <c r="O31" i="1"/>
  <c r="X30" i="1"/>
  <c r="U30" i="1"/>
  <c r="R30" i="1"/>
  <c r="O30" i="1"/>
  <c r="X29" i="1"/>
  <c r="U29" i="1"/>
  <c r="R29" i="1"/>
  <c r="O29" i="1"/>
  <c r="X28" i="1"/>
  <c r="U28" i="1"/>
  <c r="R28" i="1"/>
  <c r="O28" i="1"/>
  <c r="X27" i="1"/>
  <c r="U27" i="1"/>
  <c r="R27" i="1"/>
  <c r="O27" i="1"/>
  <c r="X26" i="1"/>
  <c r="U26" i="1"/>
  <c r="R26" i="1"/>
  <c r="O26" i="1"/>
  <c r="X25" i="1"/>
  <c r="U25" i="1"/>
  <c r="R25" i="1"/>
  <c r="O25" i="1"/>
  <c r="X24" i="1"/>
  <c r="U24" i="1"/>
  <c r="R24" i="1"/>
  <c r="O24" i="1"/>
  <c r="X23" i="1"/>
  <c r="U23" i="1"/>
  <c r="R23" i="1"/>
  <c r="O23" i="1"/>
  <c r="X22" i="1"/>
  <c r="U22" i="1"/>
  <c r="R22" i="1"/>
  <c r="O22" i="1"/>
  <c r="X21" i="1"/>
  <c r="U21" i="1"/>
  <c r="R21" i="1"/>
  <c r="O21" i="1"/>
  <c r="X20" i="1"/>
  <c r="U20" i="1"/>
  <c r="R20" i="1"/>
  <c r="O20" i="1"/>
  <c r="X19" i="1"/>
  <c r="U19" i="1"/>
  <c r="R19" i="1"/>
  <c r="O19" i="1"/>
  <c r="X18" i="1"/>
  <c r="U18" i="1"/>
  <c r="R18" i="1"/>
  <c r="O18" i="1"/>
  <c r="X17" i="1"/>
  <c r="U17" i="1"/>
  <c r="R17" i="1"/>
  <c r="O17" i="1"/>
  <c r="X16" i="1"/>
  <c r="U16" i="1"/>
  <c r="R16" i="1"/>
  <c r="O16" i="1"/>
  <c r="X15" i="1"/>
  <c r="U15" i="1"/>
  <c r="R15" i="1"/>
  <c r="O15" i="1"/>
  <c r="X14" i="1"/>
  <c r="U14" i="1"/>
  <c r="R14" i="1"/>
  <c r="O14" i="1"/>
  <c r="X13" i="1"/>
  <c r="U13" i="1"/>
  <c r="R13" i="1"/>
  <c r="O13" i="1"/>
  <c r="X12" i="1"/>
  <c r="U12" i="1"/>
  <c r="R12" i="1"/>
  <c r="O12" i="1"/>
  <c r="X11" i="1"/>
  <c r="U11" i="1"/>
  <c r="R11" i="1"/>
  <c r="O11" i="1"/>
  <c r="X10" i="1"/>
  <c r="U10" i="1"/>
  <c r="R10" i="1"/>
  <c r="O10" i="1"/>
  <c r="X9" i="1"/>
  <c r="U9" i="1"/>
  <c r="R9" i="1"/>
  <c r="O9" i="1"/>
  <c r="X8" i="1"/>
  <c r="U8" i="1"/>
  <c r="R8" i="1"/>
  <c r="O8" i="1"/>
  <c r="X7" i="1"/>
  <c r="U7" i="1"/>
  <c r="R7" i="1"/>
  <c r="O7" i="1"/>
  <c r="X6" i="1"/>
  <c r="U6" i="1"/>
  <c r="R6" i="1"/>
  <c r="O6" i="1"/>
  <c r="X5" i="1"/>
  <c r="U5" i="1"/>
  <c r="R5" i="1"/>
  <c r="O5" i="1"/>
  <c r="K35" i="1"/>
  <c r="H35" i="1"/>
  <c r="E35" i="1"/>
  <c r="B35" i="1"/>
  <c r="K34" i="1"/>
  <c r="H34" i="1"/>
  <c r="E34" i="1"/>
  <c r="B34" i="1"/>
  <c r="K33" i="1"/>
  <c r="H33" i="1"/>
  <c r="E33" i="1"/>
  <c r="B33" i="1"/>
  <c r="K32" i="1"/>
  <c r="H32" i="1"/>
  <c r="E32" i="1"/>
  <c r="B32" i="1"/>
  <c r="K31" i="1"/>
  <c r="H31" i="1"/>
  <c r="E31" i="1"/>
  <c r="B31" i="1"/>
  <c r="K30" i="1"/>
  <c r="H30" i="1"/>
  <c r="E30" i="1"/>
  <c r="B30" i="1"/>
  <c r="K29" i="1"/>
  <c r="H29" i="1"/>
  <c r="E29" i="1"/>
  <c r="B29" i="1"/>
  <c r="K28" i="1"/>
  <c r="H28" i="1"/>
  <c r="E28" i="1"/>
  <c r="B28" i="1"/>
  <c r="K27" i="1"/>
  <c r="H27" i="1"/>
  <c r="E27" i="1"/>
  <c r="B27" i="1"/>
  <c r="K26" i="1"/>
  <c r="H26" i="1"/>
  <c r="E26" i="1"/>
  <c r="B26" i="1"/>
  <c r="K25" i="1"/>
  <c r="H25" i="1"/>
  <c r="E25" i="1"/>
  <c r="B25" i="1"/>
  <c r="K24" i="1"/>
  <c r="H24" i="1"/>
  <c r="E24" i="1"/>
  <c r="B24" i="1"/>
  <c r="K23" i="1"/>
  <c r="H23" i="1"/>
  <c r="E23" i="1"/>
  <c r="B23" i="1"/>
  <c r="K22" i="1"/>
  <c r="H22" i="1"/>
  <c r="E22" i="1"/>
  <c r="B22" i="1"/>
  <c r="K21" i="1"/>
  <c r="H21" i="1"/>
  <c r="E21" i="1"/>
  <c r="B21" i="1"/>
  <c r="K20" i="1"/>
  <c r="H20" i="1"/>
  <c r="E20" i="1"/>
  <c r="B20" i="1"/>
  <c r="K19" i="1"/>
  <c r="H19" i="1"/>
  <c r="E19" i="1"/>
  <c r="B19" i="1"/>
  <c r="K18" i="1"/>
  <c r="H18" i="1"/>
  <c r="E18" i="1"/>
  <c r="B18" i="1"/>
  <c r="K17" i="1"/>
  <c r="H17" i="1"/>
  <c r="E17" i="1"/>
  <c r="B17" i="1"/>
  <c r="K16" i="1"/>
  <c r="H16" i="1"/>
  <c r="E16" i="1"/>
  <c r="B16" i="1"/>
  <c r="K15" i="1"/>
  <c r="H15" i="1"/>
  <c r="E15" i="1"/>
  <c r="B15" i="1"/>
  <c r="K14" i="1"/>
  <c r="H14" i="1"/>
  <c r="E14" i="1"/>
  <c r="B14" i="1"/>
  <c r="K13" i="1"/>
  <c r="H13" i="1"/>
  <c r="E13" i="1"/>
  <c r="B13" i="1"/>
  <c r="K12" i="1"/>
  <c r="H12" i="1"/>
  <c r="E12" i="1"/>
  <c r="B12" i="1"/>
  <c r="K11" i="1"/>
  <c r="H11" i="1"/>
  <c r="E11" i="1"/>
  <c r="B11" i="1"/>
  <c r="K10" i="1"/>
  <c r="H10" i="1"/>
  <c r="E10" i="1"/>
  <c r="B10" i="1"/>
  <c r="K9" i="1"/>
  <c r="H9" i="1"/>
  <c r="E9" i="1"/>
  <c r="B9" i="1"/>
  <c r="K8" i="1"/>
  <c r="H8" i="1"/>
  <c r="E8" i="1"/>
  <c r="B8" i="1"/>
  <c r="K7" i="1"/>
  <c r="H7" i="1"/>
  <c r="E7" i="1"/>
  <c r="B7" i="1"/>
  <c r="K6" i="1"/>
  <c r="H6" i="1"/>
  <c r="E6" i="1"/>
  <c r="B6" i="1"/>
  <c r="K5" i="1"/>
  <c r="H5" i="1"/>
  <c r="E5" i="1"/>
  <c r="B5" i="1"/>
  <c r="X35" i="13"/>
  <c r="U35" i="13"/>
  <c r="R35" i="13"/>
  <c r="O35" i="13"/>
  <c r="X34" i="13"/>
  <c r="U34" i="13"/>
  <c r="R34" i="13"/>
  <c r="O34" i="13"/>
  <c r="X33" i="13"/>
  <c r="U33" i="13"/>
  <c r="R33" i="13"/>
  <c r="O33" i="13"/>
  <c r="X32" i="13"/>
  <c r="U32" i="13"/>
  <c r="R32" i="13"/>
  <c r="O32" i="13"/>
  <c r="X31" i="13"/>
  <c r="U31" i="13"/>
  <c r="R31" i="13"/>
  <c r="O31" i="13"/>
  <c r="X30" i="13"/>
  <c r="U30" i="13"/>
  <c r="R30" i="13"/>
  <c r="O30" i="13"/>
  <c r="X29" i="13"/>
  <c r="U29" i="13"/>
  <c r="R29" i="13"/>
  <c r="O29" i="13"/>
  <c r="X28" i="13"/>
  <c r="U28" i="13"/>
  <c r="R28" i="13"/>
  <c r="O28" i="13"/>
  <c r="X27" i="13"/>
  <c r="U27" i="13"/>
  <c r="R27" i="13"/>
  <c r="O27" i="13"/>
  <c r="X26" i="13"/>
  <c r="U26" i="13"/>
  <c r="R26" i="13"/>
  <c r="O26" i="13"/>
  <c r="X25" i="13"/>
  <c r="U25" i="13"/>
  <c r="R25" i="13"/>
  <c r="O25" i="13"/>
  <c r="X24" i="13"/>
  <c r="U24" i="13"/>
  <c r="R24" i="13"/>
  <c r="O24" i="13"/>
  <c r="X23" i="13"/>
  <c r="U23" i="13"/>
  <c r="R23" i="13"/>
  <c r="O23" i="13"/>
  <c r="X22" i="13"/>
  <c r="U22" i="13"/>
  <c r="R22" i="13"/>
  <c r="O22" i="13"/>
  <c r="X21" i="13"/>
  <c r="U21" i="13"/>
  <c r="R21" i="13"/>
  <c r="O21" i="13"/>
  <c r="X20" i="13"/>
  <c r="U20" i="13"/>
  <c r="R20" i="13"/>
  <c r="O20" i="13"/>
  <c r="X19" i="13"/>
  <c r="U19" i="13"/>
  <c r="R19" i="13"/>
  <c r="O19" i="13"/>
  <c r="X18" i="13"/>
  <c r="U18" i="13"/>
  <c r="R18" i="13"/>
  <c r="O18" i="13"/>
  <c r="X17" i="13"/>
  <c r="U17" i="13"/>
  <c r="R17" i="13"/>
  <c r="O17" i="13"/>
  <c r="X16" i="13"/>
  <c r="U16" i="13"/>
  <c r="R16" i="13"/>
  <c r="O16" i="13"/>
  <c r="X15" i="13"/>
  <c r="U15" i="13"/>
  <c r="R15" i="13"/>
  <c r="O15" i="13"/>
  <c r="X14" i="13"/>
  <c r="U14" i="13"/>
  <c r="R14" i="13"/>
  <c r="O14" i="13"/>
  <c r="X13" i="13"/>
  <c r="U13" i="13"/>
  <c r="R13" i="13"/>
  <c r="O13" i="13"/>
  <c r="X12" i="13"/>
  <c r="U12" i="13"/>
  <c r="R12" i="13"/>
  <c r="O12" i="13"/>
  <c r="X11" i="13"/>
  <c r="U11" i="13"/>
  <c r="R11" i="13"/>
  <c r="O11" i="13"/>
  <c r="X10" i="13"/>
  <c r="U10" i="13"/>
  <c r="R10" i="13"/>
  <c r="O10" i="13"/>
  <c r="X9" i="13"/>
  <c r="U9" i="13"/>
  <c r="R9" i="13"/>
  <c r="O9" i="13"/>
  <c r="X8" i="13"/>
  <c r="U8" i="13"/>
  <c r="R8" i="13"/>
  <c r="O8" i="13"/>
  <c r="X7" i="13"/>
  <c r="U7" i="13"/>
  <c r="R7" i="13"/>
  <c r="O7" i="13"/>
  <c r="X6" i="13"/>
  <c r="U6" i="13"/>
  <c r="R6" i="13"/>
  <c r="O6" i="13"/>
  <c r="X5" i="13"/>
  <c r="U5" i="13"/>
  <c r="R5" i="13"/>
  <c r="O5" i="13"/>
  <c r="K35" i="13"/>
  <c r="H35" i="13"/>
  <c r="E35" i="13"/>
  <c r="B35" i="13"/>
  <c r="K34" i="13"/>
  <c r="H34" i="13"/>
  <c r="E34" i="13"/>
  <c r="B34" i="13"/>
  <c r="K33" i="13"/>
  <c r="H33" i="13"/>
  <c r="E33" i="13"/>
  <c r="B33" i="13"/>
  <c r="K32" i="13"/>
  <c r="H32" i="13"/>
  <c r="E32" i="13"/>
  <c r="B32" i="13"/>
  <c r="K31" i="13"/>
  <c r="H31" i="13"/>
  <c r="E31" i="13"/>
  <c r="B31" i="13"/>
  <c r="K30" i="13"/>
  <c r="H30" i="13"/>
  <c r="E30" i="13"/>
  <c r="B30" i="13"/>
  <c r="K29" i="13"/>
  <c r="H29" i="13"/>
  <c r="E29" i="13"/>
  <c r="B29" i="13"/>
  <c r="K28" i="13"/>
  <c r="H28" i="13"/>
  <c r="E28" i="13"/>
  <c r="B28" i="13"/>
  <c r="K27" i="13"/>
  <c r="H27" i="13"/>
  <c r="E27" i="13"/>
  <c r="B27" i="13"/>
  <c r="K26" i="13"/>
  <c r="H26" i="13"/>
  <c r="E26" i="13"/>
  <c r="B26" i="13"/>
  <c r="K25" i="13"/>
  <c r="H25" i="13"/>
  <c r="E25" i="13"/>
  <c r="B25" i="13"/>
  <c r="K24" i="13"/>
  <c r="H24" i="13"/>
  <c r="E24" i="13"/>
  <c r="B24" i="13"/>
  <c r="K23" i="13"/>
  <c r="H23" i="13"/>
  <c r="E23" i="13"/>
  <c r="B23" i="13"/>
  <c r="K22" i="13"/>
  <c r="H22" i="13"/>
  <c r="E22" i="13"/>
  <c r="B22" i="13"/>
  <c r="K21" i="13"/>
  <c r="H21" i="13"/>
  <c r="E21" i="13"/>
  <c r="B21" i="13"/>
  <c r="K20" i="13"/>
  <c r="H20" i="13"/>
  <c r="E20" i="13"/>
  <c r="B20" i="13"/>
  <c r="K19" i="13"/>
  <c r="H19" i="13"/>
  <c r="E19" i="13"/>
  <c r="B19" i="13"/>
  <c r="K18" i="13"/>
  <c r="H18" i="13"/>
  <c r="E18" i="13"/>
  <c r="B18" i="13"/>
  <c r="K17" i="13"/>
  <c r="H17" i="13"/>
  <c r="E17" i="13"/>
  <c r="B17" i="13"/>
  <c r="K16" i="13"/>
  <c r="H16" i="13"/>
  <c r="E16" i="13"/>
  <c r="B16" i="13"/>
  <c r="K15" i="13"/>
  <c r="H15" i="13"/>
  <c r="E15" i="13"/>
  <c r="B15" i="13"/>
  <c r="K14" i="13"/>
  <c r="H14" i="13"/>
  <c r="E14" i="13"/>
  <c r="B14" i="13"/>
  <c r="K13" i="13"/>
  <c r="H13" i="13"/>
  <c r="E13" i="13"/>
  <c r="B13" i="13"/>
  <c r="K12" i="13"/>
  <c r="H12" i="13"/>
  <c r="E12" i="13"/>
  <c r="B12" i="13"/>
  <c r="K11" i="13"/>
  <c r="H11" i="13"/>
  <c r="E11" i="13"/>
  <c r="B11" i="13"/>
  <c r="K10" i="13"/>
  <c r="H10" i="13"/>
  <c r="E10" i="13"/>
  <c r="B10" i="13"/>
  <c r="K9" i="13"/>
  <c r="H9" i="13"/>
  <c r="E9" i="13"/>
  <c r="B9" i="13"/>
  <c r="K8" i="13"/>
  <c r="H8" i="13"/>
  <c r="E8" i="13"/>
  <c r="B8" i="13"/>
  <c r="K7" i="13"/>
  <c r="H7" i="13"/>
  <c r="E7" i="13"/>
  <c r="B7" i="13"/>
  <c r="K6" i="13"/>
  <c r="H6" i="13"/>
  <c r="E6" i="13"/>
  <c r="B6" i="13"/>
  <c r="K5" i="13"/>
  <c r="H5" i="13"/>
  <c r="E5" i="13"/>
  <c r="B5" i="13"/>
  <c r="X34" i="14" l="1"/>
  <c r="U34" i="14"/>
  <c r="R34" i="14"/>
  <c r="O34" i="14"/>
  <c r="X33" i="14"/>
  <c r="U33" i="14"/>
  <c r="R33" i="14"/>
  <c r="O33" i="14"/>
  <c r="X32" i="14"/>
  <c r="U32" i="14"/>
  <c r="R32" i="14"/>
  <c r="O32" i="14"/>
  <c r="X31" i="14"/>
  <c r="U31" i="14"/>
  <c r="R31" i="14"/>
  <c r="O31" i="14"/>
  <c r="X30" i="14"/>
  <c r="U30" i="14"/>
  <c r="R30" i="14"/>
  <c r="O30" i="14"/>
  <c r="X29" i="14"/>
  <c r="U29" i="14"/>
  <c r="R29" i="14"/>
  <c r="O29" i="14"/>
  <c r="X28" i="14"/>
  <c r="U28" i="14"/>
  <c r="R28" i="14"/>
  <c r="O28" i="14"/>
  <c r="X27" i="14"/>
  <c r="U27" i="14"/>
  <c r="R27" i="14"/>
  <c r="O27" i="14"/>
  <c r="X26" i="14"/>
  <c r="U26" i="14"/>
  <c r="R26" i="14"/>
  <c r="O26" i="14"/>
  <c r="X25" i="14"/>
  <c r="U25" i="14"/>
  <c r="R25" i="14"/>
  <c r="O25" i="14"/>
  <c r="X24" i="14"/>
  <c r="U24" i="14"/>
  <c r="R24" i="14"/>
  <c r="O24" i="14"/>
  <c r="X23" i="14"/>
  <c r="U23" i="14"/>
  <c r="R23" i="14"/>
  <c r="O23" i="14"/>
  <c r="X22" i="14"/>
  <c r="U22" i="14"/>
  <c r="R22" i="14"/>
  <c r="O22" i="14"/>
  <c r="X21" i="14"/>
  <c r="U21" i="14"/>
  <c r="R21" i="14"/>
  <c r="O21" i="14"/>
  <c r="X20" i="14"/>
  <c r="U20" i="14"/>
  <c r="R20" i="14"/>
  <c r="O20" i="14"/>
  <c r="X19" i="14"/>
  <c r="U19" i="14"/>
  <c r="R19" i="14"/>
  <c r="O19" i="14"/>
  <c r="X18" i="14"/>
  <c r="U18" i="14"/>
  <c r="R18" i="14"/>
  <c r="O18" i="14"/>
  <c r="X17" i="14"/>
  <c r="U17" i="14"/>
  <c r="R17" i="14"/>
  <c r="O17" i="14"/>
  <c r="X16" i="14"/>
  <c r="U16" i="14"/>
  <c r="R16" i="14"/>
  <c r="O16" i="14"/>
  <c r="X15" i="14"/>
  <c r="U15" i="14"/>
  <c r="R15" i="14"/>
  <c r="O15" i="14"/>
  <c r="X14" i="14"/>
  <c r="U14" i="14"/>
  <c r="R14" i="14"/>
  <c r="O14" i="14"/>
  <c r="X13" i="14"/>
  <c r="U13" i="14"/>
  <c r="R13" i="14"/>
  <c r="O13" i="14"/>
  <c r="X12" i="14"/>
  <c r="U12" i="14"/>
  <c r="R12" i="14"/>
  <c r="O12" i="14"/>
  <c r="X11" i="14"/>
  <c r="U11" i="14"/>
  <c r="R11" i="14"/>
  <c r="O11" i="14"/>
  <c r="X10" i="14"/>
  <c r="U10" i="14"/>
  <c r="R10" i="14"/>
  <c r="O10" i="14"/>
  <c r="X9" i="14"/>
  <c r="U9" i="14"/>
  <c r="R9" i="14"/>
  <c r="O9" i="14"/>
  <c r="X8" i="14"/>
  <c r="U8" i="14"/>
  <c r="R8" i="14"/>
  <c r="O8" i="14"/>
  <c r="X7" i="14"/>
  <c r="U7" i="14"/>
  <c r="R7" i="14"/>
  <c r="O7" i="14"/>
  <c r="X6" i="14"/>
  <c r="U6" i="14"/>
  <c r="R6" i="14"/>
  <c r="O6" i="14"/>
  <c r="X5" i="14"/>
  <c r="U5" i="14"/>
  <c r="R5" i="14"/>
  <c r="O5" i="14"/>
  <c r="K34" i="14"/>
  <c r="L34" i="14" s="1"/>
  <c r="H34" i="14"/>
  <c r="E34" i="14"/>
  <c r="B34" i="14"/>
  <c r="K33" i="14"/>
  <c r="L33" i="14" s="1"/>
  <c r="H33" i="14"/>
  <c r="E33" i="14"/>
  <c r="B33" i="14"/>
  <c r="K32" i="14"/>
  <c r="L32" i="14" s="1"/>
  <c r="H32" i="14"/>
  <c r="E32" i="14"/>
  <c r="B32" i="14"/>
  <c r="K31" i="14"/>
  <c r="L31" i="14" s="1"/>
  <c r="H31" i="14"/>
  <c r="E31" i="14"/>
  <c r="B31" i="14"/>
  <c r="K30" i="14"/>
  <c r="L30" i="14" s="1"/>
  <c r="H30" i="14"/>
  <c r="E30" i="14"/>
  <c r="B30" i="14"/>
  <c r="K29" i="14"/>
  <c r="L29" i="14" s="1"/>
  <c r="H29" i="14"/>
  <c r="E29" i="14"/>
  <c r="B29" i="14"/>
  <c r="K28" i="14"/>
  <c r="L28" i="14" s="1"/>
  <c r="H28" i="14"/>
  <c r="E28" i="14"/>
  <c r="B28" i="14"/>
  <c r="K27" i="14"/>
  <c r="L27" i="14" s="1"/>
  <c r="H27" i="14"/>
  <c r="E27" i="14"/>
  <c r="K26" i="14"/>
  <c r="L26" i="14" s="1"/>
  <c r="H26" i="14"/>
  <c r="E26" i="14"/>
  <c r="B26" i="14"/>
  <c r="L25" i="14"/>
  <c r="H25" i="14"/>
  <c r="E25" i="14"/>
  <c r="B25" i="14"/>
  <c r="K24" i="14"/>
  <c r="L24" i="14" s="1"/>
  <c r="H24" i="14"/>
  <c r="E24" i="14"/>
  <c r="B24" i="14"/>
  <c r="K23" i="14"/>
  <c r="L23" i="14" s="1"/>
  <c r="H23" i="14"/>
  <c r="E23" i="14"/>
  <c r="B23" i="14"/>
  <c r="K22" i="14"/>
  <c r="L22" i="14" s="1"/>
  <c r="H22" i="14"/>
  <c r="E22" i="14"/>
  <c r="B22" i="14"/>
  <c r="K21" i="14"/>
  <c r="L21" i="14" s="1"/>
  <c r="H21" i="14"/>
  <c r="E21" i="14"/>
  <c r="B21" i="14"/>
  <c r="K20" i="14"/>
  <c r="L20" i="14" s="1"/>
  <c r="H20" i="14"/>
  <c r="E20" i="14"/>
  <c r="B20" i="14"/>
  <c r="K19" i="14"/>
  <c r="L19" i="14" s="1"/>
  <c r="H19" i="14"/>
  <c r="E19" i="14"/>
  <c r="B19" i="14"/>
  <c r="K18" i="14"/>
  <c r="L18" i="14" s="1"/>
  <c r="H18" i="14"/>
  <c r="E18" i="14"/>
  <c r="B18" i="14"/>
  <c r="K17" i="14"/>
  <c r="L17" i="14" s="1"/>
  <c r="H17" i="14"/>
  <c r="E17" i="14"/>
  <c r="B17" i="14"/>
  <c r="K16" i="14"/>
  <c r="L16" i="14" s="1"/>
  <c r="H16" i="14"/>
  <c r="E16" i="14"/>
  <c r="B16" i="14"/>
  <c r="K15" i="14"/>
  <c r="L15" i="14" s="1"/>
  <c r="H15" i="14"/>
  <c r="E15" i="14"/>
  <c r="B15" i="14"/>
  <c r="K14" i="14"/>
  <c r="L14" i="14" s="1"/>
  <c r="H14" i="14"/>
  <c r="E14" i="14"/>
  <c r="B14" i="14"/>
  <c r="K13" i="14"/>
  <c r="L13" i="14" s="1"/>
  <c r="H13" i="14"/>
  <c r="E13" i="14"/>
  <c r="B13" i="14"/>
  <c r="K12" i="14"/>
  <c r="L12" i="14" s="1"/>
  <c r="H12" i="14"/>
  <c r="E12" i="14"/>
  <c r="B12" i="14"/>
  <c r="K11" i="14"/>
  <c r="L11" i="14" s="1"/>
  <c r="H11" i="14"/>
  <c r="E11" i="14"/>
  <c r="B11" i="14"/>
  <c r="K10" i="14"/>
  <c r="L10" i="14" s="1"/>
  <c r="H10" i="14"/>
  <c r="E10" i="14"/>
  <c r="B10" i="14"/>
  <c r="K9" i="14"/>
  <c r="L9" i="14" s="1"/>
  <c r="H9" i="14"/>
  <c r="E9" i="14"/>
  <c r="B9" i="14"/>
  <c r="K8" i="14"/>
  <c r="L8" i="14" s="1"/>
  <c r="H8" i="14"/>
  <c r="E8" i="14"/>
  <c r="B8" i="14"/>
  <c r="K7" i="14"/>
  <c r="L7" i="14" s="1"/>
  <c r="H7" i="14"/>
  <c r="E7" i="14"/>
  <c r="B7" i="14"/>
  <c r="K6" i="14"/>
  <c r="L6" i="14" s="1"/>
  <c r="H6" i="14"/>
  <c r="E6" i="14"/>
  <c r="B6" i="14"/>
  <c r="K5" i="14"/>
  <c r="L5" i="14" s="1"/>
  <c r="H5" i="14"/>
  <c r="E5" i="14"/>
  <c r="B5" i="14"/>
  <c r="V14" i="5"/>
  <c r="W14" i="5" s="1"/>
  <c r="V15" i="5"/>
  <c r="W15" i="5" s="1"/>
  <c r="V16" i="5"/>
  <c r="W16" i="5" s="1"/>
  <c r="L16" i="5"/>
  <c r="M16" i="5" s="1"/>
  <c r="L17" i="5"/>
  <c r="M17" i="5" s="1"/>
  <c r="L18" i="5"/>
  <c r="M18" i="5" s="1"/>
  <c r="L19" i="5"/>
  <c r="M19" i="5" s="1"/>
  <c r="L20" i="5"/>
  <c r="M20" i="5" s="1"/>
  <c r="AB33" i="7" l="1"/>
  <c r="AB31" i="7"/>
  <c r="AB29" i="7"/>
  <c r="AB27" i="7"/>
  <c r="AB25" i="7"/>
  <c r="AB23" i="7"/>
  <c r="AB21" i="7"/>
  <c r="AB19" i="7"/>
  <c r="AB17" i="7"/>
  <c r="AB15" i="7"/>
  <c r="AB13" i="7"/>
  <c r="AB11" i="7"/>
  <c r="AB9" i="7"/>
  <c r="AB7" i="7"/>
  <c r="AB5" i="7"/>
  <c r="AB31" i="4"/>
  <c r="AB29" i="4"/>
  <c r="AB27" i="4"/>
  <c r="AB25" i="4"/>
  <c r="AB23" i="4"/>
  <c r="AB21" i="4"/>
  <c r="AB19" i="4"/>
  <c r="AB17" i="4"/>
  <c r="AB15" i="4"/>
  <c r="AB13" i="4"/>
  <c r="AB11" i="4"/>
  <c r="AB9" i="4"/>
  <c r="AB7" i="4"/>
  <c r="AB5" i="4"/>
  <c r="AB34" i="1"/>
  <c r="AB32" i="1"/>
  <c r="AB30" i="1"/>
  <c r="AB28" i="1"/>
  <c r="AB26" i="1"/>
  <c r="AB24" i="1"/>
  <c r="AB22" i="1"/>
  <c r="AB20" i="1"/>
  <c r="AB18" i="1"/>
  <c r="AB16" i="1"/>
  <c r="AB14" i="1"/>
  <c r="AB12" i="1"/>
  <c r="AB10" i="1"/>
  <c r="AB8" i="1"/>
  <c r="AB6" i="1"/>
  <c r="AB35" i="7"/>
  <c r="AB34" i="7"/>
  <c r="AB32" i="7"/>
  <c r="AB30" i="7"/>
  <c r="AB28" i="7"/>
  <c r="AB26" i="7"/>
  <c r="AB24" i="7"/>
  <c r="AB22" i="7"/>
  <c r="AB20" i="7"/>
  <c r="AB18" i="7"/>
  <c r="AB16" i="7"/>
  <c r="AB14" i="7"/>
  <c r="AB12" i="7"/>
  <c r="AB10" i="7"/>
  <c r="AB8" i="7"/>
  <c r="AB6" i="7"/>
  <c r="AB34" i="4"/>
  <c r="AB33" i="4"/>
  <c r="AB32" i="4"/>
  <c r="AB30" i="4"/>
  <c r="AB28" i="4"/>
  <c r="AB26" i="4"/>
  <c r="AB24" i="4"/>
  <c r="AB22" i="4"/>
  <c r="AB20" i="4"/>
  <c r="AB18" i="4"/>
  <c r="AB16" i="4"/>
  <c r="AB14" i="4"/>
  <c r="AB12" i="4"/>
  <c r="AB10" i="4"/>
  <c r="AB8" i="4"/>
  <c r="AB6" i="4"/>
  <c r="AB35" i="1"/>
  <c r="AB33" i="1"/>
  <c r="AB31" i="1"/>
  <c r="AB29" i="1"/>
  <c r="AB27" i="1"/>
  <c r="AB25" i="1"/>
  <c r="AB23" i="1"/>
  <c r="AB21" i="1"/>
  <c r="AB19" i="1"/>
  <c r="AB17" i="1"/>
  <c r="AB15" i="1"/>
  <c r="AB13" i="1"/>
  <c r="AB11" i="1"/>
  <c r="AB9" i="1"/>
  <c r="AB7" i="1"/>
  <c r="AB5" i="1"/>
  <c r="AB35" i="14"/>
  <c r="S16" i="14"/>
  <c r="P16" i="14"/>
  <c r="S14" i="14"/>
  <c r="P14" i="14"/>
  <c r="S12" i="14"/>
  <c r="P12" i="14"/>
  <c r="S10" i="14"/>
  <c r="P10" i="14"/>
  <c r="S8" i="14"/>
  <c r="P8" i="14"/>
  <c r="S6" i="14"/>
  <c r="P6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AB15" i="14"/>
  <c r="AB14" i="14"/>
  <c r="AB13" i="14"/>
  <c r="AB12" i="14"/>
  <c r="AB11" i="14"/>
  <c r="AB10" i="14"/>
  <c r="AB9" i="14"/>
  <c r="AB8" i="14"/>
  <c r="AB7" i="14"/>
  <c r="AB6" i="14"/>
  <c r="AB5" i="14"/>
  <c r="S5" i="14"/>
  <c r="S7" i="14"/>
  <c r="S9" i="14"/>
  <c r="S11" i="14"/>
  <c r="S13" i="14"/>
  <c r="S15" i="14"/>
  <c r="S17" i="14"/>
  <c r="P5" i="14"/>
  <c r="P7" i="14"/>
  <c r="P9" i="14"/>
  <c r="P11" i="14"/>
  <c r="P13" i="14"/>
  <c r="P15" i="14"/>
  <c r="C5" i="5" l="1"/>
  <c r="F5" i="5"/>
  <c r="G5" i="5" s="1"/>
  <c r="J5" i="5"/>
  <c r="L5" i="5"/>
  <c r="M5" i="5" s="1"/>
  <c r="P5" i="5"/>
  <c r="Q5" i="5" s="1"/>
  <c r="S5" i="5"/>
  <c r="T5" i="5" s="1"/>
  <c r="V5" i="5"/>
  <c r="W5" i="5" s="1"/>
  <c r="Y5" i="5"/>
  <c r="Z5" i="5" s="1"/>
  <c r="C6" i="5"/>
  <c r="D6" i="5" s="1"/>
  <c r="F6" i="5"/>
  <c r="G6" i="5" s="1"/>
  <c r="J6" i="5"/>
  <c r="L6" i="5"/>
  <c r="M6" i="5" s="1"/>
  <c r="P6" i="5"/>
  <c r="Q6" i="5" s="1"/>
  <c r="S6" i="5"/>
  <c r="T6" i="5" s="1"/>
  <c r="V6" i="5"/>
  <c r="W6" i="5" s="1"/>
  <c r="Y6" i="5"/>
  <c r="Z6" i="5" s="1"/>
  <c r="AB6" i="5"/>
  <c r="C7" i="5"/>
  <c r="F7" i="5"/>
  <c r="G7" i="5" s="1"/>
  <c r="J7" i="5"/>
  <c r="L7" i="5"/>
  <c r="M7" i="5" s="1"/>
  <c r="P7" i="5"/>
  <c r="Q7" i="5" s="1"/>
  <c r="S7" i="5"/>
  <c r="T7" i="5" s="1"/>
  <c r="V7" i="5"/>
  <c r="W7" i="5" s="1"/>
  <c r="Y7" i="5"/>
  <c r="Z7" i="5" s="1"/>
  <c r="AB7" i="5"/>
  <c r="C8" i="5"/>
  <c r="D8" i="5" s="1"/>
  <c r="F8" i="5"/>
  <c r="G8" i="5" s="1"/>
  <c r="J8" i="5"/>
  <c r="L8" i="5"/>
  <c r="M8" i="5" s="1"/>
  <c r="P8" i="5"/>
  <c r="Q8" i="5" s="1"/>
  <c r="S8" i="5"/>
  <c r="T8" i="5" s="1"/>
  <c r="V8" i="5"/>
  <c r="W8" i="5" s="1"/>
  <c r="Y8" i="5"/>
  <c r="Z8" i="5" s="1"/>
  <c r="AB8" i="5"/>
  <c r="C9" i="5"/>
  <c r="F9" i="5"/>
  <c r="G9" i="5" s="1"/>
  <c r="J9" i="5"/>
  <c r="L9" i="5"/>
  <c r="M9" i="5" s="1"/>
  <c r="P9" i="5"/>
  <c r="Q9" i="5" s="1"/>
  <c r="S9" i="5"/>
  <c r="T9" i="5" s="1"/>
  <c r="V9" i="5"/>
  <c r="W9" i="5" s="1"/>
  <c r="Y9" i="5"/>
  <c r="Z9" i="5" s="1"/>
  <c r="AB9" i="5"/>
  <c r="C10" i="5"/>
  <c r="D10" i="5" s="1"/>
  <c r="F10" i="5"/>
  <c r="G10" i="5" s="1"/>
  <c r="J10" i="5"/>
  <c r="L10" i="5"/>
  <c r="M10" i="5" s="1"/>
  <c r="P10" i="5"/>
  <c r="Q10" i="5" s="1"/>
  <c r="S10" i="5"/>
  <c r="T10" i="5" s="1"/>
  <c r="V10" i="5"/>
  <c r="W10" i="5" s="1"/>
  <c r="Y10" i="5"/>
  <c r="Z10" i="5" s="1"/>
  <c r="AB10" i="5"/>
  <c r="C11" i="5"/>
  <c r="F11" i="5"/>
  <c r="G11" i="5" s="1"/>
  <c r="J11" i="5"/>
  <c r="L11" i="5"/>
  <c r="M11" i="5" s="1"/>
  <c r="P11" i="5"/>
  <c r="Q11" i="5" s="1"/>
  <c r="S11" i="5"/>
  <c r="T11" i="5" s="1"/>
  <c r="V11" i="5"/>
  <c r="W11" i="5" s="1"/>
  <c r="Y11" i="5"/>
  <c r="Z11" i="5" s="1"/>
  <c r="AB11" i="5"/>
  <c r="C12" i="5"/>
  <c r="D12" i="5" s="1"/>
  <c r="F12" i="5"/>
  <c r="G12" i="5" s="1"/>
  <c r="J12" i="5"/>
  <c r="L12" i="5"/>
  <c r="M12" i="5" s="1"/>
  <c r="P12" i="5"/>
  <c r="Q12" i="5" s="1"/>
  <c r="S12" i="5"/>
  <c r="T12" i="5" s="1"/>
  <c r="V12" i="5"/>
  <c r="W12" i="5" s="1"/>
  <c r="Y12" i="5"/>
  <c r="Z12" i="5" s="1"/>
  <c r="AB12" i="5"/>
  <c r="C13" i="5"/>
  <c r="F13" i="5"/>
  <c r="G13" i="5" s="1"/>
  <c r="J13" i="5"/>
  <c r="L13" i="5"/>
  <c r="M13" i="5" s="1"/>
  <c r="P13" i="5"/>
  <c r="Q13" i="5" s="1"/>
  <c r="S13" i="5"/>
  <c r="T13" i="5" s="1"/>
  <c r="V13" i="5"/>
  <c r="W13" i="5" s="1"/>
  <c r="Y13" i="5"/>
  <c r="Z13" i="5" s="1"/>
  <c r="AB13" i="5"/>
  <c r="C14" i="5"/>
  <c r="D14" i="5" s="1"/>
  <c r="F14" i="5"/>
  <c r="G14" i="5" s="1"/>
  <c r="J14" i="5"/>
  <c r="L14" i="5"/>
  <c r="M14" i="5" s="1"/>
  <c r="P14" i="5"/>
  <c r="Q14" i="5" s="1"/>
  <c r="S14" i="5"/>
  <c r="T14" i="5" s="1"/>
  <c r="Y14" i="5"/>
  <c r="Z14" i="5" s="1"/>
  <c r="AB14" i="5"/>
  <c r="C15" i="5"/>
  <c r="F15" i="5"/>
  <c r="G15" i="5" s="1"/>
  <c r="J15" i="5"/>
  <c r="L15" i="5"/>
  <c r="M15" i="5" s="1"/>
  <c r="P15" i="5"/>
  <c r="Q15" i="5" s="1"/>
  <c r="S15" i="5"/>
  <c r="T15" i="5" s="1"/>
  <c r="Y15" i="5"/>
  <c r="Z15" i="5" s="1"/>
  <c r="AB15" i="5"/>
  <c r="C16" i="5"/>
  <c r="D16" i="5" s="1"/>
  <c r="F16" i="5"/>
  <c r="G16" i="5" s="1"/>
  <c r="J16" i="5"/>
  <c r="P16" i="5"/>
  <c r="Q16" i="5" s="1"/>
  <c r="S16" i="5"/>
  <c r="T16" i="5" s="1"/>
  <c r="Y16" i="5"/>
  <c r="Z16" i="5" s="1"/>
  <c r="AB16" i="5"/>
  <c r="C17" i="5"/>
  <c r="F17" i="5"/>
  <c r="G17" i="5" s="1"/>
  <c r="J17" i="5"/>
  <c r="P17" i="5"/>
  <c r="Q17" i="5" s="1"/>
  <c r="S17" i="5"/>
  <c r="T17" i="5" s="1"/>
  <c r="V17" i="5"/>
  <c r="W17" i="5" s="1"/>
  <c r="Y17" i="5"/>
  <c r="Z17" i="5" s="1"/>
  <c r="AB17" i="5"/>
  <c r="C18" i="5"/>
  <c r="D18" i="5" s="1"/>
  <c r="F18" i="5"/>
  <c r="G18" i="5" s="1"/>
  <c r="J18" i="5"/>
  <c r="P18" i="5"/>
  <c r="Q18" i="5" s="1"/>
  <c r="S18" i="5"/>
  <c r="T18" i="5" s="1"/>
  <c r="V18" i="5"/>
  <c r="W18" i="5" s="1"/>
  <c r="Y18" i="5"/>
  <c r="Z18" i="5" s="1"/>
  <c r="AB18" i="5"/>
  <c r="C19" i="5"/>
  <c r="F19" i="5"/>
  <c r="G19" i="5" s="1"/>
  <c r="J19" i="5"/>
  <c r="P19" i="5"/>
  <c r="Q19" i="5" s="1"/>
  <c r="S19" i="5"/>
  <c r="T19" i="5" s="1"/>
  <c r="V19" i="5"/>
  <c r="W19" i="5" s="1"/>
  <c r="Y19" i="5"/>
  <c r="Z19" i="5" s="1"/>
  <c r="AB19" i="5"/>
  <c r="C20" i="5"/>
  <c r="D20" i="5" s="1"/>
  <c r="F20" i="5"/>
  <c r="G20" i="5" s="1"/>
  <c r="J20" i="5"/>
  <c r="P20" i="5"/>
  <c r="Q20" i="5" s="1"/>
  <c r="S20" i="5"/>
  <c r="T20" i="5" s="1"/>
  <c r="V20" i="5"/>
  <c r="W20" i="5" s="1"/>
  <c r="Y20" i="5"/>
  <c r="Z20" i="5" s="1"/>
  <c r="AB20" i="5"/>
  <c r="C21" i="5"/>
  <c r="F21" i="5"/>
  <c r="G21" i="5" s="1"/>
  <c r="J21" i="5"/>
  <c r="L21" i="5"/>
  <c r="M21" i="5" s="1"/>
  <c r="P21" i="5"/>
  <c r="Q21" i="5" s="1"/>
  <c r="S21" i="5"/>
  <c r="T21" i="5" s="1"/>
  <c r="V21" i="5"/>
  <c r="W21" i="5" s="1"/>
  <c r="Y21" i="5"/>
  <c r="Z21" i="5" s="1"/>
  <c r="C22" i="5"/>
  <c r="D22" i="5" s="1"/>
  <c r="F22" i="5"/>
  <c r="G22" i="5" s="1"/>
  <c r="J22" i="5"/>
  <c r="L22" i="5"/>
  <c r="M22" i="5" s="1"/>
  <c r="P22" i="5"/>
  <c r="Q22" i="5" s="1"/>
  <c r="S22" i="5"/>
  <c r="T22" i="5" s="1"/>
  <c r="V22" i="5"/>
  <c r="W22" i="5" s="1"/>
  <c r="Y22" i="5"/>
  <c r="Z22" i="5" s="1"/>
  <c r="AB22" i="5"/>
  <c r="C23" i="5"/>
  <c r="F23" i="5"/>
  <c r="G23" i="5" s="1"/>
  <c r="J23" i="5"/>
  <c r="L23" i="5"/>
  <c r="M23" i="5" s="1"/>
  <c r="P23" i="5"/>
  <c r="Q23" i="5" s="1"/>
  <c r="S23" i="5"/>
  <c r="T23" i="5" s="1"/>
  <c r="V23" i="5"/>
  <c r="W23" i="5" s="1"/>
  <c r="Y23" i="5"/>
  <c r="Z23" i="5" s="1"/>
  <c r="C24" i="5"/>
  <c r="D24" i="5" s="1"/>
  <c r="F24" i="5"/>
  <c r="G24" i="5" s="1"/>
  <c r="J24" i="5"/>
  <c r="L24" i="5"/>
  <c r="M24" i="5" s="1"/>
  <c r="P24" i="5"/>
  <c r="Q24" i="5" s="1"/>
  <c r="S24" i="5"/>
  <c r="T24" i="5" s="1"/>
  <c r="V24" i="5"/>
  <c r="W24" i="5" s="1"/>
  <c r="Y24" i="5"/>
  <c r="Z24" i="5" s="1"/>
  <c r="AB24" i="5"/>
  <c r="C25" i="5"/>
  <c r="F25" i="5"/>
  <c r="G25" i="5" s="1"/>
  <c r="J25" i="5"/>
  <c r="L25" i="5"/>
  <c r="M25" i="5" s="1"/>
  <c r="P25" i="5"/>
  <c r="Q25" i="5" s="1"/>
  <c r="S25" i="5"/>
  <c r="T25" i="5" s="1"/>
  <c r="V25" i="5"/>
  <c r="W25" i="5" s="1"/>
  <c r="Y25" i="5"/>
  <c r="Z25" i="5" s="1"/>
  <c r="C26" i="5"/>
  <c r="D26" i="5" s="1"/>
  <c r="F26" i="5"/>
  <c r="G26" i="5" s="1"/>
  <c r="J26" i="5"/>
  <c r="L26" i="5"/>
  <c r="M26" i="5" s="1"/>
  <c r="P26" i="5"/>
  <c r="Q26" i="5" s="1"/>
  <c r="S26" i="5"/>
  <c r="T26" i="5" s="1"/>
  <c r="V26" i="5"/>
  <c r="W26" i="5" s="1"/>
  <c r="Y26" i="5"/>
  <c r="Z26" i="5" s="1"/>
  <c r="AB26" i="5"/>
  <c r="C27" i="5"/>
  <c r="F27" i="5"/>
  <c r="G27" i="5" s="1"/>
  <c r="J27" i="5"/>
  <c r="L27" i="5"/>
  <c r="M27" i="5" s="1"/>
  <c r="P27" i="5"/>
  <c r="Q27" i="5" s="1"/>
  <c r="S27" i="5"/>
  <c r="T27" i="5" s="1"/>
  <c r="V27" i="5"/>
  <c r="W27" i="5" s="1"/>
  <c r="Y27" i="5"/>
  <c r="Z27" i="5" s="1"/>
  <c r="C28" i="5"/>
  <c r="D28" i="5" s="1"/>
  <c r="F28" i="5"/>
  <c r="G28" i="5" s="1"/>
  <c r="J28" i="5"/>
  <c r="M28" i="5"/>
  <c r="P28" i="5"/>
  <c r="Q28" i="5" s="1"/>
  <c r="S28" i="5"/>
  <c r="T28" i="5" s="1"/>
  <c r="V28" i="5"/>
  <c r="W28" i="5" s="1"/>
  <c r="Y28" i="5"/>
  <c r="Z28" i="5" s="1"/>
  <c r="AB28" i="5"/>
  <c r="C29" i="5"/>
  <c r="D29" i="5" s="1"/>
  <c r="F29" i="5"/>
  <c r="G29" i="5" s="1"/>
  <c r="J29" i="5"/>
  <c r="L29" i="5"/>
  <c r="M29" i="5" s="1"/>
  <c r="P29" i="5"/>
  <c r="Q29" i="5" s="1"/>
  <c r="S29" i="5"/>
  <c r="T29" i="5" s="1"/>
  <c r="V29" i="5"/>
  <c r="W29" i="5" s="1"/>
  <c r="Y29" i="5"/>
  <c r="AB29" i="5"/>
  <c r="C30" i="5"/>
  <c r="F30" i="5"/>
  <c r="G30" i="5" s="1"/>
  <c r="L30" i="5"/>
  <c r="M30" i="5" s="1"/>
  <c r="P30" i="5"/>
  <c r="S30" i="5"/>
  <c r="T30" i="5" s="1"/>
  <c r="V30" i="5"/>
  <c r="Y30" i="5"/>
  <c r="Z30" i="5" s="1"/>
  <c r="AB30" i="5"/>
  <c r="C31" i="5"/>
  <c r="D31" i="5" s="1"/>
  <c r="F31" i="5"/>
  <c r="J31" i="5"/>
  <c r="L31" i="5"/>
  <c r="P31" i="5"/>
  <c r="Q31" i="5" s="1"/>
  <c r="S31" i="5"/>
  <c r="V31" i="5"/>
  <c r="W31" i="5" s="1"/>
  <c r="Y31" i="5"/>
  <c r="Z31" i="5" s="1"/>
  <c r="AB31" i="5"/>
  <c r="C32" i="5"/>
  <c r="F32" i="5"/>
  <c r="G32" i="5" s="1"/>
  <c r="J32" i="5"/>
  <c r="L32" i="5"/>
  <c r="M32" i="5" s="1"/>
  <c r="P32" i="5"/>
  <c r="Q32" i="5" s="1"/>
  <c r="S32" i="5"/>
  <c r="T32" i="5" s="1"/>
  <c r="V32" i="5"/>
  <c r="W32" i="5" s="1"/>
  <c r="Y32" i="5"/>
  <c r="Z32" i="5" s="1"/>
  <c r="AB32" i="5"/>
  <c r="C33" i="5"/>
  <c r="D33" i="5" s="1"/>
  <c r="F33" i="5"/>
  <c r="G33" i="5" s="1"/>
  <c r="J33" i="5"/>
  <c r="L33" i="5"/>
  <c r="M33" i="5" s="1"/>
  <c r="P33" i="5"/>
  <c r="Q33" i="5" s="1"/>
  <c r="S33" i="5"/>
  <c r="T33" i="5" s="1"/>
  <c r="V33" i="5"/>
  <c r="W33" i="5" s="1"/>
  <c r="Y33" i="5"/>
  <c r="Z33" i="5" s="1"/>
  <c r="AB33" i="5"/>
  <c r="C34" i="5"/>
  <c r="F34" i="5"/>
  <c r="G34" i="5" s="1"/>
  <c r="J34" i="5"/>
  <c r="L34" i="5"/>
  <c r="M34" i="5" s="1"/>
  <c r="P34" i="5"/>
  <c r="Q34" i="5" s="1"/>
  <c r="S34" i="5"/>
  <c r="T34" i="5" s="1"/>
  <c r="V34" i="5"/>
  <c r="W34" i="5" s="1"/>
  <c r="Y34" i="5"/>
  <c r="Z34" i="5" s="1"/>
  <c r="AB34" i="5"/>
  <c r="C35" i="5"/>
  <c r="D35" i="5" s="1"/>
  <c r="F35" i="5"/>
  <c r="G35" i="5" s="1"/>
  <c r="J35" i="5"/>
  <c r="L35" i="5"/>
  <c r="M35" i="5" s="1"/>
  <c r="P35" i="5"/>
  <c r="Q35" i="5" s="1"/>
  <c r="S35" i="5"/>
  <c r="T35" i="5" s="1"/>
  <c r="V35" i="5"/>
  <c r="W35" i="5" s="1"/>
  <c r="Y35" i="5"/>
  <c r="Z35" i="5" s="1"/>
  <c r="AB35" i="5"/>
  <c r="C5" i="12"/>
  <c r="F5" i="12"/>
  <c r="G5" i="12" s="1"/>
  <c r="J5" i="12"/>
  <c r="L5" i="12"/>
  <c r="M5" i="12" s="1"/>
  <c r="P5" i="12"/>
  <c r="Q5" i="12" s="1"/>
  <c r="S5" i="12"/>
  <c r="T5" i="12" s="1"/>
  <c r="V5" i="12"/>
  <c r="W5" i="12" s="1"/>
  <c r="Y5" i="12"/>
  <c r="Z5" i="12" s="1"/>
  <c r="AB5" i="12"/>
  <c r="C6" i="12"/>
  <c r="F6" i="12"/>
  <c r="G6" i="12" s="1"/>
  <c r="J6" i="12"/>
  <c r="L6" i="12"/>
  <c r="M6" i="12" s="1"/>
  <c r="P6" i="12"/>
  <c r="Q6" i="12" s="1"/>
  <c r="S6" i="12"/>
  <c r="T6" i="12" s="1"/>
  <c r="V6" i="12"/>
  <c r="W6" i="12" s="1"/>
  <c r="Y6" i="12"/>
  <c r="Z6" i="12" s="1"/>
  <c r="AB6" i="12"/>
  <c r="C7" i="12"/>
  <c r="F7" i="12"/>
  <c r="G7" i="12" s="1"/>
  <c r="J7" i="12"/>
  <c r="L7" i="12"/>
  <c r="M7" i="12" s="1"/>
  <c r="P7" i="12"/>
  <c r="Q7" i="12" s="1"/>
  <c r="S7" i="12"/>
  <c r="T7" i="12" s="1"/>
  <c r="V7" i="12"/>
  <c r="W7" i="12" s="1"/>
  <c r="Y7" i="12"/>
  <c r="Z7" i="12" s="1"/>
  <c r="AB7" i="12"/>
  <c r="C8" i="12"/>
  <c r="F8" i="12"/>
  <c r="G8" i="12" s="1"/>
  <c r="J8" i="12"/>
  <c r="L8" i="12"/>
  <c r="M8" i="12" s="1"/>
  <c r="P8" i="12"/>
  <c r="Q8" i="12" s="1"/>
  <c r="S8" i="12"/>
  <c r="T8" i="12" s="1"/>
  <c r="V8" i="12"/>
  <c r="W8" i="12" s="1"/>
  <c r="Y8" i="12"/>
  <c r="Z8" i="12" s="1"/>
  <c r="AB8" i="12"/>
  <c r="C9" i="12"/>
  <c r="F9" i="12"/>
  <c r="G9" i="12" s="1"/>
  <c r="J9" i="12"/>
  <c r="L9" i="12"/>
  <c r="M9" i="12" s="1"/>
  <c r="P9" i="12"/>
  <c r="Q9" i="12" s="1"/>
  <c r="S9" i="12"/>
  <c r="T9" i="12" s="1"/>
  <c r="V9" i="12"/>
  <c r="W9" i="12" s="1"/>
  <c r="Y9" i="12"/>
  <c r="Z9" i="12" s="1"/>
  <c r="AB9" i="12"/>
  <c r="C10" i="12"/>
  <c r="F10" i="12"/>
  <c r="G10" i="12" s="1"/>
  <c r="J10" i="12"/>
  <c r="L10" i="12"/>
  <c r="M10" i="12" s="1"/>
  <c r="P10" i="12"/>
  <c r="Q10" i="12" s="1"/>
  <c r="S10" i="12"/>
  <c r="T10" i="12" s="1"/>
  <c r="V10" i="12"/>
  <c r="W10" i="12" s="1"/>
  <c r="Y10" i="12"/>
  <c r="Z10" i="12" s="1"/>
  <c r="AB10" i="12"/>
  <c r="C11" i="12"/>
  <c r="F11" i="12"/>
  <c r="G11" i="12" s="1"/>
  <c r="J11" i="12"/>
  <c r="L11" i="12"/>
  <c r="M11" i="12" s="1"/>
  <c r="P11" i="12"/>
  <c r="Q11" i="12" s="1"/>
  <c r="S11" i="12"/>
  <c r="T11" i="12" s="1"/>
  <c r="V11" i="12"/>
  <c r="W11" i="12" s="1"/>
  <c r="Y11" i="12"/>
  <c r="Z11" i="12" s="1"/>
  <c r="AB11" i="12"/>
  <c r="C12" i="12"/>
  <c r="F12" i="12"/>
  <c r="G12" i="12" s="1"/>
  <c r="J12" i="12"/>
  <c r="L12" i="12"/>
  <c r="M12" i="12" s="1"/>
  <c r="P12" i="12"/>
  <c r="Q12" i="12" s="1"/>
  <c r="S12" i="12"/>
  <c r="T12" i="12" s="1"/>
  <c r="V12" i="12"/>
  <c r="W12" i="12" s="1"/>
  <c r="Y12" i="12"/>
  <c r="Z12" i="12" s="1"/>
  <c r="AB12" i="12"/>
  <c r="C13" i="12"/>
  <c r="F13" i="12"/>
  <c r="G13" i="12" s="1"/>
  <c r="J13" i="12"/>
  <c r="M13" i="12"/>
  <c r="P13" i="12"/>
  <c r="Q13" i="12" s="1"/>
  <c r="S13" i="12"/>
  <c r="T13" i="12" s="1"/>
  <c r="V13" i="12"/>
  <c r="W13" i="12" s="1"/>
  <c r="Y13" i="12"/>
  <c r="Z13" i="12" s="1"/>
  <c r="AB13" i="12"/>
  <c r="C14" i="12"/>
  <c r="F14" i="12"/>
  <c r="G14" i="12" s="1"/>
  <c r="J14" i="12"/>
  <c r="L14" i="12"/>
  <c r="M14" i="12" s="1"/>
  <c r="P14" i="12"/>
  <c r="Q14" i="12" s="1"/>
  <c r="S14" i="12"/>
  <c r="T14" i="12" s="1"/>
  <c r="V14" i="12"/>
  <c r="W14" i="12" s="1"/>
  <c r="Y14" i="12"/>
  <c r="Z14" i="12" s="1"/>
  <c r="AB14" i="12"/>
  <c r="C15" i="12"/>
  <c r="F15" i="12"/>
  <c r="G15" i="12" s="1"/>
  <c r="J15" i="12"/>
  <c r="L15" i="12"/>
  <c r="M15" i="12" s="1"/>
  <c r="P15" i="12"/>
  <c r="Q15" i="12" s="1"/>
  <c r="S15" i="12"/>
  <c r="T15" i="12" s="1"/>
  <c r="V15" i="12"/>
  <c r="W15" i="12" s="1"/>
  <c r="Y15" i="12"/>
  <c r="Z15" i="12" s="1"/>
  <c r="AB15" i="12"/>
  <c r="C16" i="12"/>
  <c r="F16" i="12"/>
  <c r="G16" i="12" s="1"/>
  <c r="J16" i="12"/>
  <c r="L16" i="12"/>
  <c r="M16" i="12" s="1"/>
  <c r="P16" i="12"/>
  <c r="Q16" i="12" s="1"/>
  <c r="S16" i="12"/>
  <c r="T16" i="12" s="1"/>
  <c r="V16" i="12"/>
  <c r="W16" i="12" s="1"/>
  <c r="Y16" i="12"/>
  <c r="Z16" i="12" s="1"/>
  <c r="AB16" i="12"/>
  <c r="C17" i="12"/>
  <c r="F17" i="12"/>
  <c r="G17" i="12" s="1"/>
  <c r="J17" i="12"/>
  <c r="L17" i="12"/>
  <c r="M17" i="12" s="1"/>
  <c r="P17" i="12"/>
  <c r="Q17" i="12" s="1"/>
  <c r="S17" i="12"/>
  <c r="T17" i="12" s="1"/>
  <c r="V17" i="12"/>
  <c r="W17" i="12" s="1"/>
  <c r="Y17" i="12"/>
  <c r="Z17" i="12" s="1"/>
  <c r="AB17" i="12"/>
  <c r="C18" i="12"/>
  <c r="F18" i="12"/>
  <c r="G18" i="12" s="1"/>
  <c r="J18" i="12"/>
  <c r="L18" i="12"/>
  <c r="M18" i="12" s="1"/>
  <c r="P18" i="12"/>
  <c r="Q18" i="12" s="1"/>
  <c r="S18" i="12"/>
  <c r="T18" i="12" s="1"/>
  <c r="V18" i="12"/>
  <c r="W18" i="12" s="1"/>
  <c r="Y18" i="12"/>
  <c r="Z18" i="12" s="1"/>
  <c r="AB18" i="12"/>
  <c r="C19" i="12"/>
  <c r="F19" i="12"/>
  <c r="G19" i="12" s="1"/>
  <c r="J19" i="12"/>
  <c r="L19" i="12"/>
  <c r="M19" i="12" s="1"/>
  <c r="P19" i="12"/>
  <c r="Q19" i="12" s="1"/>
  <c r="S19" i="12"/>
  <c r="T19" i="12" s="1"/>
  <c r="V19" i="12"/>
  <c r="W19" i="12" s="1"/>
  <c r="Y19" i="12"/>
  <c r="Z19" i="12" s="1"/>
  <c r="AB19" i="12"/>
  <c r="C20" i="12"/>
  <c r="F20" i="12"/>
  <c r="G20" i="12" s="1"/>
  <c r="J20" i="12"/>
  <c r="L20" i="12"/>
  <c r="M20" i="12" s="1"/>
  <c r="P20" i="12"/>
  <c r="Q20" i="12" s="1"/>
  <c r="S20" i="12"/>
  <c r="T20" i="12" s="1"/>
  <c r="V20" i="12"/>
  <c r="W20" i="12" s="1"/>
  <c r="Y20" i="12"/>
  <c r="Z20" i="12" s="1"/>
  <c r="AB20" i="12"/>
  <c r="C21" i="12"/>
  <c r="F21" i="12"/>
  <c r="G21" i="12" s="1"/>
  <c r="J21" i="12"/>
  <c r="L21" i="12"/>
  <c r="M21" i="12" s="1"/>
  <c r="P21" i="12"/>
  <c r="Q21" i="12" s="1"/>
  <c r="S21" i="12"/>
  <c r="V21" i="12"/>
  <c r="W21" i="12" s="1"/>
  <c r="Y21" i="12"/>
  <c r="AB21" i="12"/>
  <c r="C22" i="12"/>
  <c r="F22" i="12"/>
  <c r="G22" i="12" s="1"/>
  <c r="L22" i="12"/>
  <c r="M22" i="12" s="1"/>
  <c r="P22" i="12"/>
  <c r="S22" i="12"/>
  <c r="T22" i="12" s="1"/>
  <c r="V22" i="12"/>
  <c r="Y22" i="12"/>
  <c r="Z22" i="12" s="1"/>
  <c r="AB22" i="12"/>
  <c r="C23" i="12"/>
  <c r="F23" i="12"/>
  <c r="G23" i="12" s="1"/>
  <c r="J23" i="12"/>
  <c r="L23" i="12"/>
  <c r="M23" i="12" s="1"/>
  <c r="P23" i="12"/>
  <c r="Q23" i="12" s="1"/>
  <c r="S23" i="12"/>
  <c r="T23" i="12" s="1"/>
  <c r="V23" i="12"/>
  <c r="W23" i="12" s="1"/>
  <c r="Y23" i="12"/>
  <c r="Z23" i="12" s="1"/>
  <c r="AB23" i="12"/>
  <c r="C24" i="12"/>
  <c r="F24" i="12"/>
  <c r="G24" i="12" s="1"/>
  <c r="J24" i="12"/>
  <c r="L24" i="12"/>
  <c r="P24" i="12"/>
  <c r="Q24" i="12" s="1"/>
  <c r="S24" i="12"/>
  <c r="T24" i="12" s="1"/>
  <c r="V24" i="12"/>
  <c r="W24" i="12" s="1"/>
  <c r="Y24" i="12"/>
  <c r="Z24" i="12" s="1"/>
  <c r="AB24" i="12"/>
  <c r="C25" i="12"/>
  <c r="F25" i="12"/>
  <c r="G25" i="12" s="1"/>
  <c r="J25" i="12"/>
  <c r="L25" i="12"/>
  <c r="M25" i="12" s="1"/>
  <c r="P25" i="12"/>
  <c r="Q25" i="12" s="1"/>
  <c r="S25" i="12"/>
  <c r="T25" i="12" s="1"/>
  <c r="V25" i="12"/>
  <c r="W25" i="12" s="1"/>
  <c r="Y25" i="12"/>
  <c r="Z25" i="12" s="1"/>
  <c r="AB25" i="12"/>
  <c r="C26" i="12"/>
  <c r="F26" i="12"/>
  <c r="J26" i="12"/>
  <c r="L26" i="12"/>
  <c r="M26" i="12" s="1"/>
  <c r="P26" i="12"/>
  <c r="Q26" i="12" s="1"/>
  <c r="S26" i="12"/>
  <c r="T26" i="12" s="1"/>
  <c r="V26" i="12"/>
  <c r="W26" i="12" s="1"/>
  <c r="Y26" i="12"/>
  <c r="Z26" i="12" s="1"/>
  <c r="AB26" i="12"/>
  <c r="C27" i="12"/>
  <c r="F27" i="12"/>
  <c r="G27" i="12" s="1"/>
  <c r="J27" i="12"/>
  <c r="L27" i="12"/>
  <c r="M27" i="12" s="1"/>
  <c r="P27" i="12"/>
  <c r="Q27" i="12" s="1"/>
  <c r="S27" i="12"/>
  <c r="T27" i="12" s="1"/>
  <c r="V27" i="12"/>
  <c r="W27" i="12" s="1"/>
  <c r="Y27" i="12"/>
  <c r="Z27" i="12" s="1"/>
  <c r="C28" i="12"/>
  <c r="F28" i="12"/>
  <c r="G28" i="12" s="1"/>
  <c r="J28" i="12"/>
  <c r="L28" i="12"/>
  <c r="M28" i="12" s="1"/>
  <c r="P28" i="12"/>
  <c r="Q28" i="12" s="1"/>
  <c r="S28" i="12"/>
  <c r="T28" i="12" s="1"/>
  <c r="V28" i="12"/>
  <c r="W28" i="12" s="1"/>
  <c r="Y28" i="12"/>
  <c r="Z28" i="12" s="1"/>
  <c r="AB28" i="12"/>
  <c r="C29" i="12"/>
  <c r="F29" i="12"/>
  <c r="G29" i="12" s="1"/>
  <c r="J29" i="12"/>
  <c r="L29" i="12"/>
  <c r="M29" i="12" s="1"/>
  <c r="P29" i="12"/>
  <c r="Q29" i="12" s="1"/>
  <c r="S29" i="12"/>
  <c r="T29" i="12" s="1"/>
  <c r="V29" i="12"/>
  <c r="W29" i="12" s="1"/>
  <c r="Y29" i="12"/>
  <c r="Z29" i="12" s="1"/>
  <c r="C30" i="12"/>
  <c r="F30" i="12"/>
  <c r="G30" i="12" s="1"/>
  <c r="J30" i="12"/>
  <c r="L30" i="12"/>
  <c r="M30" i="12" s="1"/>
  <c r="P30" i="12"/>
  <c r="Q30" i="12" s="1"/>
  <c r="S30" i="12"/>
  <c r="T30" i="12" s="1"/>
  <c r="V30" i="12"/>
  <c r="W30" i="12" s="1"/>
  <c r="Y30" i="12"/>
  <c r="Z30" i="12" s="1"/>
  <c r="AB30" i="12"/>
  <c r="C31" i="12"/>
  <c r="F31" i="12"/>
  <c r="G31" i="12" s="1"/>
  <c r="J31" i="12"/>
  <c r="L31" i="12"/>
  <c r="M31" i="12" s="1"/>
  <c r="P31" i="12"/>
  <c r="Q31" i="12" s="1"/>
  <c r="S31" i="12"/>
  <c r="T31" i="12" s="1"/>
  <c r="V31" i="12"/>
  <c r="W31" i="12" s="1"/>
  <c r="Y31" i="12"/>
  <c r="Z31" i="12" s="1"/>
  <c r="C32" i="12"/>
  <c r="D32" i="12" s="1"/>
  <c r="F32" i="12"/>
  <c r="G32" i="12" s="1"/>
  <c r="J32" i="12"/>
  <c r="L32" i="12"/>
  <c r="M32" i="12" s="1"/>
  <c r="P32" i="12"/>
  <c r="Q32" i="12" s="1"/>
  <c r="S32" i="12"/>
  <c r="T32" i="12" s="1"/>
  <c r="V32" i="12"/>
  <c r="W32" i="12" s="1"/>
  <c r="Y32" i="12"/>
  <c r="Z32" i="12" s="1"/>
  <c r="AB32" i="12"/>
  <c r="C33" i="12"/>
  <c r="F33" i="12"/>
  <c r="G33" i="12" s="1"/>
  <c r="J33" i="12"/>
  <c r="L33" i="12"/>
  <c r="M33" i="12" s="1"/>
  <c r="P33" i="12"/>
  <c r="Q33" i="12" s="1"/>
  <c r="S33" i="12"/>
  <c r="T33" i="12" s="1"/>
  <c r="V33" i="12"/>
  <c r="W33" i="12" s="1"/>
  <c r="Y33" i="12"/>
  <c r="Z33" i="12" s="1"/>
  <c r="C34" i="12"/>
  <c r="D34" i="12" s="1"/>
  <c r="F34" i="12"/>
  <c r="G34" i="12" s="1"/>
  <c r="J34" i="12"/>
  <c r="L34" i="12"/>
  <c r="M34" i="12" s="1"/>
  <c r="P34" i="12"/>
  <c r="Q34" i="12" s="1"/>
  <c r="S34" i="12"/>
  <c r="T34" i="12" s="1"/>
  <c r="V34" i="12"/>
  <c r="W34" i="12" s="1"/>
  <c r="Y34" i="12"/>
  <c r="Z34" i="12" s="1"/>
  <c r="AB34" i="12"/>
  <c r="B35" i="12"/>
  <c r="E35" i="12"/>
  <c r="H35" i="12"/>
  <c r="K35" i="12"/>
  <c r="O35" i="12"/>
  <c r="U35" i="12"/>
  <c r="C5" i="11"/>
  <c r="F5" i="11"/>
  <c r="G5" i="11" s="1"/>
  <c r="I5" i="11"/>
  <c r="J5" i="11" s="1"/>
  <c r="L5" i="11"/>
  <c r="M5" i="11" s="1"/>
  <c r="P5" i="11"/>
  <c r="Q5" i="11" s="1"/>
  <c r="S5" i="11"/>
  <c r="T5" i="11" s="1"/>
  <c r="V5" i="11"/>
  <c r="W5" i="11" s="1"/>
  <c r="Y5" i="11"/>
  <c r="Z5" i="11" s="1"/>
  <c r="AB5" i="11"/>
  <c r="P6" i="11"/>
  <c r="Q6" i="11" s="1"/>
  <c r="S6" i="11"/>
  <c r="T6" i="11" s="1"/>
  <c r="V6" i="11"/>
  <c r="W6" i="11" s="1"/>
  <c r="Y6" i="11"/>
  <c r="AB6" i="11"/>
  <c r="P7" i="11"/>
  <c r="Q7" i="11" s="1"/>
  <c r="S7" i="11"/>
  <c r="T7" i="11" s="1"/>
  <c r="V7" i="11"/>
  <c r="W7" i="11" s="1"/>
  <c r="Y7" i="11"/>
  <c r="Z7" i="11" s="1"/>
  <c r="AB7" i="11"/>
  <c r="P8" i="11"/>
  <c r="Q8" i="11" s="1"/>
  <c r="S8" i="11"/>
  <c r="T8" i="11" s="1"/>
  <c r="V8" i="11"/>
  <c r="W8" i="11" s="1"/>
  <c r="Y8" i="11"/>
  <c r="Z8" i="11" s="1"/>
  <c r="AB8" i="11"/>
  <c r="P9" i="11"/>
  <c r="Q9" i="11" s="1"/>
  <c r="S9" i="11"/>
  <c r="T9" i="11" s="1"/>
  <c r="V9" i="11"/>
  <c r="W9" i="11" s="1"/>
  <c r="Y9" i="11"/>
  <c r="Z9" i="11" s="1"/>
  <c r="AB9" i="11"/>
  <c r="P10" i="11"/>
  <c r="Q10" i="11" s="1"/>
  <c r="S10" i="11"/>
  <c r="V10" i="11"/>
  <c r="W10" i="11" s="1"/>
  <c r="Y10" i="11"/>
  <c r="Z10" i="11" s="1"/>
  <c r="P11" i="11"/>
  <c r="Q11" i="11" s="1"/>
  <c r="S11" i="11"/>
  <c r="T11" i="11" s="1"/>
  <c r="V11" i="11"/>
  <c r="W11" i="11" s="1"/>
  <c r="Y11" i="11"/>
  <c r="Z11" i="11" s="1"/>
  <c r="AB11" i="11"/>
  <c r="P12" i="11"/>
  <c r="Q12" i="11" s="1"/>
  <c r="S12" i="11"/>
  <c r="T12" i="11" s="1"/>
  <c r="V12" i="11"/>
  <c r="W12" i="11" s="1"/>
  <c r="Y12" i="11"/>
  <c r="Z12" i="11" s="1"/>
  <c r="P13" i="11"/>
  <c r="Q13" i="11" s="1"/>
  <c r="S13" i="11"/>
  <c r="T13" i="11" s="1"/>
  <c r="V13" i="11"/>
  <c r="W13" i="11" s="1"/>
  <c r="Y13" i="11"/>
  <c r="Z13" i="11" s="1"/>
  <c r="AB13" i="11"/>
  <c r="P14" i="11"/>
  <c r="Q14" i="11" s="1"/>
  <c r="S14" i="11"/>
  <c r="T14" i="11" s="1"/>
  <c r="V14" i="11"/>
  <c r="W14" i="11" s="1"/>
  <c r="Y14" i="11"/>
  <c r="Z14" i="11" s="1"/>
  <c r="P15" i="11"/>
  <c r="Q15" i="11" s="1"/>
  <c r="S15" i="11"/>
  <c r="T15" i="11" s="1"/>
  <c r="V15" i="11"/>
  <c r="W15" i="11" s="1"/>
  <c r="Y15" i="11"/>
  <c r="Z15" i="11" s="1"/>
  <c r="AB15" i="11"/>
  <c r="P16" i="11"/>
  <c r="Q16" i="11" s="1"/>
  <c r="S16" i="11"/>
  <c r="T16" i="11" s="1"/>
  <c r="V16" i="11"/>
  <c r="W16" i="11" s="1"/>
  <c r="Y16" i="11"/>
  <c r="Z16" i="11" s="1"/>
  <c r="P17" i="11"/>
  <c r="Q17" i="11" s="1"/>
  <c r="S17" i="11"/>
  <c r="T17" i="11" s="1"/>
  <c r="V17" i="11"/>
  <c r="W17" i="11" s="1"/>
  <c r="Y17" i="11"/>
  <c r="Z17" i="11" s="1"/>
  <c r="AB17" i="11"/>
  <c r="P18" i="11"/>
  <c r="Q18" i="11" s="1"/>
  <c r="S18" i="11"/>
  <c r="T18" i="11" s="1"/>
  <c r="V18" i="11"/>
  <c r="W18" i="11" s="1"/>
  <c r="Y18" i="11"/>
  <c r="Z18" i="11" s="1"/>
  <c r="P19" i="11"/>
  <c r="Q19" i="11" s="1"/>
  <c r="S19" i="11"/>
  <c r="T19" i="11" s="1"/>
  <c r="V19" i="11"/>
  <c r="W19" i="11" s="1"/>
  <c r="Y19" i="11"/>
  <c r="Z19" i="11" s="1"/>
  <c r="AB19" i="11"/>
  <c r="P20" i="11"/>
  <c r="Q20" i="11" s="1"/>
  <c r="S20" i="11"/>
  <c r="T20" i="11" s="1"/>
  <c r="V20" i="11"/>
  <c r="W20" i="11" s="1"/>
  <c r="Y20" i="11"/>
  <c r="Z20" i="11" s="1"/>
  <c r="P21" i="11"/>
  <c r="Q21" i="11" s="1"/>
  <c r="S21" i="11"/>
  <c r="T21" i="11" s="1"/>
  <c r="V21" i="11"/>
  <c r="W21" i="11" s="1"/>
  <c r="Y21" i="11"/>
  <c r="Z21" i="11" s="1"/>
  <c r="AB21" i="11"/>
  <c r="P22" i="11"/>
  <c r="Q22" i="11" s="1"/>
  <c r="S22" i="11"/>
  <c r="T22" i="11" s="1"/>
  <c r="V22" i="11"/>
  <c r="W22" i="11" s="1"/>
  <c r="Y22" i="11"/>
  <c r="Z22" i="11" s="1"/>
  <c r="P23" i="11"/>
  <c r="Q23" i="11" s="1"/>
  <c r="S23" i="11"/>
  <c r="T23" i="11" s="1"/>
  <c r="V23" i="11"/>
  <c r="W23" i="11" s="1"/>
  <c r="Y23" i="11"/>
  <c r="Z23" i="11" s="1"/>
  <c r="AB23" i="11"/>
  <c r="P24" i="11"/>
  <c r="Q24" i="11" s="1"/>
  <c r="S24" i="11"/>
  <c r="T24" i="11" s="1"/>
  <c r="V24" i="11"/>
  <c r="W24" i="11" s="1"/>
  <c r="Y24" i="11"/>
  <c r="Z24" i="11" s="1"/>
  <c r="P25" i="11"/>
  <c r="Q25" i="11" s="1"/>
  <c r="S25" i="11"/>
  <c r="T25" i="11" s="1"/>
  <c r="V25" i="11"/>
  <c r="W25" i="11" s="1"/>
  <c r="Y25" i="11"/>
  <c r="Z25" i="11" s="1"/>
  <c r="AB25" i="11"/>
  <c r="P26" i="11"/>
  <c r="Q26" i="11" s="1"/>
  <c r="S26" i="11"/>
  <c r="T26" i="11" s="1"/>
  <c r="V26" i="11"/>
  <c r="W26" i="11" s="1"/>
  <c r="Y26" i="11"/>
  <c r="Z26" i="11" s="1"/>
  <c r="P27" i="11"/>
  <c r="Q27" i="11" s="1"/>
  <c r="S27" i="11"/>
  <c r="T27" i="11" s="1"/>
  <c r="V27" i="11"/>
  <c r="W27" i="11" s="1"/>
  <c r="Y27" i="11"/>
  <c r="Z27" i="11" s="1"/>
  <c r="AB27" i="11"/>
  <c r="P28" i="11"/>
  <c r="Q28" i="11" s="1"/>
  <c r="S28" i="11"/>
  <c r="T28" i="11" s="1"/>
  <c r="V28" i="11"/>
  <c r="W28" i="11" s="1"/>
  <c r="Y28" i="11"/>
  <c r="Z28" i="11" s="1"/>
  <c r="P29" i="11"/>
  <c r="Q29" i="11" s="1"/>
  <c r="S29" i="11"/>
  <c r="T29" i="11" s="1"/>
  <c r="V29" i="11"/>
  <c r="W29" i="11" s="1"/>
  <c r="Y29" i="11"/>
  <c r="Z29" i="11" s="1"/>
  <c r="AB29" i="11"/>
  <c r="P30" i="11"/>
  <c r="Q30" i="11" s="1"/>
  <c r="S30" i="11"/>
  <c r="T30" i="11" s="1"/>
  <c r="V30" i="11"/>
  <c r="W30" i="11" s="1"/>
  <c r="Y30" i="11"/>
  <c r="Z30" i="11" s="1"/>
  <c r="P31" i="11"/>
  <c r="Q31" i="11" s="1"/>
  <c r="S31" i="11"/>
  <c r="T31" i="11" s="1"/>
  <c r="V31" i="11"/>
  <c r="W31" i="11" s="1"/>
  <c r="Y31" i="11"/>
  <c r="Z31" i="11" s="1"/>
  <c r="AB31" i="11"/>
  <c r="P32" i="11"/>
  <c r="Q32" i="11" s="1"/>
  <c r="S32" i="11"/>
  <c r="T32" i="11" s="1"/>
  <c r="V32" i="11"/>
  <c r="W32" i="11" s="1"/>
  <c r="Y32" i="11"/>
  <c r="Z32" i="11" s="1"/>
  <c r="P33" i="11"/>
  <c r="Q33" i="11" s="1"/>
  <c r="S33" i="11"/>
  <c r="T33" i="11" s="1"/>
  <c r="V33" i="11"/>
  <c r="W33" i="11" s="1"/>
  <c r="Y33" i="11"/>
  <c r="Z33" i="11" s="1"/>
  <c r="AB33" i="11"/>
  <c r="P34" i="11"/>
  <c r="Q34" i="11" s="1"/>
  <c r="S34" i="11"/>
  <c r="T34" i="11" s="1"/>
  <c r="V34" i="11"/>
  <c r="W34" i="11" s="1"/>
  <c r="Y34" i="11"/>
  <c r="Z34" i="11" s="1"/>
  <c r="P35" i="11"/>
  <c r="Q35" i="11" s="1"/>
  <c r="S35" i="11"/>
  <c r="T35" i="11" s="1"/>
  <c r="V35" i="11"/>
  <c r="W35" i="11" s="1"/>
  <c r="Y35" i="11"/>
  <c r="Z35" i="11" s="1"/>
  <c r="AB35" i="11"/>
  <c r="C5" i="10"/>
  <c r="F5" i="10"/>
  <c r="G5" i="10" s="1"/>
  <c r="I5" i="10"/>
  <c r="J5" i="10" s="1"/>
  <c r="L5" i="10"/>
  <c r="M5" i="10" s="1"/>
  <c r="P5" i="10"/>
  <c r="Q5" i="10" s="1"/>
  <c r="S5" i="10"/>
  <c r="T5" i="10" s="1"/>
  <c r="V5" i="10"/>
  <c r="W5" i="10" s="1"/>
  <c r="Y5" i="10"/>
  <c r="Z5" i="10" s="1"/>
  <c r="AC5" i="10"/>
  <c r="AF5" i="10"/>
  <c r="C6" i="10"/>
  <c r="D6" i="10" s="1"/>
  <c r="F6" i="10"/>
  <c r="I6" i="10"/>
  <c r="J6" i="10" s="1"/>
  <c r="L6" i="10"/>
  <c r="P6" i="10"/>
  <c r="Q6" i="10" s="1"/>
  <c r="S6" i="10"/>
  <c r="V6" i="10"/>
  <c r="W6" i="10" s="1"/>
  <c r="Y6" i="10"/>
  <c r="AC6" i="10"/>
  <c r="AD6" i="10" s="1"/>
  <c r="AF6" i="10"/>
  <c r="C7" i="10"/>
  <c r="F7" i="10"/>
  <c r="G7" i="10" s="1"/>
  <c r="I7" i="10"/>
  <c r="L7" i="10"/>
  <c r="M7" i="10" s="1"/>
  <c r="P7" i="10"/>
  <c r="S7" i="10"/>
  <c r="T7" i="10" s="1"/>
  <c r="V7" i="10"/>
  <c r="Y7" i="10"/>
  <c r="Z7" i="10" s="1"/>
  <c r="AC7" i="10"/>
  <c r="AD7" i="10" s="1"/>
  <c r="C8" i="10"/>
  <c r="D8" i="10" s="1"/>
  <c r="F8" i="10"/>
  <c r="G8" i="10" s="1"/>
  <c r="I8" i="10"/>
  <c r="J8" i="10" s="1"/>
  <c r="L8" i="10"/>
  <c r="M8" i="10" s="1"/>
  <c r="P8" i="10"/>
  <c r="Q8" i="10" s="1"/>
  <c r="S8" i="10"/>
  <c r="T8" i="10" s="1"/>
  <c r="V8" i="10"/>
  <c r="W8" i="10" s="1"/>
  <c r="Y8" i="10"/>
  <c r="Z8" i="10" s="1"/>
  <c r="AC8" i="10"/>
  <c r="AD8" i="10" s="1"/>
  <c r="AF8" i="10"/>
  <c r="C9" i="10"/>
  <c r="F9" i="10"/>
  <c r="G9" i="10" s="1"/>
  <c r="I9" i="10"/>
  <c r="J9" i="10" s="1"/>
  <c r="L9" i="10"/>
  <c r="M9" i="10" s="1"/>
  <c r="P9" i="10"/>
  <c r="Q9" i="10" s="1"/>
  <c r="S9" i="10"/>
  <c r="T9" i="10" s="1"/>
  <c r="V9" i="10"/>
  <c r="W9" i="10" s="1"/>
  <c r="Y9" i="10"/>
  <c r="Z9" i="10" s="1"/>
  <c r="AC9" i="10"/>
  <c r="AD9" i="10" s="1"/>
  <c r="C10" i="10"/>
  <c r="D10" i="10" s="1"/>
  <c r="F10" i="10"/>
  <c r="G10" i="10" s="1"/>
  <c r="I10" i="10"/>
  <c r="J10" i="10" s="1"/>
  <c r="L10" i="10"/>
  <c r="M10" i="10" s="1"/>
  <c r="P10" i="10"/>
  <c r="Q10" i="10" s="1"/>
  <c r="S10" i="10"/>
  <c r="T10" i="10" s="1"/>
  <c r="V10" i="10"/>
  <c r="W10" i="10" s="1"/>
  <c r="Y10" i="10"/>
  <c r="Z10" i="10" s="1"/>
  <c r="AC10" i="10"/>
  <c r="AD10" i="10" s="1"/>
  <c r="AF10" i="10"/>
  <c r="C11" i="10"/>
  <c r="F11" i="10"/>
  <c r="G11" i="10" s="1"/>
  <c r="J11" i="10"/>
  <c r="L11" i="10"/>
  <c r="M11" i="10" s="1"/>
  <c r="P11" i="10"/>
  <c r="Q11" i="10" s="1"/>
  <c r="S11" i="10"/>
  <c r="T11" i="10" s="1"/>
  <c r="V11" i="10"/>
  <c r="W11" i="10" s="1"/>
  <c r="Y11" i="10"/>
  <c r="Z11" i="10" s="1"/>
  <c r="AC11" i="10"/>
  <c r="AD11" i="10" s="1"/>
  <c r="C12" i="10"/>
  <c r="D12" i="10" s="1"/>
  <c r="F12" i="10"/>
  <c r="G12" i="10" s="1"/>
  <c r="J12" i="10"/>
  <c r="L12" i="10"/>
  <c r="M12" i="10" s="1"/>
  <c r="P12" i="10"/>
  <c r="Q12" i="10" s="1"/>
  <c r="S12" i="10"/>
  <c r="T12" i="10" s="1"/>
  <c r="V12" i="10"/>
  <c r="W12" i="10" s="1"/>
  <c r="Y12" i="10"/>
  <c r="Z12" i="10" s="1"/>
  <c r="AC12" i="10"/>
  <c r="AD12" i="10" s="1"/>
  <c r="AF12" i="10"/>
  <c r="C13" i="10"/>
  <c r="F13" i="10"/>
  <c r="G13" i="10" s="1"/>
  <c r="J13" i="10"/>
  <c r="L13" i="10"/>
  <c r="M13" i="10" s="1"/>
  <c r="P13" i="10"/>
  <c r="Q13" i="10" s="1"/>
  <c r="S13" i="10"/>
  <c r="T13" i="10" s="1"/>
  <c r="V13" i="10"/>
  <c r="W13" i="10" s="1"/>
  <c r="Y13" i="10"/>
  <c r="Z13" i="10" s="1"/>
  <c r="AC13" i="10"/>
  <c r="AD13" i="10" s="1"/>
  <c r="C14" i="10"/>
  <c r="D14" i="10" s="1"/>
  <c r="F14" i="10"/>
  <c r="G14" i="10" s="1"/>
  <c r="J14" i="10"/>
  <c r="L14" i="10"/>
  <c r="M14" i="10" s="1"/>
  <c r="P14" i="10"/>
  <c r="Q14" i="10" s="1"/>
  <c r="S14" i="10"/>
  <c r="T14" i="10" s="1"/>
  <c r="V14" i="10"/>
  <c r="W14" i="10" s="1"/>
  <c r="Y14" i="10"/>
  <c r="Z14" i="10" s="1"/>
  <c r="AC14" i="10"/>
  <c r="AD14" i="10" s="1"/>
  <c r="AF14" i="10"/>
  <c r="C15" i="10"/>
  <c r="F15" i="10"/>
  <c r="G15" i="10" s="1"/>
  <c r="J15" i="10"/>
  <c r="L15" i="10"/>
  <c r="M15" i="10" s="1"/>
  <c r="P15" i="10"/>
  <c r="Q15" i="10" s="1"/>
  <c r="S15" i="10"/>
  <c r="T15" i="10" s="1"/>
  <c r="V15" i="10"/>
  <c r="W15" i="10" s="1"/>
  <c r="Y15" i="10"/>
  <c r="Z15" i="10" s="1"/>
  <c r="AC15" i="10"/>
  <c r="AD15" i="10" s="1"/>
  <c r="C16" i="10"/>
  <c r="D16" i="10" s="1"/>
  <c r="F16" i="10"/>
  <c r="G16" i="10" s="1"/>
  <c r="J16" i="10"/>
  <c r="L16" i="10"/>
  <c r="M16" i="10" s="1"/>
  <c r="P16" i="10"/>
  <c r="Q16" i="10" s="1"/>
  <c r="S16" i="10"/>
  <c r="T16" i="10" s="1"/>
  <c r="V16" i="10"/>
  <c r="W16" i="10" s="1"/>
  <c r="Y16" i="10"/>
  <c r="Z16" i="10" s="1"/>
  <c r="AC16" i="10"/>
  <c r="AD16" i="10" s="1"/>
  <c r="AF16" i="10"/>
  <c r="C17" i="10"/>
  <c r="F17" i="10"/>
  <c r="G17" i="10" s="1"/>
  <c r="J17" i="10"/>
  <c r="L17" i="10"/>
  <c r="M17" i="10" s="1"/>
  <c r="P17" i="10"/>
  <c r="Q17" i="10" s="1"/>
  <c r="S17" i="10"/>
  <c r="T17" i="10" s="1"/>
  <c r="V17" i="10"/>
  <c r="W17" i="10" s="1"/>
  <c r="Y17" i="10"/>
  <c r="Z17" i="10" s="1"/>
  <c r="AC17" i="10"/>
  <c r="AD17" i="10" s="1"/>
  <c r="C18" i="10"/>
  <c r="D18" i="10" s="1"/>
  <c r="F18" i="10"/>
  <c r="G18" i="10" s="1"/>
  <c r="J18" i="10"/>
  <c r="L18" i="10"/>
  <c r="M18" i="10" s="1"/>
  <c r="P18" i="10"/>
  <c r="Q18" i="10" s="1"/>
  <c r="S18" i="10"/>
  <c r="T18" i="10" s="1"/>
  <c r="V18" i="10"/>
  <c r="W18" i="10" s="1"/>
  <c r="Y18" i="10"/>
  <c r="Z18" i="10" s="1"/>
  <c r="AC18" i="10"/>
  <c r="AD18" i="10" s="1"/>
  <c r="AF18" i="10"/>
  <c r="C19" i="10"/>
  <c r="F19" i="10"/>
  <c r="G19" i="10" s="1"/>
  <c r="J19" i="10"/>
  <c r="L19" i="10"/>
  <c r="M19" i="10" s="1"/>
  <c r="P19" i="10"/>
  <c r="Q19" i="10" s="1"/>
  <c r="S19" i="10"/>
  <c r="T19" i="10" s="1"/>
  <c r="V19" i="10"/>
  <c r="W19" i="10" s="1"/>
  <c r="Y19" i="10"/>
  <c r="Z19" i="10" s="1"/>
  <c r="AC19" i="10"/>
  <c r="AD19" i="10" s="1"/>
  <c r="C20" i="10"/>
  <c r="D20" i="10" s="1"/>
  <c r="F20" i="10"/>
  <c r="G20" i="10" s="1"/>
  <c r="J20" i="10"/>
  <c r="L20" i="10"/>
  <c r="M20" i="10" s="1"/>
  <c r="P20" i="10"/>
  <c r="Q20" i="10" s="1"/>
  <c r="S20" i="10"/>
  <c r="T20" i="10" s="1"/>
  <c r="V20" i="10"/>
  <c r="W20" i="10" s="1"/>
  <c r="Y20" i="10"/>
  <c r="Z20" i="10" s="1"/>
  <c r="AC20" i="10"/>
  <c r="AD20" i="10" s="1"/>
  <c r="AF20" i="10"/>
  <c r="C21" i="10"/>
  <c r="F21" i="10"/>
  <c r="G21" i="10" s="1"/>
  <c r="J21" i="10"/>
  <c r="L21" i="10"/>
  <c r="M21" i="10" s="1"/>
  <c r="P21" i="10"/>
  <c r="Q21" i="10" s="1"/>
  <c r="S21" i="10"/>
  <c r="T21" i="10" s="1"/>
  <c r="V21" i="10"/>
  <c r="W21" i="10" s="1"/>
  <c r="Y21" i="10"/>
  <c r="Z21" i="10" s="1"/>
  <c r="AC21" i="10"/>
  <c r="AD21" i="10" s="1"/>
  <c r="C22" i="10"/>
  <c r="D22" i="10" s="1"/>
  <c r="F22" i="10"/>
  <c r="G22" i="10" s="1"/>
  <c r="J22" i="10"/>
  <c r="L22" i="10"/>
  <c r="M22" i="10" s="1"/>
  <c r="P22" i="10"/>
  <c r="Q22" i="10" s="1"/>
  <c r="S22" i="10"/>
  <c r="T22" i="10" s="1"/>
  <c r="V22" i="10"/>
  <c r="W22" i="10" s="1"/>
  <c r="Y22" i="10"/>
  <c r="Z22" i="10" s="1"/>
  <c r="AC22" i="10"/>
  <c r="AD22" i="10" s="1"/>
  <c r="AF22" i="10"/>
  <c r="C23" i="10"/>
  <c r="F23" i="10"/>
  <c r="G23" i="10" s="1"/>
  <c r="J23" i="10"/>
  <c r="L23" i="10"/>
  <c r="M23" i="10" s="1"/>
  <c r="P23" i="10"/>
  <c r="Q23" i="10" s="1"/>
  <c r="S23" i="10"/>
  <c r="T23" i="10" s="1"/>
  <c r="V23" i="10"/>
  <c r="W23" i="10" s="1"/>
  <c r="Y23" i="10"/>
  <c r="Z23" i="10" s="1"/>
  <c r="AC23" i="10"/>
  <c r="AD23" i="10" s="1"/>
  <c r="C24" i="10"/>
  <c r="D24" i="10" s="1"/>
  <c r="F24" i="10"/>
  <c r="G24" i="10" s="1"/>
  <c r="J24" i="10"/>
  <c r="L24" i="10"/>
  <c r="M24" i="10" s="1"/>
  <c r="P24" i="10"/>
  <c r="Q24" i="10" s="1"/>
  <c r="S24" i="10"/>
  <c r="T24" i="10" s="1"/>
  <c r="V24" i="10"/>
  <c r="W24" i="10" s="1"/>
  <c r="Y24" i="10"/>
  <c r="Z24" i="10" s="1"/>
  <c r="AC24" i="10"/>
  <c r="AD24" i="10" s="1"/>
  <c r="AF24" i="10"/>
  <c r="C25" i="10"/>
  <c r="F25" i="10"/>
  <c r="G25" i="10" s="1"/>
  <c r="J25" i="10"/>
  <c r="L25" i="10"/>
  <c r="M25" i="10" s="1"/>
  <c r="P25" i="10"/>
  <c r="Q25" i="10" s="1"/>
  <c r="S25" i="10"/>
  <c r="T25" i="10" s="1"/>
  <c r="V25" i="10"/>
  <c r="W25" i="10" s="1"/>
  <c r="Y25" i="10"/>
  <c r="Z25" i="10" s="1"/>
  <c r="AC25" i="10"/>
  <c r="AD25" i="10" s="1"/>
  <c r="C26" i="10"/>
  <c r="D26" i="10" s="1"/>
  <c r="F26" i="10"/>
  <c r="G26" i="10" s="1"/>
  <c r="J26" i="10"/>
  <c r="L26" i="10"/>
  <c r="M26" i="10" s="1"/>
  <c r="P26" i="10"/>
  <c r="Q26" i="10" s="1"/>
  <c r="S26" i="10"/>
  <c r="T26" i="10" s="1"/>
  <c r="V26" i="10"/>
  <c r="W26" i="10" s="1"/>
  <c r="Y26" i="10"/>
  <c r="Z26" i="10" s="1"/>
  <c r="AC26" i="10"/>
  <c r="AD26" i="10" s="1"/>
  <c r="AF26" i="10"/>
  <c r="C27" i="10"/>
  <c r="F27" i="10"/>
  <c r="G27" i="10" s="1"/>
  <c r="J27" i="10"/>
  <c r="L27" i="10"/>
  <c r="M27" i="10" s="1"/>
  <c r="P27" i="10"/>
  <c r="Q27" i="10" s="1"/>
  <c r="S27" i="10"/>
  <c r="T27" i="10" s="1"/>
  <c r="V27" i="10"/>
  <c r="W27" i="10" s="1"/>
  <c r="Y27" i="10"/>
  <c r="Z27" i="10" s="1"/>
  <c r="AC27" i="10"/>
  <c r="AD27" i="10" s="1"/>
  <c r="C28" i="10"/>
  <c r="D28" i="10" s="1"/>
  <c r="F28" i="10"/>
  <c r="G28" i="10" s="1"/>
  <c r="J28" i="10"/>
  <c r="L28" i="10"/>
  <c r="M28" i="10" s="1"/>
  <c r="P28" i="10"/>
  <c r="Q28" i="10" s="1"/>
  <c r="S28" i="10"/>
  <c r="T28" i="10" s="1"/>
  <c r="V28" i="10"/>
  <c r="W28" i="10" s="1"/>
  <c r="Y28" i="10"/>
  <c r="Z28" i="10" s="1"/>
  <c r="AC28" i="10"/>
  <c r="AD28" i="10" s="1"/>
  <c r="AF28" i="10"/>
  <c r="C29" i="10"/>
  <c r="F29" i="10"/>
  <c r="G29" i="10" s="1"/>
  <c r="J29" i="10"/>
  <c r="L29" i="10"/>
  <c r="M29" i="10" s="1"/>
  <c r="P29" i="10"/>
  <c r="Q29" i="10" s="1"/>
  <c r="S29" i="10"/>
  <c r="T29" i="10" s="1"/>
  <c r="V29" i="10"/>
  <c r="W29" i="10" s="1"/>
  <c r="Y29" i="10"/>
  <c r="Z29" i="10" s="1"/>
  <c r="AC29" i="10"/>
  <c r="AD29" i="10" s="1"/>
  <c r="C30" i="10"/>
  <c r="D30" i="10" s="1"/>
  <c r="F30" i="10"/>
  <c r="G30" i="10" s="1"/>
  <c r="J30" i="10"/>
  <c r="L30" i="10"/>
  <c r="M30" i="10" s="1"/>
  <c r="P30" i="10"/>
  <c r="Q30" i="10" s="1"/>
  <c r="S30" i="10"/>
  <c r="T30" i="10" s="1"/>
  <c r="V30" i="10"/>
  <c r="W30" i="10" s="1"/>
  <c r="Y30" i="10"/>
  <c r="Z30" i="10" s="1"/>
  <c r="AC30" i="10"/>
  <c r="AD30" i="10" s="1"/>
  <c r="AF30" i="10"/>
  <c r="AH30" i="10"/>
  <c r="F31" i="10"/>
  <c r="G31" i="10" s="1"/>
  <c r="J31" i="10"/>
  <c r="L31" i="10"/>
  <c r="M31" i="10" s="1"/>
  <c r="P31" i="10"/>
  <c r="Q31" i="10" s="1"/>
  <c r="S31" i="10"/>
  <c r="T31" i="10" s="1"/>
  <c r="V31" i="10"/>
  <c r="W31" i="10" s="1"/>
  <c r="Y31" i="10"/>
  <c r="Z31" i="10" s="1"/>
  <c r="AC31" i="10"/>
  <c r="AD31" i="10" s="1"/>
  <c r="C32" i="10"/>
  <c r="F32" i="10"/>
  <c r="G32" i="10" s="1"/>
  <c r="J32" i="10"/>
  <c r="L32" i="10"/>
  <c r="M32" i="10" s="1"/>
  <c r="P32" i="10"/>
  <c r="Q32" i="10" s="1"/>
  <c r="S32" i="10"/>
  <c r="T32" i="10" s="1"/>
  <c r="V32" i="10"/>
  <c r="W32" i="10" s="1"/>
  <c r="Y32" i="10"/>
  <c r="Z32" i="10" s="1"/>
  <c r="AC32" i="10"/>
  <c r="AD32" i="10" s="1"/>
  <c r="AF32" i="10"/>
  <c r="F33" i="10"/>
  <c r="G33" i="10" s="1"/>
  <c r="J33" i="10"/>
  <c r="L33" i="10"/>
  <c r="M33" i="10" s="1"/>
  <c r="P33" i="10"/>
  <c r="Q33" i="10" s="1"/>
  <c r="S33" i="10"/>
  <c r="T33" i="10" s="1"/>
  <c r="V33" i="10"/>
  <c r="W33" i="10" s="1"/>
  <c r="Y33" i="10"/>
  <c r="Z33" i="10" s="1"/>
  <c r="AC33" i="10"/>
  <c r="AD33" i="10" s="1"/>
  <c r="C34" i="10"/>
  <c r="F34" i="10"/>
  <c r="G34" i="10" s="1"/>
  <c r="J34" i="10"/>
  <c r="L34" i="10"/>
  <c r="M34" i="10" s="1"/>
  <c r="P34" i="10"/>
  <c r="Q34" i="10" s="1"/>
  <c r="S34" i="10"/>
  <c r="T34" i="10" s="1"/>
  <c r="V34" i="10"/>
  <c r="W34" i="10" s="1"/>
  <c r="Y34" i="10"/>
  <c r="Z34" i="10" s="1"/>
  <c r="AC34" i="10"/>
  <c r="AD34" i="10" s="1"/>
  <c r="AF34" i="10"/>
  <c r="F35" i="10"/>
  <c r="G35" i="10" s="1"/>
  <c r="J35" i="10"/>
  <c r="L35" i="10"/>
  <c r="M35" i="10" s="1"/>
  <c r="P35" i="10"/>
  <c r="Q35" i="10" s="1"/>
  <c r="S35" i="10"/>
  <c r="T35" i="10" s="1"/>
  <c r="V35" i="10"/>
  <c r="W35" i="10" s="1"/>
  <c r="Y35" i="10"/>
  <c r="Z35" i="10" s="1"/>
  <c r="AC35" i="10"/>
  <c r="AD35" i="10" s="1"/>
  <c r="F5" i="9"/>
  <c r="G5" i="9" s="1"/>
  <c r="I5" i="9"/>
  <c r="J5" i="9" s="1"/>
  <c r="L5" i="9"/>
  <c r="M5" i="9" s="1"/>
  <c r="Q5" i="9"/>
  <c r="S5" i="9"/>
  <c r="T5" i="9" s="1"/>
  <c r="V5" i="9"/>
  <c r="W5" i="9" s="1"/>
  <c r="Y5" i="9"/>
  <c r="Z5" i="9" s="1"/>
  <c r="C6" i="9"/>
  <c r="F6" i="9"/>
  <c r="G6" i="9" s="1"/>
  <c r="I6" i="9"/>
  <c r="J6" i="9" s="1"/>
  <c r="L6" i="9"/>
  <c r="M6" i="9" s="1"/>
  <c r="Q6" i="9"/>
  <c r="S6" i="9"/>
  <c r="T6" i="9" s="1"/>
  <c r="V6" i="9"/>
  <c r="W6" i="9" s="1"/>
  <c r="Y6" i="9"/>
  <c r="Z6" i="9" s="1"/>
  <c r="AB6" i="9"/>
  <c r="F7" i="9"/>
  <c r="G7" i="9" s="1"/>
  <c r="I7" i="9"/>
  <c r="J7" i="9" s="1"/>
  <c r="L7" i="9"/>
  <c r="M7" i="9" s="1"/>
  <c r="Q7" i="9"/>
  <c r="S7" i="9"/>
  <c r="T7" i="9" s="1"/>
  <c r="V7" i="9"/>
  <c r="W7" i="9" s="1"/>
  <c r="Y7" i="9"/>
  <c r="Z7" i="9" s="1"/>
  <c r="C8" i="9"/>
  <c r="F8" i="9"/>
  <c r="G8" i="9" s="1"/>
  <c r="I8" i="9"/>
  <c r="J8" i="9" s="1"/>
  <c r="L8" i="9"/>
  <c r="M8" i="9" s="1"/>
  <c r="Q8" i="9"/>
  <c r="S8" i="9"/>
  <c r="T8" i="9" s="1"/>
  <c r="V8" i="9"/>
  <c r="W8" i="9" s="1"/>
  <c r="Y8" i="9"/>
  <c r="Z8" i="9" s="1"/>
  <c r="AB8" i="9"/>
  <c r="F9" i="9"/>
  <c r="G9" i="9" s="1"/>
  <c r="I9" i="9"/>
  <c r="J9" i="9" s="1"/>
  <c r="L9" i="9"/>
  <c r="M9" i="9" s="1"/>
  <c r="Q9" i="9"/>
  <c r="S9" i="9"/>
  <c r="T9" i="9" s="1"/>
  <c r="V9" i="9"/>
  <c r="W9" i="9" s="1"/>
  <c r="Y9" i="9"/>
  <c r="Z9" i="9" s="1"/>
  <c r="C10" i="9"/>
  <c r="F10" i="9"/>
  <c r="G10" i="9" s="1"/>
  <c r="J10" i="9"/>
  <c r="L10" i="9"/>
  <c r="M10" i="9" s="1"/>
  <c r="Q10" i="9"/>
  <c r="S10" i="9"/>
  <c r="T10" i="9" s="1"/>
  <c r="V10" i="9"/>
  <c r="W10" i="9" s="1"/>
  <c r="Y10" i="9"/>
  <c r="Z10" i="9" s="1"/>
  <c r="AB10" i="9"/>
  <c r="F11" i="9"/>
  <c r="G11" i="9" s="1"/>
  <c r="J11" i="9"/>
  <c r="L11" i="9"/>
  <c r="M11" i="9" s="1"/>
  <c r="Q11" i="9"/>
  <c r="S11" i="9"/>
  <c r="T11" i="9" s="1"/>
  <c r="V11" i="9"/>
  <c r="W11" i="9" s="1"/>
  <c r="Y11" i="9"/>
  <c r="Z11" i="9" s="1"/>
  <c r="C12" i="9"/>
  <c r="F12" i="9"/>
  <c r="G12" i="9" s="1"/>
  <c r="I12" i="9"/>
  <c r="J12" i="9" s="1"/>
  <c r="L12" i="9"/>
  <c r="M12" i="9" s="1"/>
  <c r="Q12" i="9"/>
  <c r="S12" i="9"/>
  <c r="T12" i="9" s="1"/>
  <c r="V12" i="9"/>
  <c r="W12" i="9" s="1"/>
  <c r="Y12" i="9"/>
  <c r="Z12" i="9" s="1"/>
  <c r="AB12" i="9"/>
  <c r="F13" i="9"/>
  <c r="G13" i="9" s="1"/>
  <c r="I13" i="9"/>
  <c r="J13" i="9" s="1"/>
  <c r="L13" i="9"/>
  <c r="M13" i="9" s="1"/>
  <c r="Q13" i="9"/>
  <c r="S13" i="9"/>
  <c r="T13" i="9" s="1"/>
  <c r="V13" i="9"/>
  <c r="W13" i="9" s="1"/>
  <c r="Y13" i="9"/>
  <c r="Z13" i="9" s="1"/>
  <c r="C14" i="9"/>
  <c r="F14" i="9"/>
  <c r="G14" i="9" s="1"/>
  <c r="I14" i="9"/>
  <c r="J14" i="9" s="1"/>
  <c r="L14" i="9"/>
  <c r="M14" i="9" s="1"/>
  <c r="Q14" i="9"/>
  <c r="S14" i="9"/>
  <c r="T14" i="9" s="1"/>
  <c r="V14" i="9"/>
  <c r="W14" i="9" s="1"/>
  <c r="Y14" i="9"/>
  <c r="Z14" i="9" s="1"/>
  <c r="AB14" i="9"/>
  <c r="G15" i="9"/>
  <c r="I15" i="9"/>
  <c r="J15" i="9" s="1"/>
  <c r="L15" i="9"/>
  <c r="M15" i="9" s="1"/>
  <c r="Q15" i="9"/>
  <c r="S15" i="9"/>
  <c r="T15" i="9" s="1"/>
  <c r="V15" i="9"/>
  <c r="W15" i="9" s="1"/>
  <c r="Y15" i="9"/>
  <c r="Z15" i="9" s="1"/>
  <c r="C16" i="9"/>
  <c r="G16" i="9"/>
  <c r="I16" i="9"/>
  <c r="J16" i="9" s="1"/>
  <c r="L16" i="9"/>
  <c r="M16" i="9" s="1"/>
  <c r="Q16" i="9"/>
  <c r="S16" i="9"/>
  <c r="T16" i="9" s="1"/>
  <c r="V16" i="9"/>
  <c r="W16" i="9" s="1"/>
  <c r="Y16" i="9"/>
  <c r="Z16" i="9" s="1"/>
  <c r="AB16" i="9"/>
  <c r="C17" i="9"/>
  <c r="D17" i="9" s="1"/>
  <c r="F17" i="9"/>
  <c r="G17" i="9" s="1"/>
  <c r="I17" i="9"/>
  <c r="J17" i="9" s="1"/>
  <c r="L17" i="9"/>
  <c r="M17" i="9" s="1"/>
  <c r="Q17" i="9"/>
  <c r="S17" i="9"/>
  <c r="T17" i="9" s="1"/>
  <c r="V17" i="9"/>
  <c r="W17" i="9" s="1"/>
  <c r="Y17" i="9"/>
  <c r="AB17" i="9"/>
  <c r="C18" i="9"/>
  <c r="F18" i="9"/>
  <c r="G18" i="9" s="1"/>
  <c r="I18" i="9"/>
  <c r="L18" i="9"/>
  <c r="M18" i="9" s="1"/>
  <c r="S18" i="9"/>
  <c r="T18" i="9" s="1"/>
  <c r="V18" i="9"/>
  <c r="Y18" i="9"/>
  <c r="Z18" i="9" s="1"/>
  <c r="C19" i="9"/>
  <c r="D19" i="9" s="1"/>
  <c r="F19" i="9"/>
  <c r="I19" i="9"/>
  <c r="J19" i="9" s="1"/>
  <c r="L19" i="9"/>
  <c r="Q19" i="9"/>
  <c r="S19" i="9"/>
  <c r="V19" i="9"/>
  <c r="W19" i="9" s="1"/>
  <c r="Y19" i="9"/>
  <c r="Z19" i="9" s="1"/>
  <c r="AB19" i="9"/>
  <c r="C20" i="9"/>
  <c r="F20" i="9"/>
  <c r="G20" i="9" s="1"/>
  <c r="I20" i="9"/>
  <c r="J20" i="9" s="1"/>
  <c r="L20" i="9"/>
  <c r="M20" i="9" s="1"/>
  <c r="Q20" i="9"/>
  <c r="S20" i="9"/>
  <c r="T20" i="9" s="1"/>
  <c r="V20" i="9"/>
  <c r="W20" i="9" s="1"/>
  <c r="Y20" i="9"/>
  <c r="Z20" i="9" s="1"/>
  <c r="C21" i="9"/>
  <c r="D21" i="9" s="1"/>
  <c r="F21" i="9"/>
  <c r="G21" i="9" s="1"/>
  <c r="I21" i="9"/>
  <c r="J21" i="9" s="1"/>
  <c r="L21" i="9"/>
  <c r="M21" i="9" s="1"/>
  <c r="Q21" i="9"/>
  <c r="S21" i="9"/>
  <c r="T21" i="9" s="1"/>
  <c r="V21" i="9"/>
  <c r="W21" i="9" s="1"/>
  <c r="Y21" i="9"/>
  <c r="Z21" i="9" s="1"/>
  <c r="AB21" i="9"/>
  <c r="C22" i="9"/>
  <c r="F22" i="9"/>
  <c r="G22" i="9" s="1"/>
  <c r="I22" i="9"/>
  <c r="J22" i="9" s="1"/>
  <c r="L22" i="9"/>
  <c r="M22" i="9" s="1"/>
  <c r="Q22" i="9"/>
  <c r="S22" i="9"/>
  <c r="T22" i="9" s="1"/>
  <c r="V22" i="9"/>
  <c r="W22" i="9" s="1"/>
  <c r="Y22" i="9"/>
  <c r="Z22" i="9" s="1"/>
  <c r="C23" i="9"/>
  <c r="D23" i="9" s="1"/>
  <c r="F23" i="9"/>
  <c r="G23" i="9" s="1"/>
  <c r="I23" i="9"/>
  <c r="J23" i="9" s="1"/>
  <c r="L23" i="9"/>
  <c r="M23" i="9" s="1"/>
  <c r="Q23" i="9"/>
  <c r="S23" i="9"/>
  <c r="T23" i="9" s="1"/>
  <c r="V23" i="9"/>
  <c r="W23" i="9" s="1"/>
  <c r="Y23" i="9"/>
  <c r="Z23" i="9" s="1"/>
  <c r="AB23" i="9"/>
  <c r="C24" i="9"/>
  <c r="F24" i="9"/>
  <c r="G24" i="9" s="1"/>
  <c r="I24" i="9"/>
  <c r="J24" i="9" s="1"/>
  <c r="L24" i="9"/>
  <c r="M24" i="9" s="1"/>
  <c r="Q24" i="9"/>
  <c r="S24" i="9"/>
  <c r="T24" i="9" s="1"/>
  <c r="V24" i="9"/>
  <c r="W24" i="9" s="1"/>
  <c r="Y24" i="9"/>
  <c r="Z24" i="9" s="1"/>
  <c r="C25" i="9"/>
  <c r="D25" i="9" s="1"/>
  <c r="F25" i="9"/>
  <c r="G25" i="9" s="1"/>
  <c r="I25" i="9"/>
  <c r="J25" i="9" s="1"/>
  <c r="L25" i="9"/>
  <c r="M25" i="9" s="1"/>
  <c r="Q25" i="9"/>
  <c r="S25" i="9"/>
  <c r="T25" i="9" s="1"/>
  <c r="V25" i="9"/>
  <c r="W25" i="9" s="1"/>
  <c r="Y25" i="9"/>
  <c r="Z25" i="9" s="1"/>
  <c r="AB25" i="9"/>
  <c r="C26" i="9"/>
  <c r="F26" i="9"/>
  <c r="G26" i="9" s="1"/>
  <c r="I26" i="9"/>
  <c r="J26" i="9" s="1"/>
  <c r="L26" i="9"/>
  <c r="M26" i="9" s="1"/>
  <c r="Q26" i="9"/>
  <c r="S26" i="9"/>
  <c r="T26" i="9" s="1"/>
  <c r="V26" i="9"/>
  <c r="W26" i="9" s="1"/>
  <c r="Y26" i="9"/>
  <c r="Z26" i="9" s="1"/>
  <c r="C27" i="9"/>
  <c r="D27" i="9" s="1"/>
  <c r="F27" i="9"/>
  <c r="G27" i="9" s="1"/>
  <c r="I27" i="9"/>
  <c r="J27" i="9" s="1"/>
  <c r="L27" i="9"/>
  <c r="M27" i="9" s="1"/>
  <c r="Q27" i="9"/>
  <c r="S27" i="9"/>
  <c r="T27" i="9" s="1"/>
  <c r="V27" i="9"/>
  <c r="W27" i="9" s="1"/>
  <c r="Y27" i="9"/>
  <c r="Z27" i="9" s="1"/>
  <c r="AB27" i="9"/>
  <c r="C28" i="9"/>
  <c r="F28" i="9"/>
  <c r="G28" i="9" s="1"/>
  <c r="I28" i="9"/>
  <c r="J28" i="9" s="1"/>
  <c r="L28" i="9"/>
  <c r="M28" i="9" s="1"/>
  <c r="Q28" i="9"/>
  <c r="S28" i="9"/>
  <c r="T28" i="9" s="1"/>
  <c r="V28" i="9"/>
  <c r="W28" i="9" s="1"/>
  <c r="Y28" i="9"/>
  <c r="Z28" i="9" s="1"/>
  <c r="C29" i="9"/>
  <c r="D29" i="9" s="1"/>
  <c r="F29" i="9"/>
  <c r="G29" i="9" s="1"/>
  <c r="I29" i="9"/>
  <c r="J29" i="9" s="1"/>
  <c r="L29" i="9"/>
  <c r="M29" i="9" s="1"/>
  <c r="Q29" i="9"/>
  <c r="S29" i="9"/>
  <c r="T29" i="9" s="1"/>
  <c r="V29" i="9"/>
  <c r="W29" i="9" s="1"/>
  <c r="Y29" i="9"/>
  <c r="Z29" i="9" s="1"/>
  <c r="AB29" i="9"/>
  <c r="C30" i="9"/>
  <c r="F30" i="9"/>
  <c r="G30" i="9" s="1"/>
  <c r="J30" i="9"/>
  <c r="L30" i="9"/>
  <c r="M30" i="9" s="1"/>
  <c r="Q30" i="9"/>
  <c r="S30" i="9"/>
  <c r="T30" i="9" s="1"/>
  <c r="V30" i="9"/>
  <c r="W30" i="9" s="1"/>
  <c r="Y30" i="9"/>
  <c r="Z30" i="9" s="1"/>
  <c r="C31" i="9"/>
  <c r="D31" i="9" s="1"/>
  <c r="F31" i="9"/>
  <c r="G31" i="9" s="1"/>
  <c r="J31" i="9"/>
  <c r="L31" i="9"/>
  <c r="M31" i="9" s="1"/>
  <c r="Q31" i="9"/>
  <c r="S31" i="9"/>
  <c r="T31" i="9" s="1"/>
  <c r="V31" i="9"/>
  <c r="W31" i="9" s="1"/>
  <c r="Y31" i="9"/>
  <c r="Z31" i="9" s="1"/>
  <c r="AB31" i="9"/>
  <c r="C32" i="9"/>
  <c r="F32" i="9"/>
  <c r="G32" i="9" s="1"/>
  <c r="J32" i="9"/>
  <c r="L32" i="9"/>
  <c r="M32" i="9" s="1"/>
  <c r="Q32" i="9"/>
  <c r="S32" i="9"/>
  <c r="T32" i="9" s="1"/>
  <c r="V32" i="9"/>
  <c r="W32" i="9" s="1"/>
  <c r="Y32" i="9"/>
  <c r="Z32" i="9" s="1"/>
  <c r="C33" i="9"/>
  <c r="D33" i="9" s="1"/>
  <c r="F33" i="9"/>
  <c r="G33" i="9" s="1"/>
  <c r="J33" i="9"/>
  <c r="L33" i="9"/>
  <c r="M33" i="9" s="1"/>
  <c r="Q33" i="9"/>
  <c r="S33" i="9"/>
  <c r="T33" i="9" s="1"/>
  <c r="V33" i="9"/>
  <c r="W33" i="9" s="1"/>
  <c r="Y33" i="9"/>
  <c r="Z33" i="9" s="1"/>
  <c r="AB33" i="9"/>
  <c r="C34" i="9"/>
  <c r="F34" i="9"/>
  <c r="G34" i="9" s="1"/>
  <c r="J34" i="9"/>
  <c r="L34" i="9"/>
  <c r="M34" i="9" s="1"/>
  <c r="Q34" i="9"/>
  <c r="S34" i="9"/>
  <c r="T34" i="9" s="1"/>
  <c r="V34" i="9"/>
  <c r="W34" i="9" s="1"/>
  <c r="Y34" i="9"/>
  <c r="Z34" i="9" s="1"/>
  <c r="C5" i="8"/>
  <c r="F5" i="8"/>
  <c r="G5" i="8" s="1"/>
  <c r="I5" i="8"/>
  <c r="L5" i="8"/>
  <c r="M5" i="8" s="1"/>
  <c r="P5" i="8"/>
  <c r="S5" i="8"/>
  <c r="T5" i="8" s="1"/>
  <c r="V5" i="8"/>
  <c r="Y5" i="8"/>
  <c r="Z5" i="8" s="1"/>
  <c r="C6" i="8"/>
  <c r="F6" i="8"/>
  <c r="G6" i="8" s="1"/>
  <c r="I6" i="8"/>
  <c r="J6" i="8" s="1"/>
  <c r="L6" i="8"/>
  <c r="M6" i="8" s="1"/>
  <c r="P6" i="8"/>
  <c r="Q6" i="8" s="1"/>
  <c r="S6" i="8"/>
  <c r="T6" i="8" s="1"/>
  <c r="V6" i="8"/>
  <c r="W6" i="8" s="1"/>
  <c r="Y6" i="8"/>
  <c r="Z6" i="8" s="1"/>
  <c r="C7" i="8"/>
  <c r="F7" i="8"/>
  <c r="G7" i="8" s="1"/>
  <c r="I7" i="8"/>
  <c r="J7" i="8" s="1"/>
  <c r="L7" i="8"/>
  <c r="M7" i="8" s="1"/>
  <c r="P7" i="8"/>
  <c r="Q7" i="8" s="1"/>
  <c r="S7" i="8"/>
  <c r="T7" i="8" s="1"/>
  <c r="V7" i="8"/>
  <c r="W7" i="8" s="1"/>
  <c r="Y7" i="8"/>
  <c r="Z7" i="8" s="1"/>
  <c r="C8" i="8"/>
  <c r="F8" i="8"/>
  <c r="G8" i="8" s="1"/>
  <c r="I8" i="8"/>
  <c r="J8" i="8" s="1"/>
  <c r="L8" i="8"/>
  <c r="M8" i="8" s="1"/>
  <c r="P8" i="8"/>
  <c r="Q8" i="8" s="1"/>
  <c r="S8" i="8"/>
  <c r="T8" i="8" s="1"/>
  <c r="V8" i="8"/>
  <c r="W8" i="8" s="1"/>
  <c r="Y8" i="8"/>
  <c r="Z8" i="8" s="1"/>
  <c r="C9" i="8"/>
  <c r="F9" i="8"/>
  <c r="G9" i="8" s="1"/>
  <c r="I9" i="8"/>
  <c r="J9" i="8" s="1"/>
  <c r="L9" i="8"/>
  <c r="M9" i="8" s="1"/>
  <c r="P9" i="8"/>
  <c r="Q9" i="8" s="1"/>
  <c r="S9" i="8"/>
  <c r="T9" i="8" s="1"/>
  <c r="V9" i="8"/>
  <c r="W9" i="8" s="1"/>
  <c r="Y9" i="8"/>
  <c r="Z9" i="8" s="1"/>
  <c r="C10" i="8"/>
  <c r="F10" i="8"/>
  <c r="G10" i="8" s="1"/>
  <c r="I10" i="8"/>
  <c r="J10" i="8" s="1"/>
  <c r="L10" i="8"/>
  <c r="M10" i="8" s="1"/>
  <c r="P10" i="8"/>
  <c r="Q10" i="8" s="1"/>
  <c r="S10" i="8"/>
  <c r="T10" i="8" s="1"/>
  <c r="V10" i="8"/>
  <c r="W10" i="8" s="1"/>
  <c r="Y10" i="8"/>
  <c r="Z10" i="8" s="1"/>
  <c r="C11" i="8"/>
  <c r="F11" i="8"/>
  <c r="G11" i="8" s="1"/>
  <c r="I11" i="8"/>
  <c r="J11" i="8" s="1"/>
  <c r="L11" i="8"/>
  <c r="M11" i="8" s="1"/>
  <c r="P11" i="8"/>
  <c r="Q11" i="8" s="1"/>
  <c r="S11" i="8"/>
  <c r="T11" i="8" s="1"/>
  <c r="V11" i="8"/>
  <c r="W11" i="8" s="1"/>
  <c r="Y11" i="8"/>
  <c r="Z11" i="8" s="1"/>
  <c r="C12" i="8"/>
  <c r="F12" i="8"/>
  <c r="G12" i="8" s="1"/>
  <c r="I12" i="8"/>
  <c r="J12" i="8" s="1"/>
  <c r="L12" i="8"/>
  <c r="M12" i="8" s="1"/>
  <c r="P12" i="8"/>
  <c r="Q12" i="8" s="1"/>
  <c r="S12" i="8"/>
  <c r="T12" i="8" s="1"/>
  <c r="V12" i="8"/>
  <c r="W12" i="8" s="1"/>
  <c r="Y12" i="8"/>
  <c r="Z12" i="8" s="1"/>
  <c r="C13" i="8"/>
  <c r="F13" i="8"/>
  <c r="G13" i="8" s="1"/>
  <c r="I13" i="8"/>
  <c r="J13" i="8" s="1"/>
  <c r="L13" i="8"/>
  <c r="M13" i="8" s="1"/>
  <c r="P13" i="8"/>
  <c r="Q13" i="8" s="1"/>
  <c r="S13" i="8"/>
  <c r="T13" i="8" s="1"/>
  <c r="V13" i="8"/>
  <c r="W13" i="8" s="1"/>
  <c r="Y13" i="8"/>
  <c r="Z13" i="8" s="1"/>
  <c r="C14" i="8"/>
  <c r="F14" i="8"/>
  <c r="G14" i="8" s="1"/>
  <c r="I14" i="8"/>
  <c r="J14" i="8" s="1"/>
  <c r="L14" i="8"/>
  <c r="M14" i="8" s="1"/>
  <c r="P14" i="8"/>
  <c r="Q14" i="8" s="1"/>
  <c r="S14" i="8"/>
  <c r="T14" i="8" s="1"/>
  <c r="V14" i="8"/>
  <c r="W14" i="8" s="1"/>
  <c r="Y14" i="8"/>
  <c r="Z14" i="8" s="1"/>
  <c r="C15" i="8"/>
  <c r="F15" i="8"/>
  <c r="G15" i="8" s="1"/>
  <c r="I15" i="8"/>
  <c r="J15" i="8" s="1"/>
  <c r="L15" i="8"/>
  <c r="M15" i="8" s="1"/>
  <c r="P15" i="8"/>
  <c r="Q15" i="8" s="1"/>
  <c r="S15" i="8"/>
  <c r="T15" i="8" s="1"/>
  <c r="V15" i="8"/>
  <c r="W15" i="8" s="1"/>
  <c r="Y15" i="8"/>
  <c r="Z15" i="8" s="1"/>
  <c r="C16" i="8"/>
  <c r="F16" i="8"/>
  <c r="G16" i="8" s="1"/>
  <c r="I16" i="8"/>
  <c r="J16" i="8" s="1"/>
  <c r="L16" i="8"/>
  <c r="M16" i="8" s="1"/>
  <c r="P16" i="8"/>
  <c r="Q16" i="8" s="1"/>
  <c r="S16" i="8"/>
  <c r="T16" i="8" s="1"/>
  <c r="V16" i="8"/>
  <c r="W16" i="8" s="1"/>
  <c r="Y16" i="8"/>
  <c r="Z16" i="8" s="1"/>
  <c r="C17" i="8"/>
  <c r="F17" i="8"/>
  <c r="G17" i="8" s="1"/>
  <c r="I17" i="8"/>
  <c r="J17" i="8" s="1"/>
  <c r="L17" i="8"/>
  <c r="M17" i="8" s="1"/>
  <c r="P17" i="8"/>
  <c r="Q17" i="8" s="1"/>
  <c r="S17" i="8"/>
  <c r="T17" i="8" s="1"/>
  <c r="V17" i="8"/>
  <c r="W17" i="8" s="1"/>
  <c r="Y17" i="8"/>
  <c r="Z17" i="8" s="1"/>
  <c r="C18" i="8"/>
  <c r="F18" i="8"/>
  <c r="G18" i="8" s="1"/>
  <c r="I18" i="8"/>
  <c r="J18" i="8" s="1"/>
  <c r="L18" i="8"/>
  <c r="M18" i="8" s="1"/>
  <c r="P18" i="8"/>
  <c r="Q18" i="8" s="1"/>
  <c r="S18" i="8"/>
  <c r="T18" i="8" s="1"/>
  <c r="V18" i="8"/>
  <c r="W18" i="8" s="1"/>
  <c r="Y18" i="8"/>
  <c r="Z18" i="8" s="1"/>
  <c r="C19" i="8"/>
  <c r="F19" i="8"/>
  <c r="G19" i="8" s="1"/>
  <c r="I19" i="8"/>
  <c r="J19" i="8" s="1"/>
  <c r="L19" i="8"/>
  <c r="M19" i="8" s="1"/>
  <c r="P19" i="8"/>
  <c r="Q19" i="8" s="1"/>
  <c r="S19" i="8"/>
  <c r="T19" i="8" s="1"/>
  <c r="V19" i="8"/>
  <c r="W19" i="8" s="1"/>
  <c r="Y19" i="8"/>
  <c r="Z19" i="8" s="1"/>
  <c r="C20" i="8"/>
  <c r="F20" i="8"/>
  <c r="G20" i="8" s="1"/>
  <c r="J20" i="8"/>
  <c r="L20" i="8"/>
  <c r="M20" i="8" s="1"/>
  <c r="P20" i="8"/>
  <c r="Q20" i="8" s="1"/>
  <c r="S20" i="8"/>
  <c r="T20" i="8" s="1"/>
  <c r="V20" i="8"/>
  <c r="W20" i="8" s="1"/>
  <c r="Y20" i="8"/>
  <c r="Z20" i="8" s="1"/>
  <c r="C21" i="8"/>
  <c r="F21" i="8"/>
  <c r="G21" i="8" s="1"/>
  <c r="J21" i="8"/>
  <c r="L21" i="8"/>
  <c r="M21" i="8" s="1"/>
  <c r="P21" i="8"/>
  <c r="Q21" i="8" s="1"/>
  <c r="S21" i="8"/>
  <c r="T21" i="8" s="1"/>
  <c r="V21" i="8"/>
  <c r="W21" i="8" s="1"/>
  <c r="Y21" i="8"/>
  <c r="Z21" i="8" s="1"/>
  <c r="C22" i="8"/>
  <c r="F22" i="8"/>
  <c r="G22" i="8" s="1"/>
  <c r="I22" i="8"/>
  <c r="J22" i="8" s="1"/>
  <c r="L22" i="8"/>
  <c r="M22" i="8" s="1"/>
  <c r="P22" i="8"/>
  <c r="Q22" i="8" s="1"/>
  <c r="S22" i="8"/>
  <c r="T22" i="8" s="1"/>
  <c r="V22" i="8"/>
  <c r="W22" i="8" s="1"/>
  <c r="Y22" i="8"/>
  <c r="Z22" i="8" s="1"/>
  <c r="C23" i="8"/>
  <c r="F23" i="8"/>
  <c r="G23" i="8" s="1"/>
  <c r="I23" i="8"/>
  <c r="J23" i="8" s="1"/>
  <c r="L23" i="8"/>
  <c r="M23" i="8" s="1"/>
  <c r="P23" i="8"/>
  <c r="Q23" i="8" s="1"/>
  <c r="S23" i="8"/>
  <c r="T23" i="8" s="1"/>
  <c r="V23" i="8"/>
  <c r="W23" i="8" s="1"/>
  <c r="Y23" i="8"/>
  <c r="Z23" i="8" s="1"/>
  <c r="C24" i="8"/>
  <c r="F24" i="8"/>
  <c r="G24" i="8" s="1"/>
  <c r="I24" i="8"/>
  <c r="J24" i="8" s="1"/>
  <c r="L24" i="8"/>
  <c r="M24" i="8" s="1"/>
  <c r="P24" i="8"/>
  <c r="Q24" i="8" s="1"/>
  <c r="S24" i="8"/>
  <c r="T24" i="8" s="1"/>
  <c r="V24" i="8"/>
  <c r="W24" i="8" s="1"/>
  <c r="Y24" i="8"/>
  <c r="Z24" i="8" s="1"/>
  <c r="C25" i="8"/>
  <c r="F25" i="8"/>
  <c r="G25" i="8" s="1"/>
  <c r="I25" i="8"/>
  <c r="J25" i="8" s="1"/>
  <c r="L25" i="8"/>
  <c r="M25" i="8" s="1"/>
  <c r="P25" i="8"/>
  <c r="Q25" i="8" s="1"/>
  <c r="S25" i="8"/>
  <c r="T25" i="8" s="1"/>
  <c r="V25" i="8"/>
  <c r="W25" i="8" s="1"/>
  <c r="Y25" i="8"/>
  <c r="Z25" i="8" s="1"/>
  <c r="C26" i="8"/>
  <c r="F26" i="8"/>
  <c r="G26" i="8" s="1"/>
  <c r="I26" i="8"/>
  <c r="J26" i="8" s="1"/>
  <c r="L26" i="8"/>
  <c r="M26" i="8" s="1"/>
  <c r="P26" i="8"/>
  <c r="Q26" i="8" s="1"/>
  <c r="S26" i="8"/>
  <c r="T26" i="8" s="1"/>
  <c r="V26" i="8"/>
  <c r="W26" i="8" s="1"/>
  <c r="Y26" i="8"/>
  <c r="Z26" i="8" s="1"/>
  <c r="C27" i="8"/>
  <c r="F27" i="8"/>
  <c r="G27" i="8" s="1"/>
  <c r="I27" i="8"/>
  <c r="J27" i="8" s="1"/>
  <c r="L27" i="8"/>
  <c r="M27" i="8" s="1"/>
  <c r="P27" i="8"/>
  <c r="Q27" i="8" s="1"/>
  <c r="S27" i="8"/>
  <c r="T27" i="8" s="1"/>
  <c r="V27" i="8"/>
  <c r="W27" i="8" s="1"/>
  <c r="Y27" i="8"/>
  <c r="Z27" i="8" s="1"/>
  <c r="C28" i="8"/>
  <c r="F28" i="8"/>
  <c r="G28" i="8" s="1"/>
  <c r="I28" i="8"/>
  <c r="J28" i="8" s="1"/>
  <c r="L28" i="8"/>
  <c r="M28" i="8" s="1"/>
  <c r="P28" i="8"/>
  <c r="Q28" i="8" s="1"/>
  <c r="S28" i="8"/>
  <c r="T28" i="8" s="1"/>
  <c r="V28" i="8"/>
  <c r="W28" i="8" s="1"/>
  <c r="Y28" i="8"/>
  <c r="Z28" i="8" s="1"/>
  <c r="C29" i="8"/>
  <c r="F29" i="8"/>
  <c r="G29" i="8" s="1"/>
  <c r="I29" i="8"/>
  <c r="J29" i="8" s="1"/>
  <c r="L29" i="8"/>
  <c r="M29" i="8" s="1"/>
  <c r="P29" i="8"/>
  <c r="Q29" i="8" s="1"/>
  <c r="S29" i="8"/>
  <c r="T29" i="8" s="1"/>
  <c r="V29" i="8"/>
  <c r="W29" i="8" s="1"/>
  <c r="Y29" i="8"/>
  <c r="Z29" i="8" s="1"/>
  <c r="C30" i="8"/>
  <c r="F30" i="8"/>
  <c r="G30" i="8" s="1"/>
  <c r="I30" i="8"/>
  <c r="J30" i="8" s="1"/>
  <c r="L30" i="8"/>
  <c r="M30" i="8" s="1"/>
  <c r="P30" i="8"/>
  <c r="Q30" i="8" s="1"/>
  <c r="S30" i="8"/>
  <c r="T30" i="8" s="1"/>
  <c r="V30" i="8"/>
  <c r="W30" i="8" s="1"/>
  <c r="Y30" i="8"/>
  <c r="Z30" i="8" s="1"/>
  <c r="C31" i="8"/>
  <c r="F31" i="8"/>
  <c r="G31" i="8" s="1"/>
  <c r="J31" i="8"/>
  <c r="L31" i="8"/>
  <c r="M31" i="8" s="1"/>
  <c r="P31" i="8"/>
  <c r="Q31" i="8" s="1"/>
  <c r="S31" i="8"/>
  <c r="T31" i="8" s="1"/>
  <c r="V31" i="8"/>
  <c r="W31" i="8" s="1"/>
  <c r="Y31" i="8"/>
  <c r="Z31" i="8" s="1"/>
  <c r="C32" i="8"/>
  <c r="F32" i="8"/>
  <c r="G32" i="8" s="1"/>
  <c r="J32" i="8"/>
  <c r="L32" i="8"/>
  <c r="M32" i="8" s="1"/>
  <c r="P32" i="8"/>
  <c r="Q32" i="8" s="1"/>
  <c r="S32" i="8"/>
  <c r="T32" i="8" s="1"/>
  <c r="V32" i="8"/>
  <c r="W32" i="8" s="1"/>
  <c r="Y32" i="8"/>
  <c r="Z32" i="8" s="1"/>
  <c r="C33" i="8"/>
  <c r="F33" i="8"/>
  <c r="G33" i="8" s="1"/>
  <c r="J33" i="8"/>
  <c r="L33" i="8"/>
  <c r="M33" i="8" s="1"/>
  <c r="P33" i="8"/>
  <c r="Q33" i="8" s="1"/>
  <c r="S33" i="8"/>
  <c r="T33" i="8" s="1"/>
  <c r="V33" i="8"/>
  <c r="W33" i="8" s="1"/>
  <c r="Y33" i="8"/>
  <c r="Z33" i="8" s="1"/>
  <c r="C34" i="8"/>
  <c r="F34" i="8"/>
  <c r="G34" i="8" s="1"/>
  <c r="J34" i="8"/>
  <c r="L34" i="8"/>
  <c r="M34" i="8" s="1"/>
  <c r="P34" i="8"/>
  <c r="Q34" i="8" s="1"/>
  <c r="S34" i="8"/>
  <c r="T34" i="8" s="1"/>
  <c r="V34" i="8"/>
  <c r="W34" i="8" s="1"/>
  <c r="Y34" i="8"/>
  <c r="Z34" i="8" s="1"/>
  <c r="C35" i="8"/>
  <c r="F35" i="8"/>
  <c r="G35" i="8" s="1"/>
  <c r="J35" i="8"/>
  <c r="L35" i="8"/>
  <c r="M35" i="8" s="1"/>
  <c r="P35" i="8"/>
  <c r="Q35" i="8" s="1"/>
  <c r="S35" i="8"/>
  <c r="T35" i="8" s="1"/>
  <c r="V35" i="8"/>
  <c r="W35" i="8" s="1"/>
  <c r="Y35" i="8"/>
  <c r="Z35" i="8" s="1"/>
  <c r="C5" i="7"/>
  <c r="F5" i="7"/>
  <c r="G5" i="7" s="1"/>
  <c r="L5" i="7"/>
  <c r="P5" i="7"/>
  <c r="S5" i="7"/>
  <c r="T5" i="7" s="1"/>
  <c r="V5" i="7"/>
  <c r="Y5" i="7"/>
  <c r="C6" i="7"/>
  <c r="F6" i="7"/>
  <c r="I6" i="7"/>
  <c r="J6" i="7" s="1"/>
  <c r="L6" i="7"/>
  <c r="P6" i="7"/>
  <c r="S6" i="7"/>
  <c r="V6" i="7"/>
  <c r="W6" i="7" s="1"/>
  <c r="Y6" i="7"/>
  <c r="C7" i="7"/>
  <c r="F7" i="7"/>
  <c r="G7" i="7" s="1"/>
  <c r="I7" i="7"/>
  <c r="J7" i="7" s="1"/>
  <c r="L7" i="7"/>
  <c r="P7" i="7"/>
  <c r="S7" i="7"/>
  <c r="T7" i="7" s="1"/>
  <c r="V7" i="7"/>
  <c r="W7" i="7" s="1"/>
  <c r="Y7" i="7"/>
  <c r="C8" i="7"/>
  <c r="F8" i="7"/>
  <c r="G8" i="7" s="1"/>
  <c r="J8" i="7"/>
  <c r="L8" i="7"/>
  <c r="P8" i="7"/>
  <c r="S8" i="7"/>
  <c r="T8" i="7" s="1"/>
  <c r="V8" i="7"/>
  <c r="W8" i="7" s="1"/>
  <c r="Y8" i="7"/>
  <c r="C9" i="7"/>
  <c r="F9" i="7"/>
  <c r="G9" i="7" s="1"/>
  <c r="J9" i="7"/>
  <c r="L9" i="7"/>
  <c r="P9" i="7"/>
  <c r="S9" i="7"/>
  <c r="T9" i="7" s="1"/>
  <c r="V9" i="7"/>
  <c r="W9" i="7" s="1"/>
  <c r="Y9" i="7"/>
  <c r="C10" i="7"/>
  <c r="F10" i="7"/>
  <c r="G10" i="7" s="1"/>
  <c r="J10" i="7"/>
  <c r="L10" i="7"/>
  <c r="P10" i="7"/>
  <c r="S10" i="7"/>
  <c r="T10" i="7" s="1"/>
  <c r="V10" i="7"/>
  <c r="W10" i="7" s="1"/>
  <c r="Y10" i="7"/>
  <c r="C11" i="7"/>
  <c r="F11" i="7"/>
  <c r="G11" i="7" s="1"/>
  <c r="J11" i="7"/>
  <c r="L11" i="7"/>
  <c r="P11" i="7"/>
  <c r="S11" i="7"/>
  <c r="T11" i="7" s="1"/>
  <c r="V11" i="7"/>
  <c r="W11" i="7" s="1"/>
  <c r="Y11" i="7"/>
  <c r="C12" i="7"/>
  <c r="F12" i="7"/>
  <c r="G12" i="7" s="1"/>
  <c r="J12" i="7"/>
  <c r="L12" i="7"/>
  <c r="P12" i="7"/>
  <c r="S12" i="7"/>
  <c r="T12" i="7" s="1"/>
  <c r="V12" i="7"/>
  <c r="W12" i="7" s="1"/>
  <c r="Y12" i="7"/>
  <c r="C13" i="7"/>
  <c r="F13" i="7"/>
  <c r="G13" i="7" s="1"/>
  <c r="J13" i="7"/>
  <c r="L13" i="7"/>
  <c r="P13" i="7"/>
  <c r="S13" i="7"/>
  <c r="T13" i="7" s="1"/>
  <c r="V13" i="7"/>
  <c r="W13" i="7" s="1"/>
  <c r="Y13" i="7"/>
  <c r="C14" i="7"/>
  <c r="F14" i="7"/>
  <c r="G14" i="7" s="1"/>
  <c r="L14" i="7"/>
  <c r="P14" i="7"/>
  <c r="V14" i="7"/>
  <c r="W14" i="7" s="1"/>
  <c r="Y14" i="7"/>
  <c r="C15" i="7"/>
  <c r="F15" i="7"/>
  <c r="G15" i="7" s="1"/>
  <c r="L15" i="7"/>
  <c r="P15" i="7"/>
  <c r="S15" i="7"/>
  <c r="T15" i="7" s="1"/>
  <c r="V15" i="7"/>
  <c r="W15" i="7" s="1"/>
  <c r="Y15" i="7"/>
  <c r="C16" i="7"/>
  <c r="F16" i="7"/>
  <c r="G16" i="7" s="1"/>
  <c r="L16" i="7"/>
  <c r="P16" i="7"/>
  <c r="S16" i="7"/>
  <c r="T16" i="7" s="1"/>
  <c r="V16" i="7"/>
  <c r="W16" i="7" s="1"/>
  <c r="Y16" i="7"/>
  <c r="C17" i="7"/>
  <c r="F17" i="7"/>
  <c r="G17" i="7" s="1"/>
  <c r="L17" i="7"/>
  <c r="P17" i="7"/>
  <c r="S17" i="7"/>
  <c r="T17" i="7" s="1"/>
  <c r="V17" i="7"/>
  <c r="W17" i="7" s="1"/>
  <c r="Y17" i="7"/>
  <c r="C18" i="7"/>
  <c r="F18" i="7"/>
  <c r="G18" i="7" s="1"/>
  <c r="J18" i="7"/>
  <c r="L18" i="7"/>
  <c r="P18" i="7"/>
  <c r="S18" i="7"/>
  <c r="T18" i="7" s="1"/>
  <c r="V18" i="7"/>
  <c r="W18" i="7" s="1"/>
  <c r="Y18" i="7"/>
  <c r="C19" i="7"/>
  <c r="F19" i="7"/>
  <c r="G19" i="7" s="1"/>
  <c r="J19" i="7"/>
  <c r="L19" i="7"/>
  <c r="P19" i="7"/>
  <c r="S19" i="7"/>
  <c r="T19" i="7" s="1"/>
  <c r="V19" i="7"/>
  <c r="W19" i="7" s="1"/>
  <c r="Y19" i="7"/>
  <c r="C20" i="7"/>
  <c r="F20" i="7"/>
  <c r="G20" i="7" s="1"/>
  <c r="J20" i="7"/>
  <c r="L20" i="7"/>
  <c r="P20" i="7"/>
  <c r="S20" i="7"/>
  <c r="T20" i="7" s="1"/>
  <c r="V20" i="7"/>
  <c r="W20" i="7" s="1"/>
  <c r="Y20" i="7"/>
  <c r="C21" i="7"/>
  <c r="F21" i="7"/>
  <c r="G21" i="7" s="1"/>
  <c r="J21" i="7"/>
  <c r="L21" i="7"/>
  <c r="P21" i="7"/>
  <c r="S21" i="7"/>
  <c r="T21" i="7" s="1"/>
  <c r="V21" i="7"/>
  <c r="W21" i="7" s="1"/>
  <c r="Y21" i="7"/>
  <c r="C22" i="7"/>
  <c r="F22" i="7"/>
  <c r="G22" i="7" s="1"/>
  <c r="J22" i="7"/>
  <c r="L22" i="7"/>
  <c r="P22" i="7"/>
  <c r="S22" i="7"/>
  <c r="T22" i="7" s="1"/>
  <c r="V22" i="7"/>
  <c r="W22" i="7" s="1"/>
  <c r="Y22" i="7"/>
  <c r="C23" i="7"/>
  <c r="F23" i="7"/>
  <c r="G23" i="7" s="1"/>
  <c r="J23" i="7"/>
  <c r="L23" i="7"/>
  <c r="P23" i="7"/>
  <c r="S23" i="7"/>
  <c r="T23" i="7" s="1"/>
  <c r="V23" i="7"/>
  <c r="W23" i="7" s="1"/>
  <c r="Y23" i="7"/>
  <c r="C24" i="7"/>
  <c r="F24" i="7"/>
  <c r="G24" i="7" s="1"/>
  <c r="J24" i="7"/>
  <c r="L24" i="7"/>
  <c r="P24" i="7"/>
  <c r="S24" i="7"/>
  <c r="T24" i="7" s="1"/>
  <c r="V24" i="7"/>
  <c r="W24" i="7" s="1"/>
  <c r="Y24" i="7"/>
  <c r="C25" i="7"/>
  <c r="F25" i="7"/>
  <c r="G25" i="7" s="1"/>
  <c r="J25" i="7"/>
  <c r="L25" i="7"/>
  <c r="P25" i="7"/>
  <c r="S25" i="7"/>
  <c r="T25" i="7" s="1"/>
  <c r="V25" i="7"/>
  <c r="W25" i="7" s="1"/>
  <c r="Y25" i="7"/>
  <c r="C26" i="7"/>
  <c r="F26" i="7"/>
  <c r="G26" i="7" s="1"/>
  <c r="J26" i="7"/>
  <c r="L26" i="7"/>
  <c r="P26" i="7"/>
  <c r="S26" i="7"/>
  <c r="T26" i="7" s="1"/>
  <c r="V26" i="7"/>
  <c r="W26" i="7" s="1"/>
  <c r="Y26" i="7"/>
  <c r="C27" i="7"/>
  <c r="F27" i="7"/>
  <c r="G27" i="7" s="1"/>
  <c r="J27" i="7"/>
  <c r="L27" i="7"/>
  <c r="P27" i="7"/>
  <c r="S27" i="7"/>
  <c r="T27" i="7" s="1"/>
  <c r="V27" i="7"/>
  <c r="W27" i="7" s="1"/>
  <c r="Y27" i="7"/>
  <c r="C28" i="7"/>
  <c r="F28" i="7"/>
  <c r="G28" i="7" s="1"/>
  <c r="J28" i="7"/>
  <c r="L28" i="7"/>
  <c r="P28" i="7"/>
  <c r="S28" i="7"/>
  <c r="T28" i="7" s="1"/>
  <c r="V28" i="7"/>
  <c r="W28" i="7" s="1"/>
  <c r="Y28" i="7"/>
  <c r="C29" i="7"/>
  <c r="F29" i="7"/>
  <c r="G29" i="7" s="1"/>
  <c r="J29" i="7"/>
  <c r="L29" i="7"/>
  <c r="P29" i="7"/>
  <c r="S29" i="7"/>
  <c r="T29" i="7" s="1"/>
  <c r="V29" i="7"/>
  <c r="W29" i="7" s="1"/>
  <c r="Y29" i="7"/>
  <c r="C30" i="7"/>
  <c r="F30" i="7"/>
  <c r="G30" i="7" s="1"/>
  <c r="J30" i="7"/>
  <c r="L30" i="7"/>
  <c r="P30" i="7"/>
  <c r="S30" i="7"/>
  <c r="T30" i="7" s="1"/>
  <c r="V30" i="7"/>
  <c r="W30" i="7" s="1"/>
  <c r="Y30" i="7"/>
  <c r="C31" i="7"/>
  <c r="F31" i="7"/>
  <c r="G31" i="7" s="1"/>
  <c r="J31" i="7"/>
  <c r="L31" i="7"/>
  <c r="P31" i="7"/>
  <c r="S31" i="7"/>
  <c r="T31" i="7" s="1"/>
  <c r="V31" i="7"/>
  <c r="W31" i="7" s="1"/>
  <c r="Y31" i="7"/>
  <c r="C32" i="7"/>
  <c r="F32" i="7"/>
  <c r="G32" i="7" s="1"/>
  <c r="J32" i="7"/>
  <c r="L32" i="7"/>
  <c r="P32" i="7"/>
  <c r="S32" i="7"/>
  <c r="T32" i="7" s="1"/>
  <c r="V32" i="7"/>
  <c r="W32" i="7" s="1"/>
  <c r="Y32" i="7"/>
  <c r="C33" i="7"/>
  <c r="F33" i="7"/>
  <c r="G33" i="7" s="1"/>
  <c r="J33" i="7"/>
  <c r="P33" i="7"/>
  <c r="S33" i="7"/>
  <c r="T33" i="7" s="1"/>
  <c r="V33" i="7"/>
  <c r="W33" i="7" s="1"/>
  <c r="Y33" i="7"/>
  <c r="C34" i="7"/>
  <c r="F34" i="7"/>
  <c r="G34" i="7" s="1"/>
  <c r="J34" i="7"/>
  <c r="L34" i="7"/>
  <c r="P34" i="7"/>
  <c r="S34" i="7"/>
  <c r="T34" i="7" s="1"/>
  <c r="V34" i="7"/>
  <c r="W34" i="7" s="1"/>
  <c r="Y34" i="7"/>
  <c r="C5" i="6"/>
  <c r="D5" i="6" s="1"/>
  <c r="F5" i="6"/>
  <c r="G5" i="6" s="1"/>
  <c r="I5" i="6"/>
  <c r="J5" i="6" s="1"/>
  <c r="L5" i="6"/>
  <c r="M5" i="6" s="1"/>
  <c r="P5" i="6"/>
  <c r="Q5" i="6" s="1"/>
  <c r="S5" i="6"/>
  <c r="T5" i="6" s="1"/>
  <c r="V5" i="6"/>
  <c r="W5" i="6" s="1"/>
  <c r="Y5" i="6"/>
  <c r="Z5" i="6" s="1"/>
  <c r="AB5" i="6"/>
  <c r="C6" i="6"/>
  <c r="F6" i="6"/>
  <c r="G6" i="6" s="1"/>
  <c r="I6" i="6"/>
  <c r="J6" i="6" s="1"/>
  <c r="L6" i="6"/>
  <c r="M6" i="6" s="1"/>
  <c r="P6" i="6"/>
  <c r="Q6" i="6" s="1"/>
  <c r="S6" i="6"/>
  <c r="T6" i="6" s="1"/>
  <c r="V6" i="6"/>
  <c r="W6" i="6" s="1"/>
  <c r="Y6" i="6"/>
  <c r="Z6" i="6" s="1"/>
  <c r="C7" i="6"/>
  <c r="D7" i="6" s="1"/>
  <c r="F7" i="6"/>
  <c r="G7" i="6" s="1"/>
  <c r="I7" i="6"/>
  <c r="J7" i="6" s="1"/>
  <c r="L7" i="6"/>
  <c r="M7" i="6" s="1"/>
  <c r="P7" i="6"/>
  <c r="Q7" i="6" s="1"/>
  <c r="S7" i="6"/>
  <c r="T7" i="6" s="1"/>
  <c r="V7" i="6"/>
  <c r="W7" i="6" s="1"/>
  <c r="Y7" i="6"/>
  <c r="Z7" i="6" s="1"/>
  <c r="AB7" i="6"/>
  <c r="C8" i="6"/>
  <c r="F8" i="6"/>
  <c r="G8" i="6" s="1"/>
  <c r="I8" i="6"/>
  <c r="J8" i="6" s="1"/>
  <c r="L8" i="6"/>
  <c r="M8" i="6" s="1"/>
  <c r="P8" i="6"/>
  <c r="Q8" i="6" s="1"/>
  <c r="S8" i="6"/>
  <c r="T8" i="6" s="1"/>
  <c r="V8" i="6"/>
  <c r="W8" i="6" s="1"/>
  <c r="Y8" i="6"/>
  <c r="Z8" i="6" s="1"/>
  <c r="C9" i="6"/>
  <c r="D9" i="6" s="1"/>
  <c r="F9" i="6"/>
  <c r="G9" i="6" s="1"/>
  <c r="I9" i="6"/>
  <c r="J9" i="6" s="1"/>
  <c r="L9" i="6"/>
  <c r="M9" i="6" s="1"/>
  <c r="P9" i="6"/>
  <c r="Q9" i="6" s="1"/>
  <c r="S9" i="6"/>
  <c r="T9" i="6" s="1"/>
  <c r="V9" i="6"/>
  <c r="W9" i="6" s="1"/>
  <c r="Y9" i="6"/>
  <c r="Z9" i="6" s="1"/>
  <c r="AB9" i="6"/>
  <c r="C10" i="6"/>
  <c r="F10" i="6"/>
  <c r="G10" i="6" s="1"/>
  <c r="I10" i="6"/>
  <c r="J10" i="6" s="1"/>
  <c r="L10" i="6"/>
  <c r="M10" i="6" s="1"/>
  <c r="P10" i="6"/>
  <c r="Q10" i="6" s="1"/>
  <c r="S10" i="6"/>
  <c r="T10" i="6" s="1"/>
  <c r="V10" i="6"/>
  <c r="W10" i="6" s="1"/>
  <c r="Y10" i="6"/>
  <c r="Z10" i="6" s="1"/>
  <c r="C11" i="6"/>
  <c r="D11" i="6" s="1"/>
  <c r="F11" i="6"/>
  <c r="G11" i="6" s="1"/>
  <c r="I11" i="6"/>
  <c r="J11" i="6" s="1"/>
  <c r="L11" i="6"/>
  <c r="M11" i="6" s="1"/>
  <c r="P11" i="6"/>
  <c r="Q11" i="6" s="1"/>
  <c r="S11" i="6"/>
  <c r="T11" i="6" s="1"/>
  <c r="V11" i="6"/>
  <c r="W11" i="6" s="1"/>
  <c r="Y11" i="6"/>
  <c r="Z11" i="6" s="1"/>
  <c r="AB11" i="6"/>
  <c r="C12" i="6"/>
  <c r="F12" i="6"/>
  <c r="G12" i="6" s="1"/>
  <c r="I12" i="6"/>
  <c r="J12" i="6" s="1"/>
  <c r="L12" i="6"/>
  <c r="M12" i="6" s="1"/>
  <c r="P12" i="6"/>
  <c r="Q12" i="6" s="1"/>
  <c r="S12" i="6"/>
  <c r="T12" i="6" s="1"/>
  <c r="V12" i="6"/>
  <c r="W12" i="6" s="1"/>
  <c r="Y12" i="6"/>
  <c r="Z12" i="6" s="1"/>
  <c r="C13" i="6"/>
  <c r="D13" i="6" s="1"/>
  <c r="F13" i="6"/>
  <c r="G13" i="6" s="1"/>
  <c r="I13" i="6"/>
  <c r="J13" i="6" s="1"/>
  <c r="L13" i="6"/>
  <c r="M13" i="6" s="1"/>
  <c r="P13" i="6"/>
  <c r="Q13" i="6" s="1"/>
  <c r="S13" i="6"/>
  <c r="T13" i="6" s="1"/>
  <c r="V13" i="6"/>
  <c r="W13" i="6" s="1"/>
  <c r="Y13" i="6"/>
  <c r="Z13" i="6" s="1"/>
  <c r="AB13" i="6"/>
  <c r="C14" i="6"/>
  <c r="F14" i="6"/>
  <c r="G14" i="6" s="1"/>
  <c r="I14" i="6"/>
  <c r="J14" i="6" s="1"/>
  <c r="L14" i="6"/>
  <c r="M14" i="6" s="1"/>
  <c r="P14" i="6"/>
  <c r="Q14" i="6" s="1"/>
  <c r="S14" i="6"/>
  <c r="T14" i="6" s="1"/>
  <c r="V14" i="6"/>
  <c r="W14" i="6" s="1"/>
  <c r="Y14" i="6"/>
  <c r="Z14" i="6" s="1"/>
  <c r="C15" i="6"/>
  <c r="D15" i="6" s="1"/>
  <c r="F15" i="6"/>
  <c r="G15" i="6" s="1"/>
  <c r="I15" i="6"/>
  <c r="J15" i="6" s="1"/>
  <c r="L15" i="6"/>
  <c r="M15" i="6" s="1"/>
  <c r="P15" i="6"/>
  <c r="Q15" i="6" s="1"/>
  <c r="S15" i="6"/>
  <c r="T15" i="6" s="1"/>
  <c r="V15" i="6"/>
  <c r="W15" i="6" s="1"/>
  <c r="Y15" i="6"/>
  <c r="Z15" i="6" s="1"/>
  <c r="AB15" i="6"/>
  <c r="C16" i="6"/>
  <c r="D16" i="6" s="1"/>
  <c r="F16" i="6"/>
  <c r="G16" i="6" s="1"/>
  <c r="I16" i="6"/>
  <c r="J16" i="6" s="1"/>
  <c r="L16" i="6"/>
  <c r="M16" i="6" s="1"/>
  <c r="P16" i="6"/>
  <c r="Q16" i="6" s="1"/>
  <c r="S16" i="6"/>
  <c r="T16" i="6" s="1"/>
  <c r="V16" i="6"/>
  <c r="W16" i="6" s="1"/>
  <c r="Y16" i="6"/>
  <c r="Z16" i="6" s="1"/>
  <c r="C17" i="6"/>
  <c r="F17" i="6"/>
  <c r="G17" i="6" s="1"/>
  <c r="I17" i="6"/>
  <c r="J17" i="6" s="1"/>
  <c r="L17" i="6"/>
  <c r="M17" i="6" s="1"/>
  <c r="P17" i="6"/>
  <c r="Q17" i="6" s="1"/>
  <c r="S17" i="6"/>
  <c r="T17" i="6" s="1"/>
  <c r="V17" i="6"/>
  <c r="W17" i="6" s="1"/>
  <c r="Y17" i="6"/>
  <c r="Z17" i="6" s="1"/>
  <c r="AB17" i="6"/>
  <c r="F18" i="6"/>
  <c r="G18" i="6" s="1"/>
  <c r="I18" i="6"/>
  <c r="J18" i="6" s="1"/>
  <c r="L18" i="6"/>
  <c r="M18" i="6" s="1"/>
  <c r="P18" i="6"/>
  <c r="Q18" i="6" s="1"/>
  <c r="S18" i="6"/>
  <c r="T18" i="6" s="1"/>
  <c r="V18" i="6"/>
  <c r="W18" i="6" s="1"/>
  <c r="Y18" i="6"/>
  <c r="Z18" i="6" s="1"/>
  <c r="C19" i="6"/>
  <c r="F19" i="6"/>
  <c r="G19" i="6" s="1"/>
  <c r="I19" i="6"/>
  <c r="J19" i="6" s="1"/>
  <c r="L19" i="6"/>
  <c r="M19" i="6" s="1"/>
  <c r="P19" i="6"/>
  <c r="Q19" i="6" s="1"/>
  <c r="S19" i="6"/>
  <c r="T19" i="6" s="1"/>
  <c r="V19" i="6"/>
  <c r="W19" i="6" s="1"/>
  <c r="Y19" i="6"/>
  <c r="Z19" i="6" s="1"/>
  <c r="AB19" i="6"/>
  <c r="C20" i="6"/>
  <c r="D20" i="6" s="1"/>
  <c r="F20" i="6"/>
  <c r="G20" i="6" s="1"/>
  <c r="I20" i="6"/>
  <c r="J20" i="6" s="1"/>
  <c r="L20" i="6"/>
  <c r="M20" i="6" s="1"/>
  <c r="P20" i="6"/>
  <c r="Q20" i="6" s="1"/>
  <c r="S20" i="6"/>
  <c r="T20" i="6" s="1"/>
  <c r="V20" i="6"/>
  <c r="W20" i="6" s="1"/>
  <c r="Y20" i="6"/>
  <c r="Z20" i="6" s="1"/>
  <c r="AB20" i="6"/>
  <c r="C21" i="6"/>
  <c r="F21" i="6"/>
  <c r="G21" i="6" s="1"/>
  <c r="I21" i="6"/>
  <c r="L21" i="6"/>
  <c r="M21" i="6" s="1"/>
  <c r="P21" i="6"/>
  <c r="S21" i="6"/>
  <c r="T21" i="6" s="1"/>
  <c r="V21" i="6"/>
  <c r="Y21" i="6"/>
  <c r="Z21" i="6" s="1"/>
  <c r="C22" i="6"/>
  <c r="D22" i="6" s="1"/>
  <c r="F22" i="6"/>
  <c r="I22" i="6"/>
  <c r="J22" i="6" s="1"/>
  <c r="L22" i="6"/>
  <c r="P22" i="6"/>
  <c r="Q22" i="6" s="1"/>
  <c r="S22" i="6"/>
  <c r="V22" i="6"/>
  <c r="W22" i="6" s="1"/>
  <c r="Y22" i="6"/>
  <c r="AB22" i="6"/>
  <c r="C23" i="6"/>
  <c r="F23" i="6"/>
  <c r="G23" i="6" s="1"/>
  <c r="I23" i="6"/>
  <c r="J23" i="6" s="1"/>
  <c r="L23" i="6"/>
  <c r="M23" i="6" s="1"/>
  <c r="P23" i="6"/>
  <c r="Q23" i="6" s="1"/>
  <c r="S23" i="6"/>
  <c r="T23" i="6" s="1"/>
  <c r="V23" i="6"/>
  <c r="W23" i="6" s="1"/>
  <c r="Y23" i="6"/>
  <c r="Z23" i="6" s="1"/>
  <c r="C24" i="6"/>
  <c r="D24" i="6" s="1"/>
  <c r="F24" i="6"/>
  <c r="G24" i="6" s="1"/>
  <c r="I24" i="6"/>
  <c r="J24" i="6" s="1"/>
  <c r="L24" i="6"/>
  <c r="M24" i="6" s="1"/>
  <c r="P24" i="6"/>
  <c r="Q24" i="6" s="1"/>
  <c r="S24" i="6"/>
  <c r="T24" i="6" s="1"/>
  <c r="V24" i="6"/>
  <c r="W24" i="6" s="1"/>
  <c r="Y24" i="6"/>
  <c r="Z24" i="6" s="1"/>
  <c r="AB24" i="6"/>
  <c r="C25" i="6"/>
  <c r="F25" i="6"/>
  <c r="G25" i="6" s="1"/>
  <c r="I25" i="6"/>
  <c r="J25" i="6" s="1"/>
  <c r="L25" i="6"/>
  <c r="M25" i="6" s="1"/>
  <c r="P25" i="6"/>
  <c r="Q25" i="6" s="1"/>
  <c r="S25" i="6"/>
  <c r="T25" i="6" s="1"/>
  <c r="V25" i="6"/>
  <c r="W25" i="6" s="1"/>
  <c r="Y25" i="6"/>
  <c r="Z25" i="6" s="1"/>
  <c r="C26" i="6"/>
  <c r="D26" i="6" s="1"/>
  <c r="F26" i="6"/>
  <c r="G26" i="6" s="1"/>
  <c r="I26" i="6"/>
  <c r="J26" i="6" s="1"/>
  <c r="L26" i="6"/>
  <c r="M26" i="6" s="1"/>
  <c r="P26" i="6"/>
  <c r="Q26" i="6" s="1"/>
  <c r="S26" i="6"/>
  <c r="T26" i="6" s="1"/>
  <c r="V26" i="6"/>
  <c r="W26" i="6" s="1"/>
  <c r="Y26" i="6"/>
  <c r="Z26" i="6" s="1"/>
  <c r="AB26" i="6"/>
  <c r="C27" i="6"/>
  <c r="F27" i="6"/>
  <c r="G27" i="6" s="1"/>
  <c r="I27" i="6"/>
  <c r="J27" i="6" s="1"/>
  <c r="L27" i="6"/>
  <c r="M27" i="6" s="1"/>
  <c r="P27" i="6"/>
  <c r="Q27" i="6" s="1"/>
  <c r="S27" i="6"/>
  <c r="T27" i="6" s="1"/>
  <c r="V27" i="6"/>
  <c r="W27" i="6" s="1"/>
  <c r="Y27" i="6"/>
  <c r="Z27" i="6" s="1"/>
  <c r="C28" i="6"/>
  <c r="D28" i="6" s="1"/>
  <c r="F28" i="6"/>
  <c r="G28" i="6" s="1"/>
  <c r="I28" i="6"/>
  <c r="J28" i="6" s="1"/>
  <c r="L28" i="6"/>
  <c r="M28" i="6" s="1"/>
  <c r="P28" i="6"/>
  <c r="Q28" i="6" s="1"/>
  <c r="S28" i="6"/>
  <c r="T28" i="6" s="1"/>
  <c r="V28" i="6"/>
  <c r="W28" i="6" s="1"/>
  <c r="Y28" i="6"/>
  <c r="Z28" i="6" s="1"/>
  <c r="AB28" i="6"/>
  <c r="C29" i="6"/>
  <c r="F29" i="6"/>
  <c r="G29" i="6" s="1"/>
  <c r="I29" i="6"/>
  <c r="J29" i="6" s="1"/>
  <c r="L29" i="6"/>
  <c r="M29" i="6" s="1"/>
  <c r="P29" i="6"/>
  <c r="Q29" i="6" s="1"/>
  <c r="S29" i="6"/>
  <c r="T29" i="6" s="1"/>
  <c r="V29" i="6"/>
  <c r="W29" i="6" s="1"/>
  <c r="Y29" i="6"/>
  <c r="Z29" i="6" s="1"/>
  <c r="C30" i="6"/>
  <c r="D30" i="6" s="1"/>
  <c r="F30" i="6"/>
  <c r="G30" i="6" s="1"/>
  <c r="I30" i="6"/>
  <c r="J30" i="6" s="1"/>
  <c r="L30" i="6"/>
  <c r="M30" i="6" s="1"/>
  <c r="P30" i="6"/>
  <c r="Q30" i="6" s="1"/>
  <c r="S30" i="6"/>
  <c r="T30" i="6" s="1"/>
  <c r="V30" i="6"/>
  <c r="W30" i="6" s="1"/>
  <c r="Y30" i="6"/>
  <c r="Z30" i="6" s="1"/>
  <c r="AB30" i="6"/>
  <c r="C31" i="6"/>
  <c r="F31" i="6"/>
  <c r="G31" i="6" s="1"/>
  <c r="J31" i="6"/>
  <c r="L31" i="6"/>
  <c r="M31" i="6" s="1"/>
  <c r="P31" i="6"/>
  <c r="Q31" i="6" s="1"/>
  <c r="S31" i="6"/>
  <c r="T31" i="6" s="1"/>
  <c r="V31" i="6"/>
  <c r="W31" i="6" s="1"/>
  <c r="Y31" i="6"/>
  <c r="Z31" i="6" s="1"/>
  <c r="C32" i="6"/>
  <c r="D32" i="6" s="1"/>
  <c r="F32" i="6"/>
  <c r="G32" i="6" s="1"/>
  <c r="J32" i="6"/>
  <c r="L32" i="6"/>
  <c r="M32" i="6" s="1"/>
  <c r="P32" i="6"/>
  <c r="Q32" i="6" s="1"/>
  <c r="S32" i="6"/>
  <c r="T32" i="6" s="1"/>
  <c r="V32" i="6"/>
  <c r="W32" i="6" s="1"/>
  <c r="Y32" i="6"/>
  <c r="Z32" i="6" s="1"/>
  <c r="AB32" i="6"/>
  <c r="C33" i="6"/>
  <c r="F33" i="6"/>
  <c r="G33" i="6" s="1"/>
  <c r="J33" i="6"/>
  <c r="L33" i="6"/>
  <c r="M33" i="6" s="1"/>
  <c r="P33" i="6"/>
  <c r="Q33" i="6" s="1"/>
  <c r="S33" i="6"/>
  <c r="T33" i="6" s="1"/>
  <c r="V33" i="6"/>
  <c r="W33" i="6" s="1"/>
  <c r="Y33" i="6"/>
  <c r="Z33" i="6" s="1"/>
  <c r="C34" i="6"/>
  <c r="D34" i="6" s="1"/>
  <c r="F34" i="6"/>
  <c r="G34" i="6" s="1"/>
  <c r="J34" i="6"/>
  <c r="L34" i="6"/>
  <c r="M34" i="6" s="1"/>
  <c r="P34" i="6"/>
  <c r="Q34" i="6" s="1"/>
  <c r="S34" i="6"/>
  <c r="T34" i="6" s="1"/>
  <c r="V34" i="6"/>
  <c r="W34" i="6" s="1"/>
  <c r="Y34" i="6"/>
  <c r="Z34" i="6" s="1"/>
  <c r="AB34" i="6"/>
  <c r="C35" i="6"/>
  <c r="F35" i="6"/>
  <c r="G35" i="6" s="1"/>
  <c r="J35" i="6"/>
  <c r="L35" i="6"/>
  <c r="M35" i="6" s="1"/>
  <c r="P35" i="6"/>
  <c r="Q35" i="6" s="1"/>
  <c r="S35" i="6"/>
  <c r="T35" i="6" s="1"/>
  <c r="V35" i="6"/>
  <c r="W35" i="6" s="1"/>
  <c r="Y35" i="6"/>
  <c r="Z35" i="6" s="1"/>
  <c r="C5" i="4"/>
  <c r="F5" i="4"/>
  <c r="I5" i="4"/>
  <c r="J5" i="4" s="1"/>
  <c r="L5" i="4"/>
  <c r="P5" i="4"/>
  <c r="Q5" i="4" s="1"/>
  <c r="S5" i="4"/>
  <c r="V5" i="4"/>
  <c r="W5" i="4" s="1"/>
  <c r="Y5" i="4"/>
  <c r="C6" i="4"/>
  <c r="F6" i="4"/>
  <c r="G6" i="4" s="1"/>
  <c r="I6" i="4"/>
  <c r="L6" i="4"/>
  <c r="M6" i="4" s="1"/>
  <c r="P6" i="4"/>
  <c r="S6" i="4"/>
  <c r="T6" i="4" s="1"/>
  <c r="V6" i="4"/>
  <c r="Y6" i="4"/>
  <c r="Z6" i="4" s="1"/>
  <c r="C7" i="4"/>
  <c r="F7" i="4"/>
  <c r="G7" i="4" s="1"/>
  <c r="I7" i="4"/>
  <c r="J7" i="4" s="1"/>
  <c r="L7" i="4"/>
  <c r="M7" i="4" s="1"/>
  <c r="P7" i="4"/>
  <c r="Q7" i="4" s="1"/>
  <c r="S7" i="4"/>
  <c r="T7" i="4" s="1"/>
  <c r="V7" i="4"/>
  <c r="W7" i="4" s="1"/>
  <c r="Y7" i="4"/>
  <c r="Z7" i="4" s="1"/>
  <c r="C8" i="4"/>
  <c r="F8" i="4"/>
  <c r="G8" i="4" s="1"/>
  <c r="I8" i="4"/>
  <c r="J8" i="4" s="1"/>
  <c r="L8" i="4"/>
  <c r="M8" i="4" s="1"/>
  <c r="P8" i="4"/>
  <c r="Q8" i="4" s="1"/>
  <c r="S8" i="4"/>
  <c r="T8" i="4" s="1"/>
  <c r="V8" i="4"/>
  <c r="W8" i="4" s="1"/>
  <c r="Y8" i="4"/>
  <c r="Z8" i="4" s="1"/>
  <c r="C9" i="4"/>
  <c r="F9" i="4"/>
  <c r="G9" i="4" s="1"/>
  <c r="I9" i="4"/>
  <c r="J9" i="4" s="1"/>
  <c r="L9" i="4"/>
  <c r="M9" i="4" s="1"/>
  <c r="P9" i="4"/>
  <c r="Q9" i="4" s="1"/>
  <c r="S9" i="4"/>
  <c r="T9" i="4" s="1"/>
  <c r="V9" i="4"/>
  <c r="W9" i="4" s="1"/>
  <c r="Y9" i="4"/>
  <c r="Z9" i="4" s="1"/>
  <c r="C10" i="4"/>
  <c r="F10" i="4"/>
  <c r="G10" i="4" s="1"/>
  <c r="I10" i="4"/>
  <c r="J10" i="4" s="1"/>
  <c r="L10" i="4"/>
  <c r="M10" i="4" s="1"/>
  <c r="P10" i="4"/>
  <c r="Q10" i="4" s="1"/>
  <c r="S10" i="4"/>
  <c r="T10" i="4" s="1"/>
  <c r="V10" i="4"/>
  <c r="W10" i="4" s="1"/>
  <c r="Y10" i="4"/>
  <c r="Z10" i="4" s="1"/>
  <c r="C11" i="4"/>
  <c r="F11" i="4"/>
  <c r="G11" i="4" s="1"/>
  <c r="I11" i="4"/>
  <c r="J11" i="4" s="1"/>
  <c r="L11" i="4"/>
  <c r="M11" i="4" s="1"/>
  <c r="P11" i="4"/>
  <c r="Q11" i="4" s="1"/>
  <c r="S11" i="4"/>
  <c r="T11" i="4" s="1"/>
  <c r="V11" i="4"/>
  <c r="W11" i="4" s="1"/>
  <c r="Y11" i="4"/>
  <c r="Z11" i="4" s="1"/>
  <c r="C12" i="4"/>
  <c r="F12" i="4"/>
  <c r="G12" i="4" s="1"/>
  <c r="I12" i="4"/>
  <c r="J12" i="4" s="1"/>
  <c r="L12" i="4"/>
  <c r="M12" i="4" s="1"/>
  <c r="P12" i="4"/>
  <c r="Q12" i="4" s="1"/>
  <c r="S12" i="4"/>
  <c r="T12" i="4" s="1"/>
  <c r="V12" i="4"/>
  <c r="W12" i="4" s="1"/>
  <c r="Y12" i="4"/>
  <c r="Z12" i="4" s="1"/>
  <c r="C13" i="4"/>
  <c r="F13" i="4"/>
  <c r="G13" i="4" s="1"/>
  <c r="I13" i="4"/>
  <c r="J13" i="4" s="1"/>
  <c r="L13" i="4"/>
  <c r="M13" i="4" s="1"/>
  <c r="P13" i="4"/>
  <c r="Q13" i="4" s="1"/>
  <c r="S13" i="4"/>
  <c r="T13" i="4" s="1"/>
  <c r="V13" i="4"/>
  <c r="W13" i="4" s="1"/>
  <c r="Y13" i="4"/>
  <c r="Z13" i="4" s="1"/>
  <c r="C14" i="4"/>
  <c r="F14" i="4"/>
  <c r="G14" i="4" s="1"/>
  <c r="I14" i="4"/>
  <c r="J14" i="4" s="1"/>
  <c r="L14" i="4"/>
  <c r="M14" i="4" s="1"/>
  <c r="P14" i="4"/>
  <c r="Q14" i="4" s="1"/>
  <c r="S14" i="4"/>
  <c r="T14" i="4" s="1"/>
  <c r="V14" i="4"/>
  <c r="W14" i="4" s="1"/>
  <c r="Y14" i="4"/>
  <c r="Z14" i="4" s="1"/>
  <c r="C15" i="4"/>
  <c r="F15" i="4"/>
  <c r="G15" i="4" s="1"/>
  <c r="I15" i="4"/>
  <c r="J15" i="4" s="1"/>
  <c r="L15" i="4"/>
  <c r="M15" i="4" s="1"/>
  <c r="P15" i="4"/>
  <c r="Q15" i="4" s="1"/>
  <c r="S15" i="4"/>
  <c r="T15" i="4" s="1"/>
  <c r="V15" i="4"/>
  <c r="W15" i="4" s="1"/>
  <c r="Y15" i="4"/>
  <c r="Z15" i="4" s="1"/>
  <c r="C16" i="4"/>
  <c r="F16" i="4"/>
  <c r="G16" i="4" s="1"/>
  <c r="I16" i="4"/>
  <c r="J16" i="4" s="1"/>
  <c r="L16" i="4"/>
  <c r="M16" i="4" s="1"/>
  <c r="P16" i="4"/>
  <c r="Q16" i="4" s="1"/>
  <c r="S16" i="4"/>
  <c r="T16" i="4" s="1"/>
  <c r="V16" i="4"/>
  <c r="W16" i="4" s="1"/>
  <c r="Y16" i="4"/>
  <c r="Z16" i="4" s="1"/>
  <c r="C17" i="4"/>
  <c r="F17" i="4"/>
  <c r="G17" i="4" s="1"/>
  <c r="I17" i="4"/>
  <c r="J17" i="4" s="1"/>
  <c r="L17" i="4"/>
  <c r="M17" i="4" s="1"/>
  <c r="P17" i="4"/>
  <c r="Q17" i="4" s="1"/>
  <c r="S17" i="4"/>
  <c r="T17" i="4" s="1"/>
  <c r="V17" i="4"/>
  <c r="W17" i="4" s="1"/>
  <c r="Y17" i="4"/>
  <c r="Z17" i="4" s="1"/>
  <c r="C18" i="4"/>
  <c r="F18" i="4"/>
  <c r="G18" i="4" s="1"/>
  <c r="I18" i="4"/>
  <c r="J18" i="4" s="1"/>
  <c r="L18" i="4"/>
  <c r="M18" i="4" s="1"/>
  <c r="P18" i="4"/>
  <c r="Q18" i="4" s="1"/>
  <c r="S18" i="4"/>
  <c r="T18" i="4" s="1"/>
  <c r="V18" i="4"/>
  <c r="W18" i="4" s="1"/>
  <c r="Y18" i="4"/>
  <c r="Z18" i="4" s="1"/>
  <c r="C19" i="4"/>
  <c r="F19" i="4"/>
  <c r="G19" i="4" s="1"/>
  <c r="I19" i="4"/>
  <c r="J19" i="4" s="1"/>
  <c r="L19" i="4"/>
  <c r="M19" i="4" s="1"/>
  <c r="P19" i="4"/>
  <c r="Q19" i="4" s="1"/>
  <c r="S19" i="4"/>
  <c r="T19" i="4" s="1"/>
  <c r="V19" i="4"/>
  <c r="W19" i="4" s="1"/>
  <c r="Y19" i="4"/>
  <c r="Z19" i="4" s="1"/>
  <c r="C20" i="4"/>
  <c r="F20" i="4"/>
  <c r="G20" i="4" s="1"/>
  <c r="I20" i="4"/>
  <c r="J20" i="4" s="1"/>
  <c r="L20" i="4"/>
  <c r="M20" i="4" s="1"/>
  <c r="P20" i="4"/>
  <c r="Q20" i="4" s="1"/>
  <c r="S20" i="4"/>
  <c r="T20" i="4" s="1"/>
  <c r="V20" i="4"/>
  <c r="W20" i="4" s="1"/>
  <c r="Y20" i="4"/>
  <c r="Z20" i="4" s="1"/>
  <c r="C21" i="4"/>
  <c r="F21" i="4"/>
  <c r="G21" i="4" s="1"/>
  <c r="I21" i="4"/>
  <c r="J21" i="4" s="1"/>
  <c r="L21" i="4"/>
  <c r="M21" i="4" s="1"/>
  <c r="P21" i="4"/>
  <c r="Q21" i="4" s="1"/>
  <c r="S21" i="4"/>
  <c r="T21" i="4" s="1"/>
  <c r="V21" i="4"/>
  <c r="W21" i="4" s="1"/>
  <c r="Y21" i="4"/>
  <c r="Z21" i="4" s="1"/>
  <c r="C22" i="4"/>
  <c r="F22" i="4"/>
  <c r="G22" i="4" s="1"/>
  <c r="I22" i="4"/>
  <c r="J22" i="4" s="1"/>
  <c r="L22" i="4"/>
  <c r="M22" i="4" s="1"/>
  <c r="P22" i="4"/>
  <c r="Q22" i="4" s="1"/>
  <c r="S22" i="4"/>
  <c r="T22" i="4" s="1"/>
  <c r="V22" i="4"/>
  <c r="W22" i="4" s="1"/>
  <c r="Y22" i="4"/>
  <c r="Z22" i="4" s="1"/>
  <c r="C23" i="4"/>
  <c r="F23" i="4"/>
  <c r="G23" i="4" s="1"/>
  <c r="I23" i="4"/>
  <c r="J23" i="4" s="1"/>
  <c r="L23" i="4"/>
  <c r="M23" i="4" s="1"/>
  <c r="P23" i="4"/>
  <c r="Q23" i="4" s="1"/>
  <c r="S23" i="4"/>
  <c r="T23" i="4" s="1"/>
  <c r="V23" i="4"/>
  <c r="W23" i="4" s="1"/>
  <c r="Y23" i="4"/>
  <c r="Z23" i="4" s="1"/>
  <c r="C24" i="4"/>
  <c r="F24" i="4"/>
  <c r="G24" i="4" s="1"/>
  <c r="I24" i="4"/>
  <c r="J24" i="4" s="1"/>
  <c r="L24" i="4"/>
  <c r="M24" i="4" s="1"/>
  <c r="P24" i="4"/>
  <c r="Q24" i="4" s="1"/>
  <c r="S24" i="4"/>
  <c r="T24" i="4" s="1"/>
  <c r="V24" i="4"/>
  <c r="W24" i="4" s="1"/>
  <c r="Y24" i="4"/>
  <c r="Z24" i="4" s="1"/>
  <c r="C25" i="4"/>
  <c r="F25" i="4"/>
  <c r="G25" i="4" s="1"/>
  <c r="I25" i="4"/>
  <c r="J25" i="4" s="1"/>
  <c r="L25" i="4"/>
  <c r="M25" i="4" s="1"/>
  <c r="P25" i="4"/>
  <c r="Q25" i="4" s="1"/>
  <c r="S25" i="4"/>
  <c r="T25" i="4" s="1"/>
  <c r="V25" i="4"/>
  <c r="W25" i="4" s="1"/>
  <c r="Y25" i="4"/>
  <c r="Z25" i="4" s="1"/>
  <c r="C26" i="4"/>
  <c r="F26" i="4"/>
  <c r="G26" i="4" s="1"/>
  <c r="I26" i="4"/>
  <c r="J26" i="4" s="1"/>
  <c r="L26" i="4"/>
  <c r="M26" i="4" s="1"/>
  <c r="P26" i="4"/>
  <c r="Q26" i="4" s="1"/>
  <c r="S26" i="4"/>
  <c r="T26" i="4" s="1"/>
  <c r="V26" i="4"/>
  <c r="W26" i="4" s="1"/>
  <c r="Y26" i="4"/>
  <c r="Z26" i="4" s="1"/>
  <c r="C27" i="4"/>
  <c r="F27" i="4"/>
  <c r="G27" i="4" s="1"/>
  <c r="I27" i="4"/>
  <c r="J27" i="4" s="1"/>
  <c r="L27" i="4"/>
  <c r="M27" i="4" s="1"/>
  <c r="P27" i="4"/>
  <c r="Q27" i="4" s="1"/>
  <c r="S27" i="4"/>
  <c r="T27" i="4" s="1"/>
  <c r="V27" i="4"/>
  <c r="W27" i="4" s="1"/>
  <c r="Y27" i="4"/>
  <c r="Z27" i="4" s="1"/>
  <c r="C28" i="4"/>
  <c r="F28" i="4"/>
  <c r="G28" i="4" s="1"/>
  <c r="I28" i="4"/>
  <c r="J28" i="4" s="1"/>
  <c r="L28" i="4"/>
  <c r="M28" i="4" s="1"/>
  <c r="P28" i="4"/>
  <c r="Q28" i="4" s="1"/>
  <c r="S28" i="4"/>
  <c r="T28" i="4" s="1"/>
  <c r="V28" i="4"/>
  <c r="W28" i="4" s="1"/>
  <c r="Y28" i="4"/>
  <c r="Z28" i="4" s="1"/>
  <c r="C29" i="4"/>
  <c r="F29" i="4"/>
  <c r="G29" i="4" s="1"/>
  <c r="I29" i="4"/>
  <c r="J29" i="4" s="1"/>
  <c r="L29" i="4"/>
  <c r="M29" i="4" s="1"/>
  <c r="P29" i="4"/>
  <c r="Q29" i="4" s="1"/>
  <c r="S29" i="4"/>
  <c r="T29" i="4" s="1"/>
  <c r="V29" i="4"/>
  <c r="W29" i="4" s="1"/>
  <c r="Y29" i="4"/>
  <c r="Z29" i="4" s="1"/>
  <c r="C30" i="4"/>
  <c r="F30" i="4"/>
  <c r="G30" i="4" s="1"/>
  <c r="I30" i="4"/>
  <c r="J30" i="4" s="1"/>
  <c r="L30" i="4"/>
  <c r="M30" i="4" s="1"/>
  <c r="P30" i="4"/>
  <c r="Q30" i="4" s="1"/>
  <c r="S30" i="4"/>
  <c r="T30" i="4" s="1"/>
  <c r="V30" i="4"/>
  <c r="W30" i="4" s="1"/>
  <c r="Y30" i="4"/>
  <c r="Z30" i="4" s="1"/>
  <c r="C31" i="4"/>
  <c r="F31" i="4"/>
  <c r="G31" i="4" s="1"/>
  <c r="I31" i="4"/>
  <c r="J31" i="4" s="1"/>
  <c r="L31" i="4"/>
  <c r="M31" i="4" s="1"/>
  <c r="P31" i="4"/>
  <c r="Q31" i="4" s="1"/>
  <c r="S31" i="4"/>
  <c r="T31" i="4" s="1"/>
  <c r="V31" i="4"/>
  <c r="W31" i="4" s="1"/>
  <c r="Y31" i="4"/>
  <c r="Z31" i="4" s="1"/>
  <c r="C32" i="4"/>
  <c r="F32" i="4"/>
  <c r="G32" i="4" s="1"/>
  <c r="I32" i="4"/>
  <c r="J32" i="4" s="1"/>
  <c r="L32" i="4"/>
  <c r="M32" i="4" s="1"/>
  <c r="P32" i="4"/>
  <c r="Q32" i="4" s="1"/>
  <c r="S32" i="4"/>
  <c r="T32" i="4" s="1"/>
  <c r="V32" i="4"/>
  <c r="W32" i="4" s="1"/>
  <c r="Y32" i="4"/>
  <c r="Z32" i="4" s="1"/>
  <c r="C33" i="4"/>
  <c r="D33" i="4" s="1"/>
  <c r="F33" i="4"/>
  <c r="G33" i="4" s="1"/>
  <c r="I33" i="4"/>
  <c r="J33" i="4" s="1"/>
  <c r="L33" i="4"/>
  <c r="M33" i="4" s="1"/>
  <c r="P33" i="4"/>
  <c r="Q33" i="4" s="1"/>
  <c r="S33" i="4"/>
  <c r="T33" i="4" s="1"/>
  <c r="V33" i="4"/>
  <c r="W33" i="4" s="1"/>
  <c r="Y33" i="4"/>
  <c r="Z33" i="4" s="1"/>
  <c r="C5" i="1"/>
  <c r="F5" i="1"/>
  <c r="I5" i="1"/>
  <c r="J5" i="1" s="1"/>
  <c r="L5" i="1"/>
  <c r="P5" i="1"/>
  <c r="Q5" i="1" s="1"/>
  <c r="S5" i="1"/>
  <c r="V5" i="1"/>
  <c r="W5" i="1" s="1"/>
  <c r="Y5" i="1"/>
  <c r="C6" i="1"/>
  <c r="F6" i="1"/>
  <c r="G6" i="1" s="1"/>
  <c r="I6" i="1"/>
  <c r="L6" i="1"/>
  <c r="M6" i="1" s="1"/>
  <c r="P6" i="1"/>
  <c r="S6" i="1"/>
  <c r="T6" i="1" s="1"/>
  <c r="V6" i="1"/>
  <c r="Y6" i="1"/>
  <c r="Z6" i="1" s="1"/>
  <c r="C7" i="1"/>
  <c r="F7" i="1"/>
  <c r="G7" i="1" s="1"/>
  <c r="I7" i="1"/>
  <c r="J7" i="1" s="1"/>
  <c r="L7" i="1"/>
  <c r="M7" i="1" s="1"/>
  <c r="P7" i="1"/>
  <c r="Q7" i="1" s="1"/>
  <c r="S7" i="1"/>
  <c r="T7" i="1" s="1"/>
  <c r="V7" i="1"/>
  <c r="W7" i="1" s="1"/>
  <c r="Y7" i="1"/>
  <c r="Z7" i="1" s="1"/>
  <c r="C8" i="1"/>
  <c r="F8" i="1"/>
  <c r="G8" i="1" s="1"/>
  <c r="I8" i="1"/>
  <c r="J8" i="1" s="1"/>
  <c r="L8" i="1"/>
  <c r="M8" i="1" s="1"/>
  <c r="P8" i="1"/>
  <c r="Q8" i="1" s="1"/>
  <c r="S8" i="1"/>
  <c r="T8" i="1" s="1"/>
  <c r="V8" i="1"/>
  <c r="W8" i="1" s="1"/>
  <c r="Y8" i="1"/>
  <c r="Z8" i="1" s="1"/>
  <c r="C9" i="1"/>
  <c r="F9" i="1"/>
  <c r="G9" i="1" s="1"/>
  <c r="I9" i="1"/>
  <c r="J9" i="1" s="1"/>
  <c r="L9" i="1"/>
  <c r="M9" i="1" s="1"/>
  <c r="P9" i="1"/>
  <c r="Q9" i="1" s="1"/>
  <c r="S9" i="1"/>
  <c r="T9" i="1" s="1"/>
  <c r="V9" i="1"/>
  <c r="W9" i="1" s="1"/>
  <c r="Y9" i="1"/>
  <c r="Z9" i="1" s="1"/>
  <c r="C10" i="1"/>
  <c r="F10" i="1"/>
  <c r="G10" i="1" s="1"/>
  <c r="I10" i="1"/>
  <c r="J10" i="1" s="1"/>
  <c r="L10" i="1"/>
  <c r="M10" i="1" s="1"/>
  <c r="P10" i="1"/>
  <c r="Q10" i="1" s="1"/>
  <c r="S10" i="1"/>
  <c r="T10" i="1" s="1"/>
  <c r="V10" i="1"/>
  <c r="W10" i="1" s="1"/>
  <c r="Y10" i="1"/>
  <c r="Z10" i="1" s="1"/>
  <c r="C11" i="1"/>
  <c r="F11" i="1"/>
  <c r="G11" i="1" s="1"/>
  <c r="I11" i="1"/>
  <c r="J11" i="1" s="1"/>
  <c r="L11" i="1"/>
  <c r="M11" i="1" s="1"/>
  <c r="P11" i="1"/>
  <c r="Q11" i="1" s="1"/>
  <c r="S11" i="1"/>
  <c r="T11" i="1" s="1"/>
  <c r="V11" i="1"/>
  <c r="W11" i="1" s="1"/>
  <c r="Y11" i="1"/>
  <c r="Z11" i="1" s="1"/>
  <c r="C12" i="1"/>
  <c r="F12" i="1"/>
  <c r="G12" i="1" s="1"/>
  <c r="I12" i="1"/>
  <c r="J12" i="1" s="1"/>
  <c r="L12" i="1"/>
  <c r="M12" i="1" s="1"/>
  <c r="P12" i="1"/>
  <c r="Q12" i="1" s="1"/>
  <c r="S12" i="1"/>
  <c r="T12" i="1" s="1"/>
  <c r="V12" i="1"/>
  <c r="W12" i="1" s="1"/>
  <c r="Y12" i="1"/>
  <c r="Z12" i="1" s="1"/>
  <c r="C13" i="1"/>
  <c r="F13" i="1"/>
  <c r="G13" i="1" s="1"/>
  <c r="I13" i="1"/>
  <c r="J13" i="1" s="1"/>
  <c r="L13" i="1"/>
  <c r="M13" i="1" s="1"/>
  <c r="P13" i="1"/>
  <c r="Q13" i="1" s="1"/>
  <c r="S13" i="1"/>
  <c r="T13" i="1" s="1"/>
  <c r="V13" i="1"/>
  <c r="W13" i="1" s="1"/>
  <c r="Y13" i="1"/>
  <c r="Z13" i="1" s="1"/>
  <c r="C14" i="1"/>
  <c r="F14" i="1"/>
  <c r="G14" i="1" s="1"/>
  <c r="I14" i="1"/>
  <c r="J14" i="1" s="1"/>
  <c r="L14" i="1"/>
  <c r="M14" i="1" s="1"/>
  <c r="P14" i="1"/>
  <c r="Q14" i="1" s="1"/>
  <c r="S14" i="1"/>
  <c r="T14" i="1" s="1"/>
  <c r="V14" i="1"/>
  <c r="W14" i="1" s="1"/>
  <c r="Y14" i="1"/>
  <c r="Z14" i="1" s="1"/>
  <c r="C15" i="1"/>
  <c r="F15" i="1"/>
  <c r="G15" i="1" s="1"/>
  <c r="I15" i="1"/>
  <c r="J15" i="1" s="1"/>
  <c r="L15" i="1"/>
  <c r="M15" i="1" s="1"/>
  <c r="P15" i="1"/>
  <c r="Q15" i="1" s="1"/>
  <c r="S15" i="1"/>
  <c r="T15" i="1" s="1"/>
  <c r="V15" i="1"/>
  <c r="W15" i="1" s="1"/>
  <c r="Y15" i="1"/>
  <c r="Z15" i="1" s="1"/>
  <c r="C16" i="1"/>
  <c r="F16" i="1"/>
  <c r="G16" i="1" s="1"/>
  <c r="I16" i="1"/>
  <c r="J16" i="1" s="1"/>
  <c r="L16" i="1"/>
  <c r="M16" i="1" s="1"/>
  <c r="P16" i="1"/>
  <c r="Q16" i="1" s="1"/>
  <c r="S16" i="1"/>
  <c r="T16" i="1" s="1"/>
  <c r="V16" i="1"/>
  <c r="W16" i="1" s="1"/>
  <c r="Y16" i="1"/>
  <c r="Z16" i="1" s="1"/>
  <c r="C17" i="1"/>
  <c r="F17" i="1"/>
  <c r="G17" i="1" s="1"/>
  <c r="I17" i="1"/>
  <c r="J17" i="1" s="1"/>
  <c r="L17" i="1"/>
  <c r="M17" i="1" s="1"/>
  <c r="P17" i="1"/>
  <c r="Q17" i="1" s="1"/>
  <c r="S17" i="1"/>
  <c r="T17" i="1" s="1"/>
  <c r="V17" i="1"/>
  <c r="W17" i="1" s="1"/>
  <c r="Y17" i="1"/>
  <c r="Z17" i="1" s="1"/>
  <c r="C18" i="1"/>
  <c r="F18" i="1"/>
  <c r="G18" i="1" s="1"/>
  <c r="I18" i="1"/>
  <c r="J18" i="1" s="1"/>
  <c r="L18" i="1"/>
  <c r="M18" i="1" s="1"/>
  <c r="P18" i="1"/>
  <c r="Q18" i="1" s="1"/>
  <c r="S18" i="1"/>
  <c r="T18" i="1" s="1"/>
  <c r="V18" i="1"/>
  <c r="W18" i="1" s="1"/>
  <c r="Y18" i="1"/>
  <c r="Z18" i="1" s="1"/>
  <c r="C19" i="1"/>
  <c r="F19" i="1"/>
  <c r="G19" i="1" s="1"/>
  <c r="I19" i="1"/>
  <c r="J19" i="1" s="1"/>
  <c r="L19" i="1"/>
  <c r="M19" i="1" s="1"/>
  <c r="P19" i="1"/>
  <c r="Q19" i="1" s="1"/>
  <c r="S19" i="1"/>
  <c r="T19" i="1" s="1"/>
  <c r="V19" i="1"/>
  <c r="W19" i="1" s="1"/>
  <c r="Y19" i="1"/>
  <c r="Z19" i="1" s="1"/>
  <c r="C20" i="1"/>
  <c r="F20" i="1"/>
  <c r="G20" i="1" s="1"/>
  <c r="I20" i="1"/>
  <c r="J20" i="1" s="1"/>
  <c r="L20" i="1"/>
  <c r="M20" i="1" s="1"/>
  <c r="P20" i="1"/>
  <c r="Q20" i="1" s="1"/>
  <c r="S20" i="1"/>
  <c r="T20" i="1" s="1"/>
  <c r="V20" i="1"/>
  <c r="W20" i="1" s="1"/>
  <c r="Y20" i="1"/>
  <c r="Z20" i="1" s="1"/>
  <c r="C21" i="1"/>
  <c r="F21" i="1"/>
  <c r="G21" i="1" s="1"/>
  <c r="I21" i="1"/>
  <c r="J21" i="1" s="1"/>
  <c r="L21" i="1"/>
  <c r="M21" i="1" s="1"/>
  <c r="P21" i="1"/>
  <c r="Q21" i="1" s="1"/>
  <c r="S21" i="1"/>
  <c r="T21" i="1" s="1"/>
  <c r="V21" i="1"/>
  <c r="W21" i="1" s="1"/>
  <c r="Y21" i="1"/>
  <c r="Z21" i="1" s="1"/>
  <c r="C22" i="1"/>
  <c r="F22" i="1"/>
  <c r="G22" i="1" s="1"/>
  <c r="I22" i="1"/>
  <c r="J22" i="1" s="1"/>
  <c r="L22" i="1"/>
  <c r="M22" i="1" s="1"/>
  <c r="P22" i="1"/>
  <c r="Q22" i="1" s="1"/>
  <c r="S22" i="1"/>
  <c r="T22" i="1" s="1"/>
  <c r="V22" i="1"/>
  <c r="W22" i="1" s="1"/>
  <c r="Y22" i="1"/>
  <c r="Z22" i="1" s="1"/>
  <c r="C23" i="1"/>
  <c r="F23" i="1"/>
  <c r="G23" i="1" s="1"/>
  <c r="I23" i="1"/>
  <c r="J23" i="1" s="1"/>
  <c r="L23" i="1"/>
  <c r="M23" i="1" s="1"/>
  <c r="P23" i="1"/>
  <c r="Q23" i="1" s="1"/>
  <c r="S23" i="1"/>
  <c r="T23" i="1" s="1"/>
  <c r="V23" i="1"/>
  <c r="W23" i="1" s="1"/>
  <c r="Y23" i="1"/>
  <c r="Z23" i="1" s="1"/>
  <c r="C24" i="1"/>
  <c r="F24" i="1"/>
  <c r="G24" i="1" s="1"/>
  <c r="I24" i="1"/>
  <c r="J24" i="1" s="1"/>
  <c r="L24" i="1"/>
  <c r="M24" i="1" s="1"/>
  <c r="P24" i="1"/>
  <c r="Q24" i="1" s="1"/>
  <c r="S24" i="1"/>
  <c r="T24" i="1" s="1"/>
  <c r="V24" i="1"/>
  <c r="W24" i="1" s="1"/>
  <c r="Y24" i="1"/>
  <c r="Z24" i="1" s="1"/>
  <c r="C25" i="1"/>
  <c r="F25" i="1"/>
  <c r="G25" i="1" s="1"/>
  <c r="I25" i="1"/>
  <c r="J25" i="1" s="1"/>
  <c r="L25" i="1"/>
  <c r="M25" i="1" s="1"/>
  <c r="P25" i="1"/>
  <c r="Q25" i="1" s="1"/>
  <c r="S25" i="1"/>
  <c r="T25" i="1" s="1"/>
  <c r="V25" i="1"/>
  <c r="W25" i="1" s="1"/>
  <c r="Y25" i="1"/>
  <c r="Z25" i="1" s="1"/>
  <c r="C26" i="1"/>
  <c r="F26" i="1"/>
  <c r="G26" i="1" s="1"/>
  <c r="I26" i="1"/>
  <c r="J26" i="1" s="1"/>
  <c r="L26" i="1"/>
  <c r="M26" i="1" s="1"/>
  <c r="P26" i="1"/>
  <c r="Q26" i="1" s="1"/>
  <c r="S26" i="1"/>
  <c r="T26" i="1" s="1"/>
  <c r="V26" i="1"/>
  <c r="W26" i="1" s="1"/>
  <c r="Y26" i="1"/>
  <c r="Z26" i="1" s="1"/>
  <c r="C27" i="1"/>
  <c r="F27" i="1"/>
  <c r="G27" i="1" s="1"/>
  <c r="I27" i="1"/>
  <c r="J27" i="1" s="1"/>
  <c r="L27" i="1"/>
  <c r="M27" i="1" s="1"/>
  <c r="P27" i="1"/>
  <c r="Q27" i="1" s="1"/>
  <c r="S27" i="1"/>
  <c r="T27" i="1" s="1"/>
  <c r="V27" i="1"/>
  <c r="W27" i="1" s="1"/>
  <c r="Y27" i="1"/>
  <c r="Z27" i="1" s="1"/>
  <c r="C28" i="1"/>
  <c r="F28" i="1"/>
  <c r="G28" i="1" s="1"/>
  <c r="I28" i="1"/>
  <c r="J28" i="1" s="1"/>
  <c r="L28" i="1"/>
  <c r="M28" i="1" s="1"/>
  <c r="P28" i="1"/>
  <c r="Q28" i="1" s="1"/>
  <c r="S28" i="1"/>
  <c r="T28" i="1" s="1"/>
  <c r="V28" i="1"/>
  <c r="W28" i="1" s="1"/>
  <c r="Y28" i="1"/>
  <c r="Z28" i="1" s="1"/>
  <c r="C29" i="1"/>
  <c r="F29" i="1"/>
  <c r="G29" i="1" s="1"/>
  <c r="I29" i="1"/>
  <c r="J29" i="1" s="1"/>
  <c r="L29" i="1"/>
  <c r="M29" i="1" s="1"/>
  <c r="P29" i="1"/>
  <c r="Q29" i="1" s="1"/>
  <c r="S29" i="1"/>
  <c r="T29" i="1" s="1"/>
  <c r="V29" i="1"/>
  <c r="W29" i="1" s="1"/>
  <c r="Y29" i="1"/>
  <c r="Z29" i="1" s="1"/>
  <c r="C30" i="1"/>
  <c r="F30" i="1"/>
  <c r="G30" i="1" s="1"/>
  <c r="I30" i="1"/>
  <c r="J30" i="1" s="1"/>
  <c r="L30" i="1"/>
  <c r="M30" i="1" s="1"/>
  <c r="P30" i="1"/>
  <c r="Q30" i="1" s="1"/>
  <c r="S30" i="1"/>
  <c r="T30" i="1" s="1"/>
  <c r="V30" i="1"/>
  <c r="W30" i="1" s="1"/>
  <c r="Y30" i="1"/>
  <c r="Z30" i="1" s="1"/>
  <c r="C31" i="1"/>
  <c r="F31" i="1"/>
  <c r="G31" i="1" s="1"/>
  <c r="I31" i="1"/>
  <c r="J31" i="1" s="1"/>
  <c r="L31" i="1"/>
  <c r="M31" i="1" s="1"/>
  <c r="P31" i="1"/>
  <c r="Q31" i="1" s="1"/>
  <c r="S31" i="1"/>
  <c r="T31" i="1" s="1"/>
  <c r="V31" i="1"/>
  <c r="W31" i="1" s="1"/>
  <c r="Y31" i="1"/>
  <c r="Z31" i="1" s="1"/>
  <c r="C32" i="1"/>
  <c r="F32" i="1"/>
  <c r="G32" i="1" s="1"/>
  <c r="I32" i="1"/>
  <c r="J32" i="1" s="1"/>
  <c r="L32" i="1"/>
  <c r="M32" i="1" s="1"/>
  <c r="P32" i="1"/>
  <c r="Q32" i="1" s="1"/>
  <c r="S32" i="1"/>
  <c r="T32" i="1" s="1"/>
  <c r="V32" i="1"/>
  <c r="W32" i="1" s="1"/>
  <c r="Y32" i="1"/>
  <c r="Z32" i="1" s="1"/>
  <c r="C33" i="1"/>
  <c r="F33" i="1"/>
  <c r="G33" i="1" s="1"/>
  <c r="I33" i="1"/>
  <c r="J33" i="1" s="1"/>
  <c r="L33" i="1"/>
  <c r="M33" i="1" s="1"/>
  <c r="P33" i="1"/>
  <c r="Q33" i="1" s="1"/>
  <c r="S33" i="1"/>
  <c r="T33" i="1" s="1"/>
  <c r="V33" i="1"/>
  <c r="W33" i="1" s="1"/>
  <c r="Y33" i="1"/>
  <c r="Z33" i="1" s="1"/>
  <c r="C34" i="1"/>
  <c r="F34" i="1"/>
  <c r="G34" i="1" s="1"/>
  <c r="I34" i="1"/>
  <c r="J34" i="1" s="1"/>
  <c r="L34" i="1"/>
  <c r="M34" i="1" s="1"/>
  <c r="P34" i="1"/>
  <c r="Q34" i="1" s="1"/>
  <c r="S34" i="1"/>
  <c r="T34" i="1" s="1"/>
  <c r="V34" i="1"/>
  <c r="W34" i="1" s="1"/>
  <c r="Y34" i="1"/>
  <c r="Z34" i="1" s="1"/>
  <c r="C35" i="1"/>
  <c r="F35" i="1"/>
  <c r="G35" i="1" s="1"/>
  <c r="I35" i="1"/>
  <c r="J35" i="1" s="1"/>
  <c r="L35" i="1"/>
  <c r="M35" i="1" s="1"/>
  <c r="P35" i="1"/>
  <c r="Q35" i="1" s="1"/>
  <c r="S35" i="1"/>
  <c r="T35" i="1" s="1"/>
  <c r="V35" i="1"/>
  <c r="W35" i="1" s="1"/>
  <c r="Y35" i="1"/>
  <c r="Z35" i="1" s="1"/>
  <c r="F5" i="13"/>
  <c r="I5" i="13"/>
  <c r="L5" i="13"/>
  <c r="P5" i="13"/>
  <c r="S5" i="13"/>
  <c r="V5" i="13"/>
  <c r="Y5" i="13"/>
  <c r="F6" i="13"/>
  <c r="G6" i="13" s="1"/>
  <c r="I6" i="13"/>
  <c r="L6" i="13"/>
  <c r="M6" i="13" s="1"/>
  <c r="P6" i="13"/>
  <c r="Q6" i="13" s="1"/>
  <c r="S6" i="13"/>
  <c r="T6" i="13" s="1"/>
  <c r="V6" i="13"/>
  <c r="Y6" i="13"/>
  <c r="Z6" i="13" s="1"/>
  <c r="F7" i="13"/>
  <c r="I7" i="13"/>
  <c r="J7" i="13" s="1"/>
  <c r="L7" i="13"/>
  <c r="M7" i="13" s="1"/>
  <c r="P7" i="13"/>
  <c r="Q7" i="13" s="1"/>
  <c r="S7" i="13"/>
  <c r="V7" i="13"/>
  <c r="W7" i="13" s="1"/>
  <c r="Y7" i="13"/>
  <c r="Z7" i="13" s="1"/>
  <c r="F8" i="13"/>
  <c r="G8" i="13" s="1"/>
  <c r="I8" i="13"/>
  <c r="J8" i="13" s="1"/>
  <c r="L8" i="13"/>
  <c r="M8" i="13" s="1"/>
  <c r="P8" i="13"/>
  <c r="S8" i="13"/>
  <c r="T8" i="13" s="1"/>
  <c r="V8" i="13"/>
  <c r="W8" i="13" s="1"/>
  <c r="Y8" i="13"/>
  <c r="Z8" i="13" s="1"/>
  <c r="F9" i="13"/>
  <c r="G9" i="13" s="1"/>
  <c r="I9" i="13"/>
  <c r="J9" i="13" s="1"/>
  <c r="L9" i="13"/>
  <c r="M9" i="13" s="1"/>
  <c r="P9" i="13"/>
  <c r="Q9" i="13" s="1"/>
  <c r="S9" i="13"/>
  <c r="T9" i="13" s="1"/>
  <c r="V9" i="13"/>
  <c r="W9" i="13" s="1"/>
  <c r="Y9" i="13"/>
  <c r="Z9" i="13" s="1"/>
  <c r="F10" i="13"/>
  <c r="G10" i="13" s="1"/>
  <c r="I10" i="13"/>
  <c r="J10" i="13" s="1"/>
  <c r="L10" i="13"/>
  <c r="M10" i="13" s="1"/>
  <c r="P10" i="13"/>
  <c r="Q10" i="13" s="1"/>
  <c r="S10" i="13"/>
  <c r="T10" i="13" s="1"/>
  <c r="V10" i="13"/>
  <c r="W10" i="13" s="1"/>
  <c r="Y10" i="13"/>
  <c r="Z10" i="13" s="1"/>
  <c r="F11" i="13"/>
  <c r="G11" i="13" s="1"/>
  <c r="I11" i="13"/>
  <c r="J11" i="13" s="1"/>
  <c r="L11" i="13"/>
  <c r="M11" i="13" s="1"/>
  <c r="P11" i="13"/>
  <c r="Q11" i="13" s="1"/>
  <c r="S11" i="13"/>
  <c r="T11" i="13" s="1"/>
  <c r="V11" i="13"/>
  <c r="W11" i="13" s="1"/>
  <c r="Y11" i="13"/>
  <c r="Z11" i="13" s="1"/>
  <c r="F12" i="13"/>
  <c r="G12" i="13" s="1"/>
  <c r="I12" i="13"/>
  <c r="J12" i="13" s="1"/>
  <c r="L12" i="13"/>
  <c r="M12" i="13" s="1"/>
  <c r="P12" i="13"/>
  <c r="Q12" i="13" s="1"/>
  <c r="S12" i="13"/>
  <c r="T12" i="13" s="1"/>
  <c r="V12" i="13"/>
  <c r="W12" i="13" s="1"/>
  <c r="Y12" i="13"/>
  <c r="Z12" i="13" s="1"/>
  <c r="F13" i="13"/>
  <c r="G13" i="13" s="1"/>
  <c r="I13" i="13"/>
  <c r="J13" i="13" s="1"/>
  <c r="L13" i="13"/>
  <c r="M13" i="13" s="1"/>
  <c r="P13" i="13"/>
  <c r="Q13" i="13" s="1"/>
  <c r="S13" i="13"/>
  <c r="T13" i="13" s="1"/>
  <c r="V13" i="13"/>
  <c r="W13" i="13" s="1"/>
  <c r="Y13" i="13"/>
  <c r="Z13" i="13" s="1"/>
  <c r="F14" i="13"/>
  <c r="G14" i="13" s="1"/>
  <c r="I14" i="13"/>
  <c r="J14" i="13" s="1"/>
  <c r="L14" i="13"/>
  <c r="M14" i="13" s="1"/>
  <c r="P14" i="13"/>
  <c r="Q14" i="13" s="1"/>
  <c r="S14" i="13"/>
  <c r="T14" i="13" s="1"/>
  <c r="V14" i="13"/>
  <c r="W14" i="13" s="1"/>
  <c r="Y14" i="13"/>
  <c r="Z14" i="13" s="1"/>
  <c r="F15" i="13"/>
  <c r="G15" i="13" s="1"/>
  <c r="I15" i="13"/>
  <c r="J15" i="13" s="1"/>
  <c r="L15" i="13"/>
  <c r="M15" i="13" s="1"/>
  <c r="P15" i="13"/>
  <c r="Q15" i="13" s="1"/>
  <c r="S15" i="13"/>
  <c r="T15" i="13" s="1"/>
  <c r="V15" i="13"/>
  <c r="W15" i="13" s="1"/>
  <c r="Y15" i="13"/>
  <c r="Z15" i="13" s="1"/>
  <c r="F16" i="13"/>
  <c r="G16" i="13" s="1"/>
  <c r="I16" i="13"/>
  <c r="J16" i="13" s="1"/>
  <c r="L16" i="13"/>
  <c r="M16" i="13" s="1"/>
  <c r="P16" i="13"/>
  <c r="Q16" i="13" s="1"/>
  <c r="S16" i="13"/>
  <c r="T16" i="13" s="1"/>
  <c r="V16" i="13"/>
  <c r="W16" i="13" s="1"/>
  <c r="Y16" i="13"/>
  <c r="Z16" i="13" s="1"/>
  <c r="F17" i="13"/>
  <c r="G17" i="13" s="1"/>
  <c r="I17" i="13"/>
  <c r="J17" i="13" s="1"/>
  <c r="L17" i="13"/>
  <c r="M17" i="13" s="1"/>
  <c r="P17" i="13"/>
  <c r="Q17" i="13" s="1"/>
  <c r="S17" i="13"/>
  <c r="T17" i="13" s="1"/>
  <c r="V17" i="13"/>
  <c r="W17" i="13" s="1"/>
  <c r="Y17" i="13"/>
  <c r="Z17" i="13" s="1"/>
  <c r="F18" i="13"/>
  <c r="G18" i="13" s="1"/>
  <c r="I18" i="13"/>
  <c r="J18" i="13" s="1"/>
  <c r="L18" i="13"/>
  <c r="M18" i="13" s="1"/>
  <c r="P18" i="13"/>
  <c r="Q18" i="13" s="1"/>
  <c r="S18" i="13"/>
  <c r="T18" i="13" s="1"/>
  <c r="V18" i="13"/>
  <c r="W18" i="13" s="1"/>
  <c r="Y18" i="13"/>
  <c r="Z18" i="13" s="1"/>
  <c r="F19" i="13"/>
  <c r="G19" i="13" s="1"/>
  <c r="I19" i="13"/>
  <c r="J19" i="13" s="1"/>
  <c r="L19" i="13"/>
  <c r="M19" i="13" s="1"/>
  <c r="P19" i="13"/>
  <c r="Q19" i="13" s="1"/>
  <c r="S19" i="13"/>
  <c r="T19" i="13" s="1"/>
  <c r="V19" i="13"/>
  <c r="W19" i="13" s="1"/>
  <c r="Y19" i="13"/>
  <c r="Z19" i="13" s="1"/>
  <c r="F20" i="13"/>
  <c r="G20" i="13" s="1"/>
  <c r="I20" i="13"/>
  <c r="J20" i="13" s="1"/>
  <c r="L20" i="13"/>
  <c r="M20" i="13" s="1"/>
  <c r="P20" i="13"/>
  <c r="Q20" i="13" s="1"/>
  <c r="S20" i="13"/>
  <c r="T20" i="13" s="1"/>
  <c r="V20" i="13"/>
  <c r="W20" i="13" s="1"/>
  <c r="Y20" i="13"/>
  <c r="Z20" i="13" s="1"/>
  <c r="F21" i="13"/>
  <c r="G21" i="13" s="1"/>
  <c r="I21" i="13"/>
  <c r="J21" i="13" s="1"/>
  <c r="L21" i="13"/>
  <c r="M21" i="13" s="1"/>
  <c r="P21" i="13"/>
  <c r="Q21" i="13" s="1"/>
  <c r="S21" i="13"/>
  <c r="T21" i="13" s="1"/>
  <c r="V21" i="13"/>
  <c r="W21" i="13" s="1"/>
  <c r="Y21" i="13"/>
  <c r="Z21" i="13" s="1"/>
  <c r="F22" i="13"/>
  <c r="G22" i="13" s="1"/>
  <c r="I22" i="13"/>
  <c r="J22" i="13" s="1"/>
  <c r="L22" i="13"/>
  <c r="M22" i="13" s="1"/>
  <c r="P22" i="13"/>
  <c r="Q22" i="13" s="1"/>
  <c r="S22" i="13"/>
  <c r="T22" i="13" s="1"/>
  <c r="V22" i="13"/>
  <c r="W22" i="13" s="1"/>
  <c r="Y22" i="13"/>
  <c r="Z22" i="13" s="1"/>
  <c r="F23" i="13"/>
  <c r="G23" i="13" s="1"/>
  <c r="I23" i="13"/>
  <c r="J23" i="13" s="1"/>
  <c r="L23" i="13"/>
  <c r="M23" i="13" s="1"/>
  <c r="P23" i="13"/>
  <c r="Q23" i="13" s="1"/>
  <c r="S23" i="13"/>
  <c r="T23" i="13" s="1"/>
  <c r="V23" i="13"/>
  <c r="W23" i="13" s="1"/>
  <c r="Y23" i="13"/>
  <c r="Z23" i="13" s="1"/>
  <c r="F24" i="13"/>
  <c r="G24" i="13" s="1"/>
  <c r="I24" i="13"/>
  <c r="J24" i="13" s="1"/>
  <c r="L24" i="13"/>
  <c r="M24" i="13" s="1"/>
  <c r="P24" i="13"/>
  <c r="Q24" i="13" s="1"/>
  <c r="S24" i="13"/>
  <c r="T24" i="13" s="1"/>
  <c r="V24" i="13"/>
  <c r="W24" i="13" s="1"/>
  <c r="Y24" i="13"/>
  <c r="Z24" i="13" s="1"/>
  <c r="F25" i="13"/>
  <c r="G25" i="13" s="1"/>
  <c r="I25" i="13"/>
  <c r="J25" i="13" s="1"/>
  <c r="L25" i="13"/>
  <c r="M25" i="13" s="1"/>
  <c r="P25" i="13"/>
  <c r="Q25" i="13" s="1"/>
  <c r="S25" i="13"/>
  <c r="T25" i="13" s="1"/>
  <c r="V25" i="13"/>
  <c r="W25" i="13" s="1"/>
  <c r="Y25" i="13"/>
  <c r="Z25" i="13" s="1"/>
  <c r="F26" i="13"/>
  <c r="G26" i="13" s="1"/>
  <c r="I26" i="13"/>
  <c r="J26" i="13" s="1"/>
  <c r="L26" i="13"/>
  <c r="M26" i="13" s="1"/>
  <c r="P26" i="13"/>
  <c r="Q26" i="13" s="1"/>
  <c r="S26" i="13"/>
  <c r="T26" i="13" s="1"/>
  <c r="V26" i="13"/>
  <c r="W26" i="13" s="1"/>
  <c r="Y26" i="13"/>
  <c r="Z26" i="13" s="1"/>
  <c r="F27" i="13"/>
  <c r="G27" i="13" s="1"/>
  <c r="I27" i="13"/>
  <c r="J27" i="13" s="1"/>
  <c r="L27" i="13"/>
  <c r="M27" i="13" s="1"/>
  <c r="P27" i="13"/>
  <c r="Q27" i="13" s="1"/>
  <c r="S27" i="13"/>
  <c r="T27" i="13" s="1"/>
  <c r="V27" i="13"/>
  <c r="W27" i="13" s="1"/>
  <c r="Y27" i="13"/>
  <c r="Z27" i="13" s="1"/>
  <c r="F28" i="13"/>
  <c r="G28" i="13" s="1"/>
  <c r="I28" i="13"/>
  <c r="J28" i="13" s="1"/>
  <c r="L28" i="13"/>
  <c r="M28" i="13" s="1"/>
  <c r="P28" i="13"/>
  <c r="Q28" i="13" s="1"/>
  <c r="S28" i="13"/>
  <c r="T28" i="13" s="1"/>
  <c r="V28" i="13"/>
  <c r="W28" i="13" s="1"/>
  <c r="Y28" i="13"/>
  <c r="Z28" i="13" s="1"/>
  <c r="F29" i="13"/>
  <c r="G29" i="13" s="1"/>
  <c r="I29" i="13"/>
  <c r="J29" i="13" s="1"/>
  <c r="L29" i="13"/>
  <c r="M29" i="13" s="1"/>
  <c r="P29" i="13"/>
  <c r="Q29" i="13" s="1"/>
  <c r="S29" i="13"/>
  <c r="T29" i="13" s="1"/>
  <c r="V29" i="13"/>
  <c r="W29" i="13" s="1"/>
  <c r="Y29" i="13"/>
  <c r="Z29" i="13" s="1"/>
  <c r="F30" i="13"/>
  <c r="G30" i="13" s="1"/>
  <c r="I30" i="13"/>
  <c r="J30" i="13" s="1"/>
  <c r="L30" i="13"/>
  <c r="M30" i="13" s="1"/>
  <c r="P30" i="13"/>
  <c r="Q30" i="13" s="1"/>
  <c r="S30" i="13"/>
  <c r="T30" i="13" s="1"/>
  <c r="V30" i="13"/>
  <c r="W30" i="13" s="1"/>
  <c r="Y30" i="13"/>
  <c r="Z30" i="13" s="1"/>
  <c r="F31" i="13"/>
  <c r="G31" i="13" s="1"/>
  <c r="I31" i="13"/>
  <c r="J31" i="13" s="1"/>
  <c r="L31" i="13"/>
  <c r="M31" i="13" s="1"/>
  <c r="P31" i="13"/>
  <c r="Q31" i="13" s="1"/>
  <c r="S31" i="13"/>
  <c r="T31" i="13" s="1"/>
  <c r="V31" i="13"/>
  <c r="W31" i="13" s="1"/>
  <c r="Y31" i="13"/>
  <c r="Z31" i="13" s="1"/>
  <c r="F32" i="13"/>
  <c r="G32" i="13" s="1"/>
  <c r="I32" i="13"/>
  <c r="J32" i="13" s="1"/>
  <c r="L32" i="13"/>
  <c r="M32" i="13" s="1"/>
  <c r="P32" i="13"/>
  <c r="Q32" i="13" s="1"/>
  <c r="S32" i="13"/>
  <c r="T32" i="13" s="1"/>
  <c r="V32" i="13"/>
  <c r="W32" i="13" s="1"/>
  <c r="Y32" i="13"/>
  <c r="Z32" i="13" s="1"/>
  <c r="F33" i="13"/>
  <c r="G33" i="13" s="1"/>
  <c r="I33" i="13"/>
  <c r="J33" i="13" s="1"/>
  <c r="L33" i="13"/>
  <c r="M33" i="13" s="1"/>
  <c r="P33" i="13"/>
  <c r="Q33" i="13" s="1"/>
  <c r="S33" i="13"/>
  <c r="T33" i="13" s="1"/>
  <c r="V33" i="13"/>
  <c r="W33" i="13" s="1"/>
  <c r="Y33" i="13"/>
  <c r="Z33" i="13" s="1"/>
  <c r="F34" i="13"/>
  <c r="G34" i="13" s="1"/>
  <c r="I34" i="13"/>
  <c r="J34" i="13" s="1"/>
  <c r="L34" i="13"/>
  <c r="M34" i="13" s="1"/>
  <c r="P34" i="13"/>
  <c r="Q34" i="13" s="1"/>
  <c r="S34" i="13"/>
  <c r="T34" i="13" s="1"/>
  <c r="V34" i="13"/>
  <c r="W34" i="13" s="1"/>
  <c r="Y34" i="13"/>
  <c r="Z34" i="13" s="1"/>
  <c r="F35" i="13"/>
  <c r="G35" i="13" s="1"/>
  <c r="I35" i="13"/>
  <c r="J35" i="13" s="1"/>
  <c r="L35" i="13"/>
  <c r="M35" i="13" s="1"/>
  <c r="P35" i="13"/>
  <c r="Q35" i="13" s="1"/>
  <c r="S35" i="13"/>
  <c r="T35" i="13" s="1"/>
  <c r="V35" i="13"/>
  <c r="W35" i="13" s="1"/>
  <c r="Y35" i="13"/>
  <c r="Z35" i="13" s="1"/>
  <c r="C5" i="14"/>
  <c r="AC5" i="14" s="1"/>
  <c r="F5" i="14"/>
  <c r="G5" i="14" s="1"/>
  <c r="I5" i="14"/>
  <c r="M5" i="14"/>
  <c r="Q5" i="14"/>
  <c r="T5" i="14"/>
  <c r="V5" i="14"/>
  <c r="Y5" i="14"/>
  <c r="Z5" i="14" s="1"/>
  <c r="C6" i="14"/>
  <c r="F6" i="14"/>
  <c r="I6" i="14"/>
  <c r="J6" i="14" s="1"/>
  <c r="Q6" i="14"/>
  <c r="T6" i="14"/>
  <c r="V6" i="14"/>
  <c r="W6" i="14" s="1"/>
  <c r="Y6" i="14"/>
  <c r="C7" i="14"/>
  <c r="F7" i="14"/>
  <c r="G7" i="14" s="1"/>
  <c r="I7" i="14"/>
  <c r="J7" i="14" s="1"/>
  <c r="M7" i="14"/>
  <c r="Q7" i="14"/>
  <c r="T7" i="14"/>
  <c r="V7" i="14"/>
  <c r="W7" i="14" s="1"/>
  <c r="Y7" i="14"/>
  <c r="Z7" i="14" s="1"/>
  <c r="C8" i="14"/>
  <c r="F8" i="14"/>
  <c r="G8" i="14" s="1"/>
  <c r="I8" i="14"/>
  <c r="J8" i="14" s="1"/>
  <c r="M8" i="14"/>
  <c r="Q8" i="14"/>
  <c r="T8" i="14"/>
  <c r="V8" i="14"/>
  <c r="W8" i="14" s="1"/>
  <c r="Y8" i="14"/>
  <c r="Z8" i="14" s="1"/>
  <c r="C9" i="14"/>
  <c r="F9" i="14"/>
  <c r="G9" i="14" s="1"/>
  <c r="I9" i="14"/>
  <c r="J9" i="14" s="1"/>
  <c r="M9" i="14"/>
  <c r="Q9" i="14"/>
  <c r="T9" i="14"/>
  <c r="V9" i="14"/>
  <c r="W9" i="14" s="1"/>
  <c r="Y9" i="14"/>
  <c r="Z9" i="14" s="1"/>
  <c r="C10" i="14"/>
  <c r="F10" i="14"/>
  <c r="G10" i="14" s="1"/>
  <c r="I10" i="14"/>
  <c r="J10" i="14" s="1"/>
  <c r="M10" i="14"/>
  <c r="Q10" i="14"/>
  <c r="T10" i="14"/>
  <c r="V10" i="14"/>
  <c r="W10" i="14" s="1"/>
  <c r="Y10" i="14"/>
  <c r="Z10" i="14" s="1"/>
  <c r="C11" i="14"/>
  <c r="F11" i="14"/>
  <c r="G11" i="14" s="1"/>
  <c r="I11" i="14"/>
  <c r="J11" i="14" s="1"/>
  <c r="M11" i="14"/>
  <c r="Q11" i="14"/>
  <c r="T11" i="14"/>
  <c r="V11" i="14"/>
  <c r="W11" i="14" s="1"/>
  <c r="Y11" i="14"/>
  <c r="Z11" i="14" s="1"/>
  <c r="C12" i="14"/>
  <c r="F12" i="14"/>
  <c r="G12" i="14" s="1"/>
  <c r="I12" i="14"/>
  <c r="J12" i="14" s="1"/>
  <c r="M12" i="14"/>
  <c r="Q12" i="14"/>
  <c r="T12" i="14"/>
  <c r="V12" i="14"/>
  <c r="W12" i="14" s="1"/>
  <c r="Y12" i="14"/>
  <c r="Z12" i="14" s="1"/>
  <c r="C13" i="14"/>
  <c r="F13" i="14"/>
  <c r="G13" i="14" s="1"/>
  <c r="I13" i="14"/>
  <c r="J13" i="14" s="1"/>
  <c r="M13" i="14"/>
  <c r="Q13" i="14"/>
  <c r="T13" i="14"/>
  <c r="V13" i="14"/>
  <c r="W13" i="14" s="1"/>
  <c r="Y13" i="14"/>
  <c r="Z13" i="14" s="1"/>
  <c r="C14" i="14"/>
  <c r="F14" i="14"/>
  <c r="G14" i="14" s="1"/>
  <c r="I14" i="14"/>
  <c r="J14" i="14" s="1"/>
  <c r="M14" i="14"/>
  <c r="Q14" i="14"/>
  <c r="T14" i="14"/>
  <c r="V14" i="14"/>
  <c r="W14" i="14" s="1"/>
  <c r="Y14" i="14"/>
  <c r="Z14" i="14" s="1"/>
  <c r="C15" i="14"/>
  <c r="F15" i="14"/>
  <c r="G15" i="14" s="1"/>
  <c r="I15" i="14"/>
  <c r="J15" i="14" s="1"/>
  <c r="M15" i="14"/>
  <c r="Q15" i="14"/>
  <c r="T15" i="14"/>
  <c r="V15" i="14"/>
  <c r="W15" i="14" s="1"/>
  <c r="Y15" i="14"/>
  <c r="Z15" i="14" s="1"/>
  <c r="C16" i="14"/>
  <c r="F16" i="14"/>
  <c r="G16" i="14" s="1"/>
  <c r="I16" i="14"/>
  <c r="J16" i="14" s="1"/>
  <c r="M16" i="14"/>
  <c r="Q16" i="14"/>
  <c r="T16" i="14"/>
  <c r="V16" i="14"/>
  <c r="W16" i="14" s="1"/>
  <c r="Y16" i="14"/>
  <c r="Z16" i="14" s="1"/>
  <c r="C17" i="14"/>
  <c r="F17" i="14"/>
  <c r="G17" i="14" s="1"/>
  <c r="I17" i="14"/>
  <c r="J17" i="14" s="1"/>
  <c r="M17" i="14"/>
  <c r="P17" i="14"/>
  <c r="T17" i="14"/>
  <c r="V17" i="14"/>
  <c r="W17" i="14" s="1"/>
  <c r="Y17" i="14"/>
  <c r="Z17" i="14" s="1"/>
  <c r="C18" i="14"/>
  <c r="F18" i="14"/>
  <c r="G18" i="14" s="1"/>
  <c r="I18" i="14"/>
  <c r="J18" i="14" s="1"/>
  <c r="M18" i="14"/>
  <c r="P18" i="14"/>
  <c r="Q18" i="14" s="1"/>
  <c r="S18" i="14"/>
  <c r="V18" i="14"/>
  <c r="W18" i="14" s="1"/>
  <c r="Y18" i="14"/>
  <c r="Z18" i="14" s="1"/>
  <c r="C19" i="14"/>
  <c r="F19" i="14"/>
  <c r="G19" i="14" s="1"/>
  <c r="I19" i="14"/>
  <c r="J19" i="14" s="1"/>
  <c r="M19" i="14"/>
  <c r="P19" i="14"/>
  <c r="Q19" i="14" s="1"/>
  <c r="S19" i="14"/>
  <c r="T19" i="14" s="1"/>
  <c r="V19" i="14"/>
  <c r="W19" i="14" s="1"/>
  <c r="Y19" i="14"/>
  <c r="Z19" i="14" s="1"/>
  <c r="C20" i="14"/>
  <c r="F20" i="14"/>
  <c r="G20" i="14" s="1"/>
  <c r="I20" i="14"/>
  <c r="J20" i="14" s="1"/>
  <c r="M20" i="14"/>
  <c r="P20" i="14"/>
  <c r="Q20" i="14" s="1"/>
  <c r="S20" i="14"/>
  <c r="T20" i="14" s="1"/>
  <c r="V20" i="14"/>
  <c r="W20" i="14" s="1"/>
  <c r="Y20" i="14"/>
  <c r="Z20" i="14" s="1"/>
  <c r="C21" i="14"/>
  <c r="F21" i="14"/>
  <c r="G21" i="14" s="1"/>
  <c r="I21" i="14"/>
  <c r="J21" i="14" s="1"/>
  <c r="M21" i="14"/>
  <c r="P21" i="14"/>
  <c r="Q21" i="14" s="1"/>
  <c r="S21" i="14"/>
  <c r="T21" i="14" s="1"/>
  <c r="V21" i="14"/>
  <c r="W21" i="14" s="1"/>
  <c r="Y21" i="14"/>
  <c r="Z21" i="14" s="1"/>
  <c r="C22" i="14"/>
  <c r="F22" i="14"/>
  <c r="G22" i="14" s="1"/>
  <c r="I22" i="14"/>
  <c r="J22" i="14" s="1"/>
  <c r="M22" i="14"/>
  <c r="P22" i="14"/>
  <c r="Q22" i="14" s="1"/>
  <c r="S22" i="14"/>
  <c r="T22" i="14" s="1"/>
  <c r="V22" i="14"/>
  <c r="W22" i="14" s="1"/>
  <c r="Y22" i="14"/>
  <c r="Z22" i="14" s="1"/>
  <c r="C23" i="14"/>
  <c r="F23" i="14"/>
  <c r="G23" i="14" s="1"/>
  <c r="I23" i="14"/>
  <c r="J23" i="14" s="1"/>
  <c r="M23" i="14"/>
  <c r="P23" i="14"/>
  <c r="Q23" i="14" s="1"/>
  <c r="S23" i="14"/>
  <c r="T23" i="14" s="1"/>
  <c r="V23" i="14"/>
  <c r="W23" i="14" s="1"/>
  <c r="Y23" i="14"/>
  <c r="Z23" i="14" s="1"/>
  <c r="C24" i="14"/>
  <c r="F24" i="14"/>
  <c r="G24" i="14" s="1"/>
  <c r="I24" i="14"/>
  <c r="J24" i="14" s="1"/>
  <c r="M24" i="14"/>
  <c r="P24" i="14"/>
  <c r="Q24" i="14" s="1"/>
  <c r="S24" i="14"/>
  <c r="T24" i="14" s="1"/>
  <c r="V24" i="14"/>
  <c r="W24" i="14" s="1"/>
  <c r="Y24" i="14"/>
  <c r="Z24" i="14" s="1"/>
  <c r="C25" i="14"/>
  <c r="F25" i="14"/>
  <c r="G25" i="14" s="1"/>
  <c r="I25" i="14"/>
  <c r="J25" i="14" s="1"/>
  <c r="M25" i="14"/>
  <c r="P25" i="14"/>
  <c r="Q25" i="14" s="1"/>
  <c r="S25" i="14"/>
  <c r="T25" i="14" s="1"/>
  <c r="V25" i="14"/>
  <c r="W25" i="14" s="1"/>
  <c r="Y25" i="14"/>
  <c r="Z25" i="14" s="1"/>
  <c r="C26" i="14"/>
  <c r="F26" i="14"/>
  <c r="G26" i="14" s="1"/>
  <c r="I26" i="14"/>
  <c r="J26" i="14" s="1"/>
  <c r="M26" i="14"/>
  <c r="P26" i="14"/>
  <c r="Q26" i="14" s="1"/>
  <c r="S26" i="14"/>
  <c r="T26" i="14" s="1"/>
  <c r="V26" i="14"/>
  <c r="W26" i="14" s="1"/>
  <c r="Y26" i="14"/>
  <c r="Z26" i="14" s="1"/>
  <c r="C27" i="14"/>
  <c r="F27" i="14"/>
  <c r="G27" i="14" s="1"/>
  <c r="I27" i="14"/>
  <c r="J27" i="14" s="1"/>
  <c r="M27" i="14"/>
  <c r="P27" i="14"/>
  <c r="Q27" i="14" s="1"/>
  <c r="S27" i="14"/>
  <c r="T27" i="14" s="1"/>
  <c r="V27" i="14"/>
  <c r="W27" i="14" s="1"/>
  <c r="Y27" i="14"/>
  <c r="Z27" i="14" s="1"/>
  <c r="C28" i="14"/>
  <c r="F28" i="14"/>
  <c r="G28" i="14" s="1"/>
  <c r="I28" i="14"/>
  <c r="J28" i="14" s="1"/>
  <c r="M28" i="14"/>
  <c r="P28" i="14"/>
  <c r="Q28" i="14" s="1"/>
  <c r="S28" i="14"/>
  <c r="T28" i="14" s="1"/>
  <c r="V28" i="14"/>
  <c r="W28" i="14" s="1"/>
  <c r="Y28" i="14"/>
  <c r="Z28" i="14" s="1"/>
  <c r="C29" i="14"/>
  <c r="F29" i="14"/>
  <c r="G29" i="14" s="1"/>
  <c r="I29" i="14"/>
  <c r="J29" i="14" s="1"/>
  <c r="M29" i="14"/>
  <c r="P29" i="14"/>
  <c r="Q29" i="14" s="1"/>
  <c r="S29" i="14"/>
  <c r="T29" i="14" s="1"/>
  <c r="V29" i="14"/>
  <c r="W29" i="14" s="1"/>
  <c r="Y29" i="14"/>
  <c r="Z29" i="14" s="1"/>
  <c r="C30" i="14"/>
  <c r="F30" i="14"/>
  <c r="G30" i="14" s="1"/>
  <c r="I30" i="14"/>
  <c r="J30" i="14" s="1"/>
  <c r="M30" i="14"/>
  <c r="P30" i="14"/>
  <c r="Q30" i="14" s="1"/>
  <c r="S30" i="14"/>
  <c r="T30" i="14" s="1"/>
  <c r="V30" i="14"/>
  <c r="W30" i="14" s="1"/>
  <c r="Y30" i="14"/>
  <c r="Z30" i="14" s="1"/>
  <c r="C31" i="14"/>
  <c r="F31" i="14"/>
  <c r="G31" i="14" s="1"/>
  <c r="I31" i="14"/>
  <c r="J31" i="14" s="1"/>
  <c r="M31" i="14"/>
  <c r="P31" i="14"/>
  <c r="Q31" i="14" s="1"/>
  <c r="S31" i="14"/>
  <c r="T31" i="14" s="1"/>
  <c r="V31" i="14"/>
  <c r="W31" i="14" s="1"/>
  <c r="Y31" i="14"/>
  <c r="Z31" i="14" s="1"/>
  <c r="C32" i="14"/>
  <c r="F32" i="14"/>
  <c r="G32" i="14" s="1"/>
  <c r="I32" i="14"/>
  <c r="J32" i="14" s="1"/>
  <c r="M32" i="14"/>
  <c r="P32" i="14"/>
  <c r="Q32" i="14" s="1"/>
  <c r="S32" i="14"/>
  <c r="T32" i="14" s="1"/>
  <c r="V32" i="14"/>
  <c r="W32" i="14" s="1"/>
  <c r="Y32" i="14"/>
  <c r="Z32" i="14" s="1"/>
  <c r="C33" i="14"/>
  <c r="F33" i="14"/>
  <c r="G33" i="14" s="1"/>
  <c r="I33" i="14"/>
  <c r="J33" i="14" s="1"/>
  <c r="M33" i="14"/>
  <c r="P33" i="14"/>
  <c r="Q33" i="14" s="1"/>
  <c r="S33" i="14"/>
  <c r="T33" i="14" s="1"/>
  <c r="V33" i="14"/>
  <c r="W33" i="14" s="1"/>
  <c r="Y33" i="14"/>
  <c r="Z33" i="14" s="1"/>
  <c r="C34" i="14"/>
  <c r="F34" i="14"/>
  <c r="G34" i="14" s="1"/>
  <c r="I34" i="14"/>
  <c r="J34" i="14" s="1"/>
  <c r="M34" i="14"/>
  <c r="P34" i="14"/>
  <c r="Q34" i="14" s="1"/>
  <c r="S34" i="14"/>
  <c r="T34" i="14" s="1"/>
  <c r="V34" i="14"/>
  <c r="W34" i="14" s="1"/>
  <c r="Y34" i="14"/>
  <c r="Z34" i="14" s="1"/>
  <c r="Z34" i="7" l="1"/>
  <c r="M34" i="7"/>
  <c r="Z33" i="7"/>
  <c r="Z32" i="7"/>
  <c r="M32" i="7"/>
  <c r="Z31" i="7"/>
  <c r="M31" i="7"/>
  <c r="Z30" i="7"/>
  <c r="M30" i="7"/>
  <c r="Z29" i="7"/>
  <c r="M29" i="7"/>
  <c r="Z28" i="7"/>
  <c r="M28" i="7"/>
  <c r="Z27" i="7"/>
  <c r="M27" i="7"/>
  <c r="Z26" i="7"/>
  <c r="M26" i="7"/>
  <c r="Z25" i="7"/>
  <c r="M25" i="7"/>
  <c r="Z24" i="7"/>
  <c r="M24" i="7"/>
  <c r="Z23" i="7"/>
  <c r="M23" i="7"/>
  <c r="Z22" i="7"/>
  <c r="M22" i="7"/>
  <c r="Z21" i="7"/>
  <c r="M21" i="7"/>
  <c r="Z20" i="7"/>
  <c r="M20" i="7"/>
  <c r="Z19" i="7"/>
  <c r="M19" i="7"/>
  <c r="Z18" i="7"/>
  <c r="M18" i="7"/>
  <c r="Z17" i="7"/>
  <c r="M17" i="7"/>
  <c r="Q16" i="7"/>
  <c r="Z15" i="7"/>
  <c r="M15" i="7"/>
  <c r="M14" i="7"/>
  <c r="Q13" i="7"/>
  <c r="Q12" i="7"/>
  <c r="Q11" i="7"/>
  <c r="Q10" i="7"/>
  <c r="Q9" i="7"/>
  <c r="Q8" i="7"/>
  <c r="Q7" i="7"/>
  <c r="Q6" i="7"/>
  <c r="Q34" i="7"/>
  <c r="Q33" i="7"/>
  <c r="Q32" i="7"/>
  <c r="Q31" i="7"/>
  <c r="Q30" i="7"/>
  <c r="Q29" i="7"/>
  <c r="Q28" i="7"/>
  <c r="Q27" i="7"/>
  <c r="Q26" i="7"/>
  <c r="Q25" i="7"/>
  <c r="Q24" i="7"/>
  <c r="Q23" i="7"/>
  <c r="Q22" i="7"/>
  <c r="Q21" i="7"/>
  <c r="Q20" i="7"/>
  <c r="Q19" i="7"/>
  <c r="Q18" i="7"/>
  <c r="Q17" i="7"/>
  <c r="Z16" i="7"/>
  <c r="M16" i="7"/>
  <c r="Q15" i="7"/>
  <c r="Z14" i="7"/>
  <c r="Q14" i="7"/>
  <c r="Z13" i="7"/>
  <c r="M13" i="7"/>
  <c r="Z12" i="7"/>
  <c r="M12" i="7"/>
  <c r="Z11" i="7"/>
  <c r="M11" i="7"/>
  <c r="Z10" i="7"/>
  <c r="M10" i="7"/>
  <c r="Z9" i="7"/>
  <c r="M9" i="7"/>
  <c r="Z8" i="7"/>
  <c r="M8" i="7"/>
  <c r="Z7" i="7"/>
  <c r="M7" i="7"/>
  <c r="Z5" i="7"/>
  <c r="M5" i="7"/>
  <c r="AB35" i="12"/>
  <c r="AF27" i="11"/>
  <c r="AC32" i="9"/>
  <c r="AJ9" i="10"/>
  <c r="AD33" i="4"/>
  <c r="AC33" i="4"/>
  <c r="AC8" i="5"/>
  <c r="AC16" i="5"/>
  <c r="AC14" i="5"/>
  <c r="AC10" i="5"/>
  <c r="AC6" i="5"/>
  <c r="AC12" i="5"/>
  <c r="AD35" i="11"/>
  <c r="AC33" i="5"/>
  <c r="AC17" i="9"/>
  <c r="T5" i="13"/>
  <c r="S36" i="13"/>
  <c r="G5" i="13"/>
  <c r="F36" i="13"/>
  <c r="Y36" i="13"/>
  <c r="L36" i="13"/>
  <c r="D34" i="14"/>
  <c r="AD34" i="14" s="1"/>
  <c r="AC34" i="14"/>
  <c r="D33" i="14"/>
  <c r="AD33" i="14" s="1"/>
  <c r="AC33" i="14"/>
  <c r="D32" i="14"/>
  <c r="AD32" i="14" s="1"/>
  <c r="AC32" i="14"/>
  <c r="D31" i="14"/>
  <c r="AD31" i="14" s="1"/>
  <c r="AC31" i="14"/>
  <c r="D30" i="14"/>
  <c r="AD30" i="14" s="1"/>
  <c r="AC30" i="14"/>
  <c r="D29" i="14"/>
  <c r="AD29" i="14" s="1"/>
  <c r="AC29" i="14"/>
  <c r="D28" i="14"/>
  <c r="AD28" i="14" s="1"/>
  <c r="AC28" i="14"/>
  <c r="D27" i="14"/>
  <c r="AD27" i="14" s="1"/>
  <c r="AC27" i="14"/>
  <c r="D26" i="14"/>
  <c r="AD26" i="14" s="1"/>
  <c r="AC26" i="14"/>
  <c r="D25" i="14"/>
  <c r="AD25" i="14" s="1"/>
  <c r="AC25" i="14"/>
  <c r="D24" i="14"/>
  <c r="AD24" i="14" s="1"/>
  <c r="AC24" i="14"/>
  <c r="D23" i="14"/>
  <c r="AD23" i="14" s="1"/>
  <c r="AC23" i="14"/>
  <c r="D22" i="14"/>
  <c r="AD22" i="14" s="1"/>
  <c r="AC22" i="14"/>
  <c r="D21" i="14"/>
  <c r="AD21" i="14" s="1"/>
  <c r="AC21" i="14"/>
  <c r="D20" i="14"/>
  <c r="AD20" i="14" s="1"/>
  <c r="AC20" i="14"/>
  <c r="D19" i="14"/>
  <c r="AD19" i="14" s="1"/>
  <c r="AC19" i="14"/>
  <c r="D18" i="14"/>
  <c r="AD18" i="14" s="1"/>
  <c r="AC18" i="14"/>
  <c r="D17" i="14"/>
  <c r="AC17" i="14"/>
  <c r="D16" i="14"/>
  <c r="AD16" i="14" s="1"/>
  <c r="AC16" i="14"/>
  <c r="D15" i="14"/>
  <c r="AD15" i="14" s="1"/>
  <c r="AC15" i="14"/>
  <c r="D14" i="14"/>
  <c r="AD14" i="14" s="1"/>
  <c r="AC14" i="14"/>
  <c r="D13" i="14"/>
  <c r="AD13" i="14" s="1"/>
  <c r="AC13" i="14"/>
  <c r="D12" i="14"/>
  <c r="AD12" i="14" s="1"/>
  <c r="AC12" i="14"/>
  <c r="D11" i="14"/>
  <c r="AD11" i="14" s="1"/>
  <c r="AC11" i="14"/>
  <c r="D10" i="14"/>
  <c r="AD10" i="14" s="1"/>
  <c r="AC10" i="14"/>
  <c r="D9" i="14"/>
  <c r="AD9" i="14" s="1"/>
  <c r="AC9" i="14"/>
  <c r="D8" i="14"/>
  <c r="AD8" i="14" s="1"/>
  <c r="AC8" i="14"/>
  <c r="D7" i="14"/>
  <c r="AD7" i="14" s="1"/>
  <c r="AC7" i="14"/>
  <c r="D6" i="14"/>
  <c r="AD6" i="14" s="1"/>
  <c r="AC6" i="14"/>
  <c r="C35" i="13"/>
  <c r="AB35" i="13"/>
  <c r="C34" i="13"/>
  <c r="AB34" i="13"/>
  <c r="C33" i="13"/>
  <c r="AB33" i="13"/>
  <c r="C32" i="13"/>
  <c r="AB32" i="13"/>
  <c r="C31" i="13"/>
  <c r="AB31" i="13"/>
  <c r="C30" i="13"/>
  <c r="AB30" i="13"/>
  <c r="C29" i="13"/>
  <c r="AB29" i="13"/>
  <c r="C28" i="13"/>
  <c r="AB28" i="13"/>
  <c r="C27" i="13"/>
  <c r="AB27" i="13"/>
  <c r="C26" i="13"/>
  <c r="AB26" i="13"/>
  <c r="C25" i="13"/>
  <c r="AB25" i="13"/>
  <c r="C24" i="13"/>
  <c r="AB24" i="13"/>
  <c r="C23" i="13"/>
  <c r="AB23" i="13"/>
  <c r="C22" i="13"/>
  <c r="AB22" i="13"/>
  <c r="C21" i="13"/>
  <c r="AB21" i="13"/>
  <c r="C20" i="13"/>
  <c r="AB20" i="13"/>
  <c r="C19" i="13"/>
  <c r="AB19" i="13"/>
  <c r="C18" i="13"/>
  <c r="AB18" i="13"/>
  <c r="C17" i="13"/>
  <c r="AB17" i="13"/>
  <c r="C16" i="13"/>
  <c r="AB16" i="13"/>
  <c r="C15" i="13"/>
  <c r="AB15" i="13"/>
  <c r="C14" i="13"/>
  <c r="AB14" i="13"/>
  <c r="C13" i="13"/>
  <c r="AB13" i="13"/>
  <c r="C12" i="13"/>
  <c r="AB12" i="13"/>
  <c r="C11" i="13"/>
  <c r="AB11" i="13"/>
  <c r="C10" i="13"/>
  <c r="AB10" i="13"/>
  <c r="C9" i="13"/>
  <c r="AB9" i="13"/>
  <c r="C8" i="13"/>
  <c r="AC8" i="13" s="1"/>
  <c r="AB8" i="13"/>
  <c r="C7" i="13"/>
  <c r="AB7" i="13"/>
  <c r="C6" i="13"/>
  <c r="AB6" i="13"/>
  <c r="W5" i="13"/>
  <c r="V36" i="13"/>
  <c r="Q5" i="13"/>
  <c r="P36" i="13"/>
  <c r="J5" i="13"/>
  <c r="I36" i="13"/>
  <c r="C5" i="13"/>
  <c r="AB5" i="13"/>
  <c r="AC35" i="5"/>
  <c r="AC31" i="5"/>
  <c r="AC20" i="5"/>
  <c r="D34" i="7"/>
  <c r="AD34" i="7" s="1"/>
  <c r="AC34" i="7"/>
  <c r="D33" i="7"/>
  <c r="AD33" i="7" s="1"/>
  <c r="AC33" i="7"/>
  <c r="D32" i="7"/>
  <c r="AD32" i="7" s="1"/>
  <c r="AC32" i="7"/>
  <c r="D31" i="7"/>
  <c r="AD31" i="7" s="1"/>
  <c r="AC31" i="7"/>
  <c r="D30" i="7"/>
  <c r="AD30" i="7" s="1"/>
  <c r="AC30" i="7"/>
  <c r="D29" i="7"/>
  <c r="AD29" i="7" s="1"/>
  <c r="AC29" i="7"/>
  <c r="D28" i="7"/>
  <c r="AD28" i="7" s="1"/>
  <c r="AC28" i="7"/>
  <c r="D27" i="7"/>
  <c r="AD27" i="7" s="1"/>
  <c r="AC27" i="7"/>
  <c r="D26" i="7"/>
  <c r="AD26" i="7" s="1"/>
  <c r="AC26" i="7"/>
  <c r="D25" i="7"/>
  <c r="AD25" i="7" s="1"/>
  <c r="AC25" i="7"/>
  <c r="D24" i="7"/>
  <c r="AD24" i="7" s="1"/>
  <c r="AC24" i="7"/>
  <c r="D23" i="7"/>
  <c r="AD23" i="7" s="1"/>
  <c r="AC23" i="7"/>
  <c r="D22" i="7"/>
  <c r="AD22" i="7" s="1"/>
  <c r="AC22" i="7"/>
  <c r="D21" i="7"/>
  <c r="AD21" i="7" s="1"/>
  <c r="AC21" i="7"/>
  <c r="D20" i="7"/>
  <c r="AD20" i="7" s="1"/>
  <c r="AC20" i="7"/>
  <c r="D19" i="7"/>
  <c r="AD19" i="7" s="1"/>
  <c r="AC19" i="7"/>
  <c r="D18" i="7"/>
  <c r="AD18" i="7" s="1"/>
  <c r="AC18" i="7"/>
  <c r="D17" i="7"/>
  <c r="AD17" i="7" s="1"/>
  <c r="AC17" i="7"/>
  <c r="D16" i="7"/>
  <c r="AD16" i="7" s="1"/>
  <c r="AC16" i="7"/>
  <c r="D15" i="7"/>
  <c r="AD15" i="7" s="1"/>
  <c r="AC15" i="7"/>
  <c r="D14" i="7"/>
  <c r="AD14" i="7" s="1"/>
  <c r="AC14" i="7"/>
  <c r="D13" i="7"/>
  <c r="AD13" i="7" s="1"/>
  <c r="AC13" i="7"/>
  <c r="D12" i="7"/>
  <c r="AD12" i="7" s="1"/>
  <c r="AC12" i="7"/>
  <c r="D11" i="7"/>
  <c r="AD11" i="7" s="1"/>
  <c r="AC11" i="7"/>
  <c r="D10" i="7"/>
  <c r="AD10" i="7" s="1"/>
  <c r="AC10" i="7"/>
  <c r="D9" i="7"/>
  <c r="AD9" i="7" s="1"/>
  <c r="AC9" i="7"/>
  <c r="D8" i="7"/>
  <c r="AD8" i="7" s="1"/>
  <c r="AC8" i="7"/>
  <c r="D7" i="7"/>
  <c r="AD7" i="7" s="1"/>
  <c r="AC7" i="7"/>
  <c r="D6" i="7"/>
  <c r="AD6" i="7" s="1"/>
  <c r="AC6" i="7"/>
  <c r="AC5" i="7"/>
  <c r="AD13" i="6"/>
  <c r="D32" i="4"/>
  <c r="AD32" i="4" s="1"/>
  <c r="AC32" i="4"/>
  <c r="D31" i="4"/>
  <c r="AD31" i="4" s="1"/>
  <c r="AC31" i="4"/>
  <c r="D30" i="4"/>
  <c r="AD30" i="4" s="1"/>
  <c r="AC30" i="4"/>
  <c r="D29" i="4"/>
  <c r="AD29" i="4" s="1"/>
  <c r="AC29" i="4"/>
  <c r="D28" i="4"/>
  <c r="AD28" i="4" s="1"/>
  <c r="AC28" i="4"/>
  <c r="D27" i="4"/>
  <c r="AD27" i="4" s="1"/>
  <c r="AC27" i="4"/>
  <c r="D26" i="4"/>
  <c r="AD26" i="4" s="1"/>
  <c r="AC26" i="4"/>
  <c r="D25" i="4"/>
  <c r="AD25" i="4" s="1"/>
  <c r="AC25" i="4"/>
  <c r="D24" i="4"/>
  <c r="AD24" i="4" s="1"/>
  <c r="AC24" i="4"/>
  <c r="D23" i="4"/>
  <c r="AD23" i="4" s="1"/>
  <c r="AC23" i="4"/>
  <c r="D22" i="4"/>
  <c r="AD22" i="4" s="1"/>
  <c r="AC22" i="4"/>
  <c r="D21" i="4"/>
  <c r="AD21" i="4" s="1"/>
  <c r="AC21" i="4"/>
  <c r="D20" i="4"/>
  <c r="AD20" i="4" s="1"/>
  <c r="AC20" i="4"/>
  <c r="D19" i="4"/>
  <c r="AD19" i="4" s="1"/>
  <c r="AC19" i="4"/>
  <c r="D18" i="4"/>
  <c r="AD18" i="4" s="1"/>
  <c r="AC18" i="4"/>
  <c r="D17" i="4"/>
  <c r="AD17" i="4" s="1"/>
  <c r="AC17" i="4"/>
  <c r="D16" i="4"/>
  <c r="AD16" i="4" s="1"/>
  <c r="AC16" i="4"/>
  <c r="D15" i="4"/>
  <c r="AD15" i="4" s="1"/>
  <c r="AC15" i="4"/>
  <c r="D14" i="4"/>
  <c r="AD14" i="4" s="1"/>
  <c r="AC14" i="4"/>
  <c r="D13" i="4"/>
  <c r="AD13" i="4" s="1"/>
  <c r="AC13" i="4"/>
  <c r="D12" i="4"/>
  <c r="AD12" i="4" s="1"/>
  <c r="AC12" i="4"/>
  <c r="D11" i="4"/>
  <c r="AD11" i="4" s="1"/>
  <c r="AC11" i="4"/>
  <c r="D10" i="4"/>
  <c r="AD10" i="4" s="1"/>
  <c r="AC10" i="4"/>
  <c r="D9" i="4"/>
  <c r="AD9" i="4" s="1"/>
  <c r="AC9" i="4"/>
  <c r="D8" i="4"/>
  <c r="AD8" i="4" s="1"/>
  <c r="AC8" i="4"/>
  <c r="D7" i="4"/>
  <c r="AD7" i="4" s="1"/>
  <c r="AC7" i="4"/>
  <c r="D5" i="4"/>
  <c r="AD5" i="4" s="1"/>
  <c r="AC5" i="4"/>
  <c r="AC6" i="4"/>
  <c r="D35" i="1"/>
  <c r="AD35" i="1" s="1"/>
  <c r="AC35" i="1"/>
  <c r="D34" i="1"/>
  <c r="AD34" i="1" s="1"/>
  <c r="AC34" i="1"/>
  <c r="D33" i="1"/>
  <c r="AD33" i="1" s="1"/>
  <c r="AC33" i="1"/>
  <c r="D32" i="1"/>
  <c r="AD32" i="1" s="1"/>
  <c r="AC32" i="1"/>
  <c r="D31" i="1"/>
  <c r="AD31" i="1" s="1"/>
  <c r="AC31" i="1"/>
  <c r="D30" i="1"/>
  <c r="AD30" i="1" s="1"/>
  <c r="AC30" i="1"/>
  <c r="D29" i="1"/>
  <c r="AD29" i="1" s="1"/>
  <c r="AC29" i="1"/>
  <c r="D28" i="1"/>
  <c r="AD28" i="1" s="1"/>
  <c r="AC28" i="1"/>
  <c r="D27" i="1"/>
  <c r="AD27" i="1" s="1"/>
  <c r="AC27" i="1"/>
  <c r="D26" i="1"/>
  <c r="AD26" i="1" s="1"/>
  <c r="AC26" i="1"/>
  <c r="D25" i="1"/>
  <c r="AD25" i="1" s="1"/>
  <c r="AC25" i="1"/>
  <c r="D24" i="1"/>
  <c r="AD24" i="1" s="1"/>
  <c r="AC24" i="1"/>
  <c r="D23" i="1"/>
  <c r="AD23" i="1" s="1"/>
  <c r="AC23" i="1"/>
  <c r="D22" i="1"/>
  <c r="AD22" i="1" s="1"/>
  <c r="AC22" i="1"/>
  <c r="D21" i="1"/>
  <c r="AD21" i="1" s="1"/>
  <c r="AC21" i="1"/>
  <c r="D20" i="1"/>
  <c r="AD20" i="1" s="1"/>
  <c r="AC20" i="1"/>
  <c r="D19" i="1"/>
  <c r="AD19" i="1" s="1"/>
  <c r="AC19" i="1"/>
  <c r="D18" i="1"/>
  <c r="AD18" i="1" s="1"/>
  <c r="AC18" i="1"/>
  <c r="D17" i="1"/>
  <c r="AD17" i="1" s="1"/>
  <c r="AC17" i="1"/>
  <c r="D16" i="1"/>
  <c r="AD16" i="1" s="1"/>
  <c r="AC16" i="1"/>
  <c r="D15" i="1"/>
  <c r="AD15" i="1" s="1"/>
  <c r="AC15" i="1"/>
  <c r="D14" i="1"/>
  <c r="AD14" i="1" s="1"/>
  <c r="AC14" i="1"/>
  <c r="D13" i="1"/>
  <c r="AD13" i="1" s="1"/>
  <c r="AC13" i="1"/>
  <c r="D12" i="1"/>
  <c r="AD12" i="1" s="1"/>
  <c r="AC12" i="1"/>
  <c r="D11" i="1"/>
  <c r="AD11" i="1" s="1"/>
  <c r="AC11" i="1"/>
  <c r="D10" i="1"/>
  <c r="AD10" i="1" s="1"/>
  <c r="AC10" i="1"/>
  <c r="D9" i="1"/>
  <c r="AD9" i="1" s="1"/>
  <c r="AC9" i="1"/>
  <c r="D8" i="1"/>
  <c r="AD8" i="1" s="1"/>
  <c r="AC8" i="1"/>
  <c r="D7" i="1"/>
  <c r="AD7" i="1" s="1"/>
  <c r="AC7" i="1"/>
  <c r="D5" i="1"/>
  <c r="AD5" i="1" s="1"/>
  <c r="AC5" i="1"/>
  <c r="AC6" i="1"/>
  <c r="S36" i="8"/>
  <c r="T36" i="8" s="1"/>
  <c r="F36" i="8"/>
  <c r="G36" i="8" s="1"/>
  <c r="AF7" i="9"/>
  <c r="AC20" i="6"/>
  <c r="AD20" i="6"/>
  <c r="AF16" i="6"/>
  <c r="Y36" i="8"/>
  <c r="Z36" i="8" s="1"/>
  <c r="L36" i="8"/>
  <c r="M36" i="8" s="1"/>
  <c r="AF15" i="9"/>
  <c r="AF9" i="9"/>
  <c r="AD28" i="5"/>
  <c r="Q8" i="13"/>
  <c r="T7" i="13"/>
  <c r="W6" i="13"/>
  <c r="Z5" i="13"/>
  <c r="Z36" i="13" s="1"/>
  <c r="AD29" i="5"/>
  <c r="C36" i="13"/>
  <c r="G7" i="13"/>
  <c r="J6" i="13"/>
  <c r="M5" i="13"/>
  <c r="M36" i="13" s="1"/>
  <c r="AF18" i="6"/>
  <c r="AD17" i="9"/>
  <c r="AF13" i="9"/>
  <c r="AF11" i="9"/>
  <c r="AF5" i="9"/>
  <c r="AC29" i="5"/>
  <c r="AF24" i="5"/>
  <c r="AF16" i="5"/>
  <c r="AF15" i="5"/>
  <c r="AF12" i="5"/>
  <c r="AF11" i="5"/>
  <c r="AF8" i="5"/>
  <c r="AF7" i="5"/>
  <c r="AF26" i="5"/>
  <c r="AF22" i="5"/>
  <c r="AF18" i="5"/>
  <c r="AF17" i="5"/>
  <c r="AF14" i="5"/>
  <c r="AF13" i="5"/>
  <c r="AF10" i="5"/>
  <c r="AF9" i="5"/>
  <c r="AF23" i="12"/>
  <c r="AJ33" i="10"/>
  <c r="AF34" i="9"/>
  <c r="AF30" i="9"/>
  <c r="AF26" i="9"/>
  <c r="AF22" i="9"/>
  <c r="AF32" i="9"/>
  <c r="AF28" i="9"/>
  <c r="AF24" i="9"/>
  <c r="AF20" i="9"/>
  <c r="D5" i="10"/>
  <c r="AH5" i="10" s="1"/>
  <c r="AG5" i="10"/>
  <c r="AJ35" i="10"/>
  <c r="AJ31" i="10"/>
  <c r="AJ20" i="10"/>
  <c r="AJ18" i="10"/>
  <c r="AJ16" i="10"/>
  <c r="AJ14" i="10"/>
  <c r="AJ12" i="10"/>
  <c r="AJ10" i="10"/>
  <c r="AJ8" i="10"/>
  <c r="AJ5" i="10"/>
  <c r="AJ29" i="10"/>
  <c r="AJ27" i="10"/>
  <c r="AJ25" i="10"/>
  <c r="D30" i="12"/>
  <c r="AD30" i="12" s="1"/>
  <c r="AC30" i="12"/>
  <c r="D26" i="12"/>
  <c r="AD26" i="12" s="1"/>
  <c r="AC26" i="12"/>
  <c r="D28" i="12"/>
  <c r="AC28" i="12"/>
  <c r="D21" i="12"/>
  <c r="AD21" i="12" s="1"/>
  <c r="AC21" i="12"/>
  <c r="D19" i="12"/>
  <c r="AC19" i="12"/>
  <c r="D17" i="12"/>
  <c r="AD17" i="12" s="1"/>
  <c r="AC17" i="12"/>
  <c r="D15" i="12"/>
  <c r="AC15" i="12"/>
  <c r="D13" i="12"/>
  <c r="AD13" i="12" s="1"/>
  <c r="AC13" i="12"/>
  <c r="D11" i="12"/>
  <c r="AC11" i="12"/>
  <c r="D9" i="12"/>
  <c r="AD9" i="12" s="1"/>
  <c r="AC9" i="12"/>
  <c r="D7" i="12"/>
  <c r="AC7" i="12"/>
  <c r="D5" i="12"/>
  <c r="AD5" i="12" s="1"/>
  <c r="AC5" i="12"/>
  <c r="AF33" i="12"/>
  <c r="AF31" i="12"/>
  <c r="AF30" i="12"/>
  <c r="AF29" i="12"/>
  <c r="AF28" i="12"/>
  <c r="AF27" i="12"/>
  <c r="AF26" i="12"/>
  <c r="AF25" i="12"/>
  <c r="AB29" i="12"/>
  <c r="AB27" i="12"/>
  <c r="I36" i="11"/>
  <c r="J36" i="11" s="1"/>
  <c r="F36" i="11"/>
  <c r="G36" i="11" s="1"/>
  <c r="Z6" i="11"/>
  <c r="AF6" i="11" s="1"/>
  <c r="Y36" i="11"/>
  <c r="Z36" i="11" s="1"/>
  <c r="T10" i="11"/>
  <c r="AF10" i="11" s="1"/>
  <c r="S36" i="11"/>
  <c r="T36" i="11" s="1"/>
  <c r="AC7" i="11"/>
  <c r="L36" i="11"/>
  <c r="M36" i="11" s="1"/>
  <c r="D5" i="11"/>
  <c r="AD5" i="11" s="1"/>
  <c r="AC5" i="11"/>
  <c r="AF34" i="11"/>
  <c r="AF32" i="11"/>
  <c r="AF30" i="11"/>
  <c r="AF28" i="11"/>
  <c r="AF26" i="11"/>
  <c r="C36" i="11"/>
  <c r="D36" i="11" s="1"/>
  <c r="AF24" i="11"/>
  <c r="AF22" i="11"/>
  <c r="AF20" i="11"/>
  <c r="AF18" i="11"/>
  <c r="AF16" i="11"/>
  <c r="AF14" i="11"/>
  <c r="AF12" i="11"/>
  <c r="AF33" i="6"/>
  <c r="AF29" i="6"/>
  <c r="AF14" i="6"/>
  <c r="AF10" i="6"/>
  <c r="AF6" i="6"/>
  <c r="AF35" i="6"/>
  <c r="AF31" i="6"/>
  <c r="AF27" i="6"/>
  <c r="AF20" i="6"/>
  <c r="AF12" i="6"/>
  <c r="AF8" i="6"/>
  <c r="T18" i="14"/>
  <c r="T35" i="14" s="1"/>
  <c r="S35" i="14"/>
  <c r="M6" i="14"/>
  <c r="L35" i="14"/>
  <c r="J5" i="14"/>
  <c r="J35" i="14" s="1"/>
  <c r="I35" i="14"/>
  <c r="M35" i="14"/>
  <c r="Q17" i="14"/>
  <c r="Q35" i="14" s="1"/>
  <c r="P35" i="14"/>
  <c r="Z6" i="14"/>
  <c r="Z35" i="14" s="1"/>
  <c r="Y35" i="14"/>
  <c r="G6" i="14"/>
  <c r="G35" i="14" s="1"/>
  <c r="F35" i="14"/>
  <c r="W5" i="14"/>
  <c r="W35" i="14" s="1"/>
  <c r="V35" i="14"/>
  <c r="D5" i="14"/>
  <c r="C35" i="14"/>
  <c r="AC35" i="14" s="1"/>
  <c r="W6" i="1"/>
  <c r="W36" i="1" s="1"/>
  <c r="V36" i="1"/>
  <c r="J6" i="1"/>
  <c r="J36" i="1" s="1"/>
  <c r="I36" i="1"/>
  <c r="Z5" i="1"/>
  <c r="Z36" i="1" s="1"/>
  <c r="Y36" i="1"/>
  <c r="M5" i="1"/>
  <c r="M36" i="1" s="1"/>
  <c r="L36" i="1"/>
  <c r="W6" i="4"/>
  <c r="W34" i="4" s="1"/>
  <c r="V34" i="4"/>
  <c r="J6" i="4"/>
  <c r="J34" i="4" s="1"/>
  <c r="I34" i="4"/>
  <c r="Z5" i="4"/>
  <c r="Z34" i="4" s="1"/>
  <c r="Y34" i="4"/>
  <c r="M5" i="4"/>
  <c r="M34" i="4" s="1"/>
  <c r="L34" i="4"/>
  <c r="D35" i="6"/>
  <c r="AD35" i="6" s="1"/>
  <c r="AC35" i="6"/>
  <c r="D33" i="6"/>
  <c r="AD33" i="6" s="1"/>
  <c r="AC33" i="6"/>
  <c r="D31" i="6"/>
  <c r="AD31" i="6" s="1"/>
  <c r="AC31" i="6"/>
  <c r="D29" i="6"/>
  <c r="AD29" i="6" s="1"/>
  <c r="AC29" i="6"/>
  <c r="D27" i="6"/>
  <c r="AD27" i="6" s="1"/>
  <c r="AC27" i="6"/>
  <c r="D25" i="6"/>
  <c r="AD25" i="6" s="1"/>
  <c r="AC25" i="6"/>
  <c r="D23" i="6"/>
  <c r="AD23" i="6" s="1"/>
  <c r="AC23" i="6"/>
  <c r="Z22" i="6"/>
  <c r="Z36" i="6" s="1"/>
  <c r="Y36" i="6"/>
  <c r="M22" i="6"/>
  <c r="L36" i="6"/>
  <c r="Q21" i="6"/>
  <c r="Q36" i="6" s="1"/>
  <c r="P36" i="6"/>
  <c r="D21" i="6"/>
  <c r="AD21" i="6" s="1"/>
  <c r="AC21" i="6"/>
  <c r="AD34" i="6"/>
  <c r="AD32" i="6"/>
  <c r="AD30" i="6"/>
  <c r="AD28" i="6"/>
  <c r="AD26" i="6"/>
  <c r="AF25" i="6"/>
  <c r="AD24" i="6"/>
  <c r="AF23" i="6"/>
  <c r="AD22" i="6"/>
  <c r="Q6" i="1"/>
  <c r="Q36" i="1" s="1"/>
  <c r="P36" i="1"/>
  <c r="D6" i="1"/>
  <c r="C36" i="1"/>
  <c r="T5" i="1"/>
  <c r="T36" i="1" s="1"/>
  <c r="S36" i="1"/>
  <c r="G5" i="1"/>
  <c r="G36" i="1" s="1"/>
  <c r="F36" i="1"/>
  <c r="Q6" i="4"/>
  <c r="Q34" i="4" s="1"/>
  <c r="P34" i="4"/>
  <c r="D6" i="4"/>
  <c r="C34" i="4"/>
  <c r="AC34" i="4" s="1"/>
  <c r="T5" i="4"/>
  <c r="T34" i="4" s="1"/>
  <c r="S34" i="4"/>
  <c r="G5" i="4"/>
  <c r="G34" i="4" s="1"/>
  <c r="F34" i="4"/>
  <c r="T22" i="6"/>
  <c r="S36" i="6"/>
  <c r="G22" i="6"/>
  <c r="G36" i="6" s="1"/>
  <c r="F36" i="6"/>
  <c r="W21" i="6"/>
  <c r="W36" i="6" s="1"/>
  <c r="V36" i="6"/>
  <c r="J21" i="6"/>
  <c r="J36" i="6" s="1"/>
  <c r="I36" i="6"/>
  <c r="AF34" i="6"/>
  <c r="AF32" i="6"/>
  <c r="AF30" i="6"/>
  <c r="AF28" i="6"/>
  <c r="AF26" i="6"/>
  <c r="AF24" i="6"/>
  <c r="M36" i="6"/>
  <c r="C18" i="6"/>
  <c r="AB18" i="6"/>
  <c r="T6" i="7"/>
  <c r="T35" i="7" s="1"/>
  <c r="S35" i="7"/>
  <c r="G6" i="7"/>
  <c r="G35" i="7" s="1"/>
  <c r="F35" i="7"/>
  <c r="W5" i="7"/>
  <c r="W35" i="7" s="1"/>
  <c r="V35" i="7"/>
  <c r="J5" i="7"/>
  <c r="J35" i="7" s="1"/>
  <c r="I35" i="7"/>
  <c r="D35" i="8"/>
  <c r="AD35" i="8" s="1"/>
  <c r="AC35" i="8"/>
  <c r="D33" i="8"/>
  <c r="AD33" i="8" s="1"/>
  <c r="AC33" i="8"/>
  <c r="D31" i="8"/>
  <c r="AD31" i="8" s="1"/>
  <c r="AC31" i="8"/>
  <c r="D29" i="8"/>
  <c r="AD29" i="8" s="1"/>
  <c r="AC29" i="8"/>
  <c r="D27" i="8"/>
  <c r="AD27" i="8" s="1"/>
  <c r="AC27" i="8"/>
  <c r="D25" i="8"/>
  <c r="AD25" i="8" s="1"/>
  <c r="AC25" i="8"/>
  <c r="D23" i="8"/>
  <c r="AD23" i="8" s="1"/>
  <c r="AC23" i="8"/>
  <c r="D21" i="8"/>
  <c r="AD21" i="8" s="1"/>
  <c r="AC21" i="8"/>
  <c r="D19" i="8"/>
  <c r="AD19" i="8" s="1"/>
  <c r="AC19" i="8"/>
  <c r="D17" i="8"/>
  <c r="AD17" i="8" s="1"/>
  <c r="AC17" i="8"/>
  <c r="D15" i="8"/>
  <c r="AD15" i="8" s="1"/>
  <c r="AC15" i="8"/>
  <c r="D13" i="8"/>
  <c r="AD13" i="8" s="1"/>
  <c r="AC13" i="8"/>
  <c r="D11" i="8"/>
  <c r="AD11" i="8" s="1"/>
  <c r="AC11" i="8"/>
  <c r="D9" i="8"/>
  <c r="AD9" i="8" s="1"/>
  <c r="AC9" i="8"/>
  <c r="D7" i="8"/>
  <c r="AD7" i="8" s="1"/>
  <c r="AC7" i="8"/>
  <c r="Q5" i="8"/>
  <c r="P36" i="8"/>
  <c r="Q36" i="8" s="1"/>
  <c r="D5" i="8"/>
  <c r="AC5" i="8"/>
  <c r="C36" i="8"/>
  <c r="D36" i="8" s="1"/>
  <c r="S35" i="9"/>
  <c r="T35" i="9" s="1"/>
  <c r="T19" i="9"/>
  <c r="AF19" i="9" s="1"/>
  <c r="F35" i="9"/>
  <c r="G35" i="9" s="1"/>
  <c r="G19" i="9"/>
  <c r="V35" i="9"/>
  <c r="W35" i="9" s="1"/>
  <c r="W18" i="9"/>
  <c r="I35" i="9"/>
  <c r="J35" i="9" s="1"/>
  <c r="J18" i="9"/>
  <c r="AB35" i="6"/>
  <c r="AC34" i="6"/>
  <c r="AB33" i="6"/>
  <c r="AC32" i="6"/>
  <c r="AB31" i="6"/>
  <c r="AC30" i="6"/>
  <c r="AB29" i="6"/>
  <c r="AC28" i="6"/>
  <c r="AB27" i="6"/>
  <c r="AC26" i="6"/>
  <c r="AB25" i="6"/>
  <c r="AC24" i="6"/>
  <c r="AB23" i="6"/>
  <c r="AC22" i="6"/>
  <c r="AB21" i="6"/>
  <c r="AC16" i="6"/>
  <c r="AF15" i="6"/>
  <c r="AF13" i="6"/>
  <c r="AF11" i="6"/>
  <c r="AF9" i="6"/>
  <c r="AF7" i="6"/>
  <c r="AF5" i="6"/>
  <c r="AF33" i="9"/>
  <c r="AF31" i="9"/>
  <c r="AF29" i="9"/>
  <c r="AF27" i="9"/>
  <c r="AF25" i="9"/>
  <c r="AF23" i="9"/>
  <c r="AF21" i="9"/>
  <c r="D19" i="6"/>
  <c r="AD19" i="6" s="1"/>
  <c r="AC19" i="6"/>
  <c r="D17" i="6"/>
  <c r="AD17" i="6" s="1"/>
  <c r="AC17" i="6"/>
  <c r="D14" i="6"/>
  <c r="AD14" i="6" s="1"/>
  <c r="AC14" i="6"/>
  <c r="D12" i="6"/>
  <c r="AD12" i="6" s="1"/>
  <c r="AC12" i="6"/>
  <c r="D10" i="6"/>
  <c r="AD10" i="6" s="1"/>
  <c r="AC10" i="6"/>
  <c r="D8" i="6"/>
  <c r="AD8" i="6" s="1"/>
  <c r="AC8" i="6"/>
  <c r="D6" i="6"/>
  <c r="AC6" i="6"/>
  <c r="Z6" i="7"/>
  <c r="Y35" i="7"/>
  <c r="M6" i="7"/>
  <c r="L35" i="7"/>
  <c r="Q5" i="7"/>
  <c r="Q35" i="7" s="1"/>
  <c r="P35" i="7"/>
  <c r="D5" i="7"/>
  <c r="C35" i="7"/>
  <c r="D34" i="8"/>
  <c r="AD34" i="8" s="1"/>
  <c r="AC34" i="8"/>
  <c r="D32" i="8"/>
  <c r="AD32" i="8" s="1"/>
  <c r="AC32" i="8"/>
  <c r="D30" i="8"/>
  <c r="AD30" i="8" s="1"/>
  <c r="AC30" i="8"/>
  <c r="D28" i="8"/>
  <c r="AD28" i="8" s="1"/>
  <c r="AC28" i="8"/>
  <c r="D26" i="8"/>
  <c r="AD26" i="8" s="1"/>
  <c r="AC26" i="8"/>
  <c r="D24" i="8"/>
  <c r="AD24" i="8" s="1"/>
  <c r="AC24" i="8"/>
  <c r="D22" i="8"/>
  <c r="AD22" i="8" s="1"/>
  <c r="AC22" i="8"/>
  <c r="D20" i="8"/>
  <c r="AD20" i="8" s="1"/>
  <c r="AC20" i="8"/>
  <c r="D18" i="8"/>
  <c r="AD18" i="8" s="1"/>
  <c r="AC18" i="8"/>
  <c r="D16" i="8"/>
  <c r="AD16" i="8" s="1"/>
  <c r="AC16" i="8"/>
  <c r="D14" i="8"/>
  <c r="AD14" i="8" s="1"/>
  <c r="AC14" i="8"/>
  <c r="D12" i="8"/>
  <c r="AD12" i="8" s="1"/>
  <c r="AC12" i="8"/>
  <c r="D10" i="8"/>
  <c r="AD10" i="8" s="1"/>
  <c r="AC10" i="8"/>
  <c r="D8" i="8"/>
  <c r="AD8" i="8" s="1"/>
  <c r="AC8" i="8"/>
  <c r="D6" i="8"/>
  <c r="AD6" i="8" s="1"/>
  <c r="AC6" i="8"/>
  <c r="W5" i="8"/>
  <c r="V36" i="8"/>
  <c r="W36" i="8" s="1"/>
  <c r="J5" i="8"/>
  <c r="I36" i="8"/>
  <c r="J36" i="8" s="1"/>
  <c r="D34" i="9"/>
  <c r="AD34" i="9" s="1"/>
  <c r="AC34" i="9"/>
  <c r="D32" i="9"/>
  <c r="AD32" i="9" s="1"/>
  <c r="D30" i="9"/>
  <c r="AD30" i="9" s="1"/>
  <c r="AC30" i="9"/>
  <c r="D28" i="9"/>
  <c r="AD28" i="9" s="1"/>
  <c r="AC28" i="9"/>
  <c r="D26" i="9"/>
  <c r="AD26" i="9" s="1"/>
  <c r="AC26" i="9"/>
  <c r="D24" i="9"/>
  <c r="AD24" i="9" s="1"/>
  <c r="AC24" i="9"/>
  <c r="D22" i="9"/>
  <c r="AD22" i="9" s="1"/>
  <c r="AC22" i="9"/>
  <c r="D20" i="9"/>
  <c r="AD20" i="9" s="1"/>
  <c r="AC20" i="9"/>
  <c r="L35" i="9"/>
  <c r="M35" i="9" s="1"/>
  <c r="M19" i="9"/>
  <c r="Q35" i="9"/>
  <c r="Q18" i="9"/>
  <c r="AF18" i="9" s="1"/>
  <c r="D18" i="9"/>
  <c r="AC18" i="9"/>
  <c r="Y35" i="9"/>
  <c r="Z35" i="9" s="1"/>
  <c r="Z17" i="9"/>
  <c r="AF17" i="9" s="1"/>
  <c r="AF19" i="6"/>
  <c r="AF17" i="6"/>
  <c r="AD16" i="6"/>
  <c r="AD15" i="6"/>
  <c r="AD11" i="6"/>
  <c r="AD9" i="6"/>
  <c r="AD7" i="6"/>
  <c r="AD5" i="6"/>
  <c r="AD33" i="9"/>
  <c r="AD31" i="9"/>
  <c r="AD29" i="9"/>
  <c r="AD27" i="9"/>
  <c r="AD25" i="9"/>
  <c r="AD23" i="9"/>
  <c r="AD21" i="9"/>
  <c r="AD19" i="9"/>
  <c r="D16" i="9"/>
  <c r="AD16" i="9" s="1"/>
  <c r="AC16" i="9"/>
  <c r="D14" i="9"/>
  <c r="AD14" i="9" s="1"/>
  <c r="AC14" i="9"/>
  <c r="D12" i="9"/>
  <c r="AD12" i="9" s="1"/>
  <c r="AC12" i="9"/>
  <c r="D10" i="9"/>
  <c r="AD10" i="9" s="1"/>
  <c r="AC10" i="9"/>
  <c r="D8" i="9"/>
  <c r="AD8" i="9" s="1"/>
  <c r="AC8" i="9"/>
  <c r="D6" i="9"/>
  <c r="AD6" i="9" s="1"/>
  <c r="AC6" i="9"/>
  <c r="D34" i="10"/>
  <c r="AH34" i="10" s="1"/>
  <c r="AG34" i="10"/>
  <c r="D32" i="10"/>
  <c r="AH32" i="10" s="1"/>
  <c r="AG32" i="10"/>
  <c r="D29" i="10"/>
  <c r="AH29" i="10" s="1"/>
  <c r="AG29" i="10"/>
  <c r="D27" i="10"/>
  <c r="AH27" i="10" s="1"/>
  <c r="AG27" i="10"/>
  <c r="D25" i="10"/>
  <c r="AH25" i="10" s="1"/>
  <c r="AG25" i="10"/>
  <c r="D23" i="10"/>
  <c r="AH23" i="10" s="1"/>
  <c r="AG23" i="10"/>
  <c r="D21" i="10"/>
  <c r="AH21" i="10" s="1"/>
  <c r="AG21" i="10"/>
  <c r="D19" i="10"/>
  <c r="AH19" i="10" s="1"/>
  <c r="AG19" i="10"/>
  <c r="D17" i="10"/>
  <c r="AH17" i="10" s="1"/>
  <c r="AG17" i="10"/>
  <c r="D15" i="10"/>
  <c r="AH15" i="10" s="1"/>
  <c r="AG15" i="10"/>
  <c r="D13" i="10"/>
  <c r="AH13" i="10" s="1"/>
  <c r="AG13" i="10"/>
  <c r="D11" i="10"/>
  <c r="AH11" i="10" s="1"/>
  <c r="AG11" i="10"/>
  <c r="D9" i="10"/>
  <c r="AH9" i="10" s="1"/>
  <c r="AG9" i="10"/>
  <c r="Q7" i="10"/>
  <c r="AJ7" i="10" s="1"/>
  <c r="P36" i="10"/>
  <c r="Q36" i="10" s="1"/>
  <c r="D7" i="10"/>
  <c r="AG7" i="10"/>
  <c r="Z6" i="10"/>
  <c r="Y36" i="10"/>
  <c r="Z36" i="10" s="1"/>
  <c r="M6" i="10"/>
  <c r="L36" i="10"/>
  <c r="M36" i="10" s="1"/>
  <c r="AF16" i="9"/>
  <c r="AF14" i="9"/>
  <c r="AF12" i="9"/>
  <c r="AF10" i="9"/>
  <c r="AF8" i="9"/>
  <c r="AF6" i="9"/>
  <c r="AJ34" i="10"/>
  <c r="AJ32" i="10"/>
  <c r="AJ30" i="10"/>
  <c r="AH28" i="10"/>
  <c r="AH26" i="10"/>
  <c r="AH24" i="10"/>
  <c r="AJ23" i="10"/>
  <c r="AH22" i="10"/>
  <c r="AJ21" i="10"/>
  <c r="AH20" i="10"/>
  <c r="AJ19" i="10"/>
  <c r="AH18" i="10"/>
  <c r="AJ17" i="10"/>
  <c r="AH16" i="10"/>
  <c r="AJ15" i="10"/>
  <c r="AH14" i="10"/>
  <c r="AJ13" i="10"/>
  <c r="AH12" i="10"/>
  <c r="AJ11" i="10"/>
  <c r="AH10" i="10"/>
  <c r="AH8" i="10"/>
  <c r="AH6" i="10"/>
  <c r="C15" i="9"/>
  <c r="AB15" i="9"/>
  <c r="C13" i="9"/>
  <c r="AB13" i="9"/>
  <c r="C11" i="9"/>
  <c r="AB11" i="9"/>
  <c r="C9" i="9"/>
  <c r="AB9" i="9"/>
  <c r="C7" i="9"/>
  <c r="AB7" i="9"/>
  <c r="C5" i="9"/>
  <c r="AB5" i="9"/>
  <c r="C35" i="10"/>
  <c r="AF35" i="10"/>
  <c r="C33" i="10"/>
  <c r="AF33" i="10"/>
  <c r="C31" i="10"/>
  <c r="AF31" i="10"/>
  <c r="W7" i="10"/>
  <c r="V36" i="10"/>
  <c r="W36" i="10" s="1"/>
  <c r="J7" i="10"/>
  <c r="I36" i="10"/>
  <c r="J36" i="10" s="1"/>
  <c r="T6" i="10"/>
  <c r="S36" i="10"/>
  <c r="T36" i="10" s="1"/>
  <c r="G6" i="10"/>
  <c r="F36" i="10"/>
  <c r="G36" i="10" s="1"/>
  <c r="AD5" i="10"/>
  <c r="AC36" i="10"/>
  <c r="AD36" i="10" s="1"/>
  <c r="AB16" i="6"/>
  <c r="AC15" i="6"/>
  <c r="AB14" i="6"/>
  <c r="AC13" i="6"/>
  <c r="AB12" i="6"/>
  <c r="AC11" i="6"/>
  <c r="AB10" i="6"/>
  <c r="AC9" i="6"/>
  <c r="AB8" i="6"/>
  <c r="AC7" i="6"/>
  <c r="AB6" i="6"/>
  <c r="AC5" i="6"/>
  <c r="AB35" i="8"/>
  <c r="AB34" i="8"/>
  <c r="AB33" i="8"/>
  <c r="AB32" i="8"/>
  <c r="AB31" i="8"/>
  <c r="AB30" i="8"/>
  <c r="AB29" i="8"/>
  <c r="AB28" i="8"/>
  <c r="AB27" i="8"/>
  <c r="AB26" i="8"/>
  <c r="AB25" i="8"/>
  <c r="AB24" i="8"/>
  <c r="AB23" i="8"/>
  <c r="AB22" i="8"/>
  <c r="AB21" i="8"/>
  <c r="AB20" i="8"/>
  <c r="AB19" i="8"/>
  <c r="AB18" i="8"/>
  <c r="AB17" i="8"/>
  <c r="AB16" i="8"/>
  <c r="AB15" i="8"/>
  <c r="AB14" i="8"/>
  <c r="AB13" i="8"/>
  <c r="AB12" i="8"/>
  <c r="AB11" i="8"/>
  <c r="AB10" i="8"/>
  <c r="AB9" i="8"/>
  <c r="AB8" i="8"/>
  <c r="AB7" i="8"/>
  <c r="AB6" i="8"/>
  <c r="AB5" i="8"/>
  <c r="AB34" i="9"/>
  <c r="AC33" i="9"/>
  <c r="AB32" i="9"/>
  <c r="AC31" i="9"/>
  <c r="AB30" i="9"/>
  <c r="AC29" i="9"/>
  <c r="AB28" i="9"/>
  <c r="AC27" i="9"/>
  <c r="AB26" i="9"/>
  <c r="AC25" i="9"/>
  <c r="AB24" i="9"/>
  <c r="AC23" i="9"/>
  <c r="AB22" i="9"/>
  <c r="AC21" i="9"/>
  <c r="AB20" i="9"/>
  <c r="AC19" i="9"/>
  <c r="AB18" i="9"/>
  <c r="AJ28" i="10"/>
  <c r="AJ26" i="10"/>
  <c r="AJ24" i="10"/>
  <c r="AJ22" i="10"/>
  <c r="AD8" i="11"/>
  <c r="AC8" i="11"/>
  <c r="AD6" i="11"/>
  <c r="AC6" i="11"/>
  <c r="W22" i="12"/>
  <c r="V35" i="12"/>
  <c r="W35" i="12" s="1"/>
  <c r="J22" i="12"/>
  <c r="I35" i="12"/>
  <c r="J35" i="12" s="1"/>
  <c r="T21" i="12"/>
  <c r="S35" i="12"/>
  <c r="T35" i="12" s="1"/>
  <c r="AG30" i="10"/>
  <c r="AF29" i="10"/>
  <c r="AG28" i="10"/>
  <c r="AF27" i="10"/>
  <c r="AG26" i="10"/>
  <c r="AF25" i="10"/>
  <c r="AG24" i="10"/>
  <c r="AF23" i="10"/>
  <c r="AG22" i="10"/>
  <c r="AF21" i="10"/>
  <c r="AG20" i="10"/>
  <c r="AF19" i="10"/>
  <c r="AG18" i="10"/>
  <c r="AF17" i="10"/>
  <c r="AG16" i="10"/>
  <c r="AF15" i="10"/>
  <c r="AG14" i="10"/>
  <c r="AF13" i="10"/>
  <c r="AG12" i="10"/>
  <c r="AF11" i="10"/>
  <c r="AG10" i="10"/>
  <c r="AF9" i="10"/>
  <c r="AG8" i="10"/>
  <c r="AF7" i="10"/>
  <c r="AG6" i="10"/>
  <c r="V36" i="11"/>
  <c r="W36" i="11" s="1"/>
  <c r="P36" i="11"/>
  <c r="Q36" i="11" s="1"/>
  <c r="AF33" i="11"/>
  <c r="AF31" i="11"/>
  <c r="AF29" i="11"/>
  <c r="AF25" i="11"/>
  <c r="AF23" i="11"/>
  <c r="AF21" i="11"/>
  <c r="AF19" i="11"/>
  <c r="AF17" i="11"/>
  <c r="AF15" i="11"/>
  <c r="AF13" i="11"/>
  <c r="AF11" i="11"/>
  <c r="AF9" i="11"/>
  <c r="AF8" i="11"/>
  <c r="AF7" i="11"/>
  <c r="AF5" i="11"/>
  <c r="AF34" i="12"/>
  <c r="AF32" i="12"/>
  <c r="AD28" i="12"/>
  <c r="AF24" i="12"/>
  <c r="AD34" i="11"/>
  <c r="AC34" i="11"/>
  <c r="AD32" i="11"/>
  <c r="AC32" i="11"/>
  <c r="AD30" i="11"/>
  <c r="AC30" i="11"/>
  <c r="AD28" i="11"/>
  <c r="AC28" i="11"/>
  <c r="AD26" i="11"/>
  <c r="AC26" i="11"/>
  <c r="AD24" i="11"/>
  <c r="AC24" i="11"/>
  <c r="AD22" i="11"/>
  <c r="AC22" i="11"/>
  <c r="AD20" i="11"/>
  <c r="AC20" i="11"/>
  <c r="AD18" i="11"/>
  <c r="AC18" i="11"/>
  <c r="AD16" i="11"/>
  <c r="AC16" i="11"/>
  <c r="AD14" i="11"/>
  <c r="AC14" i="11"/>
  <c r="AD12" i="11"/>
  <c r="AC12" i="11"/>
  <c r="AD10" i="11"/>
  <c r="AC10" i="11"/>
  <c r="D33" i="12"/>
  <c r="AD33" i="12" s="1"/>
  <c r="AC33" i="12"/>
  <c r="D31" i="12"/>
  <c r="AD31" i="12" s="1"/>
  <c r="AC31" i="12"/>
  <c r="D29" i="12"/>
  <c r="AD29" i="12" s="1"/>
  <c r="AC29" i="12"/>
  <c r="D27" i="12"/>
  <c r="AD27" i="12" s="1"/>
  <c r="AC27" i="12"/>
  <c r="G26" i="12"/>
  <c r="G35" i="12" s="1"/>
  <c r="F35" i="12"/>
  <c r="D25" i="12"/>
  <c r="AD25" i="12" s="1"/>
  <c r="AC25" i="12"/>
  <c r="M24" i="12"/>
  <c r="L35" i="12"/>
  <c r="M35" i="12" s="1"/>
  <c r="D24" i="12"/>
  <c r="AD24" i="12" s="1"/>
  <c r="AC24" i="12"/>
  <c r="D23" i="12"/>
  <c r="AD23" i="12" s="1"/>
  <c r="AC23" i="12"/>
  <c r="Q22" i="12"/>
  <c r="AF22" i="12" s="1"/>
  <c r="P35" i="12"/>
  <c r="Q35" i="12" s="1"/>
  <c r="D22" i="12"/>
  <c r="AC22" i="12"/>
  <c r="C35" i="12"/>
  <c r="Z21" i="12"/>
  <c r="Y35" i="12"/>
  <c r="Z35" i="12" s="1"/>
  <c r="AF35" i="11"/>
  <c r="AD33" i="11"/>
  <c r="AD31" i="11"/>
  <c r="AD29" i="11"/>
  <c r="AD27" i="11"/>
  <c r="AD25" i="11"/>
  <c r="AD23" i="11"/>
  <c r="AD21" i="11"/>
  <c r="AD19" i="11"/>
  <c r="AD17" i="11"/>
  <c r="AD15" i="11"/>
  <c r="AD13" i="11"/>
  <c r="AD11" i="11"/>
  <c r="AD9" i="11"/>
  <c r="AD7" i="11"/>
  <c r="AD34" i="12"/>
  <c r="AD32" i="12"/>
  <c r="D20" i="12"/>
  <c r="AD20" i="12" s="1"/>
  <c r="AC20" i="12"/>
  <c r="D18" i="12"/>
  <c r="AD18" i="12" s="1"/>
  <c r="AC18" i="12"/>
  <c r="D16" i="12"/>
  <c r="AD16" i="12" s="1"/>
  <c r="AC16" i="12"/>
  <c r="D14" i="12"/>
  <c r="AD14" i="12" s="1"/>
  <c r="AC14" i="12"/>
  <c r="D12" i="12"/>
  <c r="AD12" i="12" s="1"/>
  <c r="AC12" i="12"/>
  <c r="D10" i="12"/>
  <c r="AD10" i="12" s="1"/>
  <c r="AC10" i="12"/>
  <c r="D8" i="12"/>
  <c r="AD8" i="12" s="1"/>
  <c r="AC8" i="12"/>
  <c r="D6" i="12"/>
  <c r="AC6" i="12"/>
  <c r="D34" i="5"/>
  <c r="AD34" i="5" s="1"/>
  <c r="AC34" i="5"/>
  <c r="D32" i="5"/>
  <c r="AD32" i="5" s="1"/>
  <c r="AC32" i="5"/>
  <c r="T31" i="5"/>
  <c r="AF31" i="5" s="1"/>
  <c r="S36" i="5"/>
  <c r="G31" i="5"/>
  <c r="G36" i="5" s="1"/>
  <c r="F36" i="5"/>
  <c r="Q30" i="5"/>
  <c r="Q36" i="5" s="1"/>
  <c r="P36" i="5"/>
  <c r="D30" i="5"/>
  <c r="AC30" i="5"/>
  <c r="C36" i="5"/>
  <c r="Z29" i="5"/>
  <c r="Y36" i="5"/>
  <c r="AF20" i="12"/>
  <c r="AF19" i="12"/>
  <c r="AF18" i="12"/>
  <c r="AF17" i="12"/>
  <c r="AF16" i="12"/>
  <c r="AF15" i="12"/>
  <c r="AF14" i="12"/>
  <c r="AF13" i="12"/>
  <c r="AF12" i="12"/>
  <c r="AF11" i="12"/>
  <c r="AF10" i="12"/>
  <c r="AF9" i="12"/>
  <c r="AF8" i="12"/>
  <c r="AF7" i="12"/>
  <c r="AF6" i="12"/>
  <c r="AF5" i="12"/>
  <c r="AF35" i="5"/>
  <c r="AF34" i="5"/>
  <c r="AF33" i="5"/>
  <c r="AF32" i="5"/>
  <c r="M31" i="5"/>
  <c r="M36" i="5" s="1"/>
  <c r="L36" i="5"/>
  <c r="W30" i="5"/>
  <c r="W36" i="5" s="1"/>
  <c r="V36" i="5"/>
  <c r="J30" i="5"/>
  <c r="J36" i="5" s="1"/>
  <c r="I36" i="5"/>
  <c r="AC35" i="11"/>
  <c r="AB34" i="11"/>
  <c r="AC33" i="11"/>
  <c r="AB32" i="11"/>
  <c r="AC31" i="11"/>
  <c r="AB30" i="11"/>
  <c r="AC29" i="11"/>
  <c r="AB28" i="11"/>
  <c r="AC27" i="11"/>
  <c r="AB26" i="11"/>
  <c r="AC25" i="11"/>
  <c r="AB24" i="11"/>
  <c r="AC23" i="11"/>
  <c r="AB22" i="11"/>
  <c r="AC21" i="11"/>
  <c r="AB20" i="11"/>
  <c r="AC19" i="11"/>
  <c r="AB18" i="11"/>
  <c r="AC17" i="11"/>
  <c r="AB16" i="11"/>
  <c r="AC15" i="11"/>
  <c r="AB14" i="11"/>
  <c r="AC13" i="11"/>
  <c r="AB12" i="11"/>
  <c r="AC11" i="11"/>
  <c r="AB10" i="11"/>
  <c r="AC9" i="11"/>
  <c r="AC34" i="12"/>
  <c r="AB33" i="12"/>
  <c r="AC32" i="12"/>
  <c r="AB31" i="12"/>
  <c r="AD19" i="12"/>
  <c r="AD15" i="12"/>
  <c r="AD11" i="12"/>
  <c r="AD7" i="12"/>
  <c r="AD35" i="5"/>
  <c r="AD33" i="5"/>
  <c r="AD31" i="5"/>
  <c r="D27" i="5"/>
  <c r="AD27" i="5" s="1"/>
  <c r="AC27" i="5"/>
  <c r="D25" i="5"/>
  <c r="AD25" i="5" s="1"/>
  <c r="AC25" i="5"/>
  <c r="D23" i="5"/>
  <c r="AD23" i="5" s="1"/>
  <c r="AC23" i="5"/>
  <c r="D21" i="5"/>
  <c r="AD21" i="5" s="1"/>
  <c r="AC21" i="5"/>
  <c r="D19" i="5"/>
  <c r="AD19" i="5" s="1"/>
  <c r="AC19" i="5"/>
  <c r="D5" i="5"/>
  <c r="AC5" i="5"/>
  <c r="AF27" i="5"/>
  <c r="AD26" i="5"/>
  <c r="AF25" i="5"/>
  <c r="AD24" i="5"/>
  <c r="AF23" i="5"/>
  <c r="AD22" i="5"/>
  <c r="AF21" i="5"/>
  <c r="AF20" i="5"/>
  <c r="AF19" i="5"/>
  <c r="AD18" i="5"/>
  <c r="AD16" i="5"/>
  <c r="AD14" i="5"/>
  <c r="AD12" i="5"/>
  <c r="AD10" i="5"/>
  <c r="AD8" i="5"/>
  <c r="AD6" i="5"/>
  <c r="AF5" i="5"/>
  <c r="D17" i="5"/>
  <c r="AD17" i="5" s="1"/>
  <c r="AC17" i="5"/>
  <c r="D15" i="5"/>
  <c r="AD15" i="5" s="1"/>
  <c r="AC15" i="5"/>
  <c r="D13" i="5"/>
  <c r="AD13" i="5" s="1"/>
  <c r="AC13" i="5"/>
  <c r="D11" i="5"/>
  <c r="AD11" i="5" s="1"/>
  <c r="AC11" i="5"/>
  <c r="D9" i="5"/>
  <c r="AD9" i="5" s="1"/>
  <c r="AC9" i="5"/>
  <c r="D7" i="5"/>
  <c r="AD7" i="5" s="1"/>
  <c r="AC7" i="5"/>
  <c r="AF28" i="5"/>
  <c r="AD20" i="5"/>
  <c r="AF6" i="5"/>
  <c r="AC28" i="5"/>
  <c r="AB27" i="5"/>
  <c r="AC26" i="5"/>
  <c r="AB25" i="5"/>
  <c r="AC24" i="5"/>
  <c r="AB23" i="5"/>
  <c r="AC22" i="5"/>
  <c r="AB21" i="5"/>
  <c r="AC18" i="5"/>
  <c r="AB5" i="5"/>
  <c r="M35" i="7" l="1"/>
  <c r="C6" i="15" s="1"/>
  <c r="Z35" i="7"/>
  <c r="C7" i="15" s="1"/>
  <c r="AH7" i="10"/>
  <c r="AD5" i="8"/>
  <c r="C36" i="10"/>
  <c r="D36" i="10" s="1"/>
  <c r="AD30" i="5"/>
  <c r="AD22" i="12"/>
  <c r="AC35" i="7"/>
  <c r="AF22" i="6"/>
  <c r="D8" i="13"/>
  <c r="AD8" i="13" s="1"/>
  <c r="D35" i="14"/>
  <c r="AD5" i="14"/>
  <c r="D5" i="13"/>
  <c r="AC5" i="13"/>
  <c r="D6" i="13"/>
  <c r="AD6" i="13" s="1"/>
  <c r="AC6" i="13"/>
  <c r="D7" i="13"/>
  <c r="AD7" i="13" s="1"/>
  <c r="AC7" i="13"/>
  <c r="D9" i="13"/>
  <c r="AD9" i="13" s="1"/>
  <c r="AC9" i="13"/>
  <c r="D10" i="13"/>
  <c r="AD10" i="13" s="1"/>
  <c r="AC10" i="13"/>
  <c r="D11" i="13"/>
  <c r="AD11" i="13" s="1"/>
  <c r="AC11" i="13"/>
  <c r="D12" i="13"/>
  <c r="AD12" i="13" s="1"/>
  <c r="AC12" i="13"/>
  <c r="D13" i="13"/>
  <c r="AD13" i="13" s="1"/>
  <c r="AC13" i="13"/>
  <c r="D14" i="13"/>
  <c r="AD14" i="13" s="1"/>
  <c r="AC14" i="13"/>
  <c r="D15" i="13"/>
  <c r="AD15" i="13" s="1"/>
  <c r="AC15" i="13"/>
  <c r="D16" i="13"/>
  <c r="AD16" i="13" s="1"/>
  <c r="AC16" i="13"/>
  <c r="D17" i="13"/>
  <c r="AD17" i="13" s="1"/>
  <c r="AC17" i="13"/>
  <c r="D18" i="13"/>
  <c r="AD18" i="13" s="1"/>
  <c r="AC18" i="13"/>
  <c r="D19" i="13"/>
  <c r="AD19" i="13" s="1"/>
  <c r="AC19" i="13"/>
  <c r="D20" i="13"/>
  <c r="AD20" i="13" s="1"/>
  <c r="AC20" i="13"/>
  <c r="D21" i="13"/>
  <c r="AD21" i="13" s="1"/>
  <c r="AC21" i="13"/>
  <c r="D22" i="13"/>
  <c r="AD22" i="13" s="1"/>
  <c r="AC22" i="13"/>
  <c r="D23" i="13"/>
  <c r="AD23" i="13" s="1"/>
  <c r="AC23" i="13"/>
  <c r="D24" i="13"/>
  <c r="AD24" i="13" s="1"/>
  <c r="AC24" i="13"/>
  <c r="D25" i="13"/>
  <c r="AD25" i="13" s="1"/>
  <c r="AC25" i="13"/>
  <c r="D26" i="13"/>
  <c r="AD26" i="13" s="1"/>
  <c r="AC26" i="13"/>
  <c r="D27" i="13"/>
  <c r="AD27" i="13" s="1"/>
  <c r="AC27" i="13"/>
  <c r="D28" i="13"/>
  <c r="AD28" i="13" s="1"/>
  <c r="AC28" i="13"/>
  <c r="D29" i="13"/>
  <c r="AD29" i="13" s="1"/>
  <c r="AC29" i="13"/>
  <c r="D30" i="13"/>
  <c r="AD30" i="13" s="1"/>
  <c r="AC30" i="13"/>
  <c r="D31" i="13"/>
  <c r="AD31" i="13" s="1"/>
  <c r="AC31" i="13"/>
  <c r="D32" i="13"/>
  <c r="AD32" i="13" s="1"/>
  <c r="AC32" i="13"/>
  <c r="D33" i="13"/>
  <c r="AD33" i="13" s="1"/>
  <c r="AC33" i="13"/>
  <c r="D34" i="13"/>
  <c r="AD34" i="13" s="1"/>
  <c r="AC34" i="13"/>
  <c r="D35" i="13"/>
  <c r="AD35" i="13" s="1"/>
  <c r="AC35" i="13"/>
  <c r="J36" i="13"/>
  <c r="Q36" i="13"/>
  <c r="C5" i="15" s="1"/>
  <c r="W36" i="13"/>
  <c r="AD17" i="14"/>
  <c r="G36" i="13"/>
  <c r="T36" i="13"/>
  <c r="AC36" i="1"/>
  <c r="AD36" i="1" s="1"/>
  <c r="D35" i="7"/>
  <c r="AD35" i="7" s="1"/>
  <c r="AD5" i="7"/>
  <c r="D34" i="4"/>
  <c r="AD34" i="4" s="1"/>
  <c r="AD6" i="4"/>
  <c r="D36" i="1"/>
  <c r="AD6" i="1"/>
  <c r="AJ6" i="10"/>
  <c r="AJ36" i="10" s="1"/>
  <c r="AC36" i="5"/>
  <c r="AD36" i="5" s="1"/>
  <c r="AD18" i="9"/>
  <c r="AD5" i="5"/>
  <c r="D36" i="5"/>
  <c r="AF29" i="5"/>
  <c r="Z36" i="5"/>
  <c r="AG31" i="10"/>
  <c r="D31" i="10"/>
  <c r="AH31" i="10" s="1"/>
  <c r="AG33" i="10"/>
  <c r="D33" i="10"/>
  <c r="AH33" i="10" s="1"/>
  <c r="AG35" i="10"/>
  <c r="D35" i="10"/>
  <c r="AH35" i="10" s="1"/>
  <c r="AC5" i="9"/>
  <c r="C35" i="9"/>
  <c r="D35" i="9" s="1"/>
  <c r="D5" i="9"/>
  <c r="AD5" i="9" s="1"/>
  <c r="AC7" i="9"/>
  <c r="D7" i="9"/>
  <c r="AD7" i="9" s="1"/>
  <c r="AC9" i="9"/>
  <c r="D9" i="9"/>
  <c r="AD9" i="9" s="1"/>
  <c r="AC11" i="9"/>
  <c r="D11" i="9"/>
  <c r="AD11" i="9" s="1"/>
  <c r="AC13" i="9"/>
  <c r="D13" i="9"/>
  <c r="AD13" i="9" s="1"/>
  <c r="AC15" i="9"/>
  <c r="D15" i="9"/>
  <c r="AD15" i="9" s="1"/>
  <c r="D18" i="6"/>
  <c r="AD18" i="6" s="1"/>
  <c r="AC18" i="6"/>
  <c r="AC36" i="6" s="1"/>
  <c r="AD36" i="6" s="1"/>
  <c r="C36" i="6"/>
  <c r="T36" i="5"/>
  <c r="AC35" i="12"/>
  <c r="AF35" i="12"/>
  <c r="AC36" i="11"/>
  <c r="AD36" i="11" s="1"/>
  <c r="T36" i="6"/>
  <c r="AD6" i="12"/>
  <c r="D35" i="12"/>
  <c r="AD35" i="12" s="1"/>
  <c r="AD6" i="6"/>
  <c r="AF30" i="5"/>
  <c r="AF36" i="5" s="1"/>
  <c r="AF36" i="11"/>
  <c r="AF21" i="12"/>
  <c r="AF35" i="9"/>
  <c r="AC36" i="8"/>
  <c r="AD36" i="8" s="1"/>
  <c r="AF21" i="6"/>
  <c r="AF36" i="6" s="1"/>
  <c r="AD35" i="14" l="1"/>
  <c r="AG36" i="10"/>
  <c r="AH36" i="10" s="1"/>
  <c r="AD5" i="13"/>
  <c r="AD36" i="13" s="1"/>
  <c r="D36" i="13"/>
  <c r="C4" i="15" s="1"/>
  <c r="D36" i="6"/>
  <c r="AC36" i="13"/>
  <c r="AC35" i="9"/>
  <c r="AD35" i="9" s="1"/>
</calcChain>
</file>

<file path=xl/comments1.xml><?xml version="1.0" encoding="utf-8"?>
<comments xmlns="http://schemas.openxmlformats.org/spreadsheetml/2006/main">
  <authors>
    <author>mhull</author>
  </authors>
  <commentList>
    <comment ref="K25" authorId="0">
      <text>
        <r>
          <rPr>
            <b/>
            <sz val="8"/>
            <color indexed="81"/>
            <rFont val="Tahoma"/>
            <family val="2"/>
          </rPr>
          <t>mhull:</t>
        </r>
        <r>
          <rPr>
            <sz val="8"/>
            <color indexed="81"/>
            <rFont val="Tahoma"/>
            <family val="2"/>
          </rPr>
          <t xml:space="preserve">
incorrect, overrode</t>
        </r>
      </text>
    </comment>
    <comment ref="B27" authorId="0">
      <text>
        <r>
          <rPr>
            <b/>
            <sz val="8"/>
            <color indexed="81"/>
            <rFont val="Tahoma"/>
            <family val="2"/>
          </rPr>
          <t>mhull:</t>
        </r>
        <r>
          <rPr>
            <sz val="8"/>
            <color indexed="81"/>
            <rFont val="Tahoma"/>
            <family val="2"/>
          </rPr>
          <t xml:space="preserve">
incorrect, overrode</t>
        </r>
      </text>
    </comment>
  </commentList>
</comments>
</file>

<file path=xl/sharedStrings.xml><?xml version="1.0" encoding="utf-8"?>
<sst xmlns="http://schemas.openxmlformats.org/spreadsheetml/2006/main" count="456" uniqueCount="22">
  <si>
    <t>gallons</t>
  </si>
  <si>
    <t>MGD</t>
  </si>
  <si>
    <t>AF</t>
  </si>
  <si>
    <t>Standley Pipeline to TTP</t>
  </si>
  <si>
    <t>TTP Production</t>
  </si>
  <si>
    <t>Denver Treated Lease</t>
  </si>
  <si>
    <t>ERWPS to TTP</t>
  </si>
  <si>
    <t>TTP Backwash</t>
  </si>
  <si>
    <t>TOTAL PRODUCTION</t>
  </si>
  <si>
    <t>Water From Standley to EGL #4</t>
  </si>
  <si>
    <t>WBTP Production</t>
  </si>
  <si>
    <t>ERWPS to WBTP</t>
  </si>
  <si>
    <t>WRWPS to WBTP</t>
  </si>
  <si>
    <t>WBTP Backwash</t>
  </si>
  <si>
    <t xml:space="preserve">Wes Brown </t>
  </si>
  <si>
    <t>Thornton</t>
  </si>
  <si>
    <t>WY2012 Production Summary</t>
  </si>
  <si>
    <t>WB Backwash</t>
  </si>
  <si>
    <t>TH Backwash</t>
  </si>
  <si>
    <t>Total East Side</t>
  </si>
  <si>
    <t>Total West Side</t>
  </si>
  <si>
    <t>Total Standley Lake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</si>
</sst>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d\-mmm;@"/>
  </numFmts>
  <fonts count="6" x14ac:knownFonts="1">
    <font>
      <sz val="10"/>
      <name val="Arial"/>
    </font>
    <font>
      <sz val="8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0" fillId="0" borderId="1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3" fontId="0" fillId="0" borderId="1" xfId="0" applyNumberFormat="1" applyFill="1" applyBorder="1"/>
    <xf numFmtId="2" fontId="0" fillId="0" borderId="2" xfId="0" applyNumberFormat="1" applyFill="1" applyBorder="1"/>
    <xf numFmtId="2" fontId="0" fillId="0" borderId="4" xfId="0" applyNumberFormat="1" applyFill="1" applyBorder="1"/>
    <xf numFmtId="2" fontId="0" fillId="0" borderId="3" xfId="0" applyNumberFormat="1" applyFill="1" applyBorder="1"/>
    <xf numFmtId="2" fontId="0" fillId="0" borderId="5" xfId="0" applyNumberFormat="1" applyFill="1" applyBorder="1"/>
    <xf numFmtId="16" fontId="0" fillId="0" borderId="0" xfId="0" applyNumberFormat="1" applyBorder="1"/>
    <xf numFmtId="3" fontId="0" fillId="0" borderId="0" xfId="0" applyNumberFormat="1" applyFill="1" applyBorder="1"/>
    <xf numFmtId="0" fontId="0" fillId="0" borderId="0" xfId="0" applyFill="1" applyBorder="1"/>
    <xf numFmtId="2" fontId="0" fillId="0" borderId="0" xfId="0" applyNumberFormat="1" applyFill="1" applyBorder="1"/>
    <xf numFmtId="2" fontId="0" fillId="0" borderId="0" xfId="0" applyNumberFormat="1" applyBorder="1"/>
    <xf numFmtId="2" fontId="0" fillId="0" borderId="2" xfId="0" applyNumberFormat="1" applyFill="1" applyBorder="1" applyAlignment="1">
      <alignment horizontal="center"/>
    </xf>
    <xf numFmtId="2" fontId="0" fillId="0" borderId="0" xfId="0" applyNumberFormat="1"/>
    <xf numFmtId="0" fontId="0" fillId="0" borderId="0" xfId="0" applyFill="1" applyBorder="1" applyAlignment="1">
      <alignment horizontal="center"/>
    </xf>
    <xf numFmtId="0" fontId="0" fillId="0" borderId="0" xfId="0" applyBorder="1"/>
    <xf numFmtId="164" fontId="0" fillId="0" borderId="0" xfId="0" applyNumberFormat="1" applyFill="1" applyBorder="1"/>
    <xf numFmtId="0" fontId="0" fillId="0" borderId="0" xfId="0" applyAlignment="1"/>
    <xf numFmtId="0" fontId="0" fillId="0" borderId="6" xfId="0" applyFill="1" applyBorder="1"/>
    <xf numFmtId="2" fontId="0" fillId="0" borderId="0" xfId="0" applyNumberFormat="1" applyFill="1"/>
    <xf numFmtId="0" fontId="2" fillId="0" borderId="0" xfId="0" applyFont="1" applyFill="1"/>
    <xf numFmtId="0" fontId="0" fillId="0" borderId="0" xfId="0" applyFill="1" applyAlignment="1"/>
    <xf numFmtId="0" fontId="0" fillId="0" borderId="0" xfId="0" applyFill="1" applyAlignment="1">
      <alignment horizontal="center"/>
    </xf>
    <xf numFmtId="16" fontId="0" fillId="0" borderId="0" xfId="0" applyNumberFormat="1" applyFill="1"/>
    <xf numFmtId="16" fontId="0" fillId="0" borderId="0" xfId="0" applyNumberFormat="1" applyFill="1" applyBorder="1"/>
    <xf numFmtId="3" fontId="0" fillId="0" borderId="7" xfId="0" applyNumberFormat="1" applyFill="1" applyBorder="1"/>
    <xf numFmtId="2" fontId="0" fillId="0" borderId="6" xfId="0" applyNumberFormat="1" applyFill="1" applyBorder="1"/>
    <xf numFmtId="0" fontId="0" fillId="0" borderId="8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11" xfId="0" applyBorder="1" applyAlignment="1">
      <alignment horizontal="center" wrapText="1"/>
    </xf>
    <xf numFmtId="0" fontId="0" fillId="0" borderId="8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11" xfId="0" applyBorder="1"/>
    <xf numFmtId="2" fontId="0" fillId="0" borderId="11" xfId="0" applyNumberFormat="1" applyBorder="1"/>
    <xf numFmtId="0" fontId="3" fillId="0" borderId="0" xfId="0" applyFont="1" applyFill="1" applyAlignment="1"/>
    <xf numFmtId="0" fontId="3" fillId="2" borderId="0" xfId="0" applyFont="1" applyFill="1" applyAlignment="1"/>
    <xf numFmtId="0" fontId="0" fillId="2" borderId="0" xfId="0" applyFill="1" applyAlignment="1"/>
    <xf numFmtId="3" fontId="0" fillId="3" borderId="1" xfId="0" applyNumberFormat="1" applyFill="1" applyBorder="1"/>
    <xf numFmtId="2" fontId="0" fillId="3" borderId="2" xfId="0" applyNumberFormat="1" applyFill="1" applyBorder="1"/>
    <xf numFmtId="2" fontId="0" fillId="3" borderId="3" xfId="0" applyNumberFormat="1" applyFill="1" applyBorder="1"/>
    <xf numFmtId="0" fontId="3" fillId="0" borderId="0" xfId="0" applyFont="1"/>
    <xf numFmtId="0" fontId="0" fillId="0" borderId="12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1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5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8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5" Type="http://schemas.openxmlformats.org/officeDocument/2006/relationships/externalLink" Target="externalLinks/externalLink1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externalLink" Target="externalLinks/externalLink7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1.xml"/><Relationship Id="rId32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openxmlformats.org/officeDocument/2006/relationships/externalLink" Target="externalLinks/externalLink10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6.xml"/><Relationship Id="rId31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externalLink" Target="externalLinks/externalLink9.xml"/><Relationship Id="rId27" Type="http://schemas.openxmlformats.org/officeDocument/2006/relationships/styles" Target="styles.xml"/><Relationship Id="rId30" Type="http://schemas.openxmlformats.org/officeDocument/2006/relationships/customXml" Target="../customXml/item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11/November%202011%20Shift%20Shee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11/December%202011%20Shift%20Sheet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12/January%202012%20Shift%20Sheet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12/February%202012%20Shift%20Sheet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March%202012%20Shift%20Sheet(WR)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12/April%202012%20Shift%20Sheet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12/May%202012%20Shift%20Sheet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12/June%202012%20Shift%20Sheet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12/July%202012%20Shift%20Sheet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12/August%202012%20Shift%20Sheet%207pm%208-4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12/September%202012%20Shift%20Sheet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12/October%202012%20Shift%20Shee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Nov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4">
          <cell r="C4">
            <v>4911000</v>
          </cell>
          <cell r="D4">
            <v>0</v>
          </cell>
          <cell r="E4">
            <v>5900000.0000014547</v>
          </cell>
          <cell r="F4">
            <v>0</v>
          </cell>
          <cell r="H4">
            <v>4793999.9999999953</v>
          </cell>
          <cell r="I4">
            <v>5900000.0000014547</v>
          </cell>
        </row>
        <row r="5">
          <cell r="C5">
            <v>4994000</v>
          </cell>
          <cell r="D5">
            <v>0</v>
          </cell>
          <cell r="E5">
            <v>5599999.9999985453</v>
          </cell>
          <cell r="F5">
            <v>0</v>
          </cell>
          <cell r="H5">
            <v>4879000.0000000056</v>
          </cell>
          <cell r="I5">
            <v>5599999.9999985453</v>
          </cell>
        </row>
        <row r="6">
          <cell r="C6">
            <v>5045000</v>
          </cell>
          <cell r="D6">
            <v>0</v>
          </cell>
          <cell r="E6">
            <v>5400000.0000014547</v>
          </cell>
          <cell r="F6">
            <v>0</v>
          </cell>
          <cell r="H6">
            <v>4926999.9999999907</v>
          </cell>
          <cell r="I6">
            <v>5400000.0000014547</v>
          </cell>
        </row>
        <row r="7">
          <cell r="C7">
            <v>6073000</v>
          </cell>
          <cell r="D7">
            <v>0</v>
          </cell>
          <cell r="E7">
            <v>4299999.9999992726</v>
          </cell>
          <cell r="F7">
            <v>0</v>
          </cell>
          <cell r="H7">
            <v>5958000.0000000056</v>
          </cell>
          <cell r="I7">
            <v>4299999.9999992726</v>
          </cell>
        </row>
        <row r="8">
          <cell r="C8">
            <v>11422000</v>
          </cell>
          <cell r="D8">
            <v>0</v>
          </cell>
          <cell r="E8">
            <v>0</v>
          </cell>
          <cell r="F8">
            <v>0</v>
          </cell>
          <cell r="H8">
            <v>11136285.999999998</v>
          </cell>
          <cell r="I8">
            <v>0</v>
          </cell>
        </row>
        <row r="9">
          <cell r="C9">
            <v>12906000</v>
          </cell>
          <cell r="D9">
            <v>0</v>
          </cell>
          <cell r="E9">
            <v>0</v>
          </cell>
          <cell r="F9">
            <v>0</v>
          </cell>
          <cell r="H9">
            <v>12564000.000000002</v>
          </cell>
          <cell r="I9">
            <v>0</v>
          </cell>
        </row>
        <row r="10">
          <cell r="C10">
            <v>12961000</v>
          </cell>
          <cell r="D10">
            <v>0</v>
          </cell>
          <cell r="E10">
            <v>0</v>
          </cell>
          <cell r="F10">
            <v>0</v>
          </cell>
          <cell r="H10">
            <v>12614999.999999996</v>
          </cell>
          <cell r="I10">
            <v>0</v>
          </cell>
        </row>
        <row r="11">
          <cell r="C11">
            <v>12997000</v>
          </cell>
          <cell r="D11">
            <v>0</v>
          </cell>
          <cell r="E11">
            <v>0</v>
          </cell>
          <cell r="F11">
            <v>0</v>
          </cell>
          <cell r="H11">
            <v>12652000.000000002</v>
          </cell>
          <cell r="I11">
            <v>0</v>
          </cell>
        </row>
        <row r="12">
          <cell r="C12">
            <v>9047000</v>
          </cell>
          <cell r="D12">
            <v>0</v>
          </cell>
          <cell r="E12">
            <v>0</v>
          </cell>
          <cell r="F12">
            <v>0</v>
          </cell>
          <cell r="H12">
            <v>8875000.0000000037</v>
          </cell>
          <cell r="I12">
            <v>0</v>
          </cell>
        </row>
        <row r="13">
          <cell r="C13">
            <v>12531000</v>
          </cell>
          <cell r="D13">
            <v>0</v>
          </cell>
          <cell r="E13">
            <v>0</v>
          </cell>
          <cell r="F13">
            <v>0</v>
          </cell>
          <cell r="H13">
            <v>12195999.999999993</v>
          </cell>
          <cell r="I13">
            <v>0</v>
          </cell>
        </row>
        <row r="14">
          <cell r="C14">
            <v>12075000</v>
          </cell>
          <cell r="D14">
            <v>0</v>
          </cell>
          <cell r="E14">
            <v>0</v>
          </cell>
          <cell r="F14">
            <v>0</v>
          </cell>
          <cell r="H14">
            <v>11866000.000000011</v>
          </cell>
          <cell r="I14">
            <v>0</v>
          </cell>
        </row>
        <row r="15">
          <cell r="C15">
            <v>10127000</v>
          </cell>
          <cell r="D15">
            <v>0</v>
          </cell>
          <cell r="E15">
            <v>0</v>
          </cell>
          <cell r="F15">
            <v>0</v>
          </cell>
          <cell r="H15">
            <v>9791999.9999999925</v>
          </cell>
          <cell r="I15">
            <v>0</v>
          </cell>
        </row>
        <row r="16">
          <cell r="C16">
            <v>12192000</v>
          </cell>
          <cell r="D16">
            <v>0</v>
          </cell>
          <cell r="E16">
            <v>0</v>
          </cell>
          <cell r="F16">
            <v>0</v>
          </cell>
          <cell r="H16">
            <v>11935000.000000009</v>
          </cell>
          <cell r="I16">
            <v>0</v>
          </cell>
        </row>
        <row r="17">
          <cell r="C17">
            <v>12045000</v>
          </cell>
          <cell r="D17">
            <v>0</v>
          </cell>
          <cell r="E17">
            <v>0</v>
          </cell>
          <cell r="F17">
            <v>0</v>
          </cell>
          <cell r="H17">
            <v>11719999.999999996</v>
          </cell>
          <cell r="I17">
            <v>0</v>
          </cell>
        </row>
        <row r="18">
          <cell r="C18">
            <v>12293000</v>
          </cell>
          <cell r="D18">
            <v>0</v>
          </cell>
          <cell r="E18">
            <v>0</v>
          </cell>
          <cell r="F18">
            <v>0</v>
          </cell>
          <cell r="H18">
            <v>11963000.000000002</v>
          </cell>
          <cell r="I18">
            <v>0</v>
          </cell>
        </row>
        <row r="19">
          <cell r="C19">
            <v>11949000</v>
          </cell>
          <cell r="D19">
            <v>0</v>
          </cell>
          <cell r="E19">
            <v>0</v>
          </cell>
          <cell r="F19">
            <v>0</v>
          </cell>
          <cell r="H19">
            <v>11560999.999999994</v>
          </cell>
          <cell r="I19">
            <v>0</v>
          </cell>
        </row>
        <row r="20">
          <cell r="C20">
            <v>11297000</v>
          </cell>
          <cell r="D20">
            <v>0</v>
          </cell>
          <cell r="E20">
            <v>0</v>
          </cell>
          <cell r="F20">
            <v>0</v>
          </cell>
          <cell r="H20">
            <v>10976000.000000002</v>
          </cell>
          <cell r="I20">
            <v>0</v>
          </cell>
        </row>
        <row r="21">
          <cell r="C21">
            <v>10395000</v>
          </cell>
          <cell r="D21">
            <v>0</v>
          </cell>
          <cell r="E21">
            <v>0</v>
          </cell>
          <cell r="F21">
            <v>0</v>
          </cell>
          <cell r="H21">
            <v>10133000</v>
          </cell>
          <cell r="I21">
            <v>0</v>
          </cell>
        </row>
        <row r="22">
          <cell r="C22">
            <v>10871000</v>
          </cell>
          <cell r="D22">
            <v>0</v>
          </cell>
          <cell r="E22">
            <v>0</v>
          </cell>
          <cell r="F22">
            <v>0</v>
          </cell>
          <cell r="H22">
            <v>10631999.999999996</v>
          </cell>
          <cell r="I22">
            <v>0</v>
          </cell>
        </row>
        <row r="23">
          <cell r="C23">
            <v>12291000</v>
          </cell>
          <cell r="D23">
            <v>0</v>
          </cell>
          <cell r="E23">
            <v>0</v>
          </cell>
          <cell r="F23">
            <v>0</v>
          </cell>
          <cell r="H23">
            <v>11964000.000000002</v>
          </cell>
          <cell r="I23">
            <v>0</v>
          </cell>
        </row>
        <row r="24">
          <cell r="C24">
            <v>13222000</v>
          </cell>
          <cell r="D24">
            <v>0</v>
          </cell>
          <cell r="E24">
            <v>0</v>
          </cell>
          <cell r="F24">
            <v>0</v>
          </cell>
          <cell r="H24">
            <v>12887000.000000006</v>
          </cell>
          <cell r="I24">
            <v>0</v>
          </cell>
        </row>
        <row r="25">
          <cell r="C25">
            <v>12093000</v>
          </cell>
          <cell r="D25">
            <v>0</v>
          </cell>
          <cell r="E25">
            <v>0</v>
          </cell>
          <cell r="F25">
            <v>0</v>
          </cell>
          <cell r="H25">
            <v>11760000.000000002</v>
          </cell>
          <cell r="I25">
            <v>0</v>
          </cell>
        </row>
        <row r="26">
          <cell r="C26">
            <v>10809000</v>
          </cell>
          <cell r="D26">
            <v>0</v>
          </cell>
          <cell r="E26">
            <v>0</v>
          </cell>
          <cell r="F26">
            <v>0</v>
          </cell>
          <cell r="H26">
            <v>10476999.999999993</v>
          </cell>
        </row>
        <row r="27">
          <cell r="C27">
            <v>12241000</v>
          </cell>
          <cell r="D27">
            <v>0</v>
          </cell>
          <cell r="E27">
            <v>0</v>
          </cell>
          <cell r="F27">
            <v>0</v>
          </cell>
          <cell r="H27">
            <v>11908000.000000002</v>
          </cell>
          <cell r="I27">
            <v>0</v>
          </cell>
        </row>
        <row r="28">
          <cell r="C28">
            <v>11744000</v>
          </cell>
          <cell r="D28">
            <v>0</v>
          </cell>
          <cell r="E28">
            <v>0</v>
          </cell>
          <cell r="F28">
            <v>0</v>
          </cell>
          <cell r="H28">
            <v>11415000.000000007</v>
          </cell>
          <cell r="I28">
            <v>0</v>
          </cell>
        </row>
        <row r="29">
          <cell r="C29">
            <v>11021000</v>
          </cell>
          <cell r="D29">
            <v>0</v>
          </cell>
          <cell r="E29">
            <v>0</v>
          </cell>
          <cell r="F29">
            <v>0</v>
          </cell>
          <cell r="H29">
            <v>10682999.999999993</v>
          </cell>
          <cell r="I29">
            <v>0</v>
          </cell>
        </row>
        <row r="30">
          <cell r="C30">
            <v>11954000</v>
          </cell>
          <cell r="D30">
            <v>0</v>
          </cell>
          <cell r="E30">
            <v>0</v>
          </cell>
          <cell r="F30">
            <v>0</v>
          </cell>
          <cell r="H30">
            <v>11609000.000000002</v>
          </cell>
          <cell r="I30">
            <v>0</v>
          </cell>
        </row>
        <row r="31">
          <cell r="C31">
            <v>11780000</v>
          </cell>
          <cell r="D31">
            <v>0</v>
          </cell>
          <cell r="E31">
            <v>0</v>
          </cell>
          <cell r="F31">
            <v>0</v>
          </cell>
          <cell r="H31">
            <v>11459000.000000002</v>
          </cell>
          <cell r="I31">
            <v>0</v>
          </cell>
        </row>
        <row r="32">
          <cell r="C32">
            <v>11719000</v>
          </cell>
          <cell r="D32">
            <v>0</v>
          </cell>
          <cell r="E32">
            <v>0</v>
          </cell>
          <cell r="F32">
            <v>0</v>
          </cell>
          <cell r="H32">
            <v>11443999.999999994</v>
          </cell>
          <cell r="I32">
            <v>0</v>
          </cell>
        </row>
        <row r="33">
          <cell r="C33">
            <v>12103000</v>
          </cell>
          <cell r="D33">
            <v>0</v>
          </cell>
          <cell r="E33">
            <v>0</v>
          </cell>
          <cell r="F33">
            <v>0</v>
          </cell>
          <cell r="H33">
            <v>11819000.000000007</v>
          </cell>
          <cell r="I33">
            <v>0</v>
          </cell>
        </row>
        <row r="252">
          <cell r="D252">
            <v>117000.00000000444</v>
          </cell>
          <cell r="H252">
            <v>337322</v>
          </cell>
        </row>
        <row r="253">
          <cell r="D253">
            <v>114999.99999999488</v>
          </cell>
          <cell r="H253">
            <v>338557</v>
          </cell>
        </row>
        <row r="254">
          <cell r="D254">
            <v>118000.00000000921</v>
          </cell>
          <cell r="H254">
            <v>383543</v>
          </cell>
        </row>
        <row r="255">
          <cell r="D255">
            <v>114999.99999999488</v>
          </cell>
          <cell r="H255">
            <v>377451</v>
          </cell>
        </row>
        <row r="256">
          <cell r="D256">
            <v>286000.00000000134</v>
          </cell>
          <cell r="H256">
            <v>0</v>
          </cell>
        </row>
        <row r="257">
          <cell r="D257">
            <v>341999.99999999878</v>
          </cell>
          <cell r="H257">
            <v>0</v>
          </cell>
        </row>
        <row r="258">
          <cell r="D258">
            <v>346000.00000000361</v>
          </cell>
          <cell r="H258">
            <v>0</v>
          </cell>
        </row>
        <row r="259">
          <cell r="D259">
            <v>344999.99999999884</v>
          </cell>
          <cell r="H259">
            <v>0</v>
          </cell>
        </row>
        <row r="260">
          <cell r="D260">
            <v>171999.99999999703</v>
          </cell>
          <cell r="H260">
            <v>0</v>
          </cell>
        </row>
        <row r="261">
          <cell r="D261">
            <v>335000.00000000797</v>
          </cell>
          <cell r="H261">
            <v>0</v>
          </cell>
        </row>
        <row r="262">
          <cell r="D262">
            <v>208999.99999998897</v>
          </cell>
          <cell r="H262">
            <v>0</v>
          </cell>
        </row>
        <row r="263">
          <cell r="D263">
            <v>335000.00000000797</v>
          </cell>
          <cell r="H263">
            <v>-619</v>
          </cell>
        </row>
        <row r="264">
          <cell r="D264">
            <v>256999.9999999908</v>
          </cell>
          <cell r="H264">
            <v>0</v>
          </cell>
        </row>
        <row r="265">
          <cell r="D265">
            <v>325000.00000000285</v>
          </cell>
          <cell r="H265">
            <v>0</v>
          </cell>
        </row>
        <row r="266">
          <cell r="D266">
            <v>329999.99999999831</v>
          </cell>
          <cell r="H266">
            <v>0</v>
          </cell>
        </row>
        <row r="267">
          <cell r="D267">
            <v>388000.00000000524</v>
          </cell>
          <cell r="H267">
            <v>121689</v>
          </cell>
        </row>
        <row r="268">
          <cell r="D268">
            <v>320999.99999999796</v>
          </cell>
          <cell r="H268">
            <v>0</v>
          </cell>
        </row>
        <row r="269">
          <cell r="D269">
            <v>262000.00000000047</v>
          </cell>
          <cell r="H269">
            <v>0</v>
          </cell>
        </row>
        <row r="270">
          <cell r="D270">
            <v>239000.00000000431</v>
          </cell>
          <cell r="H270">
            <v>0</v>
          </cell>
        </row>
        <row r="271">
          <cell r="D271">
            <v>326999.9999999982</v>
          </cell>
          <cell r="H271">
            <v>0</v>
          </cell>
        </row>
        <row r="272">
          <cell r="D272">
            <v>334999.99999999377</v>
          </cell>
        </row>
        <row r="273">
          <cell r="D273">
            <v>332999.99999999843</v>
          </cell>
          <cell r="H273">
            <v>0</v>
          </cell>
        </row>
        <row r="274">
          <cell r="D274">
            <v>332000.00000000786</v>
          </cell>
          <cell r="H274">
            <v>0</v>
          </cell>
        </row>
        <row r="275">
          <cell r="D275">
            <v>332999.99999999843</v>
          </cell>
          <cell r="H275">
            <v>0</v>
          </cell>
        </row>
        <row r="276">
          <cell r="D276">
            <v>328999.99999999354</v>
          </cell>
          <cell r="H276">
            <v>0</v>
          </cell>
        </row>
        <row r="277">
          <cell r="D277">
            <v>338000.00000000809</v>
          </cell>
          <cell r="H277">
            <v>0</v>
          </cell>
        </row>
        <row r="278">
          <cell r="D278">
            <v>344999.99999999884</v>
          </cell>
          <cell r="H278">
            <v>0</v>
          </cell>
        </row>
        <row r="279">
          <cell r="D279">
            <v>320999.99999999796</v>
          </cell>
          <cell r="H279">
            <v>0</v>
          </cell>
        </row>
        <row r="280">
          <cell r="D280">
            <v>275000.0000000057</v>
          </cell>
          <cell r="H280">
            <v>0</v>
          </cell>
        </row>
        <row r="281">
          <cell r="D281">
            <v>283999.99999999179</v>
          </cell>
          <cell r="H281">
            <v>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Dec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4">
          <cell r="C4">
            <v>11403000</v>
          </cell>
          <cell r="D4">
            <v>0</v>
          </cell>
          <cell r="E4">
            <v>0</v>
          </cell>
          <cell r="F4">
            <v>0</v>
          </cell>
          <cell r="H4">
            <v>11082000.000000002</v>
          </cell>
          <cell r="I4">
            <v>0</v>
          </cell>
        </row>
        <row r="5">
          <cell r="C5">
            <v>10831000</v>
          </cell>
          <cell r="D5">
            <v>0</v>
          </cell>
          <cell r="E5">
            <v>0</v>
          </cell>
          <cell r="F5">
            <v>0</v>
          </cell>
          <cell r="H5">
            <v>10506999.999999987</v>
          </cell>
          <cell r="I5">
            <v>0</v>
          </cell>
        </row>
        <row r="6">
          <cell r="C6">
            <v>10999000</v>
          </cell>
          <cell r="D6">
            <v>0</v>
          </cell>
          <cell r="E6">
            <v>0</v>
          </cell>
          <cell r="F6">
            <v>0</v>
          </cell>
          <cell r="H6">
            <v>10717000.000000004</v>
          </cell>
          <cell r="I6">
            <v>0</v>
          </cell>
        </row>
        <row r="7">
          <cell r="C7">
            <v>12030000</v>
          </cell>
          <cell r="D7">
            <v>0</v>
          </cell>
          <cell r="E7">
            <v>0</v>
          </cell>
          <cell r="F7">
            <v>0</v>
          </cell>
          <cell r="H7">
            <v>11724000.000000002</v>
          </cell>
          <cell r="I7">
            <v>0</v>
          </cell>
        </row>
        <row r="8">
          <cell r="C8">
            <v>12169000</v>
          </cell>
          <cell r="D8">
            <v>0</v>
          </cell>
          <cell r="E8">
            <v>0</v>
          </cell>
          <cell r="F8">
            <v>0</v>
          </cell>
          <cell r="H8">
            <v>11803000</v>
          </cell>
          <cell r="I8">
            <v>0</v>
          </cell>
        </row>
        <row r="9">
          <cell r="C9">
            <v>12117000</v>
          </cell>
          <cell r="D9">
            <v>0</v>
          </cell>
          <cell r="E9">
            <v>0</v>
          </cell>
          <cell r="F9">
            <v>0</v>
          </cell>
          <cell r="H9">
            <v>11915999.999999993</v>
          </cell>
          <cell r="I9">
            <v>0</v>
          </cell>
        </row>
        <row r="10">
          <cell r="C10">
            <v>11399000</v>
          </cell>
          <cell r="D10">
            <v>0</v>
          </cell>
          <cell r="E10">
            <v>0</v>
          </cell>
          <cell r="F10">
            <v>0</v>
          </cell>
          <cell r="H10">
            <v>11061000.000000006</v>
          </cell>
          <cell r="I10">
            <v>0</v>
          </cell>
        </row>
        <row r="11">
          <cell r="C11">
            <v>11545000</v>
          </cell>
          <cell r="D11">
            <v>0</v>
          </cell>
          <cell r="E11">
            <v>0</v>
          </cell>
          <cell r="F11">
            <v>0</v>
          </cell>
          <cell r="H11">
            <v>11210000.000000006</v>
          </cell>
          <cell r="I11">
            <v>0</v>
          </cell>
        </row>
        <row r="12">
          <cell r="C12">
            <v>10558000</v>
          </cell>
          <cell r="D12">
            <v>0</v>
          </cell>
          <cell r="E12">
            <v>0</v>
          </cell>
          <cell r="F12">
            <v>0</v>
          </cell>
          <cell r="H12">
            <v>10274999.999999998</v>
          </cell>
          <cell r="I12">
            <v>0</v>
          </cell>
        </row>
        <row r="13">
          <cell r="C13">
            <v>13093000</v>
          </cell>
          <cell r="D13">
            <v>0</v>
          </cell>
          <cell r="E13">
            <v>0</v>
          </cell>
          <cell r="F13">
            <v>0</v>
          </cell>
          <cell r="H13">
            <v>12782999.999999998</v>
          </cell>
          <cell r="I13">
            <v>0</v>
          </cell>
        </row>
        <row r="14">
          <cell r="C14">
            <v>13690000</v>
          </cell>
          <cell r="D14">
            <v>0</v>
          </cell>
          <cell r="E14">
            <v>0</v>
          </cell>
          <cell r="F14">
            <v>0</v>
          </cell>
          <cell r="H14">
            <v>13342000.000000002</v>
          </cell>
          <cell r="I14">
            <v>0</v>
          </cell>
        </row>
        <row r="15">
          <cell r="C15">
            <v>12492000</v>
          </cell>
          <cell r="D15">
            <v>0</v>
          </cell>
          <cell r="E15">
            <v>0</v>
          </cell>
          <cell r="F15">
            <v>0</v>
          </cell>
          <cell r="H15">
            <v>12150999.999999993</v>
          </cell>
          <cell r="I15">
            <v>0</v>
          </cell>
        </row>
        <row r="16">
          <cell r="C16">
            <v>11894000</v>
          </cell>
          <cell r="D16">
            <v>0</v>
          </cell>
          <cell r="E16">
            <v>0</v>
          </cell>
          <cell r="F16">
            <v>0</v>
          </cell>
          <cell r="H16">
            <v>11606000.000000004</v>
          </cell>
          <cell r="I16">
            <v>0</v>
          </cell>
        </row>
        <row r="17">
          <cell r="C17">
            <v>11427000</v>
          </cell>
          <cell r="D17">
            <v>0</v>
          </cell>
          <cell r="E17">
            <v>0</v>
          </cell>
          <cell r="F17">
            <v>0</v>
          </cell>
          <cell r="H17">
            <v>11086000.000000006</v>
          </cell>
          <cell r="I17">
            <v>0</v>
          </cell>
        </row>
        <row r="18">
          <cell r="C18">
            <v>10820000</v>
          </cell>
          <cell r="D18">
            <v>0</v>
          </cell>
          <cell r="E18">
            <v>0</v>
          </cell>
          <cell r="F18">
            <v>0</v>
          </cell>
          <cell r="H18">
            <v>10478000.000000002</v>
          </cell>
          <cell r="I18">
            <v>0</v>
          </cell>
        </row>
        <row r="19">
          <cell r="C19">
            <v>10982000</v>
          </cell>
          <cell r="D19">
            <v>0</v>
          </cell>
          <cell r="E19">
            <v>0</v>
          </cell>
          <cell r="F19">
            <v>0</v>
          </cell>
          <cell r="H19">
            <v>10664999.999999993</v>
          </cell>
          <cell r="I19">
            <v>0</v>
          </cell>
        </row>
        <row r="20">
          <cell r="C20">
            <v>12030000</v>
          </cell>
          <cell r="D20">
            <v>0</v>
          </cell>
          <cell r="E20">
            <v>0</v>
          </cell>
          <cell r="F20">
            <v>0</v>
          </cell>
          <cell r="H20">
            <v>11725999.999999998</v>
          </cell>
          <cell r="I20">
            <v>0</v>
          </cell>
        </row>
        <row r="21">
          <cell r="C21">
            <v>11932000</v>
          </cell>
          <cell r="D21">
            <v>0</v>
          </cell>
          <cell r="E21">
            <v>0</v>
          </cell>
          <cell r="F21">
            <v>0</v>
          </cell>
          <cell r="H21">
            <v>11590000.000000002</v>
          </cell>
          <cell r="I21">
            <v>0</v>
          </cell>
        </row>
        <row r="22">
          <cell r="C22">
            <v>12111000</v>
          </cell>
          <cell r="D22">
            <v>0</v>
          </cell>
          <cell r="E22">
            <v>0</v>
          </cell>
          <cell r="F22">
            <v>0</v>
          </cell>
          <cell r="H22">
            <v>11776000.000000006</v>
          </cell>
          <cell r="I22">
            <v>0</v>
          </cell>
        </row>
        <row r="23">
          <cell r="C23">
            <v>12036000</v>
          </cell>
          <cell r="D23">
            <v>0</v>
          </cell>
          <cell r="E23">
            <v>0</v>
          </cell>
          <cell r="F23">
            <v>0</v>
          </cell>
          <cell r="H23">
            <v>11688000.000000002</v>
          </cell>
          <cell r="I23">
            <v>0</v>
          </cell>
        </row>
        <row r="24">
          <cell r="C24">
            <v>11953000</v>
          </cell>
          <cell r="D24">
            <v>0</v>
          </cell>
          <cell r="E24">
            <v>0</v>
          </cell>
          <cell r="F24">
            <v>0</v>
          </cell>
          <cell r="H24">
            <v>11660999.999999998</v>
          </cell>
          <cell r="I24">
            <v>0</v>
          </cell>
        </row>
        <row r="25">
          <cell r="C25">
            <v>11039000</v>
          </cell>
          <cell r="D25">
            <v>0</v>
          </cell>
          <cell r="E25">
            <v>0</v>
          </cell>
          <cell r="F25">
            <v>0</v>
          </cell>
          <cell r="H25">
            <v>10697999.999999993</v>
          </cell>
          <cell r="I25">
            <v>0</v>
          </cell>
        </row>
        <row r="26">
          <cell r="C26">
            <v>11570000</v>
          </cell>
          <cell r="D26">
            <v>0</v>
          </cell>
          <cell r="E26">
            <v>0</v>
          </cell>
          <cell r="F26">
            <v>0</v>
          </cell>
          <cell r="H26">
            <v>11235000.000000006</v>
          </cell>
          <cell r="I26">
            <v>0</v>
          </cell>
        </row>
        <row r="27">
          <cell r="C27">
            <v>11701000</v>
          </cell>
          <cell r="D27">
            <v>0</v>
          </cell>
          <cell r="E27">
            <v>0</v>
          </cell>
          <cell r="F27">
            <v>0</v>
          </cell>
          <cell r="H27">
            <v>11360999.999999996</v>
          </cell>
          <cell r="I27">
            <v>0</v>
          </cell>
        </row>
        <row r="28">
          <cell r="C28">
            <v>12532000</v>
          </cell>
          <cell r="D28">
            <v>0</v>
          </cell>
          <cell r="E28">
            <v>0</v>
          </cell>
          <cell r="F28">
            <v>0</v>
          </cell>
          <cell r="H28">
            <v>12187000.000000002</v>
          </cell>
          <cell r="I28">
            <v>0</v>
          </cell>
        </row>
        <row r="29">
          <cell r="C29">
            <v>11053000</v>
          </cell>
          <cell r="D29">
            <v>0</v>
          </cell>
          <cell r="E29">
            <v>0</v>
          </cell>
          <cell r="F29">
            <v>0</v>
          </cell>
          <cell r="H29">
            <v>10712999.999999996</v>
          </cell>
          <cell r="I29">
            <v>0</v>
          </cell>
        </row>
        <row r="30">
          <cell r="C30">
            <v>11930000</v>
          </cell>
          <cell r="D30">
            <v>0</v>
          </cell>
          <cell r="E30">
            <v>0</v>
          </cell>
          <cell r="F30">
            <v>0</v>
          </cell>
          <cell r="H30">
            <v>11593000.000000011</v>
          </cell>
          <cell r="I30">
            <v>0</v>
          </cell>
        </row>
        <row r="31">
          <cell r="C31">
            <v>12014000</v>
          </cell>
          <cell r="D31">
            <v>0</v>
          </cell>
          <cell r="E31">
            <v>0</v>
          </cell>
          <cell r="F31">
            <v>0</v>
          </cell>
          <cell r="H31">
            <v>11680999.999999987</v>
          </cell>
          <cell r="I31">
            <v>0</v>
          </cell>
        </row>
        <row r="32">
          <cell r="C32">
            <v>12068000</v>
          </cell>
          <cell r="D32">
            <v>0</v>
          </cell>
          <cell r="E32">
            <v>0</v>
          </cell>
          <cell r="F32">
            <v>0</v>
          </cell>
          <cell r="H32">
            <v>11736000.000000007</v>
          </cell>
          <cell r="I32">
            <v>0</v>
          </cell>
        </row>
        <row r="33">
          <cell r="C33">
            <v>11638000</v>
          </cell>
          <cell r="D33">
            <v>0</v>
          </cell>
          <cell r="E33">
            <v>0</v>
          </cell>
          <cell r="F33">
            <v>0</v>
          </cell>
          <cell r="H33">
            <v>11300000.000000006</v>
          </cell>
          <cell r="I33">
            <v>0</v>
          </cell>
        </row>
        <row r="34">
          <cell r="C34">
            <v>11805000</v>
          </cell>
          <cell r="D34">
            <v>0</v>
          </cell>
          <cell r="E34">
            <v>0</v>
          </cell>
          <cell r="F34">
            <v>0</v>
          </cell>
          <cell r="H34">
            <v>11522999.999999989</v>
          </cell>
          <cell r="I34">
            <v>0</v>
          </cell>
        </row>
        <row r="259">
          <cell r="D259">
            <v>320999.99999999796</v>
          </cell>
          <cell r="H259">
            <v>0</v>
          </cell>
        </row>
        <row r="260">
          <cell r="D260">
            <v>324000.00000001228</v>
          </cell>
          <cell r="H260">
            <v>0</v>
          </cell>
        </row>
        <row r="261">
          <cell r="D261">
            <v>281999.99999999645</v>
          </cell>
          <cell r="H261">
            <v>0</v>
          </cell>
        </row>
        <row r="262">
          <cell r="D262">
            <v>305999.99999999738</v>
          </cell>
          <cell r="H262">
            <v>0</v>
          </cell>
        </row>
        <row r="263">
          <cell r="D263">
            <v>365999.99999999965</v>
          </cell>
          <cell r="H263">
            <v>0</v>
          </cell>
        </row>
        <row r="264">
          <cell r="D264">
            <v>201000.00000000763</v>
          </cell>
          <cell r="H264">
            <v>0</v>
          </cell>
        </row>
        <row r="265">
          <cell r="D265">
            <v>337999.99999999389</v>
          </cell>
          <cell r="H265">
            <v>0</v>
          </cell>
        </row>
        <row r="266">
          <cell r="D266">
            <v>334999.99999999377</v>
          </cell>
          <cell r="H266">
            <v>0</v>
          </cell>
        </row>
        <row r="267">
          <cell r="D267">
            <v>283000.00000000122</v>
          </cell>
          <cell r="H267">
            <v>0</v>
          </cell>
        </row>
        <row r="268">
          <cell r="D268">
            <v>310000.00000000227</v>
          </cell>
          <cell r="H268">
            <v>0</v>
          </cell>
        </row>
        <row r="269">
          <cell r="D269">
            <v>347999.99999999895</v>
          </cell>
          <cell r="H269">
            <v>0</v>
          </cell>
        </row>
        <row r="270">
          <cell r="D270">
            <v>341000.00000000821</v>
          </cell>
          <cell r="H270">
            <v>0</v>
          </cell>
        </row>
        <row r="271">
          <cell r="D271">
            <v>287999.99999999668</v>
          </cell>
          <cell r="H271">
            <v>0</v>
          </cell>
        </row>
        <row r="272">
          <cell r="D272">
            <v>340999.99999999395</v>
          </cell>
          <cell r="H272">
            <v>0</v>
          </cell>
        </row>
        <row r="273">
          <cell r="D273">
            <v>341999.99999999878</v>
          </cell>
          <cell r="H273">
            <v>48187</v>
          </cell>
        </row>
        <row r="274">
          <cell r="D274">
            <v>317000.00000000728</v>
          </cell>
          <cell r="H274">
            <v>0</v>
          </cell>
        </row>
        <row r="275">
          <cell r="D275">
            <v>304000.00000000204</v>
          </cell>
          <cell r="H275">
            <v>0</v>
          </cell>
        </row>
        <row r="276">
          <cell r="D276">
            <v>341999.99999999878</v>
          </cell>
          <cell r="H276">
            <v>0</v>
          </cell>
        </row>
        <row r="277">
          <cell r="D277">
            <v>334999.99999999377</v>
          </cell>
          <cell r="H277">
            <v>0</v>
          </cell>
        </row>
        <row r="278">
          <cell r="D278">
            <v>347999.99999999895</v>
          </cell>
          <cell r="H278">
            <v>0</v>
          </cell>
        </row>
        <row r="279">
          <cell r="D279">
            <v>292000.00000000157</v>
          </cell>
          <cell r="H279">
            <v>0</v>
          </cell>
        </row>
        <row r="280">
          <cell r="D280">
            <v>341000.00000000821</v>
          </cell>
          <cell r="H280">
            <v>0</v>
          </cell>
        </row>
        <row r="281">
          <cell r="D281">
            <v>334999.99999999377</v>
          </cell>
          <cell r="H281">
            <v>0</v>
          </cell>
        </row>
        <row r="282">
          <cell r="D282">
            <v>340000.00000000343</v>
          </cell>
          <cell r="H282">
            <v>0</v>
          </cell>
        </row>
        <row r="283">
          <cell r="D283">
            <v>344999.99999999884</v>
          </cell>
          <cell r="H283">
            <v>0</v>
          </cell>
        </row>
        <row r="284">
          <cell r="D284">
            <v>340000.00000000343</v>
          </cell>
          <cell r="H284">
            <v>0</v>
          </cell>
        </row>
        <row r="285">
          <cell r="D285">
            <v>336999.99999998906</v>
          </cell>
          <cell r="H285">
            <v>0</v>
          </cell>
        </row>
        <row r="286">
          <cell r="D286">
            <v>333000.00000001263</v>
          </cell>
          <cell r="H286">
            <v>0</v>
          </cell>
        </row>
        <row r="287">
          <cell r="D287">
            <v>331999.99999999366</v>
          </cell>
          <cell r="H287">
            <v>0</v>
          </cell>
        </row>
        <row r="288">
          <cell r="D288">
            <v>337999.99999999389</v>
          </cell>
          <cell r="H288">
            <v>0</v>
          </cell>
        </row>
        <row r="289">
          <cell r="D289">
            <v>282000.00000001071</v>
          </cell>
          <cell r="H289">
            <v>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Jan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4">
          <cell r="C4">
            <v>11979000</v>
          </cell>
          <cell r="D4">
            <v>0</v>
          </cell>
          <cell r="E4">
            <v>0</v>
          </cell>
          <cell r="F4">
            <v>0</v>
          </cell>
          <cell r="H4">
            <v>11636000.000000011</v>
          </cell>
          <cell r="I4">
            <v>0</v>
          </cell>
        </row>
        <row r="5">
          <cell r="C5">
            <v>12194000</v>
          </cell>
          <cell r="D5">
            <v>0</v>
          </cell>
          <cell r="E5">
            <v>0</v>
          </cell>
          <cell r="F5">
            <v>0</v>
          </cell>
          <cell r="H5">
            <v>11856999.999999996</v>
          </cell>
          <cell r="I5">
            <v>0</v>
          </cell>
        </row>
        <row r="6">
          <cell r="C6">
            <v>11871000</v>
          </cell>
          <cell r="D6">
            <v>0</v>
          </cell>
          <cell r="E6">
            <v>0</v>
          </cell>
          <cell r="F6">
            <v>0</v>
          </cell>
          <cell r="H6">
            <v>11473000.000000004</v>
          </cell>
          <cell r="I6">
            <v>0</v>
          </cell>
        </row>
        <row r="7">
          <cell r="C7">
            <v>12043000</v>
          </cell>
          <cell r="D7">
            <v>0</v>
          </cell>
          <cell r="E7">
            <v>0</v>
          </cell>
          <cell r="F7">
            <v>0</v>
          </cell>
          <cell r="H7">
            <v>11706999.999999987</v>
          </cell>
          <cell r="I7">
            <v>0</v>
          </cell>
        </row>
        <row r="8">
          <cell r="C8">
            <v>11890000</v>
          </cell>
          <cell r="D8">
            <v>0</v>
          </cell>
          <cell r="E8">
            <v>0</v>
          </cell>
          <cell r="F8">
            <v>0</v>
          </cell>
          <cell r="H8">
            <v>11671000.000000006</v>
          </cell>
          <cell r="I8">
            <v>0</v>
          </cell>
        </row>
        <row r="9">
          <cell r="C9">
            <v>12089000</v>
          </cell>
          <cell r="D9">
            <v>0</v>
          </cell>
          <cell r="E9">
            <v>0</v>
          </cell>
          <cell r="F9">
            <v>0</v>
          </cell>
          <cell r="H9">
            <v>11747000.000000002</v>
          </cell>
          <cell r="I9">
            <v>0</v>
          </cell>
        </row>
        <row r="10">
          <cell r="C10">
            <v>10640000</v>
          </cell>
          <cell r="D10">
            <v>0</v>
          </cell>
          <cell r="E10">
            <v>0</v>
          </cell>
          <cell r="F10">
            <v>0</v>
          </cell>
          <cell r="H10">
            <v>10361000.000000004</v>
          </cell>
          <cell r="I10">
            <v>0</v>
          </cell>
        </row>
        <row r="11">
          <cell r="C11">
            <v>11190000</v>
          </cell>
          <cell r="D11">
            <v>0</v>
          </cell>
          <cell r="E11">
            <v>0</v>
          </cell>
          <cell r="F11">
            <v>0</v>
          </cell>
          <cell r="H11">
            <v>10908999.999999994</v>
          </cell>
          <cell r="I11">
            <v>0</v>
          </cell>
        </row>
        <row r="12">
          <cell r="C12">
            <v>12386000</v>
          </cell>
          <cell r="D12">
            <v>0</v>
          </cell>
          <cell r="E12">
            <v>0</v>
          </cell>
          <cell r="F12">
            <v>0</v>
          </cell>
          <cell r="H12">
            <v>12072000.000000007</v>
          </cell>
          <cell r="I12">
            <v>0</v>
          </cell>
        </row>
        <row r="13">
          <cell r="C13">
            <v>12125000</v>
          </cell>
          <cell r="D13">
            <v>0</v>
          </cell>
          <cell r="E13">
            <v>0</v>
          </cell>
          <cell r="F13">
            <v>0</v>
          </cell>
          <cell r="H13">
            <v>11785999.999999987</v>
          </cell>
          <cell r="I13">
            <v>0</v>
          </cell>
        </row>
        <row r="14">
          <cell r="C14">
            <v>11766000</v>
          </cell>
          <cell r="D14">
            <v>0</v>
          </cell>
          <cell r="E14">
            <v>0</v>
          </cell>
          <cell r="F14">
            <v>0</v>
          </cell>
          <cell r="H14">
            <v>11428000.000000006</v>
          </cell>
          <cell r="I14">
            <v>0</v>
          </cell>
        </row>
        <row r="15">
          <cell r="C15">
            <v>11567000</v>
          </cell>
          <cell r="D15">
            <v>0</v>
          </cell>
          <cell r="E15">
            <v>0</v>
          </cell>
          <cell r="F15">
            <v>0</v>
          </cell>
          <cell r="H15">
            <v>11243000.000000002</v>
          </cell>
          <cell r="I15">
            <v>0</v>
          </cell>
        </row>
        <row r="16">
          <cell r="C16">
            <v>11257000</v>
          </cell>
          <cell r="D16">
            <v>0</v>
          </cell>
          <cell r="E16">
            <v>0</v>
          </cell>
          <cell r="F16">
            <v>0</v>
          </cell>
          <cell r="H16">
            <v>10963000.000000004</v>
          </cell>
          <cell r="I16">
            <v>0</v>
          </cell>
        </row>
        <row r="17">
          <cell r="C17">
            <v>11589000</v>
          </cell>
          <cell r="D17">
            <v>0</v>
          </cell>
          <cell r="E17">
            <v>0</v>
          </cell>
          <cell r="F17">
            <v>0</v>
          </cell>
          <cell r="H17">
            <v>11250999.999999993</v>
          </cell>
          <cell r="I17">
            <v>0</v>
          </cell>
        </row>
        <row r="18">
          <cell r="C18">
            <v>12048000</v>
          </cell>
          <cell r="D18">
            <v>0</v>
          </cell>
          <cell r="E18">
            <v>0</v>
          </cell>
          <cell r="F18">
            <v>0</v>
          </cell>
          <cell r="H18">
            <v>11709000.000000002</v>
          </cell>
          <cell r="I18">
            <v>0</v>
          </cell>
        </row>
        <row r="19">
          <cell r="C19">
            <v>12308000</v>
          </cell>
          <cell r="D19">
            <v>0</v>
          </cell>
          <cell r="E19">
            <v>0</v>
          </cell>
          <cell r="F19">
            <v>0</v>
          </cell>
          <cell r="H19">
            <v>11970999.999999996</v>
          </cell>
          <cell r="I19">
            <v>0</v>
          </cell>
        </row>
        <row r="20">
          <cell r="C20">
            <v>12222000</v>
          </cell>
          <cell r="D20">
            <v>0</v>
          </cell>
          <cell r="E20">
            <v>0</v>
          </cell>
          <cell r="F20">
            <v>0</v>
          </cell>
          <cell r="H20">
            <v>11995000.000000011</v>
          </cell>
          <cell r="I20">
            <v>0</v>
          </cell>
        </row>
        <row r="21">
          <cell r="C21">
            <v>12214000</v>
          </cell>
          <cell r="D21">
            <v>0</v>
          </cell>
          <cell r="E21">
            <v>0</v>
          </cell>
          <cell r="F21">
            <v>0</v>
          </cell>
          <cell r="H21">
            <v>11929999.999999994</v>
          </cell>
          <cell r="I21">
            <v>0</v>
          </cell>
        </row>
        <row r="22">
          <cell r="C22">
            <v>11954000</v>
          </cell>
          <cell r="D22">
            <v>0</v>
          </cell>
          <cell r="E22">
            <v>0</v>
          </cell>
          <cell r="F22">
            <v>0</v>
          </cell>
          <cell r="H22">
            <v>11640999.999999998</v>
          </cell>
          <cell r="I22">
            <v>0</v>
          </cell>
        </row>
        <row r="23">
          <cell r="C23">
            <v>12243000</v>
          </cell>
          <cell r="D23">
            <v>0</v>
          </cell>
          <cell r="E23">
            <v>0</v>
          </cell>
          <cell r="F23">
            <v>0</v>
          </cell>
          <cell r="H23">
            <v>11929999.999999998</v>
          </cell>
          <cell r="I23">
            <v>0</v>
          </cell>
        </row>
        <row r="24">
          <cell r="C24">
            <v>11955000</v>
          </cell>
          <cell r="D24">
            <v>0</v>
          </cell>
          <cell r="E24">
            <v>0</v>
          </cell>
          <cell r="F24">
            <v>0</v>
          </cell>
          <cell r="H24">
            <v>11614000.000000006</v>
          </cell>
          <cell r="I24">
            <v>0</v>
          </cell>
        </row>
        <row r="25">
          <cell r="C25">
            <v>11943000</v>
          </cell>
          <cell r="D25">
            <v>0</v>
          </cell>
          <cell r="E25">
            <v>0</v>
          </cell>
          <cell r="F25">
            <v>0</v>
          </cell>
          <cell r="H25">
            <v>11602000.000000006</v>
          </cell>
          <cell r="I25">
            <v>0</v>
          </cell>
        </row>
        <row r="26">
          <cell r="C26">
            <v>12909000</v>
          </cell>
          <cell r="D26">
            <v>0</v>
          </cell>
          <cell r="E26">
            <v>0</v>
          </cell>
          <cell r="F26">
            <v>0</v>
          </cell>
          <cell r="H26">
            <v>12570000.000000002</v>
          </cell>
          <cell r="I26">
            <v>0</v>
          </cell>
        </row>
        <row r="27">
          <cell r="C27">
            <v>10625000</v>
          </cell>
          <cell r="D27">
            <v>0</v>
          </cell>
          <cell r="E27">
            <v>0</v>
          </cell>
          <cell r="F27">
            <v>0</v>
          </cell>
          <cell r="H27">
            <v>10099999.999999994</v>
          </cell>
          <cell r="I27">
            <v>0</v>
          </cell>
        </row>
        <row r="28">
          <cell r="C28">
            <v>10460000</v>
          </cell>
          <cell r="D28">
            <v>0</v>
          </cell>
          <cell r="E28">
            <v>0</v>
          </cell>
          <cell r="F28">
            <v>0</v>
          </cell>
          <cell r="H28">
            <v>9859000</v>
          </cell>
          <cell r="I28">
            <v>0</v>
          </cell>
        </row>
        <row r="29">
          <cell r="C29">
            <v>11641000</v>
          </cell>
          <cell r="D29">
            <v>0</v>
          </cell>
          <cell r="E29">
            <v>0</v>
          </cell>
          <cell r="F29">
            <v>0</v>
          </cell>
          <cell r="H29">
            <v>10850000</v>
          </cell>
          <cell r="I29">
            <v>0</v>
          </cell>
        </row>
        <row r="30">
          <cell r="C30">
            <v>11904000</v>
          </cell>
          <cell r="D30">
            <v>0</v>
          </cell>
          <cell r="E30">
            <v>0</v>
          </cell>
          <cell r="F30">
            <v>0</v>
          </cell>
          <cell r="H30">
            <v>11290000</v>
          </cell>
          <cell r="I30">
            <v>0</v>
          </cell>
        </row>
        <row r="31">
          <cell r="C31">
            <v>11883000</v>
          </cell>
          <cell r="D31">
            <v>0</v>
          </cell>
          <cell r="E31">
            <v>0</v>
          </cell>
          <cell r="F31">
            <v>0</v>
          </cell>
          <cell r="H31">
            <v>11171000</v>
          </cell>
          <cell r="I31">
            <v>0</v>
          </cell>
        </row>
        <row r="32">
          <cell r="C32">
            <v>11831000</v>
          </cell>
          <cell r="D32">
            <v>0</v>
          </cell>
          <cell r="E32">
            <v>0</v>
          </cell>
          <cell r="F32">
            <v>0</v>
          </cell>
          <cell r="H32">
            <v>11120000</v>
          </cell>
          <cell r="I32">
            <v>0</v>
          </cell>
        </row>
        <row r="33">
          <cell r="C33">
            <v>12713000</v>
          </cell>
          <cell r="D33">
            <v>0</v>
          </cell>
          <cell r="E33">
            <v>0</v>
          </cell>
          <cell r="F33">
            <v>0</v>
          </cell>
          <cell r="H33">
            <v>12007000</v>
          </cell>
          <cell r="I33">
            <v>0</v>
          </cell>
        </row>
        <row r="34">
          <cell r="C34">
            <v>12569000</v>
          </cell>
          <cell r="D34">
            <v>0</v>
          </cell>
          <cell r="E34">
            <v>1000000</v>
          </cell>
          <cell r="F34">
            <v>0</v>
          </cell>
          <cell r="H34">
            <v>11864000</v>
          </cell>
          <cell r="I34">
            <v>0</v>
          </cell>
        </row>
        <row r="259">
          <cell r="D259">
            <v>342999.99999998929</v>
          </cell>
          <cell r="H259">
            <v>0</v>
          </cell>
        </row>
        <row r="260">
          <cell r="D260">
            <v>337000.00000000332</v>
          </cell>
          <cell r="H260">
            <v>0</v>
          </cell>
        </row>
        <row r="261">
          <cell r="D261">
            <v>397999.99999999616</v>
          </cell>
          <cell r="H261">
            <v>0</v>
          </cell>
        </row>
        <row r="262">
          <cell r="D262">
            <v>336000.00000001275</v>
          </cell>
          <cell r="H262">
            <v>0</v>
          </cell>
        </row>
        <row r="263">
          <cell r="D263">
            <v>218999.99999999409</v>
          </cell>
          <cell r="H263">
            <v>0</v>
          </cell>
        </row>
        <row r="264">
          <cell r="D264">
            <v>341999.99999999878</v>
          </cell>
          <cell r="H264">
            <v>0</v>
          </cell>
        </row>
        <row r="265">
          <cell r="D265">
            <v>278999.99999999639</v>
          </cell>
          <cell r="H265">
            <v>0</v>
          </cell>
        </row>
        <row r="266">
          <cell r="D266">
            <v>281000.00000000594</v>
          </cell>
          <cell r="H266">
            <v>0</v>
          </cell>
        </row>
        <row r="267">
          <cell r="D267">
            <v>313999.99999999296</v>
          </cell>
          <cell r="H267">
            <v>0</v>
          </cell>
        </row>
        <row r="268">
          <cell r="D268">
            <v>339000.00000001286</v>
          </cell>
          <cell r="H268">
            <v>0</v>
          </cell>
        </row>
        <row r="269">
          <cell r="D269">
            <v>337999.99999999389</v>
          </cell>
          <cell r="H269">
            <v>0</v>
          </cell>
        </row>
        <row r="270">
          <cell r="D270">
            <v>323999.99999999808</v>
          </cell>
          <cell r="H270">
            <v>0</v>
          </cell>
        </row>
        <row r="271">
          <cell r="D271">
            <v>293999.99999999691</v>
          </cell>
          <cell r="H271">
            <v>0</v>
          </cell>
        </row>
        <row r="272">
          <cell r="D272">
            <v>338000.00000000809</v>
          </cell>
          <cell r="H272">
            <v>0</v>
          </cell>
        </row>
        <row r="273">
          <cell r="D273">
            <v>338999.99999999866</v>
          </cell>
          <cell r="H273">
            <v>0</v>
          </cell>
        </row>
        <row r="274">
          <cell r="D274">
            <v>337000.00000000332</v>
          </cell>
          <cell r="H274">
            <v>0</v>
          </cell>
        </row>
        <row r="275">
          <cell r="D275">
            <v>226999.99999998967</v>
          </cell>
          <cell r="H275">
            <v>0</v>
          </cell>
        </row>
        <row r="276">
          <cell r="D276">
            <v>284000.00000000605</v>
          </cell>
          <cell r="H276">
            <v>0</v>
          </cell>
        </row>
        <row r="277">
          <cell r="D277">
            <v>313000.00000000239</v>
          </cell>
          <cell r="H277">
            <v>0</v>
          </cell>
        </row>
        <row r="278">
          <cell r="D278">
            <v>313000.00000000239</v>
          </cell>
          <cell r="H278">
            <v>0</v>
          </cell>
        </row>
        <row r="279">
          <cell r="D279">
            <v>340999.99999999395</v>
          </cell>
          <cell r="H279">
            <v>0</v>
          </cell>
        </row>
        <row r="280">
          <cell r="D280">
            <v>340999.99999999395</v>
          </cell>
          <cell r="H280">
            <v>0</v>
          </cell>
        </row>
        <row r="281">
          <cell r="D281">
            <v>338999.99999999866</v>
          </cell>
          <cell r="H281">
            <v>0</v>
          </cell>
        </row>
        <row r="282">
          <cell r="D282">
            <v>525000.0000000057</v>
          </cell>
          <cell r="H282">
            <v>0</v>
          </cell>
        </row>
        <row r="283">
          <cell r="D283">
            <v>601000</v>
          </cell>
          <cell r="H283">
            <v>0</v>
          </cell>
        </row>
        <row r="284">
          <cell r="D284">
            <v>791000</v>
          </cell>
          <cell r="H284">
            <v>0</v>
          </cell>
        </row>
        <row r="285">
          <cell r="D285">
            <v>614000.00000000012</v>
          </cell>
          <cell r="H285">
            <v>0</v>
          </cell>
        </row>
        <row r="286">
          <cell r="D286">
            <v>711999.99999999977</v>
          </cell>
          <cell r="H286">
            <v>0</v>
          </cell>
        </row>
        <row r="287">
          <cell r="D287">
            <v>711000.00000000035</v>
          </cell>
          <cell r="H287">
            <v>0</v>
          </cell>
        </row>
        <row r="288">
          <cell r="D288">
            <v>705999.99999999953</v>
          </cell>
          <cell r="H288">
            <v>0</v>
          </cell>
        </row>
        <row r="289">
          <cell r="D289">
            <v>705000.00000000012</v>
          </cell>
          <cell r="H289">
            <v>0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Feb Prod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>
        <row r="4">
          <cell r="C4">
            <v>10757000</v>
          </cell>
          <cell r="D4">
            <v>0</v>
          </cell>
          <cell r="E4">
            <v>0</v>
          </cell>
          <cell r="F4">
            <v>0</v>
          </cell>
          <cell r="H4">
            <v>9968000</v>
          </cell>
          <cell r="I4">
            <v>0</v>
          </cell>
        </row>
        <row r="5">
          <cell r="C5">
            <v>10643000</v>
          </cell>
          <cell r="D5">
            <v>0</v>
          </cell>
          <cell r="E5">
            <v>0</v>
          </cell>
          <cell r="F5">
            <v>0</v>
          </cell>
          <cell r="H5">
            <v>10031000</v>
          </cell>
          <cell r="I5">
            <v>0</v>
          </cell>
        </row>
        <row r="6">
          <cell r="C6">
            <v>11062000</v>
          </cell>
          <cell r="D6">
            <v>0</v>
          </cell>
          <cell r="E6">
            <v>0</v>
          </cell>
          <cell r="F6">
            <v>0</v>
          </cell>
          <cell r="H6">
            <v>10275000</v>
          </cell>
          <cell r="I6">
            <v>0</v>
          </cell>
        </row>
        <row r="7">
          <cell r="C7">
            <v>12395000</v>
          </cell>
          <cell r="D7">
            <v>0</v>
          </cell>
          <cell r="E7">
            <v>0</v>
          </cell>
          <cell r="F7">
            <v>0</v>
          </cell>
          <cell r="H7">
            <v>11702000</v>
          </cell>
          <cell r="I7">
            <v>0</v>
          </cell>
        </row>
        <row r="8">
          <cell r="C8">
            <v>12195000</v>
          </cell>
          <cell r="D8">
            <v>0</v>
          </cell>
          <cell r="E8">
            <v>0</v>
          </cell>
          <cell r="F8">
            <v>0</v>
          </cell>
          <cell r="H8">
            <v>11426000.000000002</v>
          </cell>
          <cell r="I8">
            <v>0</v>
          </cell>
        </row>
        <row r="9">
          <cell r="C9">
            <v>11766000</v>
          </cell>
          <cell r="D9">
            <v>0</v>
          </cell>
          <cell r="E9">
            <v>0</v>
          </cell>
          <cell r="F9">
            <v>0</v>
          </cell>
          <cell r="H9">
            <v>11088000</v>
          </cell>
          <cell r="I9">
            <v>0</v>
          </cell>
        </row>
        <row r="10">
          <cell r="C10">
            <v>10497000</v>
          </cell>
          <cell r="D10">
            <v>0</v>
          </cell>
          <cell r="E10">
            <v>0</v>
          </cell>
          <cell r="F10">
            <v>0</v>
          </cell>
          <cell r="H10">
            <v>9901000</v>
          </cell>
          <cell r="I10">
            <v>0</v>
          </cell>
        </row>
        <row r="11">
          <cell r="C11">
            <v>11080000</v>
          </cell>
          <cell r="D11">
            <v>0</v>
          </cell>
          <cell r="E11">
            <v>0</v>
          </cell>
          <cell r="F11">
            <v>0</v>
          </cell>
          <cell r="H11">
            <v>10316000</v>
          </cell>
          <cell r="I11">
            <v>0</v>
          </cell>
        </row>
        <row r="12">
          <cell r="C12">
            <v>11216000</v>
          </cell>
          <cell r="D12">
            <v>0</v>
          </cell>
          <cell r="E12">
            <v>4000000</v>
          </cell>
          <cell r="F12">
            <v>0</v>
          </cell>
          <cell r="H12">
            <v>10543000</v>
          </cell>
          <cell r="I12">
            <v>0</v>
          </cell>
        </row>
        <row r="13">
          <cell r="C13">
            <v>11891000</v>
          </cell>
          <cell r="D13">
            <v>0</v>
          </cell>
          <cell r="E13">
            <v>5000000</v>
          </cell>
          <cell r="F13">
            <v>0</v>
          </cell>
          <cell r="H13">
            <v>11213000</v>
          </cell>
          <cell r="I13">
            <v>0</v>
          </cell>
        </row>
        <row r="14">
          <cell r="C14">
            <v>11485000</v>
          </cell>
          <cell r="D14">
            <v>0</v>
          </cell>
          <cell r="E14">
            <v>6000000</v>
          </cell>
          <cell r="F14">
            <v>0</v>
          </cell>
          <cell r="H14">
            <v>10715000</v>
          </cell>
          <cell r="I14">
            <v>0</v>
          </cell>
        </row>
        <row r="15">
          <cell r="C15">
            <v>12182000</v>
          </cell>
          <cell r="D15">
            <v>0</v>
          </cell>
          <cell r="E15">
            <v>6000000</v>
          </cell>
          <cell r="F15">
            <v>0</v>
          </cell>
          <cell r="H15">
            <v>11595000</v>
          </cell>
          <cell r="I15">
            <v>0</v>
          </cell>
        </row>
        <row r="16">
          <cell r="C16">
            <v>12605000</v>
          </cell>
          <cell r="D16">
            <v>0</v>
          </cell>
          <cell r="E16">
            <v>6000000</v>
          </cell>
          <cell r="F16">
            <v>0</v>
          </cell>
          <cell r="H16">
            <v>12003000</v>
          </cell>
          <cell r="I16">
            <v>0</v>
          </cell>
        </row>
        <row r="17">
          <cell r="C17">
            <v>12393000</v>
          </cell>
          <cell r="D17">
            <v>0</v>
          </cell>
          <cell r="E17">
            <v>5000000</v>
          </cell>
          <cell r="F17">
            <v>0</v>
          </cell>
          <cell r="H17">
            <v>11708000</v>
          </cell>
          <cell r="I17">
            <v>0</v>
          </cell>
        </row>
        <row r="18">
          <cell r="C18">
            <v>11873000</v>
          </cell>
          <cell r="D18">
            <v>0</v>
          </cell>
          <cell r="E18">
            <v>6000000</v>
          </cell>
          <cell r="F18">
            <v>0</v>
          </cell>
          <cell r="H18">
            <v>11105000.000000002</v>
          </cell>
          <cell r="I18">
            <v>0</v>
          </cell>
        </row>
        <row r="19">
          <cell r="C19">
            <v>11541000</v>
          </cell>
          <cell r="D19">
            <v>0</v>
          </cell>
          <cell r="E19">
            <v>5000000</v>
          </cell>
          <cell r="F19">
            <v>0</v>
          </cell>
          <cell r="H19">
            <v>10796000</v>
          </cell>
          <cell r="I19">
            <v>0</v>
          </cell>
        </row>
        <row r="20">
          <cell r="C20">
            <v>12040000</v>
          </cell>
          <cell r="D20">
            <v>0</v>
          </cell>
          <cell r="E20">
            <v>5000000</v>
          </cell>
          <cell r="F20">
            <v>0</v>
          </cell>
          <cell r="H20">
            <v>11147000</v>
          </cell>
          <cell r="I20">
            <v>0</v>
          </cell>
        </row>
        <row r="21">
          <cell r="C21">
            <v>12110000</v>
          </cell>
          <cell r="D21">
            <v>0</v>
          </cell>
          <cell r="E21">
            <v>5000000</v>
          </cell>
          <cell r="F21">
            <v>0</v>
          </cell>
          <cell r="H21">
            <v>11264000</v>
          </cell>
          <cell r="I21">
            <v>0</v>
          </cell>
        </row>
        <row r="22">
          <cell r="C22">
            <v>11780000</v>
          </cell>
          <cell r="D22">
            <v>0</v>
          </cell>
          <cell r="E22">
            <v>5000000</v>
          </cell>
          <cell r="F22">
            <v>0</v>
          </cell>
          <cell r="H22">
            <v>10942000</v>
          </cell>
          <cell r="I22">
            <v>0</v>
          </cell>
        </row>
        <row r="23">
          <cell r="C23">
            <v>10753000</v>
          </cell>
          <cell r="D23">
            <v>0</v>
          </cell>
          <cell r="E23">
            <v>2000000</v>
          </cell>
          <cell r="F23">
            <v>0</v>
          </cell>
          <cell r="H23">
            <v>9952000.0000000019</v>
          </cell>
          <cell r="I23">
            <v>0</v>
          </cell>
        </row>
        <row r="24">
          <cell r="C24">
            <v>11695000</v>
          </cell>
          <cell r="D24">
            <v>0</v>
          </cell>
          <cell r="E24">
            <v>0</v>
          </cell>
          <cell r="F24">
            <v>0</v>
          </cell>
          <cell r="H24">
            <v>10959000</v>
          </cell>
          <cell r="I24">
            <v>0</v>
          </cell>
        </row>
        <row r="25">
          <cell r="C25">
            <v>11267000</v>
          </cell>
          <cell r="D25">
            <v>0</v>
          </cell>
          <cell r="E25">
            <v>0</v>
          </cell>
          <cell r="F25">
            <v>0</v>
          </cell>
          <cell r="H25">
            <v>10372999.999999998</v>
          </cell>
          <cell r="I25">
            <v>0</v>
          </cell>
        </row>
        <row r="26">
          <cell r="C26">
            <v>10967000</v>
          </cell>
          <cell r="D26">
            <v>0</v>
          </cell>
          <cell r="E26">
            <v>0</v>
          </cell>
          <cell r="F26">
            <v>0</v>
          </cell>
          <cell r="H26">
            <v>10069000</v>
          </cell>
          <cell r="I26">
            <v>0</v>
          </cell>
        </row>
        <row r="27">
          <cell r="C27">
            <v>11478000</v>
          </cell>
          <cell r="D27">
            <v>0</v>
          </cell>
          <cell r="E27">
            <v>0</v>
          </cell>
          <cell r="F27">
            <v>0</v>
          </cell>
          <cell r="H27">
            <v>10641000</v>
          </cell>
          <cell r="I27">
            <v>0</v>
          </cell>
        </row>
        <row r="28">
          <cell r="C28">
            <v>12002000</v>
          </cell>
          <cell r="D28">
            <v>0</v>
          </cell>
          <cell r="E28">
            <v>0</v>
          </cell>
          <cell r="F28">
            <v>0</v>
          </cell>
          <cell r="H28">
            <v>11165000</v>
          </cell>
          <cell r="I28">
            <v>0</v>
          </cell>
        </row>
        <row r="29">
          <cell r="C29">
            <v>11981000</v>
          </cell>
          <cell r="D29">
            <v>0</v>
          </cell>
          <cell r="E29">
            <v>0</v>
          </cell>
          <cell r="F29">
            <v>0</v>
          </cell>
          <cell r="H29">
            <v>11245000</v>
          </cell>
          <cell r="I29">
            <v>0</v>
          </cell>
        </row>
        <row r="30">
          <cell r="C30">
            <v>12571000</v>
          </cell>
          <cell r="D30">
            <v>0</v>
          </cell>
          <cell r="E30">
            <v>0</v>
          </cell>
          <cell r="F30">
            <v>0</v>
          </cell>
          <cell r="H30">
            <v>11641000</v>
          </cell>
          <cell r="I30">
            <v>0</v>
          </cell>
        </row>
        <row r="31">
          <cell r="C31">
            <v>12471000</v>
          </cell>
          <cell r="D31">
            <v>0</v>
          </cell>
          <cell r="E31">
            <v>0</v>
          </cell>
          <cell r="F31">
            <v>0</v>
          </cell>
          <cell r="H31">
            <v>11614000</v>
          </cell>
          <cell r="I31">
            <v>0</v>
          </cell>
        </row>
        <row r="32">
          <cell r="C32">
            <v>11637000</v>
          </cell>
          <cell r="D32">
            <v>0</v>
          </cell>
          <cell r="E32">
            <v>0</v>
          </cell>
          <cell r="F32">
            <v>0</v>
          </cell>
          <cell r="H32">
            <v>10795999.999999998</v>
          </cell>
          <cell r="I32">
            <v>0</v>
          </cell>
        </row>
        <row r="245">
          <cell r="D245">
            <v>789000.00000000058</v>
          </cell>
          <cell r="H245">
            <v>0</v>
          </cell>
        </row>
        <row r="246">
          <cell r="D246">
            <v>612000.00000000012</v>
          </cell>
          <cell r="H246">
            <v>0</v>
          </cell>
        </row>
        <row r="247">
          <cell r="D247">
            <v>786999.99999999988</v>
          </cell>
          <cell r="H247">
            <v>0</v>
          </cell>
        </row>
        <row r="248">
          <cell r="D248">
            <v>693000.00000000047</v>
          </cell>
          <cell r="H248">
            <v>0</v>
          </cell>
        </row>
        <row r="249">
          <cell r="D249">
            <v>768999.99999999837</v>
          </cell>
          <cell r="H249">
            <v>0</v>
          </cell>
        </row>
        <row r="250">
          <cell r="D250">
            <v>678000.00000000081</v>
          </cell>
          <cell r="H250">
            <v>0</v>
          </cell>
        </row>
        <row r="251">
          <cell r="D251">
            <v>596000.00000000012</v>
          </cell>
          <cell r="H251">
            <v>0</v>
          </cell>
        </row>
        <row r="252">
          <cell r="D252">
            <v>763999.9999999993</v>
          </cell>
          <cell r="H252">
            <v>0</v>
          </cell>
        </row>
        <row r="253">
          <cell r="D253">
            <v>673000</v>
          </cell>
          <cell r="H253">
            <v>0</v>
          </cell>
        </row>
        <row r="254">
          <cell r="D254">
            <v>678000.00000000081</v>
          </cell>
          <cell r="H254">
            <v>0</v>
          </cell>
        </row>
        <row r="255">
          <cell r="D255">
            <v>769999.99999999953</v>
          </cell>
          <cell r="H255">
            <v>0</v>
          </cell>
        </row>
        <row r="256">
          <cell r="D256">
            <v>586999.99999999977</v>
          </cell>
          <cell r="H256">
            <v>0</v>
          </cell>
        </row>
        <row r="257">
          <cell r="D257">
            <v>602000.00000000035</v>
          </cell>
          <cell r="H257">
            <v>0</v>
          </cell>
        </row>
        <row r="258">
          <cell r="D258">
            <v>685000.00000000047</v>
          </cell>
          <cell r="H258">
            <v>0</v>
          </cell>
        </row>
        <row r="259">
          <cell r="D259">
            <v>767999.99999999895</v>
          </cell>
          <cell r="H259">
            <v>0</v>
          </cell>
        </row>
        <row r="260">
          <cell r="D260">
            <v>744999.99999999919</v>
          </cell>
          <cell r="H260">
            <v>0</v>
          </cell>
        </row>
        <row r="261">
          <cell r="D261">
            <v>893000.0000000007</v>
          </cell>
          <cell r="H261">
            <v>0</v>
          </cell>
        </row>
        <row r="262">
          <cell r="D262">
            <v>846000.00000000012</v>
          </cell>
          <cell r="H262">
            <v>0</v>
          </cell>
        </row>
        <row r="263">
          <cell r="D263">
            <v>838000.00000000093</v>
          </cell>
          <cell r="H263">
            <v>0</v>
          </cell>
        </row>
        <row r="264">
          <cell r="D264">
            <v>800999.99999999837</v>
          </cell>
          <cell r="H264">
            <v>0</v>
          </cell>
        </row>
        <row r="265">
          <cell r="D265">
            <v>736000.0000000007</v>
          </cell>
          <cell r="H265">
            <v>0</v>
          </cell>
        </row>
        <row r="266">
          <cell r="D266">
            <v>894000.00000000186</v>
          </cell>
          <cell r="H266">
            <v>0</v>
          </cell>
        </row>
        <row r="267">
          <cell r="D267">
            <v>897999.99999999965</v>
          </cell>
          <cell r="H267">
            <v>0</v>
          </cell>
        </row>
        <row r="268">
          <cell r="D268">
            <v>836999.99999999977</v>
          </cell>
          <cell r="H268">
            <v>0</v>
          </cell>
        </row>
        <row r="269">
          <cell r="D269">
            <v>836999.99999999977</v>
          </cell>
          <cell r="H269">
            <v>0</v>
          </cell>
        </row>
        <row r="270">
          <cell r="D270">
            <v>736000.0000000007</v>
          </cell>
          <cell r="H270">
            <v>0</v>
          </cell>
        </row>
        <row r="271">
          <cell r="D271">
            <v>929999.99999999977</v>
          </cell>
          <cell r="H271">
            <v>0</v>
          </cell>
        </row>
        <row r="272">
          <cell r="D272">
            <v>856999.9999999993</v>
          </cell>
          <cell r="H272">
            <v>0</v>
          </cell>
        </row>
        <row r="273">
          <cell r="D273">
            <v>841000.00000000105</v>
          </cell>
          <cell r="H273">
            <v>0</v>
          </cell>
        </row>
      </sheetData>
      <sheetData sheetId="30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Mar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4">
          <cell r="C4">
            <v>10936000</v>
          </cell>
          <cell r="D4">
            <v>0</v>
          </cell>
          <cell r="E4">
            <v>0</v>
          </cell>
          <cell r="F4">
            <v>0</v>
          </cell>
          <cell r="H4">
            <v>10144000.000000002</v>
          </cell>
          <cell r="I4">
            <v>0</v>
          </cell>
        </row>
        <row r="5">
          <cell r="C5">
            <v>11122000</v>
          </cell>
          <cell r="D5">
            <v>0</v>
          </cell>
          <cell r="E5">
            <v>0</v>
          </cell>
          <cell r="F5">
            <v>0</v>
          </cell>
          <cell r="H5">
            <v>10390999.999999998</v>
          </cell>
          <cell r="I5">
            <v>0</v>
          </cell>
        </row>
        <row r="6">
          <cell r="C6">
            <v>11058000</v>
          </cell>
          <cell r="D6">
            <v>0</v>
          </cell>
          <cell r="E6">
            <v>0</v>
          </cell>
          <cell r="F6">
            <v>0</v>
          </cell>
          <cell r="H6">
            <v>10216000.000000002</v>
          </cell>
          <cell r="I6">
            <v>0</v>
          </cell>
        </row>
        <row r="7">
          <cell r="C7">
            <v>12236000</v>
          </cell>
          <cell r="D7">
            <v>0</v>
          </cell>
          <cell r="E7">
            <v>0</v>
          </cell>
          <cell r="F7">
            <v>0</v>
          </cell>
          <cell r="H7">
            <v>11391000.000000002</v>
          </cell>
          <cell r="I7">
            <v>0</v>
          </cell>
        </row>
        <row r="8">
          <cell r="C8">
            <v>12408000</v>
          </cell>
          <cell r="D8">
            <v>0</v>
          </cell>
          <cell r="E8">
            <v>1000000</v>
          </cell>
          <cell r="F8">
            <v>0</v>
          </cell>
          <cell r="H8">
            <v>11472000</v>
          </cell>
          <cell r="I8">
            <v>0</v>
          </cell>
        </row>
        <row r="9">
          <cell r="C9">
            <v>12358000</v>
          </cell>
          <cell r="D9">
            <v>0</v>
          </cell>
          <cell r="E9">
            <v>0</v>
          </cell>
          <cell r="F9">
            <v>0</v>
          </cell>
          <cell r="H9">
            <v>11677000</v>
          </cell>
          <cell r="I9">
            <v>0</v>
          </cell>
        </row>
        <row r="10">
          <cell r="C10">
            <v>11131000</v>
          </cell>
          <cell r="D10">
            <v>0</v>
          </cell>
          <cell r="E10">
            <v>1000000</v>
          </cell>
          <cell r="F10">
            <v>0</v>
          </cell>
          <cell r="H10">
            <v>10659999.999999996</v>
          </cell>
          <cell r="I10">
            <v>0</v>
          </cell>
        </row>
        <row r="11">
          <cell r="C11">
            <v>10992000</v>
          </cell>
          <cell r="D11">
            <v>11000</v>
          </cell>
          <cell r="E11">
            <v>4000000</v>
          </cell>
          <cell r="F11">
            <v>0</v>
          </cell>
          <cell r="H11">
            <v>10534000.000000006</v>
          </cell>
          <cell r="I11">
            <v>0</v>
          </cell>
        </row>
        <row r="12">
          <cell r="C12">
            <v>12675000</v>
          </cell>
          <cell r="D12">
            <v>0</v>
          </cell>
          <cell r="E12">
            <v>2000000</v>
          </cell>
          <cell r="F12">
            <v>0</v>
          </cell>
          <cell r="H12">
            <v>12202999.999999998</v>
          </cell>
          <cell r="I12">
            <v>0</v>
          </cell>
        </row>
        <row r="13">
          <cell r="C13">
            <v>12663000</v>
          </cell>
          <cell r="D13">
            <v>0</v>
          </cell>
          <cell r="E13">
            <v>0</v>
          </cell>
          <cell r="F13">
            <v>0</v>
          </cell>
          <cell r="H13">
            <v>12260999.999999998</v>
          </cell>
          <cell r="I13">
            <v>0</v>
          </cell>
        </row>
        <row r="14">
          <cell r="C14">
            <v>11505000</v>
          </cell>
          <cell r="D14">
            <v>0</v>
          </cell>
          <cell r="E14">
            <v>0</v>
          </cell>
          <cell r="F14">
            <v>0</v>
          </cell>
          <cell r="H14">
            <v>11014000</v>
          </cell>
          <cell r="I14">
            <v>0</v>
          </cell>
        </row>
        <row r="15">
          <cell r="C15">
            <v>10512000</v>
          </cell>
          <cell r="D15">
            <v>0</v>
          </cell>
          <cell r="E15">
            <v>2000000</v>
          </cell>
          <cell r="F15">
            <v>0</v>
          </cell>
          <cell r="H15">
            <v>10095999.999999996</v>
          </cell>
          <cell r="I15">
            <v>2899999.9999996363</v>
          </cell>
        </row>
        <row r="16">
          <cell r="C16">
            <v>9728000</v>
          </cell>
          <cell r="D16">
            <v>0</v>
          </cell>
          <cell r="E16">
            <v>3000000</v>
          </cell>
          <cell r="F16">
            <v>0</v>
          </cell>
          <cell r="H16">
            <v>9254000.0000000037</v>
          </cell>
          <cell r="I16">
            <v>2100000.0000003637</v>
          </cell>
        </row>
        <row r="17">
          <cell r="C17">
            <v>11350000</v>
          </cell>
          <cell r="D17">
            <v>0</v>
          </cell>
          <cell r="E17">
            <v>0</v>
          </cell>
          <cell r="F17">
            <v>0</v>
          </cell>
          <cell r="H17">
            <v>10880999.999999998</v>
          </cell>
          <cell r="I17">
            <v>0</v>
          </cell>
        </row>
        <row r="18">
          <cell r="C18">
            <v>9653000</v>
          </cell>
          <cell r="D18">
            <v>0</v>
          </cell>
          <cell r="E18">
            <v>3000000</v>
          </cell>
          <cell r="F18">
            <v>0</v>
          </cell>
          <cell r="H18">
            <v>9188000.0000000037</v>
          </cell>
          <cell r="I18">
            <v>3600000.0000003637</v>
          </cell>
        </row>
        <row r="19">
          <cell r="C19">
            <v>5989000</v>
          </cell>
          <cell r="D19">
            <v>0</v>
          </cell>
          <cell r="E19">
            <v>2000000</v>
          </cell>
          <cell r="F19">
            <v>5000000</v>
          </cell>
          <cell r="H19">
            <v>5682999.9999999953</v>
          </cell>
          <cell r="I19">
            <v>6199999.9999989085</v>
          </cell>
        </row>
        <row r="20">
          <cell r="C20">
            <v>5992000</v>
          </cell>
          <cell r="D20">
            <v>0</v>
          </cell>
          <cell r="E20">
            <v>0</v>
          </cell>
          <cell r="F20">
            <v>7000000</v>
          </cell>
          <cell r="H20">
            <v>5626000</v>
          </cell>
          <cell r="I20">
            <v>7600000.0000003641</v>
          </cell>
        </row>
        <row r="21">
          <cell r="C21">
            <v>6047000</v>
          </cell>
          <cell r="D21">
            <v>0</v>
          </cell>
          <cell r="E21">
            <v>0</v>
          </cell>
          <cell r="F21">
            <v>7000000</v>
          </cell>
          <cell r="H21">
            <v>5714000.0000000019</v>
          </cell>
          <cell r="I21">
            <v>7300000.0000010915</v>
          </cell>
        </row>
        <row r="22">
          <cell r="C22">
            <v>5493000</v>
          </cell>
          <cell r="D22">
            <v>0</v>
          </cell>
          <cell r="E22">
            <v>0</v>
          </cell>
          <cell r="F22">
            <v>7000000</v>
          </cell>
          <cell r="H22">
            <v>5190000.0000000028</v>
          </cell>
          <cell r="I22">
            <v>7299999.9999992726</v>
          </cell>
        </row>
        <row r="23">
          <cell r="C23">
            <v>5031000</v>
          </cell>
          <cell r="D23">
            <v>0</v>
          </cell>
          <cell r="E23">
            <v>0</v>
          </cell>
          <cell r="F23">
            <v>7000000</v>
          </cell>
          <cell r="H23">
            <v>4718999.9999999953</v>
          </cell>
          <cell r="I23">
            <v>7799999.9999992726</v>
          </cell>
        </row>
        <row r="24">
          <cell r="C24">
            <v>4989000</v>
          </cell>
          <cell r="D24">
            <v>0</v>
          </cell>
          <cell r="E24">
            <v>0</v>
          </cell>
          <cell r="F24">
            <v>7000000</v>
          </cell>
          <cell r="H24">
            <v>4693999.9999999981</v>
          </cell>
          <cell r="I24">
            <v>7100000.0000003641</v>
          </cell>
        </row>
        <row r="25">
          <cell r="C25">
            <v>5001000</v>
          </cell>
          <cell r="D25">
            <v>0</v>
          </cell>
          <cell r="E25">
            <v>0</v>
          </cell>
          <cell r="F25">
            <v>9000000</v>
          </cell>
          <cell r="H25">
            <v>4701000.0000000028</v>
          </cell>
          <cell r="I25">
            <v>7300000.0000010915</v>
          </cell>
        </row>
        <row r="26">
          <cell r="C26">
            <v>5935000</v>
          </cell>
          <cell r="D26">
            <v>0</v>
          </cell>
          <cell r="E26">
            <v>0</v>
          </cell>
          <cell r="F26">
            <v>9000000</v>
          </cell>
          <cell r="H26">
            <v>5633000</v>
          </cell>
          <cell r="I26">
            <v>7799999.9999992726</v>
          </cell>
        </row>
        <row r="27">
          <cell r="C27">
            <v>8476000</v>
          </cell>
          <cell r="D27">
            <v>0</v>
          </cell>
          <cell r="E27">
            <v>0</v>
          </cell>
          <cell r="F27">
            <v>9000000</v>
          </cell>
          <cell r="H27">
            <v>8149999.9999999991</v>
          </cell>
          <cell r="I27">
            <v>8799999.9999992717</v>
          </cell>
        </row>
        <row r="28">
          <cell r="C28">
            <v>8143000</v>
          </cell>
          <cell r="D28">
            <v>0</v>
          </cell>
          <cell r="E28">
            <v>0</v>
          </cell>
          <cell r="F28">
            <v>9000000</v>
          </cell>
          <cell r="H28">
            <v>7748000.0000000037</v>
          </cell>
          <cell r="I28">
            <v>8200000.0000007274</v>
          </cell>
        </row>
        <row r="29">
          <cell r="C29">
            <v>6495000</v>
          </cell>
          <cell r="D29">
            <v>0</v>
          </cell>
          <cell r="E29">
            <v>0</v>
          </cell>
          <cell r="F29">
            <v>8000000</v>
          </cell>
          <cell r="H29">
            <v>6100999.9999999944</v>
          </cell>
          <cell r="I29">
            <v>8299999.9999992726</v>
          </cell>
        </row>
        <row r="30">
          <cell r="C30">
            <v>6062000</v>
          </cell>
          <cell r="D30">
            <v>0</v>
          </cell>
          <cell r="E30">
            <v>0</v>
          </cell>
          <cell r="F30">
            <v>403000000</v>
          </cell>
          <cell r="H30">
            <v>5731000.0000000037</v>
          </cell>
          <cell r="I30">
            <v>7400000.0000014547</v>
          </cell>
        </row>
        <row r="31">
          <cell r="C31">
            <v>6269000</v>
          </cell>
          <cell r="D31">
            <v>32000</v>
          </cell>
          <cell r="E31">
            <v>0</v>
          </cell>
          <cell r="F31">
            <v>843000000</v>
          </cell>
          <cell r="H31">
            <v>5978000</v>
          </cell>
          <cell r="I31">
            <v>8599999.9999985453</v>
          </cell>
        </row>
        <row r="32">
          <cell r="C32">
            <v>8072000</v>
          </cell>
          <cell r="D32">
            <v>0</v>
          </cell>
          <cell r="E32">
            <v>0</v>
          </cell>
          <cell r="F32">
            <v>1063000000</v>
          </cell>
          <cell r="H32">
            <v>7742999.9999999991</v>
          </cell>
          <cell r="I32">
            <v>10000000</v>
          </cell>
        </row>
        <row r="33">
          <cell r="C33">
            <v>9125000</v>
          </cell>
          <cell r="D33">
            <v>1000</v>
          </cell>
          <cell r="E33">
            <v>0</v>
          </cell>
          <cell r="F33">
            <v>1219000000</v>
          </cell>
          <cell r="H33">
            <v>8714999.9999999981</v>
          </cell>
          <cell r="I33">
            <v>11800000.000001092</v>
          </cell>
        </row>
        <row r="34">
          <cell r="C34">
            <v>6176000</v>
          </cell>
          <cell r="D34">
            <v>0</v>
          </cell>
          <cell r="E34">
            <v>0</v>
          </cell>
          <cell r="F34">
            <v>1135000000</v>
          </cell>
          <cell r="H34">
            <v>5760000.0000000037</v>
          </cell>
          <cell r="I34">
            <v>11100000.000000363</v>
          </cell>
        </row>
        <row r="259">
          <cell r="D259">
            <v>791999.99999999802</v>
          </cell>
          <cell r="H259">
            <v>0</v>
          </cell>
        </row>
        <row r="260">
          <cell r="D260">
            <v>731000.00000000163</v>
          </cell>
          <cell r="H260">
            <v>0</v>
          </cell>
        </row>
        <row r="261">
          <cell r="D261">
            <v>841999.99999999872</v>
          </cell>
          <cell r="H261">
            <v>0</v>
          </cell>
        </row>
        <row r="262">
          <cell r="D262">
            <v>844999.99999999884</v>
          </cell>
          <cell r="H262">
            <v>0</v>
          </cell>
        </row>
        <row r="263">
          <cell r="D263">
            <v>936000</v>
          </cell>
          <cell r="H263">
            <v>0</v>
          </cell>
        </row>
        <row r="264">
          <cell r="D264">
            <v>681000.00000000093</v>
          </cell>
          <cell r="H264">
            <v>0</v>
          </cell>
        </row>
        <row r="265">
          <cell r="D265">
            <v>471000.00000000361</v>
          </cell>
          <cell r="H265">
            <v>0</v>
          </cell>
        </row>
        <row r="266">
          <cell r="D266">
            <v>468999.99999999406</v>
          </cell>
          <cell r="H266">
            <v>0</v>
          </cell>
        </row>
        <row r="267">
          <cell r="D267">
            <v>472000.00000000128</v>
          </cell>
          <cell r="H267">
            <v>0</v>
          </cell>
        </row>
        <row r="268">
          <cell r="D268">
            <v>402000.00000000105</v>
          </cell>
          <cell r="H268">
            <v>0</v>
          </cell>
        </row>
        <row r="269">
          <cell r="D269">
            <v>490999.99999999965</v>
          </cell>
          <cell r="H269">
            <v>0</v>
          </cell>
        </row>
        <row r="270">
          <cell r="D270">
            <v>416000.0000000039</v>
          </cell>
          <cell r="H270">
            <v>0</v>
          </cell>
        </row>
        <row r="271">
          <cell r="D271">
            <v>473999.99999999662</v>
          </cell>
          <cell r="H271">
            <v>0</v>
          </cell>
        </row>
        <row r="272">
          <cell r="D272">
            <v>469000.00000000122</v>
          </cell>
          <cell r="H272">
            <v>0</v>
          </cell>
        </row>
        <row r="273">
          <cell r="D273">
            <v>464999.99999999633</v>
          </cell>
          <cell r="H273">
            <v>249568</v>
          </cell>
        </row>
        <row r="274">
          <cell r="D274">
            <v>306000.00000000448</v>
          </cell>
          <cell r="H274">
            <v>335662</v>
          </cell>
        </row>
        <row r="275">
          <cell r="D275">
            <v>365999.99999999965</v>
          </cell>
          <cell r="H275">
            <v>449458</v>
          </cell>
        </row>
        <row r="276">
          <cell r="D276">
            <v>332999.99999999843</v>
          </cell>
          <cell r="H276">
            <v>495077</v>
          </cell>
        </row>
        <row r="277">
          <cell r="D277">
            <v>302999.99999999726</v>
          </cell>
          <cell r="H277">
            <v>448620</v>
          </cell>
        </row>
        <row r="278">
          <cell r="D278">
            <v>312000.00000000471</v>
          </cell>
          <cell r="H278">
            <v>690080</v>
          </cell>
        </row>
        <row r="279">
          <cell r="D279">
            <v>295000.00000000169</v>
          </cell>
          <cell r="H279">
            <v>792030</v>
          </cell>
        </row>
        <row r="280">
          <cell r="D280">
            <v>299999.99999999715</v>
          </cell>
          <cell r="H280">
            <v>1151553</v>
          </cell>
        </row>
        <row r="281">
          <cell r="D281">
            <v>301999.99999999959</v>
          </cell>
          <cell r="H281">
            <v>1195001</v>
          </cell>
        </row>
        <row r="282">
          <cell r="D282">
            <v>326000.00000000052</v>
          </cell>
          <cell r="H282">
            <v>1492521</v>
          </cell>
        </row>
        <row r="283">
          <cell r="D283">
            <v>394999.99999999604</v>
          </cell>
          <cell r="H283">
            <v>1112300</v>
          </cell>
        </row>
        <row r="284">
          <cell r="D284">
            <v>394000.00000000547</v>
          </cell>
          <cell r="H284">
            <v>920888</v>
          </cell>
        </row>
        <row r="285">
          <cell r="D285">
            <v>330999.99999999598</v>
          </cell>
          <cell r="H285">
            <v>1291300</v>
          </cell>
        </row>
        <row r="286">
          <cell r="D286">
            <v>323000.00000000041</v>
          </cell>
          <cell r="H286">
            <v>1115393</v>
          </cell>
        </row>
        <row r="287">
          <cell r="D287">
            <v>329000.00000000064</v>
          </cell>
          <cell r="H287">
            <v>1255349</v>
          </cell>
        </row>
        <row r="288">
          <cell r="D288">
            <v>411000.00000000134</v>
          </cell>
          <cell r="H288">
            <v>1550500</v>
          </cell>
        </row>
        <row r="289">
          <cell r="D289">
            <v>415999.9999999968</v>
          </cell>
          <cell r="H289">
            <v>1469512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Apr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4">
          <cell r="C4">
            <v>8048000</v>
          </cell>
          <cell r="D4">
            <v>0</v>
          </cell>
          <cell r="E4">
            <v>0</v>
          </cell>
          <cell r="F4">
            <v>13610000</v>
          </cell>
          <cell r="H4">
            <v>7651999.9999999991</v>
          </cell>
          <cell r="I4">
            <v>13399999.999999637</v>
          </cell>
        </row>
        <row r="5">
          <cell r="C5">
            <v>5899000</v>
          </cell>
          <cell r="D5">
            <v>0</v>
          </cell>
          <cell r="E5">
            <v>0</v>
          </cell>
          <cell r="F5">
            <v>9740000</v>
          </cell>
          <cell r="H5">
            <v>5571999.9999999944</v>
          </cell>
          <cell r="I5">
            <v>9500000</v>
          </cell>
        </row>
        <row r="6">
          <cell r="C6">
            <v>5784000</v>
          </cell>
          <cell r="D6">
            <v>0</v>
          </cell>
          <cell r="E6">
            <v>0</v>
          </cell>
          <cell r="F6">
            <v>5650000</v>
          </cell>
          <cell r="H6">
            <v>5547000.0000000056</v>
          </cell>
          <cell r="I6">
            <v>6299999.9999992726</v>
          </cell>
        </row>
        <row r="7">
          <cell r="C7">
            <v>6516000</v>
          </cell>
          <cell r="D7">
            <v>0</v>
          </cell>
          <cell r="E7">
            <v>0</v>
          </cell>
          <cell r="F7">
            <v>5590000</v>
          </cell>
          <cell r="H7">
            <v>6156999.9999999981</v>
          </cell>
          <cell r="I7">
            <v>5300000.0000010915</v>
          </cell>
        </row>
        <row r="8">
          <cell r="C8">
            <v>3897000</v>
          </cell>
          <cell r="D8">
            <v>0</v>
          </cell>
          <cell r="E8">
            <v>0</v>
          </cell>
          <cell r="F8">
            <v>11840000</v>
          </cell>
          <cell r="H8">
            <v>0</v>
          </cell>
          <cell r="I8">
            <v>11099999.999998545</v>
          </cell>
        </row>
        <row r="9">
          <cell r="C9">
            <v>0</v>
          </cell>
          <cell r="D9">
            <v>0</v>
          </cell>
          <cell r="E9">
            <v>0</v>
          </cell>
          <cell r="F9">
            <v>13890000</v>
          </cell>
          <cell r="H9">
            <v>-87000.000000003303</v>
          </cell>
          <cell r="I9">
            <v>13700000.000000728</v>
          </cell>
        </row>
        <row r="10">
          <cell r="C10">
            <v>0</v>
          </cell>
          <cell r="D10">
            <v>0</v>
          </cell>
          <cell r="E10">
            <v>0</v>
          </cell>
          <cell r="F10">
            <v>16070000</v>
          </cell>
          <cell r="H10">
            <v>-156999.99999999648</v>
          </cell>
          <cell r="I10">
            <v>16100000.000000363</v>
          </cell>
        </row>
        <row r="11">
          <cell r="C11">
            <v>0</v>
          </cell>
          <cell r="D11">
            <v>0</v>
          </cell>
          <cell r="E11">
            <v>0</v>
          </cell>
          <cell r="F11">
            <v>18540000</v>
          </cell>
          <cell r="H11">
            <v>-88000.00000000096</v>
          </cell>
          <cell r="I11">
            <v>18399999.999999635</v>
          </cell>
        </row>
        <row r="12">
          <cell r="C12">
            <v>771000</v>
          </cell>
          <cell r="D12">
            <v>1000</v>
          </cell>
          <cell r="E12">
            <v>0</v>
          </cell>
          <cell r="F12">
            <v>18610000</v>
          </cell>
          <cell r="H12">
            <v>522000</v>
          </cell>
          <cell r="I12">
            <v>17799999.999999274</v>
          </cell>
        </row>
        <row r="13">
          <cell r="C13">
            <v>6218000</v>
          </cell>
          <cell r="D13">
            <v>0</v>
          </cell>
          <cell r="E13">
            <v>0</v>
          </cell>
          <cell r="F13">
            <v>19780000</v>
          </cell>
          <cell r="H13">
            <v>5635999.9999999991</v>
          </cell>
          <cell r="I13">
            <v>19700000.000000726</v>
          </cell>
        </row>
        <row r="14">
          <cell r="C14">
            <v>6110000</v>
          </cell>
          <cell r="D14">
            <v>0</v>
          </cell>
          <cell r="E14">
            <v>0</v>
          </cell>
          <cell r="F14">
            <v>16110000</v>
          </cell>
          <cell r="H14">
            <v>5735999.9999999972</v>
          </cell>
          <cell r="I14">
            <v>15100000.000000363</v>
          </cell>
        </row>
        <row r="15">
          <cell r="C15">
            <v>4530000</v>
          </cell>
          <cell r="D15">
            <v>0</v>
          </cell>
          <cell r="E15">
            <v>0</v>
          </cell>
          <cell r="F15">
            <v>11710000</v>
          </cell>
          <cell r="H15">
            <v>4295000.0000000009</v>
          </cell>
          <cell r="I15">
            <v>11500000</v>
          </cell>
        </row>
        <row r="16">
          <cell r="C16">
            <v>4027000</v>
          </cell>
          <cell r="D16">
            <v>11000</v>
          </cell>
          <cell r="E16">
            <v>0</v>
          </cell>
          <cell r="F16">
            <v>14440000</v>
          </cell>
          <cell r="H16">
            <v>3836999.9999999995</v>
          </cell>
          <cell r="I16">
            <v>13899999.999999637</v>
          </cell>
        </row>
        <row r="17">
          <cell r="C17">
            <v>3987000</v>
          </cell>
          <cell r="D17">
            <v>0</v>
          </cell>
          <cell r="E17">
            <v>0</v>
          </cell>
          <cell r="F17">
            <v>14540000</v>
          </cell>
          <cell r="H17">
            <v>3826000.0000000061</v>
          </cell>
          <cell r="I17">
            <v>14600000.000000363</v>
          </cell>
        </row>
        <row r="18">
          <cell r="C18">
            <v>4055000</v>
          </cell>
          <cell r="D18">
            <v>0</v>
          </cell>
          <cell r="E18">
            <v>0</v>
          </cell>
          <cell r="F18">
            <v>11180000</v>
          </cell>
          <cell r="H18">
            <v>3893999.9999999986</v>
          </cell>
          <cell r="I18">
            <v>10899999.999999637</v>
          </cell>
        </row>
        <row r="19">
          <cell r="C19">
            <v>3962000</v>
          </cell>
          <cell r="D19">
            <v>0</v>
          </cell>
          <cell r="E19">
            <v>0</v>
          </cell>
          <cell r="F19">
            <v>12910000</v>
          </cell>
          <cell r="H19">
            <v>3794999.9999999981</v>
          </cell>
          <cell r="I19">
            <v>12000000</v>
          </cell>
        </row>
        <row r="20">
          <cell r="C20">
            <v>3791000</v>
          </cell>
          <cell r="D20">
            <v>0</v>
          </cell>
          <cell r="E20">
            <v>0</v>
          </cell>
          <cell r="F20">
            <v>15050000</v>
          </cell>
          <cell r="H20">
            <v>3438999.9999999963</v>
          </cell>
          <cell r="I20">
            <v>15000000</v>
          </cell>
        </row>
        <row r="21">
          <cell r="C21">
            <v>5215000</v>
          </cell>
          <cell r="D21">
            <v>0</v>
          </cell>
          <cell r="E21">
            <v>0</v>
          </cell>
          <cell r="F21">
            <v>18080000</v>
          </cell>
          <cell r="H21">
            <v>5106000.0000000056</v>
          </cell>
          <cell r="I21">
            <v>18000000</v>
          </cell>
        </row>
        <row r="22">
          <cell r="C22">
            <v>3640000</v>
          </cell>
          <cell r="D22">
            <v>0</v>
          </cell>
          <cell r="E22">
            <v>0</v>
          </cell>
          <cell r="F22">
            <v>18340000</v>
          </cell>
          <cell r="H22">
            <v>3640000</v>
          </cell>
          <cell r="I22">
            <v>18299999.999999274</v>
          </cell>
        </row>
        <row r="23">
          <cell r="C23">
            <v>5050000</v>
          </cell>
          <cell r="D23">
            <v>0</v>
          </cell>
          <cell r="E23">
            <v>0</v>
          </cell>
          <cell r="F23">
            <v>17160000</v>
          </cell>
          <cell r="H23">
            <v>4861999.9999999972</v>
          </cell>
          <cell r="I23">
            <v>17300000.000001092</v>
          </cell>
        </row>
        <row r="24">
          <cell r="C24">
            <v>6229000</v>
          </cell>
          <cell r="D24">
            <v>0</v>
          </cell>
          <cell r="E24">
            <v>0</v>
          </cell>
          <cell r="F24">
            <v>21060000</v>
          </cell>
          <cell r="H24">
            <v>5963999.9999999991</v>
          </cell>
          <cell r="I24">
            <v>20799999.999999274</v>
          </cell>
        </row>
        <row r="25">
          <cell r="C25">
            <v>6317000</v>
          </cell>
          <cell r="D25">
            <v>0</v>
          </cell>
          <cell r="E25">
            <v>0</v>
          </cell>
          <cell r="F25">
            <v>20590000</v>
          </cell>
          <cell r="H25">
            <v>6055999.9999999972</v>
          </cell>
          <cell r="I25">
            <v>21500000</v>
          </cell>
        </row>
        <row r="26">
          <cell r="C26">
            <v>6033000</v>
          </cell>
          <cell r="D26">
            <v>0</v>
          </cell>
          <cell r="E26">
            <v>0</v>
          </cell>
          <cell r="F26">
            <v>19970000</v>
          </cell>
          <cell r="H26">
            <v>5779000.0000000019</v>
          </cell>
          <cell r="I26">
            <v>20200000.000000726</v>
          </cell>
        </row>
        <row r="27">
          <cell r="C27">
            <v>8059000</v>
          </cell>
          <cell r="D27">
            <v>0</v>
          </cell>
          <cell r="E27">
            <v>0</v>
          </cell>
          <cell r="F27">
            <v>21700000</v>
          </cell>
          <cell r="H27">
            <v>7803999.9999999972</v>
          </cell>
          <cell r="I27">
            <v>22799999.999999274</v>
          </cell>
        </row>
        <row r="28">
          <cell r="C28">
            <v>6358000</v>
          </cell>
          <cell r="D28">
            <v>0</v>
          </cell>
          <cell r="E28">
            <v>6000000</v>
          </cell>
          <cell r="F28">
            <v>14010000</v>
          </cell>
          <cell r="H28">
            <v>6103000.0000000047</v>
          </cell>
          <cell r="I28">
            <v>21000000</v>
          </cell>
        </row>
        <row r="29">
          <cell r="C29">
            <v>7029000</v>
          </cell>
          <cell r="D29">
            <v>0</v>
          </cell>
          <cell r="E29">
            <v>10000000</v>
          </cell>
          <cell r="F29">
            <v>10650000</v>
          </cell>
          <cell r="H29">
            <v>6825999.9999999972</v>
          </cell>
          <cell r="I29">
            <v>20000000</v>
          </cell>
        </row>
        <row r="30">
          <cell r="C30">
            <v>4491000</v>
          </cell>
          <cell r="D30">
            <v>0</v>
          </cell>
          <cell r="E30">
            <v>7000000</v>
          </cell>
          <cell r="F30">
            <v>9380000</v>
          </cell>
          <cell r="H30">
            <v>4329999.9999999981</v>
          </cell>
          <cell r="I30">
            <v>16500000</v>
          </cell>
        </row>
        <row r="31">
          <cell r="C31">
            <v>5061000</v>
          </cell>
          <cell r="D31">
            <v>0</v>
          </cell>
          <cell r="E31">
            <v>7000000</v>
          </cell>
          <cell r="F31">
            <v>9110000</v>
          </cell>
          <cell r="H31">
            <v>4874000.0000000028</v>
          </cell>
          <cell r="I31">
            <v>16300000.000001092</v>
          </cell>
        </row>
        <row r="32">
          <cell r="C32">
            <v>5409000</v>
          </cell>
          <cell r="D32">
            <v>0</v>
          </cell>
          <cell r="E32">
            <v>10000000</v>
          </cell>
          <cell r="F32">
            <v>9810000</v>
          </cell>
          <cell r="H32">
            <v>5226000</v>
          </cell>
          <cell r="I32">
            <v>19500000</v>
          </cell>
        </row>
        <row r="33">
          <cell r="C33">
            <v>8095000</v>
          </cell>
          <cell r="D33">
            <v>0</v>
          </cell>
          <cell r="E33">
            <v>12000000</v>
          </cell>
          <cell r="F33">
            <v>10020000</v>
          </cell>
          <cell r="H33">
            <v>7753000.0000000009</v>
          </cell>
          <cell r="I33">
            <v>22599999.999998543</v>
          </cell>
        </row>
        <row r="252">
          <cell r="D252">
            <v>396000.00000000081</v>
          </cell>
          <cell r="H252">
            <v>1652346</v>
          </cell>
        </row>
        <row r="253">
          <cell r="D253">
            <v>327000.0000000053</v>
          </cell>
          <cell r="H253">
            <v>1264817</v>
          </cell>
        </row>
        <row r="254">
          <cell r="D254">
            <v>236999.99999999476</v>
          </cell>
          <cell r="H254">
            <v>672901</v>
          </cell>
        </row>
        <row r="255">
          <cell r="D255">
            <v>359000.00000000175</v>
          </cell>
          <cell r="H255">
            <v>634192</v>
          </cell>
        </row>
        <row r="256">
          <cell r="D256">
            <v>286999.99999999901</v>
          </cell>
          <cell r="H256">
            <v>1434666</v>
          </cell>
        </row>
        <row r="257">
          <cell r="D257">
            <v>87000.000000003303</v>
          </cell>
          <cell r="H257">
            <v>1763944</v>
          </cell>
        </row>
        <row r="258">
          <cell r="D258">
            <v>156999.99999999648</v>
          </cell>
          <cell r="H258">
            <v>1923163</v>
          </cell>
        </row>
        <row r="259">
          <cell r="D259">
            <v>88000.00000000096</v>
          </cell>
          <cell r="H259">
            <v>2105738</v>
          </cell>
        </row>
        <row r="260">
          <cell r="D260">
            <v>250000</v>
          </cell>
          <cell r="H260">
            <v>2132886</v>
          </cell>
        </row>
        <row r="261">
          <cell r="D261">
            <v>582000.0000000007</v>
          </cell>
          <cell r="H261">
            <v>2304289</v>
          </cell>
        </row>
        <row r="262">
          <cell r="D262">
            <v>374000.00000000233</v>
          </cell>
          <cell r="H262">
            <v>2012262</v>
          </cell>
        </row>
        <row r="263">
          <cell r="D263">
            <v>234999.99999999942</v>
          </cell>
          <cell r="H263">
            <v>1582412</v>
          </cell>
        </row>
        <row r="264">
          <cell r="D264">
            <v>201000.00000000052</v>
          </cell>
          <cell r="H264">
            <v>1919515</v>
          </cell>
        </row>
        <row r="265">
          <cell r="D265">
            <v>160999.99999999427</v>
          </cell>
          <cell r="H265">
            <v>1866639</v>
          </cell>
        </row>
        <row r="266">
          <cell r="D266">
            <v>161000.00000000137</v>
          </cell>
          <cell r="H266">
            <v>1785269</v>
          </cell>
        </row>
        <row r="267">
          <cell r="D267">
            <v>167000.0000000016</v>
          </cell>
          <cell r="H267">
            <v>1737623</v>
          </cell>
        </row>
        <row r="268">
          <cell r="D268">
            <v>352000.00000000384</v>
          </cell>
          <cell r="H268">
            <v>1922893</v>
          </cell>
        </row>
        <row r="269">
          <cell r="D269">
            <v>108999.99999999466</v>
          </cell>
          <cell r="H269">
            <v>1633717</v>
          </cell>
        </row>
        <row r="270">
          <cell r="D270">
            <v>0</v>
          </cell>
          <cell r="H270">
            <v>1796491</v>
          </cell>
        </row>
        <row r="271">
          <cell r="D271">
            <v>188000.00000000239</v>
          </cell>
          <cell r="H271">
            <v>2264051</v>
          </cell>
        </row>
        <row r="272">
          <cell r="D272">
            <v>265000.00000000058</v>
          </cell>
          <cell r="H272">
            <v>2144099</v>
          </cell>
        </row>
        <row r="273">
          <cell r="D273">
            <v>261000.00000000279</v>
          </cell>
          <cell r="H273">
            <v>1866423</v>
          </cell>
        </row>
        <row r="274">
          <cell r="D274">
            <v>253999.99999999779</v>
          </cell>
          <cell r="H274">
            <v>1605465</v>
          </cell>
        </row>
        <row r="275">
          <cell r="D275">
            <v>255000.00000000256</v>
          </cell>
          <cell r="H275">
            <v>1547600</v>
          </cell>
        </row>
        <row r="276">
          <cell r="D276">
            <v>254999.99999999546</v>
          </cell>
          <cell r="H276">
            <v>1201631</v>
          </cell>
        </row>
        <row r="277">
          <cell r="D277">
            <v>203000.00000000297</v>
          </cell>
          <cell r="H277">
            <v>1286601</v>
          </cell>
        </row>
        <row r="278">
          <cell r="D278">
            <v>161000.00000000137</v>
          </cell>
          <cell r="H278">
            <v>1197295</v>
          </cell>
        </row>
        <row r="279">
          <cell r="D279">
            <v>186999.99999999761</v>
          </cell>
          <cell r="H279">
            <v>1203459</v>
          </cell>
        </row>
        <row r="280">
          <cell r="D280">
            <v>182999.99999999983</v>
          </cell>
          <cell r="H280">
            <v>11777805</v>
          </cell>
        </row>
        <row r="281">
          <cell r="D281">
            <v>341999.99999999878</v>
          </cell>
          <cell r="H281">
            <v>1426779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May Prod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4">
          <cell r="C4">
            <v>8957000</v>
          </cell>
          <cell r="D4">
            <v>0</v>
          </cell>
          <cell r="E4">
            <v>11000000</v>
          </cell>
          <cell r="F4">
            <v>10000000</v>
          </cell>
          <cell r="H4">
            <v>8630000.0000000019</v>
          </cell>
          <cell r="I4">
            <v>19900000.000001457</v>
          </cell>
        </row>
        <row r="5">
          <cell r="C5">
            <v>9509000</v>
          </cell>
          <cell r="D5">
            <v>0</v>
          </cell>
          <cell r="E5">
            <v>13000000</v>
          </cell>
          <cell r="F5">
            <v>10150000</v>
          </cell>
          <cell r="H5">
            <v>9183999.9999999963</v>
          </cell>
          <cell r="I5">
            <v>21399999.999999635</v>
          </cell>
        </row>
        <row r="6">
          <cell r="C6">
            <v>8705000</v>
          </cell>
          <cell r="D6">
            <v>0</v>
          </cell>
          <cell r="E6">
            <v>21000000</v>
          </cell>
          <cell r="F6">
            <v>3370000</v>
          </cell>
          <cell r="H6">
            <v>8376000</v>
          </cell>
          <cell r="I6">
            <v>23699999.999998908</v>
          </cell>
        </row>
        <row r="7">
          <cell r="C7">
            <v>5905000</v>
          </cell>
          <cell r="D7">
            <v>0</v>
          </cell>
          <cell r="E7">
            <v>27000000</v>
          </cell>
          <cell r="F7">
            <v>0</v>
          </cell>
          <cell r="H7">
            <v>5560999.9999999991</v>
          </cell>
          <cell r="I7">
            <v>24200000.000000726</v>
          </cell>
        </row>
        <row r="8">
          <cell r="C8">
            <v>9051000</v>
          </cell>
          <cell r="D8">
            <v>0</v>
          </cell>
          <cell r="E8">
            <v>29000000</v>
          </cell>
          <cell r="F8">
            <v>0</v>
          </cell>
          <cell r="H8">
            <v>8816000</v>
          </cell>
          <cell r="I8">
            <v>26200000.000000726</v>
          </cell>
        </row>
        <row r="9">
          <cell r="C9">
            <v>6772000</v>
          </cell>
          <cell r="D9">
            <v>0</v>
          </cell>
          <cell r="E9">
            <v>28000000</v>
          </cell>
          <cell r="F9">
            <v>0</v>
          </cell>
          <cell r="H9">
            <v>6371000.0000000037</v>
          </cell>
          <cell r="I9">
            <v>25699999.999998908</v>
          </cell>
        </row>
        <row r="10">
          <cell r="C10">
            <v>2056000</v>
          </cell>
          <cell r="D10">
            <v>0</v>
          </cell>
          <cell r="E10">
            <v>19000000</v>
          </cell>
          <cell r="F10">
            <v>0</v>
          </cell>
          <cell r="H10">
            <v>1896999.9999999942</v>
          </cell>
          <cell r="I10">
            <v>18399999.999999635</v>
          </cell>
        </row>
        <row r="11">
          <cell r="C11">
            <v>0</v>
          </cell>
          <cell r="D11">
            <v>0</v>
          </cell>
          <cell r="E11">
            <v>20000000</v>
          </cell>
          <cell r="F11">
            <v>0</v>
          </cell>
          <cell r="H11">
            <v>0</v>
          </cell>
          <cell r="I11">
            <v>18900000.000001457</v>
          </cell>
        </row>
        <row r="12">
          <cell r="C12">
            <v>0</v>
          </cell>
          <cell r="D12">
            <v>0</v>
          </cell>
          <cell r="E12">
            <v>24000000</v>
          </cell>
          <cell r="F12">
            <v>0</v>
          </cell>
          <cell r="H12">
            <v>-127999.99999999302</v>
          </cell>
          <cell r="I12">
            <v>22099999.999998543</v>
          </cell>
        </row>
        <row r="13">
          <cell r="C13">
            <v>0</v>
          </cell>
          <cell r="D13">
            <v>0</v>
          </cell>
          <cell r="E13">
            <v>28000000</v>
          </cell>
          <cell r="F13">
            <v>0</v>
          </cell>
          <cell r="H13">
            <v>0</v>
          </cell>
          <cell r="I13">
            <v>26000000</v>
          </cell>
        </row>
        <row r="14">
          <cell r="C14">
            <v>0</v>
          </cell>
          <cell r="D14">
            <v>0</v>
          </cell>
          <cell r="E14">
            <v>28000000</v>
          </cell>
          <cell r="F14">
            <v>0</v>
          </cell>
          <cell r="H14">
            <v>0</v>
          </cell>
          <cell r="I14">
            <v>25200000.000000726</v>
          </cell>
        </row>
        <row r="15">
          <cell r="C15">
            <v>0</v>
          </cell>
          <cell r="D15">
            <v>0</v>
          </cell>
          <cell r="E15">
            <v>21000000</v>
          </cell>
          <cell r="F15">
            <v>0</v>
          </cell>
          <cell r="H15">
            <v>0</v>
          </cell>
          <cell r="I15">
            <v>18700000.000000726</v>
          </cell>
        </row>
        <row r="16">
          <cell r="C16">
            <v>0</v>
          </cell>
          <cell r="D16">
            <v>0</v>
          </cell>
          <cell r="E16">
            <v>19000000</v>
          </cell>
          <cell r="F16">
            <v>0</v>
          </cell>
          <cell r="H16">
            <v>0</v>
          </cell>
          <cell r="I16">
            <v>17699999.999998908</v>
          </cell>
        </row>
        <row r="17">
          <cell r="C17">
            <v>0</v>
          </cell>
          <cell r="D17">
            <v>0</v>
          </cell>
          <cell r="E17">
            <v>8000000</v>
          </cell>
          <cell r="F17">
            <v>180200</v>
          </cell>
          <cell r="H17">
            <v>-205000.00000000541</v>
          </cell>
          <cell r="I17">
            <v>26700000.000000726</v>
          </cell>
        </row>
        <row r="18">
          <cell r="C18">
            <v>0</v>
          </cell>
          <cell r="D18">
            <v>0</v>
          </cell>
          <cell r="E18">
            <v>0</v>
          </cell>
          <cell r="F18">
            <v>25020000</v>
          </cell>
          <cell r="H18">
            <v>0</v>
          </cell>
          <cell r="I18">
            <v>24000000</v>
          </cell>
        </row>
        <row r="19">
          <cell r="C19">
            <v>0</v>
          </cell>
          <cell r="D19">
            <v>0</v>
          </cell>
          <cell r="E19">
            <v>0</v>
          </cell>
          <cell r="F19">
            <v>28340000</v>
          </cell>
          <cell r="H19">
            <v>-174999.99999999715</v>
          </cell>
          <cell r="I19">
            <v>28299999.999999274</v>
          </cell>
        </row>
        <row r="20">
          <cell r="C20">
            <v>3745000</v>
          </cell>
          <cell r="D20">
            <v>0</v>
          </cell>
          <cell r="E20">
            <v>0</v>
          </cell>
          <cell r="F20">
            <v>29990000</v>
          </cell>
          <cell r="H20">
            <v>3452000.0000000009</v>
          </cell>
          <cell r="I20">
            <v>28899999.999999635</v>
          </cell>
        </row>
        <row r="21">
          <cell r="C21">
            <v>4945000</v>
          </cell>
          <cell r="D21">
            <v>0</v>
          </cell>
          <cell r="E21">
            <v>0</v>
          </cell>
          <cell r="F21">
            <v>26550000</v>
          </cell>
          <cell r="H21">
            <v>4704999.9999999981</v>
          </cell>
          <cell r="I21">
            <v>25200000.000000726</v>
          </cell>
        </row>
        <row r="22">
          <cell r="C22">
            <v>5039000</v>
          </cell>
          <cell r="D22">
            <v>0</v>
          </cell>
          <cell r="E22">
            <v>0</v>
          </cell>
          <cell r="F22">
            <v>21050000</v>
          </cell>
          <cell r="H22">
            <v>4736000.0000000028</v>
          </cell>
          <cell r="I22">
            <v>20399999.999999635</v>
          </cell>
        </row>
        <row r="23">
          <cell r="C23">
            <v>4929000</v>
          </cell>
          <cell r="D23">
            <v>0</v>
          </cell>
          <cell r="E23">
            <v>0</v>
          </cell>
          <cell r="F23">
            <v>19700000</v>
          </cell>
          <cell r="H23">
            <v>4609000</v>
          </cell>
          <cell r="I23">
            <v>18600000.000000365</v>
          </cell>
        </row>
        <row r="24">
          <cell r="C24">
            <v>4600000</v>
          </cell>
          <cell r="D24">
            <v>0</v>
          </cell>
          <cell r="E24">
            <v>0</v>
          </cell>
          <cell r="F24">
            <v>26050000</v>
          </cell>
          <cell r="H24">
            <v>4441000.0000000009</v>
          </cell>
          <cell r="I24">
            <v>24899999.999999635</v>
          </cell>
        </row>
        <row r="25">
          <cell r="C25">
            <v>6205000</v>
          </cell>
          <cell r="D25">
            <v>0</v>
          </cell>
          <cell r="E25">
            <v>3000000</v>
          </cell>
          <cell r="F25">
            <v>28180000</v>
          </cell>
          <cell r="H25">
            <v>5905999.9999999935</v>
          </cell>
          <cell r="I25">
            <v>30800000.000001092</v>
          </cell>
        </row>
        <row r="26">
          <cell r="C26">
            <v>3192000</v>
          </cell>
          <cell r="D26">
            <v>0</v>
          </cell>
          <cell r="E26">
            <v>2000000</v>
          </cell>
          <cell r="F26">
            <v>20740000</v>
          </cell>
          <cell r="H26">
            <v>2793000.0000000065</v>
          </cell>
          <cell r="I26">
            <v>22299999.999999274</v>
          </cell>
        </row>
        <row r="27">
          <cell r="C27">
            <v>0</v>
          </cell>
          <cell r="D27">
            <v>0</v>
          </cell>
          <cell r="E27">
            <v>0</v>
          </cell>
          <cell r="F27">
            <v>20190000</v>
          </cell>
          <cell r="H27">
            <v>0</v>
          </cell>
          <cell r="I27">
            <v>19899999.999999635</v>
          </cell>
        </row>
        <row r="28">
          <cell r="C28">
            <v>2910000</v>
          </cell>
          <cell r="D28">
            <v>0</v>
          </cell>
          <cell r="E28">
            <v>0</v>
          </cell>
          <cell r="F28">
            <v>23480000</v>
          </cell>
          <cell r="H28">
            <v>2923999.9999999958</v>
          </cell>
          <cell r="I28">
            <v>22200000.000000726</v>
          </cell>
        </row>
        <row r="29">
          <cell r="C29">
            <v>4992000</v>
          </cell>
          <cell r="D29">
            <v>0</v>
          </cell>
          <cell r="E29">
            <v>0</v>
          </cell>
          <cell r="F29">
            <v>24800000</v>
          </cell>
          <cell r="H29">
            <v>4637000.0000000028</v>
          </cell>
          <cell r="I29">
            <v>25100000.000000365</v>
          </cell>
        </row>
        <row r="30">
          <cell r="C30">
            <v>5009000</v>
          </cell>
          <cell r="D30">
            <v>0</v>
          </cell>
          <cell r="E30">
            <v>0</v>
          </cell>
          <cell r="F30">
            <v>24960000</v>
          </cell>
          <cell r="H30">
            <v>4652000.0000000009</v>
          </cell>
          <cell r="I30">
            <v>24000000</v>
          </cell>
        </row>
        <row r="31">
          <cell r="C31">
            <v>4974000</v>
          </cell>
          <cell r="D31">
            <v>0</v>
          </cell>
          <cell r="E31">
            <v>0</v>
          </cell>
          <cell r="F31">
            <v>23760000</v>
          </cell>
          <cell r="H31">
            <v>4617999.9999999981</v>
          </cell>
          <cell r="I31">
            <v>23099999.999998543</v>
          </cell>
        </row>
        <row r="32">
          <cell r="C32">
            <v>7079000</v>
          </cell>
          <cell r="D32">
            <v>0</v>
          </cell>
          <cell r="E32">
            <v>0</v>
          </cell>
          <cell r="F32">
            <v>28140000</v>
          </cell>
          <cell r="H32">
            <v>6671999.9999999963</v>
          </cell>
          <cell r="I32">
            <v>27400000.000001457</v>
          </cell>
        </row>
        <row r="33">
          <cell r="C33">
            <v>7201000</v>
          </cell>
          <cell r="D33">
            <v>0</v>
          </cell>
          <cell r="E33">
            <v>1000000</v>
          </cell>
          <cell r="F33">
            <v>30610000</v>
          </cell>
          <cell r="H33">
            <v>6880000.0000000019</v>
          </cell>
          <cell r="I33">
            <v>30899999.999999635</v>
          </cell>
        </row>
        <row r="34">
          <cell r="C34">
            <v>4898000</v>
          </cell>
          <cell r="D34">
            <v>1000</v>
          </cell>
          <cell r="E34">
            <v>0</v>
          </cell>
          <cell r="F34">
            <v>27170000</v>
          </cell>
          <cell r="H34">
            <v>4646999.9999999972</v>
          </cell>
          <cell r="I34">
            <v>26299999.999999274</v>
          </cell>
        </row>
        <row r="259">
          <cell r="D259">
            <v>326999.9999999982</v>
          </cell>
          <cell r="H259">
            <v>1717425</v>
          </cell>
        </row>
        <row r="260">
          <cell r="D260">
            <v>325000.00000000285</v>
          </cell>
          <cell r="H260">
            <v>2480645</v>
          </cell>
        </row>
        <row r="261">
          <cell r="D261">
            <v>329000.00000000064</v>
          </cell>
          <cell r="H261">
            <v>2262400</v>
          </cell>
        </row>
        <row r="262">
          <cell r="D262">
            <v>344000.00000000122</v>
          </cell>
          <cell r="H262">
            <v>2326555</v>
          </cell>
        </row>
        <row r="263">
          <cell r="D263">
            <v>234999.99999999942</v>
          </cell>
          <cell r="H263">
            <v>2275798</v>
          </cell>
        </row>
        <row r="264">
          <cell r="D264">
            <v>400999.99999999627</v>
          </cell>
          <cell r="H264">
            <v>2389867</v>
          </cell>
        </row>
        <row r="265">
          <cell r="D265">
            <v>159000.00000000602</v>
          </cell>
          <cell r="H265">
            <v>1317721</v>
          </cell>
        </row>
        <row r="266">
          <cell r="D266">
            <v>0</v>
          </cell>
          <cell r="H266">
            <v>1164040</v>
          </cell>
        </row>
        <row r="267">
          <cell r="D267">
            <v>127999.99999999302</v>
          </cell>
          <cell r="H267">
            <v>1266632</v>
          </cell>
        </row>
        <row r="268">
          <cell r="D268">
            <v>0</v>
          </cell>
          <cell r="H268">
            <v>1985110</v>
          </cell>
        </row>
        <row r="269">
          <cell r="D269">
            <v>0</v>
          </cell>
          <cell r="H269">
            <v>2400562</v>
          </cell>
        </row>
        <row r="270">
          <cell r="D270">
            <v>0</v>
          </cell>
          <cell r="H270">
            <v>2002071</v>
          </cell>
        </row>
        <row r="271">
          <cell r="D271">
            <v>0</v>
          </cell>
          <cell r="H271">
            <v>1668434</v>
          </cell>
        </row>
        <row r="272">
          <cell r="D272">
            <v>205000.00000000541</v>
          </cell>
          <cell r="H272">
            <v>2760000</v>
          </cell>
        </row>
        <row r="273">
          <cell r="D273">
            <v>0</v>
          </cell>
          <cell r="H273">
            <v>2671886</v>
          </cell>
        </row>
        <row r="274">
          <cell r="D274">
            <v>174999.99999999715</v>
          </cell>
          <cell r="H274">
            <v>2789505</v>
          </cell>
        </row>
        <row r="275">
          <cell r="D275">
            <v>292999.99999999924</v>
          </cell>
          <cell r="H275">
            <v>2808941</v>
          </cell>
        </row>
        <row r="276">
          <cell r="D276">
            <v>240000.00000000198</v>
          </cell>
          <cell r="H276">
            <v>2746693</v>
          </cell>
        </row>
        <row r="277">
          <cell r="D277">
            <v>302999.99999999726</v>
          </cell>
          <cell r="H277">
            <v>2265659.5999999996</v>
          </cell>
        </row>
        <row r="278">
          <cell r="D278">
            <v>320000.00000000029</v>
          </cell>
          <cell r="H278">
            <v>2184725</v>
          </cell>
        </row>
        <row r="279">
          <cell r="D279">
            <v>158999.99999999892</v>
          </cell>
          <cell r="H279">
            <v>2711557</v>
          </cell>
        </row>
        <row r="280">
          <cell r="D280">
            <v>299000.00000000658</v>
          </cell>
          <cell r="H280">
            <v>3015477</v>
          </cell>
        </row>
        <row r="281">
          <cell r="D281">
            <v>398999.99999999383</v>
          </cell>
          <cell r="H281">
            <v>2050981</v>
          </cell>
        </row>
        <row r="282">
          <cell r="D282">
            <v>0</v>
          </cell>
          <cell r="H282">
            <v>172754</v>
          </cell>
        </row>
        <row r="283">
          <cell r="D283">
            <v>-13999.999999995794</v>
          </cell>
          <cell r="H283">
            <v>2032691</v>
          </cell>
        </row>
        <row r="284">
          <cell r="D284">
            <v>354999.99999999686</v>
          </cell>
          <cell r="H284">
            <v>2133406</v>
          </cell>
        </row>
        <row r="285">
          <cell r="D285">
            <v>356999.9999999993</v>
          </cell>
          <cell r="H285">
            <v>2091605</v>
          </cell>
        </row>
        <row r="286">
          <cell r="D286">
            <v>356000.00000000163</v>
          </cell>
          <cell r="H286">
            <v>1931347</v>
          </cell>
        </row>
        <row r="287">
          <cell r="D287">
            <v>407000.00000000361</v>
          </cell>
          <cell r="H287">
            <v>2367695</v>
          </cell>
        </row>
        <row r="288">
          <cell r="D288">
            <v>320999.99999999796</v>
          </cell>
          <cell r="H288">
            <v>2604004</v>
          </cell>
        </row>
        <row r="289">
          <cell r="D289">
            <v>252000.00000000244</v>
          </cell>
          <cell r="H289">
            <v>2330387</v>
          </cell>
        </row>
      </sheetData>
      <sheetData sheetId="32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Jun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4">
          <cell r="C4">
            <v>5118000</v>
          </cell>
          <cell r="D4">
            <v>0</v>
          </cell>
          <cell r="E4">
            <v>0</v>
          </cell>
          <cell r="F4">
            <v>28370000</v>
          </cell>
          <cell r="H4">
            <v>4735000.0000000047</v>
          </cell>
          <cell r="I4">
            <v>27700000.000000726</v>
          </cell>
        </row>
        <row r="5">
          <cell r="C5">
            <v>4869000</v>
          </cell>
          <cell r="D5">
            <v>0</v>
          </cell>
          <cell r="E5">
            <v>0</v>
          </cell>
          <cell r="F5">
            <v>26170000</v>
          </cell>
          <cell r="H5">
            <v>4570000.0000000009</v>
          </cell>
          <cell r="I5">
            <v>26199999.999998908</v>
          </cell>
        </row>
        <row r="6">
          <cell r="C6">
            <v>5039000</v>
          </cell>
          <cell r="D6">
            <v>0</v>
          </cell>
          <cell r="E6">
            <v>0</v>
          </cell>
          <cell r="F6">
            <v>27220000</v>
          </cell>
          <cell r="H6">
            <v>4948999.9999999963</v>
          </cell>
          <cell r="I6">
            <v>26600000.000000365</v>
          </cell>
        </row>
        <row r="7">
          <cell r="C7">
            <v>5038000</v>
          </cell>
          <cell r="D7">
            <v>0</v>
          </cell>
          <cell r="E7">
            <v>1000000</v>
          </cell>
          <cell r="F7">
            <v>29450000</v>
          </cell>
          <cell r="H7">
            <v>4614999.9999999981</v>
          </cell>
          <cell r="I7">
            <v>29399999.999999635</v>
          </cell>
        </row>
        <row r="8">
          <cell r="C8">
            <v>5401000</v>
          </cell>
          <cell r="D8">
            <v>0</v>
          </cell>
          <cell r="E8">
            <v>2000000</v>
          </cell>
          <cell r="F8">
            <v>24910000</v>
          </cell>
          <cell r="H8">
            <v>5070000.0000000037</v>
          </cell>
          <cell r="I8">
            <v>26100000.000000365</v>
          </cell>
        </row>
        <row r="9">
          <cell r="C9">
            <v>8219000</v>
          </cell>
          <cell r="D9">
            <v>0</v>
          </cell>
          <cell r="E9">
            <v>0</v>
          </cell>
          <cell r="F9">
            <v>27830000</v>
          </cell>
          <cell r="H9">
            <v>7919000.0000000028</v>
          </cell>
          <cell r="I9">
            <v>27600000.000000365</v>
          </cell>
        </row>
        <row r="10">
          <cell r="C10">
            <v>6941000</v>
          </cell>
          <cell r="D10">
            <v>0</v>
          </cell>
          <cell r="E10">
            <v>5000000</v>
          </cell>
          <cell r="F10">
            <v>18790000</v>
          </cell>
          <cell r="H10">
            <v>6472999.9999999963</v>
          </cell>
          <cell r="I10">
            <v>23700000.000000726</v>
          </cell>
        </row>
        <row r="11">
          <cell r="C11">
            <v>9928000</v>
          </cell>
          <cell r="D11">
            <v>0</v>
          </cell>
          <cell r="E11">
            <v>20000000</v>
          </cell>
          <cell r="F11">
            <v>8380000.0000000009</v>
          </cell>
          <cell r="H11">
            <v>9675000</v>
          </cell>
          <cell r="I11">
            <v>27399999.999999635</v>
          </cell>
        </row>
        <row r="12">
          <cell r="C12">
            <v>9915000</v>
          </cell>
          <cell r="D12">
            <v>0</v>
          </cell>
          <cell r="E12">
            <v>30000000</v>
          </cell>
          <cell r="F12">
            <v>0</v>
          </cell>
          <cell r="H12">
            <v>9521000.0000000019</v>
          </cell>
          <cell r="I12">
            <v>27799999.999999274</v>
          </cell>
        </row>
        <row r="13">
          <cell r="C13">
            <v>9641000</v>
          </cell>
          <cell r="D13">
            <v>0</v>
          </cell>
          <cell r="E13">
            <v>29000000</v>
          </cell>
          <cell r="F13">
            <v>0</v>
          </cell>
          <cell r="H13">
            <v>9296999.9999999981</v>
          </cell>
          <cell r="I13">
            <v>26800000.000001092</v>
          </cell>
        </row>
        <row r="14">
          <cell r="C14">
            <v>7157000</v>
          </cell>
          <cell r="D14">
            <v>0</v>
          </cell>
          <cell r="E14">
            <v>31000000</v>
          </cell>
          <cell r="F14">
            <v>0</v>
          </cell>
          <cell r="H14">
            <v>6825999.9999999972</v>
          </cell>
          <cell r="I14">
            <v>28899999.999999635</v>
          </cell>
        </row>
        <row r="15">
          <cell r="C15">
            <v>4915000</v>
          </cell>
          <cell r="D15">
            <v>0</v>
          </cell>
          <cell r="E15">
            <v>34000000</v>
          </cell>
          <cell r="F15">
            <v>0</v>
          </cell>
          <cell r="H15">
            <v>4702000.0000000065</v>
          </cell>
          <cell r="I15">
            <v>30799999.999999274</v>
          </cell>
        </row>
        <row r="16">
          <cell r="C16">
            <v>8679000</v>
          </cell>
          <cell r="D16">
            <v>0</v>
          </cell>
          <cell r="E16">
            <v>36000000</v>
          </cell>
          <cell r="F16">
            <v>0</v>
          </cell>
          <cell r="H16">
            <v>8490999.9999999981</v>
          </cell>
          <cell r="I16">
            <v>33000000</v>
          </cell>
        </row>
        <row r="17">
          <cell r="C17">
            <v>7772000</v>
          </cell>
          <cell r="D17">
            <v>0</v>
          </cell>
          <cell r="E17">
            <v>31000000</v>
          </cell>
          <cell r="F17">
            <v>0</v>
          </cell>
          <cell r="H17">
            <v>7482999.9999999981</v>
          </cell>
          <cell r="I17">
            <v>29700000.000000726</v>
          </cell>
        </row>
        <row r="18">
          <cell r="C18">
            <v>5643000</v>
          </cell>
          <cell r="D18">
            <v>0</v>
          </cell>
          <cell r="E18">
            <v>34000000</v>
          </cell>
          <cell r="F18">
            <v>0</v>
          </cell>
          <cell r="H18">
            <v>5371999.9999999991</v>
          </cell>
          <cell r="I18">
            <v>32199999.999998908</v>
          </cell>
        </row>
        <row r="19">
          <cell r="C19">
            <v>5073000</v>
          </cell>
          <cell r="D19">
            <v>0</v>
          </cell>
          <cell r="E19">
            <v>35000000</v>
          </cell>
          <cell r="F19">
            <v>0</v>
          </cell>
          <cell r="H19">
            <v>4844000.0000000009</v>
          </cell>
          <cell r="I19">
            <v>32800000.000001092</v>
          </cell>
        </row>
        <row r="20">
          <cell r="C20">
            <v>6102000</v>
          </cell>
          <cell r="D20">
            <v>0</v>
          </cell>
          <cell r="E20">
            <v>35000000</v>
          </cell>
          <cell r="F20">
            <v>0</v>
          </cell>
          <cell r="H20">
            <v>5873000.0000000009</v>
          </cell>
          <cell r="I20">
            <v>32100000.000000365</v>
          </cell>
        </row>
        <row r="21">
          <cell r="C21">
            <v>9087000</v>
          </cell>
          <cell r="D21">
            <v>0</v>
          </cell>
          <cell r="E21">
            <v>37000000</v>
          </cell>
          <cell r="F21">
            <v>0</v>
          </cell>
          <cell r="H21">
            <v>8837999.9999999981</v>
          </cell>
          <cell r="I21">
            <v>34299999.99999927</v>
          </cell>
        </row>
        <row r="22">
          <cell r="C22">
            <v>10108000</v>
          </cell>
          <cell r="D22">
            <v>0</v>
          </cell>
          <cell r="E22">
            <v>35000000</v>
          </cell>
          <cell r="F22">
            <v>0</v>
          </cell>
          <cell r="H22">
            <v>9701000.0000000037</v>
          </cell>
          <cell r="I22">
            <v>32399999.999999635</v>
          </cell>
        </row>
        <row r="23">
          <cell r="C23">
            <v>9710000</v>
          </cell>
          <cell r="D23">
            <v>0</v>
          </cell>
          <cell r="E23">
            <v>32000000</v>
          </cell>
          <cell r="F23">
            <v>0</v>
          </cell>
          <cell r="H23">
            <v>9377000.0000000019</v>
          </cell>
          <cell r="I23">
            <v>30399999.999999635</v>
          </cell>
        </row>
        <row r="24">
          <cell r="C24">
            <v>7079000</v>
          </cell>
          <cell r="D24">
            <v>0</v>
          </cell>
          <cell r="E24">
            <v>34000000</v>
          </cell>
          <cell r="F24">
            <v>0</v>
          </cell>
          <cell r="H24">
            <v>6716000</v>
          </cell>
          <cell r="I24">
            <v>31200000.000000726</v>
          </cell>
        </row>
        <row r="25">
          <cell r="C25">
            <v>9971000</v>
          </cell>
          <cell r="D25">
            <v>0</v>
          </cell>
          <cell r="E25">
            <v>35000000</v>
          </cell>
          <cell r="F25">
            <v>0</v>
          </cell>
          <cell r="H25">
            <v>9718000</v>
          </cell>
          <cell r="I25">
            <v>33700000.00000073</v>
          </cell>
        </row>
        <row r="26">
          <cell r="C26">
            <v>9851000</v>
          </cell>
          <cell r="D26">
            <v>0</v>
          </cell>
          <cell r="E26">
            <v>37000000</v>
          </cell>
          <cell r="F26">
            <v>0</v>
          </cell>
          <cell r="H26">
            <v>9564999.9999999981</v>
          </cell>
          <cell r="I26">
            <v>34500000</v>
          </cell>
        </row>
        <row r="27">
          <cell r="C27">
            <v>9794000</v>
          </cell>
          <cell r="D27">
            <v>0</v>
          </cell>
          <cell r="E27">
            <v>35000000</v>
          </cell>
          <cell r="F27">
            <v>0</v>
          </cell>
          <cell r="H27">
            <v>9522000.0000000019</v>
          </cell>
          <cell r="I27">
            <v>32599999.999998543</v>
          </cell>
        </row>
        <row r="28">
          <cell r="C28">
            <v>9758000</v>
          </cell>
          <cell r="D28">
            <v>0</v>
          </cell>
          <cell r="E28">
            <v>38000000</v>
          </cell>
          <cell r="F28">
            <v>0</v>
          </cell>
          <cell r="H28">
            <v>9359999.9999999963</v>
          </cell>
          <cell r="I28">
            <v>34500000</v>
          </cell>
        </row>
        <row r="29">
          <cell r="C29">
            <v>9440000</v>
          </cell>
          <cell r="D29">
            <v>0</v>
          </cell>
          <cell r="E29">
            <v>32000000</v>
          </cell>
          <cell r="F29">
            <v>4930000</v>
          </cell>
          <cell r="H29">
            <v>9108999.9999999963</v>
          </cell>
          <cell r="I29">
            <v>34300000.000001088</v>
          </cell>
        </row>
        <row r="30">
          <cell r="C30">
            <v>8371000</v>
          </cell>
          <cell r="D30">
            <v>0</v>
          </cell>
          <cell r="E30">
            <v>29000000</v>
          </cell>
          <cell r="F30">
            <v>8029999.9999999991</v>
          </cell>
          <cell r="H30">
            <v>8093000.0000000009</v>
          </cell>
          <cell r="I30">
            <v>35199999.999998912</v>
          </cell>
        </row>
        <row r="31">
          <cell r="C31">
            <v>6813000</v>
          </cell>
          <cell r="D31">
            <v>0</v>
          </cell>
          <cell r="E31">
            <v>22000000</v>
          </cell>
          <cell r="F31">
            <v>13080000</v>
          </cell>
          <cell r="H31">
            <v>6416999.9999999991</v>
          </cell>
          <cell r="I31">
            <v>33800000.000001088</v>
          </cell>
        </row>
        <row r="32">
          <cell r="C32">
            <v>6740000</v>
          </cell>
          <cell r="D32">
            <v>0</v>
          </cell>
          <cell r="E32">
            <v>21000000</v>
          </cell>
          <cell r="F32">
            <v>14860000</v>
          </cell>
          <cell r="H32">
            <v>6606000</v>
          </cell>
          <cell r="I32">
            <v>33500000</v>
          </cell>
        </row>
        <row r="33">
          <cell r="C33">
            <v>6746000</v>
          </cell>
          <cell r="D33">
            <v>0</v>
          </cell>
          <cell r="E33">
            <v>21000000</v>
          </cell>
          <cell r="F33">
            <v>15700000</v>
          </cell>
          <cell r="H33">
            <v>6657000.0000000019</v>
          </cell>
          <cell r="I33">
            <v>35799999.99999927</v>
          </cell>
        </row>
        <row r="252">
          <cell r="D252">
            <v>382999.99999999558</v>
          </cell>
          <cell r="H252">
            <v>2366024</v>
          </cell>
        </row>
        <row r="253">
          <cell r="D253">
            <v>298999.99999999948</v>
          </cell>
          <cell r="H253">
            <v>2262924</v>
          </cell>
        </row>
        <row r="254">
          <cell r="D254">
            <v>90000.000000003405</v>
          </cell>
          <cell r="H254">
            <v>2326620</v>
          </cell>
        </row>
        <row r="255">
          <cell r="D255">
            <v>423000.0000000018</v>
          </cell>
          <cell r="H255">
            <v>2326485</v>
          </cell>
        </row>
        <row r="256">
          <cell r="D256">
            <v>330999.99999999598</v>
          </cell>
          <cell r="H256">
            <v>904295</v>
          </cell>
        </row>
        <row r="257">
          <cell r="D257">
            <v>299999.99999999715</v>
          </cell>
          <cell r="H257">
            <v>1027120</v>
          </cell>
        </row>
        <row r="258">
          <cell r="D258">
            <v>468000.00000000355</v>
          </cell>
          <cell r="H258">
            <v>2032977</v>
          </cell>
        </row>
        <row r="259">
          <cell r="D259">
            <v>253000.00000000012</v>
          </cell>
          <cell r="H259">
            <v>1013827</v>
          </cell>
        </row>
        <row r="260">
          <cell r="D260">
            <v>393999.99999999837</v>
          </cell>
          <cell r="H260">
            <v>1847750</v>
          </cell>
        </row>
        <row r="261">
          <cell r="D261">
            <v>344000.00000000122</v>
          </cell>
          <cell r="H261">
            <v>793183</v>
          </cell>
        </row>
        <row r="262">
          <cell r="D262">
            <v>331000.00000000309</v>
          </cell>
          <cell r="H262">
            <v>2094152</v>
          </cell>
        </row>
        <row r="263">
          <cell r="D263">
            <v>212999.99999999386</v>
          </cell>
          <cell r="H263">
            <v>726850</v>
          </cell>
        </row>
        <row r="264">
          <cell r="D264">
            <v>188000.00000000239</v>
          </cell>
          <cell r="H264">
            <v>2473322</v>
          </cell>
        </row>
        <row r="265">
          <cell r="D265">
            <v>289000.00000000146</v>
          </cell>
          <cell r="H265">
            <v>2177295</v>
          </cell>
        </row>
        <row r="266">
          <cell r="D266">
            <v>271000.00000000081</v>
          </cell>
          <cell r="H266">
            <v>1740616</v>
          </cell>
        </row>
        <row r="267">
          <cell r="D267">
            <v>228999.99999999921</v>
          </cell>
          <cell r="H267">
            <v>2167500</v>
          </cell>
        </row>
        <row r="268">
          <cell r="D268">
            <v>228999.99999999921</v>
          </cell>
          <cell r="H268">
            <v>2523115</v>
          </cell>
        </row>
        <row r="269">
          <cell r="D269">
            <v>249000.00000000233</v>
          </cell>
          <cell r="H269">
            <v>2497308</v>
          </cell>
        </row>
        <row r="270">
          <cell r="D270">
            <v>406999.99999999645</v>
          </cell>
          <cell r="H270">
            <v>2539467</v>
          </cell>
        </row>
        <row r="271">
          <cell r="D271">
            <v>332999.99999999843</v>
          </cell>
          <cell r="H271">
            <v>2384353</v>
          </cell>
        </row>
        <row r="272">
          <cell r="D272">
            <v>362999.99999999953</v>
          </cell>
          <cell r="H272">
            <v>764027</v>
          </cell>
        </row>
        <row r="273">
          <cell r="D273">
            <v>253000.00000000012</v>
          </cell>
          <cell r="H273">
            <v>1798474</v>
          </cell>
        </row>
        <row r="274">
          <cell r="D274">
            <v>286000.00000000134</v>
          </cell>
          <cell r="H274">
            <v>2073488</v>
          </cell>
        </row>
        <row r="275">
          <cell r="D275">
            <v>271999.99999999849</v>
          </cell>
          <cell r="H275">
            <v>561826</v>
          </cell>
        </row>
        <row r="276">
          <cell r="D276">
            <v>398000.00000000326</v>
          </cell>
          <cell r="H276">
            <v>2989958</v>
          </cell>
        </row>
        <row r="277">
          <cell r="D277">
            <v>331000.00000000309</v>
          </cell>
          <cell r="H277">
            <v>2786880</v>
          </cell>
        </row>
        <row r="278">
          <cell r="D278">
            <v>277999.99999999872</v>
          </cell>
          <cell r="H278">
            <v>2872208</v>
          </cell>
        </row>
        <row r="279">
          <cell r="D279">
            <v>396000.00000000081</v>
          </cell>
          <cell r="H279">
            <v>2786361</v>
          </cell>
        </row>
        <row r="280">
          <cell r="D280">
            <v>134000.00000000035</v>
          </cell>
          <cell r="H280">
            <v>2736955</v>
          </cell>
        </row>
        <row r="281">
          <cell r="D281">
            <v>88999.999999998632</v>
          </cell>
          <cell r="H281">
            <v>2797801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Jul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4">
          <cell r="C4">
            <v>6146000</v>
          </cell>
          <cell r="D4">
            <v>0</v>
          </cell>
          <cell r="E4">
            <v>23000000</v>
          </cell>
          <cell r="F4">
            <v>15760000</v>
          </cell>
          <cell r="G4">
            <v>0</v>
          </cell>
          <cell r="H4">
            <v>6094999.9999999981</v>
          </cell>
          <cell r="I4">
            <v>37100000.000000365</v>
          </cell>
        </row>
        <row r="5">
          <cell r="C5">
            <v>5569000</v>
          </cell>
          <cell r="D5">
            <v>0</v>
          </cell>
          <cell r="E5">
            <v>23000000</v>
          </cell>
          <cell r="F5">
            <v>15110000</v>
          </cell>
          <cell r="G5">
            <v>0</v>
          </cell>
          <cell r="H5">
            <v>5514999.9999999981</v>
          </cell>
          <cell r="I5">
            <v>36500000</v>
          </cell>
        </row>
        <row r="6">
          <cell r="C6">
            <v>6156000</v>
          </cell>
          <cell r="D6">
            <v>0</v>
          </cell>
          <cell r="E6">
            <v>21000000</v>
          </cell>
          <cell r="F6">
            <v>16070000</v>
          </cell>
          <cell r="G6">
            <v>0</v>
          </cell>
          <cell r="H6">
            <v>6077000.0000000065</v>
          </cell>
          <cell r="I6">
            <v>36399999.999999635</v>
          </cell>
        </row>
        <row r="7">
          <cell r="C7">
            <v>6221000</v>
          </cell>
          <cell r="D7">
            <v>0</v>
          </cell>
          <cell r="E7">
            <v>21000000</v>
          </cell>
          <cell r="F7">
            <v>19080000</v>
          </cell>
          <cell r="G7">
            <v>0</v>
          </cell>
          <cell r="H7">
            <v>6141000.0000000019</v>
          </cell>
          <cell r="I7">
            <v>37700000.00000073</v>
          </cell>
        </row>
        <row r="8">
          <cell r="C8">
            <v>6211000</v>
          </cell>
          <cell r="D8">
            <v>0</v>
          </cell>
          <cell r="E8">
            <v>15000000</v>
          </cell>
          <cell r="F8">
            <v>17730000</v>
          </cell>
          <cell r="G8">
            <v>0</v>
          </cell>
          <cell r="H8">
            <v>6149999.9999999925</v>
          </cell>
          <cell r="I8">
            <v>32000000</v>
          </cell>
        </row>
        <row r="9">
          <cell r="C9">
            <v>7918000</v>
          </cell>
          <cell r="D9">
            <v>0</v>
          </cell>
          <cell r="E9">
            <v>19000000</v>
          </cell>
          <cell r="F9">
            <v>15220000</v>
          </cell>
          <cell r="G9">
            <v>0</v>
          </cell>
          <cell r="H9">
            <v>7837000.0000000112</v>
          </cell>
          <cell r="I9">
            <v>32199999.999998908</v>
          </cell>
        </row>
        <row r="10">
          <cell r="C10">
            <v>5378000</v>
          </cell>
          <cell r="D10">
            <v>0</v>
          </cell>
          <cell r="E10">
            <v>12000000</v>
          </cell>
          <cell r="F10">
            <v>14860000</v>
          </cell>
          <cell r="G10">
            <v>0</v>
          </cell>
          <cell r="H10">
            <v>5316999.9999999925</v>
          </cell>
          <cell r="I10">
            <v>25700000.000000726</v>
          </cell>
        </row>
        <row r="11">
          <cell r="C11">
            <v>5463000</v>
          </cell>
          <cell r="D11">
            <v>0</v>
          </cell>
          <cell r="E11">
            <v>8000000</v>
          </cell>
          <cell r="F11">
            <v>10880000</v>
          </cell>
          <cell r="G11">
            <v>0</v>
          </cell>
          <cell r="H11">
            <v>5378999.9999999963</v>
          </cell>
          <cell r="I11">
            <v>18500000</v>
          </cell>
        </row>
        <row r="12">
          <cell r="C12">
            <v>5300000</v>
          </cell>
          <cell r="D12">
            <v>0</v>
          </cell>
          <cell r="E12">
            <v>9000000</v>
          </cell>
          <cell r="F12">
            <v>13620000</v>
          </cell>
          <cell r="G12">
            <v>0</v>
          </cell>
          <cell r="H12">
            <v>5215999.9999999963</v>
          </cell>
          <cell r="I12">
            <v>22500000</v>
          </cell>
        </row>
        <row r="13">
          <cell r="C13">
            <v>4788000</v>
          </cell>
          <cell r="D13">
            <v>0</v>
          </cell>
          <cell r="E13">
            <v>7000000</v>
          </cell>
          <cell r="F13">
            <v>15150000</v>
          </cell>
          <cell r="G13">
            <v>0</v>
          </cell>
          <cell r="H13">
            <v>4709000.0000000065</v>
          </cell>
          <cell r="I13">
            <v>20799999.999999274</v>
          </cell>
        </row>
        <row r="14">
          <cell r="C14">
            <v>5274000</v>
          </cell>
          <cell r="D14">
            <v>0</v>
          </cell>
          <cell r="E14">
            <v>17000000</v>
          </cell>
          <cell r="F14">
            <v>15020000</v>
          </cell>
          <cell r="G14">
            <v>0</v>
          </cell>
          <cell r="H14">
            <v>5210999.9999999972</v>
          </cell>
          <cell r="I14">
            <v>30800000.000001092</v>
          </cell>
        </row>
        <row r="15">
          <cell r="C15">
            <v>5238000</v>
          </cell>
          <cell r="D15">
            <v>0</v>
          </cell>
          <cell r="E15">
            <v>15000000</v>
          </cell>
          <cell r="F15">
            <v>15110000</v>
          </cell>
          <cell r="G15">
            <v>0</v>
          </cell>
          <cell r="H15">
            <v>5174000.0000000075</v>
          </cell>
          <cell r="I15">
            <v>29100000.000000365</v>
          </cell>
        </row>
        <row r="16">
          <cell r="C16">
            <v>5526000</v>
          </cell>
          <cell r="D16">
            <v>0</v>
          </cell>
          <cell r="E16">
            <v>16000000</v>
          </cell>
          <cell r="F16">
            <v>17660000</v>
          </cell>
          <cell r="G16">
            <v>0</v>
          </cell>
          <cell r="H16">
            <v>5468999.9999999981</v>
          </cell>
          <cell r="I16">
            <v>32799999.999999274</v>
          </cell>
        </row>
        <row r="17">
          <cell r="C17">
            <v>5072000</v>
          </cell>
          <cell r="D17">
            <v>0</v>
          </cell>
          <cell r="E17">
            <v>19000000</v>
          </cell>
          <cell r="F17">
            <v>18500000</v>
          </cell>
          <cell r="G17">
            <v>0</v>
          </cell>
          <cell r="H17">
            <v>5052000.0000000037</v>
          </cell>
          <cell r="I17">
            <v>36200000.00000073</v>
          </cell>
        </row>
        <row r="18">
          <cell r="C18">
            <v>5180000</v>
          </cell>
          <cell r="D18">
            <v>0</v>
          </cell>
          <cell r="E18">
            <v>14000000</v>
          </cell>
          <cell r="F18">
            <v>19320000</v>
          </cell>
          <cell r="G18">
            <v>0</v>
          </cell>
          <cell r="H18">
            <v>5140999.9999999981</v>
          </cell>
          <cell r="I18">
            <v>32699999.999998908</v>
          </cell>
        </row>
        <row r="19">
          <cell r="C19">
            <v>5110000</v>
          </cell>
          <cell r="D19">
            <v>0</v>
          </cell>
          <cell r="E19">
            <v>13000000</v>
          </cell>
          <cell r="F19">
            <v>21750000</v>
          </cell>
          <cell r="G19">
            <v>0</v>
          </cell>
          <cell r="H19">
            <v>5070999.9999999981</v>
          </cell>
          <cell r="I19">
            <v>33600000.000000365</v>
          </cell>
        </row>
        <row r="20">
          <cell r="C20">
            <v>5233000</v>
          </cell>
          <cell r="D20">
            <v>0</v>
          </cell>
          <cell r="E20">
            <v>15000000</v>
          </cell>
          <cell r="F20">
            <v>12170000</v>
          </cell>
          <cell r="G20">
            <v>0</v>
          </cell>
          <cell r="H20">
            <v>5192999.9999999935</v>
          </cell>
          <cell r="I20">
            <v>25500000</v>
          </cell>
        </row>
        <row r="21">
          <cell r="C21">
            <v>4948000</v>
          </cell>
          <cell r="D21">
            <v>0</v>
          </cell>
          <cell r="E21">
            <v>20000000</v>
          </cell>
          <cell r="F21">
            <v>11020000</v>
          </cell>
          <cell r="G21">
            <v>0</v>
          </cell>
          <cell r="H21">
            <v>4908000.0000000084</v>
          </cell>
          <cell r="I21">
            <v>28600000.000000365</v>
          </cell>
        </row>
        <row r="22">
          <cell r="C22">
            <v>5138000</v>
          </cell>
          <cell r="D22">
            <v>0</v>
          </cell>
          <cell r="E22">
            <v>24000000</v>
          </cell>
          <cell r="F22">
            <v>10130000</v>
          </cell>
          <cell r="G22">
            <v>0</v>
          </cell>
          <cell r="H22">
            <v>5080999.9999999981</v>
          </cell>
          <cell r="I22">
            <v>32600000.000000365</v>
          </cell>
        </row>
        <row r="23">
          <cell r="C23">
            <v>5245000</v>
          </cell>
          <cell r="D23">
            <v>0</v>
          </cell>
          <cell r="E23">
            <v>30000000</v>
          </cell>
          <cell r="F23">
            <v>10190000</v>
          </cell>
          <cell r="G23">
            <v>0</v>
          </cell>
          <cell r="H23">
            <v>5177000.0000000019</v>
          </cell>
          <cell r="I23">
            <v>37899999.999999635</v>
          </cell>
        </row>
        <row r="24">
          <cell r="C24">
            <v>5038000</v>
          </cell>
          <cell r="D24">
            <v>0</v>
          </cell>
          <cell r="E24">
            <v>28000000</v>
          </cell>
          <cell r="F24">
            <v>9890000</v>
          </cell>
          <cell r="G24">
            <v>0</v>
          </cell>
          <cell r="H24">
            <v>4978999.9999999879</v>
          </cell>
          <cell r="I24">
            <v>36199999.999998912</v>
          </cell>
        </row>
        <row r="25">
          <cell r="C25">
            <v>5190000</v>
          </cell>
          <cell r="D25">
            <v>0</v>
          </cell>
          <cell r="E25">
            <v>20000000</v>
          </cell>
          <cell r="F25">
            <v>18810000</v>
          </cell>
          <cell r="G25">
            <v>0</v>
          </cell>
          <cell r="H25">
            <v>5112000.0000000112</v>
          </cell>
          <cell r="I25">
            <v>36900000.000001453</v>
          </cell>
        </row>
        <row r="26">
          <cell r="C26">
            <v>5092000</v>
          </cell>
          <cell r="D26">
            <v>0</v>
          </cell>
          <cell r="E26">
            <v>16000000</v>
          </cell>
          <cell r="F26">
            <v>16620000.000000002</v>
          </cell>
          <cell r="G26">
            <v>0</v>
          </cell>
          <cell r="H26">
            <v>5029999.9999999879</v>
          </cell>
          <cell r="I26">
            <v>32500000</v>
          </cell>
        </row>
        <row r="27">
          <cell r="C27">
            <v>5192000</v>
          </cell>
          <cell r="D27">
            <v>0</v>
          </cell>
          <cell r="E27">
            <v>21000000</v>
          </cell>
          <cell r="F27">
            <v>12890000</v>
          </cell>
          <cell r="G27">
            <v>0</v>
          </cell>
          <cell r="H27">
            <v>5128000.0000000075</v>
          </cell>
          <cell r="I27">
            <v>33000000</v>
          </cell>
        </row>
        <row r="28">
          <cell r="C28">
            <v>5149000</v>
          </cell>
          <cell r="D28">
            <v>0</v>
          </cell>
          <cell r="E28">
            <v>25000000</v>
          </cell>
          <cell r="F28">
            <v>9980000</v>
          </cell>
          <cell r="G28">
            <v>0</v>
          </cell>
          <cell r="H28">
            <v>5129000.0000000037</v>
          </cell>
          <cell r="I28">
            <v>31799999.999999274</v>
          </cell>
        </row>
        <row r="29">
          <cell r="C29">
            <v>5224000</v>
          </cell>
          <cell r="D29">
            <v>0</v>
          </cell>
          <cell r="E29">
            <v>26000000</v>
          </cell>
          <cell r="F29">
            <v>9910000</v>
          </cell>
          <cell r="G29">
            <v>0</v>
          </cell>
          <cell r="H29">
            <v>5162000.0000000028</v>
          </cell>
          <cell r="I29">
            <v>34899999.999999635</v>
          </cell>
        </row>
        <row r="30">
          <cell r="C30">
            <v>5037000</v>
          </cell>
          <cell r="D30">
            <v>0</v>
          </cell>
          <cell r="E30">
            <v>25000000</v>
          </cell>
          <cell r="F30">
            <v>9810000</v>
          </cell>
          <cell r="G30">
            <v>0</v>
          </cell>
          <cell r="H30">
            <v>4995999.9999999888</v>
          </cell>
          <cell r="I30">
            <v>33100000.000000365</v>
          </cell>
        </row>
        <row r="31">
          <cell r="C31">
            <v>5236000</v>
          </cell>
          <cell r="D31">
            <v>0</v>
          </cell>
          <cell r="E31">
            <v>24000000</v>
          </cell>
          <cell r="F31">
            <v>9940000</v>
          </cell>
          <cell r="G31">
            <v>0</v>
          </cell>
          <cell r="H31">
            <v>5175999.9999999981</v>
          </cell>
          <cell r="I31">
            <v>32700000.000000726</v>
          </cell>
        </row>
        <row r="32">
          <cell r="C32">
            <v>5084000</v>
          </cell>
          <cell r="D32">
            <v>0</v>
          </cell>
          <cell r="E32">
            <v>25000000</v>
          </cell>
          <cell r="F32">
            <v>10100000</v>
          </cell>
          <cell r="G32">
            <v>0</v>
          </cell>
          <cell r="H32">
            <v>5022000.0000000028</v>
          </cell>
          <cell r="I32">
            <v>32799999.999999274</v>
          </cell>
        </row>
        <row r="33">
          <cell r="C33">
            <v>5176000</v>
          </cell>
          <cell r="D33">
            <v>0</v>
          </cell>
          <cell r="E33">
            <v>25000000</v>
          </cell>
          <cell r="F33">
            <v>10300000</v>
          </cell>
          <cell r="G33">
            <v>0</v>
          </cell>
          <cell r="H33">
            <v>5115999.9999999981</v>
          </cell>
          <cell r="I33">
            <v>33600000.000000365</v>
          </cell>
        </row>
        <row r="34">
          <cell r="C34">
            <v>5176000</v>
          </cell>
          <cell r="D34">
            <v>0</v>
          </cell>
          <cell r="E34">
            <v>24000000</v>
          </cell>
          <cell r="F34">
            <v>9950000.0000000019</v>
          </cell>
          <cell r="G34">
            <v>0</v>
          </cell>
          <cell r="H34">
            <v>5117000.0000000028</v>
          </cell>
          <cell r="I34">
            <v>32199999.999998908</v>
          </cell>
        </row>
        <row r="259">
          <cell r="D259">
            <v>51000.000000001935</v>
          </cell>
          <cell r="H259">
            <v>2928359</v>
          </cell>
        </row>
        <row r="260">
          <cell r="D260">
            <v>54000.000000002045</v>
          </cell>
          <cell r="H260">
            <v>2947462</v>
          </cell>
        </row>
        <row r="261">
          <cell r="D261">
            <v>78999.999999993524</v>
          </cell>
          <cell r="H261">
            <v>2907545</v>
          </cell>
        </row>
        <row r="262">
          <cell r="D262">
            <v>79999.999999998297</v>
          </cell>
          <cell r="H262">
            <v>3112530</v>
          </cell>
        </row>
        <row r="263">
          <cell r="D263">
            <v>61000.00000000705</v>
          </cell>
          <cell r="H263">
            <v>2651438</v>
          </cell>
        </row>
        <row r="264">
          <cell r="D264">
            <v>80999.999999988853</v>
          </cell>
          <cell r="H264">
            <v>2651438</v>
          </cell>
        </row>
        <row r="265">
          <cell r="D265">
            <v>61000.00000000705</v>
          </cell>
          <cell r="H265">
            <v>2110018</v>
          </cell>
        </row>
        <row r="266">
          <cell r="D266">
            <v>84000.000000003187</v>
          </cell>
          <cell r="H266">
            <v>1608422</v>
          </cell>
        </row>
        <row r="267">
          <cell r="D267">
            <v>84000.000000003187</v>
          </cell>
          <cell r="H267">
            <v>1799991</v>
          </cell>
        </row>
        <row r="268">
          <cell r="D268">
            <v>78999.999999993524</v>
          </cell>
          <cell r="H268">
            <v>1697962</v>
          </cell>
        </row>
        <row r="269">
          <cell r="D269">
            <v>63000.000000002387</v>
          </cell>
          <cell r="H269">
            <v>2707174</v>
          </cell>
        </row>
        <row r="270">
          <cell r="D270">
            <v>63999.99999999295</v>
          </cell>
          <cell r="H270">
            <v>1991451</v>
          </cell>
        </row>
        <row r="271">
          <cell r="D271">
            <v>57000.000000002161</v>
          </cell>
          <cell r="H271">
            <v>2465392</v>
          </cell>
        </row>
        <row r="272">
          <cell r="D272">
            <v>19999.99999999602</v>
          </cell>
          <cell r="H272">
            <v>2920916</v>
          </cell>
        </row>
        <row r="273">
          <cell r="D273">
            <v>39000.000000001477</v>
          </cell>
          <cell r="H273">
            <v>2631798</v>
          </cell>
        </row>
        <row r="274">
          <cell r="D274">
            <v>39000.000000001477</v>
          </cell>
          <cell r="H274">
            <v>2932302</v>
          </cell>
        </row>
        <row r="275">
          <cell r="D275">
            <v>40000.00000000625</v>
          </cell>
          <cell r="H275">
            <v>2515168</v>
          </cell>
        </row>
        <row r="276">
          <cell r="D276">
            <v>39999.99999999204</v>
          </cell>
          <cell r="H276">
            <v>2582777</v>
          </cell>
        </row>
        <row r="277">
          <cell r="D277">
            <v>57000.000000002161</v>
          </cell>
          <cell r="H277">
            <v>2511664</v>
          </cell>
        </row>
        <row r="278">
          <cell r="D278">
            <v>67999.999999997846</v>
          </cell>
          <cell r="H278">
            <v>2946152</v>
          </cell>
        </row>
        <row r="279">
          <cell r="D279">
            <v>59000.000000011707</v>
          </cell>
          <cell r="H279">
            <v>2830897</v>
          </cell>
        </row>
        <row r="280">
          <cell r="D280">
            <v>77999.999999988751</v>
          </cell>
          <cell r="H280">
            <v>2950000</v>
          </cell>
        </row>
        <row r="281">
          <cell r="D281">
            <v>62000.000000011823</v>
          </cell>
          <cell r="H281">
            <v>2504743</v>
          </cell>
        </row>
        <row r="282">
          <cell r="D282">
            <v>63999.99999999295</v>
          </cell>
          <cell r="H282">
            <v>2549218</v>
          </cell>
        </row>
        <row r="283">
          <cell r="D283">
            <v>19999.99999999602</v>
          </cell>
          <cell r="H283">
            <v>2679009</v>
          </cell>
        </row>
        <row r="284">
          <cell r="D284">
            <v>61999.999999997613</v>
          </cell>
          <cell r="H284">
            <v>2753453</v>
          </cell>
        </row>
        <row r="285">
          <cell r="D285">
            <v>41000.00000001103</v>
          </cell>
          <cell r="H285">
            <v>2651770</v>
          </cell>
        </row>
        <row r="286">
          <cell r="D286">
            <v>60000.00000000227</v>
          </cell>
          <cell r="H286">
            <v>2443723</v>
          </cell>
        </row>
        <row r="287">
          <cell r="D287">
            <v>61999.999999997613</v>
          </cell>
          <cell r="H287">
            <v>2575725</v>
          </cell>
        </row>
        <row r="288">
          <cell r="D288">
            <v>60000.00000000227</v>
          </cell>
          <cell r="H288">
            <v>2610500</v>
          </cell>
        </row>
        <row r="289">
          <cell r="D289">
            <v>58999.999999997497</v>
          </cell>
          <cell r="H289">
            <v>2646979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Aug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4">
          <cell r="C4">
            <v>5144000</v>
          </cell>
          <cell r="D4">
            <v>0</v>
          </cell>
          <cell r="E4">
            <v>22000000</v>
          </cell>
          <cell r="F4">
            <v>12130000</v>
          </cell>
          <cell r="H4">
            <v>5104999.9999999981</v>
          </cell>
          <cell r="I4">
            <v>33300000.000001092</v>
          </cell>
        </row>
        <row r="5">
          <cell r="C5">
            <v>5149000</v>
          </cell>
          <cell r="D5">
            <v>0</v>
          </cell>
          <cell r="E5">
            <v>14000000</v>
          </cell>
          <cell r="F5">
            <v>11410000</v>
          </cell>
          <cell r="H5">
            <v>5111000.0000000037</v>
          </cell>
          <cell r="I5">
            <v>24000000</v>
          </cell>
        </row>
        <row r="6">
          <cell r="C6">
            <v>5162000</v>
          </cell>
          <cell r="D6">
            <v>0</v>
          </cell>
          <cell r="E6">
            <v>23000000</v>
          </cell>
          <cell r="F6">
            <v>12410000</v>
          </cell>
          <cell r="H6">
            <v>5143999.9999999991</v>
          </cell>
          <cell r="I6">
            <v>34199999.999998912</v>
          </cell>
        </row>
        <row r="7">
          <cell r="C7">
            <v>5150000</v>
          </cell>
          <cell r="D7">
            <v>0</v>
          </cell>
          <cell r="E7">
            <v>24299999.999999274</v>
          </cell>
          <cell r="F7">
            <v>10020000</v>
          </cell>
          <cell r="H7">
            <v>5122000.0000000084</v>
          </cell>
          <cell r="I7">
            <v>33000000</v>
          </cell>
        </row>
        <row r="8">
          <cell r="C8">
            <v>5104000</v>
          </cell>
          <cell r="D8">
            <v>0</v>
          </cell>
          <cell r="E8">
            <v>24700000.000000726</v>
          </cell>
          <cell r="F8">
            <v>10010000</v>
          </cell>
          <cell r="H8">
            <v>5076999.9999999991</v>
          </cell>
          <cell r="I8">
            <v>32900000.000001457</v>
          </cell>
        </row>
        <row r="9">
          <cell r="C9">
            <v>5102000</v>
          </cell>
          <cell r="D9">
            <v>0</v>
          </cell>
          <cell r="E9">
            <v>25000000</v>
          </cell>
          <cell r="F9">
            <v>9970000</v>
          </cell>
          <cell r="H9">
            <v>5064999.9999999935</v>
          </cell>
          <cell r="I9">
            <v>33299999.999999274</v>
          </cell>
        </row>
        <row r="10">
          <cell r="C10">
            <v>5139000</v>
          </cell>
          <cell r="D10">
            <v>0</v>
          </cell>
          <cell r="E10">
            <v>27000000</v>
          </cell>
          <cell r="F10">
            <v>9840000</v>
          </cell>
          <cell r="H10">
            <v>5099999.9999999981</v>
          </cell>
          <cell r="I10">
            <v>35000000</v>
          </cell>
        </row>
        <row r="11">
          <cell r="C11">
            <v>5146000</v>
          </cell>
          <cell r="D11">
            <v>0</v>
          </cell>
          <cell r="E11">
            <v>37000000</v>
          </cell>
          <cell r="F11">
            <v>0</v>
          </cell>
          <cell r="H11">
            <v>5108000.0000000037</v>
          </cell>
          <cell r="I11">
            <v>34399999.999999635</v>
          </cell>
        </row>
        <row r="12">
          <cell r="C12">
            <v>5074000</v>
          </cell>
          <cell r="D12">
            <v>0</v>
          </cell>
          <cell r="E12">
            <v>32000000</v>
          </cell>
          <cell r="F12">
            <v>5100000.0000000009</v>
          </cell>
          <cell r="H12">
            <v>5036000.0000000037</v>
          </cell>
          <cell r="I12">
            <v>35600000.000000365</v>
          </cell>
        </row>
        <row r="13">
          <cell r="C13">
            <v>5041000</v>
          </cell>
          <cell r="D13">
            <v>0</v>
          </cell>
          <cell r="E13">
            <v>25000000</v>
          </cell>
          <cell r="F13">
            <v>9910000</v>
          </cell>
          <cell r="H13">
            <v>5003000.0000000037</v>
          </cell>
          <cell r="I13">
            <v>33200000.000000726</v>
          </cell>
        </row>
        <row r="14">
          <cell r="C14">
            <v>5055000</v>
          </cell>
          <cell r="D14">
            <v>0</v>
          </cell>
          <cell r="E14">
            <v>28000000</v>
          </cell>
          <cell r="F14">
            <v>10000000</v>
          </cell>
          <cell r="H14">
            <v>5017999.9999999935</v>
          </cell>
          <cell r="I14">
            <v>35099999.999998547</v>
          </cell>
        </row>
        <row r="15">
          <cell r="C15">
            <v>5124000</v>
          </cell>
          <cell r="D15">
            <v>0</v>
          </cell>
          <cell r="E15">
            <v>22000000</v>
          </cell>
          <cell r="F15">
            <v>10020000</v>
          </cell>
          <cell r="H15">
            <v>5083999.9999999935</v>
          </cell>
          <cell r="I15">
            <v>31500000</v>
          </cell>
        </row>
        <row r="16">
          <cell r="C16">
            <v>6686000</v>
          </cell>
          <cell r="D16">
            <v>0</v>
          </cell>
          <cell r="E16">
            <v>30000000</v>
          </cell>
          <cell r="F16">
            <v>4240000</v>
          </cell>
          <cell r="H16">
            <v>6666000.0000000037</v>
          </cell>
          <cell r="I16">
            <v>32000000</v>
          </cell>
        </row>
        <row r="17">
          <cell r="C17">
            <v>5130000</v>
          </cell>
          <cell r="D17">
            <v>0</v>
          </cell>
          <cell r="E17">
            <v>31000000</v>
          </cell>
          <cell r="F17">
            <v>0</v>
          </cell>
          <cell r="H17">
            <v>5057999.9999999972</v>
          </cell>
          <cell r="I17">
            <v>28900000.000001457</v>
          </cell>
        </row>
        <row r="18">
          <cell r="C18">
            <v>6778000</v>
          </cell>
          <cell r="D18">
            <v>0</v>
          </cell>
          <cell r="E18">
            <v>35000000</v>
          </cell>
          <cell r="F18">
            <v>0</v>
          </cell>
          <cell r="H18">
            <v>6717000.0000000075</v>
          </cell>
          <cell r="I18">
            <v>31899999.999997817</v>
          </cell>
        </row>
        <row r="19">
          <cell r="C19">
            <v>7217000</v>
          </cell>
          <cell r="D19">
            <v>0</v>
          </cell>
          <cell r="E19">
            <v>17000000</v>
          </cell>
          <cell r="F19">
            <v>10630000</v>
          </cell>
          <cell r="H19">
            <v>7138999.9999999972</v>
          </cell>
          <cell r="I19">
            <v>27400000.000001457</v>
          </cell>
        </row>
        <row r="20">
          <cell r="C20">
            <v>6020000</v>
          </cell>
          <cell r="D20">
            <v>0</v>
          </cell>
          <cell r="E20">
            <v>12000000</v>
          </cell>
          <cell r="F20">
            <v>18430000</v>
          </cell>
          <cell r="H20">
            <v>5962000.0000000075</v>
          </cell>
          <cell r="I20">
            <v>29000000</v>
          </cell>
        </row>
        <row r="21">
          <cell r="C21">
            <v>5963000</v>
          </cell>
          <cell r="D21">
            <v>0</v>
          </cell>
          <cell r="E21">
            <v>16000000</v>
          </cell>
          <cell r="F21">
            <v>16960000</v>
          </cell>
          <cell r="H21">
            <v>5924999.9999999888</v>
          </cell>
          <cell r="I21">
            <v>31099999.999998543</v>
          </cell>
        </row>
        <row r="22">
          <cell r="C22">
            <v>6031000</v>
          </cell>
          <cell r="D22">
            <v>0</v>
          </cell>
          <cell r="E22">
            <v>17000000</v>
          </cell>
          <cell r="F22">
            <v>16790000</v>
          </cell>
          <cell r="H22">
            <v>5991000.0000000084</v>
          </cell>
          <cell r="I22">
            <v>32700000.000000726</v>
          </cell>
        </row>
        <row r="23">
          <cell r="C23">
            <v>5901000</v>
          </cell>
          <cell r="D23">
            <v>0</v>
          </cell>
          <cell r="E23">
            <v>16000000</v>
          </cell>
          <cell r="F23">
            <v>14390000</v>
          </cell>
          <cell r="H23">
            <v>5860999.9999999935</v>
          </cell>
          <cell r="I23">
            <v>30299999.999999274</v>
          </cell>
        </row>
        <row r="24">
          <cell r="C24">
            <v>6382000</v>
          </cell>
          <cell r="D24">
            <v>0</v>
          </cell>
          <cell r="E24">
            <v>17000000</v>
          </cell>
          <cell r="F24">
            <v>9700000.0000000019</v>
          </cell>
          <cell r="H24">
            <v>6321999.9999999981</v>
          </cell>
          <cell r="I24">
            <v>25200000.000000726</v>
          </cell>
        </row>
        <row r="25">
          <cell r="C25">
            <v>7180000</v>
          </cell>
          <cell r="D25">
            <v>0</v>
          </cell>
          <cell r="E25">
            <v>22000000</v>
          </cell>
          <cell r="F25">
            <v>6990000</v>
          </cell>
          <cell r="H25">
            <v>7100000.0000000019</v>
          </cell>
          <cell r="I25">
            <v>28000000</v>
          </cell>
        </row>
        <row r="26">
          <cell r="C26">
            <v>6684000</v>
          </cell>
          <cell r="D26">
            <v>0</v>
          </cell>
          <cell r="E26">
            <v>21000000</v>
          </cell>
          <cell r="F26">
            <v>7830000</v>
          </cell>
          <cell r="H26">
            <v>6602000.0000000065</v>
          </cell>
          <cell r="I26">
            <v>27700000.000000726</v>
          </cell>
        </row>
        <row r="27">
          <cell r="C27">
            <v>7282000</v>
          </cell>
          <cell r="D27">
            <v>0</v>
          </cell>
          <cell r="E27">
            <v>20000000</v>
          </cell>
          <cell r="F27">
            <v>8850000</v>
          </cell>
          <cell r="H27">
            <v>7199999.9999999916</v>
          </cell>
          <cell r="I27">
            <v>26400000.000001457</v>
          </cell>
        </row>
        <row r="28">
          <cell r="C28">
            <v>8328000</v>
          </cell>
          <cell r="D28">
            <v>0</v>
          </cell>
          <cell r="E28">
            <v>21000000</v>
          </cell>
          <cell r="F28">
            <v>9110000</v>
          </cell>
          <cell r="H28">
            <v>8264999.9999999981</v>
          </cell>
          <cell r="I28">
            <v>28699999.999997091</v>
          </cell>
        </row>
        <row r="29">
          <cell r="C29">
            <v>7555000</v>
          </cell>
          <cell r="D29">
            <v>0</v>
          </cell>
          <cell r="E29">
            <v>20000000</v>
          </cell>
          <cell r="F29">
            <v>8960000</v>
          </cell>
          <cell r="H29">
            <v>7472000.0000000019</v>
          </cell>
          <cell r="I29">
            <v>28300000.000002909</v>
          </cell>
        </row>
        <row r="30">
          <cell r="C30">
            <v>8909000</v>
          </cell>
          <cell r="D30">
            <v>0</v>
          </cell>
          <cell r="E30">
            <v>21000000</v>
          </cell>
          <cell r="F30">
            <v>9060000</v>
          </cell>
          <cell r="H30">
            <v>8857999.9999999981</v>
          </cell>
          <cell r="I30">
            <v>28199999.999997091</v>
          </cell>
        </row>
        <row r="31">
          <cell r="C31">
            <v>9080000</v>
          </cell>
          <cell r="D31">
            <v>0</v>
          </cell>
          <cell r="E31">
            <v>16000000</v>
          </cell>
          <cell r="F31">
            <v>9010000</v>
          </cell>
          <cell r="H31">
            <v>8993000.0000000112</v>
          </cell>
          <cell r="I31">
            <v>24800000.000002909</v>
          </cell>
        </row>
        <row r="32">
          <cell r="C32">
            <v>9297000</v>
          </cell>
          <cell r="D32">
            <v>0</v>
          </cell>
          <cell r="E32">
            <v>18000000</v>
          </cell>
          <cell r="F32">
            <v>10920000</v>
          </cell>
          <cell r="H32">
            <v>9220999.9999999925</v>
          </cell>
          <cell r="I32">
            <v>27399999.999997817</v>
          </cell>
        </row>
        <row r="33">
          <cell r="C33">
            <v>8390000</v>
          </cell>
          <cell r="D33">
            <v>0</v>
          </cell>
          <cell r="E33">
            <v>17000000</v>
          </cell>
          <cell r="F33">
            <v>9910000</v>
          </cell>
          <cell r="H33">
            <v>8290000.0000000056</v>
          </cell>
          <cell r="I33">
            <v>26700000.000000726</v>
          </cell>
        </row>
        <row r="34">
          <cell r="C34">
            <v>9332000</v>
          </cell>
          <cell r="D34">
            <v>0</v>
          </cell>
          <cell r="E34">
            <v>15000000</v>
          </cell>
          <cell r="F34">
            <v>10090000</v>
          </cell>
          <cell r="H34">
            <v>9228000</v>
          </cell>
          <cell r="I34">
            <v>23799999.999999274</v>
          </cell>
        </row>
        <row r="259">
          <cell r="D259">
            <v>39000.000000001477</v>
          </cell>
          <cell r="H259">
            <v>2631794</v>
          </cell>
        </row>
        <row r="260">
          <cell r="D260">
            <v>37999.999999996704</v>
          </cell>
          <cell r="H260">
            <v>1221630472</v>
          </cell>
        </row>
        <row r="261">
          <cell r="D261">
            <v>18000.000000000684</v>
          </cell>
          <cell r="H261">
            <v>2786601</v>
          </cell>
        </row>
        <row r="262">
          <cell r="D262">
            <v>27999.999999991589</v>
          </cell>
          <cell r="H262">
            <v>2648000</v>
          </cell>
        </row>
        <row r="263">
          <cell r="D263">
            <v>27000.000000001022</v>
          </cell>
          <cell r="H263">
            <v>2543317</v>
          </cell>
        </row>
        <row r="264">
          <cell r="D264">
            <v>37000.000000006141</v>
          </cell>
          <cell r="H264">
            <v>2625335</v>
          </cell>
        </row>
        <row r="265">
          <cell r="D265">
            <v>39000.000000001477</v>
          </cell>
          <cell r="H265">
            <v>2719770</v>
          </cell>
        </row>
        <row r="266">
          <cell r="D266">
            <v>37999.999999996704</v>
          </cell>
          <cell r="H266">
            <v>2677350</v>
          </cell>
        </row>
        <row r="267">
          <cell r="D267">
            <v>37999.999999996704</v>
          </cell>
          <cell r="H267">
            <v>2871607</v>
          </cell>
        </row>
        <row r="268">
          <cell r="D268">
            <v>37999.999999996704</v>
          </cell>
          <cell r="H268">
            <v>2586745</v>
          </cell>
        </row>
        <row r="269">
          <cell r="D269">
            <v>37000.000000006141</v>
          </cell>
          <cell r="H269">
            <v>2714955</v>
          </cell>
        </row>
        <row r="270">
          <cell r="D270">
            <v>40000.00000000625</v>
          </cell>
          <cell r="H270">
            <v>2399818</v>
          </cell>
        </row>
        <row r="271">
          <cell r="D271">
            <v>19999.99999999602</v>
          </cell>
          <cell r="H271">
            <v>2493869</v>
          </cell>
        </row>
        <row r="272">
          <cell r="D272">
            <v>72000.000000002736</v>
          </cell>
          <cell r="H272">
            <v>2270070</v>
          </cell>
        </row>
        <row r="273">
          <cell r="D273">
            <v>60999.99999999284</v>
          </cell>
          <cell r="H273">
            <v>2676850</v>
          </cell>
        </row>
        <row r="274">
          <cell r="D274">
            <v>78000.000000002954</v>
          </cell>
          <cell r="H274">
            <v>2140926</v>
          </cell>
        </row>
        <row r="275">
          <cell r="D275">
            <v>57999.999999992724</v>
          </cell>
          <cell r="H275">
            <v>2335543</v>
          </cell>
        </row>
        <row r="276">
          <cell r="D276">
            <v>38000.000000010914</v>
          </cell>
          <cell r="H276">
            <v>2403356</v>
          </cell>
        </row>
        <row r="277">
          <cell r="D277">
            <v>39999.99999999204</v>
          </cell>
          <cell r="H277">
            <v>2505405</v>
          </cell>
        </row>
        <row r="278">
          <cell r="D278">
            <v>40000.00000000625</v>
          </cell>
          <cell r="H278">
            <v>2401492</v>
          </cell>
        </row>
        <row r="279">
          <cell r="D279">
            <v>60000.00000000227</v>
          </cell>
          <cell r="H279">
            <v>2039698</v>
          </cell>
        </row>
        <row r="280">
          <cell r="D280">
            <v>79999.999999998297</v>
          </cell>
          <cell r="H280">
            <v>2383396</v>
          </cell>
        </row>
        <row r="281">
          <cell r="D281">
            <v>81999.999999993626</v>
          </cell>
          <cell r="H281">
            <v>2224800</v>
          </cell>
        </row>
        <row r="282">
          <cell r="D282">
            <v>82000.000000007843</v>
          </cell>
          <cell r="H282">
            <v>2182588</v>
          </cell>
        </row>
        <row r="283">
          <cell r="D283">
            <v>63000.000000002387</v>
          </cell>
          <cell r="H283">
            <v>2207346</v>
          </cell>
        </row>
        <row r="284">
          <cell r="D284">
            <v>82999.999999998414</v>
          </cell>
          <cell r="H284">
            <v>2183889</v>
          </cell>
        </row>
        <row r="285">
          <cell r="D285">
            <v>51000.000000001935</v>
          </cell>
          <cell r="H285">
            <v>2203326</v>
          </cell>
        </row>
        <row r="286">
          <cell r="D286">
            <v>86999.999999989086</v>
          </cell>
          <cell r="H286">
            <v>1778174</v>
          </cell>
        </row>
        <row r="287">
          <cell r="D287">
            <v>76000.000000007611</v>
          </cell>
          <cell r="H287">
            <v>1912692</v>
          </cell>
        </row>
        <row r="288">
          <cell r="D288">
            <v>99999.99999999431</v>
          </cell>
          <cell r="H288">
            <v>1750320</v>
          </cell>
        </row>
        <row r="289">
          <cell r="D289">
            <v>103999.9999999992</v>
          </cell>
          <cell r="H289">
            <v>1621461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Sep Prod"/>
      <sheetName val="Sheet1"/>
      <sheetName val="Sheet2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4">
          <cell r="C4">
            <v>8855000</v>
          </cell>
          <cell r="D4">
            <v>0</v>
          </cell>
          <cell r="E4">
            <v>18000000</v>
          </cell>
          <cell r="F4">
            <v>9580000</v>
          </cell>
          <cell r="H4">
            <v>8748000</v>
          </cell>
          <cell r="I4">
            <v>26799999.999999274</v>
          </cell>
        </row>
        <row r="5">
          <cell r="C5">
            <v>8166000</v>
          </cell>
          <cell r="D5">
            <v>0</v>
          </cell>
          <cell r="E5">
            <v>18000000</v>
          </cell>
          <cell r="F5">
            <v>8630000</v>
          </cell>
          <cell r="H5">
            <v>8062000.0000000009</v>
          </cell>
          <cell r="I5">
            <v>25900000.000001457</v>
          </cell>
        </row>
        <row r="6">
          <cell r="C6">
            <v>5705000</v>
          </cell>
          <cell r="D6">
            <v>0</v>
          </cell>
          <cell r="E6">
            <v>18000000</v>
          </cell>
          <cell r="F6">
            <v>8520000</v>
          </cell>
          <cell r="H6">
            <v>5623999.9999999972</v>
          </cell>
          <cell r="I6">
            <v>26099999.999998543</v>
          </cell>
        </row>
        <row r="7">
          <cell r="C7">
            <v>6307000</v>
          </cell>
          <cell r="D7">
            <v>0</v>
          </cell>
          <cell r="E7">
            <v>18000000</v>
          </cell>
          <cell r="F7">
            <v>9950000</v>
          </cell>
          <cell r="H7">
            <v>6243999.9999999972</v>
          </cell>
          <cell r="I7">
            <v>26700000.000000726</v>
          </cell>
        </row>
        <row r="8">
          <cell r="C8">
            <v>7260000</v>
          </cell>
          <cell r="D8">
            <v>0</v>
          </cell>
          <cell r="E8">
            <v>17000000</v>
          </cell>
          <cell r="F8">
            <v>10170000</v>
          </cell>
          <cell r="H8">
            <v>7198000.0000000028</v>
          </cell>
          <cell r="I8">
            <v>26400000.000001457</v>
          </cell>
        </row>
        <row r="9">
          <cell r="C9">
            <v>7894000</v>
          </cell>
          <cell r="D9">
            <v>0</v>
          </cell>
          <cell r="E9">
            <v>17000000</v>
          </cell>
          <cell r="F9">
            <v>9080000</v>
          </cell>
          <cell r="H9">
            <v>7811000.0000000019</v>
          </cell>
          <cell r="I9">
            <v>25799999.999999274</v>
          </cell>
        </row>
        <row r="10">
          <cell r="C10">
            <v>6374000</v>
          </cell>
          <cell r="D10">
            <v>0</v>
          </cell>
          <cell r="E10">
            <v>14000000</v>
          </cell>
          <cell r="F10">
            <v>6750000</v>
          </cell>
          <cell r="H10">
            <v>6292999.9999999972</v>
          </cell>
          <cell r="I10">
            <v>19500000</v>
          </cell>
        </row>
        <row r="11">
          <cell r="C11">
            <v>7182000</v>
          </cell>
          <cell r="D11">
            <v>0</v>
          </cell>
          <cell r="E11">
            <v>18000000</v>
          </cell>
          <cell r="F11">
            <v>7860000</v>
          </cell>
          <cell r="H11">
            <v>7124000.0000000075</v>
          </cell>
          <cell r="I11">
            <v>24700000.000000726</v>
          </cell>
        </row>
        <row r="12">
          <cell r="C12">
            <v>6753000</v>
          </cell>
          <cell r="D12">
            <v>0</v>
          </cell>
          <cell r="E12">
            <v>15000000</v>
          </cell>
          <cell r="F12">
            <v>7700000</v>
          </cell>
          <cell r="H12">
            <v>6671999.9999999972</v>
          </cell>
          <cell r="I12">
            <v>23100000.000002183</v>
          </cell>
        </row>
        <row r="13">
          <cell r="C13">
            <v>7908000</v>
          </cell>
          <cell r="D13">
            <v>0</v>
          </cell>
          <cell r="E13">
            <v>16000000</v>
          </cell>
          <cell r="F13">
            <v>9030000</v>
          </cell>
          <cell r="H13">
            <v>7828999.9999999925</v>
          </cell>
          <cell r="I13">
            <v>20599999.999998543</v>
          </cell>
        </row>
        <row r="14">
          <cell r="C14">
            <v>7611000</v>
          </cell>
          <cell r="D14">
            <v>0</v>
          </cell>
          <cell r="E14">
            <v>13000000</v>
          </cell>
          <cell r="F14">
            <v>9080000</v>
          </cell>
          <cell r="H14">
            <v>7529999.9999999972</v>
          </cell>
          <cell r="I14">
            <v>22400000.000001457</v>
          </cell>
        </row>
        <row r="15">
          <cell r="C15">
            <v>6368000</v>
          </cell>
          <cell r="D15">
            <v>0</v>
          </cell>
          <cell r="E15">
            <v>10000000</v>
          </cell>
          <cell r="F15">
            <v>7550000</v>
          </cell>
          <cell r="H15">
            <v>6287000.0000000112</v>
          </cell>
          <cell r="I15">
            <v>16000000</v>
          </cell>
        </row>
        <row r="16">
          <cell r="C16">
            <v>5193000</v>
          </cell>
          <cell r="D16">
            <v>0</v>
          </cell>
          <cell r="E16">
            <v>10000000</v>
          </cell>
          <cell r="F16">
            <v>320000</v>
          </cell>
          <cell r="H16">
            <v>5132999.9999999981</v>
          </cell>
          <cell r="I16">
            <v>9399999.999997817</v>
          </cell>
        </row>
        <row r="17">
          <cell r="C17">
            <v>7386000</v>
          </cell>
          <cell r="D17">
            <v>0</v>
          </cell>
          <cell r="E17">
            <v>19000000</v>
          </cell>
          <cell r="F17">
            <v>0</v>
          </cell>
          <cell r="H17">
            <v>7345999.9999999935</v>
          </cell>
          <cell r="I17">
            <v>17400000.000001457</v>
          </cell>
        </row>
        <row r="18">
          <cell r="C18">
            <v>8026000</v>
          </cell>
          <cell r="D18">
            <v>0</v>
          </cell>
          <cell r="E18">
            <v>18000000</v>
          </cell>
          <cell r="F18">
            <v>0</v>
          </cell>
          <cell r="H18">
            <v>7962999.9999999972</v>
          </cell>
          <cell r="I18">
            <v>16599999.999998545</v>
          </cell>
        </row>
        <row r="19">
          <cell r="C19">
            <v>8229000</v>
          </cell>
          <cell r="D19">
            <v>1000</v>
          </cell>
          <cell r="E19">
            <v>17000000</v>
          </cell>
          <cell r="F19">
            <v>0</v>
          </cell>
          <cell r="H19">
            <v>8148000.0000000065</v>
          </cell>
          <cell r="I19">
            <v>15400000.000001455</v>
          </cell>
        </row>
        <row r="20">
          <cell r="C20">
            <v>7891000</v>
          </cell>
          <cell r="D20">
            <v>0</v>
          </cell>
          <cell r="E20">
            <v>14000000</v>
          </cell>
          <cell r="F20">
            <v>0</v>
          </cell>
          <cell r="H20">
            <v>7809000.0000000065</v>
          </cell>
          <cell r="I20">
            <v>13500000</v>
          </cell>
        </row>
        <row r="21">
          <cell r="C21">
            <v>9508000</v>
          </cell>
          <cell r="D21">
            <v>0</v>
          </cell>
          <cell r="E21">
            <v>15000000</v>
          </cell>
          <cell r="F21">
            <v>5600000.0000000009</v>
          </cell>
          <cell r="H21">
            <v>9428999.9999999925</v>
          </cell>
          <cell r="I21">
            <v>13799999.999999272</v>
          </cell>
        </row>
        <row r="22">
          <cell r="C22">
            <v>9999000</v>
          </cell>
          <cell r="D22">
            <v>0</v>
          </cell>
          <cell r="E22">
            <v>13000000</v>
          </cell>
          <cell r="F22">
            <v>5030000</v>
          </cell>
          <cell r="H22">
            <v>9896000.0000000056</v>
          </cell>
          <cell r="I22">
            <v>17000000</v>
          </cell>
        </row>
        <row r="23">
          <cell r="C23">
            <v>9851000</v>
          </cell>
          <cell r="D23">
            <v>0</v>
          </cell>
          <cell r="E23">
            <v>14000000</v>
          </cell>
          <cell r="F23">
            <v>5010000</v>
          </cell>
          <cell r="H23">
            <v>9747000</v>
          </cell>
          <cell r="I23">
            <v>18000000</v>
          </cell>
        </row>
        <row r="24">
          <cell r="C24">
            <v>9889000</v>
          </cell>
          <cell r="D24">
            <v>0</v>
          </cell>
          <cell r="E24">
            <v>9000000</v>
          </cell>
          <cell r="F24">
            <v>5700000</v>
          </cell>
          <cell r="H24">
            <v>9827000.0000000019</v>
          </cell>
          <cell r="I24">
            <v>14200000.000000728</v>
          </cell>
        </row>
        <row r="25">
          <cell r="C25">
            <v>9954000</v>
          </cell>
          <cell r="D25">
            <v>0</v>
          </cell>
          <cell r="E25">
            <v>8000000</v>
          </cell>
          <cell r="F25">
            <v>9000000</v>
          </cell>
          <cell r="H25">
            <v>9850999.9999999907</v>
          </cell>
          <cell r="I25">
            <v>16599999.999998545</v>
          </cell>
        </row>
        <row r="26">
          <cell r="C26">
            <v>10329000</v>
          </cell>
          <cell r="D26">
            <v>0</v>
          </cell>
          <cell r="E26">
            <v>8000000</v>
          </cell>
          <cell r="F26">
            <v>8370000.0000000009</v>
          </cell>
          <cell r="H26">
            <v>10225000</v>
          </cell>
          <cell r="I26">
            <v>14800000.000002909</v>
          </cell>
        </row>
        <row r="27">
          <cell r="C27">
            <v>10337000</v>
          </cell>
          <cell r="D27">
            <v>0</v>
          </cell>
          <cell r="E27">
            <v>9000000</v>
          </cell>
          <cell r="F27">
            <v>5950000</v>
          </cell>
          <cell r="H27">
            <v>10207000.000000004</v>
          </cell>
          <cell r="I27">
            <v>14699999.999997091</v>
          </cell>
        </row>
        <row r="28">
          <cell r="C28">
            <v>10330000</v>
          </cell>
          <cell r="D28">
            <v>0</v>
          </cell>
          <cell r="E28">
            <v>10000000</v>
          </cell>
          <cell r="F28">
            <v>4990000</v>
          </cell>
          <cell r="H28">
            <v>10241000.000000002</v>
          </cell>
          <cell r="I28">
            <v>13400000.000001455</v>
          </cell>
        </row>
        <row r="29">
          <cell r="C29">
            <v>7825000</v>
          </cell>
          <cell r="D29">
            <v>0</v>
          </cell>
          <cell r="E29">
            <v>7000000</v>
          </cell>
          <cell r="F29">
            <v>2350000</v>
          </cell>
          <cell r="H29">
            <v>7760999.9999999925</v>
          </cell>
          <cell r="I29">
            <v>9299999.9999992717</v>
          </cell>
        </row>
        <row r="30">
          <cell r="C30">
            <v>8925000</v>
          </cell>
          <cell r="D30">
            <v>0</v>
          </cell>
          <cell r="E30">
            <v>5000000</v>
          </cell>
          <cell r="F30">
            <v>2190000</v>
          </cell>
          <cell r="H30">
            <v>8861000.0000000075</v>
          </cell>
          <cell r="I30">
            <v>6500000</v>
          </cell>
        </row>
        <row r="31">
          <cell r="C31">
            <v>11485000</v>
          </cell>
          <cell r="D31">
            <v>0</v>
          </cell>
          <cell r="E31">
            <v>8000000</v>
          </cell>
          <cell r="F31">
            <v>2560000</v>
          </cell>
          <cell r="H31">
            <v>11399999.999999993</v>
          </cell>
          <cell r="I31">
            <v>8900000.0000014547</v>
          </cell>
        </row>
        <row r="32">
          <cell r="C32">
            <v>10815000</v>
          </cell>
          <cell r="D32">
            <v>0</v>
          </cell>
          <cell r="E32">
            <v>10000000</v>
          </cell>
          <cell r="F32">
            <v>0</v>
          </cell>
          <cell r="H32">
            <v>10684000</v>
          </cell>
          <cell r="I32">
            <v>10399999.999997817</v>
          </cell>
        </row>
        <row r="33">
          <cell r="C33">
            <v>11023000</v>
          </cell>
          <cell r="D33">
            <v>0</v>
          </cell>
          <cell r="E33">
            <v>9000000</v>
          </cell>
          <cell r="F33">
            <v>0</v>
          </cell>
          <cell r="H33">
            <v>10896000.000000006</v>
          </cell>
          <cell r="I33">
            <v>8700000.0000007283</v>
          </cell>
        </row>
        <row r="252">
          <cell r="D252">
            <v>106999.99999999932</v>
          </cell>
          <cell r="H252">
            <v>1812236</v>
          </cell>
        </row>
        <row r="253">
          <cell r="D253">
            <v>103999.9999999992</v>
          </cell>
          <cell r="H253">
            <v>1680639</v>
          </cell>
        </row>
        <row r="254">
          <cell r="D254">
            <v>81000.00000000307</v>
          </cell>
          <cell r="H254">
            <v>1747748</v>
          </cell>
        </row>
        <row r="255">
          <cell r="D255">
            <v>63000.000000002387</v>
          </cell>
          <cell r="H255">
            <v>1766985</v>
          </cell>
        </row>
        <row r="256">
          <cell r="D256">
            <v>61999.999999997613</v>
          </cell>
          <cell r="H256">
            <v>1821527</v>
          </cell>
        </row>
        <row r="257">
          <cell r="D257">
            <v>82999.999999998414</v>
          </cell>
          <cell r="H257">
            <v>1747173</v>
          </cell>
        </row>
        <row r="258">
          <cell r="D258">
            <v>81000.00000000307</v>
          </cell>
          <cell r="H258">
            <v>1355213</v>
          </cell>
        </row>
        <row r="259">
          <cell r="D259">
            <v>57999.999999992724</v>
          </cell>
          <cell r="H259">
            <v>1659366</v>
          </cell>
        </row>
        <row r="260">
          <cell r="D260">
            <v>81000.00000000307</v>
          </cell>
          <cell r="H260">
            <v>13498915</v>
          </cell>
        </row>
        <row r="261">
          <cell r="D261">
            <v>79000.000000007727</v>
          </cell>
          <cell r="H261">
            <v>1604759</v>
          </cell>
        </row>
        <row r="262">
          <cell r="D262">
            <v>81000.00000000307</v>
          </cell>
          <cell r="H262">
            <v>1759141</v>
          </cell>
        </row>
        <row r="263">
          <cell r="D263">
            <v>80999.999999988853</v>
          </cell>
          <cell r="H263">
            <v>1518172</v>
          </cell>
        </row>
        <row r="264">
          <cell r="D264">
            <v>60000.00000000227</v>
          </cell>
          <cell r="H264">
            <v>783778</v>
          </cell>
        </row>
        <row r="265">
          <cell r="D265">
            <v>40000.00000000625</v>
          </cell>
          <cell r="H265">
            <v>984725</v>
          </cell>
        </row>
        <row r="266">
          <cell r="D266">
            <v>63000.000000002387</v>
          </cell>
          <cell r="H266">
            <v>1386041</v>
          </cell>
        </row>
        <row r="267">
          <cell r="D267">
            <v>81999.999999993626</v>
          </cell>
          <cell r="H267">
            <v>1249247</v>
          </cell>
        </row>
        <row r="268">
          <cell r="D268">
            <v>81999.999999993626</v>
          </cell>
          <cell r="H268">
            <v>1141424</v>
          </cell>
        </row>
        <row r="269">
          <cell r="D269">
            <v>79000.000000007727</v>
          </cell>
          <cell r="H269">
            <v>1105947</v>
          </cell>
        </row>
        <row r="270">
          <cell r="D270">
            <v>102999.99999999443</v>
          </cell>
          <cell r="H270">
            <v>1313207</v>
          </cell>
        </row>
        <row r="271">
          <cell r="D271">
            <v>103999.9999999992</v>
          </cell>
          <cell r="H271">
            <v>1476942</v>
          </cell>
        </row>
        <row r="272">
          <cell r="D272">
            <v>61999.999999997613</v>
          </cell>
          <cell r="H272">
            <v>1105618</v>
          </cell>
        </row>
        <row r="273">
          <cell r="D273">
            <v>103000.00000000864</v>
          </cell>
          <cell r="H273">
            <v>1305279</v>
          </cell>
        </row>
        <row r="274">
          <cell r="D274">
            <v>103999.9999999992</v>
          </cell>
          <cell r="H274">
            <v>1297100</v>
          </cell>
        </row>
        <row r="275">
          <cell r="D275">
            <v>129999.99999999546</v>
          </cell>
          <cell r="H275">
            <v>1516556</v>
          </cell>
        </row>
        <row r="276">
          <cell r="D276">
            <v>88999.999999998632</v>
          </cell>
          <cell r="H276">
            <v>1294234</v>
          </cell>
        </row>
        <row r="277">
          <cell r="D277">
            <v>64000.00000000716</v>
          </cell>
          <cell r="H277">
            <v>881972</v>
          </cell>
        </row>
        <row r="278">
          <cell r="D278">
            <v>63999.99999999295</v>
          </cell>
          <cell r="H278">
            <v>782528</v>
          </cell>
        </row>
        <row r="279">
          <cell r="D279">
            <v>85000.00000000796</v>
          </cell>
          <cell r="H279">
            <v>823870</v>
          </cell>
        </row>
        <row r="280">
          <cell r="D280">
            <v>131000.00000000023</v>
          </cell>
          <cell r="H280">
            <v>824901</v>
          </cell>
        </row>
        <row r="281">
          <cell r="D281">
            <v>126999.99999999534</v>
          </cell>
          <cell r="H281">
            <v>696958</v>
          </cell>
        </row>
      </sheetData>
      <sheetData sheetId="31"/>
      <sheetData sheetId="32"/>
      <sheetData sheetId="33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Oct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4">
          <cell r="C4">
            <v>10697000</v>
          </cell>
          <cell r="D4">
            <v>0</v>
          </cell>
          <cell r="E4">
            <v>9000000</v>
          </cell>
          <cell r="F4">
            <v>0</v>
          </cell>
          <cell r="H4">
            <v>10588999.999999996</v>
          </cell>
          <cell r="I4">
            <v>8100000.000002183</v>
          </cell>
        </row>
        <row r="5">
          <cell r="C5">
            <v>10239000</v>
          </cell>
          <cell r="D5">
            <v>0</v>
          </cell>
          <cell r="E5">
            <v>8000000</v>
          </cell>
          <cell r="F5">
            <v>0</v>
          </cell>
          <cell r="H5">
            <v>10154999.999999996</v>
          </cell>
          <cell r="I5">
            <v>7199999.9999970896</v>
          </cell>
        </row>
        <row r="6">
          <cell r="C6">
            <v>13065000</v>
          </cell>
          <cell r="D6">
            <v>0</v>
          </cell>
          <cell r="E6">
            <v>8000000</v>
          </cell>
          <cell r="F6">
            <v>0</v>
          </cell>
          <cell r="H6">
            <v>12937000</v>
          </cell>
          <cell r="I6">
            <v>7400000.0000014547</v>
          </cell>
        </row>
        <row r="7">
          <cell r="C7">
            <v>12022000</v>
          </cell>
          <cell r="D7">
            <v>0</v>
          </cell>
          <cell r="E7">
            <v>7000000</v>
          </cell>
          <cell r="F7">
            <v>0</v>
          </cell>
          <cell r="H7">
            <v>11933000.000000002</v>
          </cell>
          <cell r="I7">
            <v>6400000.0000014547</v>
          </cell>
        </row>
        <row r="8">
          <cell r="C8">
            <v>9998000</v>
          </cell>
          <cell r="D8">
            <v>0</v>
          </cell>
          <cell r="E8">
            <v>4000000</v>
          </cell>
          <cell r="F8">
            <v>0</v>
          </cell>
          <cell r="H8">
            <v>9912000.0000000019</v>
          </cell>
          <cell r="I8">
            <v>4199999.9999970896</v>
          </cell>
        </row>
        <row r="9">
          <cell r="C9">
            <v>12642000</v>
          </cell>
          <cell r="D9">
            <v>0</v>
          </cell>
          <cell r="E9">
            <v>4000000</v>
          </cell>
          <cell r="F9">
            <v>0</v>
          </cell>
          <cell r="H9">
            <v>12511000</v>
          </cell>
          <cell r="I9">
            <v>3600000.000002183</v>
          </cell>
        </row>
        <row r="10">
          <cell r="C10">
            <v>12530000</v>
          </cell>
          <cell r="D10">
            <v>0</v>
          </cell>
          <cell r="E10">
            <v>2000000</v>
          </cell>
          <cell r="F10">
            <v>0</v>
          </cell>
          <cell r="H10">
            <v>12399000</v>
          </cell>
          <cell r="I10">
            <v>700000.0000007276</v>
          </cell>
        </row>
        <row r="11">
          <cell r="C11">
            <v>13762000</v>
          </cell>
          <cell r="D11">
            <v>0</v>
          </cell>
          <cell r="E11">
            <v>3000000</v>
          </cell>
          <cell r="F11">
            <v>0</v>
          </cell>
          <cell r="H11">
            <v>13656000.000000006</v>
          </cell>
          <cell r="I11">
            <v>0</v>
          </cell>
        </row>
        <row r="12">
          <cell r="C12">
            <v>15865000</v>
          </cell>
          <cell r="D12">
            <v>0</v>
          </cell>
          <cell r="E12">
            <v>2000000</v>
          </cell>
          <cell r="F12">
            <v>0</v>
          </cell>
          <cell r="H12">
            <v>15762999.999999996</v>
          </cell>
          <cell r="I12">
            <v>0</v>
          </cell>
        </row>
        <row r="13">
          <cell r="C13">
            <v>14165000</v>
          </cell>
          <cell r="D13">
            <v>-1000</v>
          </cell>
          <cell r="E13">
            <v>3000000</v>
          </cell>
          <cell r="F13">
            <v>0</v>
          </cell>
          <cell r="H13">
            <v>14035999.999999994</v>
          </cell>
          <cell r="I13">
            <v>1840000</v>
          </cell>
        </row>
        <row r="14">
          <cell r="C14">
            <v>8322000</v>
          </cell>
          <cell r="D14">
            <v>0</v>
          </cell>
          <cell r="E14">
            <v>6000000</v>
          </cell>
          <cell r="F14">
            <v>0</v>
          </cell>
          <cell r="H14">
            <v>8203000</v>
          </cell>
          <cell r="I14">
            <v>5580000</v>
          </cell>
        </row>
        <row r="15">
          <cell r="C15">
            <v>8090000</v>
          </cell>
          <cell r="D15">
            <v>0</v>
          </cell>
          <cell r="E15">
            <v>6000000</v>
          </cell>
          <cell r="F15">
            <v>0</v>
          </cell>
          <cell r="H15">
            <v>8014000.0000000065</v>
          </cell>
          <cell r="I15">
            <v>5580000</v>
          </cell>
        </row>
        <row r="16">
          <cell r="C16">
            <v>8141000</v>
          </cell>
          <cell r="D16">
            <v>0</v>
          </cell>
          <cell r="E16">
            <v>6000000</v>
          </cell>
          <cell r="F16">
            <v>0</v>
          </cell>
          <cell r="H16">
            <v>8077999.9999999972</v>
          </cell>
          <cell r="I16">
            <v>5580000</v>
          </cell>
        </row>
        <row r="17">
          <cell r="C17">
            <v>9050000</v>
          </cell>
          <cell r="D17">
            <v>0</v>
          </cell>
          <cell r="E17">
            <v>6000000</v>
          </cell>
          <cell r="F17">
            <v>0</v>
          </cell>
          <cell r="H17">
            <v>8964000.0000000019</v>
          </cell>
          <cell r="I17">
            <v>5580000</v>
          </cell>
        </row>
        <row r="18">
          <cell r="C18">
            <v>10528000</v>
          </cell>
          <cell r="D18">
            <v>0</v>
          </cell>
          <cell r="E18">
            <v>6000000</v>
          </cell>
          <cell r="F18">
            <v>0</v>
          </cell>
          <cell r="H18">
            <v>10440000.000000006</v>
          </cell>
          <cell r="I18">
            <v>5400000.0000014547</v>
          </cell>
        </row>
        <row r="19">
          <cell r="C19">
            <v>10835000</v>
          </cell>
          <cell r="D19">
            <v>0</v>
          </cell>
          <cell r="E19">
            <v>3000000</v>
          </cell>
          <cell r="F19">
            <v>1890150000000</v>
          </cell>
          <cell r="H19">
            <v>10725999.999999991</v>
          </cell>
          <cell r="I19">
            <v>5500000</v>
          </cell>
        </row>
        <row r="20">
          <cell r="C20">
            <v>13742000</v>
          </cell>
          <cell r="D20">
            <v>0</v>
          </cell>
          <cell r="E20">
            <v>0</v>
          </cell>
          <cell r="F20">
            <v>-1890000000000</v>
          </cell>
          <cell r="H20">
            <v>13619000.000000009</v>
          </cell>
          <cell r="I20">
            <v>3000000</v>
          </cell>
        </row>
        <row r="21">
          <cell r="C21">
            <v>14261000</v>
          </cell>
          <cell r="D21">
            <v>0</v>
          </cell>
          <cell r="E21">
            <v>0</v>
          </cell>
          <cell r="F21">
            <v>0</v>
          </cell>
          <cell r="H21">
            <v>14085999.999999989</v>
          </cell>
          <cell r="I21">
            <v>2799999.9999992726</v>
          </cell>
        </row>
        <row r="22">
          <cell r="C22">
            <v>14039000</v>
          </cell>
          <cell r="D22">
            <v>0</v>
          </cell>
          <cell r="E22">
            <v>0</v>
          </cell>
          <cell r="F22">
            <v>0</v>
          </cell>
          <cell r="H22">
            <v>13899000</v>
          </cell>
          <cell r="I22">
            <v>1399999.9999978172</v>
          </cell>
        </row>
        <row r="23">
          <cell r="C23">
            <v>14286000</v>
          </cell>
          <cell r="D23">
            <v>0</v>
          </cell>
          <cell r="E23">
            <v>0</v>
          </cell>
          <cell r="F23">
            <v>0</v>
          </cell>
          <cell r="H23">
            <v>14120000.000000004</v>
          </cell>
          <cell r="I23">
            <v>0</v>
          </cell>
        </row>
        <row r="24">
          <cell r="C24">
            <v>14562000</v>
          </cell>
          <cell r="D24">
            <v>0</v>
          </cell>
          <cell r="E24">
            <v>0</v>
          </cell>
          <cell r="F24">
            <v>173000000</v>
          </cell>
          <cell r="H24">
            <v>14421000.000000009</v>
          </cell>
          <cell r="I24">
            <v>0</v>
          </cell>
        </row>
        <row r="25">
          <cell r="C25">
            <v>16455000</v>
          </cell>
          <cell r="D25">
            <v>0</v>
          </cell>
          <cell r="E25">
            <v>0</v>
          </cell>
          <cell r="F25">
            <v>826000000</v>
          </cell>
          <cell r="H25">
            <v>16291999.999999989</v>
          </cell>
          <cell r="I25">
            <v>0</v>
          </cell>
        </row>
        <row r="26">
          <cell r="C26">
            <v>15600000</v>
          </cell>
          <cell r="D26">
            <v>0</v>
          </cell>
          <cell r="E26">
            <v>0</v>
          </cell>
          <cell r="F26">
            <v>0</v>
          </cell>
          <cell r="H26">
            <v>15459000.000000009</v>
          </cell>
          <cell r="I26">
            <v>0</v>
          </cell>
        </row>
        <row r="27">
          <cell r="C27">
            <v>12178000</v>
          </cell>
          <cell r="D27">
            <v>0</v>
          </cell>
          <cell r="E27">
            <v>0</v>
          </cell>
          <cell r="F27">
            <v>2321000000</v>
          </cell>
          <cell r="H27">
            <v>12038999.999999989</v>
          </cell>
          <cell r="I27">
            <v>800000.00000291038</v>
          </cell>
        </row>
        <row r="28">
          <cell r="C28">
            <v>11113000</v>
          </cell>
          <cell r="D28">
            <v>0</v>
          </cell>
          <cell r="E28">
            <v>0</v>
          </cell>
          <cell r="F28">
            <v>845000000</v>
          </cell>
          <cell r="H28">
            <v>10975000.000000009</v>
          </cell>
          <cell r="I28">
            <v>0</v>
          </cell>
        </row>
        <row r="29">
          <cell r="C29">
            <v>11939000</v>
          </cell>
          <cell r="D29">
            <v>0</v>
          </cell>
          <cell r="E29">
            <v>0</v>
          </cell>
          <cell r="F29">
            <v>1185000000</v>
          </cell>
          <cell r="H29">
            <v>11799000</v>
          </cell>
          <cell r="I29">
            <v>0</v>
          </cell>
        </row>
        <row r="30">
          <cell r="C30">
            <v>12965000</v>
          </cell>
          <cell r="D30">
            <v>0</v>
          </cell>
          <cell r="E30">
            <v>0</v>
          </cell>
          <cell r="F30">
            <v>1147000000</v>
          </cell>
          <cell r="H30">
            <v>12793999.999999993</v>
          </cell>
          <cell r="I30">
            <v>0</v>
          </cell>
        </row>
        <row r="31">
          <cell r="C31">
            <v>14226000</v>
          </cell>
          <cell r="D31">
            <v>0</v>
          </cell>
          <cell r="E31">
            <v>0</v>
          </cell>
          <cell r="F31">
            <v>1147000000</v>
          </cell>
          <cell r="H31">
            <v>14054000.000000004</v>
          </cell>
          <cell r="I31">
            <v>0</v>
          </cell>
        </row>
        <row r="32">
          <cell r="C32">
            <v>13546000</v>
          </cell>
          <cell r="D32">
            <v>0</v>
          </cell>
          <cell r="E32">
            <v>0</v>
          </cell>
          <cell r="F32">
            <v>600000000</v>
          </cell>
          <cell r="H32">
            <v>13404000.000000004</v>
          </cell>
          <cell r="I32">
            <v>0</v>
          </cell>
        </row>
        <row r="33">
          <cell r="C33">
            <v>12997000</v>
          </cell>
          <cell r="D33">
            <v>0</v>
          </cell>
          <cell r="E33">
            <v>0</v>
          </cell>
          <cell r="F33">
            <v>0</v>
          </cell>
          <cell r="H33">
            <v>12825000.000000004</v>
          </cell>
          <cell r="I33">
            <v>0</v>
          </cell>
        </row>
        <row r="34">
          <cell r="C34">
            <v>13873000</v>
          </cell>
          <cell r="D34">
            <v>0</v>
          </cell>
          <cell r="E34">
            <v>0</v>
          </cell>
          <cell r="F34">
            <v>0</v>
          </cell>
          <cell r="H34">
            <v>13730999.999999989</v>
          </cell>
          <cell r="I34">
            <v>0</v>
          </cell>
        </row>
        <row r="259">
          <cell r="D259">
            <v>108000.00000000409</v>
          </cell>
          <cell r="H259">
            <v>762806</v>
          </cell>
        </row>
        <row r="260">
          <cell r="D260">
            <v>84000.000000003187</v>
          </cell>
          <cell r="H260">
            <v>750755</v>
          </cell>
        </row>
        <row r="261">
          <cell r="D261">
            <v>128000.00000000012</v>
          </cell>
          <cell r="H261">
            <v>733970</v>
          </cell>
        </row>
        <row r="262">
          <cell r="D262">
            <v>88999.999999998632</v>
          </cell>
          <cell r="H262">
            <v>785518</v>
          </cell>
        </row>
        <row r="263">
          <cell r="D263">
            <v>85999.999999998516</v>
          </cell>
          <cell r="H263">
            <v>439935</v>
          </cell>
        </row>
        <row r="264">
          <cell r="D264">
            <v>131000.00000000023</v>
          </cell>
          <cell r="H264">
            <v>235366</v>
          </cell>
        </row>
        <row r="265">
          <cell r="D265">
            <v>131000.00000000023</v>
          </cell>
          <cell r="H265">
            <v>137621</v>
          </cell>
        </row>
        <row r="266">
          <cell r="D266">
            <v>105999.99999999454</v>
          </cell>
          <cell r="H266">
            <v>270774</v>
          </cell>
        </row>
        <row r="267">
          <cell r="D267">
            <v>102000.00000000387</v>
          </cell>
          <cell r="H267">
            <v>163464</v>
          </cell>
        </row>
        <row r="268">
          <cell r="D268">
            <v>129000.00000000489</v>
          </cell>
          <cell r="H268">
            <v>224090</v>
          </cell>
        </row>
        <row r="269">
          <cell r="D269">
            <v>118999.99999999977</v>
          </cell>
          <cell r="H269">
            <v>542170</v>
          </cell>
        </row>
        <row r="270">
          <cell r="D270">
            <v>75999.999999993408</v>
          </cell>
          <cell r="H270">
            <v>637395</v>
          </cell>
        </row>
        <row r="271">
          <cell r="D271">
            <v>63000.000000002387</v>
          </cell>
          <cell r="H271">
            <v>531899</v>
          </cell>
        </row>
        <row r="272">
          <cell r="D272">
            <v>85999.999999998516</v>
          </cell>
          <cell r="H272">
            <v>820609</v>
          </cell>
        </row>
        <row r="273">
          <cell r="D273">
            <v>87999.999999993859</v>
          </cell>
          <cell r="H273">
            <v>650109</v>
          </cell>
        </row>
        <row r="274">
          <cell r="D274">
            <v>109000.00000000886</v>
          </cell>
          <cell r="H274">
            <v>515607</v>
          </cell>
        </row>
        <row r="275">
          <cell r="D275">
            <v>122999.99999999045</v>
          </cell>
          <cell r="H275">
            <v>153199</v>
          </cell>
        </row>
        <row r="276">
          <cell r="D276">
            <v>175000.00000001138</v>
          </cell>
          <cell r="H276">
            <v>0</v>
          </cell>
        </row>
        <row r="277">
          <cell r="D277">
            <v>140000.00000000058</v>
          </cell>
          <cell r="H277">
            <v>79694</v>
          </cell>
        </row>
        <row r="278">
          <cell r="D278">
            <v>165999.99999999683</v>
          </cell>
          <cell r="H278">
            <v>0</v>
          </cell>
        </row>
        <row r="279">
          <cell r="D279">
            <v>140999.99999999112</v>
          </cell>
          <cell r="H279">
            <v>0</v>
          </cell>
        </row>
        <row r="280">
          <cell r="D280">
            <v>163000.00000001091</v>
          </cell>
          <cell r="H280">
            <v>0</v>
          </cell>
        </row>
        <row r="281">
          <cell r="D281">
            <v>140999.99999999112</v>
          </cell>
          <cell r="H281">
            <v>0</v>
          </cell>
        </row>
        <row r="282">
          <cell r="D282">
            <v>139000.00000001001</v>
          </cell>
          <cell r="H282">
            <v>-42360433</v>
          </cell>
        </row>
        <row r="283">
          <cell r="D283">
            <v>137999.99999999101</v>
          </cell>
          <cell r="H283">
            <v>0</v>
          </cell>
        </row>
        <row r="284">
          <cell r="D284">
            <v>140000.00000000058</v>
          </cell>
          <cell r="H284">
            <v>0</v>
          </cell>
        </row>
        <row r="285">
          <cell r="D285">
            <v>171000.00000000649</v>
          </cell>
          <cell r="H285">
            <v>0</v>
          </cell>
        </row>
        <row r="286">
          <cell r="D286">
            <v>171999.99999999703</v>
          </cell>
          <cell r="H286">
            <v>0</v>
          </cell>
        </row>
        <row r="287">
          <cell r="D287">
            <v>141999.9999999959</v>
          </cell>
          <cell r="H287">
            <v>0</v>
          </cell>
        </row>
        <row r="288">
          <cell r="D288">
            <v>171999.99999999703</v>
          </cell>
          <cell r="H288">
            <v>168482</v>
          </cell>
        </row>
        <row r="289">
          <cell r="D289">
            <v>142000.00000001013</v>
          </cell>
          <cell r="H289">
            <v>155520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1"/>
  <sheetViews>
    <sheetView tabSelected="1" workbookViewId="0">
      <selection activeCell="G16" sqref="G16"/>
    </sheetView>
  </sheetViews>
  <sheetFormatPr defaultRowHeight="12.75" x14ac:dyDescent="0.2"/>
  <sheetData>
    <row r="1" spans="1:4" x14ac:dyDescent="0.2">
      <c r="A1" t="s">
        <v>16</v>
      </c>
    </row>
    <row r="4" spans="1:4" x14ac:dyDescent="0.2">
      <c r="A4" t="s">
        <v>14</v>
      </c>
      <c r="C4" s="18">
        <f>November!D35+December!D36+January!D36+February!D34+March!D36+April!D35+May!D36+June!D35+July!D36+August!D36+September!D35+October!D36</f>
        <v>14827.363200000018</v>
      </c>
    </row>
    <row r="5" spans="1:4" x14ac:dyDescent="0.2">
      <c r="A5" t="s">
        <v>15</v>
      </c>
      <c r="C5" s="18">
        <f>November!Q35+December!Q36+January!Q36+February!Q34+March!Q36+April!Q35+May!Q36+June!Q35+July!Q36+August!Q36+September!Q35+October!Q36</f>
        <v>9420.7717280199995</v>
      </c>
    </row>
    <row r="6" spans="1:4" x14ac:dyDescent="0.2">
      <c r="A6" s="47" t="s">
        <v>17</v>
      </c>
      <c r="C6" s="18">
        <f>November!M35+December!M36+January!M36+February!M34+March!M36+April!M35+May!M36+June!M35+July!M36+August!M36+September!M35+October!M36</f>
        <v>1212.4705668960403</v>
      </c>
    </row>
    <row r="7" spans="1:4" x14ac:dyDescent="0.2">
      <c r="A7" s="47" t="s">
        <v>18</v>
      </c>
      <c r="C7" s="18">
        <f>November!Z35+December!Z36+January!Z36+February!Z34+March!Z36+April!Z35+May!Z36+June!Z35+July!Z36+August!Z36+September!Z35+October!Z36</f>
        <v>307.77057000000008</v>
      </c>
    </row>
    <row r="9" spans="1:4" x14ac:dyDescent="0.2">
      <c r="A9" t="s">
        <v>19</v>
      </c>
      <c r="C9" s="18">
        <f>November!G35+December!G36+January!G36+February!G34+March!G36+April!G35+May!G36+June!G35+July!G36+August!G36+September!G35+October!G36</f>
        <v>9054.0440000000017</v>
      </c>
      <c r="D9" s="54">
        <f>C9/(C4+C5)</f>
        <v>0.37339135677348817</v>
      </c>
    </row>
    <row r="10" spans="1:4" x14ac:dyDescent="0.2">
      <c r="A10" t="s">
        <v>20</v>
      </c>
      <c r="C10" s="18">
        <f>November!J35+December!J36+January!J36+February!J34+March!J36+April!J35+May!J36+June!J35+July!J36+August!J36+September!J35+October!J36</f>
        <v>5746.3320579999954</v>
      </c>
      <c r="D10" s="54">
        <f>C10/(C4+C5)</f>
        <v>0.23698037292591118</v>
      </c>
    </row>
    <row r="11" spans="1:4" x14ac:dyDescent="0.2">
      <c r="A11" t="s">
        <v>21</v>
      </c>
      <c r="C11" s="18">
        <f>November!T35+December!Q36+January!Q36+February!Q34+March!Q36+April!Q35+May!Q36+June!Q35+July!Q36+August!Q36+September!Q35+October!Q36</f>
        <v>9446.8934800000006</v>
      </c>
      <c r="D11" s="54">
        <f>C11/(C4+C5)</f>
        <v>0.38959258136936586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D36"/>
  <sheetViews>
    <sheetView workbookViewId="0">
      <pane xSplit="1" ySplit="4" topLeftCell="F20" activePane="bottomRight" state="frozen"/>
      <selection pane="topRight" activeCell="B1" sqref="B1"/>
      <selection pane="bottomLeft" activeCell="A5" sqref="A5"/>
      <selection pane="bottomRight" activeCell="AB5" activeCellId="3" sqref="A5:A34 AD5 AB5:AB13 AB5:AD35"/>
    </sheetView>
  </sheetViews>
  <sheetFormatPr defaultRowHeight="12.75" x14ac:dyDescent="0.2"/>
  <cols>
    <col min="2" max="2" width="12" customWidth="1"/>
    <col min="5" max="5" width="11.28515625" customWidth="1"/>
    <col min="8" max="8" width="11.7109375" customWidth="1"/>
    <col min="11" max="11" width="13.85546875" customWidth="1"/>
    <col min="12" max="12" width="10.7109375" customWidth="1"/>
    <col min="15" max="15" width="11" customWidth="1"/>
    <col min="18" max="18" width="10.7109375" customWidth="1"/>
    <col min="21" max="21" width="11.7109375" bestFit="1" customWidth="1"/>
    <col min="22" max="22" width="10.7109375" customWidth="1"/>
    <col min="28" max="28" width="12.7109375" customWidth="1"/>
  </cols>
  <sheetData>
    <row r="1" spans="1:30" x14ac:dyDescent="0.2">
      <c r="B1" s="22"/>
      <c r="C1" s="22"/>
      <c r="D1" s="22"/>
      <c r="E1" s="22"/>
      <c r="F1" s="22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</row>
    <row r="2" spans="1:30" ht="13.5" thickBot="1" x14ac:dyDescent="0.25">
      <c r="C2" s="18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</row>
    <row r="3" spans="1:30" ht="60.75" customHeight="1" thickBot="1" x14ac:dyDescent="0.25">
      <c r="A3" s="3"/>
      <c r="B3" s="51" t="s">
        <v>10</v>
      </c>
      <c r="C3" s="52"/>
      <c r="D3" s="53"/>
      <c r="E3" s="51" t="s">
        <v>11</v>
      </c>
      <c r="F3" s="52"/>
      <c r="G3" s="53"/>
      <c r="H3" s="51" t="s">
        <v>12</v>
      </c>
      <c r="I3" s="52"/>
      <c r="J3" s="53"/>
      <c r="K3" s="51" t="s">
        <v>13</v>
      </c>
      <c r="L3" s="52"/>
      <c r="M3" s="53"/>
      <c r="N3" s="19"/>
      <c r="O3" s="51" t="s">
        <v>4</v>
      </c>
      <c r="P3" s="52"/>
      <c r="Q3" s="53"/>
      <c r="R3" s="51" t="s">
        <v>3</v>
      </c>
      <c r="S3" s="52"/>
      <c r="T3" s="53"/>
      <c r="U3" s="51" t="s">
        <v>6</v>
      </c>
      <c r="V3" s="52"/>
      <c r="W3" s="53"/>
      <c r="X3" s="51" t="s">
        <v>7</v>
      </c>
      <c r="Y3" s="52"/>
      <c r="Z3" s="53"/>
      <c r="AA3" s="19"/>
      <c r="AB3" s="48" t="s">
        <v>8</v>
      </c>
      <c r="AC3" s="49"/>
      <c r="AD3" s="50"/>
    </row>
    <row r="4" spans="1:30" x14ac:dyDescent="0.2">
      <c r="A4" s="2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6" t="s">
        <v>0</v>
      </c>
      <c r="AC4" s="37" t="s">
        <v>1</v>
      </c>
      <c r="AD4" s="38" t="s">
        <v>2</v>
      </c>
    </row>
    <row r="5" spans="1:30" x14ac:dyDescent="0.2">
      <c r="A5" s="1">
        <v>38292</v>
      </c>
      <c r="B5" s="7">
        <f>'[1]Nov Prod'!I4</f>
        <v>5900000.0000014547</v>
      </c>
      <c r="C5" s="8">
        <f t="shared" ref="C5:C34" si="0">B5/1000000</f>
        <v>5.9000000000014543</v>
      </c>
      <c r="D5" s="10">
        <f t="shared" ref="D5:D34" si="1">C5*3.07</f>
        <v>18.113000000004465</v>
      </c>
      <c r="E5" s="7">
        <f>'[1]Nov Prod'!E4</f>
        <v>5900000.0000014547</v>
      </c>
      <c r="F5" s="8">
        <f t="shared" ref="F5:F34" si="2">E5/1000000</f>
        <v>5.9000000000014543</v>
      </c>
      <c r="G5" s="10">
        <f t="shared" ref="G5:G34" si="3">F5*3.07</f>
        <v>18.113000000004465</v>
      </c>
      <c r="H5" s="7">
        <f>'[1]Nov Prod'!F4</f>
        <v>0</v>
      </c>
      <c r="I5" s="8">
        <f t="shared" ref="I5:I34" si="4">H5/1000000</f>
        <v>0</v>
      </c>
      <c r="J5" s="10">
        <f t="shared" ref="J5:J34" si="5">I5*3.07</f>
        <v>0</v>
      </c>
      <c r="K5" s="7">
        <f>'[1]Nov Prod'!$H252*10</f>
        <v>3373220</v>
      </c>
      <c r="L5" s="8">
        <f t="shared" ref="L5:L7" si="6">K5/10000000</f>
        <v>0.33732200000000001</v>
      </c>
      <c r="M5" s="10">
        <f t="shared" ref="M5:M34" si="7">L5*3.07</f>
        <v>1.0355785399999999</v>
      </c>
      <c r="N5" s="21"/>
      <c r="O5" s="7">
        <f>'[1]Nov Prod'!H4</f>
        <v>4793999.9999999953</v>
      </c>
      <c r="P5" s="8">
        <f t="shared" ref="P5:P16" si="8">O5/1000000</f>
        <v>4.7939999999999952</v>
      </c>
      <c r="Q5" s="10">
        <f t="shared" ref="Q5:Q34" si="9">P5*3.07</f>
        <v>14.717579999999984</v>
      </c>
      <c r="R5" s="7">
        <f>'[1]Nov Prod'!C4</f>
        <v>4911000</v>
      </c>
      <c r="S5" s="8">
        <f t="shared" ref="S5:S17" si="10">R5/1000000</f>
        <v>4.9109999999999996</v>
      </c>
      <c r="T5" s="10">
        <f t="shared" ref="T5:T34" si="11">S5*3.07</f>
        <v>15.076769999999998</v>
      </c>
      <c r="U5" s="7">
        <f>'[1]Nov Prod'!D4</f>
        <v>0</v>
      </c>
      <c r="V5" s="8">
        <f t="shared" ref="V5:V34" si="12">U5/1000000</f>
        <v>0</v>
      </c>
      <c r="W5" s="10">
        <f t="shared" ref="W5:W34" si="13">V5*3.07</f>
        <v>0</v>
      </c>
      <c r="X5" s="7">
        <f>'[1]Nov Prod'!$D252</f>
        <v>117000.00000000444</v>
      </c>
      <c r="Y5" s="8">
        <f t="shared" ref="Y5:Y34" si="14">X5/1000000</f>
        <v>0.11700000000000443</v>
      </c>
      <c r="Z5" s="10">
        <f t="shared" ref="Z5:Z34" si="15">Y5*3.07</f>
        <v>0.35919000000001361</v>
      </c>
      <c r="AA5" s="15"/>
      <c r="AB5" s="7">
        <f>B5+O5</f>
        <v>10694000.000001449</v>
      </c>
      <c r="AC5" s="8">
        <f>C5+P5</f>
        <v>10.694000000001449</v>
      </c>
      <c r="AD5" s="8">
        <f>D5+Q5</f>
        <v>32.830580000004446</v>
      </c>
    </row>
    <row r="6" spans="1:30" x14ac:dyDescent="0.2">
      <c r="A6" s="1">
        <v>38293</v>
      </c>
      <c r="B6" s="7">
        <f>'[1]Nov Prod'!I5</f>
        <v>5599999.9999985453</v>
      </c>
      <c r="C6" s="8">
        <f t="shared" si="0"/>
        <v>5.5999999999985457</v>
      </c>
      <c r="D6" s="10">
        <f t="shared" si="1"/>
        <v>17.191999999995534</v>
      </c>
      <c r="E6" s="7">
        <f>'[1]Nov Prod'!E5</f>
        <v>5599999.9999985453</v>
      </c>
      <c r="F6" s="8">
        <f t="shared" si="2"/>
        <v>5.5999999999985457</v>
      </c>
      <c r="G6" s="10">
        <f t="shared" si="3"/>
        <v>17.191999999995534</v>
      </c>
      <c r="H6" s="7">
        <f>'[1]Nov Prod'!F5</f>
        <v>0</v>
      </c>
      <c r="I6" s="8">
        <f t="shared" si="4"/>
        <v>0</v>
      </c>
      <c r="J6" s="10">
        <f t="shared" si="5"/>
        <v>0</v>
      </c>
      <c r="K6" s="7">
        <f>'[1]Nov Prod'!$H253*10</f>
        <v>3385570</v>
      </c>
      <c r="L6" s="8">
        <f t="shared" si="6"/>
        <v>0.338557</v>
      </c>
      <c r="M6" s="10">
        <f t="shared" si="7"/>
        <v>1.03936999</v>
      </c>
      <c r="N6" s="21"/>
      <c r="O6" s="7">
        <f>'[1]Nov Prod'!H5</f>
        <v>4879000.0000000056</v>
      </c>
      <c r="P6" s="8">
        <f t="shared" si="8"/>
        <v>4.8790000000000058</v>
      </c>
      <c r="Q6" s="10">
        <f t="shared" si="9"/>
        <v>14.978530000000017</v>
      </c>
      <c r="R6" s="7">
        <f>'[1]Nov Prod'!C5</f>
        <v>4994000</v>
      </c>
      <c r="S6" s="8">
        <f t="shared" si="10"/>
        <v>4.9939999999999998</v>
      </c>
      <c r="T6" s="10">
        <f t="shared" si="11"/>
        <v>15.331579999999999</v>
      </c>
      <c r="U6" s="7">
        <f>'[1]Nov Prod'!D5</f>
        <v>0</v>
      </c>
      <c r="V6" s="8">
        <f t="shared" si="12"/>
        <v>0</v>
      </c>
      <c r="W6" s="10">
        <f t="shared" si="13"/>
        <v>0</v>
      </c>
      <c r="X6" s="7">
        <f>'[1]Nov Prod'!$D253</f>
        <v>114999.99999999488</v>
      </c>
      <c r="Y6" s="8">
        <f t="shared" si="14"/>
        <v>0.11499999999999488</v>
      </c>
      <c r="Z6" s="10">
        <f t="shared" si="15"/>
        <v>0.35304999999998427</v>
      </c>
      <c r="AA6" s="15"/>
      <c r="AB6" s="7">
        <f t="shared" ref="AB6:AD35" si="16">B6+O6</f>
        <v>10478999.999998551</v>
      </c>
      <c r="AC6" s="8">
        <f t="shared" si="16"/>
        <v>10.478999999998551</v>
      </c>
      <c r="AD6" s="8">
        <f t="shared" si="16"/>
        <v>32.170529999995551</v>
      </c>
    </row>
    <row r="7" spans="1:30" x14ac:dyDescent="0.2">
      <c r="A7" s="1">
        <v>38294</v>
      </c>
      <c r="B7" s="7">
        <f>'[1]Nov Prod'!I6</f>
        <v>5400000.0000014547</v>
      </c>
      <c r="C7" s="8">
        <f t="shared" si="0"/>
        <v>5.4000000000014543</v>
      </c>
      <c r="D7" s="10">
        <f t="shared" si="1"/>
        <v>16.578000000004465</v>
      </c>
      <c r="E7" s="7">
        <f>'[1]Nov Prod'!E6</f>
        <v>5400000.0000014547</v>
      </c>
      <c r="F7" s="8">
        <f t="shared" si="2"/>
        <v>5.4000000000014543</v>
      </c>
      <c r="G7" s="10">
        <f t="shared" si="3"/>
        <v>16.578000000004465</v>
      </c>
      <c r="H7" s="7">
        <f>'[1]Nov Prod'!F6</f>
        <v>0</v>
      </c>
      <c r="I7" s="8">
        <f t="shared" si="4"/>
        <v>0</v>
      </c>
      <c r="J7" s="10">
        <f t="shared" si="5"/>
        <v>0</v>
      </c>
      <c r="K7" s="7">
        <f>'[1]Nov Prod'!$H254*10</f>
        <v>3835430</v>
      </c>
      <c r="L7" s="8">
        <f t="shared" si="6"/>
        <v>0.38354300000000002</v>
      </c>
      <c r="M7" s="10">
        <f t="shared" si="7"/>
        <v>1.17747701</v>
      </c>
      <c r="N7" s="21"/>
      <c r="O7" s="7">
        <f>'[1]Nov Prod'!H6</f>
        <v>4926999.9999999907</v>
      </c>
      <c r="P7" s="8">
        <f t="shared" si="8"/>
        <v>4.9269999999999907</v>
      </c>
      <c r="Q7" s="10">
        <f t="shared" si="9"/>
        <v>15.12588999999997</v>
      </c>
      <c r="R7" s="7">
        <f>'[1]Nov Prod'!C6</f>
        <v>5045000</v>
      </c>
      <c r="S7" s="8">
        <f t="shared" si="10"/>
        <v>5.0449999999999999</v>
      </c>
      <c r="T7" s="10">
        <f t="shared" si="11"/>
        <v>15.488149999999999</v>
      </c>
      <c r="U7" s="7">
        <f>'[1]Nov Prod'!D6</f>
        <v>0</v>
      </c>
      <c r="V7" s="8">
        <f t="shared" si="12"/>
        <v>0</v>
      </c>
      <c r="W7" s="10">
        <f t="shared" si="13"/>
        <v>0</v>
      </c>
      <c r="X7" s="7">
        <f>'[1]Nov Prod'!$D254</f>
        <v>118000.00000000921</v>
      </c>
      <c r="Y7" s="8">
        <f t="shared" si="14"/>
        <v>0.11800000000000921</v>
      </c>
      <c r="Z7" s="10">
        <f t="shared" si="15"/>
        <v>0.36226000000002823</v>
      </c>
      <c r="AA7" s="15"/>
      <c r="AB7" s="7">
        <f t="shared" si="16"/>
        <v>10327000.000001445</v>
      </c>
      <c r="AC7" s="8">
        <f t="shared" si="16"/>
        <v>10.327000000001444</v>
      </c>
      <c r="AD7" s="8">
        <f t="shared" si="16"/>
        <v>31.703890000004435</v>
      </c>
    </row>
    <row r="8" spans="1:30" x14ac:dyDescent="0.2">
      <c r="A8" s="1">
        <v>38295</v>
      </c>
      <c r="B8" s="7">
        <f>'[1]Nov Prod'!I7</f>
        <v>4299999.9999992726</v>
      </c>
      <c r="C8" s="8">
        <f t="shared" si="0"/>
        <v>4.2999999999992724</v>
      </c>
      <c r="D8" s="10">
        <f t="shared" si="1"/>
        <v>13.200999999997766</v>
      </c>
      <c r="E8" s="7">
        <f>'[1]Nov Prod'!E7</f>
        <v>4299999.9999992726</v>
      </c>
      <c r="F8" s="8">
        <f t="shared" si="2"/>
        <v>4.2999999999992724</v>
      </c>
      <c r="G8" s="10">
        <f t="shared" si="3"/>
        <v>13.200999999997766</v>
      </c>
      <c r="H8" s="7">
        <f>'[1]Nov Prod'!F7</f>
        <v>0</v>
      </c>
      <c r="I8" s="8">
        <f t="shared" si="4"/>
        <v>0</v>
      </c>
      <c r="J8" s="10">
        <f t="shared" si="5"/>
        <v>0</v>
      </c>
      <c r="K8" s="7">
        <f>'[1]Nov Prod'!$H255*10</f>
        <v>3774510</v>
      </c>
      <c r="L8" s="8">
        <f>K8/10000000</f>
        <v>0.37745099999999998</v>
      </c>
      <c r="M8" s="10">
        <f t="shared" si="7"/>
        <v>1.1587745699999998</v>
      </c>
      <c r="N8" s="21"/>
      <c r="O8" s="7">
        <f>'[1]Nov Prod'!H7</f>
        <v>5958000.0000000056</v>
      </c>
      <c r="P8" s="8">
        <f t="shared" si="8"/>
        <v>5.9580000000000055</v>
      </c>
      <c r="Q8" s="10">
        <f t="shared" si="9"/>
        <v>18.291060000000016</v>
      </c>
      <c r="R8" s="7">
        <f>'[1]Nov Prod'!C7</f>
        <v>6073000</v>
      </c>
      <c r="S8" s="8">
        <f t="shared" si="10"/>
        <v>6.0730000000000004</v>
      </c>
      <c r="T8" s="10">
        <f t="shared" si="11"/>
        <v>18.644110000000001</v>
      </c>
      <c r="U8" s="7">
        <f>'[1]Nov Prod'!D7</f>
        <v>0</v>
      </c>
      <c r="V8" s="8">
        <f t="shared" si="12"/>
        <v>0</v>
      </c>
      <c r="W8" s="10">
        <f t="shared" si="13"/>
        <v>0</v>
      </c>
      <c r="X8" s="7">
        <f>'[1]Nov Prod'!$D255</f>
        <v>114999.99999999488</v>
      </c>
      <c r="Y8" s="8">
        <f t="shared" si="14"/>
        <v>0.11499999999999488</v>
      </c>
      <c r="Z8" s="10">
        <f t="shared" si="15"/>
        <v>0.35304999999998427</v>
      </c>
      <c r="AA8" s="15"/>
      <c r="AB8" s="7">
        <f t="shared" si="16"/>
        <v>10257999.999999277</v>
      </c>
      <c r="AC8" s="8">
        <f t="shared" si="16"/>
        <v>10.257999999999278</v>
      </c>
      <c r="AD8" s="8">
        <f>D8+Q8</f>
        <v>31.492059999997782</v>
      </c>
    </row>
    <row r="9" spans="1:30" x14ac:dyDescent="0.2">
      <c r="A9" s="1">
        <v>38296</v>
      </c>
      <c r="B9" s="7">
        <f>'[1]Nov Prod'!I8</f>
        <v>0</v>
      </c>
      <c r="C9" s="8">
        <f t="shared" si="0"/>
        <v>0</v>
      </c>
      <c r="D9" s="10">
        <f t="shared" si="1"/>
        <v>0</v>
      </c>
      <c r="E9" s="7">
        <f>'[1]Nov Prod'!E8</f>
        <v>0</v>
      </c>
      <c r="F9" s="8">
        <f t="shared" si="2"/>
        <v>0</v>
      </c>
      <c r="G9" s="10">
        <f t="shared" si="3"/>
        <v>0</v>
      </c>
      <c r="H9" s="7">
        <f>'[1]Nov Prod'!F8</f>
        <v>0</v>
      </c>
      <c r="I9" s="8">
        <f t="shared" si="4"/>
        <v>0</v>
      </c>
      <c r="J9" s="10">
        <f t="shared" si="5"/>
        <v>0</v>
      </c>
      <c r="K9" s="7">
        <f>'[1]Nov Prod'!$H256*10</f>
        <v>0</v>
      </c>
      <c r="L9" s="8">
        <f t="shared" ref="L9:L34" si="17">K9/10000000</f>
        <v>0</v>
      </c>
      <c r="M9" s="10">
        <f t="shared" si="7"/>
        <v>0</v>
      </c>
      <c r="N9" s="21"/>
      <c r="O9" s="7">
        <f>'[1]Nov Prod'!H8</f>
        <v>11136285.999999998</v>
      </c>
      <c r="P9" s="8">
        <f t="shared" si="8"/>
        <v>11.136285999999998</v>
      </c>
      <c r="Q9" s="10">
        <f t="shared" si="9"/>
        <v>34.188398019999994</v>
      </c>
      <c r="R9" s="7">
        <f>'[1]Nov Prod'!C8</f>
        <v>11422000</v>
      </c>
      <c r="S9" s="8">
        <f t="shared" si="10"/>
        <v>11.422000000000001</v>
      </c>
      <c r="T9" s="10">
        <f t="shared" si="11"/>
        <v>35.065539999999999</v>
      </c>
      <c r="U9" s="7">
        <f>'[1]Nov Prod'!D8</f>
        <v>0</v>
      </c>
      <c r="V9" s="8">
        <f t="shared" si="12"/>
        <v>0</v>
      </c>
      <c r="W9" s="10">
        <f t="shared" si="13"/>
        <v>0</v>
      </c>
      <c r="X9" s="7">
        <f>'[1]Nov Prod'!$D256</f>
        <v>286000.00000000134</v>
      </c>
      <c r="Y9" s="8">
        <f t="shared" si="14"/>
        <v>0.28600000000000136</v>
      </c>
      <c r="Z9" s="10">
        <f t="shared" si="15"/>
        <v>0.87802000000000413</v>
      </c>
      <c r="AA9" s="15"/>
      <c r="AB9" s="7">
        <f t="shared" si="16"/>
        <v>11136285.999999998</v>
      </c>
      <c r="AC9" s="8">
        <f t="shared" si="16"/>
        <v>11.136285999999998</v>
      </c>
      <c r="AD9" s="8">
        <f t="shared" si="16"/>
        <v>34.188398019999994</v>
      </c>
    </row>
    <row r="10" spans="1:30" x14ac:dyDescent="0.2">
      <c r="A10" s="1">
        <v>38297</v>
      </c>
      <c r="B10" s="7">
        <f>'[1]Nov Prod'!I9</f>
        <v>0</v>
      </c>
      <c r="C10" s="8">
        <f t="shared" si="0"/>
        <v>0</v>
      </c>
      <c r="D10" s="10">
        <f t="shared" si="1"/>
        <v>0</v>
      </c>
      <c r="E10" s="7">
        <f>'[1]Nov Prod'!E9</f>
        <v>0</v>
      </c>
      <c r="F10" s="8">
        <f t="shared" si="2"/>
        <v>0</v>
      </c>
      <c r="G10" s="10">
        <f t="shared" si="3"/>
        <v>0</v>
      </c>
      <c r="H10" s="7">
        <f>'[1]Nov Prod'!F9</f>
        <v>0</v>
      </c>
      <c r="I10" s="8">
        <f t="shared" si="4"/>
        <v>0</v>
      </c>
      <c r="J10" s="10">
        <f t="shared" si="5"/>
        <v>0</v>
      </c>
      <c r="K10" s="7">
        <f>'[1]Nov Prod'!$H257*10</f>
        <v>0</v>
      </c>
      <c r="L10" s="8">
        <f t="shared" si="17"/>
        <v>0</v>
      </c>
      <c r="M10" s="10">
        <f t="shared" si="7"/>
        <v>0</v>
      </c>
      <c r="N10" s="21"/>
      <c r="O10" s="7">
        <f>'[1]Nov Prod'!H9</f>
        <v>12564000.000000002</v>
      </c>
      <c r="P10" s="8">
        <f t="shared" si="8"/>
        <v>12.564000000000002</v>
      </c>
      <c r="Q10" s="10">
        <f t="shared" si="9"/>
        <v>38.571480000000001</v>
      </c>
      <c r="R10" s="7">
        <f>'[1]Nov Prod'!C9</f>
        <v>12906000</v>
      </c>
      <c r="S10" s="8">
        <f t="shared" si="10"/>
        <v>12.906000000000001</v>
      </c>
      <c r="T10" s="10">
        <f t="shared" si="11"/>
        <v>39.621420000000001</v>
      </c>
      <c r="U10" s="7">
        <f>'[1]Nov Prod'!D9</f>
        <v>0</v>
      </c>
      <c r="V10" s="8">
        <f t="shared" si="12"/>
        <v>0</v>
      </c>
      <c r="W10" s="10">
        <f t="shared" si="13"/>
        <v>0</v>
      </c>
      <c r="X10" s="7">
        <f>'[1]Nov Prod'!$D257</f>
        <v>341999.99999999878</v>
      </c>
      <c r="Y10" s="8">
        <f t="shared" si="14"/>
        <v>0.3419999999999988</v>
      </c>
      <c r="Z10" s="10">
        <f t="shared" si="15"/>
        <v>1.0499399999999963</v>
      </c>
      <c r="AA10" s="15"/>
      <c r="AB10" s="7">
        <f t="shared" si="16"/>
        <v>12564000.000000002</v>
      </c>
      <c r="AC10" s="8">
        <f t="shared" si="16"/>
        <v>12.564000000000002</v>
      </c>
      <c r="AD10" s="8">
        <f t="shared" si="16"/>
        <v>38.571480000000001</v>
      </c>
    </row>
    <row r="11" spans="1:30" x14ac:dyDescent="0.2">
      <c r="A11" s="1">
        <v>38298</v>
      </c>
      <c r="B11" s="7">
        <f>'[1]Nov Prod'!I10</f>
        <v>0</v>
      </c>
      <c r="C11" s="8">
        <f t="shared" si="0"/>
        <v>0</v>
      </c>
      <c r="D11" s="10">
        <f t="shared" si="1"/>
        <v>0</v>
      </c>
      <c r="E11" s="7">
        <f>'[1]Nov Prod'!E10</f>
        <v>0</v>
      </c>
      <c r="F11" s="8">
        <f t="shared" si="2"/>
        <v>0</v>
      </c>
      <c r="G11" s="10">
        <f t="shared" si="3"/>
        <v>0</v>
      </c>
      <c r="H11" s="7">
        <f>'[1]Nov Prod'!F10</f>
        <v>0</v>
      </c>
      <c r="I11" s="8">
        <f t="shared" si="4"/>
        <v>0</v>
      </c>
      <c r="J11" s="10">
        <f t="shared" si="5"/>
        <v>0</v>
      </c>
      <c r="K11" s="7">
        <f>'[1]Nov Prod'!$H258*10</f>
        <v>0</v>
      </c>
      <c r="L11" s="8">
        <f t="shared" si="17"/>
        <v>0</v>
      </c>
      <c r="M11" s="10">
        <f t="shared" si="7"/>
        <v>0</v>
      </c>
      <c r="N11" s="21"/>
      <c r="O11" s="7">
        <f>'[1]Nov Prod'!H10</f>
        <v>12614999.999999996</v>
      </c>
      <c r="P11" s="8">
        <f t="shared" si="8"/>
        <v>12.614999999999997</v>
      </c>
      <c r="Q11" s="10">
        <f t="shared" si="9"/>
        <v>38.728049999999989</v>
      </c>
      <c r="R11" s="7">
        <f>'[1]Nov Prod'!C10</f>
        <v>12961000</v>
      </c>
      <c r="S11" s="8">
        <f t="shared" si="10"/>
        <v>12.961</v>
      </c>
      <c r="T11" s="10">
        <f t="shared" si="11"/>
        <v>39.79027</v>
      </c>
      <c r="U11" s="7">
        <f>'[1]Nov Prod'!D10</f>
        <v>0</v>
      </c>
      <c r="V11" s="8">
        <f t="shared" si="12"/>
        <v>0</v>
      </c>
      <c r="W11" s="10">
        <f t="shared" si="13"/>
        <v>0</v>
      </c>
      <c r="X11" s="7">
        <f>'[1]Nov Prod'!$D258</f>
        <v>346000.00000000361</v>
      </c>
      <c r="Y11" s="8">
        <f t="shared" si="14"/>
        <v>0.34600000000000358</v>
      </c>
      <c r="Z11" s="10">
        <f t="shared" si="15"/>
        <v>1.062220000000011</v>
      </c>
      <c r="AA11" s="15"/>
      <c r="AB11" s="7">
        <f t="shared" si="16"/>
        <v>12614999.999999996</v>
      </c>
      <c r="AC11" s="8">
        <f t="shared" si="16"/>
        <v>12.614999999999997</v>
      </c>
      <c r="AD11" s="8">
        <f t="shared" si="16"/>
        <v>38.728049999999989</v>
      </c>
    </row>
    <row r="12" spans="1:30" x14ac:dyDescent="0.2">
      <c r="A12" s="1">
        <v>38299</v>
      </c>
      <c r="B12" s="7">
        <f>'[1]Nov Prod'!I11</f>
        <v>0</v>
      </c>
      <c r="C12" s="8">
        <f t="shared" si="0"/>
        <v>0</v>
      </c>
      <c r="D12" s="10">
        <f t="shared" si="1"/>
        <v>0</v>
      </c>
      <c r="E12" s="7">
        <f>'[1]Nov Prod'!E11</f>
        <v>0</v>
      </c>
      <c r="F12" s="8">
        <f t="shared" si="2"/>
        <v>0</v>
      </c>
      <c r="G12" s="10">
        <f t="shared" si="3"/>
        <v>0</v>
      </c>
      <c r="H12" s="7">
        <f>'[1]Nov Prod'!F11</f>
        <v>0</v>
      </c>
      <c r="I12" s="8">
        <f t="shared" si="4"/>
        <v>0</v>
      </c>
      <c r="J12" s="10">
        <f t="shared" si="5"/>
        <v>0</v>
      </c>
      <c r="K12" s="7">
        <f>'[1]Nov Prod'!$H259*10</f>
        <v>0</v>
      </c>
      <c r="L12" s="8">
        <f t="shared" si="17"/>
        <v>0</v>
      </c>
      <c r="M12" s="10">
        <f t="shared" si="7"/>
        <v>0</v>
      </c>
      <c r="N12" s="21"/>
      <c r="O12" s="7">
        <f>'[1]Nov Prod'!H11</f>
        <v>12652000.000000002</v>
      </c>
      <c r="P12" s="8">
        <f t="shared" si="8"/>
        <v>12.652000000000001</v>
      </c>
      <c r="Q12" s="10">
        <f t="shared" si="9"/>
        <v>38.841639999999998</v>
      </c>
      <c r="R12" s="7">
        <f>'[1]Nov Prod'!C11</f>
        <v>12997000</v>
      </c>
      <c r="S12" s="8">
        <f t="shared" si="10"/>
        <v>12.997</v>
      </c>
      <c r="T12" s="10">
        <f t="shared" si="11"/>
        <v>39.900790000000001</v>
      </c>
      <c r="U12" s="7">
        <f>'[1]Nov Prod'!D11</f>
        <v>0</v>
      </c>
      <c r="V12" s="8">
        <f t="shared" si="12"/>
        <v>0</v>
      </c>
      <c r="W12" s="10">
        <f t="shared" si="13"/>
        <v>0</v>
      </c>
      <c r="X12" s="7">
        <f>'[1]Nov Prod'!$D259</f>
        <v>344999.99999999884</v>
      </c>
      <c r="Y12" s="8">
        <f t="shared" si="14"/>
        <v>0.34499999999999886</v>
      </c>
      <c r="Z12" s="10">
        <f t="shared" si="15"/>
        <v>1.0591499999999965</v>
      </c>
      <c r="AA12" s="15"/>
      <c r="AB12" s="7">
        <f t="shared" si="16"/>
        <v>12652000.000000002</v>
      </c>
      <c r="AC12" s="8">
        <f t="shared" si="16"/>
        <v>12.652000000000001</v>
      </c>
      <c r="AD12" s="8">
        <f t="shared" si="16"/>
        <v>38.841639999999998</v>
      </c>
    </row>
    <row r="13" spans="1:30" x14ac:dyDescent="0.2">
      <c r="A13" s="1">
        <v>38300</v>
      </c>
      <c r="B13" s="7">
        <f>'[1]Nov Prod'!I12</f>
        <v>0</v>
      </c>
      <c r="C13" s="8">
        <f t="shared" si="0"/>
        <v>0</v>
      </c>
      <c r="D13" s="10">
        <f t="shared" si="1"/>
        <v>0</v>
      </c>
      <c r="E13" s="7">
        <f>'[1]Nov Prod'!E12</f>
        <v>0</v>
      </c>
      <c r="F13" s="8">
        <f t="shared" si="2"/>
        <v>0</v>
      </c>
      <c r="G13" s="10">
        <f t="shared" si="3"/>
        <v>0</v>
      </c>
      <c r="H13" s="7">
        <f>'[1]Nov Prod'!F12</f>
        <v>0</v>
      </c>
      <c r="I13" s="8">
        <f t="shared" si="4"/>
        <v>0</v>
      </c>
      <c r="J13" s="10">
        <f t="shared" si="5"/>
        <v>0</v>
      </c>
      <c r="K13" s="7">
        <f>'[1]Nov Prod'!$H260*10</f>
        <v>0</v>
      </c>
      <c r="L13" s="8">
        <f t="shared" si="17"/>
        <v>0</v>
      </c>
      <c r="M13" s="10">
        <f t="shared" si="7"/>
        <v>0</v>
      </c>
      <c r="N13" s="21"/>
      <c r="O13" s="7">
        <f>'[1]Nov Prod'!H12</f>
        <v>8875000.0000000037</v>
      </c>
      <c r="P13" s="8">
        <f t="shared" si="8"/>
        <v>8.8750000000000036</v>
      </c>
      <c r="Q13" s="10">
        <f t="shared" si="9"/>
        <v>27.246250000000011</v>
      </c>
      <c r="R13" s="7">
        <f>'[1]Nov Prod'!C12</f>
        <v>9047000</v>
      </c>
      <c r="S13" s="8">
        <f t="shared" si="10"/>
        <v>9.0470000000000006</v>
      </c>
      <c r="T13" s="10">
        <f t="shared" si="11"/>
        <v>27.774290000000001</v>
      </c>
      <c r="U13" s="7">
        <f>'[1]Nov Prod'!D12</f>
        <v>0</v>
      </c>
      <c r="V13" s="8">
        <f t="shared" si="12"/>
        <v>0</v>
      </c>
      <c r="W13" s="10">
        <f t="shared" si="13"/>
        <v>0</v>
      </c>
      <c r="X13" s="7">
        <f>'[1]Nov Prod'!$D260</f>
        <v>171999.99999999703</v>
      </c>
      <c r="Y13" s="8">
        <f t="shared" si="14"/>
        <v>0.17199999999999704</v>
      </c>
      <c r="Z13" s="10">
        <f t="shared" si="15"/>
        <v>0.52803999999999085</v>
      </c>
      <c r="AA13" s="15"/>
      <c r="AB13" s="7">
        <f t="shared" si="16"/>
        <v>8875000.0000000037</v>
      </c>
      <c r="AC13" s="8">
        <f t="shared" si="16"/>
        <v>8.8750000000000036</v>
      </c>
      <c r="AD13" s="8">
        <f t="shared" si="16"/>
        <v>27.246250000000011</v>
      </c>
    </row>
    <row r="14" spans="1:30" x14ac:dyDescent="0.2">
      <c r="A14" s="1">
        <v>38301</v>
      </c>
      <c r="B14" s="7">
        <f>'[1]Nov Prod'!I13</f>
        <v>0</v>
      </c>
      <c r="C14" s="8">
        <f t="shared" si="0"/>
        <v>0</v>
      </c>
      <c r="D14" s="10">
        <f t="shared" si="1"/>
        <v>0</v>
      </c>
      <c r="E14" s="7">
        <f>'[1]Nov Prod'!E13</f>
        <v>0</v>
      </c>
      <c r="F14" s="8">
        <f t="shared" si="2"/>
        <v>0</v>
      </c>
      <c r="G14" s="10">
        <f t="shared" si="3"/>
        <v>0</v>
      </c>
      <c r="H14" s="7">
        <f>'[1]Nov Prod'!F13</f>
        <v>0</v>
      </c>
      <c r="I14" s="8">
        <f t="shared" si="4"/>
        <v>0</v>
      </c>
      <c r="J14" s="10">
        <f t="shared" si="5"/>
        <v>0</v>
      </c>
      <c r="K14" s="7">
        <f>'[1]Nov Prod'!$H261*10</f>
        <v>0</v>
      </c>
      <c r="L14" s="8">
        <f t="shared" si="17"/>
        <v>0</v>
      </c>
      <c r="M14" s="10">
        <f t="shared" si="7"/>
        <v>0</v>
      </c>
      <c r="N14" s="21"/>
      <c r="O14" s="7">
        <f>'[1]Nov Prod'!H13</f>
        <v>12195999.999999993</v>
      </c>
      <c r="P14" s="8">
        <f t="shared" si="8"/>
        <v>12.195999999999993</v>
      </c>
      <c r="Q14" s="10">
        <f t="shared" si="9"/>
        <v>37.441719999999975</v>
      </c>
      <c r="R14" s="7">
        <f>'[1]Nov Prod'!C13</f>
        <v>12531000</v>
      </c>
      <c r="S14" s="8">
        <f t="shared" si="10"/>
        <v>12.531000000000001</v>
      </c>
      <c r="T14" s="10">
        <f t="shared" si="11"/>
        <v>38.470170000000003</v>
      </c>
      <c r="U14" s="7">
        <f>'[1]Nov Prod'!D13</f>
        <v>0</v>
      </c>
      <c r="V14" s="8">
        <f t="shared" si="12"/>
        <v>0</v>
      </c>
      <c r="W14" s="10">
        <f t="shared" si="13"/>
        <v>0</v>
      </c>
      <c r="X14" s="7">
        <f>'[1]Nov Prod'!$D261</f>
        <v>335000.00000000797</v>
      </c>
      <c r="Y14" s="8">
        <f t="shared" si="14"/>
        <v>0.33500000000000796</v>
      </c>
      <c r="Z14" s="10">
        <f t="shared" si="15"/>
        <v>1.0284500000000243</v>
      </c>
      <c r="AA14" s="15"/>
      <c r="AB14" s="7">
        <f t="shared" si="16"/>
        <v>12195999.999999993</v>
      </c>
      <c r="AC14" s="8">
        <f t="shared" si="16"/>
        <v>12.195999999999993</v>
      </c>
      <c r="AD14" s="8">
        <f t="shared" si="16"/>
        <v>37.441719999999975</v>
      </c>
    </row>
    <row r="15" spans="1:30" x14ac:dyDescent="0.2">
      <c r="A15" s="1">
        <v>38302</v>
      </c>
      <c r="B15" s="7">
        <f>'[1]Nov Prod'!I14</f>
        <v>0</v>
      </c>
      <c r="C15" s="8">
        <f t="shared" si="0"/>
        <v>0</v>
      </c>
      <c r="D15" s="10">
        <f t="shared" si="1"/>
        <v>0</v>
      </c>
      <c r="E15" s="7">
        <f>'[1]Nov Prod'!E14</f>
        <v>0</v>
      </c>
      <c r="F15" s="8">
        <f t="shared" si="2"/>
        <v>0</v>
      </c>
      <c r="G15" s="10">
        <f t="shared" si="3"/>
        <v>0</v>
      </c>
      <c r="H15" s="7">
        <f>'[1]Nov Prod'!F14</f>
        <v>0</v>
      </c>
      <c r="I15" s="8">
        <f t="shared" si="4"/>
        <v>0</v>
      </c>
      <c r="J15" s="10">
        <f t="shared" si="5"/>
        <v>0</v>
      </c>
      <c r="K15" s="7">
        <f>'[1]Nov Prod'!$H262*10</f>
        <v>0</v>
      </c>
      <c r="L15" s="8">
        <f t="shared" si="17"/>
        <v>0</v>
      </c>
      <c r="M15" s="10">
        <f t="shared" si="7"/>
        <v>0</v>
      </c>
      <c r="N15" s="21"/>
      <c r="O15" s="7">
        <f>'[1]Nov Prod'!H14</f>
        <v>11866000.000000011</v>
      </c>
      <c r="P15" s="8">
        <f t="shared" si="8"/>
        <v>11.86600000000001</v>
      </c>
      <c r="Q15" s="10">
        <f t="shared" si="9"/>
        <v>36.428620000000031</v>
      </c>
      <c r="R15" s="7">
        <f>'[1]Nov Prod'!C14</f>
        <v>12075000</v>
      </c>
      <c r="S15" s="8">
        <f t="shared" si="10"/>
        <v>12.074999999999999</v>
      </c>
      <c r="T15" s="10">
        <f t="shared" si="11"/>
        <v>37.070249999999994</v>
      </c>
      <c r="U15" s="7">
        <f>'[1]Nov Prod'!D14</f>
        <v>0</v>
      </c>
      <c r="V15" s="8">
        <f t="shared" si="12"/>
        <v>0</v>
      </c>
      <c r="W15" s="10">
        <f t="shared" si="13"/>
        <v>0</v>
      </c>
      <c r="X15" s="7">
        <f>'[1]Nov Prod'!$D262</f>
        <v>208999.99999998897</v>
      </c>
      <c r="Y15" s="8">
        <f t="shared" si="14"/>
        <v>0.20899999999998897</v>
      </c>
      <c r="Z15" s="10">
        <f t="shared" si="15"/>
        <v>0.64162999999996606</v>
      </c>
      <c r="AA15" s="15"/>
      <c r="AB15" s="7">
        <f t="shared" si="16"/>
        <v>11866000.000000011</v>
      </c>
      <c r="AC15" s="8">
        <f t="shared" si="16"/>
        <v>11.86600000000001</v>
      </c>
      <c r="AD15" s="8">
        <f t="shared" si="16"/>
        <v>36.428620000000031</v>
      </c>
    </row>
    <row r="16" spans="1:30" x14ac:dyDescent="0.2">
      <c r="A16" s="1">
        <v>38303</v>
      </c>
      <c r="B16" s="7">
        <f>'[1]Nov Prod'!I15</f>
        <v>0</v>
      </c>
      <c r="C16" s="8">
        <f t="shared" si="0"/>
        <v>0</v>
      </c>
      <c r="D16" s="10">
        <f t="shared" si="1"/>
        <v>0</v>
      </c>
      <c r="E16" s="7">
        <f>'[1]Nov Prod'!E15</f>
        <v>0</v>
      </c>
      <c r="F16" s="8">
        <f t="shared" si="2"/>
        <v>0</v>
      </c>
      <c r="G16" s="10">
        <f t="shared" si="3"/>
        <v>0</v>
      </c>
      <c r="H16" s="7">
        <f>'[1]Nov Prod'!F15</f>
        <v>0</v>
      </c>
      <c r="I16" s="8">
        <f t="shared" si="4"/>
        <v>0</v>
      </c>
      <c r="J16" s="10">
        <f t="shared" si="5"/>
        <v>0</v>
      </c>
      <c r="K16" s="7">
        <f>'[1]Nov Prod'!$H263*10</f>
        <v>-6190</v>
      </c>
      <c r="L16" s="8">
        <f t="shared" si="17"/>
        <v>-6.1899999999999998E-4</v>
      </c>
      <c r="M16" s="10">
        <f t="shared" si="7"/>
        <v>-1.9003299999999998E-3</v>
      </c>
      <c r="N16" s="21"/>
      <c r="O16" s="7">
        <f>'[1]Nov Prod'!H15</f>
        <v>9791999.9999999925</v>
      </c>
      <c r="P16" s="8">
        <f t="shared" si="8"/>
        <v>9.7919999999999927</v>
      </c>
      <c r="Q16" s="10">
        <f t="shared" si="9"/>
        <v>30.061439999999976</v>
      </c>
      <c r="R16" s="7">
        <f>'[1]Nov Prod'!C15</f>
        <v>10127000</v>
      </c>
      <c r="S16" s="8">
        <f t="shared" si="10"/>
        <v>10.127000000000001</v>
      </c>
      <c r="T16" s="10">
        <f t="shared" si="11"/>
        <v>31.08989</v>
      </c>
      <c r="U16" s="7">
        <f>'[1]Nov Prod'!D15</f>
        <v>0</v>
      </c>
      <c r="V16" s="8">
        <f t="shared" si="12"/>
        <v>0</v>
      </c>
      <c r="W16" s="10">
        <f t="shared" si="13"/>
        <v>0</v>
      </c>
      <c r="X16" s="7">
        <f>'[1]Nov Prod'!$D263</f>
        <v>335000.00000000797</v>
      </c>
      <c r="Y16" s="8">
        <f t="shared" si="14"/>
        <v>0.33500000000000796</v>
      </c>
      <c r="Z16" s="10">
        <f t="shared" si="15"/>
        <v>1.0284500000000243</v>
      </c>
      <c r="AA16" s="15"/>
      <c r="AB16" s="7">
        <f t="shared" si="16"/>
        <v>9791999.9999999925</v>
      </c>
      <c r="AC16" s="8">
        <f t="shared" si="16"/>
        <v>9.7919999999999927</v>
      </c>
      <c r="AD16" s="8">
        <f t="shared" si="16"/>
        <v>30.061439999999976</v>
      </c>
    </row>
    <row r="17" spans="1:30" x14ac:dyDescent="0.2">
      <c r="A17" s="1">
        <v>38304</v>
      </c>
      <c r="B17" s="7">
        <f>'[1]Nov Prod'!I16</f>
        <v>0</v>
      </c>
      <c r="C17" s="8">
        <f t="shared" si="0"/>
        <v>0</v>
      </c>
      <c r="D17" s="10">
        <f t="shared" si="1"/>
        <v>0</v>
      </c>
      <c r="E17" s="7">
        <f>'[1]Nov Prod'!E16</f>
        <v>0</v>
      </c>
      <c r="F17" s="8">
        <f t="shared" si="2"/>
        <v>0</v>
      </c>
      <c r="G17" s="10">
        <f t="shared" si="3"/>
        <v>0</v>
      </c>
      <c r="H17" s="7">
        <f>'[1]Nov Prod'!F16</f>
        <v>0</v>
      </c>
      <c r="I17" s="8">
        <f t="shared" si="4"/>
        <v>0</v>
      </c>
      <c r="J17" s="10">
        <f t="shared" si="5"/>
        <v>0</v>
      </c>
      <c r="K17" s="7">
        <f>'[1]Nov Prod'!$H264*10</f>
        <v>0</v>
      </c>
      <c r="L17" s="8">
        <f t="shared" si="17"/>
        <v>0</v>
      </c>
      <c r="M17" s="10">
        <f t="shared" si="7"/>
        <v>0</v>
      </c>
      <c r="N17" s="21"/>
      <c r="O17" s="7">
        <f>'[1]Nov Prod'!H16</f>
        <v>11935000.000000009</v>
      </c>
      <c r="P17" s="8">
        <f t="shared" ref="P17:P34" si="18">O17/1000000</f>
        <v>11.935000000000009</v>
      </c>
      <c r="Q17" s="10">
        <f t="shared" si="9"/>
        <v>36.64045000000003</v>
      </c>
      <c r="R17" s="7">
        <f>'[1]Nov Prod'!C16</f>
        <v>12192000</v>
      </c>
      <c r="S17" s="8">
        <f t="shared" si="10"/>
        <v>12.192</v>
      </c>
      <c r="T17" s="10">
        <f t="shared" si="11"/>
        <v>37.42944</v>
      </c>
      <c r="U17" s="7">
        <f>'[1]Nov Prod'!D16</f>
        <v>0</v>
      </c>
      <c r="V17" s="8">
        <f t="shared" si="12"/>
        <v>0</v>
      </c>
      <c r="W17" s="10">
        <f t="shared" si="13"/>
        <v>0</v>
      </c>
      <c r="X17" s="7">
        <f>'[1]Nov Prod'!$D264</f>
        <v>256999.9999999908</v>
      </c>
      <c r="Y17" s="8">
        <f t="shared" si="14"/>
        <v>0.25699999999999079</v>
      </c>
      <c r="Z17" s="10">
        <f t="shared" si="15"/>
        <v>0.78898999999997166</v>
      </c>
      <c r="AA17" s="15"/>
      <c r="AB17" s="7">
        <f t="shared" si="16"/>
        <v>11935000.000000009</v>
      </c>
      <c r="AC17" s="8">
        <f t="shared" si="16"/>
        <v>11.935000000000009</v>
      </c>
      <c r="AD17" s="8">
        <f t="shared" si="16"/>
        <v>36.64045000000003</v>
      </c>
    </row>
    <row r="18" spans="1:30" x14ac:dyDescent="0.2">
      <c r="A18" s="1">
        <v>38305</v>
      </c>
      <c r="B18" s="7">
        <f>'[1]Nov Prod'!I17</f>
        <v>0</v>
      </c>
      <c r="C18" s="8">
        <f t="shared" si="0"/>
        <v>0</v>
      </c>
      <c r="D18" s="10">
        <f t="shared" si="1"/>
        <v>0</v>
      </c>
      <c r="E18" s="7">
        <f>'[1]Nov Prod'!E17</f>
        <v>0</v>
      </c>
      <c r="F18" s="8">
        <f t="shared" si="2"/>
        <v>0</v>
      </c>
      <c r="G18" s="10">
        <f t="shared" si="3"/>
        <v>0</v>
      </c>
      <c r="H18" s="7">
        <f>'[1]Nov Prod'!F17</f>
        <v>0</v>
      </c>
      <c r="I18" s="8">
        <f t="shared" si="4"/>
        <v>0</v>
      </c>
      <c r="J18" s="10">
        <f t="shared" si="5"/>
        <v>0</v>
      </c>
      <c r="K18" s="7">
        <f>'[1]Nov Prod'!$H265*10</f>
        <v>0</v>
      </c>
      <c r="L18" s="8">
        <f t="shared" si="17"/>
        <v>0</v>
      </c>
      <c r="M18" s="10">
        <f t="shared" si="7"/>
        <v>0</v>
      </c>
      <c r="N18" s="21"/>
      <c r="O18" s="7">
        <f>'[1]Nov Prod'!H17</f>
        <v>11719999.999999996</v>
      </c>
      <c r="P18" s="8">
        <f t="shared" si="18"/>
        <v>11.719999999999997</v>
      </c>
      <c r="Q18" s="10">
        <f t="shared" si="9"/>
        <v>35.980399999999989</v>
      </c>
      <c r="R18" s="7">
        <f>'[1]Nov Prod'!C17</f>
        <v>12045000</v>
      </c>
      <c r="S18" s="8">
        <f t="shared" ref="S18:S34" si="19">R18/1000000</f>
        <v>12.045</v>
      </c>
      <c r="T18" s="10">
        <f t="shared" si="11"/>
        <v>36.978149999999999</v>
      </c>
      <c r="U18" s="7">
        <f>'[1]Nov Prod'!D17</f>
        <v>0</v>
      </c>
      <c r="V18" s="8">
        <f t="shared" si="12"/>
        <v>0</v>
      </c>
      <c r="W18" s="10">
        <f t="shared" si="13"/>
        <v>0</v>
      </c>
      <c r="X18" s="7">
        <f>'[1]Nov Prod'!$D265</f>
        <v>325000.00000000285</v>
      </c>
      <c r="Y18" s="8">
        <f t="shared" si="14"/>
        <v>0.32500000000000284</v>
      </c>
      <c r="Z18" s="10">
        <f t="shared" si="15"/>
        <v>0.99775000000000869</v>
      </c>
      <c r="AA18" s="15"/>
      <c r="AB18" s="7">
        <f t="shared" si="16"/>
        <v>11719999.999999996</v>
      </c>
      <c r="AC18" s="8">
        <f t="shared" si="16"/>
        <v>11.719999999999997</v>
      </c>
      <c r="AD18" s="8">
        <f t="shared" si="16"/>
        <v>35.980399999999989</v>
      </c>
    </row>
    <row r="19" spans="1:30" x14ac:dyDescent="0.2">
      <c r="A19" s="1">
        <v>38306</v>
      </c>
      <c r="B19" s="7">
        <f>'[1]Nov Prod'!I18</f>
        <v>0</v>
      </c>
      <c r="C19" s="8">
        <f t="shared" si="0"/>
        <v>0</v>
      </c>
      <c r="D19" s="10">
        <f t="shared" si="1"/>
        <v>0</v>
      </c>
      <c r="E19" s="7">
        <f>'[1]Nov Prod'!E18</f>
        <v>0</v>
      </c>
      <c r="F19" s="8">
        <f t="shared" si="2"/>
        <v>0</v>
      </c>
      <c r="G19" s="10">
        <f t="shared" si="3"/>
        <v>0</v>
      </c>
      <c r="H19" s="7">
        <f>'[1]Nov Prod'!F18</f>
        <v>0</v>
      </c>
      <c r="I19" s="8">
        <f t="shared" si="4"/>
        <v>0</v>
      </c>
      <c r="J19" s="10">
        <f t="shared" si="5"/>
        <v>0</v>
      </c>
      <c r="K19" s="7">
        <f>'[1]Nov Prod'!$H266*10</f>
        <v>0</v>
      </c>
      <c r="L19" s="8">
        <f t="shared" si="17"/>
        <v>0</v>
      </c>
      <c r="M19" s="10">
        <f t="shared" si="7"/>
        <v>0</v>
      </c>
      <c r="N19" s="21"/>
      <c r="O19" s="7">
        <f>'[1]Nov Prod'!H18</f>
        <v>11963000.000000002</v>
      </c>
      <c r="P19" s="8">
        <f t="shared" si="18"/>
        <v>11.963000000000003</v>
      </c>
      <c r="Q19" s="10">
        <f t="shared" si="9"/>
        <v>36.726410000000008</v>
      </c>
      <c r="R19" s="7">
        <f>'[1]Nov Prod'!C18</f>
        <v>12293000</v>
      </c>
      <c r="S19" s="8">
        <f t="shared" si="19"/>
        <v>12.292999999999999</v>
      </c>
      <c r="T19" s="10">
        <f t="shared" si="11"/>
        <v>37.739509999999996</v>
      </c>
      <c r="U19" s="7">
        <f>'[1]Nov Prod'!D18</f>
        <v>0</v>
      </c>
      <c r="V19" s="8">
        <f t="shared" si="12"/>
        <v>0</v>
      </c>
      <c r="W19" s="10">
        <f t="shared" si="13"/>
        <v>0</v>
      </c>
      <c r="X19" s="7">
        <f>'[1]Nov Prod'!$D266</f>
        <v>329999.99999999831</v>
      </c>
      <c r="Y19" s="8">
        <f t="shared" si="14"/>
        <v>0.32999999999999829</v>
      </c>
      <c r="Z19" s="10">
        <f t="shared" si="15"/>
        <v>1.0130999999999948</v>
      </c>
      <c r="AA19" s="15"/>
      <c r="AB19" s="7">
        <f t="shared" si="16"/>
        <v>11963000.000000002</v>
      </c>
      <c r="AC19" s="8">
        <f t="shared" si="16"/>
        <v>11.963000000000003</v>
      </c>
      <c r="AD19" s="8">
        <f>D19+Q19</f>
        <v>36.726410000000008</v>
      </c>
    </row>
    <row r="20" spans="1:30" x14ac:dyDescent="0.2">
      <c r="A20" s="1">
        <v>38307</v>
      </c>
      <c r="B20" s="7">
        <f>'[1]Nov Prod'!I19</f>
        <v>0</v>
      </c>
      <c r="C20" s="8">
        <f t="shared" si="0"/>
        <v>0</v>
      </c>
      <c r="D20" s="10">
        <f t="shared" si="1"/>
        <v>0</v>
      </c>
      <c r="E20" s="7">
        <f>'[1]Nov Prod'!E19</f>
        <v>0</v>
      </c>
      <c r="F20" s="8">
        <f t="shared" si="2"/>
        <v>0</v>
      </c>
      <c r="G20" s="10">
        <f t="shared" si="3"/>
        <v>0</v>
      </c>
      <c r="H20" s="7">
        <f>'[1]Nov Prod'!F19</f>
        <v>0</v>
      </c>
      <c r="I20" s="8">
        <f t="shared" si="4"/>
        <v>0</v>
      </c>
      <c r="J20" s="10">
        <f t="shared" si="5"/>
        <v>0</v>
      </c>
      <c r="K20" s="7">
        <f>'[1]Nov Prod'!$H267*10</f>
        <v>1216890</v>
      </c>
      <c r="L20" s="8">
        <f t="shared" si="17"/>
        <v>0.12168900000000001</v>
      </c>
      <c r="M20" s="10">
        <f t="shared" si="7"/>
        <v>0.37358522999999999</v>
      </c>
      <c r="N20" s="21"/>
      <c r="O20" s="7">
        <f>'[1]Nov Prod'!H19</f>
        <v>11560999.999999994</v>
      </c>
      <c r="P20" s="8">
        <f t="shared" si="18"/>
        <v>11.560999999999995</v>
      </c>
      <c r="Q20" s="10">
        <f t="shared" si="9"/>
        <v>35.492269999999984</v>
      </c>
      <c r="R20" s="7">
        <f>'[1]Nov Prod'!C19</f>
        <v>11949000</v>
      </c>
      <c r="S20" s="8">
        <f t="shared" si="19"/>
        <v>11.949</v>
      </c>
      <c r="T20" s="10">
        <f t="shared" si="11"/>
        <v>36.683429999999994</v>
      </c>
      <c r="U20" s="7">
        <f>'[1]Nov Prod'!D19</f>
        <v>0</v>
      </c>
      <c r="V20" s="8">
        <f t="shared" si="12"/>
        <v>0</v>
      </c>
      <c r="W20" s="10">
        <f t="shared" si="13"/>
        <v>0</v>
      </c>
      <c r="X20" s="7">
        <f>'[1]Nov Prod'!$D267</f>
        <v>388000.00000000524</v>
      </c>
      <c r="Y20" s="8">
        <f t="shared" si="14"/>
        <v>0.38800000000000523</v>
      </c>
      <c r="Z20" s="10">
        <f t="shared" si="15"/>
        <v>1.191160000000016</v>
      </c>
      <c r="AA20" s="15"/>
      <c r="AB20" s="7">
        <f t="shared" si="16"/>
        <v>11560999.999999994</v>
      </c>
      <c r="AC20" s="8">
        <f t="shared" si="16"/>
        <v>11.560999999999995</v>
      </c>
      <c r="AD20" s="8">
        <f t="shared" si="16"/>
        <v>35.492269999999984</v>
      </c>
    </row>
    <row r="21" spans="1:30" x14ac:dyDescent="0.2">
      <c r="A21" s="1">
        <v>38308</v>
      </c>
      <c r="B21" s="7">
        <f>'[1]Nov Prod'!I20</f>
        <v>0</v>
      </c>
      <c r="C21" s="8">
        <f t="shared" si="0"/>
        <v>0</v>
      </c>
      <c r="D21" s="10">
        <f t="shared" si="1"/>
        <v>0</v>
      </c>
      <c r="E21" s="7">
        <f>'[1]Nov Prod'!E20</f>
        <v>0</v>
      </c>
      <c r="F21" s="8">
        <f t="shared" si="2"/>
        <v>0</v>
      </c>
      <c r="G21" s="10">
        <f t="shared" si="3"/>
        <v>0</v>
      </c>
      <c r="H21" s="7">
        <f>'[1]Nov Prod'!F20</f>
        <v>0</v>
      </c>
      <c r="I21" s="8">
        <f t="shared" si="4"/>
        <v>0</v>
      </c>
      <c r="J21" s="10">
        <f t="shared" si="5"/>
        <v>0</v>
      </c>
      <c r="K21" s="7">
        <f>'[1]Nov Prod'!$H268*10</f>
        <v>0</v>
      </c>
      <c r="L21" s="8">
        <f t="shared" si="17"/>
        <v>0</v>
      </c>
      <c r="M21" s="10">
        <f t="shared" si="7"/>
        <v>0</v>
      </c>
      <c r="N21" s="21"/>
      <c r="O21" s="7">
        <f>'[1]Nov Prod'!H20</f>
        <v>10976000.000000002</v>
      </c>
      <c r="P21" s="8">
        <f t="shared" si="18"/>
        <v>10.976000000000003</v>
      </c>
      <c r="Q21" s="10">
        <f t="shared" si="9"/>
        <v>33.696320000000007</v>
      </c>
      <c r="R21" s="7">
        <f>'[1]Nov Prod'!C20</f>
        <v>11297000</v>
      </c>
      <c r="S21" s="8">
        <f t="shared" si="19"/>
        <v>11.297000000000001</v>
      </c>
      <c r="T21" s="10">
        <f t="shared" si="11"/>
        <v>34.681789999999999</v>
      </c>
      <c r="U21" s="7">
        <f>'[1]Nov Prod'!D20</f>
        <v>0</v>
      </c>
      <c r="V21" s="8">
        <f t="shared" si="12"/>
        <v>0</v>
      </c>
      <c r="W21" s="10">
        <f t="shared" si="13"/>
        <v>0</v>
      </c>
      <c r="X21" s="7">
        <f>'[1]Nov Prod'!$D268</f>
        <v>320999.99999999796</v>
      </c>
      <c r="Y21" s="8">
        <f t="shared" si="14"/>
        <v>0.32099999999999795</v>
      </c>
      <c r="Z21" s="10">
        <f t="shared" si="15"/>
        <v>0.98546999999999363</v>
      </c>
      <c r="AA21" s="15"/>
      <c r="AB21" s="7">
        <f t="shared" si="16"/>
        <v>10976000.000000002</v>
      </c>
      <c r="AC21" s="8">
        <f t="shared" si="16"/>
        <v>10.976000000000003</v>
      </c>
      <c r="AD21" s="8">
        <f t="shared" si="16"/>
        <v>33.696320000000007</v>
      </c>
    </row>
    <row r="22" spans="1:30" x14ac:dyDescent="0.2">
      <c r="A22" s="1">
        <v>38309</v>
      </c>
      <c r="B22" s="7">
        <f>'[1]Nov Prod'!I21</f>
        <v>0</v>
      </c>
      <c r="C22" s="8">
        <f t="shared" si="0"/>
        <v>0</v>
      </c>
      <c r="D22" s="10">
        <f t="shared" si="1"/>
        <v>0</v>
      </c>
      <c r="E22" s="7">
        <f>'[1]Nov Prod'!E21</f>
        <v>0</v>
      </c>
      <c r="F22" s="8">
        <f t="shared" si="2"/>
        <v>0</v>
      </c>
      <c r="G22" s="10">
        <f t="shared" si="3"/>
        <v>0</v>
      </c>
      <c r="H22" s="7">
        <f>'[1]Nov Prod'!F21</f>
        <v>0</v>
      </c>
      <c r="I22" s="8">
        <f t="shared" si="4"/>
        <v>0</v>
      </c>
      <c r="J22" s="10">
        <f t="shared" si="5"/>
        <v>0</v>
      </c>
      <c r="K22" s="7">
        <f>'[1]Nov Prod'!$H269*10</f>
        <v>0</v>
      </c>
      <c r="L22" s="8">
        <f t="shared" si="17"/>
        <v>0</v>
      </c>
      <c r="M22" s="10">
        <f t="shared" si="7"/>
        <v>0</v>
      </c>
      <c r="N22" s="21"/>
      <c r="O22" s="7">
        <f>'[1]Nov Prod'!H21</f>
        <v>10133000</v>
      </c>
      <c r="P22" s="8">
        <f t="shared" si="18"/>
        <v>10.132999999999999</v>
      </c>
      <c r="Q22" s="10">
        <f t="shared" si="9"/>
        <v>31.108309999999996</v>
      </c>
      <c r="R22" s="7">
        <f>'[1]Nov Prod'!C21</f>
        <v>10395000</v>
      </c>
      <c r="S22" s="8">
        <f t="shared" si="19"/>
        <v>10.395</v>
      </c>
      <c r="T22" s="10">
        <f t="shared" si="11"/>
        <v>31.912649999999996</v>
      </c>
      <c r="U22" s="7">
        <f>'[1]Nov Prod'!D21</f>
        <v>0</v>
      </c>
      <c r="V22" s="8">
        <f t="shared" si="12"/>
        <v>0</v>
      </c>
      <c r="W22" s="10">
        <f t="shared" si="13"/>
        <v>0</v>
      </c>
      <c r="X22" s="7">
        <f>'[1]Nov Prod'!$D269</f>
        <v>262000.00000000047</v>
      </c>
      <c r="Y22" s="8">
        <f t="shared" si="14"/>
        <v>0.26200000000000045</v>
      </c>
      <c r="Z22" s="10">
        <f t="shared" si="15"/>
        <v>0.80434000000000139</v>
      </c>
      <c r="AA22" s="15"/>
      <c r="AB22" s="7">
        <f t="shared" si="16"/>
        <v>10133000</v>
      </c>
      <c r="AC22" s="8">
        <f t="shared" si="16"/>
        <v>10.132999999999999</v>
      </c>
      <c r="AD22" s="8">
        <f t="shared" si="16"/>
        <v>31.108309999999996</v>
      </c>
    </row>
    <row r="23" spans="1:30" x14ac:dyDescent="0.2">
      <c r="A23" s="1">
        <v>38310</v>
      </c>
      <c r="B23" s="7">
        <f>'[1]Nov Prod'!I22</f>
        <v>0</v>
      </c>
      <c r="C23" s="8">
        <f t="shared" si="0"/>
        <v>0</v>
      </c>
      <c r="D23" s="10">
        <f t="shared" si="1"/>
        <v>0</v>
      </c>
      <c r="E23" s="7">
        <f>'[1]Nov Prod'!E22</f>
        <v>0</v>
      </c>
      <c r="F23" s="8">
        <f t="shared" si="2"/>
        <v>0</v>
      </c>
      <c r="G23" s="10">
        <f t="shared" si="3"/>
        <v>0</v>
      </c>
      <c r="H23" s="7">
        <f>'[1]Nov Prod'!F22</f>
        <v>0</v>
      </c>
      <c r="I23" s="8">
        <f t="shared" si="4"/>
        <v>0</v>
      </c>
      <c r="J23" s="10">
        <f t="shared" si="5"/>
        <v>0</v>
      </c>
      <c r="K23" s="7">
        <f>'[1]Nov Prod'!$H270*10</f>
        <v>0</v>
      </c>
      <c r="L23" s="8">
        <f t="shared" si="17"/>
        <v>0</v>
      </c>
      <c r="M23" s="10">
        <f t="shared" si="7"/>
        <v>0</v>
      </c>
      <c r="N23" s="21"/>
      <c r="O23" s="7">
        <f>'[1]Nov Prod'!H22</f>
        <v>10631999.999999996</v>
      </c>
      <c r="P23" s="8">
        <f t="shared" si="18"/>
        <v>10.631999999999996</v>
      </c>
      <c r="Q23" s="10">
        <f t="shared" si="9"/>
        <v>32.640239999999984</v>
      </c>
      <c r="R23" s="7">
        <f>'[1]Nov Prod'!C22</f>
        <v>10871000</v>
      </c>
      <c r="S23" s="8">
        <f t="shared" si="19"/>
        <v>10.871</v>
      </c>
      <c r="T23" s="10">
        <f t="shared" si="11"/>
        <v>33.37397</v>
      </c>
      <c r="U23" s="7">
        <f>'[1]Nov Prod'!D22</f>
        <v>0</v>
      </c>
      <c r="V23" s="8">
        <f t="shared" si="12"/>
        <v>0</v>
      </c>
      <c r="W23" s="10">
        <f t="shared" si="13"/>
        <v>0</v>
      </c>
      <c r="X23" s="7">
        <f>'[1]Nov Prod'!$D270</f>
        <v>239000.00000000431</v>
      </c>
      <c r="Y23" s="8">
        <f t="shared" si="14"/>
        <v>0.23900000000000432</v>
      </c>
      <c r="Z23" s="10">
        <f t="shared" si="15"/>
        <v>0.7337300000000132</v>
      </c>
      <c r="AA23" s="15"/>
      <c r="AB23" s="7">
        <f t="shared" si="16"/>
        <v>10631999.999999996</v>
      </c>
      <c r="AC23" s="8">
        <f t="shared" si="16"/>
        <v>10.631999999999996</v>
      </c>
      <c r="AD23" s="8">
        <f t="shared" si="16"/>
        <v>32.640239999999984</v>
      </c>
    </row>
    <row r="24" spans="1:30" x14ac:dyDescent="0.2">
      <c r="A24" s="1">
        <v>38311</v>
      </c>
      <c r="B24" s="7">
        <f>'[1]Nov Prod'!I23</f>
        <v>0</v>
      </c>
      <c r="C24" s="8">
        <f t="shared" si="0"/>
        <v>0</v>
      </c>
      <c r="D24" s="10">
        <f t="shared" si="1"/>
        <v>0</v>
      </c>
      <c r="E24" s="7">
        <f>'[1]Nov Prod'!E23</f>
        <v>0</v>
      </c>
      <c r="F24" s="8">
        <f t="shared" si="2"/>
        <v>0</v>
      </c>
      <c r="G24" s="10">
        <f t="shared" si="3"/>
        <v>0</v>
      </c>
      <c r="H24" s="7">
        <f>'[1]Nov Prod'!F23</f>
        <v>0</v>
      </c>
      <c r="I24" s="8">
        <f t="shared" si="4"/>
        <v>0</v>
      </c>
      <c r="J24" s="10">
        <f t="shared" si="5"/>
        <v>0</v>
      </c>
      <c r="K24" s="7">
        <f>'[1]Nov Prod'!$H271*10</f>
        <v>0</v>
      </c>
      <c r="L24" s="8">
        <f t="shared" si="17"/>
        <v>0</v>
      </c>
      <c r="M24" s="10">
        <f t="shared" si="7"/>
        <v>0</v>
      </c>
      <c r="N24" s="21"/>
      <c r="O24" s="7">
        <f>'[1]Nov Prod'!H23</f>
        <v>11964000.000000002</v>
      </c>
      <c r="P24" s="8">
        <f t="shared" si="18"/>
        <v>11.964000000000002</v>
      </c>
      <c r="Q24" s="10">
        <f t="shared" si="9"/>
        <v>36.729480000000002</v>
      </c>
      <c r="R24" s="7">
        <f>'[1]Nov Prod'!C23</f>
        <v>12291000</v>
      </c>
      <c r="S24" s="8">
        <f t="shared" si="19"/>
        <v>12.291</v>
      </c>
      <c r="T24" s="10">
        <f t="shared" si="11"/>
        <v>37.733370000000001</v>
      </c>
      <c r="U24" s="7">
        <f>'[1]Nov Prod'!D23</f>
        <v>0</v>
      </c>
      <c r="V24" s="8">
        <f t="shared" si="12"/>
        <v>0</v>
      </c>
      <c r="W24" s="10">
        <f t="shared" si="13"/>
        <v>0</v>
      </c>
      <c r="X24" s="7">
        <f>'[1]Nov Prod'!$D271</f>
        <v>326999.9999999982</v>
      </c>
      <c r="Y24" s="8">
        <f t="shared" si="14"/>
        <v>0.32699999999999818</v>
      </c>
      <c r="Z24" s="10">
        <f t="shared" si="15"/>
        <v>1.0038899999999944</v>
      </c>
      <c r="AA24" s="15"/>
      <c r="AB24" s="7">
        <f t="shared" si="16"/>
        <v>11964000.000000002</v>
      </c>
      <c r="AC24" s="8">
        <f t="shared" si="16"/>
        <v>11.964000000000002</v>
      </c>
      <c r="AD24" s="8">
        <f>D24+Q24</f>
        <v>36.729480000000002</v>
      </c>
    </row>
    <row r="25" spans="1:30" x14ac:dyDescent="0.2">
      <c r="A25" s="1">
        <v>38312</v>
      </c>
      <c r="B25" s="7">
        <f>'[1]Nov Prod'!I24</f>
        <v>0</v>
      </c>
      <c r="C25" s="8">
        <f t="shared" si="0"/>
        <v>0</v>
      </c>
      <c r="D25" s="10">
        <f t="shared" si="1"/>
        <v>0</v>
      </c>
      <c r="E25" s="7">
        <f>'[1]Nov Prod'!E24</f>
        <v>0</v>
      </c>
      <c r="F25" s="8">
        <f t="shared" si="2"/>
        <v>0</v>
      </c>
      <c r="G25" s="10">
        <f t="shared" si="3"/>
        <v>0</v>
      </c>
      <c r="H25" s="7">
        <f>'[1]Nov Prod'!F24</f>
        <v>0</v>
      </c>
      <c r="I25" s="8">
        <f t="shared" si="4"/>
        <v>0</v>
      </c>
      <c r="J25" s="10">
        <f t="shared" si="5"/>
        <v>0</v>
      </c>
      <c r="K25" s="44">
        <v>0</v>
      </c>
      <c r="L25" s="8">
        <f t="shared" si="17"/>
        <v>0</v>
      </c>
      <c r="M25" s="10">
        <f t="shared" si="7"/>
        <v>0</v>
      </c>
      <c r="N25" s="21"/>
      <c r="O25" s="7">
        <f>'[1]Nov Prod'!H24</f>
        <v>12887000.000000006</v>
      </c>
      <c r="P25" s="8">
        <f t="shared" si="18"/>
        <v>12.887000000000006</v>
      </c>
      <c r="Q25" s="10">
        <f t="shared" si="9"/>
        <v>39.563090000000017</v>
      </c>
      <c r="R25" s="7">
        <f>'[1]Nov Prod'!C24</f>
        <v>13222000</v>
      </c>
      <c r="S25" s="8">
        <f t="shared" si="19"/>
        <v>13.222</v>
      </c>
      <c r="T25" s="10">
        <f t="shared" si="11"/>
        <v>40.591539999999995</v>
      </c>
      <c r="U25" s="7">
        <f>'[1]Nov Prod'!D24</f>
        <v>0</v>
      </c>
      <c r="V25" s="8">
        <f t="shared" si="12"/>
        <v>0</v>
      </c>
      <c r="W25" s="10">
        <f t="shared" si="13"/>
        <v>0</v>
      </c>
      <c r="X25" s="7">
        <f>'[1]Nov Prod'!$D272</f>
        <v>334999.99999999377</v>
      </c>
      <c r="Y25" s="8">
        <f t="shared" si="14"/>
        <v>0.33499999999999375</v>
      </c>
      <c r="Z25" s="10">
        <f t="shared" si="15"/>
        <v>1.0284499999999808</v>
      </c>
      <c r="AA25" s="15"/>
      <c r="AB25" s="7">
        <f t="shared" si="16"/>
        <v>12887000.000000006</v>
      </c>
      <c r="AC25" s="8">
        <f t="shared" si="16"/>
        <v>12.887000000000006</v>
      </c>
      <c r="AD25" s="8">
        <f t="shared" si="16"/>
        <v>39.563090000000017</v>
      </c>
    </row>
    <row r="26" spans="1:30" x14ac:dyDescent="0.2">
      <c r="A26" s="1">
        <v>38313</v>
      </c>
      <c r="B26" s="7">
        <f>'[1]Nov Prod'!I25</f>
        <v>0</v>
      </c>
      <c r="C26" s="8">
        <f t="shared" si="0"/>
        <v>0</v>
      </c>
      <c r="D26" s="10">
        <f t="shared" si="1"/>
        <v>0</v>
      </c>
      <c r="E26" s="7">
        <f>'[1]Nov Prod'!E25</f>
        <v>0</v>
      </c>
      <c r="F26" s="8">
        <f t="shared" si="2"/>
        <v>0</v>
      </c>
      <c r="G26" s="10">
        <f t="shared" si="3"/>
        <v>0</v>
      </c>
      <c r="H26" s="7">
        <f>'[1]Nov Prod'!F25</f>
        <v>0</v>
      </c>
      <c r="I26" s="8">
        <f t="shared" si="4"/>
        <v>0</v>
      </c>
      <c r="J26" s="10">
        <f t="shared" si="5"/>
        <v>0</v>
      </c>
      <c r="K26" s="7">
        <f>'[1]Nov Prod'!$H273*10</f>
        <v>0</v>
      </c>
      <c r="L26" s="8">
        <f t="shared" si="17"/>
        <v>0</v>
      </c>
      <c r="M26" s="10">
        <f t="shared" si="7"/>
        <v>0</v>
      </c>
      <c r="N26" s="21"/>
      <c r="O26" s="7">
        <f>'[1]Nov Prod'!H25</f>
        <v>11760000.000000002</v>
      </c>
      <c r="P26" s="8">
        <f t="shared" si="18"/>
        <v>11.760000000000002</v>
      </c>
      <c r="Q26" s="10">
        <f t="shared" si="9"/>
        <v>36.103200000000001</v>
      </c>
      <c r="R26" s="7">
        <f>'[1]Nov Prod'!C25</f>
        <v>12093000</v>
      </c>
      <c r="S26" s="8">
        <f t="shared" si="19"/>
        <v>12.093</v>
      </c>
      <c r="T26" s="10">
        <f t="shared" si="11"/>
        <v>37.125509999999998</v>
      </c>
      <c r="U26" s="7">
        <f>'[1]Nov Prod'!D25</f>
        <v>0</v>
      </c>
      <c r="V26" s="8">
        <f t="shared" si="12"/>
        <v>0</v>
      </c>
      <c r="W26" s="10">
        <f t="shared" si="13"/>
        <v>0</v>
      </c>
      <c r="X26" s="7">
        <f>'[1]Nov Prod'!$D273</f>
        <v>332999.99999999843</v>
      </c>
      <c r="Y26" s="8">
        <f t="shared" si="14"/>
        <v>0.33299999999999841</v>
      </c>
      <c r="Z26" s="10">
        <f t="shared" si="15"/>
        <v>1.0223099999999952</v>
      </c>
      <c r="AA26" s="15"/>
      <c r="AB26" s="7">
        <f t="shared" si="16"/>
        <v>11760000.000000002</v>
      </c>
      <c r="AC26" s="8">
        <f t="shared" si="16"/>
        <v>11.760000000000002</v>
      </c>
      <c r="AD26" s="8">
        <f t="shared" si="16"/>
        <v>36.103200000000001</v>
      </c>
    </row>
    <row r="27" spans="1:30" x14ac:dyDescent="0.2">
      <c r="A27" s="1">
        <v>38314</v>
      </c>
      <c r="B27" s="44">
        <v>0</v>
      </c>
      <c r="C27" s="8">
        <f t="shared" si="0"/>
        <v>0</v>
      </c>
      <c r="D27" s="10">
        <f t="shared" si="1"/>
        <v>0</v>
      </c>
      <c r="E27" s="7">
        <f>'[1]Nov Prod'!E26</f>
        <v>0</v>
      </c>
      <c r="F27" s="8">
        <f t="shared" si="2"/>
        <v>0</v>
      </c>
      <c r="G27" s="10">
        <f t="shared" si="3"/>
        <v>0</v>
      </c>
      <c r="H27" s="7">
        <f>'[1]Nov Prod'!F26</f>
        <v>0</v>
      </c>
      <c r="I27" s="8">
        <f t="shared" si="4"/>
        <v>0</v>
      </c>
      <c r="J27" s="10">
        <f t="shared" si="5"/>
        <v>0</v>
      </c>
      <c r="K27" s="7">
        <f>'[1]Nov Prod'!$H274*10</f>
        <v>0</v>
      </c>
      <c r="L27" s="8">
        <f t="shared" si="17"/>
        <v>0</v>
      </c>
      <c r="M27" s="10">
        <f t="shared" si="7"/>
        <v>0</v>
      </c>
      <c r="N27" s="21"/>
      <c r="O27" s="7">
        <f>'[1]Nov Prod'!H26</f>
        <v>10476999.999999993</v>
      </c>
      <c r="P27" s="8">
        <f t="shared" si="18"/>
        <v>10.476999999999993</v>
      </c>
      <c r="Q27" s="10">
        <f t="shared" si="9"/>
        <v>32.164389999999976</v>
      </c>
      <c r="R27" s="7">
        <f>'[1]Nov Prod'!C26</f>
        <v>10809000</v>
      </c>
      <c r="S27" s="8">
        <f t="shared" si="19"/>
        <v>10.808999999999999</v>
      </c>
      <c r="T27" s="10">
        <f t="shared" si="11"/>
        <v>33.183629999999994</v>
      </c>
      <c r="U27" s="7">
        <f>'[1]Nov Prod'!D26</f>
        <v>0</v>
      </c>
      <c r="V27" s="8">
        <f t="shared" si="12"/>
        <v>0</v>
      </c>
      <c r="W27" s="10">
        <f t="shared" si="13"/>
        <v>0</v>
      </c>
      <c r="X27" s="7">
        <f>'[1]Nov Prod'!$D274</f>
        <v>332000.00000000786</v>
      </c>
      <c r="Y27" s="8">
        <f t="shared" si="14"/>
        <v>0.33200000000000784</v>
      </c>
      <c r="Z27" s="10">
        <f t="shared" si="15"/>
        <v>1.0192400000000241</v>
      </c>
      <c r="AA27" s="15"/>
      <c r="AB27" s="7">
        <f t="shared" si="16"/>
        <v>10476999.999999993</v>
      </c>
      <c r="AC27" s="8">
        <f t="shared" si="16"/>
        <v>10.476999999999993</v>
      </c>
      <c r="AD27" s="8">
        <f t="shared" si="16"/>
        <v>32.164389999999976</v>
      </c>
    </row>
    <row r="28" spans="1:30" x14ac:dyDescent="0.2">
      <c r="A28" s="1">
        <v>38315</v>
      </c>
      <c r="B28" s="7">
        <f>'[1]Nov Prod'!I27</f>
        <v>0</v>
      </c>
      <c r="C28" s="8">
        <f t="shared" si="0"/>
        <v>0</v>
      </c>
      <c r="D28" s="10">
        <f t="shared" si="1"/>
        <v>0</v>
      </c>
      <c r="E28" s="7">
        <f>'[1]Nov Prod'!E27</f>
        <v>0</v>
      </c>
      <c r="F28" s="8">
        <f t="shared" si="2"/>
        <v>0</v>
      </c>
      <c r="G28" s="10">
        <f t="shared" si="3"/>
        <v>0</v>
      </c>
      <c r="H28" s="7">
        <f>'[1]Nov Prod'!F27</f>
        <v>0</v>
      </c>
      <c r="I28" s="8">
        <f t="shared" si="4"/>
        <v>0</v>
      </c>
      <c r="J28" s="10">
        <f t="shared" si="5"/>
        <v>0</v>
      </c>
      <c r="K28" s="7">
        <f>'[1]Nov Prod'!$H275*10</f>
        <v>0</v>
      </c>
      <c r="L28" s="8">
        <f t="shared" si="17"/>
        <v>0</v>
      </c>
      <c r="M28" s="10">
        <f t="shared" si="7"/>
        <v>0</v>
      </c>
      <c r="N28" s="21"/>
      <c r="O28" s="7">
        <f>'[1]Nov Prod'!H27</f>
        <v>11908000.000000002</v>
      </c>
      <c r="P28" s="8">
        <f t="shared" si="18"/>
        <v>11.908000000000001</v>
      </c>
      <c r="Q28" s="10">
        <f t="shared" si="9"/>
        <v>36.557560000000002</v>
      </c>
      <c r="R28" s="7">
        <f>'[1]Nov Prod'!C27</f>
        <v>12241000</v>
      </c>
      <c r="S28" s="8">
        <f t="shared" si="19"/>
        <v>12.241</v>
      </c>
      <c r="T28" s="10">
        <f t="shared" si="11"/>
        <v>37.57987</v>
      </c>
      <c r="U28" s="7">
        <f>'[1]Nov Prod'!D27</f>
        <v>0</v>
      </c>
      <c r="V28" s="8">
        <f t="shared" si="12"/>
        <v>0</v>
      </c>
      <c r="W28" s="10">
        <f t="shared" si="13"/>
        <v>0</v>
      </c>
      <c r="X28" s="7">
        <f>'[1]Nov Prod'!$D275</f>
        <v>332999.99999999843</v>
      </c>
      <c r="Y28" s="8">
        <f t="shared" si="14"/>
        <v>0.33299999999999841</v>
      </c>
      <c r="Z28" s="10">
        <f t="shared" si="15"/>
        <v>1.0223099999999952</v>
      </c>
      <c r="AA28" s="15"/>
      <c r="AB28" s="7">
        <f t="shared" si="16"/>
        <v>11908000.000000002</v>
      </c>
      <c r="AC28" s="8">
        <f t="shared" si="16"/>
        <v>11.908000000000001</v>
      </c>
      <c r="AD28" s="8">
        <f t="shared" si="16"/>
        <v>36.557560000000002</v>
      </c>
    </row>
    <row r="29" spans="1:30" x14ac:dyDescent="0.2">
      <c r="A29" s="1">
        <v>38316</v>
      </c>
      <c r="B29" s="7">
        <f>'[1]Nov Prod'!I28</f>
        <v>0</v>
      </c>
      <c r="C29" s="8">
        <f t="shared" si="0"/>
        <v>0</v>
      </c>
      <c r="D29" s="10">
        <f t="shared" si="1"/>
        <v>0</v>
      </c>
      <c r="E29" s="7">
        <f>'[1]Nov Prod'!E28</f>
        <v>0</v>
      </c>
      <c r="F29" s="8">
        <f t="shared" si="2"/>
        <v>0</v>
      </c>
      <c r="G29" s="10">
        <f t="shared" si="3"/>
        <v>0</v>
      </c>
      <c r="H29" s="7">
        <f>'[1]Nov Prod'!F28</f>
        <v>0</v>
      </c>
      <c r="I29" s="8">
        <f t="shared" si="4"/>
        <v>0</v>
      </c>
      <c r="J29" s="10">
        <f t="shared" si="5"/>
        <v>0</v>
      </c>
      <c r="K29" s="7">
        <f>'[1]Nov Prod'!$H276*10</f>
        <v>0</v>
      </c>
      <c r="L29" s="8">
        <f t="shared" si="17"/>
        <v>0</v>
      </c>
      <c r="M29" s="10">
        <f t="shared" si="7"/>
        <v>0</v>
      </c>
      <c r="N29" s="21"/>
      <c r="O29" s="7">
        <f>'[1]Nov Prod'!H28</f>
        <v>11415000.000000007</v>
      </c>
      <c r="P29" s="8">
        <f t="shared" si="18"/>
        <v>11.415000000000008</v>
      </c>
      <c r="Q29" s="10">
        <f t="shared" si="9"/>
        <v>35.04405000000002</v>
      </c>
      <c r="R29" s="7">
        <f>'[1]Nov Prod'!C28</f>
        <v>11744000</v>
      </c>
      <c r="S29" s="8">
        <f t="shared" si="19"/>
        <v>11.744</v>
      </c>
      <c r="T29" s="10">
        <f t="shared" si="11"/>
        <v>36.054079999999999</v>
      </c>
      <c r="U29" s="7">
        <f>'[1]Nov Prod'!D28</f>
        <v>0</v>
      </c>
      <c r="V29" s="8">
        <f t="shared" si="12"/>
        <v>0</v>
      </c>
      <c r="W29" s="10">
        <f t="shared" si="13"/>
        <v>0</v>
      </c>
      <c r="X29" s="7">
        <f>'[1]Nov Prod'!$D276</f>
        <v>328999.99999999354</v>
      </c>
      <c r="Y29" s="8">
        <f t="shared" si="14"/>
        <v>0.32899999999999352</v>
      </c>
      <c r="Z29" s="10">
        <f t="shared" si="15"/>
        <v>1.01002999999998</v>
      </c>
      <c r="AA29" s="15"/>
      <c r="AB29" s="7">
        <f t="shared" si="16"/>
        <v>11415000.000000007</v>
      </c>
      <c r="AC29" s="8">
        <f t="shared" si="16"/>
        <v>11.415000000000008</v>
      </c>
      <c r="AD29" s="8">
        <f t="shared" si="16"/>
        <v>35.04405000000002</v>
      </c>
    </row>
    <row r="30" spans="1:30" x14ac:dyDescent="0.2">
      <c r="A30" s="1">
        <v>38317</v>
      </c>
      <c r="B30" s="7">
        <f>'[1]Nov Prod'!I29</f>
        <v>0</v>
      </c>
      <c r="C30" s="8">
        <f t="shared" si="0"/>
        <v>0</v>
      </c>
      <c r="D30" s="10">
        <f t="shared" si="1"/>
        <v>0</v>
      </c>
      <c r="E30" s="7">
        <f>'[1]Nov Prod'!E29</f>
        <v>0</v>
      </c>
      <c r="F30" s="8">
        <f t="shared" si="2"/>
        <v>0</v>
      </c>
      <c r="G30" s="10">
        <f t="shared" si="3"/>
        <v>0</v>
      </c>
      <c r="H30" s="7">
        <f>'[1]Nov Prod'!F29</f>
        <v>0</v>
      </c>
      <c r="I30" s="8">
        <f t="shared" si="4"/>
        <v>0</v>
      </c>
      <c r="J30" s="10">
        <f t="shared" si="5"/>
        <v>0</v>
      </c>
      <c r="K30" s="7">
        <f>'[1]Nov Prod'!$H277*10</f>
        <v>0</v>
      </c>
      <c r="L30" s="8">
        <f t="shared" si="17"/>
        <v>0</v>
      </c>
      <c r="M30" s="10">
        <f t="shared" si="7"/>
        <v>0</v>
      </c>
      <c r="N30" s="21"/>
      <c r="O30" s="7">
        <f>'[1]Nov Prod'!H29</f>
        <v>10682999.999999993</v>
      </c>
      <c r="P30" s="8">
        <f t="shared" si="18"/>
        <v>10.682999999999993</v>
      </c>
      <c r="Q30" s="10">
        <f t="shared" si="9"/>
        <v>32.796809999999979</v>
      </c>
      <c r="R30" s="7">
        <f>'[1]Nov Prod'!C29</f>
        <v>11021000</v>
      </c>
      <c r="S30" s="8">
        <f t="shared" si="19"/>
        <v>11.021000000000001</v>
      </c>
      <c r="T30" s="10">
        <f t="shared" si="11"/>
        <v>33.834470000000003</v>
      </c>
      <c r="U30" s="7">
        <f>'[1]Nov Prod'!D29</f>
        <v>0</v>
      </c>
      <c r="V30" s="8">
        <f t="shared" si="12"/>
        <v>0</v>
      </c>
      <c r="W30" s="10">
        <f t="shared" si="13"/>
        <v>0</v>
      </c>
      <c r="X30" s="7">
        <f>'[1]Nov Prod'!$D277</f>
        <v>338000.00000000809</v>
      </c>
      <c r="Y30" s="8">
        <f t="shared" si="14"/>
        <v>0.33800000000000807</v>
      </c>
      <c r="Z30" s="10">
        <f t="shared" si="15"/>
        <v>1.0376600000000247</v>
      </c>
      <c r="AA30" s="15"/>
      <c r="AB30" s="7">
        <f t="shared" si="16"/>
        <v>10682999.999999993</v>
      </c>
      <c r="AC30" s="8">
        <f t="shared" si="16"/>
        <v>10.682999999999993</v>
      </c>
      <c r="AD30" s="8">
        <f>D30+Q30</f>
        <v>32.796809999999979</v>
      </c>
    </row>
    <row r="31" spans="1:30" x14ac:dyDescent="0.2">
      <c r="A31" s="1">
        <v>38318</v>
      </c>
      <c r="B31" s="7">
        <f>'[1]Nov Prod'!I30</f>
        <v>0</v>
      </c>
      <c r="C31" s="8">
        <f t="shared" si="0"/>
        <v>0</v>
      </c>
      <c r="D31" s="10">
        <f t="shared" si="1"/>
        <v>0</v>
      </c>
      <c r="E31" s="7">
        <f>'[1]Nov Prod'!E30</f>
        <v>0</v>
      </c>
      <c r="F31" s="8">
        <f t="shared" si="2"/>
        <v>0</v>
      </c>
      <c r="G31" s="10">
        <f t="shared" si="3"/>
        <v>0</v>
      </c>
      <c r="H31" s="7">
        <f>'[1]Nov Prod'!F30</f>
        <v>0</v>
      </c>
      <c r="I31" s="8">
        <f t="shared" si="4"/>
        <v>0</v>
      </c>
      <c r="J31" s="10">
        <f t="shared" si="5"/>
        <v>0</v>
      </c>
      <c r="K31" s="7">
        <f>'[1]Nov Prod'!$H278*10</f>
        <v>0</v>
      </c>
      <c r="L31" s="8">
        <f t="shared" si="17"/>
        <v>0</v>
      </c>
      <c r="M31" s="10">
        <f t="shared" si="7"/>
        <v>0</v>
      </c>
      <c r="N31" s="21"/>
      <c r="O31" s="7">
        <f>'[1]Nov Prod'!H30</f>
        <v>11609000.000000002</v>
      </c>
      <c r="P31" s="8">
        <f t="shared" si="18"/>
        <v>11.609000000000002</v>
      </c>
      <c r="Q31" s="10">
        <f t="shared" si="9"/>
        <v>35.639630000000004</v>
      </c>
      <c r="R31" s="7">
        <f>'[1]Nov Prod'!C30</f>
        <v>11954000</v>
      </c>
      <c r="S31" s="8">
        <f t="shared" si="19"/>
        <v>11.954000000000001</v>
      </c>
      <c r="T31" s="10">
        <f t="shared" si="11"/>
        <v>36.698779999999999</v>
      </c>
      <c r="U31" s="7">
        <f>'[1]Nov Prod'!D30</f>
        <v>0</v>
      </c>
      <c r="V31" s="8">
        <f t="shared" si="12"/>
        <v>0</v>
      </c>
      <c r="W31" s="10">
        <f t="shared" si="13"/>
        <v>0</v>
      </c>
      <c r="X31" s="7">
        <f>'[1]Nov Prod'!$D278</f>
        <v>344999.99999999884</v>
      </c>
      <c r="Y31" s="8">
        <f t="shared" si="14"/>
        <v>0.34499999999999886</v>
      </c>
      <c r="Z31" s="10">
        <f t="shared" si="15"/>
        <v>1.0591499999999965</v>
      </c>
      <c r="AA31" s="15"/>
      <c r="AB31" s="7">
        <f t="shared" si="16"/>
        <v>11609000.000000002</v>
      </c>
      <c r="AC31" s="8">
        <f t="shared" si="16"/>
        <v>11.609000000000002</v>
      </c>
      <c r="AD31" s="8">
        <f t="shared" si="16"/>
        <v>35.639630000000004</v>
      </c>
    </row>
    <row r="32" spans="1:30" x14ac:dyDescent="0.2">
      <c r="A32" s="1">
        <v>38319</v>
      </c>
      <c r="B32" s="7">
        <f>'[1]Nov Prod'!I31</f>
        <v>0</v>
      </c>
      <c r="C32" s="8">
        <f t="shared" si="0"/>
        <v>0</v>
      </c>
      <c r="D32" s="10">
        <f t="shared" si="1"/>
        <v>0</v>
      </c>
      <c r="E32" s="7">
        <f>'[1]Nov Prod'!E31</f>
        <v>0</v>
      </c>
      <c r="F32" s="8">
        <f t="shared" si="2"/>
        <v>0</v>
      </c>
      <c r="G32" s="10">
        <f t="shared" si="3"/>
        <v>0</v>
      </c>
      <c r="H32" s="7">
        <f>'[1]Nov Prod'!F31</f>
        <v>0</v>
      </c>
      <c r="I32" s="8">
        <f t="shared" si="4"/>
        <v>0</v>
      </c>
      <c r="J32" s="10">
        <f t="shared" si="5"/>
        <v>0</v>
      </c>
      <c r="K32" s="7">
        <f>'[1]Nov Prod'!$H279*10</f>
        <v>0</v>
      </c>
      <c r="L32" s="8">
        <f t="shared" si="17"/>
        <v>0</v>
      </c>
      <c r="M32" s="10">
        <f t="shared" si="7"/>
        <v>0</v>
      </c>
      <c r="N32" s="21"/>
      <c r="O32" s="7">
        <f>'[1]Nov Prod'!H31</f>
        <v>11459000.000000002</v>
      </c>
      <c r="P32" s="8">
        <f t="shared" si="18"/>
        <v>11.459000000000001</v>
      </c>
      <c r="Q32" s="10">
        <f t="shared" si="9"/>
        <v>35.179130000000001</v>
      </c>
      <c r="R32" s="7">
        <f>'[1]Nov Prod'!C31</f>
        <v>11780000</v>
      </c>
      <c r="S32" s="8">
        <f t="shared" si="19"/>
        <v>11.78</v>
      </c>
      <c r="T32" s="10">
        <f t="shared" si="11"/>
        <v>36.164599999999993</v>
      </c>
      <c r="U32" s="7">
        <f>'[1]Nov Prod'!D31</f>
        <v>0</v>
      </c>
      <c r="V32" s="8">
        <f t="shared" si="12"/>
        <v>0</v>
      </c>
      <c r="W32" s="10">
        <f t="shared" si="13"/>
        <v>0</v>
      </c>
      <c r="X32" s="7">
        <f>'[1]Nov Prod'!$D279</f>
        <v>320999.99999999796</v>
      </c>
      <c r="Y32" s="8">
        <f t="shared" si="14"/>
        <v>0.32099999999999795</v>
      </c>
      <c r="Z32" s="10">
        <f t="shared" si="15"/>
        <v>0.98546999999999363</v>
      </c>
      <c r="AA32" s="15"/>
      <c r="AB32" s="7">
        <f t="shared" si="16"/>
        <v>11459000.000000002</v>
      </c>
      <c r="AC32" s="8">
        <f t="shared" si="16"/>
        <v>11.459000000000001</v>
      </c>
      <c r="AD32" s="8">
        <f t="shared" si="16"/>
        <v>35.179130000000001</v>
      </c>
    </row>
    <row r="33" spans="1:30" x14ac:dyDescent="0.2">
      <c r="A33" s="1">
        <v>38320</v>
      </c>
      <c r="B33" s="7">
        <f>'[1]Nov Prod'!I32</f>
        <v>0</v>
      </c>
      <c r="C33" s="8">
        <f t="shared" si="0"/>
        <v>0</v>
      </c>
      <c r="D33" s="10">
        <f t="shared" si="1"/>
        <v>0</v>
      </c>
      <c r="E33" s="7">
        <f>'[1]Nov Prod'!E32</f>
        <v>0</v>
      </c>
      <c r="F33" s="8">
        <f t="shared" si="2"/>
        <v>0</v>
      </c>
      <c r="G33" s="10">
        <f t="shared" si="3"/>
        <v>0</v>
      </c>
      <c r="H33" s="7">
        <f>'[1]Nov Prod'!F32</f>
        <v>0</v>
      </c>
      <c r="I33" s="8">
        <f t="shared" si="4"/>
        <v>0</v>
      </c>
      <c r="J33" s="10">
        <f t="shared" si="5"/>
        <v>0</v>
      </c>
      <c r="K33" s="7">
        <f>'[1]Nov Prod'!$H280*10</f>
        <v>0</v>
      </c>
      <c r="L33" s="8">
        <f t="shared" si="17"/>
        <v>0</v>
      </c>
      <c r="M33" s="10">
        <f t="shared" si="7"/>
        <v>0</v>
      </c>
      <c r="N33" s="21"/>
      <c r="O33" s="7">
        <f>'[1]Nov Prod'!H32</f>
        <v>11443999.999999994</v>
      </c>
      <c r="P33" s="8">
        <f t="shared" si="18"/>
        <v>11.443999999999994</v>
      </c>
      <c r="Q33" s="10">
        <f t="shared" si="9"/>
        <v>35.133079999999978</v>
      </c>
      <c r="R33" s="7">
        <f>'[1]Nov Prod'!C32</f>
        <v>11719000</v>
      </c>
      <c r="S33" s="8">
        <f t="shared" si="19"/>
        <v>11.718999999999999</v>
      </c>
      <c r="T33" s="10">
        <f t="shared" si="11"/>
        <v>35.977329999999995</v>
      </c>
      <c r="U33" s="7">
        <f>'[1]Nov Prod'!D32</f>
        <v>0</v>
      </c>
      <c r="V33" s="8">
        <f t="shared" si="12"/>
        <v>0</v>
      </c>
      <c r="W33" s="10">
        <f t="shared" si="13"/>
        <v>0</v>
      </c>
      <c r="X33" s="7">
        <f>'[1]Nov Prod'!$D280</f>
        <v>275000.0000000057</v>
      </c>
      <c r="Y33" s="8">
        <f t="shared" si="14"/>
        <v>0.27500000000000568</v>
      </c>
      <c r="Z33" s="10">
        <f t="shared" si="15"/>
        <v>0.84425000000001738</v>
      </c>
      <c r="AA33" s="15"/>
      <c r="AB33" s="7">
        <f t="shared" si="16"/>
        <v>11443999.999999994</v>
      </c>
      <c r="AC33" s="8">
        <f t="shared" si="16"/>
        <v>11.443999999999994</v>
      </c>
      <c r="AD33" s="8">
        <f t="shared" si="16"/>
        <v>35.133079999999978</v>
      </c>
    </row>
    <row r="34" spans="1:30" ht="13.5" thickBot="1" x14ac:dyDescent="0.25">
      <c r="A34" s="1">
        <v>38321</v>
      </c>
      <c r="B34" s="7">
        <f>'[1]Nov Prod'!I33</f>
        <v>0</v>
      </c>
      <c r="C34" s="8">
        <f t="shared" si="0"/>
        <v>0</v>
      </c>
      <c r="D34" s="10">
        <f t="shared" si="1"/>
        <v>0</v>
      </c>
      <c r="E34" s="7">
        <f>'[1]Nov Prod'!E33</f>
        <v>0</v>
      </c>
      <c r="F34" s="8">
        <f t="shared" si="2"/>
        <v>0</v>
      </c>
      <c r="G34" s="10">
        <f t="shared" si="3"/>
        <v>0</v>
      </c>
      <c r="H34" s="7">
        <f>'[1]Nov Prod'!F33</f>
        <v>0</v>
      </c>
      <c r="I34" s="8">
        <f t="shared" si="4"/>
        <v>0</v>
      </c>
      <c r="J34" s="10">
        <f t="shared" si="5"/>
        <v>0</v>
      </c>
      <c r="K34" s="7">
        <f>'[1]Nov Prod'!$H281*10</f>
        <v>0</v>
      </c>
      <c r="L34" s="8">
        <f t="shared" si="17"/>
        <v>0</v>
      </c>
      <c r="M34" s="10">
        <f t="shared" si="7"/>
        <v>0</v>
      </c>
      <c r="N34" s="21"/>
      <c r="O34" s="7">
        <f>'[1]Nov Prod'!H33</f>
        <v>11819000.000000007</v>
      </c>
      <c r="P34" s="8">
        <f t="shared" si="18"/>
        <v>11.819000000000008</v>
      </c>
      <c r="Q34" s="10">
        <f t="shared" si="9"/>
        <v>36.284330000000026</v>
      </c>
      <c r="R34" s="7">
        <f>'[1]Nov Prod'!C33</f>
        <v>12103000</v>
      </c>
      <c r="S34" s="8">
        <f t="shared" si="19"/>
        <v>12.103</v>
      </c>
      <c r="T34" s="10">
        <f t="shared" si="11"/>
        <v>37.156209999999994</v>
      </c>
      <c r="U34" s="7">
        <f>'[1]Nov Prod'!D33</f>
        <v>0</v>
      </c>
      <c r="V34" s="8">
        <f t="shared" si="12"/>
        <v>0</v>
      </c>
      <c r="W34" s="10">
        <f t="shared" si="13"/>
        <v>0</v>
      </c>
      <c r="X34" s="7">
        <f>'[1]Nov Prod'!$D281</f>
        <v>283999.99999999179</v>
      </c>
      <c r="Y34" s="8">
        <f t="shared" si="14"/>
        <v>0.28399999999999181</v>
      </c>
      <c r="Z34" s="10">
        <f t="shared" si="15"/>
        <v>0.87187999999997479</v>
      </c>
      <c r="AA34" s="15"/>
      <c r="AB34" s="7">
        <f t="shared" si="16"/>
        <v>11819000.000000007</v>
      </c>
      <c r="AC34" s="8">
        <f t="shared" si="16"/>
        <v>11.819000000000008</v>
      </c>
      <c r="AD34" s="8">
        <f t="shared" si="16"/>
        <v>36.284330000000026</v>
      </c>
    </row>
    <row r="35" spans="1:30" ht="13.5" thickBot="1" x14ac:dyDescent="0.25">
      <c r="A35" s="20"/>
      <c r="B35" s="39"/>
      <c r="C35" s="40">
        <f>SUM(C5:C34)</f>
        <v>21.200000000000728</v>
      </c>
      <c r="D35" s="40">
        <f>SUM(D5:D34)</f>
        <v>65.084000000002234</v>
      </c>
      <c r="E35" s="39"/>
      <c r="F35" s="40">
        <f>SUM(F5:F34)</f>
        <v>21.200000000000728</v>
      </c>
      <c r="G35" s="40">
        <f>SUM(G5:G34)</f>
        <v>65.084000000002234</v>
      </c>
      <c r="H35" s="39"/>
      <c r="I35" s="40">
        <f>SUM(I5:I34)</f>
        <v>0</v>
      </c>
      <c r="J35" s="40">
        <f>SUM(J5:J34)</f>
        <v>0</v>
      </c>
      <c r="K35" s="39"/>
      <c r="L35" s="40">
        <f>SUM(L5:L34)</f>
        <v>1.5579430000000001</v>
      </c>
      <c r="M35" s="40">
        <f>SUM(M5:M34)</f>
        <v>4.7828850099999993</v>
      </c>
      <c r="N35" s="14"/>
      <c r="O35" s="39"/>
      <c r="P35" s="40">
        <f>SUM(P5:P34)</f>
        <v>318.59928600000006</v>
      </c>
      <c r="Q35" s="40">
        <f>SUM(Q5:Q34)</f>
        <v>978.09980801999973</v>
      </c>
      <c r="R35" s="39"/>
      <c r="S35" s="40">
        <f>SUM(S5:S34)</f>
        <v>327.10800000000006</v>
      </c>
      <c r="T35" s="40">
        <f>SUM(T5:T34)</f>
        <v>1004.2215600000001</v>
      </c>
      <c r="U35" s="39"/>
      <c r="V35" s="40">
        <f>SUM(V5:V34)</f>
        <v>0</v>
      </c>
      <c r="W35" s="40">
        <f>SUM(W5:W34)</f>
        <v>0</v>
      </c>
      <c r="X35" s="39"/>
      <c r="Y35" s="40">
        <f>SUM(Y5:Y34)</f>
        <v>8.5090000000000003</v>
      </c>
      <c r="Z35" s="40">
        <f>SUM(Z5:Z34)</f>
        <v>26.122629999999997</v>
      </c>
      <c r="AA35" s="14"/>
      <c r="AB35" s="39">
        <f t="shared" si="16"/>
        <v>0</v>
      </c>
      <c r="AC35" s="40">
        <f t="shared" si="16"/>
        <v>339.79928600000079</v>
      </c>
      <c r="AD35" s="40">
        <f t="shared" si="16"/>
        <v>1043.1838080200021</v>
      </c>
    </row>
    <row r="36" spans="1:30" x14ac:dyDescent="0.2">
      <c r="C36" s="18"/>
      <c r="E36" s="3"/>
      <c r="F36" s="3"/>
      <c r="G36" s="3"/>
      <c r="H36" s="3"/>
      <c r="I36" s="3"/>
      <c r="J36" s="3"/>
      <c r="K36" s="14"/>
      <c r="L36" s="3"/>
      <c r="M36" s="3"/>
      <c r="N36" s="3"/>
      <c r="O36" s="3"/>
      <c r="P36" s="3"/>
      <c r="Q36" s="3"/>
      <c r="R36" s="3"/>
      <c r="S36" s="3"/>
      <c r="T36" s="3"/>
      <c r="U36" s="14"/>
      <c r="AB36" s="23"/>
      <c r="AC36" s="31"/>
      <c r="AD36" s="23"/>
    </row>
  </sheetData>
  <mergeCells count="9">
    <mergeCell ref="AB3:AD3"/>
    <mergeCell ref="R3:T3"/>
    <mergeCell ref="U3:W3"/>
    <mergeCell ref="B3:D3"/>
    <mergeCell ref="E3:G3"/>
    <mergeCell ref="H3:J3"/>
    <mergeCell ref="O3:Q3"/>
    <mergeCell ref="K3:M3"/>
    <mergeCell ref="X3:Z3"/>
  </mergeCells>
  <phoneticPr fontId="1" type="noConversion"/>
  <pageMargins left="0.75" right="0.75" top="1" bottom="1" header="0.5" footer="0.5"/>
  <pageSetup scale="78" orientation="landscape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37"/>
  <sheetViews>
    <sheetView workbookViewId="0">
      <pane xSplit="1" ySplit="4" topLeftCell="B20" activePane="bottomRight" state="frozen"/>
      <selection pane="topRight" activeCell="B1" sqref="B1"/>
      <selection pane="bottomLeft" activeCell="A5" sqref="A5"/>
      <selection pane="bottomRight" activeCell="T31" sqref="T31:T35"/>
    </sheetView>
  </sheetViews>
  <sheetFormatPr defaultRowHeight="12.75" x14ac:dyDescent="0.2"/>
  <cols>
    <col min="2" max="2" width="11" customWidth="1"/>
    <col min="5" max="5" width="11.28515625" customWidth="1"/>
    <col min="8" max="8" width="16.7109375" customWidth="1"/>
    <col min="11" max="11" width="10" customWidth="1"/>
    <col min="12" max="12" width="10.7109375" customWidth="1"/>
    <col min="15" max="15" width="11" customWidth="1"/>
    <col min="18" max="18" width="10.7109375" customWidth="1"/>
    <col min="21" max="21" width="11.7109375" bestFit="1" customWidth="1"/>
    <col min="22" max="22" width="10.7109375" customWidth="1"/>
    <col min="28" max="28" width="12.7109375" customWidth="1"/>
  </cols>
  <sheetData>
    <row r="1" spans="1:30" x14ac:dyDescent="0.2">
      <c r="B1" s="41"/>
      <c r="C1" s="26"/>
      <c r="D1" s="26"/>
      <c r="E1" s="22"/>
      <c r="F1" s="22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</row>
    <row r="2" spans="1:30" ht="13.5" thickBot="1" x14ac:dyDescent="0.25">
      <c r="C2" s="18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</row>
    <row r="3" spans="1:30" ht="60.75" customHeight="1" thickBot="1" x14ac:dyDescent="0.25">
      <c r="A3" s="3"/>
      <c r="B3" s="51" t="s">
        <v>10</v>
      </c>
      <c r="C3" s="52"/>
      <c r="D3" s="53"/>
      <c r="E3" s="51" t="s">
        <v>11</v>
      </c>
      <c r="F3" s="52"/>
      <c r="G3" s="53"/>
      <c r="H3" s="51" t="s">
        <v>12</v>
      </c>
      <c r="I3" s="52"/>
      <c r="J3" s="53"/>
      <c r="K3" s="51" t="s">
        <v>13</v>
      </c>
      <c r="L3" s="52"/>
      <c r="M3" s="53"/>
      <c r="N3" s="19"/>
      <c r="O3" s="51" t="s">
        <v>4</v>
      </c>
      <c r="P3" s="52"/>
      <c r="Q3" s="53"/>
      <c r="R3" s="51" t="s">
        <v>3</v>
      </c>
      <c r="S3" s="52"/>
      <c r="T3" s="53"/>
      <c r="U3" s="51" t="s">
        <v>6</v>
      </c>
      <c r="V3" s="52"/>
      <c r="W3" s="53"/>
      <c r="X3" s="51" t="s">
        <v>7</v>
      </c>
      <c r="Y3" s="52"/>
      <c r="Z3" s="53"/>
      <c r="AA3" s="19"/>
      <c r="AB3" s="48" t="s">
        <v>8</v>
      </c>
      <c r="AC3" s="49"/>
      <c r="AD3" s="50"/>
    </row>
    <row r="4" spans="1:30" x14ac:dyDescent="0.2">
      <c r="A4" s="2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6" t="s">
        <v>0</v>
      </c>
      <c r="AC4" s="37" t="s">
        <v>1</v>
      </c>
      <c r="AD4" s="38" t="s">
        <v>2</v>
      </c>
    </row>
    <row r="5" spans="1:30" x14ac:dyDescent="0.2">
      <c r="A5" s="1">
        <v>38322</v>
      </c>
      <c r="B5" s="7">
        <f>'[2]Dec Prod'!I4</f>
        <v>0</v>
      </c>
      <c r="C5" s="8">
        <f t="shared" ref="C5:C35" si="0">B5/1000000</f>
        <v>0</v>
      </c>
      <c r="D5" s="10">
        <f t="shared" ref="D5:D35" si="1">C5*3.07</f>
        <v>0</v>
      </c>
      <c r="E5" s="7">
        <f>'[2]Dec Prod'!E4</f>
        <v>0</v>
      </c>
      <c r="F5" s="8">
        <f t="shared" ref="F5:F35" si="2">E5/1000000</f>
        <v>0</v>
      </c>
      <c r="G5" s="10">
        <f t="shared" ref="G5:G35" si="3">F5*3.07</f>
        <v>0</v>
      </c>
      <c r="H5" s="7">
        <f>'[2]Dec Prod'!F4</f>
        <v>0</v>
      </c>
      <c r="I5" s="8">
        <f t="shared" ref="I5:I35" si="4">H5/1000000</f>
        <v>0</v>
      </c>
      <c r="J5" s="10">
        <f t="shared" ref="J5:J35" si="5">I5*3.07</f>
        <v>0</v>
      </c>
      <c r="K5" s="7">
        <f>'[2]Dec Prod'!H259</f>
        <v>0</v>
      </c>
      <c r="L5" s="8">
        <f t="shared" ref="L5:L35" si="6">K5/1000000</f>
        <v>0</v>
      </c>
      <c r="M5" s="10">
        <f t="shared" ref="M5:M35" si="7">L5*3.07</f>
        <v>0</v>
      </c>
      <c r="N5" s="21"/>
      <c r="O5" s="7">
        <f>'[2]Dec Prod'!H4</f>
        <v>11082000.000000002</v>
      </c>
      <c r="P5" s="8">
        <f t="shared" ref="P5:P35" si="8">O5/1000000</f>
        <v>11.082000000000003</v>
      </c>
      <c r="Q5" s="10">
        <f t="shared" ref="Q5:Q35" si="9">P5*3.07</f>
        <v>34.021740000000008</v>
      </c>
      <c r="R5" s="7">
        <f>'[2]Dec Prod'!C4</f>
        <v>11403000</v>
      </c>
      <c r="S5" s="8">
        <f t="shared" ref="S5:S35" si="10">R5/1000000</f>
        <v>11.403</v>
      </c>
      <c r="T5" s="10">
        <f t="shared" ref="T5:T35" si="11">S5*3.07</f>
        <v>35.007210000000001</v>
      </c>
      <c r="U5" s="7">
        <f>'[2]Dec Prod'!D4</f>
        <v>0</v>
      </c>
      <c r="V5" s="8">
        <f t="shared" ref="V5:V35" si="12">U5/1000000</f>
        <v>0</v>
      </c>
      <c r="W5" s="10">
        <f t="shared" ref="W5:W35" si="13">V5*3.07</f>
        <v>0</v>
      </c>
      <c r="X5" s="7">
        <f>'[2]Dec Prod'!D259</f>
        <v>320999.99999999796</v>
      </c>
      <c r="Y5" s="8">
        <f t="shared" ref="Y5:Y35" si="14">X5/1000000</f>
        <v>0.32099999999999795</v>
      </c>
      <c r="Z5" s="10">
        <f t="shared" ref="Z5:Z35" si="15">Y5*3.07</f>
        <v>0.98546999999999363</v>
      </c>
      <c r="AA5" s="15"/>
      <c r="AB5" s="7">
        <f>B5+O5</f>
        <v>11082000.000000002</v>
      </c>
      <c r="AC5" s="8">
        <f>C5+P5</f>
        <v>11.082000000000003</v>
      </c>
      <c r="AD5" s="8">
        <f>D5+Q5</f>
        <v>34.021740000000008</v>
      </c>
    </row>
    <row r="6" spans="1:30" x14ac:dyDescent="0.2">
      <c r="A6" s="1">
        <v>38323</v>
      </c>
      <c r="B6" s="7">
        <f>'[2]Dec Prod'!I5</f>
        <v>0</v>
      </c>
      <c r="C6" s="8">
        <f t="shared" si="0"/>
        <v>0</v>
      </c>
      <c r="D6" s="10">
        <f t="shared" si="1"/>
        <v>0</v>
      </c>
      <c r="E6" s="7">
        <f>'[2]Dec Prod'!E5</f>
        <v>0</v>
      </c>
      <c r="F6" s="8">
        <f t="shared" si="2"/>
        <v>0</v>
      </c>
      <c r="G6" s="10">
        <f t="shared" si="3"/>
        <v>0</v>
      </c>
      <c r="H6" s="7">
        <f>'[2]Dec Prod'!F5</f>
        <v>0</v>
      </c>
      <c r="I6" s="8">
        <f t="shared" si="4"/>
        <v>0</v>
      </c>
      <c r="J6" s="10">
        <f t="shared" si="5"/>
        <v>0</v>
      </c>
      <c r="K6" s="7">
        <f>'[2]Dec Prod'!H260</f>
        <v>0</v>
      </c>
      <c r="L6" s="8">
        <f t="shared" si="6"/>
        <v>0</v>
      </c>
      <c r="M6" s="10">
        <f t="shared" si="7"/>
        <v>0</v>
      </c>
      <c r="N6" s="21"/>
      <c r="O6" s="7">
        <f>'[2]Dec Prod'!H5</f>
        <v>10506999.999999987</v>
      </c>
      <c r="P6" s="8">
        <f t="shared" si="8"/>
        <v>10.506999999999987</v>
      </c>
      <c r="Q6" s="10">
        <f t="shared" si="9"/>
        <v>32.256489999999957</v>
      </c>
      <c r="R6" s="7">
        <f>'[2]Dec Prod'!C5</f>
        <v>10831000</v>
      </c>
      <c r="S6" s="8">
        <f t="shared" si="10"/>
        <v>10.831</v>
      </c>
      <c r="T6" s="10">
        <f t="shared" si="11"/>
        <v>33.251169999999995</v>
      </c>
      <c r="U6" s="7">
        <f>'[2]Dec Prod'!D5</f>
        <v>0</v>
      </c>
      <c r="V6" s="8">
        <f t="shared" si="12"/>
        <v>0</v>
      </c>
      <c r="W6" s="10">
        <f t="shared" si="13"/>
        <v>0</v>
      </c>
      <c r="X6" s="7">
        <f>'[2]Dec Prod'!D260</f>
        <v>324000.00000001228</v>
      </c>
      <c r="Y6" s="8">
        <f t="shared" si="14"/>
        <v>0.32400000000001228</v>
      </c>
      <c r="Z6" s="10">
        <f t="shared" si="15"/>
        <v>0.99468000000003765</v>
      </c>
      <c r="AA6" s="15"/>
      <c r="AB6" s="7">
        <f t="shared" ref="AB6:AD35" si="16">B6+O6</f>
        <v>10506999.999999987</v>
      </c>
      <c r="AC6" s="8">
        <f t="shared" si="16"/>
        <v>10.506999999999987</v>
      </c>
      <c r="AD6" s="8">
        <f t="shared" si="16"/>
        <v>32.256489999999957</v>
      </c>
    </row>
    <row r="7" spans="1:30" x14ac:dyDescent="0.2">
      <c r="A7" s="1">
        <v>38324</v>
      </c>
      <c r="B7" s="7">
        <f>'[2]Dec Prod'!I6</f>
        <v>0</v>
      </c>
      <c r="C7" s="8">
        <f t="shared" si="0"/>
        <v>0</v>
      </c>
      <c r="D7" s="10">
        <f t="shared" si="1"/>
        <v>0</v>
      </c>
      <c r="E7" s="7">
        <f>'[2]Dec Prod'!E6</f>
        <v>0</v>
      </c>
      <c r="F7" s="8">
        <f t="shared" si="2"/>
        <v>0</v>
      </c>
      <c r="G7" s="10">
        <f t="shared" si="3"/>
        <v>0</v>
      </c>
      <c r="H7" s="7">
        <f>'[2]Dec Prod'!F6</f>
        <v>0</v>
      </c>
      <c r="I7" s="8">
        <f t="shared" si="4"/>
        <v>0</v>
      </c>
      <c r="J7" s="10">
        <f t="shared" si="5"/>
        <v>0</v>
      </c>
      <c r="K7" s="7">
        <f>'[2]Dec Prod'!H261</f>
        <v>0</v>
      </c>
      <c r="L7" s="8">
        <f t="shared" si="6"/>
        <v>0</v>
      </c>
      <c r="M7" s="10">
        <f t="shared" si="7"/>
        <v>0</v>
      </c>
      <c r="N7" s="21"/>
      <c r="O7" s="7">
        <f>'[2]Dec Prod'!H6</f>
        <v>10717000.000000004</v>
      </c>
      <c r="P7" s="8">
        <f t="shared" si="8"/>
        <v>10.717000000000004</v>
      </c>
      <c r="Q7" s="10">
        <f t="shared" si="9"/>
        <v>32.901190000000014</v>
      </c>
      <c r="R7" s="7">
        <f>'[2]Dec Prod'!C6</f>
        <v>10999000</v>
      </c>
      <c r="S7" s="8">
        <f t="shared" si="10"/>
        <v>10.999000000000001</v>
      </c>
      <c r="T7" s="10">
        <f t="shared" si="11"/>
        <v>33.766930000000002</v>
      </c>
      <c r="U7" s="7">
        <f>'[2]Dec Prod'!D6</f>
        <v>0</v>
      </c>
      <c r="V7" s="8">
        <f t="shared" si="12"/>
        <v>0</v>
      </c>
      <c r="W7" s="10">
        <f t="shared" si="13"/>
        <v>0</v>
      </c>
      <c r="X7" s="7">
        <f>'[2]Dec Prod'!D261</f>
        <v>281999.99999999645</v>
      </c>
      <c r="Y7" s="8">
        <f t="shared" si="14"/>
        <v>0.28199999999999648</v>
      </c>
      <c r="Z7" s="10">
        <f t="shared" si="15"/>
        <v>0.86573999999998918</v>
      </c>
      <c r="AA7" s="15"/>
      <c r="AB7" s="7">
        <f t="shared" si="16"/>
        <v>10717000.000000004</v>
      </c>
      <c r="AC7" s="8">
        <f t="shared" si="16"/>
        <v>10.717000000000004</v>
      </c>
      <c r="AD7" s="8">
        <f t="shared" si="16"/>
        <v>32.901190000000014</v>
      </c>
    </row>
    <row r="8" spans="1:30" x14ac:dyDescent="0.2">
      <c r="A8" s="1">
        <v>38325</v>
      </c>
      <c r="B8" s="7">
        <f>'[2]Dec Prod'!I7</f>
        <v>0</v>
      </c>
      <c r="C8" s="8">
        <f t="shared" si="0"/>
        <v>0</v>
      </c>
      <c r="D8" s="10">
        <f t="shared" si="1"/>
        <v>0</v>
      </c>
      <c r="E8" s="7">
        <f>'[2]Dec Prod'!E7</f>
        <v>0</v>
      </c>
      <c r="F8" s="8">
        <f t="shared" si="2"/>
        <v>0</v>
      </c>
      <c r="G8" s="10">
        <f t="shared" si="3"/>
        <v>0</v>
      </c>
      <c r="H8" s="7">
        <f>'[2]Dec Prod'!F7</f>
        <v>0</v>
      </c>
      <c r="I8" s="8">
        <f t="shared" si="4"/>
        <v>0</v>
      </c>
      <c r="J8" s="10">
        <f t="shared" si="5"/>
        <v>0</v>
      </c>
      <c r="K8" s="7">
        <f>'[2]Dec Prod'!H262</f>
        <v>0</v>
      </c>
      <c r="L8" s="8">
        <f t="shared" si="6"/>
        <v>0</v>
      </c>
      <c r="M8" s="10">
        <f t="shared" si="7"/>
        <v>0</v>
      </c>
      <c r="N8" s="21"/>
      <c r="O8" s="7">
        <f>'[2]Dec Prod'!H7</f>
        <v>11724000.000000002</v>
      </c>
      <c r="P8" s="8">
        <f t="shared" si="8"/>
        <v>11.724000000000002</v>
      </c>
      <c r="Q8" s="10">
        <f t="shared" si="9"/>
        <v>35.992680000000007</v>
      </c>
      <c r="R8" s="7">
        <f>'[2]Dec Prod'!C7</f>
        <v>12030000</v>
      </c>
      <c r="S8" s="8">
        <f t="shared" si="10"/>
        <v>12.03</v>
      </c>
      <c r="T8" s="10">
        <f t="shared" si="11"/>
        <v>36.932099999999998</v>
      </c>
      <c r="U8" s="7">
        <f>'[2]Dec Prod'!D7</f>
        <v>0</v>
      </c>
      <c r="V8" s="8">
        <f t="shared" si="12"/>
        <v>0</v>
      </c>
      <c r="W8" s="10">
        <f t="shared" si="13"/>
        <v>0</v>
      </c>
      <c r="X8" s="7">
        <f>'[2]Dec Prod'!D262</f>
        <v>305999.99999999738</v>
      </c>
      <c r="Y8" s="8">
        <f t="shared" si="14"/>
        <v>0.30599999999999739</v>
      </c>
      <c r="Z8" s="10">
        <f t="shared" si="15"/>
        <v>0.93941999999999193</v>
      </c>
      <c r="AA8" s="15"/>
      <c r="AB8" s="7">
        <f t="shared" si="16"/>
        <v>11724000.000000002</v>
      </c>
      <c r="AC8" s="8">
        <f t="shared" si="16"/>
        <v>11.724000000000002</v>
      </c>
      <c r="AD8" s="8">
        <f>D8+Q8</f>
        <v>35.992680000000007</v>
      </c>
    </row>
    <row r="9" spans="1:30" x14ac:dyDescent="0.2">
      <c r="A9" s="1">
        <v>38326</v>
      </c>
      <c r="B9" s="7">
        <f>'[2]Dec Prod'!I8</f>
        <v>0</v>
      </c>
      <c r="C9" s="8">
        <f t="shared" si="0"/>
        <v>0</v>
      </c>
      <c r="D9" s="10">
        <f t="shared" si="1"/>
        <v>0</v>
      </c>
      <c r="E9" s="7">
        <f>'[2]Dec Prod'!E8</f>
        <v>0</v>
      </c>
      <c r="F9" s="8">
        <f t="shared" si="2"/>
        <v>0</v>
      </c>
      <c r="G9" s="10">
        <f t="shared" si="3"/>
        <v>0</v>
      </c>
      <c r="H9" s="7">
        <f>'[2]Dec Prod'!F8</f>
        <v>0</v>
      </c>
      <c r="I9" s="8">
        <f t="shared" si="4"/>
        <v>0</v>
      </c>
      <c r="J9" s="10">
        <f t="shared" si="5"/>
        <v>0</v>
      </c>
      <c r="K9" s="7">
        <f>'[2]Dec Prod'!H263</f>
        <v>0</v>
      </c>
      <c r="L9" s="8">
        <f t="shared" si="6"/>
        <v>0</v>
      </c>
      <c r="M9" s="10">
        <f t="shared" si="7"/>
        <v>0</v>
      </c>
      <c r="N9" s="21"/>
      <c r="O9" s="7">
        <f>'[2]Dec Prod'!H8</f>
        <v>11803000</v>
      </c>
      <c r="P9" s="8">
        <f t="shared" si="8"/>
        <v>11.803000000000001</v>
      </c>
      <c r="Q9" s="10">
        <f t="shared" si="9"/>
        <v>36.235210000000002</v>
      </c>
      <c r="R9" s="7">
        <f>'[2]Dec Prod'!C8</f>
        <v>12169000</v>
      </c>
      <c r="S9" s="8">
        <f t="shared" si="10"/>
        <v>12.169</v>
      </c>
      <c r="T9" s="10">
        <f t="shared" si="11"/>
        <v>37.358829999999998</v>
      </c>
      <c r="U9" s="7">
        <f>'[2]Dec Prod'!D8</f>
        <v>0</v>
      </c>
      <c r="V9" s="8">
        <f t="shared" si="12"/>
        <v>0</v>
      </c>
      <c r="W9" s="10">
        <f t="shared" si="13"/>
        <v>0</v>
      </c>
      <c r="X9" s="7">
        <f>'[2]Dec Prod'!D263</f>
        <v>365999.99999999965</v>
      </c>
      <c r="Y9" s="8">
        <f t="shared" si="14"/>
        <v>0.36599999999999966</v>
      </c>
      <c r="Z9" s="10">
        <f t="shared" si="15"/>
        <v>1.123619999999999</v>
      </c>
      <c r="AA9" s="15"/>
      <c r="AB9" s="7">
        <f t="shared" si="16"/>
        <v>11803000</v>
      </c>
      <c r="AC9" s="8">
        <f t="shared" si="16"/>
        <v>11.803000000000001</v>
      </c>
      <c r="AD9" s="8">
        <f t="shared" si="16"/>
        <v>36.235210000000002</v>
      </c>
    </row>
    <row r="10" spans="1:30" x14ac:dyDescent="0.2">
      <c r="A10" s="1">
        <v>38327</v>
      </c>
      <c r="B10" s="7">
        <f>'[2]Dec Prod'!I9</f>
        <v>0</v>
      </c>
      <c r="C10" s="8">
        <f t="shared" si="0"/>
        <v>0</v>
      </c>
      <c r="D10" s="10">
        <f t="shared" si="1"/>
        <v>0</v>
      </c>
      <c r="E10" s="7">
        <f>'[2]Dec Prod'!E9</f>
        <v>0</v>
      </c>
      <c r="F10" s="8">
        <f t="shared" si="2"/>
        <v>0</v>
      </c>
      <c r="G10" s="10">
        <f t="shared" si="3"/>
        <v>0</v>
      </c>
      <c r="H10" s="7">
        <f>'[2]Dec Prod'!F9</f>
        <v>0</v>
      </c>
      <c r="I10" s="8">
        <f t="shared" si="4"/>
        <v>0</v>
      </c>
      <c r="J10" s="10">
        <f t="shared" si="5"/>
        <v>0</v>
      </c>
      <c r="K10" s="7">
        <f>'[2]Dec Prod'!H264</f>
        <v>0</v>
      </c>
      <c r="L10" s="8">
        <f t="shared" si="6"/>
        <v>0</v>
      </c>
      <c r="M10" s="10">
        <f t="shared" si="7"/>
        <v>0</v>
      </c>
      <c r="N10" s="21"/>
      <c r="O10" s="7">
        <f>'[2]Dec Prod'!H9</f>
        <v>11915999.999999993</v>
      </c>
      <c r="P10" s="8">
        <f t="shared" si="8"/>
        <v>11.915999999999993</v>
      </c>
      <c r="Q10" s="10">
        <f t="shared" si="9"/>
        <v>36.582119999999975</v>
      </c>
      <c r="R10" s="7">
        <f>'[2]Dec Prod'!C9</f>
        <v>12117000</v>
      </c>
      <c r="S10" s="8">
        <f t="shared" si="10"/>
        <v>12.117000000000001</v>
      </c>
      <c r="T10" s="10">
        <f t="shared" si="11"/>
        <v>37.199190000000002</v>
      </c>
      <c r="U10" s="7">
        <f>'[2]Dec Prod'!D9</f>
        <v>0</v>
      </c>
      <c r="V10" s="8">
        <f t="shared" si="12"/>
        <v>0</v>
      </c>
      <c r="W10" s="10">
        <f t="shared" si="13"/>
        <v>0</v>
      </c>
      <c r="X10" s="7">
        <f>'[2]Dec Prod'!D264</f>
        <v>201000.00000000763</v>
      </c>
      <c r="Y10" s="8">
        <f t="shared" si="14"/>
        <v>0.20100000000000762</v>
      </c>
      <c r="Z10" s="10">
        <f t="shared" si="15"/>
        <v>0.61707000000002332</v>
      </c>
      <c r="AA10" s="15"/>
      <c r="AB10" s="7">
        <f t="shared" si="16"/>
        <v>11915999.999999993</v>
      </c>
      <c r="AC10" s="8">
        <f t="shared" si="16"/>
        <v>11.915999999999993</v>
      </c>
      <c r="AD10" s="8">
        <f t="shared" si="16"/>
        <v>36.582119999999975</v>
      </c>
    </row>
    <row r="11" spans="1:30" x14ac:dyDescent="0.2">
      <c r="A11" s="1">
        <v>38328</v>
      </c>
      <c r="B11" s="7">
        <f>'[2]Dec Prod'!I10</f>
        <v>0</v>
      </c>
      <c r="C11" s="8">
        <f t="shared" si="0"/>
        <v>0</v>
      </c>
      <c r="D11" s="10">
        <f t="shared" si="1"/>
        <v>0</v>
      </c>
      <c r="E11" s="7">
        <f>'[2]Dec Prod'!E10</f>
        <v>0</v>
      </c>
      <c r="F11" s="8">
        <f t="shared" si="2"/>
        <v>0</v>
      </c>
      <c r="G11" s="10">
        <f t="shared" si="3"/>
        <v>0</v>
      </c>
      <c r="H11" s="7">
        <f>'[2]Dec Prod'!F10</f>
        <v>0</v>
      </c>
      <c r="I11" s="8">
        <f t="shared" si="4"/>
        <v>0</v>
      </c>
      <c r="J11" s="10">
        <f t="shared" si="5"/>
        <v>0</v>
      </c>
      <c r="K11" s="7">
        <f>'[2]Dec Prod'!H265</f>
        <v>0</v>
      </c>
      <c r="L11" s="8">
        <f t="shared" si="6"/>
        <v>0</v>
      </c>
      <c r="M11" s="10">
        <f t="shared" si="7"/>
        <v>0</v>
      </c>
      <c r="N11" s="21"/>
      <c r="O11" s="7">
        <f>'[2]Dec Prod'!H10</f>
        <v>11061000.000000006</v>
      </c>
      <c r="P11" s="8">
        <f t="shared" si="8"/>
        <v>11.061000000000005</v>
      </c>
      <c r="Q11" s="10">
        <f t="shared" si="9"/>
        <v>33.957270000000015</v>
      </c>
      <c r="R11" s="7">
        <f>'[2]Dec Prod'!C10</f>
        <v>11399000</v>
      </c>
      <c r="S11" s="8">
        <f t="shared" si="10"/>
        <v>11.398999999999999</v>
      </c>
      <c r="T11" s="10">
        <f t="shared" si="11"/>
        <v>34.994929999999997</v>
      </c>
      <c r="U11" s="7">
        <f>'[2]Dec Prod'!D10</f>
        <v>0</v>
      </c>
      <c r="V11" s="8">
        <f t="shared" si="12"/>
        <v>0</v>
      </c>
      <c r="W11" s="10">
        <f t="shared" si="13"/>
        <v>0</v>
      </c>
      <c r="X11" s="7">
        <f>'[2]Dec Prod'!D265</f>
        <v>337999.99999999389</v>
      </c>
      <c r="Y11" s="8">
        <f t="shared" si="14"/>
        <v>0.33799999999999386</v>
      </c>
      <c r="Z11" s="10">
        <f t="shared" si="15"/>
        <v>1.0376599999999812</v>
      </c>
      <c r="AA11" s="15"/>
      <c r="AB11" s="7">
        <f t="shared" si="16"/>
        <v>11061000.000000006</v>
      </c>
      <c r="AC11" s="8">
        <f t="shared" si="16"/>
        <v>11.061000000000005</v>
      </c>
      <c r="AD11" s="8">
        <f t="shared" si="16"/>
        <v>33.957270000000015</v>
      </c>
    </row>
    <row r="12" spans="1:30" x14ac:dyDescent="0.2">
      <c r="A12" s="1">
        <v>38329</v>
      </c>
      <c r="B12" s="7">
        <f>'[2]Dec Prod'!I11</f>
        <v>0</v>
      </c>
      <c r="C12" s="8">
        <f t="shared" si="0"/>
        <v>0</v>
      </c>
      <c r="D12" s="10">
        <f t="shared" si="1"/>
        <v>0</v>
      </c>
      <c r="E12" s="7">
        <f>'[2]Dec Prod'!E11</f>
        <v>0</v>
      </c>
      <c r="F12" s="8">
        <f t="shared" si="2"/>
        <v>0</v>
      </c>
      <c r="G12" s="10">
        <f t="shared" si="3"/>
        <v>0</v>
      </c>
      <c r="H12" s="7">
        <f>'[2]Dec Prod'!F11</f>
        <v>0</v>
      </c>
      <c r="I12" s="8">
        <f t="shared" si="4"/>
        <v>0</v>
      </c>
      <c r="J12" s="10">
        <f t="shared" si="5"/>
        <v>0</v>
      </c>
      <c r="K12" s="7">
        <f>'[2]Dec Prod'!H266</f>
        <v>0</v>
      </c>
      <c r="L12" s="8">
        <f t="shared" si="6"/>
        <v>0</v>
      </c>
      <c r="M12" s="10">
        <f t="shared" si="7"/>
        <v>0</v>
      </c>
      <c r="N12" s="21"/>
      <c r="O12" s="7">
        <f>'[2]Dec Prod'!H11</f>
        <v>11210000.000000006</v>
      </c>
      <c r="P12" s="8">
        <f t="shared" si="8"/>
        <v>11.210000000000006</v>
      </c>
      <c r="Q12" s="10">
        <f t="shared" si="9"/>
        <v>34.414700000000018</v>
      </c>
      <c r="R12" s="7">
        <f>'[2]Dec Prod'!C11</f>
        <v>11545000</v>
      </c>
      <c r="S12" s="8">
        <f t="shared" si="10"/>
        <v>11.545</v>
      </c>
      <c r="T12" s="10">
        <f t="shared" si="11"/>
        <v>35.443149999999996</v>
      </c>
      <c r="U12" s="7">
        <f>'[2]Dec Prod'!D11</f>
        <v>0</v>
      </c>
      <c r="V12" s="8">
        <f t="shared" si="12"/>
        <v>0</v>
      </c>
      <c r="W12" s="10">
        <f t="shared" si="13"/>
        <v>0</v>
      </c>
      <c r="X12" s="7">
        <f>'[2]Dec Prod'!D266</f>
        <v>334999.99999999377</v>
      </c>
      <c r="Y12" s="8">
        <f t="shared" si="14"/>
        <v>0.33499999999999375</v>
      </c>
      <c r="Z12" s="10">
        <f t="shared" si="15"/>
        <v>1.0284499999999808</v>
      </c>
      <c r="AA12" s="15"/>
      <c r="AB12" s="7">
        <f t="shared" si="16"/>
        <v>11210000.000000006</v>
      </c>
      <c r="AC12" s="8">
        <f t="shared" si="16"/>
        <v>11.210000000000006</v>
      </c>
      <c r="AD12" s="8">
        <f t="shared" si="16"/>
        <v>34.414700000000018</v>
      </c>
    </row>
    <row r="13" spans="1:30" x14ac:dyDescent="0.2">
      <c r="A13" s="1">
        <v>38330</v>
      </c>
      <c r="B13" s="7">
        <f>'[2]Dec Prod'!I12</f>
        <v>0</v>
      </c>
      <c r="C13" s="8">
        <f t="shared" si="0"/>
        <v>0</v>
      </c>
      <c r="D13" s="10">
        <f t="shared" si="1"/>
        <v>0</v>
      </c>
      <c r="E13" s="7">
        <f>'[2]Dec Prod'!E12</f>
        <v>0</v>
      </c>
      <c r="F13" s="8">
        <f t="shared" si="2"/>
        <v>0</v>
      </c>
      <c r="G13" s="10">
        <f t="shared" si="3"/>
        <v>0</v>
      </c>
      <c r="H13" s="7">
        <f>'[2]Dec Prod'!F12</f>
        <v>0</v>
      </c>
      <c r="I13" s="8">
        <f t="shared" si="4"/>
        <v>0</v>
      </c>
      <c r="J13" s="10">
        <f t="shared" si="5"/>
        <v>0</v>
      </c>
      <c r="K13" s="7">
        <f>'[2]Dec Prod'!H267</f>
        <v>0</v>
      </c>
      <c r="L13" s="8">
        <f t="shared" si="6"/>
        <v>0</v>
      </c>
      <c r="M13" s="10">
        <f t="shared" si="7"/>
        <v>0</v>
      </c>
      <c r="N13" s="21"/>
      <c r="O13" s="7">
        <f>'[2]Dec Prod'!H12</f>
        <v>10274999.999999998</v>
      </c>
      <c r="P13" s="8">
        <f t="shared" si="8"/>
        <v>10.274999999999999</v>
      </c>
      <c r="Q13" s="10">
        <f t="shared" si="9"/>
        <v>31.544249999999995</v>
      </c>
      <c r="R13" s="7">
        <f>'[2]Dec Prod'!C12</f>
        <v>10558000</v>
      </c>
      <c r="S13" s="8">
        <f t="shared" si="10"/>
        <v>10.558</v>
      </c>
      <c r="T13" s="10">
        <f t="shared" si="11"/>
        <v>32.413059999999994</v>
      </c>
      <c r="U13" s="7">
        <f>'[2]Dec Prod'!D12</f>
        <v>0</v>
      </c>
      <c r="V13" s="8">
        <f t="shared" si="12"/>
        <v>0</v>
      </c>
      <c r="W13" s="10">
        <f t="shared" si="13"/>
        <v>0</v>
      </c>
      <c r="X13" s="7">
        <f>'[2]Dec Prod'!D267</f>
        <v>283000.00000000122</v>
      </c>
      <c r="Y13" s="8">
        <f t="shared" si="14"/>
        <v>0.2830000000000012</v>
      </c>
      <c r="Z13" s="10">
        <f t="shared" si="15"/>
        <v>0.86881000000000363</v>
      </c>
      <c r="AA13" s="15"/>
      <c r="AB13" s="7">
        <f t="shared" si="16"/>
        <v>10274999.999999998</v>
      </c>
      <c r="AC13" s="8">
        <f t="shared" si="16"/>
        <v>10.274999999999999</v>
      </c>
      <c r="AD13" s="8">
        <f t="shared" si="16"/>
        <v>31.544249999999995</v>
      </c>
    </row>
    <row r="14" spans="1:30" x14ac:dyDescent="0.2">
      <c r="A14" s="1">
        <v>38331</v>
      </c>
      <c r="B14" s="7">
        <f>'[2]Dec Prod'!I13</f>
        <v>0</v>
      </c>
      <c r="C14" s="8">
        <f t="shared" si="0"/>
        <v>0</v>
      </c>
      <c r="D14" s="10">
        <f t="shared" si="1"/>
        <v>0</v>
      </c>
      <c r="E14" s="7">
        <f>'[2]Dec Prod'!E13</f>
        <v>0</v>
      </c>
      <c r="F14" s="8">
        <f t="shared" si="2"/>
        <v>0</v>
      </c>
      <c r="G14" s="10">
        <f t="shared" si="3"/>
        <v>0</v>
      </c>
      <c r="H14" s="7">
        <f>'[2]Dec Prod'!F13</f>
        <v>0</v>
      </c>
      <c r="I14" s="8">
        <f t="shared" si="4"/>
        <v>0</v>
      </c>
      <c r="J14" s="10">
        <f t="shared" si="5"/>
        <v>0</v>
      </c>
      <c r="K14" s="7">
        <f>'[2]Dec Prod'!H268</f>
        <v>0</v>
      </c>
      <c r="L14" s="8">
        <f t="shared" si="6"/>
        <v>0</v>
      </c>
      <c r="M14" s="10">
        <f t="shared" si="7"/>
        <v>0</v>
      </c>
      <c r="N14" s="21"/>
      <c r="O14" s="7">
        <f>'[2]Dec Prod'!H13</f>
        <v>12782999.999999998</v>
      </c>
      <c r="P14" s="8">
        <f t="shared" si="8"/>
        <v>12.782999999999998</v>
      </c>
      <c r="Q14" s="10">
        <f t="shared" si="9"/>
        <v>39.243809999999989</v>
      </c>
      <c r="R14" s="7">
        <f>'[2]Dec Prod'!C13</f>
        <v>13093000</v>
      </c>
      <c r="S14" s="8">
        <f t="shared" si="10"/>
        <v>13.093</v>
      </c>
      <c r="T14" s="10">
        <f t="shared" si="11"/>
        <v>40.195509999999999</v>
      </c>
      <c r="U14" s="7">
        <f>'[2]Dec Prod'!D13</f>
        <v>0</v>
      </c>
      <c r="V14" s="8">
        <f t="shared" si="12"/>
        <v>0</v>
      </c>
      <c r="W14" s="10">
        <f t="shared" si="13"/>
        <v>0</v>
      </c>
      <c r="X14" s="7">
        <f>'[2]Dec Prod'!D268</f>
        <v>310000.00000000227</v>
      </c>
      <c r="Y14" s="8">
        <f t="shared" si="14"/>
        <v>0.31000000000000227</v>
      </c>
      <c r="Z14" s="10">
        <f t="shared" si="15"/>
        <v>0.95170000000000698</v>
      </c>
      <c r="AA14" s="15"/>
      <c r="AB14" s="7">
        <f t="shared" si="16"/>
        <v>12782999.999999998</v>
      </c>
      <c r="AC14" s="8">
        <f t="shared" si="16"/>
        <v>12.782999999999998</v>
      </c>
      <c r="AD14" s="8">
        <f t="shared" si="16"/>
        <v>39.243809999999989</v>
      </c>
    </row>
    <row r="15" spans="1:30" x14ac:dyDescent="0.2">
      <c r="A15" s="1">
        <v>38332</v>
      </c>
      <c r="B15" s="7">
        <f>'[2]Dec Prod'!I14</f>
        <v>0</v>
      </c>
      <c r="C15" s="8">
        <f t="shared" si="0"/>
        <v>0</v>
      </c>
      <c r="D15" s="10">
        <f t="shared" si="1"/>
        <v>0</v>
      </c>
      <c r="E15" s="7">
        <f>'[2]Dec Prod'!E14</f>
        <v>0</v>
      </c>
      <c r="F15" s="8">
        <f t="shared" si="2"/>
        <v>0</v>
      </c>
      <c r="G15" s="10">
        <f t="shared" si="3"/>
        <v>0</v>
      </c>
      <c r="H15" s="7">
        <f>'[2]Dec Prod'!F14</f>
        <v>0</v>
      </c>
      <c r="I15" s="8">
        <f t="shared" si="4"/>
        <v>0</v>
      </c>
      <c r="J15" s="10">
        <f t="shared" si="5"/>
        <v>0</v>
      </c>
      <c r="K15" s="7">
        <f>'[2]Dec Prod'!H269</f>
        <v>0</v>
      </c>
      <c r="L15" s="8">
        <f t="shared" si="6"/>
        <v>0</v>
      </c>
      <c r="M15" s="10">
        <f t="shared" si="7"/>
        <v>0</v>
      </c>
      <c r="N15" s="21"/>
      <c r="O15" s="7">
        <f>'[2]Dec Prod'!H14</f>
        <v>13342000.000000002</v>
      </c>
      <c r="P15" s="8">
        <f t="shared" si="8"/>
        <v>13.342000000000002</v>
      </c>
      <c r="Q15" s="10">
        <f t="shared" si="9"/>
        <v>40.959940000000003</v>
      </c>
      <c r="R15" s="7">
        <f>'[2]Dec Prod'!C14</f>
        <v>13690000</v>
      </c>
      <c r="S15" s="8">
        <f t="shared" si="10"/>
        <v>13.69</v>
      </c>
      <c r="T15" s="10">
        <f t="shared" si="11"/>
        <v>42.028299999999994</v>
      </c>
      <c r="U15" s="7">
        <f>'[2]Dec Prod'!D14</f>
        <v>0</v>
      </c>
      <c r="V15" s="8">
        <f t="shared" si="12"/>
        <v>0</v>
      </c>
      <c r="W15" s="10">
        <f t="shared" si="13"/>
        <v>0</v>
      </c>
      <c r="X15" s="7">
        <f>'[2]Dec Prod'!D269</f>
        <v>347999.99999999895</v>
      </c>
      <c r="Y15" s="8">
        <f t="shared" si="14"/>
        <v>0.34799999999999898</v>
      </c>
      <c r="Z15" s="10">
        <f t="shared" si="15"/>
        <v>1.0683599999999969</v>
      </c>
      <c r="AA15" s="15"/>
      <c r="AB15" s="7">
        <f t="shared" si="16"/>
        <v>13342000.000000002</v>
      </c>
      <c r="AC15" s="8">
        <f t="shared" si="16"/>
        <v>13.342000000000002</v>
      </c>
      <c r="AD15" s="8">
        <f t="shared" si="16"/>
        <v>40.959940000000003</v>
      </c>
    </row>
    <row r="16" spans="1:30" x14ac:dyDescent="0.2">
      <c r="A16" s="1">
        <v>38333</v>
      </c>
      <c r="B16" s="7">
        <f>'[2]Dec Prod'!I15</f>
        <v>0</v>
      </c>
      <c r="C16" s="8">
        <f t="shared" si="0"/>
        <v>0</v>
      </c>
      <c r="D16" s="10">
        <f t="shared" si="1"/>
        <v>0</v>
      </c>
      <c r="E16" s="7">
        <f>'[2]Dec Prod'!E15</f>
        <v>0</v>
      </c>
      <c r="F16" s="8">
        <f t="shared" si="2"/>
        <v>0</v>
      </c>
      <c r="G16" s="10">
        <f t="shared" si="3"/>
        <v>0</v>
      </c>
      <c r="H16" s="7">
        <f>'[2]Dec Prod'!F15</f>
        <v>0</v>
      </c>
      <c r="I16" s="8">
        <f t="shared" si="4"/>
        <v>0</v>
      </c>
      <c r="J16" s="10">
        <f t="shared" si="5"/>
        <v>0</v>
      </c>
      <c r="K16" s="7">
        <f>'[2]Dec Prod'!H270</f>
        <v>0</v>
      </c>
      <c r="L16" s="8">
        <f t="shared" si="6"/>
        <v>0</v>
      </c>
      <c r="M16" s="10">
        <f t="shared" si="7"/>
        <v>0</v>
      </c>
      <c r="N16" s="21"/>
      <c r="O16" s="7">
        <f>'[2]Dec Prod'!H15</f>
        <v>12150999.999999993</v>
      </c>
      <c r="P16" s="8">
        <f t="shared" si="8"/>
        <v>12.150999999999993</v>
      </c>
      <c r="Q16" s="10">
        <f t="shared" si="9"/>
        <v>37.303569999999972</v>
      </c>
      <c r="R16" s="7">
        <f>'[2]Dec Prod'!C15</f>
        <v>12492000</v>
      </c>
      <c r="S16" s="8">
        <f t="shared" si="10"/>
        <v>12.492000000000001</v>
      </c>
      <c r="T16" s="10">
        <f t="shared" si="11"/>
        <v>38.350439999999999</v>
      </c>
      <c r="U16" s="7">
        <f>'[2]Dec Prod'!D15</f>
        <v>0</v>
      </c>
      <c r="V16" s="8">
        <f t="shared" si="12"/>
        <v>0</v>
      </c>
      <c r="W16" s="10">
        <f t="shared" si="13"/>
        <v>0</v>
      </c>
      <c r="X16" s="7">
        <f>'[2]Dec Prod'!D270</f>
        <v>341000.00000000821</v>
      </c>
      <c r="Y16" s="8">
        <f t="shared" si="14"/>
        <v>0.34100000000000819</v>
      </c>
      <c r="Z16" s="10">
        <f t="shared" si="15"/>
        <v>1.0468700000000251</v>
      </c>
      <c r="AA16" s="15"/>
      <c r="AB16" s="7">
        <f t="shared" si="16"/>
        <v>12150999.999999993</v>
      </c>
      <c r="AC16" s="8">
        <f t="shared" si="16"/>
        <v>12.150999999999993</v>
      </c>
      <c r="AD16" s="8">
        <f t="shared" si="16"/>
        <v>37.303569999999972</v>
      </c>
    </row>
    <row r="17" spans="1:30" x14ac:dyDescent="0.2">
      <c r="A17" s="1">
        <v>38334</v>
      </c>
      <c r="B17" s="7">
        <f>'[2]Dec Prod'!I16</f>
        <v>0</v>
      </c>
      <c r="C17" s="8">
        <f t="shared" si="0"/>
        <v>0</v>
      </c>
      <c r="D17" s="10">
        <f t="shared" si="1"/>
        <v>0</v>
      </c>
      <c r="E17" s="7">
        <f>'[2]Dec Prod'!E16</f>
        <v>0</v>
      </c>
      <c r="F17" s="8">
        <f t="shared" si="2"/>
        <v>0</v>
      </c>
      <c r="G17" s="10">
        <f t="shared" si="3"/>
        <v>0</v>
      </c>
      <c r="H17" s="7">
        <f>'[2]Dec Prod'!F16</f>
        <v>0</v>
      </c>
      <c r="I17" s="8">
        <f t="shared" si="4"/>
        <v>0</v>
      </c>
      <c r="J17" s="10">
        <f t="shared" si="5"/>
        <v>0</v>
      </c>
      <c r="K17" s="7">
        <f>'[2]Dec Prod'!H271</f>
        <v>0</v>
      </c>
      <c r="L17" s="8">
        <f t="shared" si="6"/>
        <v>0</v>
      </c>
      <c r="M17" s="10">
        <f t="shared" si="7"/>
        <v>0</v>
      </c>
      <c r="N17" s="21"/>
      <c r="O17" s="7">
        <f>'[2]Dec Prod'!H16</f>
        <v>11606000.000000004</v>
      </c>
      <c r="P17" s="8">
        <f t="shared" si="8"/>
        <v>11.606000000000003</v>
      </c>
      <c r="Q17" s="10">
        <f t="shared" si="9"/>
        <v>35.630420000000008</v>
      </c>
      <c r="R17" s="7">
        <f>'[2]Dec Prod'!C16</f>
        <v>11894000</v>
      </c>
      <c r="S17" s="8">
        <f t="shared" si="10"/>
        <v>11.894</v>
      </c>
      <c r="T17" s="10">
        <f t="shared" si="11"/>
        <v>36.514579999999995</v>
      </c>
      <c r="U17" s="7">
        <f>'[2]Dec Prod'!D16</f>
        <v>0</v>
      </c>
      <c r="V17" s="8">
        <f t="shared" si="12"/>
        <v>0</v>
      </c>
      <c r="W17" s="10">
        <f t="shared" si="13"/>
        <v>0</v>
      </c>
      <c r="X17" s="7">
        <f>'[2]Dec Prod'!D271</f>
        <v>287999.99999999668</v>
      </c>
      <c r="Y17" s="8">
        <f t="shared" si="14"/>
        <v>0.2879999999999967</v>
      </c>
      <c r="Z17" s="10">
        <f t="shared" si="15"/>
        <v>0.88415999999998984</v>
      </c>
      <c r="AA17" s="15"/>
      <c r="AB17" s="7">
        <f t="shared" si="16"/>
        <v>11606000.000000004</v>
      </c>
      <c r="AC17" s="8">
        <f t="shared" si="16"/>
        <v>11.606000000000003</v>
      </c>
      <c r="AD17" s="8">
        <f t="shared" si="16"/>
        <v>35.630420000000008</v>
      </c>
    </row>
    <row r="18" spans="1:30" x14ac:dyDescent="0.2">
      <c r="A18" s="1">
        <v>38335</v>
      </c>
      <c r="B18" s="7">
        <f>'[2]Dec Prod'!I17</f>
        <v>0</v>
      </c>
      <c r="C18" s="8">
        <f t="shared" si="0"/>
        <v>0</v>
      </c>
      <c r="D18" s="10">
        <f t="shared" si="1"/>
        <v>0</v>
      </c>
      <c r="E18" s="7">
        <f>'[2]Dec Prod'!E17</f>
        <v>0</v>
      </c>
      <c r="F18" s="8">
        <f t="shared" si="2"/>
        <v>0</v>
      </c>
      <c r="G18" s="10">
        <f t="shared" si="3"/>
        <v>0</v>
      </c>
      <c r="H18" s="7">
        <f>'[2]Dec Prod'!F17</f>
        <v>0</v>
      </c>
      <c r="I18" s="8">
        <f t="shared" si="4"/>
        <v>0</v>
      </c>
      <c r="J18" s="10">
        <f t="shared" si="5"/>
        <v>0</v>
      </c>
      <c r="K18" s="7">
        <f>'[2]Dec Prod'!H272</f>
        <v>0</v>
      </c>
      <c r="L18" s="8">
        <f t="shared" si="6"/>
        <v>0</v>
      </c>
      <c r="M18" s="10">
        <f t="shared" si="7"/>
        <v>0</v>
      </c>
      <c r="N18" s="21"/>
      <c r="O18" s="7">
        <f>'[2]Dec Prod'!H17</f>
        <v>11086000.000000006</v>
      </c>
      <c r="P18" s="8">
        <f t="shared" si="8"/>
        <v>11.086000000000006</v>
      </c>
      <c r="Q18" s="10">
        <f t="shared" si="9"/>
        <v>34.034020000000012</v>
      </c>
      <c r="R18" s="7">
        <f>'[2]Dec Prod'!C17</f>
        <v>11427000</v>
      </c>
      <c r="S18" s="8">
        <f t="shared" si="10"/>
        <v>11.427</v>
      </c>
      <c r="T18" s="10">
        <f t="shared" si="11"/>
        <v>35.080889999999997</v>
      </c>
      <c r="U18" s="7">
        <f>'[2]Dec Prod'!D17</f>
        <v>0</v>
      </c>
      <c r="V18" s="8">
        <f t="shared" si="12"/>
        <v>0</v>
      </c>
      <c r="W18" s="10">
        <f t="shared" si="13"/>
        <v>0</v>
      </c>
      <c r="X18" s="7">
        <f>'[2]Dec Prod'!D272</f>
        <v>340999.99999999395</v>
      </c>
      <c r="Y18" s="8">
        <f t="shared" si="14"/>
        <v>0.34099999999999392</v>
      </c>
      <c r="Z18" s="10">
        <f t="shared" si="15"/>
        <v>1.0468699999999813</v>
      </c>
      <c r="AA18" s="15"/>
      <c r="AB18" s="7">
        <f t="shared" si="16"/>
        <v>11086000.000000006</v>
      </c>
      <c r="AC18" s="8">
        <f t="shared" si="16"/>
        <v>11.086000000000006</v>
      </c>
      <c r="AD18" s="8">
        <f t="shared" si="16"/>
        <v>34.034020000000012</v>
      </c>
    </row>
    <row r="19" spans="1:30" x14ac:dyDescent="0.2">
      <c r="A19" s="1">
        <v>38336</v>
      </c>
      <c r="B19" s="7">
        <f>'[2]Dec Prod'!I18</f>
        <v>0</v>
      </c>
      <c r="C19" s="8">
        <f t="shared" si="0"/>
        <v>0</v>
      </c>
      <c r="D19" s="10">
        <f t="shared" si="1"/>
        <v>0</v>
      </c>
      <c r="E19" s="7">
        <f>'[2]Dec Prod'!E18</f>
        <v>0</v>
      </c>
      <c r="F19" s="8">
        <f t="shared" si="2"/>
        <v>0</v>
      </c>
      <c r="G19" s="10">
        <f t="shared" si="3"/>
        <v>0</v>
      </c>
      <c r="H19" s="7">
        <f>'[2]Dec Prod'!F18</f>
        <v>0</v>
      </c>
      <c r="I19" s="8">
        <f t="shared" si="4"/>
        <v>0</v>
      </c>
      <c r="J19" s="10">
        <f t="shared" si="5"/>
        <v>0</v>
      </c>
      <c r="K19" s="7">
        <f>'[2]Dec Prod'!H273</f>
        <v>48187</v>
      </c>
      <c r="L19" s="8">
        <f t="shared" si="6"/>
        <v>4.8187000000000001E-2</v>
      </c>
      <c r="M19" s="10">
        <f t="shared" si="7"/>
        <v>0.14793408999999999</v>
      </c>
      <c r="N19" s="21"/>
      <c r="O19" s="7">
        <f>'[2]Dec Prod'!H18</f>
        <v>10478000.000000002</v>
      </c>
      <c r="P19" s="8">
        <f t="shared" si="8"/>
        <v>10.478000000000002</v>
      </c>
      <c r="Q19" s="10">
        <f t="shared" si="9"/>
        <v>32.167460000000005</v>
      </c>
      <c r="R19" s="7">
        <f>'[2]Dec Prod'!C18</f>
        <v>10820000</v>
      </c>
      <c r="S19" s="8">
        <f t="shared" si="10"/>
        <v>10.82</v>
      </c>
      <c r="T19" s="10">
        <f t="shared" si="11"/>
        <v>33.217399999999998</v>
      </c>
      <c r="U19" s="7">
        <f>'[2]Dec Prod'!D18</f>
        <v>0</v>
      </c>
      <c r="V19" s="8">
        <f t="shared" si="12"/>
        <v>0</v>
      </c>
      <c r="W19" s="10">
        <f t="shared" si="13"/>
        <v>0</v>
      </c>
      <c r="X19" s="7">
        <f>'[2]Dec Prod'!D273</f>
        <v>341999.99999999878</v>
      </c>
      <c r="Y19" s="8">
        <f t="shared" si="14"/>
        <v>0.3419999999999988</v>
      </c>
      <c r="Z19" s="10">
        <f t="shared" si="15"/>
        <v>1.0499399999999963</v>
      </c>
      <c r="AA19" s="15"/>
      <c r="AB19" s="7">
        <f t="shared" si="16"/>
        <v>10478000.000000002</v>
      </c>
      <c r="AC19" s="8">
        <f t="shared" si="16"/>
        <v>10.478000000000002</v>
      </c>
      <c r="AD19" s="8">
        <f>D19+Q19</f>
        <v>32.167460000000005</v>
      </c>
    </row>
    <row r="20" spans="1:30" x14ac:dyDescent="0.2">
      <c r="A20" s="1">
        <v>38337</v>
      </c>
      <c r="B20" s="7">
        <f>'[2]Dec Prod'!I19</f>
        <v>0</v>
      </c>
      <c r="C20" s="8">
        <f t="shared" si="0"/>
        <v>0</v>
      </c>
      <c r="D20" s="10">
        <f t="shared" si="1"/>
        <v>0</v>
      </c>
      <c r="E20" s="7">
        <f>'[2]Dec Prod'!E19</f>
        <v>0</v>
      </c>
      <c r="F20" s="8">
        <f t="shared" si="2"/>
        <v>0</v>
      </c>
      <c r="G20" s="10">
        <f t="shared" si="3"/>
        <v>0</v>
      </c>
      <c r="H20" s="7">
        <f>'[2]Dec Prod'!F19</f>
        <v>0</v>
      </c>
      <c r="I20" s="8">
        <f t="shared" si="4"/>
        <v>0</v>
      </c>
      <c r="J20" s="10">
        <f t="shared" si="5"/>
        <v>0</v>
      </c>
      <c r="K20" s="7">
        <f>'[2]Dec Prod'!H274</f>
        <v>0</v>
      </c>
      <c r="L20" s="8">
        <f t="shared" si="6"/>
        <v>0</v>
      </c>
      <c r="M20" s="10">
        <f t="shared" si="7"/>
        <v>0</v>
      </c>
      <c r="N20" s="21"/>
      <c r="O20" s="7">
        <f>'[2]Dec Prod'!H19</f>
        <v>10664999.999999993</v>
      </c>
      <c r="P20" s="8">
        <f t="shared" si="8"/>
        <v>10.664999999999992</v>
      </c>
      <c r="Q20" s="10">
        <f t="shared" si="9"/>
        <v>32.741549999999975</v>
      </c>
      <c r="R20" s="7">
        <f>'[2]Dec Prod'!C19</f>
        <v>10982000</v>
      </c>
      <c r="S20" s="8">
        <f t="shared" si="10"/>
        <v>10.981999999999999</v>
      </c>
      <c r="T20" s="10">
        <f t="shared" si="11"/>
        <v>33.714739999999999</v>
      </c>
      <c r="U20" s="7">
        <f>'[2]Dec Prod'!D19</f>
        <v>0</v>
      </c>
      <c r="V20" s="8">
        <f t="shared" si="12"/>
        <v>0</v>
      </c>
      <c r="W20" s="10">
        <f t="shared" si="13"/>
        <v>0</v>
      </c>
      <c r="X20" s="7">
        <f>'[2]Dec Prod'!D274</f>
        <v>317000.00000000728</v>
      </c>
      <c r="Y20" s="8">
        <f t="shared" si="14"/>
        <v>0.31700000000000728</v>
      </c>
      <c r="Z20" s="10">
        <f t="shared" si="15"/>
        <v>0.97319000000002231</v>
      </c>
      <c r="AA20" s="15"/>
      <c r="AB20" s="7">
        <f t="shared" si="16"/>
        <v>10664999.999999993</v>
      </c>
      <c r="AC20" s="8">
        <f t="shared" si="16"/>
        <v>10.664999999999992</v>
      </c>
      <c r="AD20" s="8">
        <f t="shared" si="16"/>
        <v>32.741549999999975</v>
      </c>
    </row>
    <row r="21" spans="1:30" x14ac:dyDescent="0.2">
      <c r="A21" s="1">
        <v>38338</v>
      </c>
      <c r="B21" s="7">
        <f>'[2]Dec Prod'!I20</f>
        <v>0</v>
      </c>
      <c r="C21" s="8">
        <f t="shared" si="0"/>
        <v>0</v>
      </c>
      <c r="D21" s="10">
        <f t="shared" si="1"/>
        <v>0</v>
      </c>
      <c r="E21" s="7">
        <f>'[2]Dec Prod'!E20</f>
        <v>0</v>
      </c>
      <c r="F21" s="8">
        <f t="shared" si="2"/>
        <v>0</v>
      </c>
      <c r="G21" s="10">
        <f t="shared" si="3"/>
        <v>0</v>
      </c>
      <c r="H21" s="7">
        <f>'[2]Dec Prod'!F20</f>
        <v>0</v>
      </c>
      <c r="I21" s="8">
        <f t="shared" si="4"/>
        <v>0</v>
      </c>
      <c r="J21" s="10">
        <f t="shared" si="5"/>
        <v>0</v>
      </c>
      <c r="K21" s="7">
        <f>'[2]Dec Prod'!H275</f>
        <v>0</v>
      </c>
      <c r="L21" s="8">
        <f t="shared" si="6"/>
        <v>0</v>
      </c>
      <c r="M21" s="10">
        <f t="shared" si="7"/>
        <v>0</v>
      </c>
      <c r="N21" s="21"/>
      <c r="O21" s="7">
        <f>'[2]Dec Prod'!H20</f>
        <v>11725999.999999998</v>
      </c>
      <c r="P21" s="8">
        <f t="shared" si="8"/>
        <v>11.725999999999997</v>
      </c>
      <c r="Q21" s="10">
        <f t="shared" si="9"/>
        <v>35.998819999999988</v>
      </c>
      <c r="R21" s="7">
        <f>'[2]Dec Prod'!C20</f>
        <v>12030000</v>
      </c>
      <c r="S21" s="8">
        <f t="shared" si="10"/>
        <v>12.03</v>
      </c>
      <c r="T21" s="10">
        <f t="shared" si="11"/>
        <v>36.932099999999998</v>
      </c>
      <c r="U21" s="7">
        <f>'[2]Dec Prod'!D20</f>
        <v>0</v>
      </c>
      <c r="V21" s="8">
        <f t="shared" si="12"/>
        <v>0</v>
      </c>
      <c r="W21" s="10">
        <f t="shared" si="13"/>
        <v>0</v>
      </c>
      <c r="X21" s="7">
        <f>'[2]Dec Prod'!D275</f>
        <v>304000.00000000204</v>
      </c>
      <c r="Y21" s="8">
        <f t="shared" si="14"/>
        <v>0.30400000000000205</v>
      </c>
      <c r="Z21" s="10">
        <f t="shared" si="15"/>
        <v>0.93328000000000622</v>
      </c>
      <c r="AA21" s="15"/>
      <c r="AB21" s="7">
        <f t="shared" si="16"/>
        <v>11725999.999999998</v>
      </c>
      <c r="AC21" s="8">
        <f t="shared" si="16"/>
        <v>11.725999999999997</v>
      </c>
      <c r="AD21" s="8">
        <f t="shared" si="16"/>
        <v>35.998819999999988</v>
      </c>
    </row>
    <row r="22" spans="1:30" x14ac:dyDescent="0.2">
      <c r="A22" s="1">
        <v>38339</v>
      </c>
      <c r="B22" s="7">
        <f>'[2]Dec Prod'!I21</f>
        <v>0</v>
      </c>
      <c r="C22" s="8">
        <f t="shared" si="0"/>
        <v>0</v>
      </c>
      <c r="D22" s="10">
        <f t="shared" si="1"/>
        <v>0</v>
      </c>
      <c r="E22" s="7">
        <f>'[2]Dec Prod'!E21</f>
        <v>0</v>
      </c>
      <c r="F22" s="8">
        <f t="shared" si="2"/>
        <v>0</v>
      </c>
      <c r="G22" s="10">
        <f t="shared" si="3"/>
        <v>0</v>
      </c>
      <c r="H22" s="7">
        <f>'[2]Dec Prod'!F21</f>
        <v>0</v>
      </c>
      <c r="I22" s="8">
        <f t="shared" si="4"/>
        <v>0</v>
      </c>
      <c r="J22" s="10">
        <f t="shared" si="5"/>
        <v>0</v>
      </c>
      <c r="K22" s="7">
        <f>'[2]Dec Prod'!H276</f>
        <v>0</v>
      </c>
      <c r="L22" s="8">
        <f t="shared" si="6"/>
        <v>0</v>
      </c>
      <c r="M22" s="10">
        <f t="shared" si="7"/>
        <v>0</v>
      </c>
      <c r="N22" s="21"/>
      <c r="O22" s="7">
        <f>'[2]Dec Prod'!H21</f>
        <v>11590000.000000002</v>
      </c>
      <c r="P22" s="8">
        <f t="shared" si="8"/>
        <v>11.590000000000002</v>
      </c>
      <c r="Q22" s="10">
        <f t="shared" si="9"/>
        <v>35.581300000000006</v>
      </c>
      <c r="R22" s="7">
        <f>'[2]Dec Prod'!C21</f>
        <v>11932000</v>
      </c>
      <c r="S22" s="8">
        <f t="shared" si="10"/>
        <v>11.932</v>
      </c>
      <c r="T22" s="10">
        <f t="shared" si="11"/>
        <v>36.631239999999998</v>
      </c>
      <c r="U22" s="7">
        <f>'[2]Dec Prod'!D21</f>
        <v>0</v>
      </c>
      <c r="V22" s="8">
        <f t="shared" si="12"/>
        <v>0</v>
      </c>
      <c r="W22" s="10">
        <f t="shared" si="13"/>
        <v>0</v>
      </c>
      <c r="X22" s="7">
        <f>'[2]Dec Prod'!D276</f>
        <v>341999.99999999878</v>
      </c>
      <c r="Y22" s="8">
        <f t="shared" si="14"/>
        <v>0.3419999999999988</v>
      </c>
      <c r="Z22" s="10">
        <f t="shared" si="15"/>
        <v>1.0499399999999963</v>
      </c>
      <c r="AA22" s="15"/>
      <c r="AB22" s="7">
        <f t="shared" si="16"/>
        <v>11590000.000000002</v>
      </c>
      <c r="AC22" s="8">
        <f t="shared" si="16"/>
        <v>11.590000000000002</v>
      </c>
      <c r="AD22" s="8">
        <f t="shared" si="16"/>
        <v>35.581300000000006</v>
      </c>
    </row>
    <row r="23" spans="1:30" x14ac:dyDescent="0.2">
      <c r="A23" s="1">
        <v>38340</v>
      </c>
      <c r="B23" s="7">
        <f>'[2]Dec Prod'!I22</f>
        <v>0</v>
      </c>
      <c r="C23" s="8">
        <f t="shared" si="0"/>
        <v>0</v>
      </c>
      <c r="D23" s="10">
        <f t="shared" si="1"/>
        <v>0</v>
      </c>
      <c r="E23" s="7">
        <f>'[2]Dec Prod'!E22</f>
        <v>0</v>
      </c>
      <c r="F23" s="8">
        <f t="shared" si="2"/>
        <v>0</v>
      </c>
      <c r="G23" s="10">
        <f t="shared" si="3"/>
        <v>0</v>
      </c>
      <c r="H23" s="7">
        <f>'[2]Dec Prod'!F22</f>
        <v>0</v>
      </c>
      <c r="I23" s="8">
        <f t="shared" si="4"/>
        <v>0</v>
      </c>
      <c r="J23" s="10">
        <f t="shared" si="5"/>
        <v>0</v>
      </c>
      <c r="K23" s="7">
        <f>'[2]Dec Prod'!H277</f>
        <v>0</v>
      </c>
      <c r="L23" s="8">
        <f t="shared" si="6"/>
        <v>0</v>
      </c>
      <c r="M23" s="10">
        <f t="shared" si="7"/>
        <v>0</v>
      </c>
      <c r="N23" s="21"/>
      <c r="O23" s="7">
        <f>'[2]Dec Prod'!H22</f>
        <v>11776000.000000006</v>
      </c>
      <c r="P23" s="8">
        <f t="shared" si="8"/>
        <v>11.776000000000005</v>
      </c>
      <c r="Q23" s="10">
        <f t="shared" si="9"/>
        <v>36.152320000000017</v>
      </c>
      <c r="R23" s="7">
        <f>'[2]Dec Prod'!C22</f>
        <v>12111000</v>
      </c>
      <c r="S23" s="8">
        <f t="shared" si="10"/>
        <v>12.111000000000001</v>
      </c>
      <c r="T23" s="10">
        <f t="shared" si="11"/>
        <v>37.180770000000003</v>
      </c>
      <c r="U23" s="7">
        <f>'[2]Dec Prod'!D22</f>
        <v>0</v>
      </c>
      <c r="V23" s="8">
        <f t="shared" si="12"/>
        <v>0</v>
      </c>
      <c r="W23" s="10">
        <f t="shared" si="13"/>
        <v>0</v>
      </c>
      <c r="X23" s="7">
        <f>'[2]Dec Prod'!D277</f>
        <v>334999.99999999377</v>
      </c>
      <c r="Y23" s="8">
        <f t="shared" si="14"/>
        <v>0.33499999999999375</v>
      </c>
      <c r="Z23" s="10">
        <f t="shared" si="15"/>
        <v>1.0284499999999808</v>
      </c>
      <c r="AA23" s="15"/>
      <c r="AB23" s="7">
        <f t="shared" si="16"/>
        <v>11776000.000000006</v>
      </c>
      <c r="AC23" s="8">
        <f t="shared" si="16"/>
        <v>11.776000000000005</v>
      </c>
      <c r="AD23" s="8">
        <f t="shared" si="16"/>
        <v>36.152320000000017</v>
      </c>
    </row>
    <row r="24" spans="1:30" x14ac:dyDescent="0.2">
      <c r="A24" s="1">
        <v>38341</v>
      </c>
      <c r="B24" s="7">
        <f>'[2]Dec Prod'!I23</f>
        <v>0</v>
      </c>
      <c r="C24" s="8">
        <f t="shared" si="0"/>
        <v>0</v>
      </c>
      <c r="D24" s="10">
        <f t="shared" si="1"/>
        <v>0</v>
      </c>
      <c r="E24" s="7">
        <f>'[2]Dec Prod'!E23</f>
        <v>0</v>
      </c>
      <c r="F24" s="8">
        <f t="shared" si="2"/>
        <v>0</v>
      </c>
      <c r="G24" s="10">
        <f t="shared" si="3"/>
        <v>0</v>
      </c>
      <c r="H24" s="7">
        <f>'[2]Dec Prod'!F23</f>
        <v>0</v>
      </c>
      <c r="I24" s="8">
        <f t="shared" si="4"/>
        <v>0</v>
      </c>
      <c r="J24" s="10">
        <f t="shared" si="5"/>
        <v>0</v>
      </c>
      <c r="K24" s="7">
        <f>'[2]Dec Prod'!H278</f>
        <v>0</v>
      </c>
      <c r="L24" s="8">
        <f t="shared" si="6"/>
        <v>0</v>
      </c>
      <c r="M24" s="10">
        <f t="shared" si="7"/>
        <v>0</v>
      </c>
      <c r="N24" s="21"/>
      <c r="O24" s="7">
        <f>'[2]Dec Prod'!H23</f>
        <v>11688000.000000002</v>
      </c>
      <c r="P24" s="8">
        <f t="shared" si="8"/>
        <v>11.688000000000002</v>
      </c>
      <c r="Q24" s="10">
        <f t="shared" si="9"/>
        <v>35.882160000000006</v>
      </c>
      <c r="R24" s="7">
        <f>'[2]Dec Prod'!C23</f>
        <v>12036000</v>
      </c>
      <c r="S24" s="8">
        <f t="shared" si="10"/>
        <v>12.036</v>
      </c>
      <c r="T24" s="10">
        <f t="shared" si="11"/>
        <v>36.950519999999997</v>
      </c>
      <c r="U24" s="7">
        <f>'[2]Dec Prod'!D23</f>
        <v>0</v>
      </c>
      <c r="V24" s="8">
        <f t="shared" si="12"/>
        <v>0</v>
      </c>
      <c r="W24" s="10">
        <f t="shared" si="13"/>
        <v>0</v>
      </c>
      <c r="X24" s="7">
        <f>'[2]Dec Prod'!D278</f>
        <v>347999.99999999895</v>
      </c>
      <c r="Y24" s="8">
        <f t="shared" si="14"/>
        <v>0.34799999999999898</v>
      </c>
      <c r="Z24" s="10">
        <f t="shared" si="15"/>
        <v>1.0683599999999969</v>
      </c>
      <c r="AA24" s="15"/>
      <c r="AB24" s="7">
        <f t="shared" si="16"/>
        <v>11688000.000000002</v>
      </c>
      <c r="AC24" s="8">
        <f t="shared" si="16"/>
        <v>11.688000000000002</v>
      </c>
      <c r="AD24" s="8">
        <f>D24+Q24</f>
        <v>35.882160000000006</v>
      </c>
    </row>
    <row r="25" spans="1:30" x14ac:dyDescent="0.2">
      <c r="A25" s="1">
        <v>38342</v>
      </c>
      <c r="B25" s="7">
        <f>'[2]Dec Prod'!I24</f>
        <v>0</v>
      </c>
      <c r="C25" s="8">
        <f t="shared" si="0"/>
        <v>0</v>
      </c>
      <c r="D25" s="10">
        <f t="shared" si="1"/>
        <v>0</v>
      </c>
      <c r="E25" s="7">
        <f>'[2]Dec Prod'!E24</f>
        <v>0</v>
      </c>
      <c r="F25" s="8">
        <f t="shared" si="2"/>
        <v>0</v>
      </c>
      <c r="G25" s="10">
        <f t="shared" si="3"/>
        <v>0</v>
      </c>
      <c r="H25" s="7">
        <f>'[2]Dec Prod'!F24</f>
        <v>0</v>
      </c>
      <c r="I25" s="8">
        <f t="shared" si="4"/>
        <v>0</v>
      </c>
      <c r="J25" s="10">
        <f t="shared" si="5"/>
        <v>0</v>
      </c>
      <c r="K25" s="7">
        <f>'[2]Dec Prod'!H279</f>
        <v>0</v>
      </c>
      <c r="L25" s="8">
        <f t="shared" si="6"/>
        <v>0</v>
      </c>
      <c r="M25" s="10">
        <f t="shared" si="7"/>
        <v>0</v>
      </c>
      <c r="N25" s="21"/>
      <c r="O25" s="7">
        <f>'[2]Dec Prod'!H24</f>
        <v>11660999.999999998</v>
      </c>
      <c r="P25" s="8">
        <f t="shared" si="8"/>
        <v>11.660999999999998</v>
      </c>
      <c r="Q25" s="10">
        <f t="shared" si="9"/>
        <v>35.799269999999993</v>
      </c>
      <c r="R25" s="7">
        <f>'[2]Dec Prod'!C24</f>
        <v>11953000</v>
      </c>
      <c r="S25" s="8">
        <f t="shared" si="10"/>
        <v>11.952999999999999</v>
      </c>
      <c r="T25" s="10">
        <f t="shared" si="11"/>
        <v>36.695709999999998</v>
      </c>
      <c r="U25" s="7">
        <f>'[2]Dec Prod'!D24</f>
        <v>0</v>
      </c>
      <c r="V25" s="8">
        <f t="shared" si="12"/>
        <v>0</v>
      </c>
      <c r="W25" s="10">
        <f t="shared" si="13"/>
        <v>0</v>
      </c>
      <c r="X25" s="7">
        <f>'[2]Dec Prod'!D279</f>
        <v>292000.00000000157</v>
      </c>
      <c r="Y25" s="8">
        <f t="shared" si="14"/>
        <v>0.29200000000000159</v>
      </c>
      <c r="Z25" s="10">
        <f t="shared" si="15"/>
        <v>0.89644000000000479</v>
      </c>
      <c r="AA25" s="15"/>
      <c r="AB25" s="7">
        <f t="shared" si="16"/>
        <v>11660999.999999998</v>
      </c>
      <c r="AC25" s="8">
        <f t="shared" si="16"/>
        <v>11.660999999999998</v>
      </c>
      <c r="AD25" s="8">
        <f t="shared" si="16"/>
        <v>35.799269999999993</v>
      </c>
    </row>
    <row r="26" spans="1:30" x14ac:dyDescent="0.2">
      <c r="A26" s="1">
        <v>38343</v>
      </c>
      <c r="B26" s="7">
        <f>'[2]Dec Prod'!I25</f>
        <v>0</v>
      </c>
      <c r="C26" s="8">
        <f t="shared" si="0"/>
        <v>0</v>
      </c>
      <c r="D26" s="10">
        <f t="shared" si="1"/>
        <v>0</v>
      </c>
      <c r="E26" s="7">
        <f>'[2]Dec Prod'!E25</f>
        <v>0</v>
      </c>
      <c r="F26" s="8">
        <f t="shared" si="2"/>
        <v>0</v>
      </c>
      <c r="G26" s="10">
        <f t="shared" si="3"/>
        <v>0</v>
      </c>
      <c r="H26" s="7">
        <f>'[2]Dec Prod'!F25</f>
        <v>0</v>
      </c>
      <c r="I26" s="8">
        <f t="shared" si="4"/>
        <v>0</v>
      </c>
      <c r="J26" s="10">
        <f t="shared" si="5"/>
        <v>0</v>
      </c>
      <c r="K26" s="7">
        <f>'[2]Dec Prod'!H280</f>
        <v>0</v>
      </c>
      <c r="L26" s="8">
        <f t="shared" si="6"/>
        <v>0</v>
      </c>
      <c r="M26" s="10">
        <f t="shared" si="7"/>
        <v>0</v>
      </c>
      <c r="N26" s="21"/>
      <c r="O26" s="7">
        <f>'[2]Dec Prod'!H25</f>
        <v>10697999.999999993</v>
      </c>
      <c r="P26" s="8">
        <f t="shared" si="8"/>
        <v>10.697999999999993</v>
      </c>
      <c r="Q26" s="10">
        <f t="shared" si="9"/>
        <v>32.84285999999998</v>
      </c>
      <c r="R26" s="7">
        <f>'[2]Dec Prod'!C25</f>
        <v>11039000</v>
      </c>
      <c r="S26" s="8">
        <f t="shared" si="10"/>
        <v>11.039</v>
      </c>
      <c r="T26" s="10">
        <f t="shared" si="11"/>
        <v>33.88973</v>
      </c>
      <c r="U26" s="7">
        <f>'[2]Dec Prod'!D25</f>
        <v>0</v>
      </c>
      <c r="V26" s="8">
        <f t="shared" si="12"/>
        <v>0</v>
      </c>
      <c r="W26" s="10">
        <f t="shared" si="13"/>
        <v>0</v>
      </c>
      <c r="X26" s="7">
        <f>'[2]Dec Prod'!D280</f>
        <v>341000.00000000821</v>
      </c>
      <c r="Y26" s="8">
        <f t="shared" si="14"/>
        <v>0.34100000000000819</v>
      </c>
      <c r="Z26" s="10">
        <f t="shared" si="15"/>
        <v>1.0468700000000251</v>
      </c>
      <c r="AA26" s="15"/>
      <c r="AB26" s="7">
        <f t="shared" si="16"/>
        <v>10697999.999999993</v>
      </c>
      <c r="AC26" s="8">
        <f t="shared" si="16"/>
        <v>10.697999999999993</v>
      </c>
      <c r="AD26" s="8">
        <f t="shared" si="16"/>
        <v>32.84285999999998</v>
      </c>
    </row>
    <row r="27" spans="1:30" x14ac:dyDescent="0.2">
      <c r="A27" s="1">
        <v>38344</v>
      </c>
      <c r="B27" s="7">
        <f>'[2]Dec Prod'!I26</f>
        <v>0</v>
      </c>
      <c r="C27" s="8">
        <f t="shared" si="0"/>
        <v>0</v>
      </c>
      <c r="D27" s="10">
        <f t="shared" si="1"/>
        <v>0</v>
      </c>
      <c r="E27" s="7">
        <f>'[2]Dec Prod'!E26</f>
        <v>0</v>
      </c>
      <c r="F27" s="8">
        <f t="shared" si="2"/>
        <v>0</v>
      </c>
      <c r="G27" s="10">
        <f t="shared" si="3"/>
        <v>0</v>
      </c>
      <c r="H27" s="7">
        <f>'[2]Dec Prod'!F26</f>
        <v>0</v>
      </c>
      <c r="I27" s="8">
        <f t="shared" si="4"/>
        <v>0</v>
      </c>
      <c r="J27" s="10">
        <f t="shared" si="5"/>
        <v>0</v>
      </c>
      <c r="K27" s="7">
        <f>'[2]Dec Prod'!H281</f>
        <v>0</v>
      </c>
      <c r="L27" s="8">
        <f t="shared" si="6"/>
        <v>0</v>
      </c>
      <c r="M27" s="10">
        <f t="shared" si="7"/>
        <v>0</v>
      </c>
      <c r="N27" s="21"/>
      <c r="O27" s="7">
        <f>'[2]Dec Prod'!H26</f>
        <v>11235000.000000006</v>
      </c>
      <c r="P27" s="8">
        <f t="shared" si="8"/>
        <v>11.235000000000005</v>
      </c>
      <c r="Q27" s="10">
        <f t="shared" si="9"/>
        <v>34.491450000000015</v>
      </c>
      <c r="R27" s="7">
        <f>'[2]Dec Prod'!C26</f>
        <v>11570000</v>
      </c>
      <c r="S27" s="8">
        <f t="shared" si="10"/>
        <v>11.57</v>
      </c>
      <c r="T27" s="10">
        <f t="shared" si="11"/>
        <v>35.5199</v>
      </c>
      <c r="U27" s="7">
        <f>'[2]Dec Prod'!D26</f>
        <v>0</v>
      </c>
      <c r="V27" s="8">
        <f t="shared" si="12"/>
        <v>0</v>
      </c>
      <c r="W27" s="10">
        <f t="shared" si="13"/>
        <v>0</v>
      </c>
      <c r="X27" s="7">
        <f>'[2]Dec Prod'!D281</f>
        <v>334999.99999999377</v>
      </c>
      <c r="Y27" s="8">
        <f t="shared" si="14"/>
        <v>0.33499999999999375</v>
      </c>
      <c r="Z27" s="10">
        <f t="shared" si="15"/>
        <v>1.0284499999999808</v>
      </c>
      <c r="AA27" s="15"/>
      <c r="AB27" s="7">
        <f t="shared" si="16"/>
        <v>11235000.000000006</v>
      </c>
      <c r="AC27" s="8">
        <f t="shared" si="16"/>
        <v>11.235000000000005</v>
      </c>
      <c r="AD27" s="8">
        <f t="shared" si="16"/>
        <v>34.491450000000015</v>
      </c>
    </row>
    <row r="28" spans="1:30" x14ac:dyDescent="0.2">
      <c r="A28" s="1">
        <v>38345</v>
      </c>
      <c r="B28" s="7">
        <f>'[2]Dec Prod'!I27</f>
        <v>0</v>
      </c>
      <c r="C28" s="8">
        <f t="shared" si="0"/>
        <v>0</v>
      </c>
      <c r="D28" s="10">
        <f t="shared" si="1"/>
        <v>0</v>
      </c>
      <c r="E28" s="7">
        <f>'[2]Dec Prod'!E27</f>
        <v>0</v>
      </c>
      <c r="F28" s="8">
        <f t="shared" si="2"/>
        <v>0</v>
      </c>
      <c r="G28" s="10">
        <f t="shared" si="3"/>
        <v>0</v>
      </c>
      <c r="H28" s="7">
        <f>'[2]Dec Prod'!F27</f>
        <v>0</v>
      </c>
      <c r="I28" s="8">
        <f t="shared" si="4"/>
        <v>0</v>
      </c>
      <c r="J28" s="10">
        <f t="shared" si="5"/>
        <v>0</v>
      </c>
      <c r="K28" s="7">
        <f>'[2]Dec Prod'!H282</f>
        <v>0</v>
      </c>
      <c r="L28" s="8">
        <f t="shared" si="6"/>
        <v>0</v>
      </c>
      <c r="M28" s="10">
        <f t="shared" si="7"/>
        <v>0</v>
      </c>
      <c r="N28" s="21"/>
      <c r="O28" s="7">
        <f>'[2]Dec Prod'!H27</f>
        <v>11360999.999999996</v>
      </c>
      <c r="P28" s="8">
        <f t="shared" si="8"/>
        <v>11.360999999999997</v>
      </c>
      <c r="Q28" s="10">
        <f t="shared" si="9"/>
        <v>34.878269999999986</v>
      </c>
      <c r="R28" s="7">
        <f>'[2]Dec Prod'!C27</f>
        <v>11701000</v>
      </c>
      <c r="S28" s="8">
        <f t="shared" si="10"/>
        <v>11.701000000000001</v>
      </c>
      <c r="T28" s="10">
        <f t="shared" si="11"/>
        <v>35.922069999999998</v>
      </c>
      <c r="U28" s="7">
        <f>'[2]Dec Prod'!D27</f>
        <v>0</v>
      </c>
      <c r="V28" s="8">
        <f t="shared" si="12"/>
        <v>0</v>
      </c>
      <c r="W28" s="10">
        <f t="shared" si="13"/>
        <v>0</v>
      </c>
      <c r="X28" s="7">
        <f>'[2]Dec Prod'!D282</f>
        <v>340000.00000000343</v>
      </c>
      <c r="Y28" s="8">
        <f t="shared" si="14"/>
        <v>0.34000000000000341</v>
      </c>
      <c r="Z28" s="10">
        <f t="shared" si="15"/>
        <v>1.0438000000000105</v>
      </c>
      <c r="AA28" s="15"/>
      <c r="AB28" s="7">
        <f t="shared" si="16"/>
        <v>11360999.999999996</v>
      </c>
      <c r="AC28" s="8">
        <f t="shared" si="16"/>
        <v>11.360999999999997</v>
      </c>
      <c r="AD28" s="8">
        <f t="shared" si="16"/>
        <v>34.878269999999986</v>
      </c>
    </row>
    <row r="29" spans="1:30" x14ac:dyDescent="0.2">
      <c r="A29" s="1">
        <v>38346</v>
      </c>
      <c r="B29" s="7">
        <f>'[2]Dec Prod'!I28</f>
        <v>0</v>
      </c>
      <c r="C29" s="8">
        <f t="shared" si="0"/>
        <v>0</v>
      </c>
      <c r="D29" s="10">
        <f t="shared" si="1"/>
        <v>0</v>
      </c>
      <c r="E29" s="7">
        <f>'[2]Dec Prod'!E28</f>
        <v>0</v>
      </c>
      <c r="F29" s="8">
        <f t="shared" si="2"/>
        <v>0</v>
      </c>
      <c r="G29" s="10">
        <f t="shared" si="3"/>
        <v>0</v>
      </c>
      <c r="H29" s="7">
        <f>'[2]Dec Prod'!F28</f>
        <v>0</v>
      </c>
      <c r="I29" s="8">
        <f t="shared" si="4"/>
        <v>0</v>
      </c>
      <c r="J29" s="10">
        <f t="shared" si="5"/>
        <v>0</v>
      </c>
      <c r="K29" s="7">
        <f>'[2]Dec Prod'!H283</f>
        <v>0</v>
      </c>
      <c r="L29" s="8">
        <f t="shared" si="6"/>
        <v>0</v>
      </c>
      <c r="M29" s="10">
        <f t="shared" si="7"/>
        <v>0</v>
      </c>
      <c r="N29" s="21"/>
      <c r="O29" s="7">
        <f>'[2]Dec Prod'!H28</f>
        <v>12187000.000000002</v>
      </c>
      <c r="P29" s="8">
        <f t="shared" si="8"/>
        <v>12.187000000000001</v>
      </c>
      <c r="Q29" s="10">
        <f t="shared" si="9"/>
        <v>37.414090000000002</v>
      </c>
      <c r="R29" s="7">
        <f>'[2]Dec Prod'!C28</f>
        <v>12532000</v>
      </c>
      <c r="S29" s="8">
        <f t="shared" si="10"/>
        <v>12.532</v>
      </c>
      <c r="T29" s="10">
        <f t="shared" si="11"/>
        <v>38.473239999999997</v>
      </c>
      <c r="U29" s="7">
        <f>'[2]Dec Prod'!D28</f>
        <v>0</v>
      </c>
      <c r="V29" s="8">
        <f t="shared" si="12"/>
        <v>0</v>
      </c>
      <c r="W29" s="10">
        <f t="shared" si="13"/>
        <v>0</v>
      </c>
      <c r="X29" s="7">
        <f>'[2]Dec Prod'!D283</f>
        <v>344999.99999999884</v>
      </c>
      <c r="Y29" s="8">
        <f t="shared" si="14"/>
        <v>0.34499999999999886</v>
      </c>
      <c r="Z29" s="10">
        <f t="shared" si="15"/>
        <v>1.0591499999999965</v>
      </c>
      <c r="AA29" s="15"/>
      <c r="AB29" s="7">
        <f t="shared" si="16"/>
        <v>12187000.000000002</v>
      </c>
      <c r="AC29" s="8">
        <f t="shared" si="16"/>
        <v>12.187000000000001</v>
      </c>
      <c r="AD29" s="8">
        <f t="shared" si="16"/>
        <v>37.414090000000002</v>
      </c>
    </row>
    <row r="30" spans="1:30" x14ac:dyDescent="0.2">
      <c r="A30" s="1">
        <v>38347</v>
      </c>
      <c r="B30" s="7">
        <f>'[2]Dec Prod'!I29</f>
        <v>0</v>
      </c>
      <c r="C30" s="8">
        <f t="shared" si="0"/>
        <v>0</v>
      </c>
      <c r="D30" s="10">
        <f t="shared" si="1"/>
        <v>0</v>
      </c>
      <c r="E30" s="7">
        <f>'[2]Dec Prod'!E29</f>
        <v>0</v>
      </c>
      <c r="F30" s="8">
        <f t="shared" si="2"/>
        <v>0</v>
      </c>
      <c r="G30" s="10">
        <f t="shared" si="3"/>
        <v>0</v>
      </c>
      <c r="H30" s="7">
        <f>'[2]Dec Prod'!F29</f>
        <v>0</v>
      </c>
      <c r="I30" s="8">
        <f t="shared" si="4"/>
        <v>0</v>
      </c>
      <c r="J30" s="10">
        <f t="shared" si="5"/>
        <v>0</v>
      </c>
      <c r="K30" s="7">
        <f>'[2]Dec Prod'!H284</f>
        <v>0</v>
      </c>
      <c r="L30" s="8">
        <f t="shared" si="6"/>
        <v>0</v>
      </c>
      <c r="M30" s="10">
        <f t="shared" si="7"/>
        <v>0</v>
      </c>
      <c r="N30" s="21"/>
      <c r="O30" s="7">
        <f>'[2]Dec Prod'!H29</f>
        <v>10712999.999999996</v>
      </c>
      <c r="P30" s="8">
        <f t="shared" si="8"/>
        <v>10.712999999999996</v>
      </c>
      <c r="Q30" s="10">
        <f t="shared" si="9"/>
        <v>32.888909999999981</v>
      </c>
      <c r="R30" s="7">
        <f>'[2]Dec Prod'!C29</f>
        <v>11053000</v>
      </c>
      <c r="S30" s="8">
        <f t="shared" si="10"/>
        <v>11.053000000000001</v>
      </c>
      <c r="T30" s="10">
        <f t="shared" si="11"/>
        <v>33.93271</v>
      </c>
      <c r="U30" s="7">
        <f>'[2]Dec Prod'!D29</f>
        <v>0</v>
      </c>
      <c r="V30" s="8">
        <f t="shared" si="12"/>
        <v>0</v>
      </c>
      <c r="W30" s="10">
        <f t="shared" si="13"/>
        <v>0</v>
      </c>
      <c r="X30" s="7">
        <f>'[2]Dec Prod'!D284</f>
        <v>340000.00000000343</v>
      </c>
      <c r="Y30" s="8">
        <f t="shared" si="14"/>
        <v>0.34000000000000341</v>
      </c>
      <c r="Z30" s="10">
        <f t="shared" si="15"/>
        <v>1.0438000000000105</v>
      </c>
      <c r="AA30" s="15"/>
      <c r="AB30" s="7">
        <f t="shared" si="16"/>
        <v>10712999.999999996</v>
      </c>
      <c r="AC30" s="8">
        <f t="shared" si="16"/>
        <v>10.712999999999996</v>
      </c>
      <c r="AD30" s="8">
        <f>D30+Q30</f>
        <v>32.888909999999981</v>
      </c>
    </row>
    <row r="31" spans="1:30" x14ac:dyDescent="0.2">
      <c r="A31" s="1">
        <v>38348</v>
      </c>
      <c r="B31" s="7">
        <f>'[2]Dec Prod'!I30</f>
        <v>0</v>
      </c>
      <c r="C31" s="8">
        <f t="shared" si="0"/>
        <v>0</v>
      </c>
      <c r="D31" s="10">
        <f t="shared" si="1"/>
        <v>0</v>
      </c>
      <c r="E31" s="7">
        <f>'[2]Dec Prod'!E30</f>
        <v>0</v>
      </c>
      <c r="F31" s="8">
        <f t="shared" si="2"/>
        <v>0</v>
      </c>
      <c r="G31" s="10">
        <f t="shared" si="3"/>
        <v>0</v>
      </c>
      <c r="H31" s="7">
        <f>'[2]Dec Prod'!F30</f>
        <v>0</v>
      </c>
      <c r="I31" s="8">
        <f t="shared" si="4"/>
        <v>0</v>
      </c>
      <c r="J31" s="10">
        <f t="shared" si="5"/>
        <v>0</v>
      </c>
      <c r="K31" s="7">
        <f>'[2]Dec Prod'!H285</f>
        <v>0</v>
      </c>
      <c r="L31" s="8">
        <f t="shared" si="6"/>
        <v>0</v>
      </c>
      <c r="M31" s="10">
        <f t="shared" si="7"/>
        <v>0</v>
      </c>
      <c r="N31" s="21"/>
      <c r="O31" s="7">
        <f>'[2]Dec Prod'!H30</f>
        <v>11593000.000000011</v>
      </c>
      <c r="P31" s="8">
        <f t="shared" si="8"/>
        <v>11.593000000000011</v>
      </c>
      <c r="Q31" s="10">
        <f t="shared" si="9"/>
        <v>35.59051000000003</v>
      </c>
      <c r="R31" s="7">
        <f>'[2]Dec Prod'!C30</f>
        <v>11930000</v>
      </c>
      <c r="S31" s="8">
        <f t="shared" si="10"/>
        <v>11.93</v>
      </c>
      <c r="T31" s="10">
        <f t="shared" si="11"/>
        <v>36.625099999999996</v>
      </c>
      <c r="U31" s="7">
        <f>'[2]Dec Prod'!D30</f>
        <v>0</v>
      </c>
      <c r="V31" s="8">
        <f t="shared" si="12"/>
        <v>0</v>
      </c>
      <c r="W31" s="10">
        <f t="shared" si="13"/>
        <v>0</v>
      </c>
      <c r="X31" s="7">
        <f>'[2]Dec Prod'!D285</f>
        <v>336999.99999998906</v>
      </c>
      <c r="Y31" s="8">
        <f t="shared" si="14"/>
        <v>0.33699999999998903</v>
      </c>
      <c r="Z31" s="10">
        <f t="shared" si="15"/>
        <v>1.0345899999999664</v>
      </c>
      <c r="AA31" s="15"/>
      <c r="AB31" s="7">
        <f t="shared" si="16"/>
        <v>11593000.000000011</v>
      </c>
      <c r="AC31" s="8">
        <f t="shared" si="16"/>
        <v>11.593000000000011</v>
      </c>
      <c r="AD31" s="8">
        <f t="shared" si="16"/>
        <v>35.59051000000003</v>
      </c>
    </row>
    <row r="32" spans="1:30" x14ac:dyDescent="0.2">
      <c r="A32" s="1">
        <v>38349</v>
      </c>
      <c r="B32" s="7">
        <f>'[2]Dec Prod'!I31</f>
        <v>0</v>
      </c>
      <c r="C32" s="8">
        <f t="shared" si="0"/>
        <v>0</v>
      </c>
      <c r="D32" s="10">
        <f t="shared" si="1"/>
        <v>0</v>
      </c>
      <c r="E32" s="7">
        <f>'[2]Dec Prod'!E31</f>
        <v>0</v>
      </c>
      <c r="F32" s="8">
        <f t="shared" si="2"/>
        <v>0</v>
      </c>
      <c r="G32" s="10">
        <f t="shared" si="3"/>
        <v>0</v>
      </c>
      <c r="H32" s="7">
        <f>'[2]Dec Prod'!F31</f>
        <v>0</v>
      </c>
      <c r="I32" s="8">
        <f t="shared" si="4"/>
        <v>0</v>
      </c>
      <c r="J32" s="10">
        <f t="shared" si="5"/>
        <v>0</v>
      </c>
      <c r="K32" s="7">
        <f>'[2]Dec Prod'!H286</f>
        <v>0</v>
      </c>
      <c r="L32" s="8">
        <f t="shared" si="6"/>
        <v>0</v>
      </c>
      <c r="M32" s="10">
        <f t="shared" si="7"/>
        <v>0</v>
      </c>
      <c r="N32" s="21"/>
      <c r="O32" s="7">
        <f>'[2]Dec Prod'!H31</f>
        <v>11680999.999999987</v>
      </c>
      <c r="P32" s="8">
        <f t="shared" si="8"/>
        <v>11.680999999999987</v>
      </c>
      <c r="Q32" s="10">
        <f t="shared" si="9"/>
        <v>35.860669999999956</v>
      </c>
      <c r="R32" s="7">
        <f>'[2]Dec Prod'!C31</f>
        <v>12014000</v>
      </c>
      <c r="S32" s="8">
        <f t="shared" si="10"/>
        <v>12.013999999999999</v>
      </c>
      <c r="T32" s="10">
        <f t="shared" si="11"/>
        <v>36.882979999999996</v>
      </c>
      <c r="U32" s="7">
        <f>'[2]Dec Prod'!D31</f>
        <v>0</v>
      </c>
      <c r="V32" s="8">
        <f t="shared" si="12"/>
        <v>0</v>
      </c>
      <c r="W32" s="10">
        <f t="shared" si="13"/>
        <v>0</v>
      </c>
      <c r="X32" s="7">
        <f>'[2]Dec Prod'!D286</f>
        <v>333000.00000001263</v>
      </c>
      <c r="Y32" s="8">
        <f t="shared" si="14"/>
        <v>0.33300000000001262</v>
      </c>
      <c r="Z32" s="10">
        <f t="shared" si="15"/>
        <v>1.0223100000000387</v>
      </c>
      <c r="AA32" s="15"/>
      <c r="AB32" s="7">
        <f t="shared" si="16"/>
        <v>11680999.999999987</v>
      </c>
      <c r="AC32" s="8">
        <f t="shared" si="16"/>
        <v>11.680999999999987</v>
      </c>
      <c r="AD32" s="8">
        <f t="shared" si="16"/>
        <v>35.860669999999956</v>
      </c>
    </row>
    <row r="33" spans="1:30" x14ac:dyDescent="0.2">
      <c r="A33" s="1">
        <v>38350</v>
      </c>
      <c r="B33" s="7">
        <f>'[2]Dec Prod'!I32</f>
        <v>0</v>
      </c>
      <c r="C33" s="8">
        <f t="shared" si="0"/>
        <v>0</v>
      </c>
      <c r="D33" s="10">
        <f t="shared" si="1"/>
        <v>0</v>
      </c>
      <c r="E33" s="7">
        <f>'[2]Dec Prod'!E32</f>
        <v>0</v>
      </c>
      <c r="F33" s="8">
        <f t="shared" si="2"/>
        <v>0</v>
      </c>
      <c r="G33" s="10">
        <f t="shared" si="3"/>
        <v>0</v>
      </c>
      <c r="H33" s="7">
        <f>'[2]Dec Prod'!F32</f>
        <v>0</v>
      </c>
      <c r="I33" s="8">
        <f t="shared" si="4"/>
        <v>0</v>
      </c>
      <c r="J33" s="10">
        <f t="shared" si="5"/>
        <v>0</v>
      </c>
      <c r="K33" s="7">
        <f>'[2]Dec Prod'!H287</f>
        <v>0</v>
      </c>
      <c r="L33" s="8">
        <f t="shared" si="6"/>
        <v>0</v>
      </c>
      <c r="M33" s="10">
        <f t="shared" si="7"/>
        <v>0</v>
      </c>
      <c r="N33" s="21"/>
      <c r="O33" s="7">
        <f>'[2]Dec Prod'!H32</f>
        <v>11736000.000000007</v>
      </c>
      <c r="P33" s="8">
        <f t="shared" si="8"/>
        <v>11.736000000000008</v>
      </c>
      <c r="Q33" s="10">
        <f t="shared" si="9"/>
        <v>36.029520000000019</v>
      </c>
      <c r="R33" s="7">
        <f>'[2]Dec Prod'!C32</f>
        <v>12068000</v>
      </c>
      <c r="S33" s="8">
        <f t="shared" si="10"/>
        <v>12.068</v>
      </c>
      <c r="T33" s="10">
        <f t="shared" si="11"/>
        <v>37.048759999999994</v>
      </c>
      <c r="U33" s="7">
        <f>'[2]Dec Prod'!D32</f>
        <v>0</v>
      </c>
      <c r="V33" s="8">
        <f t="shared" si="12"/>
        <v>0</v>
      </c>
      <c r="W33" s="10">
        <f t="shared" si="13"/>
        <v>0</v>
      </c>
      <c r="X33" s="7">
        <f>'[2]Dec Prod'!D287</f>
        <v>331999.99999999366</v>
      </c>
      <c r="Y33" s="8">
        <f t="shared" si="14"/>
        <v>0.33199999999999363</v>
      </c>
      <c r="Z33" s="10">
        <f t="shared" si="15"/>
        <v>1.0192399999999804</v>
      </c>
      <c r="AA33" s="15"/>
      <c r="AB33" s="7">
        <f t="shared" si="16"/>
        <v>11736000.000000007</v>
      </c>
      <c r="AC33" s="8">
        <f t="shared" si="16"/>
        <v>11.736000000000008</v>
      </c>
      <c r="AD33" s="8">
        <f t="shared" si="16"/>
        <v>36.029520000000019</v>
      </c>
    </row>
    <row r="34" spans="1:30" x14ac:dyDescent="0.2">
      <c r="A34" s="1">
        <v>38351</v>
      </c>
      <c r="B34" s="7">
        <f>'[2]Dec Prod'!I33</f>
        <v>0</v>
      </c>
      <c r="C34" s="8">
        <f t="shared" si="0"/>
        <v>0</v>
      </c>
      <c r="D34" s="10">
        <f t="shared" si="1"/>
        <v>0</v>
      </c>
      <c r="E34" s="7">
        <f>'[2]Dec Prod'!E33</f>
        <v>0</v>
      </c>
      <c r="F34" s="8">
        <f t="shared" si="2"/>
        <v>0</v>
      </c>
      <c r="G34" s="10">
        <f t="shared" si="3"/>
        <v>0</v>
      </c>
      <c r="H34" s="7">
        <f>'[2]Dec Prod'!F33</f>
        <v>0</v>
      </c>
      <c r="I34" s="8">
        <f t="shared" si="4"/>
        <v>0</v>
      </c>
      <c r="J34" s="10">
        <f t="shared" si="5"/>
        <v>0</v>
      </c>
      <c r="K34" s="7">
        <f>'[2]Dec Prod'!H288</f>
        <v>0</v>
      </c>
      <c r="L34" s="8">
        <f t="shared" si="6"/>
        <v>0</v>
      </c>
      <c r="M34" s="10">
        <f t="shared" si="7"/>
        <v>0</v>
      </c>
      <c r="N34" s="21"/>
      <c r="O34" s="7">
        <f>'[2]Dec Prod'!H33</f>
        <v>11300000.000000006</v>
      </c>
      <c r="P34" s="8">
        <f t="shared" si="8"/>
        <v>11.300000000000006</v>
      </c>
      <c r="Q34" s="10">
        <f t="shared" si="9"/>
        <v>34.691000000000017</v>
      </c>
      <c r="R34" s="7">
        <f>'[2]Dec Prod'!C33</f>
        <v>11638000</v>
      </c>
      <c r="S34" s="8">
        <f t="shared" si="10"/>
        <v>11.638</v>
      </c>
      <c r="T34" s="10">
        <f t="shared" si="11"/>
        <v>35.728659999999998</v>
      </c>
      <c r="U34" s="7">
        <f>'[2]Dec Prod'!D33</f>
        <v>0</v>
      </c>
      <c r="V34" s="8">
        <f t="shared" si="12"/>
        <v>0</v>
      </c>
      <c r="W34" s="10">
        <f t="shared" si="13"/>
        <v>0</v>
      </c>
      <c r="X34" s="7">
        <f>'[2]Dec Prod'!D288</f>
        <v>337999.99999999389</v>
      </c>
      <c r="Y34" s="8">
        <f t="shared" si="14"/>
        <v>0.33799999999999386</v>
      </c>
      <c r="Z34" s="10">
        <f t="shared" si="15"/>
        <v>1.0376599999999812</v>
      </c>
      <c r="AA34" s="15"/>
      <c r="AB34" s="7">
        <f t="shared" si="16"/>
        <v>11300000.000000006</v>
      </c>
      <c r="AC34" s="8">
        <f t="shared" si="16"/>
        <v>11.300000000000006</v>
      </c>
      <c r="AD34" s="8">
        <f t="shared" si="16"/>
        <v>34.691000000000017</v>
      </c>
    </row>
    <row r="35" spans="1:30" ht="13.5" thickBot="1" x14ac:dyDescent="0.25">
      <c r="A35" s="1">
        <v>38352</v>
      </c>
      <c r="B35" s="30">
        <f>'[2]Dec Prod'!I34</f>
        <v>0</v>
      </c>
      <c r="C35" s="9">
        <f t="shared" si="0"/>
        <v>0</v>
      </c>
      <c r="D35" s="11">
        <f t="shared" si="1"/>
        <v>0</v>
      </c>
      <c r="E35" s="7">
        <f>'[2]Dec Prod'!E34</f>
        <v>0</v>
      </c>
      <c r="F35" s="9">
        <f t="shared" si="2"/>
        <v>0</v>
      </c>
      <c r="G35" s="11">
        <f t="shared" si="3"/>
        <v>0</v>
      </c>
      <c r="H35" s="7">
        <f>'[2]Dec Prod'!F34</f>
        <v>0</v>
      </c>
      <c r="I35" s="9">
        <f t="shared" si="4"/>
        <v>0</v>
      </c>
      <c r="J35" s="11">
        <f t="shared" si="5"/>
        <v>0</v>
      </c>
      <c r="K35" s="7">
        <f>'[2]Dec Prod'!H289</f>
        <v>0</v>
      </c>
      <c r="L35" s="9">
        <f t="shared" si="6"/>
        <v>0</v>
      </c>
      <c r="M35" s="11">
        <f t="shared" si="7"/>
        <v>0</v>
      </c>
      <c r="N35" s="21"/>
      <c r="O35" s="7">
        <f>'[2]Dec Prod'!H34</f>
        <v>11522999.999999989</v>
      </c>
      <c r="P35" s="9">
        <f t="shared" si="8"/>
        <v>11.522999999999989</v>
      </c>
      <c r="Q35" s="11">
        <f t="shared" si="9"/>
        <v>35.375609999999966</v>
      </c>
      <c r="R35" s="7">
        <f>'[2]Dec Prod'!C34</f>
        <v>11805000</v>
      </c>
      <c r="S35" s="9">
        <f t="shared" si="10"/>
        <v>11.805</v>
      </c>
      <c r="T35" s="11">
        <f t="shared" si="11"/>
        <v>36.241349999999997</v>
      </c>
      <c r="U35" s="7">
        <f>'[2]Dec Prod'!D34</f>
        <v>0</v>
      </c>
      <c r="V35" s="9">
        <f t="shared" si="12"/>
        <v>0</v>
      </c>
      <c r="W35" s="11">
        <f t="shared" si="13"/>
        <v>0</v>
      </c>
      <c r="X35" s="7">
        <f>'[2]Dec Prod'!D289</f>
        <v>282000.00000001071</v>
      </c>
      <c r="Y35" s="9">
        <f t="shared" si="14"/>
        <v>0.28200000000001069</v>
      </c>
      <c r="Z35" s="11">
        <f t="shared" si="15"/>
        <v>0.86574000000003282</v>
      </c>
      <c r="AA35" s="15"/>
      <c r="AB35" s="7">
        <f t="shared" si="16"/>
        <v>11522999.999999989</v>
      </c>
      <c r="AC35" s="8">
        <f t="shared" si="16"/>
        <v>11.522999999999989</v>
      </c>
      <c r="AD35" s="8">
        <f t="shared" si="16"/>
        <v>35.375609999999966</v>
      </c>
    </row>
    <row r="36" spans="1:30" ht="13.5" thickBot="1" x14ac:dyDescent="0.25">
      <c r="A36" s="20"/>
      <c r="B36" s="39"/>
      <c r="C36" s="40">
        <f>SUM(C5:C35)</f>
        <v>0</v>
      </c>
      <c r="D36" s="40">
        <f>SUM(D5:D35)</f>
        <v>0</v>
      </c>
      <c r="E36" s="39"/>
      <c r="F36" s="40">
        <f>SUM(F5:F35)</f>
        <v>0</v>
      </c>
      <c r="G36" s="40">
        <f>SUM(G5:G35)</f>
        <v>0</v>
      </c>
      <c r="H36" s="39"/>
      <c r="I36" s="40">
        <f>SUM(I5:I35)</f>
        <v>0</v>
      </c>
      <c r="J36" s="40">
        <f>SUM(J5:J35)</f>
        <v>0</v>
      </c>
      <c r="K36" s="39"/>
      <c r="L36" s="40">
        <f>SUM(L5:L35)</f>
        <v>4.8187000000000001E-2</v>
      </c>
      <c r="M36" s="40">
        <f>SUM(M5:M35)</f>
        <v>0.14793408999999999</v>
      </c>
      <c r="N36" s="14"/>
      <c r="O36" s="39"/>
      <c r="P36" s="40">
        <f>SUM(P5:P35)</f>
        <v>354.87400000000002</v>
      </c>
      <c r="Q36" s="40">
        <f>SUM(Q5:Q35)</f>
        <v>1089.46318</v>
      </c>
      <c r="R36" s="39"/>
      <c r="S36" s="40">
        <f>SUM(S5:S35)</f>
        <v>364.86099999999999</v>
      </c>
      <c r="T36" s="40">
        <f>SUM(T5:T35)</f>
        <v>1120.12327</v>
      </c>
      <c r="U36" s="39"/>
      <c r="V36" s="40">
        <f>SUM(V5:V35)</f>
        <v>0</v>
      </c>
      <c r="W36" s="40">
        <f>SUM(W5:W35)</f>
        <v>0</v>
      </c>
      <c r="X36" s="39"/>
      <c r="Y36" s="40">
        <f>SUM(Y5:Y35)</f>
        <v>9.987000000000009</v>
      </c>
      <c r="Z36" s="40">
        <f>SUM(Z5:Z35)</f>
        <v>30.660090000000029</v>
      </c>
      <c r="AA36" s="14"/>
      <c r="AB36" s="39"/>
      <c r="AC36" s="40">
        <f>SUM(AC5:AC35)</f>
        <v>354.87400000000002</v>
      </c>
      <c r="AD36" s="40">
        <f>SUM(AD5:AD35)</f>
        <v>1089.46318</v>
      </c>
    </row>
    <row r="37" spans="1:30" x14ac:dyDescent="0.2">
      <c r="C37" s="18"/>
      <c r="E37" s="3"/>
      <c r="F37" s="3"/>
      <c r="G37" s="3"/>
      <c r="H37" s="3"/>
      <c r="I37" s="3"/>
      <c r="J37" s="3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</row>
  </sheetData>
  <mergeCells count="9">
    <mergeCell ref="AB3:AD3"/>
    <mergeCell ref="R3:T3"/>
    <mergeCell ref="U3:W3"/>
    <mergeCell ref="B3:D3"/>
    <mergeCell ref="E3:G3"/>
    <mergeCell ref="H3:J3"/>
    <mergeCell ref="O3:Q3"/>
    <mergeCell ref="K3:M3"/>
    <mergeCell ref="X3:Z3"/>
  </mergeCells>
  <phoneticPr fontId="1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D36"/>
  <sheetViews>
    <sheetView workbookViewId="0">
      <pane xSplit="1" ySplit="4" topLeftCell="B23" activePane="bottomRight" state="frozen"/>
      <selection pane="topRight" activeCell="B1" sqref="B1"/>
      <selection pane="bottomLeft" activeCell="A5" sqref="A5"/>
      <selection pane="bottomRight" activeCell="B35" sqref="B35"/>
    </sheetView>
  </sheetViews>
  <sheetFormatPr defaultRowHeight="12.75" x14ac:dyDescent="0.2"/>
  <cols>
    <col min="2" max="2" width="10.85546875" customWidth="1"/>
    <col min="3" max="3" width="7.7109375" style="18" customWidth="1"/>
    <col min="5" max="5" width="13.42578125" style="3" bestFit="1" customWidth="1"/>
    <col min="6" max="6" width="8.28515625" style="3" customWidth="1"/>
    <col min="7" max="7" width="9.140625" style="3"/>
    <col min="8" max="8" width="11.7109375" style="3" customWidth="1"/>
    <col min="9" max="10" width="9.140625" style="3"/>
    <col min="11" max="11" width="11.85546875" style="14" customWidth="1"/>
    <col min="12" max="12" width="11" style="3" customWidth="1"/>
    <col min="13" max="13" width="11.140625" style="3" bestFit="1" customWidth="1"/>
    <col min="14" max="14" width="9.140625" style="3"/>
    <col min="15" max="15" width="13.42578125" style="3" bestFit="1" customWidth="1"/>
    <col min="16" max="17" width="9.140625" style="3"/>
    <col min="18" max="18" width="11.7109375" style="3" bestFit="1" customWidth="1"/>
    <col min="19" max="21" width="9.140625" style="3"/>
    <col min="22" max="22" width="11.7109375" bestFit="1" customWidth="1"/>
    <col min="28" max="28" width="12.7109375" customWidth="1"/>
  </cols>
  <sheetData>
    <row r="1" spans="1:30" ht="13.5" customHeight="1" x14ac:dyDescent="0.2">
      <c r="A1" s="25"/>
      <c r="B1" s="41"/>
      <c r="C1" s="26"/>
      <c r="D1" s="26"/>
      <c r="E1" s="26"/>
      <c r="F1" s="26"/>
      <c r="U1" s="14"/>
      <c r="V1" s="3"/>
      <c r="W1" s="3"/>
      <c r="X1" s="3"/>
    </row>
    <row r="2" spans="1:30" ht="13.5" thickBot="1" x14ac:dyDescent="0.25">
      <c r="A2" s="3"/>
      <c r="B2" s="3"/>
      <c r="C2" s="24"/>
      <c r="D2" s="3"/>
      <c r="U2" s="14"/>
      <c r="V2" s="3"/>
      <c r="W2" s="3"/>
      <c r="X2" s="3"/>
    </row>
    <row r="3" spans="1:30" ht="60.75" customHeight="1" thickBot="1" x14ac:dyDescent="0.25">
      <c r="A3" s="3"/>
      <c r="B3" s="51" t="s">
        <v>10</v>
      </c>
      <c r="C3" s="52"/>
      <c r="D3" s="53"/>
      <c r="E3" s="51" t="s">
        <v>11</v>
      </c>
      <c r="F3" s="52"/>
      <c r="G3" s="53"/>
      <c r="H3" s="51" t="s">
        <v>12</v>
      </c>
      <c r="I3" s="52"/>
      <c r="J3" s="53"/>
      <c r="K3" s="51" t="s">
        <v>13</v>
      </c>
      <c r="L3" s="52"/>
      <c r="M3" s="53"/>
      <c r="N3" s="19"/>
      <c r="O3" s="51" t="s">
        <v>4</v>
      </c>
      <c r="P3" s="52"/>
      <c r="Q3" s="53"/>
      <c r="R3" s="51" t="s">
        <v>3</v>
      </c>
      <c r="S3" s="52"/>
      <c r="T3" s="53"/>
      <c r="U3" s="51" t="s">
        <v>6</v>
      </c>
      <c r="V3" s="52"/>
      <c r="W3" s="53"/>
      <c r="X3" s="51" t="s">
        <v>7</v>
      </c>
      <c r="Y3" s="52"/>
      <c r="Z3" s="53"/>
      <c r="AA3" s="19"/>
      <c r="AB3" s="48" t="s">
        <v>8</v>
      </c>
      <c r="AC3" s="49"/>
      <c r="AD3" s="50"/>
    </row>
    <row r="4" spans="1:30" x14ac:dyDescent="0.2">
      <c r="A4" s="27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6" t="s">
        <v>0</v>
      </c>
      <c r="AC4" s="37" t="s">
        <v>1</v>
      </c>
      <c r="AD4" s="38" t="s">
        <v>2</v>
      </c>
    </row>
    <row r="5" spans="1:30" x14ac:dyDescent="0.2">
      <c r="A5" s="28">
        <v>38353</v>
      </c>
      <c r="B5" s="7">
        <f>'[3]Jan Prod'!I4</f>
        <v>0</v>
      </c>
      <c r="C5" s="8">
        <f>B5/1000000</f>
        <v>0</v>
      </c>
      <c r="D5" s="10">
        <f>C5*3.07</f>
        <v>0</v>
      </c>
      <c r="E5" s="7">
        <f>'[3]Jan Prod'!E4</f>
        <v>0</v>
      </c>
      <c r="F5" s="8">
        <f>E5/1000000</f>
        <v>0</v>
      </c>
      <c r="G5" s="10">
        <f>F5*3.07</f>
        <v>0</v>
      </c>
      <c r="H5" s="7">
        <f>'[3]Jan Prod'!F4</f>
        <v>0</v>
      </c>
      <c r="I5" s="8">
        <f>H5/1000000</f>
        <v>0</v>
      </c>
      <c r="J5" s="10">
        <f>I5*3.07</f>
        <v>0</v>
      </c>
      <c r="K5" s="7">
        <f>'[3]Jan Prod'!H259</f>
        <v>0</v>
      </c>
      <c r="L5" s="8">
        <f>K5/1000000</f>
        <v>0</v>
      </c>
      <c r="M5" s="10">
        <f>L5*3.07</f>
        <v>0</v>
      </c>
      <c r="N5" s="21"/>
      <c r="O5" s="7">
        <f>'[3]Jan Prod'!H4</f>
        <v>11636000.000000011</v>
      </c>
      <c r="P5" s="8">
        <f>O5/1000000</f>
        <v>11.636000000000012</v>
      </c>
      <c r="Q5" s="10">
        <f>P5*3.07</f>
        <v>35.722520000000031</v>
      </c>
      <c r="R5" s="7">
        <f>'[3]Jan Prod'!C4</f>
        <v>11979000</v>
      </c>
      <c r="S5" s="8">
        <f>R5/1000000</f>
        <v>11.978999999999999</v>
      </c>
      <c r="T5" s="10">
        <f>S5*3.07</f>
        <v>36.775529999999996</v>
      </c>
      <c r="U5" s="7">
        <f>'[3]Jan Prod'!D4</f>
        <v>0</v>
      </c>
      <c r="V5" s="8">
        <f>U5/1000000</f>
        <v>0</v>
      </c>
      <c r="W5" s="10">
        <f>V5*3.07</f>
        <v>0</v>
      </c>
      <c r="X5" s="7">
        <f>'[3]Jan Prod'!D259</f>
        <v>342999.99999998929</v>
      </c>
      <c r="Y5" s="8">
        <f>X5/1000000</f>
        <v>0.34299999999998931</v>
      </c>
      <c r="Z5" s="10">
        <f>Y5*3.07</f>
        <v>1.0530099999999671</v>
      </c>
      <c r="AA5" s="15"/>
      <c r="AB5" s="7">
        <f>B5+O5</f>
        <v>11636000.000000011</v>
      </c>
      <c r="AC5" s="8">
        <f>C5+P5</f>
        <v>11.636000000000012</v>
      </c>
      <c r="AD5" s="8">
        <f>D5+Q5</f>
        <v>35.722520000000031</v>
      </c>
    </row>
    <row r="6" spans="1:30" x14ac:dyDescent="0.2">
      <c r="A6" s="28">
        <v>38354</v>
      </c>
      <c r="B6" s="7">
        <f>'[3]Jan Prod'!I5</f>
        <v>0</v>
      </c>
      <c r="C6" s="8">
        <f t="shared" ref="C6:C35" si="0">B6/1000000</f>
        <v>0</v>
      </c>
      <c r="D6" s="10">
        <f t="shared" ref="D6:D35" si="1">C6*3.07</f>
        <v>0</v>
      </c>
      <c r="E6" s="7">
        <f>'[3]Jan Prod'!E5</f>
        <v>0</v>
      </c>
      <c r="F6" s="8">
        <f t="shared" ref="F6:F35" si="2">E6/1000000</f>
        <v>0</v>
      </c>
      <c r="G6" s="10">
        <f t="shared" ref="G6:G35" si="3">F6*3.07</f>
        <v>0</v>
      </c>
      <c r="H6" s="7">
        <f>'[3]Jan Prod'!F5</f>
        <v>0</v>
      </c>
      <c r="I6" s="8">
        <f t="shared" ref="I6:I35" si="4">H6/1000000</f>
        <v>0</v>
      </c>
      <c r="J6" s="10">
        <f t="shared" ref="J6:J35" si="5">I6*3.07</f>
        <v>0</v>
      </c>
      <c r="K6" s="7">
        <f>'[3]Jan Prod'!H260</f>
        <v>0</v>
      </c>
      <c r="L6" s="8">
        <f t="shared" ref="L6:L35" si="6">K6/1000000</f>
        <v>0</v>
      </c>
      <c r="M6" s="10">
        <f t="shared" ref="M6:M35" si="7">L6*3.07</f>
        <v>0</v>
      </c>
      <c r="N6" s="21"/>
      <c r="O6" s="7">
        <f>'[3]Jan Prod'!H5</f>
        <v>11856999.999999996</v>
      </c>
      <c r="P6" s="8">
        <f t="shared" ref="P6:P35" si="8">O6/1000000</f>
        <v>11.856999999999996</v>
      </c>
      <c r="Q6" s="10">
        <f t="shared" ref="Q6:Q35" si="9">P6*3.07</f>
        <v>36.400989999999986</v>
      </c>
      <c r="R6" s="7">
        <f>'[3]Jan Prod'!C5</f>
        <v>12194000</v>
      </c>
      <c r="S6" s="8">
        <f t="shared" ref="S6:S35" si="10">R6/1000000</f>
        <v>12.194000000000001</v>
      </c>
      <c r="T6" s="10">
        <f t="shared" ref="T6:T35" si="11">S6*3.07</f>
        <v>37.435580000000002</v>
      </c>
      <c r="U6" s="7">
        <f>'[3]Jan Prod'!D5</f>
        <v>0</v>
      </c>
      <c r="V6" s="8">
        <f t="shared" ref="V6:V35" si="12">U6/1000000</f>
        <v>0</v>
      </c>
      <c r="W6" s="10">
        <f t="shared" ref="W6:W35" si="13">V6*3.07</f>
        <v>0</v>
      </c>
      <c r="X6" s="7">
        <f>'[3]Jan Prod'!D260</f>
        <v>337000.00000000332</v>
      </c>
      <c r="Y6" s="8">
        <f t="shared" ref="Y6:Y35" si="14">X6/1000000</f>
        <v>0.3370000000000033</v>
      </c>
      <c r="Z6" s="10">
        <f t="shared" ref="Z6:Z35" si="15">Y6*3.07</f>
        <v>1.0345900000000101</v>
      </c>
      <c r="AA6" s="15"/>
      <c r="AB6" s="7">
        <f t="shared" ref="AB6:AD35" si="16">B6+O6</f>
        <v>11856999.999999996</v>
      </c>
      <c r="AC6" s="8">
        <f t="shared" si="16"/>
        <v>11.856999999999996</v>
      </c>
      <c r="AD6" s="8">
        <f t="shared" si="16"/>
        <v>36.400989999999986</v>
      </c>
    </row>
    <row r="7" spans="1:30" x14ac:dyDescent="0.2">
      <c r="A7" s="28">
        <v>38355</v>
      </c>
      <c r="B7" s="7">
        <f>'[3]Jan Prod'!I6</f>
        <v>0</v>
      </c>
      <c r="C7" s="8">
        <f t="shared" si="0"/>
        <v>0</v>
      </c>
      <c r="D7" s="10">
        <f t="shared" si="1"/>
        <v>0</v>
      </c>
      <c r="E7" s="7">
        <f>'[3]Jan Prod'!E6</f>
        <v>0</v>
      </c>
      <c r="F7" s="8">
        <f t="shared" si="2"/>
        <v>0</v>
      </c>
      <c r="G7" s="10">
        <f t="shared" si="3"/>
        <v>0</v>
      </c>
      <c r="H7" s="7">
        <f>'[3]Jan Prod'!F6</f>
        <v>0</v>
      </c>
      <c r="I7" s="8">
        <f t="shared" si="4"/>
        <v>0</v>
      </c>
      <c r="J7" s="10">
        <f t="shared" si="5"/>
        <v>0</v>
      </c>
      <c r="K7" s="7">
        <f>'[3]Jan Prod'!H261</f>
        <v>0</v>
      </c>
      <c r="L7" s="8">
        <f t="shared" si="6"/>
        <v>0</v>
      </c>
      <c r="M7" s="10">
        <f t="shared" si="7"/>
        <v>0</v>
      </c>
      <c r="N7" s="21"/>
      <c r="O7" s="7">
        <f>'[3]Jan Prod'!H6</f>
        <v>11473000.000000004</v>
      </c>
      <c r="P7" s="8">
        <f t="shared" si="8"/>
        <v>11.473000000000004</v>
      </c>
      <c r="Q7" s="10">
        <f t="shared" si="9"/>
        <v>35.222110000000015</v>
      </c>
      <c r="R7" s="7">
        <f>'[3]Jan Prod'!C6</f>
        <v>11871000</v>
      </c>
      <c r="S7" s="8">
        <f t="shared" si="10"/>
        <v>11.871</v>
      </c>
      <c r="T7" s="10">
        <f t="shared" si="11"/>
        <v>36.44397</v>
      </c>
      <c r="U7" s="7">
        <f>'[3]Jan Prod'!D6</f>
        <v>0</v>
      </c>
      <c r="V7" s="8">
        <f t="shared" si="12"/>
        <v>0</v>
      </c>
      <c r="W7" s="10">
        <f t="shared" si="13"/>
        <v>0</v>
      </c>
      <c r="X7" s="7">
        <f>'[3]Jan Prod'!D261</f>
        <v>397999.99999999616</v>
      </c>
      <c r="Y7" s="8">
        <f t="shared" si="14"/>
        <v>0.39799999999999613</v>
      </c>
      <c r="Z7" s="10">
        <f t="shared" si="15"/>
        <v>1.2218599999999882</v>
      </c>
      <c r="AA7" s="15"/>
      <c r="AB7" s="7">
        <f t="shared" si="16"/>
        <v>11473000.000000004</v>
      </c>
      <c r="AC7" s="8">
        <f t="shared" si="16"/>
        <v>11.473000000000004</v>
      </c>
      <c r="AD7" s="8">
        <f t="shared" si="16"/>
        <v>35.222110000000015</v>
      </c>
    </row>
    <row r="8" spans="1:30" x14ac:dyDescent="0.2">
      <c r="A8" s="28">
        <v>38356</v>
      </c>
      <c r="B8" s="7">
        <f>'[3]Jan Prod'!I7</f>
        <v>0</v>
      </c>
      <c r="C8" s="8">
        <f t="shared" si="0"/>
        <v>0</v>
      </c>
      <c r="D8" s="10">
        <f t="shared" si="1"/>
        <v>0</v>
      </c>
      <c r="E8" s="7">
        <f>'[3]Jan Prod'!E7</f>
        <v>0</v>
      </c>
      <c r="F8" s="8">
        <f t="shared" si="2"/>
        <v>0</v>
      </c>
      <c r="G8" s="10">
        <f t="shared" si="3"/>
        <v>0</v>
      </c>
      <c r="H8" s="7">
        <f>'[3]Jan Prod'!F7</f>
        <v>0</v>
      </c>
      <c r="I8" s="8">
        <f t="shared" si="4"/>
        <v>0</v>
      </c>
      <c r="J8" s="10">
        <f t="shared" si="5"/>
        <v>0</v>
      </c>
      <c r="K8" s="7">
        <f>'[3]Jan Prod'!H262</f>
        <v>0</v>
      </c>
      <c r="L8" s="8">
        <f t="shared" si="6"/>
        <v>0</v>
      </c>
      <c r="M8" s="10">
        <f t="shared" si="7"/>
        <v>0</v>
      </c>
      <c r="N8" s="21"/>
      <c r="O8" s="7">
        <f>'[3]Jan Prod'!H7</f>
        <v>11706999.999999987</v>
      </c>
      <c r="P8" s="8">
        <f t="shared" si="8"/>
        <v>11.706999999999987</v>
      </c>
      <c r="Q8" s="10">
        <f t="shared" si="9"/>
        <v>35.940489999999954</v>
      </c>
      <c r="R8" s="7">
        <f>'[3]Jan Prod'!C7</f>
        <v>12043000</v>
      </c>
      <c r="S8" s="8">
        <f t="shared" si="10"/>
        <v>12.042999999999999</v>
      </c>
      <c r="T8" s="10">
        <f t="shared" si="11"/>
        <v>36.972009999999997</v>
      </c>
      <c r="U8" s="7">
        <f>'[3]Jan Prod'!D7</f>
        <v>0</v>
      </c>
      <c r="V8" s="8">
        <f t="shared" si="12"/>
        <v>0</v>
      </c>
      <c r="W8" s="10">
        <f t="shared" si="13"/>
        <v>0</v>
      </c>
      <c r="X8" s="7">
        <f>'[3]Jan Prod'!D262</f>
        <v>336000.00000001275</v>
      </c>
      <c r="Y8" s="8">
        <f t="shared" si="14"/>
        <v>0.33600000000001273</v>
      </c>
      <c r="Z8" s="10">
        <f t="shared" si="15"/>
        <v>1.0315200000000391</v>
      </c>
      <c r="AA8" s="15"/>
      <c r="AB8" s="7">
        <f t="shared" si="16"/>
        <v>11706999.999999987</v>
      </c>
      <c r="AC8" s="8">
        <f t="shared" si="16"/>
        <v>11.706999999999987</v>
      </c>
      <c r="AD8" s="8">
        <f>D8+Q8</f>
        <v>35.940489999999954</v>
      </c>
    </row>
    <row r="9" spans="1:30" x14ac:dyDescent="0.2">
      <c r="A9" s="28">
        <v>38357</v>
      </c>
      <c r="B9" s="7">
        <f>'[3]Jan Prod'!I8</f>
        <v>0</v>
      </c>
      <c r="C9" s="8">
        <f t="shared" si="0"/>
        <v>0</v>
      </c>
      <c r="D9" s="10">
        <f t="shared" si="1"/>
        <v>0</v>
      </c>
      <c r="E9" s="7">
        <f>'[3]Jan Prod'!E8</f>
        <v>0</v>
      </c>
      <c r="F9" s="8">
        <f t="shared" si="2"/>
        <v>0</v>
      </c>
      <c r="G9" s="10">
        <f t="shared" si="3"/>
        <v>0</v>
      </c>
      <c r="H9" s="7">
        <f>'[3]Jan Prod'!F8</f>
        <v>0</v>
      </c>
      <c r="I9" s="8">
        <f t="shared" si="4"/>
        <v>0</v>
      </c>
      <c r="J9" s="10">
        <f t="shared" si="5"/>
        <v>0</v>
      </c>
      <c r="K9" s="7">
        <f>'[3]Jan Prod'!H263</f>
        <v>0</v>
      </c>
      <c r="L9" s="8">
        <f t="shared" si="6"/>
        <v>0</v>
      </c>
      <c r="M9" s="10">
        <f t="shared" si="7"/>
        <v>0</v>
      </c>
      <c r="N9" s="21"/>
      <c r="O9" s="7">
        <f>'[3]Jan Prod'!H8</f>
        <v>11671000.000000006</v>
      </c>
      <c r="P9" s="8">
        <f t="shared" si="8"/>
        <v>11.671000000000005</v>
      </c>
      <c r="Q9" s="10">
        <f t="shared" si="9"/>
        <v>35.82997000000001</v>
      </c>
      <c r="R9" s="7">
        <f>'[3]Jan Prod'!C8</f>
        <v>11890000</v>
      </c>
      <c r="S9" s="8">
        <f t="shared" si="10"/>
        <v>11.89</v>
      </c>
      <c r="T9" s="10">
        <f t="shared" si="11"/>
        <v>36.502299999999998</v>
      </c>
      <c r="U9" s="7">
        <f>'[3]Jan Prod'!D8</f>
        <v>0</v>
      </c>
      <c r="V9" s="8">
        <f t="shared" si="12"/>
        <v>0</v>
      </c>
      <c r="W9" s="10">
        <f t="shared" si="13"/>
        <v>0</v>
      </c>
      <c r="X9" s="7">
        <f>'[3]Jan Prod'!D263</f>
        <v>218999.99999999409</v>
      </c>
      <c r="Y9" s="8">
        <f t="shared" si="14"/>
        <v>0.21899999999999409</v>
      </c>
      <c r="Z9" s="10">
        <f t="shared" si="15"/>
        <v>0.67232999999998178</v>
      </c>
      <c r="AA9" s="15"/>
      <c r="AB9" s="7">
        <f t="shared" si="16"/>
        <v>11671000.000000006</v>
      </c>
      <c r="AC9" s="8">
        <f t="shared" si="16"/>
        <v>11.671000000000005</v>
      </c>
      <c r="AD9" s="8">
        <f t="shared" si="16"/>
        <v>35.82997000000001</v>
      </c>
    </row>
    <row r="10" spans="1:30" x14ac:dyDescent="0.2">
      <c r="A10" s="28">
        <v>38358</v>
      </c>
      <c r="B10" s="7">
        <f>'[3]Jan Prod'!I9</f>
        <v>0</v>
      </c>
      <c r="C10" s="8">
        <f t="shared" si="0"/>
        <v>0</v>
      </c>
      <c r="D10" s="10">
        <f t="shared" si="1"/>
        <v>0</v>
      </c>
      <c r="E10" s="7">
        <f>'[3]Jan Prod'!E9</f>
        <v>0</v>
      </c>
      <c r="F10" s="8">
        <f t="shared" si="2"/>
        <v>0</v>
      </c>
      <c r="G10" s="10">
        <f t="shared" si="3"/>
        <v>0</v>
      </c>
      <c r="H10" s="7">
        <f>'[3]Jan Prod'!F9</f>
        <v>0</v>
      </c>
      <c r="I10" s="8">
        <f t="shared" si="4"/>
        <v>0</v>
      </c>
      <c r="J10" s="10">
        <f t="shared" si="5"/>
        <v>0</v>
      </c>
      <c r="K10" s="7">
        <f>'[3]Jan Prod'!H264</f>
        <v>0</v>
      </c>
      <c r="L10" s="8">
        <f t="shared" si="6"/>
        <v>0</v>
      </c>
      <c r="M10" s="10">
        <f t="shared" si="7"/>
        <v>0</v>
      </c>
      <c r="N10" s="21"/>
      <c r="O10" s="7">
        <f>'[3]Jan Prod'!H9</f>
        <v>11747000.000000002</v>
      </c>
      <c r="P10" s="8">
        <f t="shared" si="8"/>
        <v>11.747000000000002</v>
      </c>
      <c r="Q10" s="10">
        <f t="shared" si="9"/>
        <v>36.063290000000002</v>
      </c>
      <c r="R10" s="7">
        <f>'[3]Jan Prod'!C9</f>
        <v>12089000</v>
      </c>
      <c r="S10" s="8">
        <f t="shared" si="10"/>
        <v>12.089</v>
      </c>
      <c r="T10" s="10">
        <f t="shared" si="11"/>
        <v>37.113230000000001</v>
      </c>
      <c r="U10" s="7">
        <f>'[3]Jan Prod'!D9</f>
        <v>0</v>
      </c>
      <c r="V10" s="8">
        <f t="shared" si="12"/>
        <v>0</v>
      </c>
      <c r="W10" s="10">
        <f t="shared" si="13"/>
        <v>0</v>
      </c>
      <c r="X10" s="7">
        <f>'[3]Jan Prod'!D264</f>
        <v>341999.99999999878</v>
      </c>
      <c r="Y10" s="8">
        <f t="shared" si="14"/>
        <v>0.3419999999999988</v>
      </c>
      <c r="Z10" s="10">
        <f t="shared" si="15"/>
        <v>1.0499399999999963</v>
      </c>
      <c r="AA10" s="15"/>
      <c r="AB10" s="7">
        <f t="shared" si="16"/>
        <v>11747000.000000002</v>
      </c>
      <c r="AC10" s="8">
        <f t="shared" si="16"/>
        <v>11.747000000000002</v>
      </c>
      <c r="AD10" s="8">
        <f t="shared" si="16"/>
        <v>36.063290000000002</v>
      </c>
    </row>
    <row r="11" spans="1:30" x14ac:dyDescent="0.2">
      <c r="A11" s="28">
        <v>38359</v>
      </c>
      <c r="B11" s="7">
        <f>'[3]Jan Prod'!I10</f>
        <v>0</v>
      </c>
      <c r="C11" s="8">
        <f t="shared" si="0"/>
        <v>0</v>
      </c>
      <c r="D11" s="10">
        <f t="shared" si="1"/>
        <v>0</v>
      </c>
      <c r="E11" s="7">
        <f>'[3]Jan Prod'!E10</f>
        <v>0</v>
      </c>
      <c r="F11" s="8">
        <f t="shared" si="2"/>
        <v>0</v>
      </c>
      <c r="G11" s="10">
        <f t="shared" si="3"/>
        <v>0</v>
      </c>
      <c r="H11" s="7">
        <f>'[3]Jan Prod'!F10</f>
        <v>0</v>
      </c>
      <c r="I11" s="8">
        <f t="shared" si="4"/>
        <v>0</v>
      </c>
      <c r="J11" s="10">
        <f t="shared" si="5"/>
        <v>0</v>
      </c>
      <c r="K11" s="7">
        <f>'[3]Jan Prod'!H265</f>
        <v>0</v>
      </c>
      <c r="L11" s="8">
        <f t="shared" si="6"/>
        <v>0</v>
      </c>
      <c r="M11" s="10">
        <f t="shared" si="7"/>
        <v>0</v>
      </c>
      <c r="N11" s="21"/>
      <c r="O11" s="7">
        <f>'[3]Jan Prod'!H10</f>
        <v>10361000.000000004</v>
      </c>
      <c r="P11" s="8">
        <f t="shared" si="8"/>
        <v>10.361000000000004</v>
      </c>
      <c r="Q11" s="10">
        <f t="shared" si="9"/>
        <v>31.808270000000011</v>
      </c>
      <c r="R11" s="7">
        <f>'[3]Jan Prod'!C10</f>
        <v>10640000</v>
      </c>
      <c r="S11" s="8">
        <f t="shared" si="10"/>
        <v>10.64</v>
      </c>
      <c r="T11" s="10">
        <f t="shared" si="11"/>
        <v>32.6648</v>
      </c>
      <c r="U11" s="7">
        <f>'[3]Jan Prod'!D10</f>
        <v>0</v>
      </c>
      <c r="V11" s="8">
        <f t="shared" si="12"/>
        <v>0</v>
      </c>
      <c r="W11" s="10">
        <f t="shared" si="13"/>
        <v>0</v>
      </c>
      <c r="X11" s="7">
        <f>'[3]Jan Prod'!D265</f>
        <v>278999.99999999639</v>
      </c>
      <c r="Y11" s="8">
        <f t="shared" si="14"/>
        <v>0.27899999999999642</v>
      </c>
      <c r="Z11" s="10">
        <f t="shared" si="15"/>
        <v>0.85652999999998891</v>
      </c>
      <c r="AA11" s="15"/>
      <c r="AB11" s="7">
        <f t="shared" si="16"/>
        <v>10361000.000000004</v>
      </c>
      <c r="AC11" s="8">
        <f t="shared" si="16"/>
        <v>10.361000000000004</v>
      </c>
      <c r="AD11" s="8">
        <f t="shared" si="16"/>
        <v>31.808270000000011</v>
      </c>
    </row>
    <row r="12" spans="1:30" x14ac:dyDescent="0.2">
      <c r="A12" s="28">
        <v>38360</v>
      </c>
      <c r="B12" s="7">
        <f>'[3]Jan Prod'!I11</f>
        <v>0</v>
      </c>
      <c r="C12" s="8">
        <f t="shared" si="0"/>
        <v>0</v>
      </c>
      <c r="D12" s="10">
        <f t="shared" si="1"/>
        <v>0</v>
      </c>
      <c r="E12" s="7">
        <f>'[3]Jan Prod'!E11</f>
        <v>0</v>
      </c>
      <c r="F12" s="8">
        <f t="shared" si="2"/>
        <v>0</v>
      </c>
      <c r="G12" s="10">
        <f t="shared" si="3"/>
        <v>0</v>
      </c>
      <c r="H12" s="7">
        <f>'[3]Jan Prod'!F11</f>
        <v>0</v>
      </c>
      <c r="I12" s="8">
        <f t="shared" si="4"/>
        <v>0</v>
      </c>
      <c r="J12" s="10">
        <f t="shared" si="5"/>
        <v>0</v>
      </c>
      <c r="K12" s="7">
        <f>'[3]Jan Prod'!H266</f>
        <v>0</v>
      </c>
      <c r="L12" s="8">
        <f t="shared" si="6"/>
        <v>0</v>
      </c>
      <c r="M12" s="10">
        <f t="shared" si="7"/>
        <v>0</v>
      </c>
      <c r="N12" s="21"/>
      <c r="O12" s="7">
        <f>'[3]Jan Prod'!H11</f>
        <v>10908999.999999994</v>
      </c>
      <c r="P12" s="8">
        <f t="shared" si="8"/>
        <v>10.908999999999994</v>
      </c>
      <c r="Q12" s="10">
        <f t="shared" si="9"/>
        <v>33.490629999999982</v>
      </c>
      <c r="R12" s="7">
        <f>'[3]Jan Prod'!C11</f>
        <v>11190000</v>
      </c>
      <c r="S12" s="8">
        <f t="shared" si="10"/>
        <v>11.19</v>
      </c>
      <c r="T12" s="10">
        <f t="shared" si="11"/>
        <v>34.353299999999997</v>
      </c>
      <c r="U12" s="7">
        <f>'[3]Jan Prod'!D11</f>
        <v>0</v>
      </c>
      <c r="V12" s="8">
        <f t="shared" si="12"/>
        <v>0</v>
      </c>
      <c r="W12" s="10">
        <f t="shared" si="13"/>
        <v>0</v>
      </c>
      <c r="X12" s="7">
        <f>'[3]Jan Prod'!D266</f>
        <v>281000.00000000594</v>
      </c>
      <c r="Y12" s="8">
        <f t="shared" si="14"/>
        <v>0.28100000000000591</v>
      </c>
      <c r="Z12" s="10">
        <f t="shared" si="15"/>
        <v>0.86267000000001814</v>
      </c>
      <c r="AA12" s="15"/>
      <c r="AB12" s="7">
        <f t="shared" si="16"/>
        <v>10908999.999999994</v>
      </c>
      <c r="AC12" s="8">
        <f t="shared" si="16"/>
        <v>10.908999999999994</v>
      </c>
      <c r="AD12" s="8">
        <f t="shared" si="16"/>
        <v>33.490629999999982</v>
      </c>
    </row>
    <row r="13" spans="1:30" x14ac:dyDescent="0.2">
      <c r="A13" s="28">
        <v>38361</v>
      </c>
      <c r="B13" s="7">
        <f>'[3]Jan Prod'!I12</f>
        <v>0</v>
      </c>
      <c r="C13" s="8">
        <f t="shared" si="0"/>
        <v>0</v>
      </c>
      <c r="D13" s="10">
        <f t="shared" si="1"/>
        <v>0</v>
      </c>
      <c r="E13" s="7">
        <f>'[3]Jan Prod'!E12</f>
        <v>0</v>
      </c>
      <c r="F13" s="8">
        <f t="shared" si="2"/>
        <v>0</v>
      </c>
      <c r="G13" s="10">
        <f t="shared" si="3"/>
        <v>0</v>
      </c>
      <c r="H13" s="7">
        <f>'[3]Jan Prod'!F12</f>
        <v>0</v>
      </c>
      <c r="I13" s="8">
        <f t="shared" si="4"/>
        <v>0</v>
      </c>
      <c r="J13" s="10">
        <f t="shared" si="5"/>
        <v>0</v>
      </c>
      <c r="K13" s="7">
        <f>'[3]Jan Prod'!H267</f>
        <v>0</v>
      </c>
      <c r="L13" s="8">
        <f t="shared" si="6"/>
        <v>0</v>
      </c>
      <c r="M13" s="10">
        <f t="shared" si="7"/>
        <v>0</v>
      </c>
      <c r="N13" s="21"/>
      <c r="O13" s="7">
        <f>'[3]Jan Prod'!H12</f>
        <v>12072000.000000007</v>
      </c>
      <c r="P13" s="8">
        <f t="shared" si="8"/>
        <v>12.072000000000008</v>
      </c>
      <c r="Q13" s="10">
        <f t="shared" si="9"/>
        <v>37.06104000000002</v>
      </c>
      <c r="R13" s="7">
        <f>'[3]Jan Prod'!C12</f>
        <v>12386000</v>
      </c>
      <c r="S13" s="8">
        <f t="shared" si="10"/>
        <v>12.385999999999999</v>
      </c>
      <c r="T13" s="10">
        <f t="shared" si="11"/>
        <v>38.025019999999998</v>
      </c>
      <c r="U13" s="7">
        <f>'[3]Jan Prod'!D12</f>
        <v>0</v>
      </c>
      <c r="V13" s="8">
        <f t="shared" si="12"/>
        <v>0</v>
      </c>
      <c r="W13" s="10">
        <f t="shared" si="13"/>
        <v>0</v>
      </c>
      <c r="X13" s="7">
        <f>'[3]Jan Prod'!D267</f>
        <v>313999.99999999296</v>
      </c>
      <c r="Y13" s="8">
        <f t="shared" si="14"/>
        <v>0.31399999999999295</v>
      </c>
      <c r="Z13" s="10">
        <f t="shared" si="15"/>
        <v>0.9639799999999783</v>
      </c>
      <c r="AA13" s="15"/>
      <c r="AB13" s="7">
        <f t="shared" si="16"/>
        <v>12072000.000000007</v>
      </c>
      <c r="AC13" s="8">
        <f t="shared" si="16"/>
        <v>12.072000000000008</v>
      </c>
      <c r="AD13" s="8">
        <f t="shared" si="16"/>
        <v>37.06104000000002</v>
      </c>
    </row>
    <row r="14" spans="1:30" x14ac:dyDescent="0.2">
      <c r="A14" s="28">
        <v>38362</v>
      </c>
      <c r="B14" s="7">
        <f>'[3]Jan Prod'!I13</f>
        <v>0</v>
      </c>
      <c r="C14" s="8">
        <f t="shared" si="0"/>
        <v>0</v>
      </c>
      <c r="D14" s="10">
        <f t="shared" si="1"/>
        <v>0</v>
      </c>
      <c r="E14" s="7">
        <f>'[3]Jan Prod'!E13</f>
        <v>0</v>
      </c>
      <c r="F14" s="8">
        <f t="shared" si="2"/>
        <v>0</v>
      </c>
      <c r="G14" s="10">
        <f t="shared" si="3"/>
        <v>0</v>
      </c>
      <c r="H14" s="7">
        <f>'[3]Jan Prod'!F13</f>
        <v>0</v>
      </c>
      <c r="I14" s="8">
        <f t="shared" si="4"/>
        <v>0</v>
      </c>
      <c r="J14" s="10">
        <f t="shared" si="5"/>
        <v>0</v>
      </c>
      <c r="K14" s="7">
        <f>'[3]Jan Prod'!H268</f>
        <v>0</v>
      </c>
      <c r="L14" s="8">
        <f t="shared" si="6"/>
        <v>0</v>
      </c>
      <c r="M14" s="10">
        <f t="shared" si="7"/>
        <v>0</v>
      </c>
      <c r="N14" s="21"/>
      <c r="O14" s="7">
        <f>'[3]Jan Prod'!H13</f>
        <v>11785999.999999987</v>
      </c>
      <c r="P14" s="8">
        <f t="shared" si="8"/>
        <v>11.785999999999987</v>
      </c>
      <c r="Q14" s="10">
        <f t="shared" si="9"/>
        <v>36.183019999999956</v>
      </c>
      <c r="R14" s="7">
        <f>'[3]Jan Prod'!C13</f>
        <v>12125000</v>
      </c>
      <c r="S14" s="8">
        <f t="shared" si="10"/>
        <v>12.125</v>
      </c>
      <c r="T14" s="10">
        <f t="shared" si="11"/>
        <v>37.223749999999995</v>
      </c>
      <c r="U14" s="7">
        <f>'[3]Jan Prod'!D13</f>
        <v>0</v>
      </c>
      <c r="V14" s="8">
        <f t="shared" si="12"/>
        <v>0</v>
      </c>
      <c r="W14" s="10">
        <f t="shared" si="13"/>
        <v>0</v>
      </c>
      <c r="X14" s="7">
        <f>'[3]Jan Prod'!D268</f>
        <v>339000.00000001286</v>
      </c>
      <c r="Y14" s="8">
        <f t="shared" si="14"/>
        <v>0.33900000000001285</v>
      </c>
      <c r="Z14" s="10">
        <f t="shared" si="15"/>
        <v>1.0407300000000395</v>
      </c>
      <c r="AA14" s="15"/>
      <c r="AB14" s="7">
        <f t="shared" si="16"/>
        <v>11785999.999999987</v>
      </c>
      <c r="AC14" s="8">
        <f t="shared" si="16"/>
        <v>11.785999999999987</v>
      </c>
      <c r="AD14" s="8">
        <f t="shared" si="16"/>
        <v>36.183019999999956</v>
      </c>
    </row>
    <row r="15" spans="1:30" x14ac:dyDescent="0.2">
      <c r="A15" s="28">
        <v>38363</v>
      </c>
      <c r="B15" s="7">
        <f>'[3]Jan Prod'!I14</f>
        <v>0</v>
      </c>
      <c r="C15" s="8">
        <f t="shared" si="0"/>
        <v>0</v>
      </c>
      <c r="D15" s="10">
        <f t="shared" si="1"/>
        <v>0</v>
      </c>
      <c r="E15" s="7">
        <f>'[3]Jan Prod'!E14</f>
        <v>0</v>
      </c>
      <c r="F15" s="8">
        <f t="shared" si="2"/>
        <v>0</v>
      </c>
      <c r="G15" s="10">
        <f t="shared" si="3"/>
        <v>0</v>
      </c>
      <c r="H15" s="7">
        <f>'[3]Jan Prod'!F14</f>
        <v>0</v>
      </c>
      <c r="I15" s="8">
        <f t="shared" si="4"/>
        <v>0</v>
      </c>
      <c r="J15" s="10">
        <f t="shared" si="5"/>
        <v>0</v>
      </c>
      <c r="K15" s="7">
        <f>'[3]Jan Prod'!H269</f>
        <v>0</v>
      </c>
      <c r="L15" s="8">
        <f t="shared" si="6"/>
        <v>0</v>
      </c>
      <c r="M15" s="10">
        <f t="shared" si="7"/>
        <v>0</v>
      </c>
      <c r="N15" s="21"/>
      <c r="O15" s="7">
        <f>'[3]Jan Prod'!H14</f>
        <v>11428000.000000006</v>
      </c>
      <c r="P15" s="8">
        <f t="shared" si="8"/>
        <v>11.428000000000006</v>
      </c>
      <c r="Q15" s="10">
        <f t="shared" si="9"/>
        <v>35.083960000000019</v>
      </c>
      <c r="R15" s="7">
        <f>'[3]Jan Prod'!C14</f>
        <v>11766000</v>
      </c>
      <c r="S15" s="8">
        <f t="shared" si="10"/>
        <v>11.766</v>
      </c>
      <c r="T15" s="10">
        <f t="shared" si="11"/>
        <v>36.12162</v>
      </c>
      <c r="U15" s="7">
        <f>'[3]Jan Prod'!D14</f>
        <v>0</v>
      </c>
      <c r="V15" s="8">
        <f t="shared" si="12"/>
        <v>0</v>
      </c>
      <c r="W15" s="10">
        <f t="shared" si="13"/>
        <v>0</v>
      </c>
      <c r="X15" s="7">
        <f>'[3]Jan Prod'!D269</f>
        <v>337999.99999999389</v>
      </c>
      <c r="Y15" s="8">
        <f t="shared" si="14"/>
        <v>0.33799999999999386</v>
      </c>
      <c r="Z15" s="10">
        <f t="shared" si="15"/>
        <v>1.0376599999999812</v>
      </c>
      <c r="AA15" s="15"/>
      <c r="AB15" s="7">
        <f t="shared" si="16"/>
        <v>11428000.000000006</v>
      </c>
      <c r="AC15" s="8">
        <f t="shared" si="16"/>
        <v>11.428000000000006</v>
      </c>
      <c r="AD15" s="8">
        <f t="shared" si="16"/>
        <v>35.083960000000019</v>
      </c>
    </row>
    <row r="16" spans="1:30" x14ac:dyDescent="0.2">
      <c r="A16" s="28">
        <v>38364</v>
      </c>
      <c r="B16" s="7">
        <f>'[3]Jan Prod'!I15</f>
        <v>0</v>
      </c>
      <c r="C16" s="8">
        <f t="shared" si="0"/>
        <v>0</v>
      </c>
      <c r="D16" s="10">
        <f t="shared" si="1"/>
        <v>0</v>
      </c>
      <c r="E16" s="7">
        <f>'[3]Jan Prod'!E15</f>
        <v>0</v>
      </c>
      <c r="F16" s="8">
        <f t="shared" si="2"/>
        <v>0</v>
      </c>
      <c r="G16" s="10">
        <f t="shared" si="3"/>
        <v>0</v>
      </c>
      <c r="H16" s="7">
        <f>'[3]Jan Prod'!F15</f>
        <v>0</v>
      </c>
      <c r="I16" s="8">
        <f t="shared" si="4"/>
        <v>0</v>
      </c>
      <c r="J16" s="10">
        <f t="shared" si="5"/>
        <v>0</v>
      </c>
      <c r="K16" s="7">
        <f>'[3]Jan Prod'!H270</f>
        <v>0</v>
      </c>
      <c r="L16" s="8">
        <f t="shared" si="6"/>
        <v>0</v>
      </c>
      <c r="M16" s="10">
        <f t="shared" si="7"/>
        <v>0</v>
      </c>
      <c r="N16" s="21"/>
      <c r="O16" s="7">
        <f>'[3]Jan Prod'!H15</f>
        <v>11243000.000000002</v>
      </c>
      <c r="P16" s="8">
        <f t="shared" si="8"/>
        <v>11.243000000000002</v>
      </c>
      <c r="Q16" s="10">
        <f t="shared" si="9"/>
        <v>34.516010000000001</v>
      </c>
      <c r="R16" s="7">
        <f>'[3]Jan Prod'!C15</f>
        <v>11567000</v>
      </c>
      <c r="S16" s="8">
        <f t="shared" si="10"/>
        <v>11.567</v>
      </c>
      <c r="T16" s="10">
        <f t="shared" si="11"/>
        <v>35.510689999999997</v>
      </c>
      <c r="U16" s="7">
        <f>'[3]Jan Prod'!D15</f>
        <v>0</v>
      </c>
      <c r="V16" s="8">
        <f t="shared" si="12"/>
        <v>0</v>
      </c>
      <c r="W16" s="10">
        <f t="shared" si="13"/>
        <v>0</v>
      </c>
      <c r="X16" s="7">
        <f>'[3]Jan Prod'!D270</f>
        <v>323999.99999999808</v>
      </c>
      <c r="Y16" s="8">
        <f t="shared" si="14"/>
        <v>0.32399999999999807</v>
      </c>
      <c r="Z16" s="10">
        <f t="shared" si="15"/>
        <v>0.99467999999999401</v>
      </c>
      <c r="AA16" s="15"/>
      <c r="AB16" s="7">
        <f t="shared" si="16"/>
        <v>11243000.000000002</v>
      </c>
      <c r="AC16" s="8">
        <f t="shared" si="16"/>
        <v>11.243000000000002</v>
      </c>
      <c r="AD16" s="8">
        <f t="shared" si="16"/>
        <v>34.516010000000001</v>
      </c>
    </row>
    <row r="17" spans="1:30" x14ac:dyDescent="0.2">
      <c r="A17" s="28">
        <v>38365</v>
      </c>
      <c r="B17" s="7">
        <f>'[3]Jan Prod'!I16</f>
        <v>0</v>
      </c>
      <c r="C17" s="8">
        <f t="shared" si="0"/>
        <v>0</v>
      </c>
      <c r="D17" s="10">
        <f t="shared" si="1"/>
        <v>0</v>
      </c>
      <c r="E17" s="7">
        <f>'[3]Jan Prod'!E16</f>
        <v>0</v>
      </c>
      <c r="F17" s="8">
        <f t="shared" si="2"/>
        <v>0</v>
      </c>
      <c r="G17" s="10">
        <f t="shared" si="3"/>
        <v>0</v>
      </c>
      <c r="H17" s="7">
        <f>'[3]Jan Prod'!F16</f>
        <v>0</v>
      </c>
      <c r="I17" s="8">
        <f t="shared" si="4"/>
        <v>0</v>
      </c>
      <c r="J17" s="10">
        <f t="shared" si="5"/>
        <v>0</v>
      </c>
      <c r="K17" s="7">
        <f>'[3]Jan Prod'!H271</f>
        <v>0</v>
      </c>
      <c r="L17" s="8">
        <f t="shared" si="6"/>
        <v>0</v>
      </c>
      <c r="M17" s="10">
        <f t="shared" si="7"/>
        <v>0</v>
      </c>
      <c r="N17" s="21"/>
      <c r="O17" s="7">
        <f>'[3]Jan Prod'!H16</f>
        <v>10963000.000000004</v>
      </c>
      <c r="P17" s="8">
        <f t="shared" si="8"/>
        <v>10.963000000000005</v>
      </c>
      <c r="Q17" s="10">
        <f t="shared" si="9"/>
        <v>33.656410000000015</v>
      </c>
      <c r="R17" s="7">
        <f>'[3]Jan Prod'!C16</f>
        <v>11257000</v>
      </c>
      <c r="S17" s="8">
        <f t="shared" si="10"/>
        <v>11.257</v>
      </c>
      <c r="T17" s="10">
        <f t="shared" si="11"/>
        <v>34.558989999999994</v>
      </c>
      <c r="U17" s="7">
        <f>'[3]Jan Prod'!D16</f>
        <v>0</v>
      </c>
      <c r="V17" s="8">
        <f t="shared" si="12"/>
        <v>0</v>
      </c>
      <c r="W17" s="10">
        <f t="shared" si="13"/>
        <v>0</v>
      </c>
      <c r="X17" s="7">
        <f>'[3]Jan Prod'!D271</f>
        <v>293999.99999999691</v>
      </c>
      <c r="Y17" s="8">
        <f t="shared" si="14"/>
        <v>0.29399999999999693</v>
      </c>
      <c r="Z17" s="10">
        <f t="shared" si="15"/>
        <v>0.9025799999999905</v>
      </c>
      <c r="AA17" s="15"/>
      <c r="AB17" s="7">
        <f t="shared" si="16"/>
        <v>10963000.000000004</v>
      </c>
      <c r="AC17" s="8">
        <f t="shared" si="16"/>
        <v>10.963000000000005</v>
      </c>
      <c r="AD17" s="8">
        <f t="shared" si="16"/>
        <v>33.656410000000015</v>
      </c>
    </row>
    <row r="18" spans="1:30" x14ac:dyDescent="0.2">
      <c r="A18" s="28">
        <v>38366</v>
      </c>
      <c r="B18" s="7">
        <f>'[3]Jan Prod'!I17</f>
        <v>0</v>
      </c>
      <c r="C18" s="8">
        <f t="shared" si="0"/>
        <v>0</v>
      </c>
      <c r="D18" s="10">
        <f t="shared" si="1"/>
        <v>0</v>
      </c>
      <c r="E18" s="7">
        <f>'[3]Jan Prod'!E17</f>
        <v>0</v>
      </c>
      <c r="F18" s="8">
        <f t="shared" si="2"/>
        <v>0</v>
      </c>
      <c r="G18" s="10">
        <f t="shared" si="3"/>
        <v>0</v>
      </c>
      <c r="H18" s="7">
        <f>'[3]Jan Prod'!F17</f>
        <v>0</v>
      </c>
      <c r="I18" s="8">
        <f t="shared" si="4"/>
        <v>0</v>
      </c>
      <c r="J18" s="10">
        <f t="shared" si="5"/>
        <v>0</v>
      </c>
      <c r="K18" s="7">
        <f>'[3]Jan Prod'!H272</f>
        <v>0</v>
      </c>
      <c r="L18" s="8">
        <f t="shared" si="6"/>
        <v>0</v>
      </c>
      <c r="M18" s="10">
        <f t="shared" si="7"/>
        <v>0</v>
      </c>
      <c r="N18" s="21"/>
      <c r="O18" s="7">
        <f>'[3]Jan Prod'!H17</f>
        <v>11250999.999999993</v>
      </c>
      <c r="P18" s="8">
        <f t="shared" si="8"/>
        <v>11.250999999999992</v>
      </c>
      <c r="Q18" s="10">
        <f t="shared" si="9"/>
        <v>34.540569999999974</v>
      </c>
      <c r="R18" s="7">
        <f>'[3]Jan Prod'!C17</f>
        <v>11589000</v>
      </c>
      <c r="S18" s="8">
        <f t="shared" si="10"/>
        <v>11.589</v>
      </c>
      <c r="T18" s="10">
        <f t="shared" si="11"/>
        <v>35.578229999999998</v>
      </c>
      <c r="U18" s="7">
        <f>'[3]Jan Prod'!D17</f>
        <v>0</v>
      </c>
      <c r="V18" s="8">
        <f t="shared" si="12"/>
        <v>0</v>
      </c>
      <c r="W18" s="10">
        <f t="shared" si="13"/>
        <v>0</v>
      </c>
      <c r="X18" s="7">
        <f>'[3]Jan Prod'!D272</f>
        <v>338000.00000000809</v>
      </c>
      <c r="Y18" s="8">
        <f t="shared" si="14"/>
        <v>0.33800000000000807</v>
      </c>
      <c r="Z18" s="10">
        <f t="shared" si="15"/>
        <v>1.0376600000000247</v>
      </c>
      <c r="AA18" s="15"/>
      <c r="AB18" s="7">
        <f t="shared" si="16"/>
        <v>11250999.999999993</v>
      </c>
      <c r="AC18" s="8">
        <f t="shared" si="16"/>
        <v>11.250999999999992</v>
      </c>
      <c r="AD18" s="8">
        <f t="shared" si="16"/>
        <v>34.540569999999974</v>
      </c>
    </row>
    <row r="19" spans="1:30" x14ac:dyDescent="0.2">
      <c r="A19" s="28">
        <v>38367</v>
      </c>
      <c r="B19" s="7">
        <f>'[3]Jan Prod'!I18</f>
        <v>0</v>
      </c>
      <c r="C19" s="8">
        <f t="shared" si="0"/>
        <v>0</v>
      </c>
      <c r="D19" s="10">
        <f t="shared" si="1"/>
        <v>0</v>
      </c>
      <c r="E19" s="7">
        <f>'[3]Jan Prod'!E18</f>
        <v>0</v>
      </c>
      <c r="F19" s="8">
        <f t="shared" si="2"/>
        <v>0</v>
      </c>
      <c r="G19" s="10">
        <f t="shared" si="3"/>
        <v>0</v>
      </c>
      <c r="H19" s="7">
        <f>'[3]Jan Prod'!F18</f>
        <v>0</v>
      </c>
      <c r="I19" s="8">
        <f t="shared" si="4"/>
        <v>0</v>
      </c>
      <c r="J19" s="10">
        <f t="shared" si="5"/>
        <v>0</v>
      </c>
      <c r="K19" s="7">
        <f>'[3]Jan Prod'!H273</f>
        <v>0</v>
      </c>
      <c r="L19" s="8">
        <f t="shared" si="6"/>
        <v>0</v>
      </c>
      <c r="M19" s="10">
        <f t="shared" si="7"/>
        <v>0</v>
      </c>
      <c r="N19" s="21"/>
      <c r="O19" s="7">
        <f>'[3]Jan Prod'!H18</f>
        <v>11709000.000000002</v>
      </c>
      <c r="P19" s="8">
        <f t="shared" si="8"/>
        <v>11.709000000000001</v>
      </c>
      <c r="Q19" s="10">
        <f t="shared" si="9"/>
        <v>35.946629999999999</v>
      </c>
      <c r="R19" s="7">
        <f>'[3]Jan Prod'!C18</f>
        <v>12048000</v>
      </c>
      <c r="S19" s="8">
        <f t="shared" si="10"/>
        <v>12.048</v>
      </c>
      <c r="T19" s="10">
        <f t="shared" si="11"/>
        <v>36.987359999999995</v>
      </c>
      <c r="U19" s="7">
        <f>'[3]Jan Prod'!D18</f>
        <v>0</v>
      </c>
      <c r="V19" s="8">
        <f t="shared" si="12"/>
        <v>0</v>
      </c>
      <c r="W19" s="10">
        <f t="shared" si="13"/>
        <v>0</v>
      </c>
      <c r="X19" s="7">
        <f>'[3]Jan Prod'!D273</f>
        <v>338999.99999999866</v>
      </c>
      <c r="Y19" s="8">
        <f t="shared" si="14"/>
        <v>0.33899999999999864</v>
      </c>
      <c r="Z19" s="10">
        <f t="shared" si="15"/>
        <v>1.0407299999999957</v>
      </c>
      <c r="AA19" s="15"/>
      <c r="AB19" s="7">
        <f t="shared" si="16"/>
        <v>11709000.000000002</v>
      </c>
      <c r="AC19" s="8">
        <f t="shared" si="16"/>
        <v>11.709000000000001</v>
      </c>
      <c r="AD19" s="8">
        <f>D19+Q19</f>
        <v>35.946629999999999</v>
      </c>
    </row>
    <row r="20" spans="1:30" x14ac:dyDescent="0.2">
      <c r="A20" s="28">
        <v>38368</v>
      </c>
      <c r="B20" s="7">
        <f>'[3]Jan Prod'!I19</f>
        <v>0</v>
      </c>
      <c r="C20" s="8">
        <f t="shared" si="0"/>
        <v>0</v>
      </c>
      <c r="D20" s="10">
        <f t="shared" si="1"/>
        <v>0</v>
      </c>
      <c r="E20" s="7">
        <f>'[3]Jan Prod'!E19</f>
        <v>0</v>
      </c>
      <c r="F20" s="8">
        <f t="shared" si="2"/>
        <v>0</v>
      </c>
      <c r="G20" s="10">
        <f t="shared" si="3"/>
        <v>0</v>
      </c>
      <c r="H20" s="7">
        <f>'[3]Jan Prod'!F19</f>
        <v>0</v>
      </c>
      <c r="I20" s="8">
        <f t="shared" si="4"/>
        <v>0</v>
      </c>
      <c r="J20" s="10">
        <f t="shared" si="5"/>
        <v>0</v>
      </c>
      <c r="K20" s="7">
        <f>'[3]Jan Prod'!H274</f>
        <v>0</v>
      </c>
      <c r="L20" s="8">
        <f t="shared" si="6"/>
        <v>0</v>
      </c>
      <c r="M20" s="10">
        <f t="shared" si="7"/>
        <v>0</v>
      </c>
      <c r="N20" s="21"/>
      <c r="O20" s="7">
        <f>'[3]Jan Prod'!H19</f>
        <v>11970999.999999996</v>
      </c>
      <c r="P20" s="8">
        <f t="shared" si="8"/>
        <v>11.970999999999997</v>
      </c>
      <c r="Q20" s="10">
        <f t="shared" si="9"/>
        <v>36.750969999999988</v>
      </c>
      <c r="R20" s="7">
        <f>'[3]Jan Prod'!C19</f>
        <v>12308000</v>
      </c>
      <c r="S20" s="8">
        <f t="shared" si="10"/>
        <v>12.308</v>
      </c>
      <c r="T20" s="10">
        <f t="shared" si="11"/>
        <v>37.785559999999997</v>
      </c>
      <c r="U20" s="7">
        <f>'[3]Jan Prod'!D19</f>
        <v>0</v>
      </c>
      <c r="V20" s="8">
        <f t="shared" si="12"/>
        <v>0</v>
      </c>
      <c r="W20" s="10">
        <f t="shared" si="13"/>
        <v>0</v>
      </c>
      <c r="X20" s="7">
        <f>'[3]Jan Prod'!D274</f>
        <v>337000.00000000332</v>
      </c>
      <c r="Y20" s="8">
        <f t="shared" si="14"/>
        <v>0.3370000000000033</v>
      </c>
      <c r="Z20" s="10">
        <f t="shared" si="15"/>
        <v>1.0345900000000101</v>
      </c>
      <c r="AA20" s="15"/>
      <c r="AB20" s="7">
        <f t="shared" si="16"/>
        <v>11970999.999999996</v>
      </c>
      <c r="AC20" s="8">
        <f t="shared" si="16"/>
        <v>11.970999999999997</v>
      </c>
      <c r="AD20" s="8">
        <f t="shared" si="16"/>
        <v>36.750969999999988</v>
      </c>
    </row>
    <row r="21" spans="1:30" x14ac:dyDescent="0.2">
      <c r="A21" s="28">
        <v>38369</v>
      </c>
      <c r="B21" s="7">
        <f>'[3]Jan Prod'!I20</f>
        <v>0</v>
      </c>
      <c r="C21" s="8">
        <f t="shared" si="0"/>
        <v>0</v>
      </c>
      <c r="D21" s="10">
        <f t="shared" si="1"/>
        <v>0</v>
      </c>
      <c r="E21" s="7">
        <f>'[3]Jan Prod'!E20</f>
        <v>0</v>
      </c>
      <c r="F21" s="8">
        <f t="shared" si="2"/>
        <v>0</v>
      </c>
      <c r="G21" s="10">
        <f t="shared" si="3"/>
        <v>0</v>
      </c>
      <c r="H21" s="7">
        <f>'[3]Jan Prod'!F20</f>
        <v>0</v>
      </c>
      <c r="I21" s="8">
        <f t="shared" si="4"/>
        <v>0</v>
      </c>
      <c r="J21" s="10">
        <f t="shared" si="5"/>
        <v>0</v>
      </c>
      <c r="K21" s="7">
        <f>'[3]Jan Prod'!H275</f>
        <v>0</v>
      </c>
      <c r="L21" s="8">
        <f t="shared" si="6"/>
        <v>0</v>
      </c>
      <c r="M21" s="10">
        <f t="shared" si="7"/>
        <v>0</v>
      </c>
      <c r="N21" s="21"/>
      <c r="O21" s="7">
        <f>'[3]Jan Prod'!H20</f>
        <v>11995000.000000011</v>
      </c>
      <c r="P21" s="8">
        <f t="shared" si="8"/>
        <v>11.995000000000012</v>
      </c>
      <c r="Q21" s="10">
        <f t="shared" si="9"/>
        <v>36.824650000000034</v>
      </c>
      <c r="R21" s="7">
        <f>'[3]Jan Prod'!C20</f>
        <v>12222000</v>
      </c>
      <c r="S21" s="8">
        <f t="shared" si="10"/>
        <v>12.222</v>
      </c>
      <c r="T21" s="10">
        <f t="shared" si="11"/>
        <v>37.521539999999995</v>
      </c>
      <c r="U21" s="7">
        <f>'[3]Jan Prod'!D20</f>
        <v>0</v>
      </c>
      <c r="V21" s="8">
        <f t="shared" si="12"/>
        <v>0</v>
      </c>
      <c r="W21" s="10">
        <f t="shared" si="13"/>
        <v>0</v>
      </c>
      <c r="X21" s="7">
        <f>'[3]Jan Prod'!D275</f>
        <v>226999.99999998967</v>
      </c>
      <c r="Y21" s="8">
        <f t="shared" si="14"/>
        <v>0.22699999999998965</v>
      </c>
      <c r="Z21" s="10">
        <f t="shared" si="15"/>
        <v>0.69688999999996826</v>
      </c>
      <c r="AA21" s="15"/>
      <c r="AB21" s="7">
        <f t="shared" si="16"/>
        <v>11995000.000000011</v>
      </c>
      <c r="AC21" s="8">
        <f t="shared" si="16"/>
        <v>11.995000000000012</v>
      </c>
      <c r="AD21" s="8">
        <f t="shared" si="16"/>
        <v>36.824650000000034</v>
      </c>
    </row>
    <row r="22" spans="1:30" x14ac:dyDescent="0.2">
      <c r="A22" s="28">
        <v>38370</v>
      </c>
      <c r="B22" s="7">
        <f>'[3]Jan Prod'!I21</f>
        <v>0</v>
      </c>
      <c r="C22" s="8">
        <f t="shared" si="0"/>
        <v>0</v>
      </c>
      <c r="D22" s="10">
        <f t="shared" si="1"/>
        <v>0</v>
      </c>
      <c r="E22" s="7">
        <f>'[3]Jan Prod'!E21</f>
        <v>0</v>
      </c>
      <c r="F22" s="8">
        <f t="shared" si="2"/>
        <v>0</v>
      </c>
      <c r="G22" s="10">
        <f t="shared" si="3"/>
        <v>0</v>
      </c>
      <c r="H22" s="7">
        <f>'[3]Jan Prod'!F21</f>
        <v>0</v>
      </c>
      <c r="I22" s="8">
        <f t="shared" si="4"/>
        <v>0</v>
      </c>
      <c r="J22" s="10">
        <f t="shared" si="5"/>
        <v>0</v>
      </c>
      <c r="K22" s="7">
        <f>'[3]Jan Prod'!H276</f>
        <v>0</v>
      </c>
      <c r="L22" s="8">
        <f t="shared" si="6"/>
        <v>0</v>
      </c>
      <c r="M22" s="10">
        <f t="shared" si="7"/>
        <v>0</v>
      </c>
      <c r="N22" s="21"/>
      <c r="O22" s="7">
        <f>'[3]Jan Prod'!H21</f>
        <v>11929999.999999994</v>
      </c>
      <c r="P22" s="8">
        <f t="shared" si="8"/>
        <v>11.929999999999994</v>
      </c>
      <c r="Q22" s="10">
        <f t="shared" si="9"/>
        <v>36.625099999999982</v>
      </c>
      <c r="R22" s="7">
        <f>'[3]Jan Prod'!C21</f>
        <v>12214000</v>
      </c>
      <c r="S22" s="8">
        <f t="shared" si="10"/>
        <v>12.214</v>
      </c>
      <c r="T22" s="10">
        <f t="shared" si="11"/>
        <v>37.496980000000001</v>
      </c>
      <c r="U22" s="7">
        <f>'[3]Jan Prod'!D21</f>
        <v>0</v>
      </c>
      <c r="V22" s="8">
        <f t="shared" si="12"/>
        <v>0</v>
      </c>
      <c r="W22" s="10">
        <f t="shared" si="13"/>
        <v>0</v>
      </c>
      <c r="X22" s="7">
        <f>'[3]Jan Prod'!D276</f>
        <v>284000.00000000605</v>
      </c>
      <c r="Y22" s="8">
        <f t="shared" si="14"/>
        <v>0.28400000000000608</v>
      </c>
      <c r="Z22" s="10">
        <f t="shared" si="15"/>
        <v>0.87188000000001864</v>
      </c>
      <c r="AA22" s="15"/>
      <c r="AB22" s="7">
        <f t="shared" si="16"/>
        <v>11929999.999999994</v>
      </c>
      <c r="AC22" s="8">
        <f t="shared" si="16"/>
        <v>11.929999999999994</v>
      </c>
      <c r="AD22" s="8">
        <f t="shared" si="16"/>
        <v>36.625099999999982</v>
      </c>
    </row>
    <row r="23" spans="1:30" x14ac:dyDescent="0.2">
      <c r="A23" s="28">
        <v>38371</v>
      </c>
      <c r="B23" s="7">
        <f>'[3]Jan Prod'!I22</f>
        <v>0</v>
      </c>
      <c r="C23" s="8">
        <f t="shared" si="0"/>
        <v>0</v>
      </c>
      <c r="D23" s="10">
        <f t="shared" si="1"/>
        <v>0</v>
      </c>
      <c r="E23" s="7">
        <f>'[3]Jan Prod'!E22</f>
        <v>0</v>
      </c>
      <c r="F23" s="8">
        <f t="shared" si="2"/>
        <v>0</v>
      </c>
      <c r="G23" s="10">
        <f t="shared" si="3"/>
        <v>0</v>
      </c>
      <c r="H23" s="7">
        <f>'[3]Jan Prod'!F22</f>
        <v>0</v>
      </c>
      <c r="I23" s="8">
        <f t="shared" si="4"/>
        <v>0</v>
      </c>
      <c r="J23" s="10">
        <f t="shared" si="5"/>
        <v>0</v>
      </c>
      <c r="K23" s="7">
        <f>'[3]Jan Prod'!H277</f>
        <v>0</v>
      </c>
      <c r="L23" s="8">
        <f t="shared" si="6"/>
        <v>0</v>
      </c>
      <c r="M23" s="10">
        <f t="shared" si="7"/>
        <v>0</v>
      </c>
      <c r="N23" s="21"/>
      <c r="O23" s="7">
        <f>'[3]Jan Prod'!H22</f>
        <v>11640999.999999998</v>
      </c>
      <c r="P23" s="8">
        <f t="shared" si="8"/>
        <v>11.640999999999998</v>
      </c>
      <c r="Q23" s="10">
        <f t="shared" si="9"/>
        <v>35.737869999999994</v>
      </c>
      <c r="R23" s="7">
        <f>'[3]Jan Prod'!C22</f>
        <v>11954000</v>
      </c>
      <c r="S23" s="8">
        <f t="shared" si="10"/>
        <v>11.954000000000001</v>
      </c>
      <c r="T23" s="10">
        <f t="shared" si="11"/>
        <v>36.698779999999999</v>
      </c>
      <c r="U23" s="7">
        <f>'[3]Jan Prod'!D22</f>
        <v>0</v>
      </c>
      <c r="V23" s="8">
        <f t="shared" si="12"/>
        <v>0</v>
      </c>
      <c r="W23" s="10">
        <f t="shared" si="13"/>
        <v>0</v>
      </c>
      <c r="X23" s="7">
        <f>'[3]Jan Prod'!D277</f>
        <v>313000.00000000239</v>
      </c>
      <c r="Y23" s="8">
        <f t="shared" si="14"/>
        <v>0.31300000000000239</v>
      </c>
      <c r="Z23" s="10">
        <f t="shared" si="15"/>
        <v>0.96091000000000726</v>
      </c>
      <c r="AA23" s="15"/>
      <c r="AB23" s="7">
        <f t="shared" si="16"/>
        <v>11640999.999999998</v>
      </c>
      <c r="AC23" s="8">
        <f t="shared" si="16"/>
        <v>11.640999999999998</v>
      </c>
      <c r="AD23" s="8">
        <f t="shared" si="16"/>
        <v>35.737869999999994</v>
      </c>
    </row>
    <row r="24" spans="1:30" x14ac:dyDescent="0.2">
      <c r="A24" s="28">
        <v>38372</v>
      </c>
      <c r="B24" s="7">
        <f>'[3]Jan Prod'!I23</f>
        <v>0</v>
      </c>
      <c r="C24" s="8">
        <f t="shared" si="0"/>
        <v>0</v>
      </c>
      <c r="D24" s="10">
        <f t="shared" si="1"/>
        <v>0</v>
      </c>
      <c r="E24" s="7">
        <f>'[3]Jan Prod'!E23</f>
        <v>0</v>
      </c>
      <c r="F24" s="8">
        <f t="shared" si="2"/>
        <v>0</v>
      </c>
      <c r="G24" s="10">
        <f t="shared" si="3"/>
        <v>0</v>
      </c>
      <c r="H24" s="7">
        <f>'[3]Jan Prod'!F23</f>
        <v>0</v>
      </c>
      <c r="I24" s="8">
        <f t="shared" si="4"/>
        <v>0</v>
      </c>
      <c r="J24" s="10">
        <f t="shared" si="5"/>
        <v>0</v>
      </c>
      <c r="K24" s="7">
        <f>'[3]Jan Prod'!H278</f>
        <v>0</v>
      </c>
      <c r="L24" s="8">
        <f t="shared" si="6"/>
        <v>0</v>
      </c>
      <c r="M24" s="10">
        <f t="shared" si="7"/>
        <v>0</v>
      </c>
      <c r="N24" s="21"/>
      <c r="O24" s="7">
        <f>'[3]Jan Prod'!H23</f>
        <v>11929999.999999998</v>
      </c>
      <c r="P24" s="8">
        <f t="shared" si="8"/>
        <v>11.929999999999998</v>
      </c>
      <c r="Q24" s="10">
        <f t="shared" si="9"/>
        <v>36.625099999999989</v>
      </c>
      <c r="R24" s="7">
        <f>'[3]Jan Prod'!C23</f>
        <v>12243000</v>
      </c>
      <c r="S24" s="8">
        <f t="shared" si="10"/>
        <v>12.243</v>
      </c>
      <c r="T24" s="10">
        <f t="shared" si="11"/>
        <v>37.586010000000002</v>
      </c>
      <c r="U24" s="7">
        <f>'[3]Jan Prod'!D23</f>
        <v>0</v>
      </c>
      <c r="V24" s="8">
        <f t="shared" si="12"/>
        <v>0</v>
      </c>
      <c r="W24" s="10">
        <f t="shared" si="13"/>
        <v>0</v>
      </c>
      <c r="X24" s="7">
        <f>'[3]Jan Prod'!D278</f>
        <v>313000.00000000239</v>
      </c>
      <c r="Y24" s="8">
        <f t="shared" si="14"/>
        <v>0.31300000000000239</v>
      </c>
      <c r="Z24" s="10">
        <f t="shared" si="15"/>
        <v>0.96091000000000726</v>
      </c>
      <c r="AA24" s="15"/>
      <c r="AB24" s="7">
        <f t="shared" si="16"/>
        <v>11929999.999999998</v>
      </c>
      <c r="AC24" s="8">
        <f t="shared" si="16"/>
        <v>11.929999999999998</v>
      </c>
      <c r="AD24" s="8">
        <f>D24+Q24</f>
        <v>36.625099999999989</v>
      </c>
    </row>
    <row r="25" spans="1:30" x14ac:dyDescent="0.2">
      <c r="A25" s="28">
        <v>38373</v>
      </c>
      <c r="B25" s="7">
        <f>'[3]Jan Prod'!I24</f>
        <v>0</v>
      </c>
      <c r="C25" s="8">
        <f t="shared" si="0"/>
        <v>0</v>
      </c>
      <c r="D25" s="10">
        <f t="shared" si="1"/>
        <v>0</v>
      </c>
      <c r="E25" s="7">
        <f>'[3]Jan Prod'!E24</f>
        <v>0</v>
      </c>
      <c r="F25" s="8">
        <f t="shared" si="2"/>
        <v>0</v>
      </c>
      <c r="G25" s="10">
        <f t="shared" si="3"/>
        <v>0</v>
      </c>
      <c r="H25" s="7">
        <f>'[3]Jan Prod'!F24</f>
        <v>0</v>
      </c>
      <c r="I25" s="8">
        <f t="shared" si="4"/>
        <v>0</v>
      </c>
      <c r="J25" s="10">
        <f t="shared" si="5"/>
        <v>0</v>
      </c>
      <c r="K25" s="7">
        <f>'[3]Jan Prod'!H279</f>
        <v>0</v>
      </c>
      <c r="L25" s="8">
        <f t="shared" si="6"/>
        <v>0</v>
      </c>
      <c r="M25" s="10">
        <f t="shared" si="7"/>
        <v>0</v>
      </c>
      <c r="N25" s="21"/>
      <c r="O25" s="7">
        <f>'[3]Jan Prod'!H24</f>
        <v>11614000.000000006</v>
      </c>
      <c r="P25" s="8">
        <f t="shared" si="8"/>
        <v>11.614000000000006</v>
      </c>
      <c r="Q25" s="10">
        <f t="shared" si="9"/>
        <v>35.654980000000016</v>
      </c>
      <c r="R25" s="7">
        <f>'[3]Jan Prod'!C24</f>
        <v>11955000</v>
      </c>
      <c r="S25" s="8">
        <f t="shared" si="10"/>
        <v>11.955</v>
      </c>
      <c r="T25" s="10">
        <f t="shared" si="11"/>
        <v>36.70185</v>
      </c>
      <c r="U25" s="7">
        <f>'[3]Jan Prod'!D24</f>
        <v>0</v>
      </c>
      <c r="V25" s="8">
        <f t="shared" si="12"/>
        <v>0</v>
      </c>
      <c r="W25" s="10">
        <f t="shared" si="13"/>
        <v>0</v>
      </c>
      <c r="X25" s="7">
        <f>'[3]Jan Prod'!D279</f>
        <v>340999.99999999395</v>
      </c>
      <c r="Y25" s="8">
        <f t="shared" si="14"/>
        <v>0.34099999999999392</v>
      </c>
      <c r="Z25" s="10">
        <f t="shared" si="15"/>
        <v>1.0468699999999813</v>
      </c>
      <c r="AA25" s="15"/>
      <c r="AB25" s="7">
        <f t="shared" si="16"/>
        <v>11614000.000000006</v>
      </c>
      <c r="AC25" s="8">
        <f t="shared" si="16"/>
        <v>11.614000000000006</v>
      </c>
      <c r="AD25" s="8">
        <f t="shared" si="16"/>
        <v>35.654980000000016</v>
      </c>
    </row>
    <row r="26" spans="1:30" x14ac:dyDescent="0.2">
      <c r="A26" s="28">
        <v>38374</v>
      </c>
      <c r="B26" s="7">
        <f>'[3]Jan Prod'!I25</f>
        <v>0</v>
      </c>
      <c r="C26" s="8">
        <f t="shared" si="0"/>
        <v>0</v>
      </c>
      <c r="D26" s="10">
        <f t="shared" si="1"/>
        <v>0</v>
      </c>
      <c r="E26" s="7">
        <f>'[3]Jan Prod'!E25</f>
        <v>0</v>
      </c>
      <c r="F26" s="8">
        <f t="shared" si="2"/>
        <v>0</v>
      </c>
      <c r="G26" s="10">
        <f t="shared" si="3"/>
        <v>0</v>
      </c>
      <c r="H26" s="7">
        <f>'[3]Jan Prod'!F25</f>
        <v>0</v>
      </c>
      <c r="I26" s="8">
        <f t="shared" si="4"/>
        <v>0</v>
      </c>
      <c r="J26" s="10">
        <f t="shared" si="5"/>
        <v>0</v>
      </c>
      <c r="K26" s="7">
        <f>'[3]Jan Prod'!H280</f>
        <v>0</v>
      </c>
      <c r="L26" s="8">
        <f t="shared" si="6"/>
        <v>0</v>
      </c>
      <c r="M26" s="10">
        <f t="shared" si="7"/>
        <v>0</v>
      </c>
      <c r="N26" s="21"/>
      <c r="O26" s="7">
        <f>'[3]Jan Prod'!H25</f>
        <v>11602000.000000006</v>
      </c>
      <c r="P26" s="8">
        <f t="shared" si="8"/>
        <v>11.602000000000006</v>
      </c>
      <c r="Q26" s="10">
        <f t="shared" si="9"/>
        <v>35.618140000000018</v>
      </c>
      <c r="R26" s="7">
        <f>'[3]Jan Prod'!C25</f>
        <v>11943000</v>
      </c>
      <c r="S26" s="8">
        <f t="shared" si="10"/>
        <v>11.943</v>
      </c>
      <c r="T26" s="10">
        <f t="shared" si="11"/>
        <v>36.665009999999995</v>
      </c>
      <c r="U26" s="7">
        <f>'[3]Jan Prod'!D25</f>
        <v>0</v>
      </c>
      <c r="V26" s="8">
        <f t="shared" si="12"/>
        <v>0</v>
      </c>
      <c r="W26" s="10">
        <f t="shared" si="13"/>
        <v>0</v>
      </c>
      <c r="X26" s="7">
        <f>'[3]Jan Prod'!D280</f>
        <v>340999.99999999395</v>
      </c>
      <c r="Y26" s="8">
        <f t="shared" si="14"/>
        <v>0.34099999999999392</v>
      </c>
      <c r="Z26" s="10">
        <f t="shared" si="15"/>
        <v>1.0468699999999813</v>
      </c>
      <c r="AA26" s="15"/>
      <c r="AB26" s="7">
        <f t="shared" si="16"/>
        <v>11602000.000000006</v>
      </c>
      <c r="AC26" s="8">
        <f t="shared" si="16"/>
        <v>11.602000000000006</v>
      </c>
      <c r="AD26" s="8">
        <f t="shared" si="16"/>
        <v>35.618140000000018</v>
      </c>
    </row>
    <row r="27" spans="1:30" x14ac:dyDescent="0.2">
      <c r="A27" s="28">
        <v>38375</v>
      </c>
      <c r="B27" s="7">
        <f>'[3]Jan Prod'!I26</f>
        <v>0</v>
      </c>
      <c r="C27" s="8">
        <f t="shared" si="0"/>
        <v>0</v>
      </c>
      <c r="D27" s="10">
        <f t="shared" si="1"/>
        <v>0</v>
      </c>
      <c r="E27" s="7">
        <f>'[3]Jan Prod'!E26</f>
        <v>0</v>
      </c>
      <c r="F27" s="8">
        <f t="shared" si="2"/>
        <v>0</v>
      </c>
      <c r="G27" s="10">
        <f t="shared" si="3"/>
        <v>0</v>
      </c>
      <c r="H27" s="7">
        <f>'[3]Jan Prod'!F26</f>
        <v>0</v>
      </c>
      <c r="I27" s="8">
        <f t="shared" si="4"/>
        <v>0</v>
      </c>
      <c r="J27" s="10">
        <f t="shared" si="5"/>
        <v>0</v>
      </c>
      <c r="K27" s="7">
        <f>'[3]Jan Prod'!H281</f>
        <v>0</v>
      </c>
      <c r="L27" s="8">
        <f t="shared" si="6"/>
        <v>0</v>
      </c>
      <c r="M27" s="10">
        <f t="shared" si="7"/>
        <v>0</v>
      </c>
      <c r="N27" s="21"/>
      <c r="O27" s="7">
        <f>'[3]Jan Prod'!H26</f>
        <v>12570000.000000002</v>
      </c>
      <c r="P27" s="8">
        <f t="shared" si="8"/>
        <v>12.570000000000002</v>
      </c>
      <c r="Q27" s="10">
        <f t="shared" si="9"/>
        <v>38.589900000000007</v>
      </c>
      <c r="R27" s="7">
        <f>'[3]Jan Prod'!C26</f>
        <v>12909000</v>
      </c>
      <c r="S27" s="8">
        <f t="shared" si="10"/>
        <v>12.909000000000001</v>
      </c>
      <c r="T27" s="10">
        <f t="shared" si="11"/>
        <v>39.630630000000004</v>
      </c>
      <c r="U27" s="7">
        <f>'[3]Jan Prod'!D26</f>
        <v>0</v>
      </c>
      <c r="V27" s="8">
        <f t="shared" si="12"/>
        <v>0</v>
      </c>
      <c r="W27" s="10">
        <f t="shared" si="13"/>
        <v>0</v>
      </c>
      <c r="X27" s="7">
        <f>'[3]Jan Prod'!D281</f>
        <v>338999.99999999866</v>
      </c>
      <c r="Y27" s="8">
        <f t="shared" si="14"/>
        <v>0.33899999999999864</v>
      </c>
      <c r="Z27" s="10">
        <f t="shared" si="15"/>
        <v>1.0407299999999957</v>
      </c>
      <c r="AA27" s="15"/>
      <c r="AB27" s="7">
        <f t="shared" si="16"/>
        <v>12570000.000000002</v>
      </c>
      <c r="AC27" s="8">
        <f t="shared" si="16"/>
        <v>12.570000000000002</v>
      </c>
      <c r="AD27" s="8">
        <f t="shared" si="16"/>
        <v>38.589900000000007</v>
      </c>
    </row>
    <row r="28" spans="1:30" x14ac:dyDescent="0.2">
      <c r="A28" s="28">
        <v>38376</v>
      </c>
      <c r="B28" s="7">
        <f>'[3]Jan Prod'!I27</f>
        <v>0</v>
      </c>
      <c r="C28" s="8">
        <f t="shared" si="0"/>
        <v>0</v>
      </c>
      <c r="D28" s="10">
        <f t="shared" si="1"/>
        <v>0</v>
      </c>
      <c r="E28" s="7">
        <f>'[3]Jan Prod'!E27</f>
        <v>0</v>
      </c>
      <c r="F28" s="8">
        <f t="shared" si="2"/>
        <v>0</v>
      </c>
      <c r="G28" s="10">
        <f t="shared" si="3"/>
        <v>0</v>
      </c>
      <c r="H28" s="7">
        <f>'[3]Jan Prod'!F27</f>
        <v>0</v>
      </c>
      <c r="I28" s="8">
        <f t="shared" si="4"/>
        <v>0</v>
      </c>
      <c r="J28" s="10">
        <f t="shared" si="5"/>
        <v>0</v>
      </c>
      <c r="K28" s="7">
        <f>'[3]Jan Prod'!H282</f>
        <v>0</v>
      </c>
      <c r="L28" s="8">
        <f t="shared" si="6"/>
        <v>0</v>
      </c>
      <c r="M28" s="10">
        <f t="shared" si="7"/>
        <v>0</v>
      </c>
      <c r="N28" s="21"/>
      <c r="O28" s="7">
        <f>'[3]Jan Prod'!H27</f>
        <v>10099999.999999994</v>
      </c>
      <c r="P28" s="8">
        <f t="shared" si="8"/>
        <v>10.099999999999994</v>
      </c>
      <c r="Q28" s="10">
        <f t="shared" si="9"/>
        <v>31.00699999999998</v>
      </c>
      <c r="R28" s="7">
        <f>'[3]Jan Prod'!C27</f>
        <v>10625000</v>
      </c>
      <c r="S28" s="8">
        <f t="shared" si="10"/>
        <v>10.625</v>
      </c>
      <c r="T28" s="10">
        <f t="shared" si="11"/>
        <v>32.618749999999999</v>
      </c>
      <c r="U28" s="7">
        <f>'[3]Jan Prod'!D27</f>
        <v>0</v>
      </c>
      <c r="V28" s="8">
        <f t="shared" si="12"/>
        <v>0</v>
      </c>
      <c r="W28" s="10">
        <f t="shared" si="13"/>
        <v>0</v>
      </c>
      <c r="X28" s="7">
        <f>'[3]Jan Prod'!D282</f>
        <v>525000.0000000057</v>
      </c>
      <c r="Y28" s="8">
        <f t="shared" si="14"/>
        <v>0.52500000000000568</v>
      </c>
      <c r="Z28" s="10">
        <f t="shared" si="15"/>
        <v>1.6117500000000173</v>
      </c>
      <c r="AA28" s="15"/>
      <c r="AB28" s="7">
        <f t="shared" si="16"/>
        <v>10099999.999999994</v>
      </c>
      <c r="AC28" s="8">
        <f t="shared" si="16"/>
        <v>10.099999999999994</v>
      </c>
      <c r="AD28" s="8">
        <f t="shared" si="16"/>
        <v>31.00699999999998</v>
      </c>
    </row>
    <row r="29" spans="1:30" x14ac:dyDescent="0.2">
      <c r="A29" s="28">
        <v>38377</v>
      </c>
      <c r="B29" s="7">
        <f>'[3]Jan Prod'!I28</f>
        <v>0</v>
      </c>
      <c r="C29" s="8">
        <f t="shared" si="0"/>
        <v>0</v>
      </c>
      <c r="D29" s="10">
        <f t="shared" si="1"/>
        <v>0</v>
      </c>
      <c r="E29" s="7">
        <f>'[3]Jan Prod'!E28</f>
        <v>0</v>
      </c>
      <c r="F29" s="8">
        <f t="shared" si="2"/>
        <v>0</v>
      </c>
      <c r="G29" s="10">
        <f t="shared" si="3"/>
        <v>0</v>
      </c>
      <c r="H29" s="7">
        <f>'[3]Jan Prod'!F28</f>
        <v>0</v>
      </c>
      <c r="I29" s="8">
        <f t="shared" si="4"/>
        <v>0</v>
      </c>
      <c r="J29" s="10">
        <f t="shared" si="5"/>
        <v>0</v>
      </c>
      <c r="K29" s="7">
        <f>'[3]Jan Prod'!H283</f>
        <v>0</v>
      </c>
      <c r="L29" s="8">
        <f t="shared" si="6"/>
        <v>0</v>
      </c>
      <c r="M29" s="10">
        <f t="shared" si="7"/>
        <v>0</v>
      </c>
      <c r="N29" s="21"/>
      <c r="O29" s="7">
        <f>'[3]Jan Prod'!H28</f>
        <v>9859000</v>
      </c>
      <c r="P29" s="8">
        <f t="shared" si="8"/>
        <v>9.859</v>
      </c>
      <c r="Q29" s="10">
        <f t="shared" si="9"/>
        <v>30.267129999999998</v>
      </c>
      <c r="R29" s="7">
        <f>'[3]Jan Prod'!C28</f>
        <v>10460000</v>
      </c>
      <c r="S29" s="8">
        <f t="shared" si="10"/>
        <v>10.46</v>
      </c>
      <c r="T29" s="10">
        <f t="shared" si="11"/>
        <v>32.112200000000001</v>
      </c>
      <c r="U29" s="7">
        <f>'[3]Jan Prod'!D28</f>
        <v>0</v>
      </c>
      <c r="V29" s="8">
        <f t="shared" si="12"/>
        <v>0</v>
      </c>
      <c r="W29" s="10">
        <f t="shared" si="13"/>
        <v>0</v>
      </c>
      <c r="X29" s="7">
        <f>'[3]Jan Prod'!D283</f>
        <v>601000</v>
      </c>
      <c r="Y29" s="8">
        <f t="shared" si="14"/>
        <v>0.60099999999999998</v>
      </c>
      <c r="Z29" s="10">
        <f t="shared" si="15"/>
        <v>1.8450699999999998</v>
      </c>
      <c r="AA29" s="15"/>
      <c r="AB29" s="7">
        <f t="shared" si="16"/>
        <v>9859000</v>
      </c>
      <c r="AC29" s="8">
        <f t="shared" si="16"/>
        <v>9.859</v>
      </c>
      <c r="AD29" s="8">
        <f t="shared" si="16"/>
        <v>30.267129999999998</v>
      </c>
    </row>
    <row r="30" spans="1:30" x14ac:dyDescent="0.2">
      <c r="A30" s="28">
        <v>38378</v>
      </c>
      <c r="B30" s="7">
        <f>'[3]Jan Prod'!I29</f>
        <v>0</v>
      </c>
      <c r="C30" s="8">
        <f t="shared" si="0"/>
        <v>0</v>
      </c>
      <c r="D30" s="10">
        <f t="shared" si="1"/>
        <v>0</v>
      </c>
      <c r="E30" s="7">
        <f>'[3]Jan Prod'!E29</f>
        <v>0</v>
      </c>
      <c r="F30" s="8">
        <f t="shared" si="2"/>
        <v>0</v>
      </c>
      <c r="G30" s="10">
        <f t="shared" si="3"/>
        <v>0</v>
      </c>
      <c r="H30" s="7">
        <f>'[3]Jan Prod'!F29</f>
        <v>0</v>
      </c>
      <c r="I30" s="8">
        <f t="shared" si="4"/>
        <v>0</v>
      </c>
      <c r="J30" s="10">
        <f t="shared" si="5"/>
        <v>0</v>
      </c>
      <c r="K30" s="7">
        <f>'[3]Jan Prod'!H284</f>
        <v>0</v>
      </c>
      <c r="L30" s="8">
        <f t="shared" si="6"/>
        <v>0</v>
      </c>
      <c r="M30" s="10">
        <f t="shared" si="7"/>
        <v>0</v>
      </c>
      <c r="N30" s="21"/>
      <c r="O30" s="7">
        <f>'[3]Jan Prod'!H29</f>
        <v>10850000</v>
      </c>
      <c r="P30" s="8">
        <f t="shared" si="8"/>
        <v>10.85</v>
      </c>
      <c r="Q30" s="10">
        <f t="shared" si="9"/>
        <v>33.3095</v>
      </c>
      <c r="R30" s="7">
        <f>'[3]Jan Prod'!C29</f>
        <v>11641000</v>
      </c>
      <c r="S30" s="8">
        <f t="shared" si="10"/>
        <v>11.641</v>
      </c>
      <c r="T30" s="10">
        <f t="shared" si="11"/>
        <v>35.737870000000001</v>
      </c>
      <c r="U30" s="7">
        <f>'[3]Jan Prod'!D29</f>
        <v>0</v>
      </c>
      <c r="V30" s="8">
        <f t="shared" si="12"/>
        <v>0</v>
      </c>
      <c r="W30" s="10">
        <f t="shared" si="13"/>
        <v>0</v>
      </c>
      <c r="X30" s="7">
        <f>'[3]Jan Prod'!D284</f>
        <v>791000</v>
      </c>
      <c r="Y30" s="8">
        <f t="shared" si="14"/>
        <v>0.79100000000000004</v>
      </c>
      <c r="Z30" s="10">
        <f t="shared" si="15"/>
        <v>2.4283700000000001</v>
      </c>
      <c r="AA30" s="15"/>
      <c r="AB30" s="7">
        <f t="shared" si="16"/>
        <v>10850000</v>
      </c>
      <c r="AC30" s="8">
        <f t="shared" si="16"/>
        <v>10.85</v>
      </c>
      <c r="AD30" s="8">
        <f>D30+Q30</f>
        <v>33.3095</v>
      </c>
    </row>
    <row r="31" spans="1:30" x14ac:dyDescent="0.2">
      <c r="A31" s="28">
        <v>38379</v>
      </c>
      <c r="B31" s="7">
        <f>'[3]Jan Prod'!I30</f>
        <v>0</v>
      </c>
      <c r="C31" s="8">
        <f t="shared" si="0"/>
        <v>0</v>
      </c>
      <c r="D31" s="10">
        <f t="shared" si="1"/>
        <v>0</v>
      </c>
      <c r="E31" s="7">
        <f>'[3]Jan Prod'!E30</f>
        <v>0</v>
      </c>
      <c r="F31" s="8">
        <f t="shared" si="2"/>
        <v>0</v>
      </c>
      <c r="G31" s="10">
        <f t="shared" si="3"/>
        <v>0</v>
      </c>
      <c r="H31" s="7">
        <f>'[3]Jan Prod'!F30</f>
        <v>0</v>
      </c>
      <c r="I31" s="8">
        <f t="shared" si="4"/>
        <v>0</v>
      </c>
      <c r="J31" s="10">
        <f t="shared" si="5"/>
        <v>0</v>
      </c>
      <c r="K31" s="7">
        <f>'[3]Jan Prod'!H285</f>
        <v>0</v>
      </c>
      <c r="L31" s="8">
        <f t="shared" si="6"/>
        <v>0</v>
      </c>
      <c r="M31" s="10">
        <f t="shared" si="7"/>
        <v>0</v>
      </c>
      <c r="N31" s="21"/>
      <c r="O31" s="7">
        <f>'[3]Jan Prod'!H30</f>
        <v>11290000</v>
      </c>
      <c r="P31" s="8">
        <f t="shared" si="8"/>
        <v>11.29</v>
      </c>
      <c r="Q31" s="10">
        <f t="shared" si="9"/>
        <v>34.660299999999992</v>
      </c>
      <c r="R31" s="7">
        <f>'[3]Jan Prod'!C30</f>
        <v>11904000</v>
      </c>
      <c r="S31" s="8">
        <f t="shared" si="10"/>
        <v>11.904</v>
      </c>
      <c r="T31" s="10">
        <f t="shared" si="11"/>
        <v>36.545279999999998</v>
      </c>
      <c r="U31" s="7">
        <f>'[3]Jan Prod'!D30</f>
        <v>0</v>
      </c>
      <c r="V31" s="8">
        <f t="shared" si="12"/>
        <v>0</v>
      </c>
      <c r="W31" s="10">
        <f t="shared" si="13"/>
        <v>0</v>
      </c>
      <c r="X31" s="7">
        <f>'[3]Jan Prod'!D285</f>
        <v>614000.00000000012</v>
      </c>
      <c r="Y31" s="8">
        <f t="shared" si="14"/>
        <v>0.6140000000000001</v>
      </c>
      <c r="Z31" s="10">
        <f t="shared" si="15"/>
        <v>1.8849800000000003</v>
      </c>
      <c r="AA31" s="15"/>
      <c r="AB31" s="7">
        <f t="shared" si="16"/>
        <v>11290000</v>
      </c>
      <c r="AC31" s="8">
        <f t="shared" si="16"/>
        <v>11.29</v>
      </c>
      <c r="AD31" s="8">
        <f t="shared" si="16"/>
        <v>34.660299999999992</v>
      </c>
    </row>
    <row r="32" spans="1:30" x14ac:dyDescent="0.2">
      <c r="A32" s="28">
        <v>38380</v>
      </c>
      <c r="B32" s="7">
        <f>'[3]Jan Prod'!I31</f>
        <v>0</v>
      </c>
      <c r="C32" s="8">
        <f t="shared" si="0"/>
        <v>0</v>
      </c>
      <c r="D32" s="10">
        <f t="shared" si="1"/>
        <v>0</v>
      </c>
      <c r="E32" s="7">
        <f>'[3]Jan Prod'!E31</f>
        <v>0</v>
      </c>
      <c r="F32" s="8">
        <f t="shared" si="2"/>
        <v>0</v>
      </c>
      <c r="G32" s="10">
        <f t="shared" si="3"/>
        <v>0</v>
      </c>
      <c r="H32" s="7">
        <f>'[3]Jan Prod'!F31</f>
        <v>0</v>
      </c>
      <c r="I32" s="8">
        <f t="shared" si="4"/>
        <v>0</v>
      </c>
      <c r="J32" s="10">
        <f t="shared" si="5"/>
        <v>0</v>
      </c>
      <c r="K32" s="7">
        <f>'[3]Jan Prod'!H286</f>
        <v>0</v>
      </c>
      <c r="L32" s="8">
        <f t="shared" si="6"/>
        <v>0</v>
      </c>
      <c r="M32" s="10">
        <f t="shared" si="7"/>
        <v>0</v>
      </c>
      <c r="N32" s="21"/>
      <c r="O32" s="7">
        <f>'[3]Jan Prod'!H31</f>
        <v>11171000</v>
      </c>
      <c r="P32" s="8">
        <f t="shared" si="8"/>
        <v>11.170999999999999</v>
      </c>
      <c r="Q32" s="10">
        <f t="shared" si="9"/>
        <v>34.294969999999999</v>
      </c>
      <c r="R32" s="7">
        <f>'[3]Jan Prod'!C31</f>
        <v>11883000</v>
      </c>
      <c r="S32" s="8">
        <f t="shared" si="10"/>
        <v>11.882999999999999</v>
      </c>
      <c r="T32" s="10">
        <f t="shared" si="11"/>
        <v>36.480809999999998</v>
      </c>
      <c r="U32" s="7">
        <f>'[3]Jan Prod'!D31</f>
        <v>0</v>
      </c>
      <c r="V32" s="8">
        <f t="shared" si="12"/>
        <v>0</v>
      </c>
      <c r="W32" s="10">
        <f t="shared" si="13"/>
        <v>0</v>
      </c>
      <c r="X32" s="7">
        <f>'[3]Jan Prod'!D286</f>
        <v>711999.99999999977</v>
      </c>
      <c r="Y32" s="8">
        <f t="shared" si="14"/>
        <v>0.71199999999999974</v>
      </c>
      <c r="Z32" s="10">
        <f t="shared" si="15"/>
        <v>2.1858399999999989</v>
      </c>
      <c r="AA32" s="15"/>
      <c r="AB32" s="7">
        <f t="shared" si="16"/>
        <v>11171000</v>
      </c>
      <c r="AC32" s="8">
        <f t="shared" si="16"/>
        <v>11.170999999999999</v>
      </c>
      <c r="AD32" s="8">
        <f t="shared" si="16"/>
        <v>34.294969999999999</v>
      </c>
    </row>
    <row r="33" spans="1:30" x14ac:dyDescent="0.2">
      <c r="A33" s="28">
        <v>38381</v>
      </c>
      <c r="B33" s="7">
        <f>'[3]Jan Prod'!I32</f>
        <v>0</v>
      </c>
      <c r="C33" s="8">
        <f t="shared" si="0"/>
        <v>0</v>
      </c>
      <c r="D33" s="10">
        <f t="shared" si="1"/>
        <v>0</v>
      </c>
      <c r="E33" s="7">
        <f>'[3]Jan Prod'!E32</f>
        <v>0</v>
      </c>
      <c r="F33" s="8">
        <f t="shared" si="2"/>
        <v>0</v>
      </c>
      <c r="G33" s="10">
        <f t="shared" si="3"/>
        <v>0</v>
      </c>
      <c r="H33" s="7">
        <f>'[3]Jan Prod'!F32</f>
        <v>0</v>
      </c>
      <c r="I33" s="8">
        <f t="shared" si="4"/>
        <v>0</v>
      </c>
      <c r="J33" s="10">
        <f t="shared" si="5"/>
        <v>0</v>
      </c>
      <c r="K33" s="7">
        <f>'[3]Jan Prod'!H287</f>
        <v>0</v>
      </c>
      <c r="L33" s="8">
        <f t="shared" si="6"/>
        <v>0</v>
      </c>
      <c r="M33" s="10">
        <f t="shared" si="7"/>
        <v>0</v>
      </c>
      <c r="N33" s="21"/>
      <c r="O33" s="7">
        <f>'[3]Jan Prod'!H32</f>
        <v>11120000</v>
      </c>
      <c r="P33" s="8">
        <f t="shared" si="8"/>
        <v>11.12</v>
      </c>
      <c r="Q33" s="10">
        <f t="shared" si="9"/>
        <v>34.138399999999997</v>
      </c>
      <c r="R33" s="7">
        <f>'[3]Jan Prod'!C32</f>
        <v>11831000</v>
      </c>
      <c r="S33" s="8">
        <f t="shared" si="10"/>
        <v>11.831</v>
      </c>
      <c r="T33" s="10">
        <f t="shared" si="11"/>
        <v>36.321169999999995</v>
      </c>
      <c r="U33" s="7">
        <f>'[3]Jan Prod'!D32</f>
        <v>0</v>
      </c>
      <c r="V33" s="8">
        <f t="shared" si="12"/>
        <v>0</v>
      </c>
      <c r="W33" s="10">
        <f t="shared" si="13"/>
        <v>0</v>
      </c>
      <c r="X33" s="7">
        <f>'[3]Jan Prod'!D287</f>
        <v>711000.00000000035</v>
      </c>
      <c r="Y33" s="8">
        <f t="shared" si="14"/>
        <v>0.7110000000000003</v>
      </c>
      <c r="Z33" s="10">
        <f t="shared" si="15"/>
        <v>2.182770000000001</v>
      </c>
      <c r="AA33" s="15"/>
      <c r="AB33" s="7">
        <f t="shared" si="16"/>
        <v>11120000</v>
      </c>
      <c r="AC33" s="8">
        <f t="shared" si="16"/>
        <v>11.12</v>
      </c>
      <c r="AD33" s="8">
        <f t="shared" si="16"/>
        <v>34.138399999999997</v>
      </c>
    </row>
    <row r="34" spans="1:30" x14ac:dyDescent="0.2">
      <c r="A34" s="28">
        <v>38382</v>
      </c>
      <c r="B34" s="7">
        <f>'[3]Jan Prod'!I33</f>
        <v>0</v>
      </c>
      <c r="C34" s="8">
        <f t="shared" si="0"/>
        <v>0</v>
      </c>
      <c r="D34" s="10">
        <f t="shared" si="1"/>
        <v>0</v>
      </c>
      <c r="E34" s="7">
        <f>'[3]Jan Prod'!E33</f>
        <v>0</v>
      </c>
      <c r="F34" s="8">
        <f t="shared" si="2"/>
        <v>0</v>
      </c>
      <c r="G34" s="10">
        <f t="shared" si="3"/>
        <v>0</v>
      </c>
      <c r="H34" s="7">
        <f>'[3]Jan Prod'!F33</f>
        <v>0</v>
      </c>
      <c r="I34" s="8">
        <f t="shared" si="4"/>
        <v>0</v>
      </c>
      <c r="J34" s="10">
        <f t="shared" si="5"/>
        <v>0</v>
      </c>
      <c r="K34" s="7">
        <f>'[3]Jan Prod'!H288</f>
        <v>0</v>
      </c>
      <c r="L34" s="8">
        <f t="shared" si="6"/>
        <v>0</v>
      </c>
      <c r="M34" s="10">
        <f t="shared" si="7"/>
        <v>0</v>
      </c>
      <c r="N34" s="21"/>
      <c r="O34" s="7">
        <f>'[3]Jan Prod'!H33</f>
        <v>12007000</v>
      </c>
      <c r="P34" s="8">
        <f t="shared" si="8"/>
        <v>12.007</v>
      </c>
      <c r="Q34" s="10">
        <f t="shared" si="9"/>
        <v>36.861489999999996</v>
      </c>
      <c r="R34" s="7">
        <f>'[3]Jan Prod'!C33</f>
        <v>12713000</v>
      </c>
      <c r="S34" s="8">
        <f t="shared" si="10"/>
        <v>12.712999999999999</v>
      </c>
      <c r="T34" s="10">
        <f t="shared" si="11"/>
        <v>39.028909999999996</v>
      </c>
      <c r="U34" s="7">
        <f>'[3]Jan Prod'!D33</f>
        <v>0</v>
      </c>
      <c r="V34" s="8">
        <f t="shared" si="12"/>
        <v>0</v>
      </c>
      <c r="W34" s="10">
        <f t="shared" si="13"/>
        <v>0</v>
      </c>
      <c r="X34" s="7">
        <f>'[3]Jan Prod'!D288</f>
        <v>705999.99999999953</v>
      </c>
      <c r="Y34" s="8">
        <f t="shared" si="14"/>
        <v>0.70599999999999952</v>
      </c>
      <c r="Z34" s="10">
        <f t="shared" si="15"/>
        <v>2.1674199999999986</v>
      </c>
      <c r="AA34" s="15"/>
      <c r="AB34" s="7">
        <f t="shared" si="16"/>
        <v>12007000</v>
      </c>
      <c r="AC34" s="8">
        <f t="shared" si="16"/>
        <v>12.007</v>
      </c>
      <c r="AD34" s="8">
        <f t="shared" si="16"/>
        <v>36.861489999999996</v>
      </c>
    </row>
    <row r="35" spans="1:30" ht="13.5" thickBot="1" x14ac:dyDescent="0.25">
      <c r="A35" s="28">
        <v>38383</v>
      </c>
      <c r="B35" s="7">
        <f>'[3]Jan Prod'!I34</f>
        <v>0</v>
      </c>
      <c r="C35" s="8">
        <f t="shared" si="0"/>
        <v>0</v>
      </c>
      <c r="D35" s="10">
        <f t="shared" si="1"/>
        <v>0</v>
      </c>
      <c r="E35" s="7">
        <f>'[3]Jan Prod'!E34</f>
        <v>1000000</v>
      </c>
      <c r="F35" s="8">
        <f t="shared" si="2"/>
        <v>1</v>
      </c>
      <c r="G35" s="10">
        <f t="shared" si="3"/>
        <v>3.07</v>
      </c>
      <c r="H35" s="7">
        <f>'[3]Jan Prod'!F34</f>
        <v>0</v>
      </c>
      <c r="I35" s="8">
        <f t="shared" si="4"/>
        <v>0</v>
      </c>
      <c r="J35" s="10">
        <f t="shared" si="5"/>
        <v>0</v>
      </c>
      <c r="K35" s="7">
        <f>'[3]Jan Prod'!H289</f>
        <v>0</v>
      </c>
      <c r="L35" s="8">
        <f t="shared" si="6"/>
        <v>0</v>
      </c>
      <c r="M35" s="10">
        <f t="shared" si="7"/>
        <v>0</v>
      </c>
      <c r="N35" s="21"/>
      <c r="O35" s="7">
        <f>'[3]Jan Prod'!H34</f>
        <v>11864000</v>
      </c>
      <c r="P35" s="8">
        <f t="shared" si="8"/>
        <v>11.864000000000001</v>
      </c>
      <c r="Q35" s="10">
        <f t="shared" si="9"/>
        <v>36.42248</v>
      </c>
      <c r="R35" s="7">
        <f>'[3]Jan Prod'!C34</f>
        <v>12569000</v>
      </c>
      <c r="S35" s="8">
        <f t="shared" si="10"/>
        <v>12.569000000000001</v>
      </c>
      <c r="T35" s="10">
        <f t="shared" si="11"/>
        <v>38.586829999999999</v>
      </c>
      <c r="U35" s="7">
        <f>'[3]Jan Prod'!D34</f>
        <v>0</v>
      </c>
      <c r="V35" s="8">
        <f t="shared" si="12"/>
        <v>0</v>
      </c>
      <c r="W35" s="10">
        <f t="shared" si="13"/>
        <v>0</v>
      </c>
      <c r="X35" s="7">
        <f>'[3]Jan Prod'!D289</f>
        <v>705000.00000000012</v>
      </c>
      <c r="Y35" s="8">
        <f t="shared" si="14"/>
        <v>0.70500000000000007</v>
      </c>
      <c r="Z35" s="10">
        <f t="shared" si="15"/>
        <v>2.1643500000000002</v>
      </c>
      <c r="AA35" s="15"/>
      <c r="AB35" s="7">
        <f t="shared" si="16"/>
        <v>11864000</v>
      </c>
      <c r="AC35" s="8">
        <f t="shared" si="16"/>
        <v>11.864000000000001</v>
      </c>
      <c r="AD35" s="8">
        <f t="shared" si="16"/>
        <v>36.42248</v>
      </c>
    </row>
    <row r="36" spans="1:30" s="18" customFormat="1" ht="13.5" thickBot="1" x14ac:dyDescent="0.25">
      <c r="A36" s="15"/>
      <c r="B36" s="39"/>
      <c r="C36" s="40">
        <f t="shared" ref="C36:W36" si="17">SUM(C5:C35)</f>
        <v>0</v>
      </c>
      <c r="D36" s="40">
        <f t="shared" si="17"/>
        <v>0</v>
      </c>
      <c r="E36" s="39"/>
      <c r="F36" s="40">
        <f t="shared" si="17"/>
        <v>1</v>
      </c>
      <c r="G36" s="40">
        <f t="shared" si="17"/>
        <v>3.07</v>
      </c>
      <c r="H36" s="39"/>
      <c r="I36" s="40">
        <f t="shared" si="17"/>
        <v>0</v>
      </c>
      <c r="J36" s="40">
        <f t="shared" si="17"/>
        <v>0</v>
      </c>
      <c r="K36" s="39"/>
      <c r="L36" s="40">
        <f>SUM(L5:L35)</f>
        <v>0</v>
      </c>
      <c r="M36" s="40">
        <f>SUM(M5:M35)</f>
        <v>0</v>
      </c>
      <c r="N36" s="14"/>
      <c r="O36" s="39"/>
      <c r="P36" s="40">
        <f t="shared" si="17"/>
        <v>355.32700000000006</v>
      </c>
      <c r="Q36" s="40">
        <f t="shared" si="17"/>
        <v>1090.8538899999999</v>
      </c>
      <c r="R36" s="39"/>
      <c r="S36" s="40">
        <f t="shared" si="17"/>
        <v>368.00800000000004</v>
      </c>
      <c r="T36" s="40">
        <f t="shared" si="17"/>
        <v>1129.7845600000003</v>
      </c>
      <c r="U36" s="39"/>
      <c r="V36" s="40">
        <f t="shared" si="17"/>
        <v>0</v>
      </c>
      <c r="W36" s="40">
        <f t="shared" si="17"/>
        <v>0</v>
      </c>
      <c r="X36" s="39"/>
      <c r="Y36" s="40">
        <f>SUM(Y5:Y35)</f>
        <v>12.680999999999994</v>
      </c>
      <c r="Z36" s="40">
        <f>SUM(Z5:Z35)</f>
        <v>38.930669999999978</v>
      </c>
      <c r="AA36" s="14"/>
      <c r="AB36" s="39"/>
      <c r="AC36" s="40">
        <f>SUM(AC5:AC35)</f>
        <v>355.32700000000006</v>
      </c>
      <c r="AD36" s="40">
        <f>AC36*3.07</f>
        <v>1090.8538900000001</v>
      </c>
    </row>
  </sheetData>
  <mergeCells count="9">
    <mergeCell ref="AB3:AD3"/>
    <mergeCell ref="B3:D3"/>
    <mergeCell ref="O3:Q3"/>
    <mergeCell ref="U3:W3"/>
    <mergeCell ref="E3:G3"/>
    <mergeCell ref="H3:J3"/>
    <mergeCell ref="R3:T3"/>
    <mergeCell ref="K3:M3"/>
    <mergeCell ref="X3:Z3"/>
  </mergeCells>
  <phoneticPr fontId="1" type="noConversion"/>
  <pageMargins left="0.75" right="0.75" top="1" bottom="1" header="0.5" footer="0.5"/>
  <pageSetup scale="40" orientation="landscape" r:id="rId1"/>
  <headerFooter alignWithMargins="0">
    <oddFooter>&amp;R&amp;D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D37"/>
  <sheetViews>
    <sheetView workbookViewId="0">
      <pane xSplit="1" ySplit="4" topLeftCell="B17" activePane="bottomRight" state="frozen"/>
      <selection pane="topRight" activeCell="B1" sqref="B1"/>
      <selection pane="bottomLeft" activeCell="A5" sqref="A5"/>
      <selection pane="bottomRight" activeCell="T33" sqref="T32:T33"/>
    </sheetView>
  </sheetViews>
  <sheetFormatPr defaultRowHeight="12.75" x14ac:dyDescent="0.2"/>
  <cols>
    <col min="2" max="2" width="11.7109375" customWidth="1"/>
    <col min="5" max="5" width="11.42578125" customWidth="1"/>
    <col min="8" max="8" width="11.7109375" customWidth="1"/>
    <col min="11" max="11" width="14.85546875" bestFit="1" customWidth="1"/>
    <col min="12" max="12" width="11.5703125" customWidth="1"/>
    <col min="15" max="15" width="11.42578125" customWidth="1"/>
    <col min="18" max="18" width="11.5703125" customWidth="1"/>
    <col min="22" max="22" width="11" customWidth="1"/>
    <col min="24" max="24" width="13.7109375" customWidth="1"/>
    <col min="28" max="28" width="12.28515625" customWidth="1"/>
  </cols>
  <sheetData>
    <row r="1" spans="1:30" x14ac:dyDescent="0.2">
      <c r="A1" s="25"/>
      <c r="B1" s="41"/>
      <c r="C1" s="26"/>
      <c r="D1" s="26"/>
      <c r="E1" s="26"/>
      <c r="F1" s="26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0" ht="13.5" thickBot="1" x14ac:dyDescent="0.25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0" ht="60.75" customHeight="1" thickBot="1" x14ac:dyDescent="0.25">
      <c r="A3" s="3"/>
      <c r="B3" s="51" t="s">
        <v>10</v>
      </c>
      <c r="C3" s="52"/>
      <c r="D3" s="53"/>
      <c r="E3" s="51" t="s">
        <v>11</v>
      </c>
      <c r="F3" s="52"/>
      <c r="G3" s="53"/>
      <c r="H3" s="51" t="s">
        <v>12</v>
      </c>
      <c r="I3" s="52"/>
      <c r="J3" s="53"/>
      <c r="K3" s="51" t="s">
        <v>13</v>
      </c>
      <c r="L3" s="52"/>
      <c r="M3" s="53"/>
      <c r="N3" s="19"/>
      <c r="O3" s="51" t="s">
        <v>4</v>
      </c>
      <c r="P3" s="52"/>
      <c r="Q3" s="53"/>
      <c r="R3" s="51" t="s">
        <v>3</v>
      </c>
      <c r="S3" s="52"/>
      <c r="T3" s="53"/>
      <c r="U3" s="51" t="s">
        <v>6</v>
      </c>
      <c r="V3" s="52"/>
      <c r="W3" s="53"/>
      <c r="X3" s="51" t="s">
        <v>7</v>
      </c>
      <c r="Y3" s="52"/>
      <c r="Z3" s="53"/>
      <c r="AA3" s="19"/>
      <c r="AB3" s="48" t="s">
        <v>8</v>
      </c>
      <c r="AC3" s="49"/>
      <c r="AD3" s="50"/>
    </row>
    <row r="4" spans="1:30" x14ac:dyDescent="0.2">
      <c r="A4" s="27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6" t="s">
        <v>0</v>
      </c>
      <c r="AC4" s="37" t="s">
        <v>1</v>
      </c>
      <c r="AD4" s="38" t="s">
        <v>2</v>
      </c>
    </row>
    <row r="5" spans="1:30" x14ac:dyDescent="0.2">
      <c r="A5" s="28">
        <v>39479</v>
      </c>
      <c r="B5" s="7">
        <f>'[4]Feb Prod'!I4</f>
        <v>0</v>
      </c>
      <c r="C5" s="8">
        <f>B5/1000000</f>
        <v>0</v>
      </c>
      <c r="D5" s="10">
        <f>C5*3.07</f>
        <v>0</v>
      </c>
      <c r="E5" s="7">
        <f>'[4]Feb Prod'!E4</f>
        <v>0</v>
      </c>
      <c r="F5" s="8">
        <f>E5/1000000</f>
        <v>0</v>
      </c>
      <c r="G5" s="10">
        <f>F5*3.07</f>
        <v>0</v>
      </c>
      <c r="H5" s="7">
        <f>'[4]Feb Prod'!F4</f>
        <v>0</v>
      </c>
      <c r="I5" s="8">
        <f>H5/1000000</f>
        <v>0</v>
      </c>
      <c r="J5" s="10">
        <f>I5*3.07</f>
        <v>0</v>
      </c>
      <c r="K5" s="7">
        <f>'[4]Feb Prod'!H245</f>
        <v>0</v>
      </c>
      <c r="L5" s="8">
        <f>K5/1000000</f>
        <v>0</v>
      </c>
      <c r="M5" s="10">
        <f>L5*3.07</f>
        <v>0</v>
      </c>
      <c r="N5" s="21"/>
      <c r="O5" s="7">
        <f>'[4]Feb Prod'!H4</f>
        <v>9968000</v>
      </c>
      <c r="P5" s="8">
        <f>O5/1000000</f>
        <v>9.968</v>
      </c>
      <c r="Q5" s="10">
        <f>P5*3.07</f>
        <v>30.601759999999999</v>
      </c>
      <c r="R5" s="7">
        <f>'[4]Feb Prod'!C4</f>
        <v>10757000</v>
      </c>
      <c r="S5" s="8">
        <f>R5/1000000</f>
        <v>10.757</v>
      </c>
      <c r="T5" s="10">
        <f>S5*3.07</f>
        <v>33.023989999999998</v>
      </c>
      <c r="U5" s="7">
        <f>'[4]Feb Prod'!D4</f>
        <v>0</v>
      </c>
      <c r="V5" s="8">
        <f>U5/1000000</f>
        <v>0</v>
      </c>
      <c r="W5" s="10">
        <f>V5*3.07</f>
        <v>0</v>
      </c>
      <c r="X5" s="7">
        <f>'[4]Feb Prod'!D245</f>
        <v>789000.00000000058</v>
      </c>
      <c r="Y5" s="8">
        <f>X5/1000000</f>
        <v>0.78900000000000059</v>
      </c>
      <c r="Z5" s="10">
        <f>Y5*3.07</f>
        <v>2.4222300000000017</v>
      </c>
      <c r="AA5" s="15"/>
      <c r="AB5" s="7">
        <f>B5+O5</f>
        <v>9968000</v>
      </c>
      <c r="AC5" s="8">
        <f>C5+P5</f>
        <v>9.968</v>
      </c>
      <c r="AD5" s="8">
        <f>D5+Q5</f>
        <v>30.601759999999999</v>
      </c>
    </row>
    <row r="6" spans="1:30" x14ac:dyDescent="0.2">
      <c r="A6" s="28">
        <v>39480</v>
      </c>
      <c r="B6" s="7">
        <f>'[4]Feb Prod'!I5</f>
        <v>0</v>
      </c>
      <c r="C6" s="8">
        <f t="shared" ref="C6:C33" si="0">B6/1000000</f>
        <v>0</v>
      </c>
      <c r="D6" s="10">
        <f t="shared" ref="D6:D33" si="1">C6*3.07</f>
        <v>0</v>
      </c>
      <c r="E6" s="7">
        <f>'[4]Feb Prod'!E5</f>
        <v>0</v>
      </c>
      <c r="F6" s="8">
        <f t="shared" ref="F6:F33" si="2">E6/1000000</f>
        <v>0</v>
      </c>
      <c r="G6" s="10">
        <f t="shared" ref="G6:G33" si="3">F6*3.07</f>
        <v>0</v>
      </c>
      <c r="H6" s="7">
        <f>'[4]Feb Prod'!F5</f>
        <v>0</v>
      </c>
      <c r="I6" s="8">
        <f t="shared" ref="I6:I33" si="4">H6/1000000</f>
        <v>0</v>
      </c>
      <c r="J6" s="10">
        <f t="shared" ref="J6:J33" si="5">I6*3.07</f>
        <v>0</v>
      </c>
      <c r="K6" s="7">
        <f>'[4]Feb Prod'!H246</f>
        <v>0</v>
      </c>
      <c r="L6" s="8">
        <f t="shared" ref="L6:L23" si="6">K6/1000000</f>
        <v>0</v>
      </c>
      <c r="M6" s="10">
        <f t="shared" ref="M6:M33" si="7">L6*3.07</f>
        <v>0</v>
      </c>
      <c r="N6" s="21"/>
      <c r="O6" s="7">
        <f>'[4]Feb Prod'!H5</f>
        <v>10031000</v>
      </c>
      <c r="P6" s="8">
        <f t="shared" ref="P6:P33" si="8">O6/1000000</f>
        <v>10.031000000000001</v>
      </c>
      <c r="Q6" s="10">
        <f t="shared" ref="Q6:Q33" si="9">P6*3.07</f>
        <v>30.795169999999999</v>
      </c>
      <c r="R6" s="7">
        <f>'[4]Feb Prod'!C5</f>
        <v>10643000</v>
      </c>
      <c r="S6" s="8">
        <f t="shared" ref="S6:S33" si="10">R6/1000000</f>
        <v>10.643000000000001</v>
      </c>
      <c r="T6" s="10">
        <f t="shared" ref="T6:T33" si="11">S6*3.07</f>
        <v>32.674010000000003</v>
      </c>
      <c r="U6" s="7">
        <f>'[4]Feb Prod'!D5</f>
        <v>0</v>
      </c>
      <c r="V6" s="8">
        <f t="shared" ref="V6:V33" si="12">U6/1000000</f>
        <v>0</v>
      </c>
      <c r="W6" s="10">
        <f t="shared" ref="W6:W33" si="13">V6*3.07</f>
        <v>0</v>
      </c>
      <c r="X6" s="7">
        <f>'[4]Feb Prod'!D246</f>
        <v>612000.00000000012</v>
      </c>
      <c r="Y6" s="8">
        <f t="shared" ref="Y6:Y33" si="14">X6/1000000</f>
        <v>0.6120000000000001</v>
      </c>
      <c r="Z6" s="10">
        <f t="shared" ref="Z6:Z33" si="15">Y6*3.07</f>
        <v>1.8788400000000003</v>
      </c>
      <c r="AA6" s="15"/>
      <c r="AB6" s="7">
        <f t="shared" ref="AB6:AD34" si="16">B6+O6</f>
        <v>10031000</v>
      </c>
      <c r="AC6" s="8">
        <f t="shared" si="16"/>
        <v>10.031000000000001</v>
      </c>
      <c r="AD6" s="8">
        <f t="shared" si="16"/>
        <v>30.795169999999999</v>
      </c>
    </row>
    <row r="7" spans="1:30" x14ac:dyDescent="0.2">
      <c r="A7" s="28">
        <v>39481</v>
      </c>
      <c r="B7" s="7">
        <f>'[4]Feb Prod'!I6</f>
        <v>0</v>
      </c>
      <c r="C7" s="8">
        <f t="shared" si="0"/>
        <v>0</v>
      </c>
      <c r="D7" s="10">
        <f t="shared" si="1"/>
        <v>0</v>
      </c>
      <c r="E7" s="7">
        <f>'[4]Feb Prod'!E6</f>
        <v>0</v>
      </c>
      <c r="F7" s="8">
        <f t="shared" si="2"/>
        <v>0</v>
      </c>
      <c r="G7" s="10">
        <f t="shared" si="3"/>
        <v>0</v>
      </c>
      <c r="H7" s="7">
        <f>'[4]Feb Prod'!F6</f>
        <v>0</v>
      </c>
      <c r="I7" s="8">
        <f t="shared" si="4"/>
        <v>0</v>
      </c>
      <c r="J7" s="10">
        <f t="shared" si="5"/>
        <v>0</v>
      </c>
      <c r="K7" s="7">
        <f>'[4]Feb Prod'!H247</f>
        <v>0</v>
      </c>
      <c r="L7" s="8">
        <f t="shared" si="6"/>
        <v>0</v>
      </c>
      <c r="M7" s="10">
        <f t="shared" si="7"/>
        <v>0</v>
      </c>
      <c r="N7" s="21"/>
      <c r="O7" s="7">
        <f>'[4]Feb Prod'!H6</f>
        <v>10275000</v>
      </c>
      <c r="P7" s="8">
        <f t="shared" si="8"/>
        <v>10.275</v>
      </c>
      <c r="Q7" s="10">
        <f t="shared" si="9"/>
        <v>31.544249999999998</v>
      </c>
      <c r="R7" s="7">
        <f>'[4]Feb Prod'!C6</f>
        <v>11062000</v>
      </c>
      <c r="S7" s="8">
        <f t="shared" si="10"/>
        <v>11.061999999999999</v>
      </c>
      <c r="T7" s="10">
        <f t="shared" si="11"/>
        <v>33.960339999999995</v>
      </c>
      <c r="U7" s="7">
        <f>'[4]Feb Prod'!D6</f>
        <v>0</v>
      </c>
      <c r="V7" s="8">
        <f t="shared" si="12"/>
        <v>0</v>
      </c>
      <c r="W7" s="10">
        <f t="shared" si="13"/>
        <v>0</v>
      </c>
      <c r="X7" s="7">
        <f>'[4]Feb Prod'!D247</f>
        <v>786999.99999999988</v>
      </c>
      <c r="Y7" s="8">
        <f t="shared" si="14"/>
        <v>0.78699999999999992</v>
      </c>
      <c r="Z7" s="10">
        <f t="shared" si="15"/>
        <v>2.4160899999999996</v>
      </c>
      <c r="AA7" s="15"/>
      <c r="AB7" s="7">
        <f t="shared" si="16"/>
        <v>10275000</v>
      </c>
      <c r="AC7" s="8">
        <f t="shared" si="16"/>
        <v>10.275</v>
      </c>
      <c r="AD7" s="8">
        <f t="shared" si="16"/>
        <v>31.544249999999998</v>
      </c>
    </row>
    <row r="8" spans="1:30" x14ac:dyDescent="0.2">
      <c r="A8" s="28">
        <v>39482</v>
      </c>
      <c r="B8" s="7">
        <f>'[4]Feb Prod'!I7</f>
        <v>0</v>
      </c>
      <c r="C8" s="8">
        <f t="shared" si="0"/>
        <v>0</v>
      </c>
      <c r="D8" s="10">
        <f t="shared" si="1"/>
        <v>0</v>
      </c>
      <c r="E8" s="7">
        <f>'[4]Feb Prod'!E7</f>
        <v>0</v>
      </c>
      <c r="F8" s="8">
        <f t="shared" si="2"/>
        <v>0</v>
      </c>
      <c r="G8" s="10">
        <f t="shared" si="3"/>
        <v>0</v>
      </c>
      <c r="H8" s="7">
        <f>'[4]Feb Prod'!F7</f>
        <v>0</v>
      </c>
      <c r="I8" s="8">
        <f t="shared" si="4"/>
        <v>0</v>
      </c>
      <c r="J8" s="10">
        <f t="shared" si="5"/>
        <v>0</v>
      </c>
      <c r="K8" s="7">
        <f>'[4]Feb Prod'!H248</f>
        <v>0</v>
      </c>
      <c r="L8" s="8">
        <f t="shared" si="6"/>
        <v>0</v>
      </c>
      <c r="M8" s="10">
        <f t="shared" si="7"/>
        <v>0</v>
      </c>
      <c r="N8" s="21"/>
      <c r="O8" s="7">
        <f>'[4]Feb Prod'!H7</f>
        <v>11702000</v>
      </c>
      <c r="P8" s="8">
        <f t="shared" si="8"/>
        <v>11.702</v>
      </c>
      <c r="Q8" s="10">
        <f t="shared" si="9"/>
        <v>35.925139999999999</v>
      </c>
      <c r="R8" s="7">
        <f>'[4]Feb Prod'!C7</f>
        <v>12395000</v>
      </c>
      <c r="S8" s="8">
        <f t="shared" si="10"/>
        <v>12.395</v>
      </c>
      <c r="T8" s="10">
        <f t="shared" si="11"/>
        <v>38.05265</v>
      </c>
      <c r="U8" s="7">
        <f>'[4]Feb Prod'!D7</f>
        <v>0</v>
      </c>
      <c r="V8" s="8">
        <f t="shared" si="12"/>
        <v>0</v>
      </c>
      <c r="W8" s="10">
        <f t="shared" si="13"/>
        <v>0</v>
      </c>
      <c r="X8" s="7">
        <f>'[4]Feb Prod'!D248</f>
        <v>693000.00000000047</v>
      </c>
      <c r="Y8" s="8">
        <f t="shared" si="14"/>
        <v>0.6930000000000005</v>
      </c>
      <c r="Z8" s="10">
        <f t="shared" si="15"/>
        <v>2.1275100000000013</v>
      </c>
      <c r="AA8" s="15"/>
      <c r="AB8" s="7">
        <f t="shared" si="16"/>
        <v>11702000</v>
      </c>
      <c r="AC8" s="8">
        <f t="shared" si="16"/>
        <v>11.702</v>
      </c>
      <c r="AD8" s="8">
        <f>D8+Q8</f>
        <v>35.925139999999999</v>
      </c>
    </row>
    <row r="9" spans="1:30" x14ac:dyDescent="0.2">
      <c r="A9" s="28">
        <v>39483</v>
      </c>
      <c r="B9" s="7">
        <f>'[4]Feb Prod'!I8</f>
        <v>0</v>
      </c>
      <c r="C9" s="8">
        <f t="shared" si="0"/>
        <v>0</v>
      </c>
      <c r="D9" s="10">
        <f t="shared" si="1"/>
        <v>0</v>
      </c>
      <c r="E9" s="7">
        <f>'[4]Feb Prod'!E8</f>
        <v>0</v>
      </c>
      <c r="F9" s="8">
        <f t="shared" si="2"/>
        <v>0</v>
      </c>
      <c r="G9" s="10">
        <f t="shared" si="3"/>
        <v>0</v>
      </c>
      <c r="H9" s="7">
        <f>'[4]Feb Prod'!F8</f>
        <v>0</v>
      </c>
      <c r="I9" s="8">
        <f t="shared" si="4"/>
        <v>0</v>
      </c>
      <c r="J9" s="10">
        <f t="shared" si="5"/>
        <v>0</v>
      </c>
      <c r="K9" s="7">
        <f>'[4]Feb Prod'!H249</f>
        <v>0</v>
      </c>
      <c r="L9" s="8">
        <f t="shared" si="6"/>
        <v>0</v>
      </c>
      <c r="M9" s="10">
        <f t="shared" si="7"/>
        <v>0</v>
      </c>
      <c r="N9" s="21"/>
      <c r="O9" s="7">
        <f>'[4]Feb Prod'!H8</f>
        <v>11426000.000000002</v>
      </c>
      <c r="P9" s="8">
        <f t="shared" si="8"/>
        <v>11.426000000000002</v>
      </c>
      <c r="Q9" s="10">
        <f t="shared" si="9"/>
        <v>35.077820000000003</v>
      </c>
      <c r="R9" s="7">
        <f>'[4]Feb Prod'!C8</f>
        <v>12195000</v>
      </c>
      <c r="S9" s="8">
        <f t="shared" si="10"/>
        <v>12.195</v>
      </c>
      <c r="T9" s="10">
        <f t="shared" si="11"/>
        <v>37.438649999999996</v>
      </c>
      <c r="U9" s="7">
        <f>'[4]Feb Prod'!D8</f>
        <v>0</v>
      </c>
      <c r="V9" s="8">
        <f t="shared" si="12"/>
        <v>0</v>
      </c>
      <c r="W9" s="10">
        <f t="shared" si="13"/>
        <v>0</v>
      </c>
      <c r="X9" s="7">
        <f>'[4]Feb Prod'!D249</f>
        <v>768999.99999999837</v>
      </c>
      <c r="Y9" s="8">
        <f t="shared" si="14"/>
        <v>0.76899999999999835</v>
      </c>
      <c r="Z9" s="10">
        <f t="shared" si="15"/>
        <v>2.3608299999999947</v>
      </c>
      <c r="AA9" s="15"/>
      <c r="AB9" s="7">
        <f t="shared" si="16"/>
        <v>11426000.000000002</v>
      </c>
      <c r="AC9" s="8">
        <f t="shared" si="16"/>
        <v>11.426000000000002</v>
      </c>
      <c r="AD9" s="8">
        <f t="shared" si="16"/>
        <v>35.077820000000003</v>
      </c>
    </row>
    <row r="10" spans="1:30" x14ac:dyDescent="0.2">
      <c r="A10" s="28">
        <v>39484</v>
      </c>
      <c r="B10" s="7">
        <f>'[4]Feb Prod'!I9</f>
        <v>0</v>
      </c>
      <c r="C10" s="8">
        <f t="shared" si="0"/>
        <v>0</v>
      </c>
      <c r="D10" s="10">
        <f t="shared" si="1"/>
        <v>0</v>
      </c>
      <c r="E10" s="7">
        <f>'[4]Feb Prod'!E9</f>
        <v>0</v>
      </c>
      <c r="F10" s="8">
        <f t="shared" si="2"/>
        <v>0</v>
      </c>
      <c r="G10" s="10">
        <f t="shared" si="3"/>
        <v>0</v>
      </c>
      <c r="H10" s="7">
        <f>'[4]Feb Prod'!F9</f>
        <v>0</v>
      </c>
      <c r="I10" s="8">
        <f t="shared" si="4"/>
        <v>0</v>
      </c>
      <c r="J10" s="10">
        <f t="shared" si="5"/>
        <v>0</v>
      </c>
      <c r="K10" s="7">
        <f>'[4]Feb Prod'!H250</f>
        <v>0</v>
      </c>
      <c r="L10" s="8">
        <f t="shared" si="6"/>
        <v>0</v>
      </c>
      <c r="M10" s="10">
        <f t="shared" si="7"/>
        <v>0</v>
      </c>
      <c r="N10" s="21"/>
      <c r="O10" s="7">
        <f>'[4]Feb Prod'!H9</f>
        <v>11088000</v>
      </c>
      <c r="P10" s="8">
        <f t="shared" si="8"/>
        <v>11.087999999999999</v>
      </c>
      <c r="Q10" s="10">
        <f t="shared" si="9"/>
        <v>34.040159999999993</v>
      </c>
      <c r="R10" s="7">
        <f>'[4]Feb Prod'!C9</f>
        <v>11766000</v>
      </c>
      <c r="S10" s="8">
        <f t="shared" si="10"/>
        <v>11.766</v>
      </c>
      <c r="T10" s="10">
        <f t="shared" si="11"/>
        <v>36.12162</v>
      </c>
      <c r="U10" s="7">
        <f>'[4]Feb Prod'!D9</f>
        <v>0</v>
      </c>
      <c r="V10" s="8">
        <f t="shared" si="12"/>
        <v>0</v>
      </c>
      <c r="W10" s="10">
        <f t="shared" si="13"/>
        <v>0</v>
      </c>
      <c r="X10" s="7">
        <f>'[4]Feb Prod'!D250</f>
        <v>678000.00000000081</v>
      </c>
      <c r="Y10" s="8">
        <f t="shared" si="14"/>
        <v>0.67800000000000082</v>
      </c>
      <c r="Z10" s="10">
        <f t="shared" si="15"/>
        <v>2.0814600000000025</v>
      </c>
      <c r="AA10" s="15"/>
      <c r="AB10" s="7">
        <f t="shared" si="16"/>
        <v>11088000</v>
      </c>
      <c r="AC10" s="8">
        <f t="shared" si="16"/>
        <v>11.087999999999999</v>
      </c>
      <c r="AD10" s="8">
        <f t="shared" si="16"/>
        <v>34.040159999999993</v>
      </c>
    </row>
    <row r="11" spans="1:30" x14ac:dyDescent="0.2">
      <c r="A11" s="28">
        <v>39485</v>
      </c>
      <c r="B11" s="7">
        <f>'[4]Feb Prod'!I10</f>
        <v>0</v>
      </c>
      <c r="C11" s="8">
        <f t="shared" si="0"/>
        <v>0</v>
      </c>
      <c r="D11" s="10">
        <f t="shared" si="1"/>
        <v>0</v>
      </c>
      <c r="E11" s="7">
        <f>'[4]Feb Prod'!E10</f>
        <v>0</v>
      </c>
      <c r="F11" s="8">
        <f t="shared" si="2"/>
        <v>0</v>
      </c>
      <c r="G11" s="10">
        <f t="shared" si="3"/>
        <v>0</v>
      </c>
      <c r="H11" s="7">
        <f>'[4]Feb Prod'!F10</f>
        <v>0</v>
      </c>
      <c r="I11" s="8">
        <f t="shared" si="4"/>
        <v>0</v>
      </c>
      <c r="J11" s="10">
        <f t="shared" si="5"/>
        <v>0</v>
      </c>
      <c r="K11" s="7">
        <f>'[4]Feb Prod'!H251</f>
        <v>0</v>
      </c>
      <c r="L11" s="8">
        <f t="shared" si="6"/>
        <v>0</v>
      </c>
      <c r="M11" s="10">
        <f t="shared" si="7"/>
        <v>0</v>
      </c>
      <c r="N11" s="21"/>
      <c r="O11" s="7">
        <f>'[4]Feb Prod'!H10</f>
        <v>9901000</v>
      </c>
      <c r="P11" s="8">
        <f t="shared" si="8"/>
        <v>9.9009999999999998</v>
      </c>
      <c r="Q11" s="10">
        <f t="shared" si="9"/>
        <v>30.396069999999998</v>
      </c>
      <c r="R11" s="7">
        <f>'[4]Feb Prod'!C10</f>
        <v>10497000</v>
      </c>
      <c r="S11" s="8">
        <f t="shared" si="10"/>
        <v>10.497</v>
      </c>
      <c r="T11" s="10">
        <f t="shared" si="11"/>
        <v>32.225789999999996</v>
      </c>
      <c r="U11" s="7">
        <f>'[4]Feb Prod'!D10</f>
        <v>0</v>
      </c>
      <c r="V11" s="8">
        <f t="shared" si="12"/>
        <v>0</v>
      </c>
      <c r="W11" s="10">
        <f t="shared" si="13"/>
        <v>0</v>
      </c>
      <c r="X11" s="7">
        <f>'[4]Feb Prod'!D251</f>
        <v>596000.00000000012</v>
      </c>
      <c r="Y11" s="8">
        <f t="shared" si="14"/>
        <v>0.59600000000000009</v>
      </c>
      <c r="Z11" s="10">
        <f t="shared" si="15"/>
        <v>1.8297200000000002</v>
      </c>
      <c r="AA11" s="15"/>
      <c r="AB11" s="7">
        <f t="shared" si="16"/>
        <v>9901000</v>
      </c>
      <c r="AC11" s="8">
        <f t="shared" si="16"/>
        <v>9.9009999999999998</v>
      </c>
      <c r="AD11" s="8">
        <f t="shared" si="16"/>
        <v>30.396069999999998</v>
      </c>
    </row>
    <row r="12" spans="1:30" x14ac:dyDescent="0.2">
      <c r="A12" s="28">
        <v>39486</v>
      </c>
      <c r="B12" s="7">
        <f>'[4]Feb Prod'!I11</f>
        <v>0</v>
      </c>
      <c r="C12" s="8">
        <f t="shared" si="0"/>
        <v>0</v>
      </c>
      <c r="D12" s="10">
        <f t="shared" si="1"/>
        <v>0</v>
      </c>
      <c r="E12" s="7">
        <f>'[4]Feb Prod'!E11</f>
        <v>0</v>
      </c>
      <c r="F12" s="8">
        <f t="shared" si="2"/>
        <v>0</v>
      </c>
      <c r="G12" s="10">
        <f t="shared" si="3"/>
        <v>0</v>
      </c>
      <c r="H12" s="7">
        <f>'[4]Feb Prod'!F11</f>
        <v>0</v>
      </c>
      <c r="I12" s="8">
        <f t="shared" si="4"/>
        <v>0</v>
      </c>
      <c r="J12" s="10">
        <f t="shared" si="5"/>
        <v>0</v>
      </c>
      <c r="K12" s="7">
        <f>'[4]Feb Prod'!H252</f>
        <v>0</v>
      </c>
      <c r="L12" s="8">
        <f t="shared" si="6"/>
        <v>0</v>
      </c>
      <c r="M12" s="10">
        <f t="shared" si="7"/>
        <v>0</v>
      </c>
      <c r="N12" s="21"/>
      <c r="O12" s="7">
        <f>'[4]Feb Prod'!H11</f>
        <v>10316000</v>
      </c>
      <c r="P12" s="8">
        <f t="shared" si="8"/>
        <v>10.316000000000001</v>
      </c>
      <c r="Q12" s="10">
        <f t="shared" si="9"/>
        <v>31.670120000000001</v>
      </c>
      <c r="R12" s="7">
        <f>'[4]Feb Prod'!C11</f>
        <v>11080000</v>
      </c>
      <c r="S12" s="8">
        <f t="shared" si="10"/>
        <v>11.08</v>
      </c>
      <c r="T12" s="10">
        <f t="shared" si="11"/>
        <v>34.015599999999999</v>
      </c>
      <c r="U12" s="7">
        <f>'[4]Feb Prod'!D11</f>
        <v>0</v>
      </c>
      <c r="V12" s="8">
        <f t="shared" si="12"/>
        <v>0</v>
      </c>
      <c r="W12" s="10">
        <f t="shared" si="13"/>
        <v>0</v>
      </c>
      <c r="X12" s="7">
        <f>'[4]Feb Prod'!D252</f>
        <v>763999.9999999993</v>
      </c>
      <c r="Y12" s="8">
        <f t="shared" si="14"/>
        <v>0.76399999999999935</v>
      </c>
      <c r="Z12" s="10">
        <f t="shared" si="15"/>
        <v>2.345479999999998</v>
      </c>
      <c r="AA12" s="15"/>
      <c r="AB12" s="7">
        <f t="shared" si="16"/>
        <v>10316000</v>
      </c>
      <c r="AC12" s="8">
        <f t="shared" si="16"/>
        <v>10.316000000000001</v>
      </c>
      <c r="AD12" s="8">
        <f t="shared" si="16"/>
        <v>31.670120000000001</v>
      </c>
    </row>
    <row r="13" spans="1:30" x14ac:dyDescent="0.2">
      <c r="A13" s="28">
        <v>39487</v>
      </c>
      <c r="B13" s="7">
        <f>'[4]Feb Prod'!I12</f>
        <v>0</v>
      </c>
      <c r="C13" s="8">
        <f t="shared" si="0"/>
        <v>0</v>
      </c>
      <c r="D13" s="10">
        <f t="shared" si="1"/>
        <v>0</v>
      </c>
      <c r="E13" s="7">
        <f>'[4]Feb Prod'!E12</f>
        <v>4000000</v>
      </c>
      <c r="F13" s="8">
        <f t="shared" si="2"/>
        <v>4</v>
      </c>
      <c r="G13" s="10">
        <f t="shared" si="3"/>
        <v>12.28</v>
      </c>
      <c r="H13" s="7">
        <f>'[4]Feb Prod'!F12</f>
        <v>0</v>
      </c>
      <c r="I13" s="8">
        <f t="shared" si="4"/>
        <v>0</v>
      </c>
      <c r="J13" s="10">
        <f t="shared" si="5"/>
        <v>0</v>
      </c>
      <c r="K13" s="7">
        <f>'[4]Feb Prod'!H253</f>
        <v>0</v>
      </c>
      <c r="L13" s="8">
        <f t="shared" si="6"/>
        <v>0</v>
      </c>
      <c r="M13" s="10">
        <f t="shared" si="7"/>
        <v>0</v>
      </c>
      <c r="N13" s="21"/>
      <c r="O13" s="7">
        <f>'[4]Feb Prod'!H12</f>
        <v>10543000</v>
      </c>
      <c r="P13" s="8">
        <f t="shared" si="8"/>
        <v>10.542999999999999</v>
      </c>
      <c r="Q13" s="10">
        <f t="shared" si="9"/>
        <v>32.367009999999993</v>
      </c>
      <c r="R13" s="7">
        <f>'[4]Feb Prod'!C12</f>
        <v>11216000</v>
      </c>
      <c r="S13" s="8">
        <f t="shared" si="10"/>
        <v>11.215999999999999</v>
      </c>
      <c r="T13" s="10">
        <f t="shared" si="11"/>
        <v>34.433119999999995</v>
      </c>
      <c r="U13" s="7">
        <f>'[4]Feb Prod'!D12</f>
        <v>0</v>
      </c>
      <c r="V13" s="8">
        <f t="shared" si="12"/>
        <v>0</v>
      </c>
      <c r="W13" s="10">
        <f t="shared" si="13"/>
        <v>0</v>
      </c>
      <c r="X13" s="7">
        <f>'[4]Feb Prod'!D253</f>
        <v>673000</v>
      </c>
      <c r="Y13" s="8">
        <f t="shared" si="14"/>
        <v>0.67300000000000004</v>
      </c>
      <c r="Z13" s="10">
        <f t="shared" si="15"/>
        <v>2.0661100000000001</v>
      </c>
      <c r="AA13" s="15"/>
      <c r="AB13" s="7">
        <f t="shared" si="16"/>
        <v>10543000</v>
      </c>
      <c r="AC13" s="8">
        <f t="shared" si="16"/>
        <v>10.542999999999999</v>
      </c>
      <c r="AD13" s="8">
        <f t="shared" si="16"/>
        <v>32.367009999999993</v>
      </c>
    </row>
    <row r="14" spans="1:30" x14ac:dyDescent="0.2">
      <c r="A14" s="28">
        <v>39488</v>
      </c>
      <c r="B14" s="7">
        <f>'[4]Feb Prod'!I13</f>
        <v>0</v>
      </c>
      <c r="C14" s="8">
        <f t="shared" si="0"/>
        <v>0</v>
      </c>
      <c r="D14" s="10">
        <f t="shared" si="1"/>
        <v>0</v>
      </c>
      <c r="E14" s="7">
        <f>'[4]Feb Prod'!E13</f>
        <v>5000000</v>
      </c>
      <c r="F14" s="8">
        <f t="shared" si="2"/>
        <v>5</v>
      </c>
      <c r="G14" s="10">
        <f t="shared" si="3"/>
        <v>15.35</v>
      </c>
      <c r="H14" s="7">
        <f>'[4]Feb Prod'!F13</f>
        <v>0</v>
      </c>
      <c r="I14" s="8">
        <f t="shared" si="4"/>
        <v>0</v>
      </c>
      <c r="J14" s="10">
        <f t="shared" si="5"/>
        <v>0</v>
      </c>
      <c r="K14" s="7">
        <f>'[4]Feb Prod'!H254</f>
        <v>0</v>
      </c>
      <c r="L14" s="8">
        <f t="shared" si="6"/>
        <v>0</v>
      </c>
      <c r="M14" s="10">
        <f t="shared" si="7"/>
        <v>0</v>
      </c>
      <c r="N14" s="21"/>
      <c r="O14" s="7">
        <f>'[4]Feb Prod'!H13</f>
        <v>11213000</v>
      </c>
      <c r="P14" s="8">
        <f t="shared" si="8"/>
        <v>11.212999999999999</v>
      </c>
      <c r="Q14" s="10">
        <f t="shared" si="9"/>
        <v>34.423909999999992</v>
      </c>
      <c r="R14" s="7">
        <f>'[4]Feb Prod'!C13</f>
        <v>11891000</v>
      </c>
      <c r="S14" s="8">
        <f t="shared" si="10"/>
        <v>11.891</v>
      </c>
      <c r="T14" s="10">
        <f t="shared" si="11"/>
        <v>36.505369999999999</v>
      </c>
      <c r="U14" s="7">
        <f>'[4]Feb Prod'!D13</f>
        <v>0</v>
      </c>
      <c r="V14" s="8">
        <f t="shared" si="12"/>
        <v>0</v>
      </c>
      <c r="W14" s="10">
        <f t="shared" si="13"/>
        <v>0</v>
      </c>
      <c r="X14" s="7">
        <f>'[4]Feb Prod'!D254</f>
        <v>678000.00000000081</v>
      </c>
      <c r="Y14" s="8">
        <f t="shared" si="14"/>
        <v>0.67800000000000082</v>
      </c>
      <c r="Z14" s="10">
        <f t="shared" si="15"/>
        <v>2.0814600000000025</v>
      </c>
      <c r="AA14" s="15"/>
      <c r="AB14" s="7">
        <f t="shared" si="16"/>
        <v>11213000</v>
      </c>
      <c r="AC14" s="8">
        <f t="shared" si="16"/>
        <v>11.212999999999999</v>
      </c>
      <c r="AD14" s="8">
        <f t="shared" si="16"/>
        <v>34.423909999999992</v>
      </c>
    </row>
    <row r="15" spans="1:30" x14ac:dyDescent="0.2">
      <c r="A15" s="28">
        <v>39489</v>
      </c>
      <c r="B15" s="7">
        <f>'[4]Feb Prod'!I14</f>
        <v>0</v>
      </c>
      <c r="C15" s="8">
        <f t="shared" si="0"/>
        <v>0</v>
      </c>
      <c r="D15" s="10">
        <f t="shared" si="1"/>
        <v>0</v>
      </c>
      <c r="E15" s="7">
        <f>'[4]Feb Prod'!E14</f>
        <v>6000000</v>
      </c>
      <c r="F15" s="8">
        <f t="shared" si="2"/>
        <v>6</v>
      </c>
      <c r="G15" s="10">
        <f t="shared" si="3"/>
        <v>18.419999999999998</v>
      </c>
      <c r="H15" s="7">
        <f>'[4]Feb Prod'!F14</f>
        <v>0</v>
      </c>
      <c r="I15" s="8">
        <f t="shared" si="4"/>
        <v>0</v>
      </c>
      <c r="J15" s="10">
        <f t="shared" si="5"/>
        <v>0</v>
      </c>
      <c r="K15" s="7">
        <f>'[4]Feb Prod'!H255</f>
        <v>0</v>
      </c>
      <c r="L15" s="8">
        <f t="shared" si="6"/>
        <v>0</v>
      </c>
      <c r="M15" s="10">
        <f t="shared" si="7"/>
        <v>0</v>
      </c>
      <c r="N15" s="21"/>
      <c r="O15" s="7">
        <f>'[4]Feb Prod'!H14</f>
        <v>10715000</v>
      </c>
      <c r="P15" s="8">
        <f t="shared" si="8"/>
        <v>10.715</v>
      </c>
      <c r="Q15" s="10">
        <f t="shared" si="9"/>
        <v>32.895049999999998</v>
      </c>
      <c r="R15" s="7">
        <f>'[4]Feb Prod'!C14</f>
        <v>11485000</v>
      </c>
      <c r="S15" s="8">
        <f t="shared" si="10"/>
        <v>11.484999999999999</v>
      </c>
      <c r="T15" s="10">
        <f t="shared" si="11"/>
        <v>35.258949999999999</v>
      </c>
      <c r="U15" s="7">
        <f>'[4]Feb Prod'!D14</f>
        <v>0</v>
      </c>
      <c r="V15" s="8">
        <f t="shared" si="12"/>
        <v>0</v>
      </c>
      <c r="W15" s="10">
        <f t="shared" si="13"/>
        <v>0</v>
      </c>
      <c r="X15" s="7">
        <f>'[4]Feb Prod'!D255</f>
        <v>769999.99999999953</v>
      </c>
      <c r="Y15" s="8">
        <f t="shared" si="14"/>
        <v>0.76999999999999957</v>
      </c>
      <c r="Z15" s="10">
        <f t="shared" si="15"/>
        <v>2.3638999999999988</v>
      </c>
      <c r="AA15" s="15"/>
      <c r="AB15" s="7">
        <f t="shared" si="16"/>
        <v>10715000</v>
      </c>
      <c r="AC15" s="8">
        <f t="shared" si="16"/>
        <v>10.715</v>
      </c>
      <c r="AD15" s="8">
        <f t="shared" si="16"/>
        <v>32.895049999999998</v>
      </c>
    </row>
    <row r="16" spans="1:30" x14ac:dyDescent="0.2">
      <c r="A16" s="28">
        <v>39490</v>
      </c>
      <c r="B16" s="7">
        <f>'[4]Feb Prod'!I15</f>
        <v>0</v>
      </c>
      <c r="C16" s="8">
        <f t="shared" si="0"/>
        <v>0</v>
      </c>
      <c r="D16" s="10">
        <f t="shared" si="1"/>
        <v>0</v>
      </c>
      <c r="E16" s="7">
        <f>'[4]Feb Prod'!E15</f>
        <v>6000000</v>
      </c>
      <c r="F16" s="8">
        <f t="shared" si="2"/>
        <v>6</v>
      </c>
      <c r="G16" s="10">
        <f t="shared" si="3"/>
        <v>18.419999999999998</v>
      </c>
      <c r="H16" s="7">
        <f>'[4]Feb Prod'!F15</f>
        <v>0</v>
      </c>
      <c r="I16" s="8">
        <f t="shared" si="4"/>
        <v>0</v>
      </c>
      <c r="J16" s="10">
        <f t="shared" si="5"/>
        <v>0</v>
      </c>
      <c r="K16" s="7">
        <f>'[4]Feb Prod'!H256</f>
        <v>0</v>
      </c>
      <c r="L16" s="8">
        <f t="shared" si="6"/>
        <v>0</v>
      </c>
      <c r="M16" s="10">
        <f t="shared" si="7"/>
        <v>0</v>
      </c>
      <c r="N16" s="21"/>
      <c r="O16" s="7">
        <f>'[4]Feb Prod'!H15</f>
        <v>11595000</v>
      </c>
      <c r="P16" s="8">
        <f t="shared" si="8"/>
        <v>11.595000000000001</v>
      </c>
      <c r="Q16" s="10">
        <f t="shared" si="9"/>
        <v>35.596649999999997</v>
      </c>
      <c r="R16" s="7">
        <f>'[4]Feb Prod'!C15</f>
        <v>12182000</v>
      </c>
      <c r="S16" s="8">
        <f t="shared" si="10"/>
        <v>12.182</v>
      </c>
      <c r="T16" s="10">
        <f t="shared" si="11"/>
        <v>37.398739999999997</v>
      </c>
      <c r="U16" s="7">
        <f>'[4]Feb Prod'!D15</f>
        <v>0</v>
      </c>
      <c r="V16" s="8">
        <f t="shared" si="12"/>
        <v>0</v>
      </c>
      <c r="W16" s="10">
        <f t="shared" si="13"/>
        <v>0</v>
      </c>
      <c r="X16" s="7">
        <f>'[4]Feb Prod'!D256</f>
        <v>586999.99999999977</v>
      </c>
      <c r="Y16" s="8">
        <f t="shared" si="14"/>
        <v>0.58699999999999974</v>
      </c>
      <c r="Z16" s="10">
        <f t="shared" si="15"/>
        <v>1.8020899999999991</v>
      </c>
      <c r="AA16" s="15"/>
      <c r="AB16" s="7">
        <f t="shared" si="16"/>
        <v>11595000</v>
      </c>
      <c r="AC16" s="8">
        <f t="shared" si="16"/>
        <v>11.595000000000001</v>
      </c>
      <c r="AD16" s="8">
        <f t="shared" si="16"/>
        <v>35.596649999999997</v>
      </c>
    </row>
    <row r="17" spans="1:30" x14ac:dyDescent="0.2">
      <c r="A17" s="28">
        <v>39491</v>
      </c>
      <c r="B17" s="7">
        <f>'[4]Feb Prod'!I16</f>
        <v>0</v>
      </c>
      <c r="C17" s="8">
        <f t="shared" si="0"/>
        <v>0</v>
      </c>
      <c r="D17" s="10">
        <f t="shared" si="1"/>
        <v>0</v>
      </c>
      <c r="E17" s="7">
        <f>'[4]Feb Prod'!E16</f>
        <v>6000000</v>
      </c>
      <c r="F17" s="8">
        <f t="shared" si="2"/>
        <v>6</v>
      </c>
      <c r="G17" s="10">
        <f t="shared" si="3"/>
        <v>18.419999999999998</v>
      </c>
      <c r="H17" s="7">
        <f>'[4]Feb Prod'!F16</f>
        <v>0</v>
      </c>
      <c r="I17" s="8">
        <f t="shared" si="4"/>
        <v>0</v>
      </c>
      <c r="J17" s="10">
        <f t="shared" si="5"/>
        <v>0</v>
      </c>
      <c r="K17" s="7">
        <f>'[4]Feb Prod'!H257</f>
        <v>0</v>
      </c>
      <c r="L17" s="8">
        <f t="shared" si="6"/>
        <v>0</v>
      </c>
      <c r="M17" s="10">
        <f t="shared" si="7"/>
        <v>0</v>
      </c>
      <c r="N17" s="21"/>
      <c r="O17" s="7">
        <f>'[4]Feb Prod'!H16</f>
        <v>12003000</v>
      </c>
      <c r="P17" s="8">
        <f t="shared" si="8"/>
        <v>12.003</v>
      </c>
      <c r="Q17" s="10">
        <f t="shared" si="9"/>
        <v>36.849209999999999</v>
      </c>
      <c r="R17" s="7">
        <f>'[4]Feb Prod'!C16</f>
        <v>12605000</v>
      </c>
      <c r="S17" s="8">
        <f t="shared" si="10"/>
        <v>12.605</v>
      </c>
      <c r="T17" s="10">
        <f t="shared" si="11"/>
        <v>38.69735</v>
      </c>
      <c r="U17" s="7">
        <f>'[4]Feb Prod'!D16</f>
        <v>0</v>
      </c>
      <c r="V17" s="8">
        <f t="shared" si="12"/>
        <v>0</v>
      </c>
      <c r="W17" s="10">
        <f t="shared" si="13"/>
        <v>0</v>
      </c>
      <c r="X17" s="7">
        <f>'[4]Feb Prod'!D257</f>
        <v>602000.00000000035</v>
      </c>
      <c r="Y17" s="8">
        <f t="shared" si="14"/>
        <v>0.60200000000000031</v>
      </c>
      <c r="Z17" s="10">
        <f t="shared" si="15"/>
        <v>1.8481400000000008</v>
      </c>
      <c r="AA17" s="15"/>
      <c r="AB17" s="7">
        <f t="shared" si="16"/>
        <v>12003000</v>
      </c>
      <c r="AC17" s="8">
        <f t="shared" si="16"/>
        <v>12.003</v>
      </c>
      <c r="AD17" s="8">
        <f t="shared" si="16"/>
        <v>36.849209999999999</v>
      </c>
    </row>
    <row r="18" spans="1:30" x14ac:dyDescent="0.2">
      <c r="A18" s="28">
        <v>39492</v>
      </c>
      <c r="B18" s="7">
        <f>'[4]Feb Prod'!I17</f>
        <v>0</v>
      </c>
      <c r="C18" s="8">
        <f t="shared" si="0"/>
        <v>0</v>
      </c>
      <c r="D18" s="10">
        <f t="shared" si="1"/>
        <v>0</v>
      </c>
      <c r="E18" s="7">
        <f>'[4]Feb Prod'!E17</f>
        <v>5000000</v>
      </c>
      <c r="F18" s="8">
        <f t="shared" si="2"/>
        <v>5</v>
      </c>
      <c r="G18" s="10">
        <f t="shared" si="3"/>
        <v>15.35</v>
      </c>
      <c r="H18" s="7">
        <f>'[4]Feb Prod'!F17</f>
        <v>0</v>
      </c>
      <c r="I18" s="8">
        <f t="shared" si="4"/>
        <v>0</v>
      </c>
      <c r="J18" s="10">
        <f t="shared" si="5"/>
        <v>0</v>
      </c>
      <c r="K18" s="7">
        <f>'[4]Feb Prod'!H258</f>
        <v>0</v>
      </c>
      <c r="L18" s="8">
        <f t="shared" si="6"/>
        <v>0</v>
      </c>
      <c r="M18" s="10">
        <f t="shared" si="7"/>
        <v>0</v>
      </c>
      <c r="N18" s="21"/>
      <c r="O18" s="7">
        <f>'[4]Feb Prod'!H17</f>
        <v>11708000</v>
      </c>
      <c r="P18" s="8">
        <f t="shared" si="8"/>
        <v>11.708</v>
      </c>
      <c r="Q18" s="10">
        <f t="shared" si="9"/>
        <v>35.943559999999998</v>
      </c>
      <c r="R18" s="7">
        <f>'[4]Feb Prod'!C17</f>
        <v>12393000</v>
      </c>
      <c r="S18" s="8">
        <f t="shared" si="10"/>
        <v>12.393000000000001</v>
      </c>
      <c r="T18" s="10">
        <f t="shared" si="11"/>
        <v>38.046509999999998</v>
      </c>
      <c r="U18" s="7">
        <f>'[4]Feb Prod'!D17</f>
        <v>0</v>
      </c>
      <c r="V18" s="8">
        <f t="shared" si="12"/>
        <v>0</v>
      </c>
      <c r="W18" s="10">
        <f t="shared" si="13"/>
        <v>0</v>
      </c>
      <c r="X18" s="7">
        <f>'[4]Feb Prod'!D258</f>
        <v>685000.00000000047</v>
      </c>
      <c r="Y18" s="8">
        <f t="shared" si="14"/>
        <v>0.6850000000000005</v>
      </c>
      <c r="Z18" s="10">
        <f t="shared" si="15"/>
        <v>2.1029500000000012</v>
      </c>
      <c r="AA18" s="15"/>
      <c r="AB18" s="7">
        <f t="shared" si="16"/>
        <v>11708000</v>
      </c>
      <c r="AC18" s="8">
        <f t="shared" si="16"/>
        <v>11.708</v>
      </c>
      <c r="AD18" s="8">
        <f t="shared" si="16"/>
        <v>35.943559999999998</v>
      </c>
    </row>
    <row r="19" spans="1:30" x14ac:dyDescent="0.2">
      <c r="A19" s="28">
        <v>39493</v>
      </c>
      <c r="B19" s="7">
        <f>'[4]Feb Prod'!I18</f>
        <v>0</v>
      </c>
      <c r="C19" s="8">
        <f t="shared" si="0"/>
        <v>0</v>
      </c>
      <c r="D19" s="10">
        <f t="shared" si="1"/>
        <v>0</v>
      </c>
      <c r="E19" s="7">
        <f>'[4]Feb Prod'!E18</f>
        <v>6000000</v>
      </c>
      <c r="F19" s="8">
        <f t="shared" si="2"/>
        <v>6</v>
      </c>
      <c r="G19" s="10">
        <f t="shared" si="3"/>
        <v>18.419999999999998</v>
      </c>
      <c r="H19" s="7">
        <f>'[4]Feb Prod'!F18</f>
        <v>0</v>
      </c>
      <c r="I19" s="8">
        <f t="shared" si="4"/>
        <v>0</v>
      </c>
      <c r="J19" s="10">
        <f t="shared" si="5"/>
        <v>0</v>
      </c>
      <c r="K19" s="7">
        <f>'[4]Feb Prod'!H259</f>
        <v>0</v>
      </c>
      <c r="L19" s="8">
        <f t="shared" si="6"/>
        <v>0</v>
      </c>
      <c r="M19" s="10">
        <f t="shared" si="7"/>
        <v>0</v>
      </c>
      <c r="N19" s="21"/>
      <c r="O19" s="7">
        <f>'[4]Feb Prod'!H18</f>
        <v>11105000.000000002</v>
      </c>
      <c r="P19" s="8">
        <f t="shared" si="8"/>
        <v>11.105000000000002</v>
      </c>
      <c r="Q19" s="10">
        <f t="shared" si="9"/>
        <v>34.092350000000003</v>
      </c>
      <c r="R19" s="7">
        <f>'[4]Feb Prod'!C18</f>
        <v>11873000</v>
      </c>
      <c r="S19" s="8">
        <f t="shared" si="10"/>
        <v>11.872999999999999</v>
      </c>
      <c r="T19" s="10">
        <f t="shared" si="11"/>
        <v>36.450109999999995</v>
      </c>
      <c r="U19" s="7">
        <f>'[4]Feb Prod'!D18</f>
        <v>0</v>
      </c>
      <c r="V19" s="8">
        <f t="shared" si="12"/>
        <v>0</v>
      </c>
      <c r="W19" s="10">
        <f t="shared" si="13"/>
        <v>0</v>
      </c>
      <c r="X19" s="7">
        <f>'[4]Feb Prod'!D259</f>
        <v>767999.99999999895</v>
      </c>
      <c r="Y19" s="8">
        <f t="shared" si="14"/>
        <v>0.76799999999999891</v>
      </c>
      <c r="Z19" s="10">
        <f t="shared" si="15"/>
        <v>2.3577599999999963</v>
      </c>
      <c r="AA19" s="15"/>
      <c r="AB19" s="7">
        <f t="shared" si="16"/>
        <v>11105000.000000002</v>
      </c>
      <c r="AC19" s="8">
        <f t="shared" si="16"/>
        <v>11.105000000000002</v>
      </c>
      <c r="AD19" s="8">
        <f>D19+Q19</f>
        <v>34.092350000000003</v>
      </c>
    </row>
    <row r="20" spans="1:30" x14ac:dyDescent="0.2">
      <c r="A20" s="28">
        <v>39494</v>
      </c>
      <c r="B20" s="7">
        <f>'[4]Feb Prod'!I19</f>
        <v>0</v>
      </c>
      <c r="C20" s="8">
        <f t="shared" si="0"/>
        <v>0</v>
      </c>
      <c r="D20" s="10">
        <f t="shared" si="1"/>
        <v>0</v>
      </c>
      <c r="E20" s="7">
        <f>'[4]Feb Prod'!E19</f>
        <v>5000000</v>
      </c>
      <c r="F20" s="8">
        <f t="shared" si="2"/>
        <v>5</v>
      </c>
      <c r="G20" s="10">
        <f t="shared" si="3"/>
        <v>15.35</v>
      </c>
      <c r="H20" s="7">
        <f>'[4]Feb Prod'!F19</f>
        <v>0</v>
      </c>
      <c r="I20" s="8">
        <f t="shared" si="4"/>
        <v>0</v>
      </c>
      <c r="J20" s="10">
        <f t="shared" si="5"/>
        <v>0</v>
      </c>
      <c r="K20" s="7">
        <f>'[4]Feb Prod'!H260</f>
        <v>0</v>
      </c>
      <c r="L20" s="8">
        <f t="shared" si="6"/>
        <v>0</v>
      </c>
      <c r="M20" s="10">
        <f t="shared" si="7"/>
        <v>0</v>
      </c>
      <c r="N20" s="21"/>
      <c r="O20" s="7">
        <f>'[4]Feb Prod'!H19</f>
        <v>10796000</v>
      </c>
      <c r="P20" s="8">
        <f t="shared" si="8"/>
        <v>10.795999999999999</v>
      </c>
      <c r="Q20" s="10">
        <f t="shared" si="9"/>
        <v>33.143719999999995</v>
      </c>
      <c r="R20" s="7">
        <f>'[4]Feb Prod'!C19</f>
        <v>11541000</v>
      </c>
      <c r="S20" s="8">
        <f t="shared" si="10"/>
        <v>11.541</v>
      </c>
      <c r="T20" s="10">
        <f t="shared" si="11"/>
        <v>35.430869999999999</v>
      </c>
      <c r="U20" s="7">
        <f>'[4]Feb Prod'!D19</f>
        <v>0</v>
      </c>
      <c r="V20" s="8">
        <f t="shared" si="12"/>
        <v>0</v>
      </c>
      <c r="W20" s="10">
        <f t="shared" si="13"/>
        <v>0</v>
      </c>
      <c r="X20" s="7">
        <f>'[4]Feb Prod'!D260</f>
        <v>744999.99999999919</v>
      </c>
      <c r="Y20" s="8">
        <f t="shared" si="14"/>
        <v>0.74499999999999922</v>
      </c>
      <c r="Z20" s="10">
        <f t="shared" si="15"/>
        <v>2.2871499999999974</v>
      </c>
      <c r="AA20" s="15"/>
      <c r="AB20" s="7">
        <f t="shared" si="16"/>
        <v>10796000</v>
      </c>
      <c r="AC20" s="8">
        <f t="shared" si="16"/>
        <v>10.795999999999999</v>
      </c>
      <c r="AD20" s="8">
        <f t="shared" si="16"/>
        <v>33.143719999999995</v>
      </c>
    </row>
    <row r="21" spans="1:30" x14ac:dyDescent="0.2">
      <c r="A21" s="28">
        <v>39495</v>
      </c>
      <c r="B21" s="7">
        <f>'[4]Feb Prod'!I20</f>
        <v>0</v>
      </c>
      <c r="C21" s="8">
        <f t="shared" si="0"/>
        <v>0</v>
      </c>
      <c r="D21" s="10">
        <f t="shared" si="1"/>
        <v>0</v>
      </c>
      <c r="E21" s="7">
        <f>'[4]Feb Prod'!E20</f>
        <v>5000000</v>
      </c>
      <c r="F21" s="8">
        <f t="shared" si="2"/>
        <v>5</v>
      </c>
      <c r="G21" s="10">
        <f t="shared" si="3"/>
        <v>15.35</v>
      </c>
      <c r="H21" s="7">
        <f>'[4]Feb Prod'!F20</f>
        <v>0</v>
      </c>
      <c r="I21" s="8">
        <f t="shared" si="4"/>
        <v>0</v>
      </c>
      <c r="J21" s="10">
        <f t="shared" si="5"/>
        <v>0</v>
      </c>
      <c r="K21" s="7">
        <f>'[4]Feb Prod'!H261</f>
        <v>0</v>
      </c>
      <c r="L21" s="8">
        <f t="shared" si="6"/>
        <v>0</v>
      </c>
      <c r="M21" s="10">
        <f t="shared" si="7"/>
        <v>0</v>
      </c>
      <c r="N21" s="21"/>
      <c r="O21" s="7">
        <f>'[4]Feb Prod'!H20</f>
        <v>11147000</v>
      </c>
      <c r="P21" s="8">
        <f t="shared" si="8"/>
        <v>11.147</v>
      </c>
      <c r="Q21" s="10">
        <f t="shared" si="9"/>
        <v>34.221289999999996</v>
      </c>
      <c r="R21" s="7">
        <f>'[4]Feb Prod'!C20</f>
        <v>12040000</v>
      </c>
      <c r="S21" s="8">
        <f t="shared" si="10"/>
        <v>12.04</v>
      </c>
      <c r="T21" s="10">
        <f t="shared" si="11"/>
        <v>36.962799999999994</v>
      </c>
      <c r="U21" s="7">
        <f>'[4]Feb Prod'!D20</f>
        <v>0</v>
      </c>
      <c r="V21" s="8">
        <f t="shared" si="12"/>
        <v>0</v>
      </c>
      <c r="W21" s="10">
        <f t="shared" si="13"/>
        <v>0</v>
      </c>
      <c r="X21" s="7">
        <f>'[4]Feb Prod'!D261</f>
        <v>893000.0000000007</v>
      </c>
      <c r="Y21" s="8">
        <f t="shared" si="14"/>
        <v>0.89300000000000068</v>
      </c>
      <c r="Z21" s="10">
        <f t="shared" si="15"/>
        <v>2.7415100000000021</v>
      </c>
      <c r="AA21" s="15"/>
      <c r="AB21" s="7">
        <f t="shared" si="16"/>
        <v>11147000</v>
      </c>
      <c r="AC21" s="8">
        <f t="shared" si="16"/>
        <v>11.147</v>
      </c>
      <c r="AD21" s="8">
        <f t="shared" si="16"/>
        <v>34.221289999999996</v>
      </c>
    </row>
    <row r="22" spans="1:30" x14ac:dyDescent="0.2">
      <c r="A22" s="28">
        <v>39496</v>
      </c>
      <c r="B22" s="7">
        <f>'[4]Feb Prod'!I21</f>
        <v>0</v>
      </c>
      <c r="C22" s="8">
        <f t="shared" si="0"/>
        <v>0</v>
      </c>
      <c r="D22" s="10">
        <f t="shared" si="1"/>
        <v>0</v>
      </c>
      <c r="E22" s="7">
        <f>'[4]Feb Prod'!E21</f>
        <v>5000000</v>
      </c>
      <c r="F22" s="8">
        <f t="shared" si="2"/>
        <v>5</v>
      </c>
      <c r="G22" s="10">
        <f t="shared" si="3"/>
        <v>15.35</v>
      </c>
      <c r="H22" s="7">
        <f>'[4]Feb Prod'!F21</f>
        <v>0</v>
      </c>
      <c r="I22" s="8">
        <f t="shared" si="4"/>
        <v>0</v>
      </c>
      <c r="J22" s="10">
        <f t="shared" si="5"/>
        <v>0</v>
      </c>
      <c r="K22" s="7">
        <f>'[4]Feb Prod'!H262</f>
        <v>0</v>
      </c>
      <c r="L22" s="8">
        <f t="shared" si="6"/>
        <v>0</v>
      </c>
      <c r="M22" s="10">
        <f t="shared" si="7"/>
        <v>0</v>
      </c>
      <c r="N22" s="21"/>
      <c r="O22" s="7">
        <f>'[4]Feb Prod'!H21</f>
        <v>11264000</v>
      </c>
      <c r="P22" s="8">
        <f t="shared" si="8"/>
        <v>11.263999999999999</v>
      </c>
      <c r="Q22" s="10">
        <f t="shared" si="9"/>
        <v>34.580479999999994</v>
      </c>
      <c r="R22" s="7">
        <f>'[4]Feb Prod'!C21</f>
        <v>12110000</v>
      </c>
      <c r="S22" s="8">
        <f t="shared" si="10"/>
        <v>12.11</v>
      </c>
      <c r="T22" s="10">
        <f t="shared" si="11"/>
        <v>37.177699999999994</v>
      </c>
      <c r="U22" s="7">
        <f>'[4]Feb Prod'!D21</f>
        <v>0</v>
      </c>
      <c r="V22" s="8">
        <f t="shared" si="12"/>
        <v>0</v>
      </c>
      <c r="W22" s="10">
        <f t="shared" si="13"/>
        <v>0</v>
      </c>
      <c r="X22" s="7">
        <f>'[4]Feb Prod'!D262</f>
        <v>846000.00000000012</v>
      </c>
      <c r="Y22" s="8">
        <f t="shared" si="14"/>
        <v>0.84600000000000009</v>
      </c>
      <c r="Z22" s="10">
        <f t="shared" si="15"/>
        <v>2.5972200000000001</v>
      </c>
      <c r="AA22" s="15"/>
      <c r="AB22" s="7">
        <f t="shared" si="16"/>
        <v>11264000</v>
      </c>
      <c r="AC22" s="8">
        <f t="shared" si="16"/>
        <v>11.263999999999999</v>
      </c>
      <c r="AD22" s="8">
        <f t="shared" si="16"/>
        <v>34.580479999999994</v>
      </c>
    </row>
    <row r="23" spans="1:30" x14ac:dyDescent="0.2">
      <c r="A23" s="28">
        <v>39497</v>
      </c>
      <c r="B23" s="7">
        <f>'[4]Feb Prod'!I22</f>
        <v>0</v>
      </c>
      <c r="C23" s="8">
        <f t="shared" si="0"/>
        <v>0</v>
      </c>
      <c r="D23" s="10">
        <f t="shared" si="1"/>
        <v>0</v>
      </c>
      <c r="E23" s="7">
        <f>'[4]Feb Prod'!E22</f>
        <v>5000000</v>
      </c>
      <c r="F23" s="8">
        <f t="shared" si="2"/>
        <v>5</v>
      </c>
      <c r="G23" s="10">
        <f t="shared" si="3"/>
        <v>15.35</v>
      </c>
      <c r="H23" s="7">
        <f>'[4]Feb Prod'!F22</f>
        <v>0</v>
      </c>
      <c r="I23" s="8">
        <f t="shared" si="4"/>
        <v>0</v>
      </c>
      <c r="J23" s="10">
        <f t="shared" si="5"/>
        <v>0</v>
      </c>
      <c r="K23" s="7">
        <f>'[4]Feb Prod'!H263</f>
        <v>0</v>
      </c>
      <c r="L23" s="8">
        <f t="shared" si="6"/>
        <v>0</v>
      </c>
      <c r="M23" s="10">
        <f t="shared" si="7"/>
        <v>0</v>
      </c>
      <c r="N23" s="21"/>
      <c r="O23" s="7">
        <f>'[4]Feb Prod'!H22</f>
        <v>10942000</v>
      </c>
      <c r="P23" s="8">
        <f t="shared" si="8"/>
        <v>10.942</v>
      </c>
      <c r="Q23" s="10">
        <f t="shared" si="9"/>
        <v>33.591940000000001</v>
      </c>
      <c r="R23" s="7">
        <f>'[4]Feb Prod'!C22</f>
        <v>11780000</v>
      </c>
      <c r="S23" s="8">
        <f t="shared" si="10"/>
        <v>11.78</v>
      </c>
      <c r="T23" s="10">
        <f t="shared" si="11"/>
        <v>36.164599999999993</v>
      </c>
      <c r="U23" s="7">
        <f>'[4]Feb Prod'!D22</f>
        <v>0</v>
      </c>
      <c r="V23" s="8">
        <f t="shared" si="12"/>
        <v>0</v>
      </c>
      <c r="W23" s="10">
        <f t="shared" si="13"/>
        <v>0</v>
      </c>
      <c r="X23" s="7">
        <f>'[4]Feb Prod'!D263</f>
        <v>838000.00000000093</v>
      </c>
      <c r="Y23" s="8">
        <f t="shared" si="14"/>
        <v>0.83800000000000097</v>
      </c>
      <c r="Z23" s="10">
        <f t="shared" si="15"/>
        <v>2.5726600000000026</v>
      </c>
      <c r="AA23" s="15"/>
      <c r="AB23" s="7">
        <f t="shared" si="16"/>
        <v>10942000</v>
      </c>
      <c r="AC23" s="8">
        <f t="shared" si="16"/>
        <v>10.942</v>
      </c>
      <c r="AD23" s="8">
        <f t="shared" si="16"/>
        <v>33.591940000000001</v>
      </c>
    </row>
    <row r="24" spans="1:30" x14ac:dyDescent="0.2">
      <c r="A24" s="28">
        <v>39498</v>
      </c>
      <c r="B24" s="7">
        <f>'[4]Feb Prod'!I23</f>
        <v>0</v>
      </c>
      <c r="C24" s="8">
        <f t="shared" si="0"/>
        <v>0</v>
      </c>
      <c r="D24" s="10">
        <f t="shared" si="1"/>
        <v>0</v>
      </c>
      <c r="E24" s="7">
        <f>'[4]Feb Prod'!E23</f>
        <v>2000000</v>
      </c>
      <c r="F24" s="8">
        <f t="shared" si="2"/>
        <v>2</v>
      </c>
      <c r="G24" s="10">
        <f t="shared" si="3"/>
        <v>6.14</v>
      </c>
      <c r="H24" s="7">
        <f>'[4]Feb Prod'!F23</f>
        <v>0</v>
      </c>
      <c r="I24" s="8">
        <f t="shared" si="4"/>
        <v>0</v>
      </c>
      <c r="J24" s="10">
        <f t="shared" si="5"/>
        <v>0</v>
      </c>
      <c r="K24" s="7">
        <f>'[4]Feb Prod'!H264</f>
        <v>0</v>
      </c>
      <c r="L24" s="8">
        <f t="shared" ref="L24:L33" si="17">K24/1000000</f>
        <v>0</v>
      </c>
      <c r="M24" s="10">
        <f t="shared" si="7"/>
        <v>0</v>
      </c>
      <c r="N24" s="21"/>
      <c r="O24" s="7">
        <f>'[4]Feb Prod'!H23</f>
        <v>9952000.0000000019</v>
      </c>
      <c r="P24" s="8">
        <f t="shared" si="8"/>
        <v>9.9520000000000017</v>
      </c>
      <c r="Q24" s="10">
        <f t="shared" si="9"/>
        <v>30.552640000000004</v>
      </c>
      <c r="R24" s="7">
        <f>'[4]Feb Prod'!C23</f>
        <v>10753000</v>
      </c>
      <c r="S24" s="8">
        <f t="shared" si="10"/>
        <v>10.753</v>
      </c>
      <c r="T24" s="10">
        <f t="shared" si="11"/>
        <v>33.011710000000001</v>
      </c>
      <c r="U24" s="7">
        <f>'[4]Feb Prod'!D23</f>
        <v>0</v>
      </c>
      <c r="V24" s="8">
        <f t="shared" si="12"/>
        <v>0</v>
      </c>
      <c r="W24" s="10">
        <f t="shared" si="13"/>
        <v>0</v>
      </c>
      <c r="X24" s="7">
        <f>'[4]Feb Prod'!D264</f>
        <v>800999.99999999837</v>
      </c>
      <c r="Y24" s="8">
        <f t="shared" si="14"/>
        <v>0.80099999999999838</v>
      </c>
      <c r="Z24" s="10">
        <f t="shared" si="15"/>
        <v>2.4590699999999948</v>
      </c>
      <c r="AA24" s="15"/>
      <c r="AB24" s="7">
        <f t="shared" si="16"/>
        <v>9952000.0000000019</v>
      </c>
      <c r="AC24" s="8">
        <f t="shared" si="16"/>
        <v>9.9520000000000017</v>
      </c>
      <c r="AD24" s="8">
        <f>D24+Q24</f>
        <v>30.552640000000004</v>
      </c>
    </row>
    <row r="25" spans="1:30" x14ac:dyDescent="0.2">
      <c r="A25" s="28">
        <v>39499</v>
      </c>
      <c r="B25" s="7">
        <f>'[4]Feb Prod'!I24</f>
        <v>0</v>
      </c>
      <c r="C25" s="8">
        <f t="shared" si="0"/>
        <v>0</v>
      </c>
      <c r="D25" s="10">
        <f t="shared" si="1"/>
        <v>0</v>
      </c>
      <c r="E25" s="7">
        <f>'[4]Feb Prod'!E24</f>
        <v>0</v>
      </c>
      <c r="F25" s="8">
        <f t="shared" si="2"/>
        <v>0</v>
      </c>
      <c r="G25" s="10">
        <f t="shared" si="3"/>
        <v>0</v>
      </c>
      <c r="H25" s="7">
        <f>'[4]Feb Prod'!F24</f>
        <v>0</v>
      </c>
      <c r="I25" s="8">
        <f t="shared" si="4"/>
        <v>0</v>
      </c>
      <c r="J25" s="10">
        <f t="shared" si="5"/>
        <v>0</v>
      </c>
      <c r="K25" s="7">
        <f>'[4]Feb Prod'!H265</f>
        <v>0</v>
      </c>
      <c r="L25" s="8">
        <f t="shared" si="17"/>
        <v>0</v>
      </c>
      <c r="M25" s="10">
        <f t="shared" si="7"/>
        <v>0</v>
      </c>
      <c r="N25" s="21"/>
      <c r="O25" s="7">
        <f>'[4]Feb Prod'!H24</f>
        <v>10959000</v>
      </c>
      <c r="P25" s="8">
        <f t="shared" si="8"/>
        <v>10.959</v>
      </c>
      <c r="Q25" s="10">
        <f t="shared" si="9"/>
        <v>33.644129999999997</v>
      </c>
      <c r="R25" s="7">
        <f>'[4]Feb Prod'!C24</f>
        <v>11695000</v>
      </c>
      <c r="S25" s="8">
        <f t="shared" si="10"/>
        <v>11.695</v>
      </c>
      <c r="T25" s="10">
        <f t="shared" si="11"/>
        <v>35.903649999999999</v>
      </c>
      <c r="U25" s="7">
        <f>'[4]Feb Prod'!D24</f>
        <v>0</v>
      </c>
      <c r="V25" s="8">
        <f t="shared" si="12"/>
        <v>0</v>
      </c>
      <c r="W25" s="10">
        <f t="shared" si="13"/>
        <v>0</v>
      </c>
      <c r="X25" s="7">
        <f>'[4]Feb Prod'!D265</f>
        <v>736000.0000000007</v>
      </c>
      <c r="Y25" s="8">
        <f t="shared" si="14"/>
        <v>0.73600000000000065</v>
      </c>
      <c r="Z25" s="10">
        <f t="shared" si="15"/>
        <v>2.259520000000002</v>
      </c>
      <c r="AA25" s="15"/>
      <c r="AB25" s="7">
        <f t="shared" si="16"/>
        <v>10959000</v>
      </c>
      <c r="AC25" s="8">
        <f t="shared" si="16"/>
        <v>10.959</v>
      </c>
      <c r="AD25" s="8">
        <f t="shared" si="16"/>
        <v>33.644129999999997</v>
      </c>
    </row>
    <row r="26" spans="1:30" x14ac:dyDescent="0.2">
      <c r="A26" s="28">
        <v>39500</v>
      </c>
      <c r="B26" s="7">
        <f>'[4]Feb Prod'!I25</f>
        <v>0</v>
      </c>
      <c r="C26" s="8">
        <f t="shared" si="0"/>
        <v>0</v>
      </c>
      <c r="D26" s="10">
        <f t="shared" si="1"/>
        <v>0</v>
      </c>
      <c r="E26" s="7">
        <f>'[4]Feb Prod'!E25</f>
        <v>0</v>
      </c>
      <c r="F26" s="8">
        <f t="shared" si="2"/>
        <v>0</v>
      </c>
      <c r="G26" s="10">
        <f t="shared" si="3"/>
        <v>0</v>
      </c>
      <c r="H26" s="7">
        <f>'[4]Feb Prod'!F25</f>
        <v>0</v>
      </c>
      <c r="I26" s="8">
        <f t="shared" si="4"/>
        <v>0</v>
      </c>
      <c r="J26" s="10">
        <f t="shared" si="5"/>
        <v>0</v>
      </c>
      <c r="K26" s="7">
        <f>'[4]Feb Prod'!H266</f>
        <v>0</v>
      </c>
      <c r="L26" s="8">
        <f t="shared" si="17"/>
        <v>0</v>
      </c>
      <c r="M26" s="10">
        <f t="shared" si="7"/>
        <v>0</v>
      </c>
      <c r="N26" s="21"/>
      <c r="O26" s="7">
        <f>'[4]Feb Prod'!H25</f>
        <v>10372999.999999998</v>
      </c>
      <c r="P26" s="8">
        <f t="shared" si="8"/>
        <v>10.372999999999998</v>
      </c>
      <c r="Q26" s="10">
        <f t="shared" si="9"/>
        <v>31.845109999999991</v>
      </c>
      <c r="R26" s="7">
        <f>'[4]Feb Prod'!C25</f>
        <v>11267000</v>
      </c>
      <c r="S26" s="8">
        <f t="shared" si="10"/>
        <v>11.266999999999999</v>
      </c>
      <c r="T26" s="10">
        <f t="shared" si="11"/>
        <v>34.589689999999997</v>
      </c>
      <c r="U26" s="7">
        <f>'[4]Feb Prod'!D25</f>
        <v>0</v>
      </c>
      <c r="V26" s="8">
        <f t="shared" si="12"/>
        <v>0</v>
      </c>
      <c r="W26" s="10">
        <f t="shared" si="13"/>
        <v>0</v>
      </c>
      <c r="X26" s="7">
        <f>'[4]Feb Prod'!D266</f>
        <v>894000.00000000186</v>
      </c>
      <c r="Y26" s="8">
        <f t="shared" si="14"/>
        <v>0.8940000000000019</v>
      </c>
      <c r="Z26" s="10">
        <f t="shared" si="15"/>
        <v>2.7445800000000058</v>
      </c>
      <c r="AA26" s="15"/>
      <c r="AB26" s="7">
        <f t="shared" si="16"/>
        <v>10372999.999999998</v>
      </c>
      <c r="AC26" s="8">
        <f t="shared" si="16"/>
        <v>10.372999999999998</v>
      </c>
      <c r="AD26" s="8">
        <f t="shared" si="16"/>
        <v>31.845109999999991</v>
      </c>
    </row>
    <row r="27" spans="1:30" x14ac:dyDescent="0.2">
      <c r="A27" s="28">
        <v>39501</v>
      </c>
      <c r="B27" s="7">
        <f>'[4]Feb Prod'!I26</f>
        <v>0</v>
      </c>
      <c r="C27" s="8">
        <f t="shared" si="0"/>
        <v>0</v>
      </c>
      <c r="D27" s="10">
        <f t="shared" si="1"/>
        <v>0</v>
      </c>
      <c r="E27" s="7">
        <f>'[4]Feb Prod'!E26</f>
        <v>0</v>
      </c>
      <c r="F27" s="8">
        <f t="shared" si="2"/>
        <v>0</v>
      </c>
      <c r="G27" s="10">
        <f t="shared" si="3"/>
        <v>0</v>
      </c>
      <c r="H27" s="7">
        <f>'[4]Feb Prod'!F26</f>
        <v>0</v>
      </c>
      <c r="I27" s="8">
        <f t="shared" si="4"/>
        <v>0</v>
      </c>
      <c r="J27" s="10">
        <f t="shared" si="5"/>
        <v>0</v>
      </c>
      <c r="K27" s="7">
        <f>'[4]Feb Prod'!H267</f>
        <v>0</v>
      </c>
      <c r="L27" s="8">
        <f t="shared" si="17"/>
        <v>0</v>
      </c>
      <c r="M27" s="10">
        <f t="shared" si="7"/>
        <v>0</v>
      </c>
      <c r="N27" s="21"/>
      <c r="O27" s="7">
        <f>'[4]Feb Prod'!H26</f>
        <v>10069000</v>
      </c>
      <c r="P27" s="8">
        <f t="shared" si="8"/>
        <v>10.069000000000001</v>
      </c>
      <c r="Q27" s="10">
        <f t="shared" si="9"/>
        <v>30.911830000000002</v>
      </c>
      <c r="R27" s="7">
        <f>'[4]Feb Prod'!C26</f>
        <v>10967000</v>
      </c>
      <c r="S27" s="8">
        <f t="shared" si="10"/>
        <v>10.967000000000001</v>
      </c>
      <c r="T27" s="10">
        <f t="shared" si="11"/>
        <v>33.668689999999998</v>
      </c>
      <c r="U27" s="7">
        <f>'[4]Feb Prod'!D26</f>
        <v>0</v>
      </c>
      <c r="V27" s="8">
        <f t="shared" si="12"/>
        <v>0</v>
      </c>
      <c r="W27" s="10">
        <f t="shared" si="13"/>
        <v>0</v>
      </c>
      <c r="X27" s="7">
        <f>'[4]Feb Prod'!D267</f>
        <v>897999.99999999965</v>
      </c>
      <c r="Y27" s="8">
        <f t="shared" si="14"/>
        <v>0.89799999999999969</v>
      </c>
      <c r="Z27" s="10">
        <f t="shared" si="15"/>
        <v>2.7568599999999988</v>
      </c>
      <c r="AA27" s="15"/>
      <c r="AB27" s="7">
        <f t="shared" si="16"/>
        <v>10069000</v>
      </c>
      <c r="AC27" s="8">
        <f t="shared" si="16"/>
        <v>10.069000000000001</v>
      </c>
      <c r="AD27" s="8">
        <f t="shared" si="16"/>
        <v>30.911830000000002</v>
      </c>
    </row>
    <row r="28" spans="1:30" x14ac:dyDescent="0.2">
      <c r="A28" s="28">
        <v>39502</v>
      </c>
      <c r="B28" s="7">
        <f>'[4]Feb Prod'!I27</f>
        <v>0</v>
      </c>
      <c r="C28" s="8">
        <f t="shared" si="0"/>
        <v>0</v>
      </c>
      <c r="D28" s="10">
        <f t="shared" si="1"/>
        <v>0</v>
      </c>
      <c r="E28" s="7">
        <f>'[4]Feb Prod'!E27</f>
        <v>0</v>
      </c>
      <c r="F28" s="8">
        <f t="shared" si="2"/>
        <v>0</v>
      </c>
      <c r="G28" s="10">
        <f t="shared" si="3"/>
        <v>0</v>
      </c>
      <c r="H28" s="7">
        <f>'[4]Feb Prod'!F27</f>
        <v>0</v>
      </c>
      <c r="I28" s="8">
        <f t="shared" si="4"/>
        <v>0</v>
      </c>
      <c r="J28" s="10">
        <f t="shared" si="5"/>
        <v>0</v>
      </c>
      <c r="K28" s="7">
        <f>'[4]Feb Prod'!H268</f>
        <v>0</v>
      </c>
      <c r="L28" s="8">
        <f t="shared" si="17"/>
        <v>0</v>
      </c>
      <c r="M28" s="10">
        <f t="shared" si="7"/>
        <v>0</v>
      </c>
      <c r="N28" s="21"/>
      <c r="O28" s="7">
        <f>'[4]Feb Prod'!H27</f>
        <v>10641000</v>
      </c>
      <c r="P28" s="8">
        <f t="shared" si="8"/>
        <v>10.641</v>
      </c>
      <c r="Q28" s="10">
        <f t="shared" si="9"/>
        <v>32.667870000000001</v>
      </c>
      <c r="R28" s="7">
        <f>'[4]Feb Prod'!C27</f>
        <v>11478000</v>
      </c>
      <c r="S28" s="8">
        <f t="shared" si="10"/>
        <v>11.478</v>
      </c>
      <c r="T28" s="10">
        <f t="shared" si="11"/>
        <v>35.237459999999999</v>
      </c>
      <c r="U28" s="7">
        <f>'[4]Feb Prod'!D27</f>
        <v>0</v>
      </c>
      <c r="V28" s="8">
        <f t="shared" si="12"/>
        <v>0</v>
      </c>
      <c r="W28" s="10">
        <f t="shared" si="13"/>
        <v>0</v>
      </c>
      <c r="X28" s="7">
        <f>'[4]Feb Prod'!D268</f>
        <v>836999.99999999977</v>
      </c>
      <c r="Y28" s="8">
        <f t="shared" si="14"/>
        <v>0.83699999999999974</v>
      </c>
      <c r="Z28" s="10">
        <f t="shared" si="15"/>
        <v>2.5695899999999989</v>
      </c>
      <c r="AA28" s="15"/>
      <c r="AB28" s="7">
        <f t="shared" si="16"/>
        <v>10641000</v>
      </c>
      <c r="AC28" s="8">
        <f t="shared" si="16"/>
        <v>10.641</v>
      </c>
      <c r="AD28" s="8">
        <f t="shared" si="16"/>
        <v>32.667870000000001</v>
      </c>
    </row>
    <row r="29" spans="1:30" x14ac:dyDescent="0.2">
      <c r="A29" s="28">
        <v>39503</v>
      </c>
      <c r="B29" s="7">
        <f>'[4]Feb Prod'!I28</f>
        <v>0</v>
      </c>
      <c r="C29" s="8">
        <f t="shared" si="0"/>
        <v>0</v>
      </c>
      <c r="D29" s="10">
        <f t="shared" si="1"/>
        <v>0</v>
      </c>
      <c r="E29" s="7">
        <f>'[4]Feb Prod'!E28</f>
        <v>0</v>
      </c>
      <c r="F29" s="8">
        <f t="shared" si="2"/>
        <v>0</v>
      </c>
      <c r="G29" s="10">
        <f t="shared" si="3"/>
        <v>0</v>
      </c>
      <c r="H29" s="7">
        <f>'[4]Feb Prod'!F28</f>
        <v>0</v>
      </c>
      <c r="I29" s="8">
        <f t="shared" si="4"/>
        <v>0</v>
      </c>
      <c r="J29" s="10">
        <f t="shared" si="5"/>
        <v>0</v>
      </c>
      <c r="K29" s="7">
        <f>'[4]Feb Prod'!H269</f>
        <v>0</v>
      </c>
      <c r="L29" s="8">
        <f t="shared" si="17"/>
        <v>0</v>
      </c>
      <c r="M29" s="10">
        <f t="shared" si="7"/>
        <v>0</v>
      </c>
      <c r="N29" s="21"/>
      <c r="O29" s="7">
        <f>'[4]Feb Prod'!H28</f>
        <v>11165000</v>
      </c>
      <c r="P29" s="8">
        <f t="shared" si="8"/>
        <v>11.164999999999999</v>
      </c>
      <c r="Q29" s="10">
        <f t="shared" si="9"/>
        <v>34.276549999999993</v>
      </c>
      <c r="R29" s="7">
        <f>'[4]Feb Prod'!C28</f>
        <v>12002000</v>
      </c>
      <c r="S29" s="8">
        <f t="shared" si="10"/>
        <v>12.002000000000001</v>
      </c>
      <c r="T29" s="10">
        <f t="shared" si="11"/>
        <v>36.846139999999998</v>
      </c>
      <c r="U29" s="7">
        <f>'[4]Feb Prod'!D28</f>
        <v>0</v>
      </c>
      <c r="V29" s="8">
        <f t="shared" si="12"/>
        <v>0</v>
      </c>
      <c r="W29" s="10">
        <f t="shared" si="13"/>
        <v>0</v>
      </c>
      <c r="X29" s="7">
        <f>'[4]Feb Prod'!D269</f>
        <v>836999.99999999977</v>
      </c>
      <c r="Y29" s="8">
        <f t="shared" si="14"/>
        <v>0.83699999999999974</v>
      </c>
      <c r="Z29" s="10">
        <f t="shared" si="15"/>
        <v>2.5695899999999989</v>
      </c>
      <c r="AA29" s="15"/>
      <c r="AB29" s="7">
        <f t="shared" si="16"/>
        <v>11165000</v>
      </c>
      <c r="AC29" s="8">
        <f t="shared" si="16"/>
        <v>11.164999999999999</v>
      </c>
      <c r="AD29" s="8">
        <f t="shared" si="16"/>
        <v>34.276549999999993</v>
      </c>
    </row>
    <row r="30" spans="1:30" x14ac:dyDescent="0.2">
      <c r="A30" s="28">
        <v>39504</v>
      </c>
      <c r="B30" s="7">
        <f>'[4]Feb Prod'!I29</f>
        <v>0</v>
      </c>
      <c r="C30" s="8">
        <f t="shared" si="0"/>
        <v>0</v>
      </c>
      <c r="D30" s="10">
        <f t="shared" si="1"/>
        <v>0</v>
      </c>
      <c r="E30" s="7">
        <f>'[4]Feb Prod'!E29</f>
        <v>0</v>
      </c>
      <c r="F30" s="8">
        <f t="shared" si="2"/>
        <v>0</v>
      </c>
      <c r="G30" s="10">
        <f t="shared" si="3"/>
        <v>0</v>
      </c>
      <c r="H30" s="7">
        <f>'[4]Feb Prod'!F29</f>
        <v>0</v>
      </c>
      <c r="I30" s="8">
        <f t="shared" si="4"/>
        <v>0</v>
      </c>
      <c r="J30" s="10">
        <f t="shared" si="5"/>
        <v>0</v>
      </c>
      <c r="K30" s="7">
        <f>'[4]Feb Prod'!H270</f>
        <v>0</v>
      </c>
      <c r="L30" s="8">
        <f t="shared" si="17"/>
        <v>0</v>
      </c>
      <c r="M30" s="10">
        <f t="shared" si="7"/>
        <v>0</v>
      </c>
      <c r="N30" s="21"/>
      <c r="O30" s="7">
        <f>'[4]Feb Prod'!H29</f>
        <v>11245000</v>
      </c>
      <c r="P30" s="8">
        <f t="shared" si="8"/>
        <v>11.244999999999999</v>
      </c>
      <c r="Q30" s="10">
        <f t="shared" si="9"/>
        <v>34.522149999999996</v>
      </c>
      <c r="R30" s="7">
        <f>'[4]Feb Prod'!C29</f>
        <v>11981000</v>
      </c>
      <c r="S30" s="8">
        <f t="shared" si="10"/>
        <v>11.981</v>
      </c>
      <c r="T30" s="10">
        <f t="shared" si="11"/>
        <v>36.781669999999998</v>
      </c>
      <c r="U30" s="7">
        <f>'[4]Feb Prod'!D29</f>
        <v>0</v>
      </c>
      <c r="V30" s="8">
        <f t="shared" si="12"/>
        <v>0</v>
      </c>
      <c r="W30" s="10">
        <f t="shared" si="13"/>
        <v>0</v>
      </c>
      <c r="X30" s="7">
        <f>'[4]Feb Prod'!D270</f>
        <v>736000.0000000007</v>
      </c>
      <c r="Y30" s="8">
        <f t="shared" si="14"/>
        <v>0.73600000000000065</v>
      </c>
      <c r="Z30" s="10">
        <f t="shared" si="15"/>
        <v>2.259520000000002</v>
      </c>
      <c r="AA30" s="15"/>
      <c r="AB30" s="7">
        <f t="shared" si="16"/>
        <v>11245000</v>
      </c>
      <c r="AC30" s="8">
        <f t="shared" si="16"/>
        <v>11.244999999999999</v>
      </c>
      <c r="AD30" s="8">
        <f>D30+Q30</f>
        <v>34.522149999999996</v>
      </c>
    </row>
    <row r="31" spans="1:30" x14ac:dyDescent="0.2">
      <c r="A31" s="28">
        <v>39505</v>
      </c>
      <c r="B31" s="7">
        <f>'[4]Feb Prod'!I30</f>
        <v>0</v>
      </c>
      <c r="C31" s="8">
        <f t="shared" si="0"/>
        <v>0</v>
      </c>
      <c r="D31" s="10">
        <f t="shared" si="1"/>
        <v>0</v>
      </c>
      <c r="E31" s="7">
        <f>'[4]Feb Prod'!E30</f>
        <v>0</v>
      </c>
      <c r="F31" s="8">
        <f t="shared" si="2"/>
        <v>0</v>
      </c>
      <c r="G31" s="10">
        <f t="shared" si="3"/>
        <v>0</v>
      </c>
      <c r="H31" s="7">
        <f>'[4]Feb Prod'!F30</f>
        <v>0</v>
      </c>
      <c r="I31" s="8">
        <f t="shared" si="4"/>
        <v>0</v>
      </c>
      <c r="J31" s="10">
        <f t="shared" si="5"/>
        <v>0</v>
      </c>
      <c r="K31" s="7">
        <f>'[4]Feb Prod'!H271</f>
        <v>0</v>
      </c>
      <c r="L31" s="8">
        <f t="shared" si="17"/>
        <v>0</v>
      </c>
      <c r="M31" s="10">
        <f t="shared" si="7"/>
        <v>0</v>
      </c>
      <c r="N31" s="21"/>
      <c r="O31" s="7">
        <f>'[4]Feb Prod'!H30</f>
        <v>11641000</v>
      </c>
      <c r="P31" s="8">
        <f t="shared" si="8"/>
        <v>11.641</v>
      </c>
      <c r="Q31" s="10">
        <f t="shared" si="9"/>
        <v>35.737870000000001</v>
      </c>
      <c r="R31" s="7">
        <f>'[4]Feb Prod'!C30</f>
        <v>12571000</v>
      </c>
      <c r="S31" s="8">
        <f t="shared" si="10"/>
        <v>12.571</v>
      </c>
      <c r="T31" s="10">
        <f t="shared" si="11"/>
        <v>38.592969999999994</v>
      </c>
      <c r="U31" s="7">
        <f>'[4]Feb Prod'!D30</f>
        <v>0</v>
      </c>
      <c r="V31" s="8">
        <f t="shared" si="12"/>
        <v>0</v>
      </c>
      <c r="W31" s="10">
        <f t="shared" si="13"/>
        <v>0</v>
      </c>
      <c r="X31" s="7">
        <f>'[4]Feb Prod'!D271</f>
        <v>929999.99999999977</v>
      </c>
      <c r="Y31" s="8">
        <f t="shared" si="14"/>
        <v>0.92999999999999972</v>
      </c>
      <c r="Z31" s="10">
        <f t="shared" si="15"/>
        <v>2.8550999999999989</v>
      </c>
      <c r="AA31" s="15"/>
      <c r="AB31" s="7">
        <f t="shared" si="16"/>
        <v>11641000</v>
      </c>
      <c r="AC31" s="8">
        <f t="shared" si="16"/>
        <v>11.641</v>
      </c>
      <c r="AD31" s="8">
        <f t="shared" si="16"/>
        <v>35.737870000000001</v>
      </c>
    </row>
    <row r="32" spans="1:30" x14ac:dyDescent="0.2">
      <c r="A32" s="28">
        <v>39506</v>
      </c>
      <c r="B32" s="7">
        <f>'[4]Feb Prod'!I31</f>
        <v>0</v>
      </c>
      <c r="C32" s="8">
        <f t="shared" si="0"/>
        <v>0</v>
      </c>
      <c r="D32" s="10">
        <f t="shared" si="1"/>
        <v>0</v>
      </c>
      <c r="E32" s="7">
        <f>'[4]Feb Prod'!E31</f>
        <v>0</v>
      </c>
      <c r="F32" s="8">
        <f t="shared" si="2"/>
        <v>0</v>
      </c>
      <c r="G32" s="10">
        <f t="shared" si="3"/>
        <v>0</v>
      </c>
      <c r="H32" s="7">
        <f>'[4]Feb Prod'!F31</f>
        <v>0</v>
      </c>
      <c r="I32" s="8">
        <f t="shared" si="4"/>
        <v>0</v>
      </c>
      <c r="J32" s="10">
        <f t="shared" si="5"/>
        <v>0</v>
      </c>
      <c r="K32" s="7">
        <f>'[4]Feb Prod'!H272</f>
        <v>0</v>
      </c>
      <c r="L32" s="8">
        <f t="shared" si="17"/>
        <v>0</v>
      </c>
      <c r="M32" s="10">
        <f t="shared" si="7"/>
        <v>0</v>
      </c>
      <c r="N32" s="21"/>
      <c r="O32" s="7">
        <f>'[4]Feb Prod'!H31</f>
        <v>11614000</v>
      </c>
      <c r="P32" s="8">
        <f t="shared" si="8"/>
        <v>11.614000000000001</v>
      </c>
      <c r="Q32" s="10">
        <f t="shared" si="9"/>
        <v>35.654980000000002</v>
      </c>
      <c r="R32" s="7">
        <f>'[4]Feb Prod'!C31</f>
        <v>12471000</v>
      </c>
      <c r="S32" s="8">
        <f t="shared" si="10"/>
        <v>12.471</v>
      </c>
      <c r="T32" s="10">
        <f t="shared" si="11"/>
        <v>38.285969999999999</v>
      </c>
      <c r="U32" s="7">
        <f>'[4]Feb Prod'!D31</f>
        <v>0</v>
      </c>
      <c r="V32" s="8">
        <f t="shared" si="12"/>
        <v>0</v>
      </c>
      <c r="W32" s="10">
        <f t="shared" si="13"/>
        <v>0</v>
      </c>
      <c r="X32" s="7">
        <f>'[4]Feb Prod'!D272</f>
        <v>856999.9999999993</v>
      </c>
      <c r="Y32" s="8">
        <f t="shared" si="14"/>
        <v>0.85699999999999932</v>
      </c>
      <c r="Z32" s="10">
        <f t="shared" si="15"/>
        <v>2.6309899999999979</v>
      </c>
      <c r="AA32" s="15"/>
      <c r="AB32" s="7">
        <f t="shared" si="16"/>
        <v>11614000</v>
      </c>
      <c r="AC32" s="8">
        <f t="shared" si="16"/>
        <v>11.614000000000001</v>
      </c>
      <c r="AD32" s="8">
        <f t="shared" si="16"/>
        <v>35.654980000000002</v>
      </c>
    </row>
    <row r="33" spans="1:30" ht="13.5" thickBot="1" x14ac:dyDescent="0.25">
      <c r="A33" s="28">
        <v>39507</v>
      </c>
      <c r="B33" s="7">
        <f>'[4]Feb Prod'!I32</f>
        <v>0</v>
      </c>
      <c r="C33" s="8">
        <f t="shared" si="0"/>
        <v>0</v>
      </c>
      <c r="D33" s="10">
        <f t="shared" si="1"/>
        <v>0</v>
      </c>
      <c r="E33" s="7">
        <f>'[4]Feb Prod'!E32</f>
        <v>0</v>
      </c>
      <c r="F33" s="8">
        <f t="shared" si="2"/>
        <v>0</v>
      </c>
      <c r="G33" s="10">
        <f t="shared" si="3"/>
        <v>0</v>
      </c>
      <c r="H33" s="7">
        <f>'[4]Feb Prod'!F32</f>
        <v>0</v>
      </c>
      <c r="I33" s="8">
        <f t="shared" si="4"/>
        <v>0</v>
      </c>
      <c r="J33" s="10">
        <f t="shared" si="5"/>
        <v>0</v>
      </c>
      <c r="K33" s="7">
        <f>'[4]Feb Prod'!H273</f>
        <v>0</v>
      </c>
      <c r="L33" s="8">
        <f t="shared" si="17"/>
        <v>0</v>
      </c>
      <c r="M33" s="10">
        <f t="shared" si="7"/>
        <v>0</v>
      </c>
      <c r="N33" s="21"/>
      <c r="O33" s="7">
        <f>'[4]Feb Prod'!H32</f>
        <v>10795999.999999998</v>
      </c>
      <c r="P33" s="8">
        <f t="shared" si="8"/>
        <v>10.795999999999998</v>
      </c>
      <c r="Q33" s="10">
        <f t="shared" si="9"/>
        <v>33.143719999999988</v>
      </c>
      <c r="R33" s="7">
        <f>'[4]Feb Prod'!C32</f>
        <v>11637000</v>
      </c>
      <c r="S33" s="8">
        <f t="shared" si="10"/>
        <v>11.637</v>
      </c>
      <c r="T33" s="10">
        <f t="shared" si="11"/>
        <v>35.725589999999997</v>
      </c>
      <c r="U33" s="7">
        <f>'[4]Feb Prod'!D32</f>
        <v>0</v>
      </c>
      <c r="V33" s="8">
        <f t="shared" si="12"/>
        <v>0</v>
      </c>
      <c r="W33" s="10">
        <f t="shared" si="13"/>
        <v>0</v>
      </c>
      <c r="X33" s="7">
        <f>'[4]Feb Prod'!D273</f>
        <v>841000.00000000105</v>
      </c>
      <c r="Y33" s="8">
        <f t="shared" si="14"/>
        <v>0.84100000000000108</v>
      </c>
      <c r="Z33" s="10">
        <f t="shared" si="15"/>
        <v>2.581870000000003</v>
      </c>
      <c r="AA33" s="15"/>
      <c r="AB33" s="7">
        <f t="shared" si="16"/>
        <v>10795999.999999998</v>
      </c>
      <c r="AC33" s="8">
        <f t="shared" si="16"/>
        <v>10.795999999999998</v>
      </c>
      <c r="AD33" s="8">
        <f t="shared" si="16"/>
        <v>33.143719999999988</v>
      </c>
    </row>
    <row r="34" spans="1:30" ht="13.5" thickBot="1" x14ac:dyDescent="0.25">
      <c r="A34" s="29"/>
      <c r="B34" s="39"/>
      <c r="C34" s="40">
        <f>SUM(C5:C33)</f>
        <v>0</v>
      </c>
      <c r="D34" s="40">
        <f t="shared" ref="D34:J34" si="18">SUM(D5:D33)</f>
        <v>0</v>
      </c>
      <c r="E34" s="39"/>
      <c r="F34" s="40">
        <f t="shared" si="18"/>
        <v>60</v>
      </c>
      <c r="G34" s="40">
        <f t="shared" si="18"/>
        <v>184.19999999999996</v>
      </c>
      <c r="H34" s="39"/>
      <c r="I34" s="40">
        <f t="shared" si="18"/>
        <v>0</v>
      </c>
      <c r="J34" s="40">
        <f t="shared" si="18"/>
        <v>0</v>
      </c>
      <c r="K34" s="39"/>
      <c r="L34" s="40">
        <f>SUM(L5:L33)</f>
        <v>0</v>
      </c>
      <c r="M34" s="40">
        <f>SUM(M5:M33)</f>
        <v>0</v>
      </c>
      <c r="N34" s="14"/>
      <c r="O34" s="39"/>
      <c r="P34" s="40">
        <f>SUM(P5:P33)</f>
        <v>316.19299999999998</v>
      </c>
      <c r="Q34" s="40">
        <f>SUM(Q5:Q33)</f>
        <v>970.71251000000007</v>
      </c>
      <c r="R34" s="39"/>
      <c r="S34" s="40">
        <f>SUM(S5:S33)</f>
        <v>338.33299999999997</v>
      </c>
      <c r="T34" s="40">
        <f>SUM(T5:T33)</f>
        <v>1038.6823099999999</v>
      </c>
      <c r="U34" s="39"/>
      <c r="V34" s="40">
        <f>SUM(V5:V33)</f>
        <v>0</v>
      </c>
      <c r="W34" s="40">
        <f>SUM(W5:W33)</f>
        <v>0</v>
      </c>
      <c r="X34" s="39"/>
      <c r="Y34" s="40">
        <f>SUM(Y5:Y33)</f>
        <v>22.14</v>
      </c>
      <c r="Z34" s="40">
        <f>SUM(Z5:Z33)</f>
        <v>67.969800000000021</v>
      </c>
      <c r="AA34" s="14"/>
      <c r="AB34" s="39">
        <f t="shared" si="16"/>
        <v>0</v>
      </c>
      <c r="AC34" s="40">
        <f t="shared" si="16"/>
        <v>316.19299999999998</v>
      </c>
      <c r="AD34" s="40">
        <f t="shared" si="16"/>
        <v>970.71251000000007</v>
      </c>
    </row>
    <row r="35" spans="1:30" x14ac:dyDescent="0.2">
      <c r="A35" s="12"/>
      <c r="B35" s="13"/>
      <c r="C35" s="15"/>
      <c r="D35" s="15"/>
      <c r="E35" s="13"/>
      <c r="F35" s="15"/>
      <c r="G35" s="15"/>
      <c r="H35" s="13"/>
      <c r="I35" s="15"/>
      <c r="J35" s="15"/>
      <c r="K35" s="21"/>
      <c r="L35" s="13"/>
      <c r="M35" s="15"/>
      <c r="N35" s="15"/>
      <c r="O35" s="13"/>
      <c r="P35" s="15"/>
      <c r="Q35" s="15"/>
      <c r="R35" s="13"/>
      <c r="S35" s="15"/>
      <c r="T35" s="15"/>
      <c r="U35" s="15"/>
      <c r="V35" s="13"/>
      <c r="W35" s="16"/>
      <c r="X35" s="16"/>
    </row>
    <row r="36" spans="1:30" x14ac:dyDescent="0.2">
      <c r="B36" s="20"/>
      <c r="C36" s="18"/>
      <c r="E36" s="3"/>
      <c r="F36" s="3"/>
      <c r="G36" s="3"/>
      <c r="H36" s="3"/>
      <c r="I36" s="3"/>
      <c r="J36" s="3"/>
      <c r="K36" s="14"/>
      <c r="L36" s="14"/>
      <c r="M36" s="3"/>
      <c r="N36" s="3"/>
      <c r="O36" s="3"/>
      <c r="P36" s="3"/>
      <c r="Q36" s="3"/>
      <c r="R36" s="14"/>
      <c r="S36" s="3"/>
      <c r="T36" s="3"/>
      <c r="U36" s="14"/>
    </row>
    <row r="37" spans="1:30" x14ac:dyDescent="0.2">
      <c r="C37" s="18"/>
      <c r="E37" s="3"/>
      <c r="F37" s="3"/>
      <c r="G37" s="3"/>
      <c r="H37" s="3"/>
      <c r="I37" s="3"/>
      <c r="J37" s="3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</row>
  </sheetData>
  <mergeCells count="9">
    <mergeCell ref="AB3:AD3"/>
    <mergeCell ref="R3:T3"/>
    <mergeCell ref="U3:W3"/>
    <mergeCell ref="B3:D3"/>
    <mergeCell ref="E3:G3"/>
    <mergeCell ref="H3:J3"/>
    <mergeCell ref="O3:Q3"/>
    <mergeCell ref="X3:Z3"/>
    <mergeCell ref="K3:M3"/>
  </mergeCells>
  <phoneticPr fontId="1" type="noConversion"/>
  <pageMargins left="0.75" right="0.75" top="1" bottom="1" header="0.5" footer="0.5"/>
  <pageSetup scale="86" orientation="landscape" r:id="rId1"/>
  <headerFooter alignWithMargins="0">
    <oddFooter>&amp;R&amp;D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AF37"/>
  <sheetViews>
    <sheetView workbookViewId="0">
      <pane xSplit="1" ySplit="4" topLeftCell="B20" activePane="bottomRight" state="frozen"/>
      <selection pane="topRight" activeCell="B1" sqref="B1"/>
      <selection pane="bottomLeft" activeCell="A5" sqref="A5"/>
      <selection pane="bottomRight" activeCell="I30" sqref="I30"/>
    </sheetView>
  </sheetViews>
  <sheetFormatPr defaultRowHeight="12.75" x14ac:dyDescent="0.2"/>
  <cols>
    <col min="2" max="2" width="12.7109375" customWidth="1"/>
    <col min="5" max="5" width="11.28515625" customWidth="1"/>
    <col min="8" max="8" width="16.140625" customWidth="1"/>
    <col min="10" max="10" width="10.7109375" customWidth="1"/>
    <col min="11" max="11" width="12.5703125" customWidth="1"/>
    <col min="12" max="12" width="10.5703125" customWidth="1"/>
    <col min="15" max="15" width="10.5703125" customWidth="1"/>
    <col min="18" max="18" width="10.85546875" customWidth="1"/>
    <col min="22" max="22" width="11.85546875" customWidth="1"/>
    <col min="28" max="28" width="13.42578125" bestFit="1" customWidth="1"/>
  </cols>
  <sheetData>
    <row r="1" spans="1:32" x14ac:dyDescent="0.2">
      <c r="A1" s="25"/>
      <c r="B1" s="41"/>
      <c r="C1" s="26"/>
      <c r="D1" s="26"/>
      <c r="E1" s="26"/>
      <c r="F1" s="26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2" ht="13.5" thickBot="1" x14ac:dyDescent="0.25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2" ht="60.75" customHeight="1" thickBot="1" x14ac:dyDescent="0.25">
      <c r="A3" s="3"/>
      <c r="B3" s="51" t="s">
        <v>10</v>
      </c>
      <c r="C3" s="52"/>
      <c r="D3" s="53"/>
      <c r="E3" s="51" t="s">
        <v>11</v>
      </c>
      <c r="F3" s="52"/>
      <c r="G3" s="53"/>
      <c r="H3" s="51" t="s">
        <v>12</v>
      </c>
      <c r="I3" s="52"/>
      <c r="J3" s="53"/>
      <c r="K3" s="51" t="s">
        <v>13</v>
      </c>
      <c r="L3" s="52"/>
      <c r="M3" s="53"/>
      <c r="N3" s="19"/>
      <c r="O3" s="51" t="s">
        <v>4</v>
      </c>
      <c r="P3" s="52"/>
      <c r="Q3" s="53"/>
      <c r="R3" s="51" t="s">
        <v>3</v>
      </c>
      <c r="S3" s="52"/>
      <c r="T3" s="53"/>
      <c r="U3" s="51" t="s">
        <v>6</v>
      </c>
      <c r="V3" s="52"/>
      <c r="W3" s="53"/>
      <c r="X3" s="51" t="s">
        <v>7</v>
      </c>
      <c r="Y3" s="52"/>
      <c r="Z3" s="53"/>
      <c r="AA3" s="19"/>
      <c r="AB3" s="48" t="s">
        <v>8</v>
      </c>
      <c r="AC3" s="49"/>
      <c r="AD3" s="50"/>
      <c r="AF3" s="35" t="s">
        <v>9</v>
      </c>
    </row>
    <row r="4" spans="1:32" x14ac:dyDescent="0.2">
      <c r="A4" s="27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2" t="s">
        <v>0</v>
      </c>
      <c r="AC4" s="33" t="s">
        <v>1</v>
      </c>
      <c r="AD4" s="34" t="s">
        <v>2</v>
      </c>
      <c r="AF4" s="5" t="s">
        <v>2</v>
      </c>
    </row>
    <row r="5" spans="1:32" x14ac:dyDescent="0.2">
      <c r="A5" s="28">
        <v>38412</v>
      </c>
      <c r="B5" s="7">
        <f>'[5]Mar Prod'!I4</f>
        <v>0</v>
      </c>
      <c r="C5" s="8">
        <f>B5/1000000</f>
        <v>0</v>
      </c>
      <c r="D5" s="10">
        <f t="shared" ref="D5:D35" si="0">C5*3.07</f>
        <v>0</v>
      </c>
      <c r="E5" s="7">
        <f>'[5]Mar Prod'!E4</f>
        <v>0</v>
      </c>
      <c r="F5" s="8">
        <f>E5/1000000</f>
        <v>0</v>
      </c>
      <c r="G5" s="10">
        <f>F5*3.07</f>
        <v>0</v>
      </c>
      <c r="H5" s="7">
        <f>'[5]Mar Prod'!F4</f>
        <v>0</v>
      </c>
      <c r="I5" s="8">
        <f>H5/1000000</f>
        <v>0</v>
      </c>
      <c r="J5" s="10">
        <f>I5*3.07</f>
        <v>0</v>
      </c>
      <c r="K5" s="7">
        <f>'[5]Mar Prod'!H259</f>
        <v>0</v>
      </c>
      <c r="L5" s="8">
        <f>K5/1000000</f>
        <v>0</v>
      </c>
      <c r="M5" s="10">
        <f>L5*3.07</f>
        <v>0</v>
      </c>
      <c r="N5" s="21"/>
      <c r="O5" s="7">
        <f>'[5]Mar Prod'!H4</f>
        <v>10144000.000000002</v>
      </c>
      <c r="P5" s="8">
        <f>O5/1000000</f>
        <v>10.144000000000002</v>
      </c>
      <c r="Q5" s="10">
        <f>P5*3.07</f>
        <v>31.142080000000004</v>
      </c>
      <c r="R5" s="7">
        <f>'[5]Mar Prod'!C4</f>
        <v>10936000</v>
      </c>
      <c r="S5" s="8">
        <f>R5/1000000</f>
        <v>10.936</v>
      </c>
      <c r="T5" s="10">
        <f>S5*3.07</f>
        <v>33.573519999999995</v>
      </c>
      <c r="U5" s="7">
        <f>'[5]Mar Prod'!D4</f>
        <v>0</v>
      </c>
      <c r="V5" s="8">
        <f>U5/1000000</f>
        <v>0</v>
      </c>
      <c r="W5" s="10">
        <f>V5*3.07</f>
        <v>0</v>
      </c>
      <c r="X5" s="7">
        <f>'[5]Mar Prod'!D259</f>
        <v>791999.99999999802</v>
      </c>
      <c r="Y5" s="8">
        <f>X5/1000000</f>
        <v>0.79199999999999804</v>
      </c>
      <c r="Z5" s="10">
        <f>Y5*3.07</f>
        <v>2.4314399999999941</v>
      </c>
      <c r="AA5" s="15"/>
      <c r="AB5" s="7">
        <f>B5+O5</f>
        <v>10144000.000000002</v>
      </c>
      <c r="AC5" s="8">
        <f>C5+P5</f>
        <v>10.144000000000002</v>
      </c>
      <c r="AD5" s="8">
        <f>D5+Q5</f>
        <v>31.142080000000004</v>
      </c>
      <c r="AF5" s="8">
        <f>T5-Q5-Z5</f>
        <v>0</v>
      </c>
    </row>
    <row r="6" spans="1:32" x14ac:dyDescent="0.2">
      <c r="A6" s="28">
        <v>38413</v>
      </c>
      <c r="B6" s="7">
        <f>'[5]Mar Prod'!I5</f>
        <v>0</v>
      </c>
      <c r="C6" s="8">
        <f t="shared" ref="C6:C35" si="1">B6/1000000</f>
        <v>0</v>
      </c>
      <c r="D6" s="10">
        <f t="shared" si="0"/>
        <v>0</v>
      </c>
      <c r="E6" s="7">
        <f>'[5]Mar Prod'!E5</f>
        <v>0</v>
      </c>
      <c r="F6" s="8">
        <f t="shared" ref="F6:F35" si="2">E6/1000000</f>
        <v>0</v>
      </c>
      <c r="G6" s="10">
        <f t="shared" ref="G6:G35" si="3">F6*3.07</f>
        <v>0</v>
      </c>
      <c r="H6" s="7">
        <f>'[5]Mar Prod'!F5</f>
        <v>0</v>
      </c>
      <c r="I6" s="8">
        <f t="shared" ref="I6:I30" si="4">H6/1000000</f>
        <v>0</v>
      </c>
      <c r="J6" s="10">
        <f t="shared" ref="J6:J35" si="5">I6*3.07</f>
        <v>0</v>
      </c>
      <c r="K6" s="7">
        <f>'[5]Mar Prod'!H260</f>
        <v>0</v>
      </c>
      <c r="L6" s="8">
        <f t="shared" ref="L6:L35" si="6">K6/1000000</f>
        <v>0</v>
      </c>
      <c r="M6" s="10">
        <f t="shared" ref="M6:M35" si="7">L6*3.07</f>
        <v>0</v>
      </c>
      <c r="N6" s="21"/>
      <c r="O6" s="7">
        <f>'[5]Mar Prod'!H5</f>
        <v>10390999.999999998</v>
      </c>
      <c r="P6" s="8">
        <f t="shared" ref="P6:P35" si="8">O6/1000000</f>
        <v>10.390999999999998</v>
      </c>
      <c r="Q6" s="10">
        <f t="shared" ref="Q6:Q35" si="9">P6*3.07</f>
        <v>31.900369999999992</v>
      </c>
      <c r="R6" s="7">
        <f>'[5]Mar Prod'!C5</f>
        <v>11122000</v>
      </c>
      <c r="S6" s="8">
        <f t="shared" ref="S6:S35" si="10">R6/1000000</f>
        <v>11.122</v>
      </c>
      <c r="T6" s="10">
        <f t="shared" ref="T6:T35" si="11">S6*3.07</f>
        <v>34.144539999999999</v>
      </c>
      <c r="U6" s="7">
        <f>'[5]Mar Prod'!D5</f>
        <v>0</v>
      </c>
      <c r="V6" s="8">
        <f t="shared" ref="V6:V35" si="12">U6/1000000</f>
        <v>0</v>
      </c>
      <c r="W6" s="10">
        <f t="shared" ref="W6:W35" si="13">V6*3.07</f>
        <v>0</v>
      </c>
      <c r="X6" s="7">
        <f>'[5]Mar Prod'!D260</f>
        <v>731000.00000000163</v>
      </c>
      <c r="Y6" s="8">
        <f t="shared" ref="Y6:Y35" si="14">X6/1000000</f>
        <v>0.73100000000000165</v>
      </c>
      <c r="Z6" s="10">
        <f t="shared" ref="Z6:Z35" si="15">Y6*3.07</f>
        <v>2.2441700000000049</v>
      </c>
      <c r="AA6" s="15"/>
      <c r="AB6" s="7">
        <f t="shared" ref="AB6:AD35" si="16">B6+O6</f>
        <v>10390999.999999998</v>
      </c>
      <c r="AC6" s="8">
        <f t="shared" si="16"/>
        <v>10.390999999999998</v>
      </c>
      <c r="AD6" s="8">
        <f t="shared" si="16"/>
        <v>31.900369999999992</v>
      </c>
      <c r="AF6" s="8">
        <f>T6-Q6-Z6</f>
        <v>0</v>
      </c>
    </row>
    <row r="7" spans="1:32" x14ac:dyDescent="0.2">
      <c r="A7" s="28">
        <v>38414</v>
      </c>
      <c r="B7" s="7">
        <f>'[5]Mar Prod'!I6</f>
        <v>0</v>
      </c>
      <c r="C7" s="8">
        <f t="shared" si="1"/>
        <v>0</v>
      </c>
      <c r="D7" s="10">
        <f t="shared" si="0"/>
        <v>0</v>
      </c>
      <c r="E7" s="7">
        <f>'[5]Mar Prod'!E6</f>
        <v>0</v>
      </c>
      <c r="F7" s="8">
        <f t="shared" si="2"/>
        <v>0</v>
      </c>
      <c r="G7" s="10">
        <f t="shared" si="3"/>
        <v>0</v>
      </c>
      <c r="H7" s="7">
        <f>'[5]Mar Prod'!F6</f>
        <v>0</v>
      </c>
      <c r="I7" s="8">
        <f t="shared" si="4"/>
        <v>0</v>
      </c>
      <c r="J7" s="10">
        <f t="shared" si="5"/>
        <v>0</v>
      </c>
      <c r="K7" s="7">
        <f>'[5]Mar Prod'!H261</f>
        <v>0</v>
      </c>
      <c r="L7" s="8">
        <f t="shared" si="6"/>
        <v>0</v>
      </c>
      <c r="M7" s="10">
        <f t="shared" si="7"/>
        <v>0</v>
      </c>
      <c r="N7" s="21"/>
      <c r="O7" s="7">
        <f>'[5]Mar Prod'!H6</f>
        <v>10216000.000000002</v>
      </c>
      <c r="P7" s="8">
        <f t="shared" si="8"/>
        <v>10.216000000000001</v>
      </c>
      <c r="Q7" s="10">
        <f t="shared" si="9"/>
        <v>31.363120000000002</v>
      </c>
      <c r="R7" s="7">
        <f>'[5]Mar Prod'!C6</f>
        <v>11058000</v>
      </c>
      <c r="S7" s="8">
        <f t="shared" si="10"/>
        <v>11.058</v>
      </c>
      <c r="T7" s="10">
        <f t="shared" si="11"/>
        <v>33.948059999999998</v>
      </c>
      <c r="U7" s="7">
        <f>'[5]Mar Prod'!D6</f>
        <v>0</v>
      </c>
      <c r="V7" s="8">
        <f t="shared" si="12"/>
        <v>0</v>
      </c>
      <c r="W7" s="10">
        <f t="shared" si="13"/>
        <v>0</v>
      </c>
      <c r="X7" s="7">
        <f>'[5]Mar Prod'!D261</f>
        <v>841999.99999999872</v>
      </c>
      <c r="Y7" s="8">
        <f t="shared" si="14"/>
        <v>0.84199999999999875</v>
      </c>
      <c r="Z7" s="10">
        <f t="shared" si="15"/>
        <v>2.584939999999996</v>
      </c>
      <c r="AA7" s="15"/>
      <c r="AB7" s="7">
        <f t="shared" si="16"/>
        <v>10216000.000000002</v>
      </c>
      <c r="AC7" s="8">
        <f t="shared" si="16"/>
        <v>10.216000000000001</v>
      </c>
      <c r="AD7" s="8">
        <f t="shared" si="16"/>
        <v>31.363120000000002</v>
      </c>
      <c r="AF7" s="8">
        <f t="shared" ref="AF7:AF14" si="17">T7-Q7-Z7</f>
        <v>0</v>
      </c>
    </row>
    <row r="8" spans="1:32" x14ac:dyDescent="0.2">
      <c r="A8" s="28">
        <v>38415</v>
      </c>
      <c r="B8" s="7">
        <f>'[5]Mar Prod'!I7</f>
        <v>0</v>
      </c>
      <c r="C8" s="8">
        <f t="shared" si="1"/>
        <v>0</v>
      </c>
      <c r="D8" s="10">
        <f t="shared" si="0"/>
        <v>0</v>
      </c>
      <c r="E8" s="7">
        <f>'[5]Mar Prod'!E7</f>
        <v>0</v>
      </c>
      <c r="F8" s="8">
        <f t="shared" si="2"/>
        <v>0</v>
      </c>
      <c r="G8" s="10">
        <f t="shared" si="3"/>
        <v>0</v>
      </c>
      <c r="H8" s="7">
        <f>'[5]Mar Prod'!F7</f>
        <v>0</v>
      </c>
      <c r="I8" s="8">
        <f t="shared" si="4"/>
        <v>0</v>
      </c>
      <c r="J8" s="10">
        <f t="shared" si="5"/>
        <v>0</v>
      </c>
      <c r="K8" s="7">
        <f>'[5]Mar Prod'!H262</f>
        <v>0</v>
      </c>
      <c r="L8" s="8">
        <f t="shared" si="6"/>
        <v>0</v>
      </c>
      <c r="M8" s="10">
        <f t="shared" si="7"/>
        <v>0</v>
      </c>
      <c r="N8" s="21"/>
      <c r="O8" s="7">
        <f>'[5]Mar Prod'!H7</f>
        <v>11391000.000000002</v>
      </c>
      <c r="P8" s="8">
        <f t="shared" si="8"/>
        <v>11.391000000000002</v>
      </c>
      <c r="Q8" s="10">
        <f t="shared" si="9"/>
        <v>34.970370000000003</v>
      </c>
      <c r="R8" s="7">
        <f>'[5]Mar Prod'!C7</f>
        <v>12236000</v>
      </c>
      <c r="S8" s="8">
        <f t="shared" si="10"/>
        <v>12.236000000000001</v>
      </c>
      <c r="T8" s="10">
        <f t="shared" si="11"/>
        <v>37.564520000000002</v>
      </c>
      <c r="U8" s="7">
        <f>'[5]Mar Prod'!D7</f>
        <v>0</v>
      </c>
      <c r="V8" s="8">
        <f t="shared" si="12"/>
        <v>0</v>
      </c>
      <c r="W8" s="10">
        <f t="shared" si="13"/>
        <v>0</v>
      </c>
      <c r="X8" s="7">
        <f>'[5]Mar Prod'!D262</f>
        <v>844999.99999999884</v>
      </c>
      <c r="Y8" s="8">
        <f t="shared" si="14"/>
        <v>0.84499999999999886</v>
      </c>
      <c r="Z8" s="10">
        <f t="shared" si="15"/>
        <v>2.5941499999999964</v>
      </c>
      <c r="AA8" s="15"/>
      <c r="AB8" s="7">
        <f t="shared" si="16"/>
        <v>11391000.000000002</v>
      </c>
      <c r="AC8" s="8">
        <f t="shared" si="16"/>
        <v>11.391000000000002</v>
      </c>
      <c r="AD8" s="8">
        <f>D8+Q8</f>
        <v>34.970370000000003</v>
      </c>
      <c r="AF8" s="8">
        <f t="shared" si="17"/>
        <v>0</v>
      </c>
    </row>
    <row r="9" spans="1:32" x14ac:dyDescent="0.2">
      <c r="A9" s="28">
        <v>38416</v>
      </c>
      <c r="B9" s="7">
        <f>'[5]Mar Prod'!I8</f>
        <v>0</v>
      </c>
      <c r="C9" s="8">
        <f t="shared" si="1"/>
        <v>0</v>
      </c>
      <c r="D9" s="10">
        <f t="shared" si="0"/>
        <v>0</v>
      </c>
      <c r="E9" s="7">
        <f>'[5]Mar Prod'!E8</f>
        <v>1000000</v>
      </c>
      <c r="F9" s="8">
        <f t="shared" si="2"/>
        <v>1</v>
      </c>
      <c r="G9" s="10">
        <f t="shared" si="3"/>
        <v>3.07</v>
      </c>
      <c r="H9" s="7">
        <f>'[5]Mar Prod'!F8</f>
        <v>0</v>
      </c>
      <c r="I9" s="8">
        <f t="shared" si="4"/>
        <v>0</v>
      </c>
      <c r="J9" s="10">
        <f t="shared" si="5"/>
        <v>0</v>
      </c>
      <c r="K9" s="7">
        <f>'[5]Mar Prod'!H263</f>
        <v>0</v>
      </c>
      <c r="L9" s="8">
        <f t="shared" si="6"/>
        <v>0</v>
      </c>
      <c r="M9" s="10">
        <f t="shared" si="7"/>
        <v>0</v>
      </c>
      <c r="N9" s="21"/>
      <c r="O9" s="7">
        <f>'[5]Mar Prod'!H8</f>
        <v>11472000</v>
      </c>
      <c r="P9" s="8">
        <f t="shared" si="8"/>
        <v>11.472</v>
      </c>
      <c r="Q9" s="10">
        <f t="shared" si="9"/>
        <v>35.21904</v>
      </c>
      <c r="R9" s="7">
        <f>'[5]Mar Prod'!C8</f>
        <v>12408000</v>
      </c>
      <c r="S9" s="8">
        <f t="shared" si="10"/>
        <v>12.407999999999999</v>
      </c>
      <c r="T9" s="10">
        <f t="shared" si="11"/>
        <v>38.092559999999999</v>
      </c>
      <c r="U9" s="7">
        <f>'[5]Mar Prod'!D8</f>
        <v>0</v>
      </c>
      <c r="V9" s="8">
        <f t="shared" si="12"/>
        <v>0</v>
      </c>
      <c r="W9" s="10">
        <f t="shared" si="13"/>
        <v>0</v>
      </c>
      <c r="X9" s="7">
        <f>'[5]Mar Prod'!D263</f>
        <v>936000</v>
      </c>
      <c r="Y9" s="8">
        <f t="shared" si="14"/>
        <v>0.93600000000000005</v>
      </c>
      <c r="Z9" s="10">
        <f t="shared" si="15"/>
        <v>2.8735200000000001</v>
      </c>
      <c r="AA9" s="15"/>
      <c r="AB9" s="7">
        <f t="shared" si="16"/>
        <v>11472000</v>
      </c>
      <c r="AC9" s="8">
        <f t="shared" si="16"/>
        <v>11.472</v>
      </c>
      <c r="AD9" s="8">
        <f t="shared" si="16"/>
        <v>35.21904</v>
      </c>
      <c r="AF9" s="8">
        <f t="shared" si="17"/>
        <v>0</v>
      </c>
    </row>
    <row r="10" spans="1:32" x14ac:dyDescent="0.2">
      <c r="A10" s="28">
        <v>38417</v>
      </c>
      <c r="B10" s="7">
        <f>'[5]Mar Prod'!I9</f>
        <v>0</v>
      </c>
      <c r="C10" s="8">
        <f t="shared" si="1"/>
        <v>0</v>
      </c>
      <c r="D10" s="10">
        <f t="shared" si="0"/>
        <v>0</v>
      </c>
      <c r="E10" s="7">
        <f>'[5]Mar Prod'!E9</f>
        <v>0</v>
      </c>
      <c r="F10" s="8">
        <f t="shared" si="2"/>
        <v>0</v>
      </c>
      <c r="G10" s="10">
        <f t="shared" si="3"/>
        <v>0</v>
      </c>
      <c r="H10" s="7">
        <f>'[5]Mar Prod'!F9</f>
        <v>0</v>
      </c>
      <c r="I10" s="8">
        <f t="shared" si="4"/>
        <v>0</v>
      </c>
      <c r="J10" s="10">
        <f t="shared" si="5"/>
        <v>0</v>
      </c>
      <c r="K10" s="7">
        <f>'[5]Mar Prod'!H264</f>
        <v>0</v>
      </c>
      <c r="L10" s="8">
        <f t="shared" si="6"/>
        <v>0</v>
      </c>
      <c r="M10" s="10">
        <f t="shared" si="7"/>
        <v>0</v>
      </c>
      <c r="N10" s="21"/>
      <c r="O10" s="7">
        <f>'[5]Mar Prod'!H9</f>
        <v>11677000</v>
      </c>
      <c r="P10" s="8">
        <f t="shared" si="8"/>
        <v>11.677</v>
      </c>
      <c r="Q10" s="10">
        <f t="shared" si="9"/>
        <v>35.848389999999995</v>
      </c>
      <c r="R10" s="7">
        <f>'[5]Mar Prod'!C9</f>
        <v>12358000</v>
      </c>
      <c r="S10" s="8">
        <f t="shared" si="10"/>
        <v>12.358000000000001</v>
      </c>
      <c r="T10" s="10">
        <f t="shared" si="11"/>
        <v>37.939059999999998</v>
      </c>
      <c r="U10" s="7">
        <f>'[5]Mar Prod'!D9</f>
        <v>0</v>
      </c>
      <c r="V10" s="8">
        <f t="shared" si="12"/>
        <v>0</v>
      </c>
      <c r="W10" s="10">
        <f t="shared" si="13"/>
        <v>0</v>
      </c>
      <c r="X10" s="7">
        <f>'[5]Mar Prod'!D264</f>
        <v>681000.00000000093</v>
      </c>
      <c r="Y10" s="8">
        <f t="shared" si="14"/>
        <v>0.68100000000000094</v>
      </c>
      <c r="Z10" s="10">
        <f t="shared" si="15"/>
        <v>2.0906700000000029</v>
      </c>
      <c r="AA10" s="15"/>
      <c r="AB10" s="7">
        <f t="shared" si="16"/>
        <v>11677000</v>
      </c>
      <c r="AC10" s="8">
        <f t="shared" si="16"/>
        <v>11.677</v>
      </c>
      <c r="AD10" s="8">
        <f t="shared" si="16"/>
        <v>35.848389999999995</v>
      </c>
      <c r="AF10" s="8">
        <f t="shared" si="17"/>
        <v>0</v>
      </c>
    </row>
    <row r="11" spans="1:32" x14ac:dyDescent="0.2">
      <c r="A11" s="28">
        <v>38418</v>
      </c>
      <c r="B11" s="7">
        <f>'[5]Mar Prod'!I10</f>
        <v>0</v>
      </c>
      <c r="C11" s="8">
        <f t="shared" si="1"/>
        <v>0</v>
      </c>
      <c r="D11" s="10">
        <f t="shared" si="0"/>
        <v>0</v>
      </c>
      <c r="E11" s="7">
        <f>'[5]Mar Prod'!E10</f>
        <v>1000000</v>
      </c>
      <c r="F11" s="8">
        <f t="shared" si="2"/>
        <v>1</v>
      </c>
      <c r="G11" s="10">
        <f t="shared" si="3"/>
        <v>3.07</v>
      </c>
      <c r="H11" s="7">
        <f>'[5]Mar Prod'!F10</f>
        <v>0</v>
      </c>
      <c r="I11" s="8">
        <f t="shared" si="4"/>
        <v>0</v>
      </c>
      <c r="J11" s="10">
        <f t="shared" si="5"/>
        <v>0</v>
      </c>
      <c r="K11" s="7">
        <f>'[5]Mar Prod'!H265</f>
        <v>0</v>
      </c>
      <c r="L11" s="8">
        <f t="shared" si="6"/>
        <v>0</v>
      </c>
      <c r="M11" s="10">
        <f t="shared" si="7"/>
        <v>0</v>
      </c>
      <c r="N11" s="21"/>
      <c r="O11" s="7">
        <f>'[5]Mar Prod'!H10</f>
        <v>10659999.999999996</v>
      </c>
      <c r="P11" s="8">
        <f t="shared" si="8"/>
        <v>10.659999999999997</v>
      </c>
      <c r="Q11" s="10">
        <f t="shared" si="9"/>
        <v>32.726199999999984</v>
      </c>
      <c r="R11" s="7">
        <f>'[5]Mar Prod'!C10</f>
        <v>11131000</v>
      </c>
      <c r="S11" s="8">
        <f t="shared" si="10"/>
        <v>11.131</v>
      </c>
      <c r="T11" s="10">
        <f t="shared" si="11"/>
        <v>34.172170000000001</v>
      </c>
      <c r="U11" s="7">
        <f>'[5]Mar Prod'!D10</f>
        <v>0</v>
      </c>
      <c r="V11" s="8">
        <f t="shared" si="12"/>
        <v>0</v>
      </c>
      <c r="W11" s="10">
        <f t="shared" si="13"/>
        <v>0</v>
      </c>
      <c r="X11" s="7">
        <f>'[5]Mar Prod'!D265</f>
        <v>471000.00000000361</v>
      </c>
      <c r="Y11" s="8">
        <f t="shared" si="14"/>
        <v>0.47100000000000358</v>
      </c>
      <c r="Z11" s="10">
        <f t="shared" si="15"/>
        <v>1.4459700000000109</v>
      </c>
      <c r="AA11" s="15"/>
      <c r="AB11" s="7">
        <f t="shared" si="16"/>
        <v>10659999.999999996</v>
      </c>
      <c r="AC11" s="8">
        <f t="shared" si="16"/>
        <v>10.659999999999997</v>
      </c>
      <c r="AD11" s="8">
        <f t="shared" si="16"/>
        <v>32.726199999999984</v>
      </c>
      <c r="AF11" s="8">
        <f t="shared" si="17"/>
        <v>5.9952043329758453E-15</v>
      </c>
    </row>
    <row r="12" spans="1:32" x14ac:dyDescent="0.2">
      <c r="A12" s="28">
        <v>38419</v>
      </c>
      <c r="B12" s="7">
        <f>'[5]Mar Prod'!I11</f>
        <v>0</v>
      </c>
      <c r="C12" s="8">
        <f t="shared" si="1"/>
        <v>0</v>
      </c>
      <c r="D12" s="10">
        <f t="shared" si="0"/>
        <v>0</v>
      </c>
      <c r="E12" s="7">
        <f>'[5]Mar Prod'!E11</f>
        <v>4000000</v>
      </c>
      <c r="F12" s="8">
        <f t="shared" si="2"/>
        <v>4</v>
      </c>
      <c r="G12" s="10">
        <f t="shared" si="3"/>
        <v>12.28</v>
      </c>
      <c r="H12" s="7">
        <f>'[5]Mar Prod'!F11</f>
        <v>0</v>
      </c>
      <c r="I12" s="8">
        <f t="shared" si="4"/>
        <v>0</v>
      </c>
      <c r="J12" s="10">
        <f t="shared" si="5"/>
        <v>0</v>
      </c>
      <c r="K12" s="7">
        <f>'[5]Mar Prod'!H266</f>
        <v>0</v>
      </c>
      <c r="L12" s="8">
        <f t="shared" si="6"/>
        <v>0</v>
      </c>
      <c r="M12" s="10">
        <f t="shared" si="7"/>
        <v>0</v>
      </c>
      <c r="N12" s="21"/>
      <c r="O12" s="7">
        <f>'[5]Mar Prod'!H11</f>
        <v>10534000.000000006</v>
      </c>
      <c r="P12" s="8">
        <f t="shared" si="8"/>
        <v>10.534000000000006</v>
      </c>
      <c r="Q12" s="10">
        <f t="shared" si="9"/>
        <v>32.33938000000002</v>
      </c>
      <c r="R12" s="7">
        <f>'[5]Mar Prod'!C11</f>
        <v>10992000</v>
      </c>
      <c r="S12" s="8">
        <f t="shared" si="10"/>
        <v>10.992000000000001</v>
      </c>
      <c r="T12" s="10">
        <f t="shared" si="11"/>
        <v>33.745440000000002</v>
      </c>
      <c r="U12" s="7">
        <f>'[5]Mar Prod'!D11</f>
        <v>11000</v>
      </c>
      <c r="V12" s="8">
        <f t="shared" si="12"/>
        <v>1.0999999999999999E-2</v>
      </c>
      <c r="W12" s="10">
        <f t="shared" si="13"/>
        <v>3.3769999999999994E-2</v>
      </c>
      <c r="X12" s="7">
        <f>'[5]Mar Prod'!D266</f>
        <v>468999.99999999406</v>
      </c>
      <c r="Y12" s="8">
        <f t="shared" si="14"/>
        <v>0.46899999999999409</v>
      </c>
      <c r="Z12" s="10">
        <f t="shared" si="15"/>
        <v>1.4398299999999817</v>
      </c>
      <c r="AA12" s="15"/>
      <c r="AB12" s="7">
        <f t="shared" si="16"/>
        <v>10534000.000000006</v>
      </c>
      <c r="AC12" s="8">
        <f t="shared" si="16"/>
        <v>10.534000000000006</v>
      </c>
      <c r="AD12" s="8">
        <f t="shared" si="16"/>
        <v>32.33938000000002</v>
      </c>
      <c r="AF12" s="8">
        <f t="shared" si="17"/>
        <v>-3.3769999999999412E-2</v>
      </c>
    </row>
    <row r="13" spans="1:32" x14ac:dyDescent="0.2">
      <c r="A13" s="28">
        <v>38420</v>
      </c>
      <c r="B13" s="7">
        <f>'[5]Mar Prod'!I12</f>
        <v>0</v>
      </c>
      <c r="C13" s="8">
        <f t="shared" si="1"/>
        <v>0</v>
      </c>
      <c r="D13" s="10">
        <f t="shared" si="0"/>
        <v>0</v>
      </c>
      <c r="E13" s="7">
        <f>'[5]Mar Prod'!E12</f>
        <v>2000000</v>
      </c>
      <c r="F13" s="8">
        <f t="shared" si="2"/>
        <v>2</v>
      </c>
      <c r="G13" s="10">
        <f t="shared" si="3"/>
        <v>6.14</v>
      </c>
      <c r="H13" s="7">
        <f>'[5]Mar Prod'!F12</f>
        <v>0</v>
      </c>
      <c r="I13" s="8">
        <f t="shared" si="4"/>
        <v>0</v>
      </c>
      <c r="J13" s="10">
        <f t="shared" si="5"/>
        <v>0</v>
      </c>
      <c r="K13" s="7">
        <f>'[5]Mar Prod'!H267</f>
        <v>0</v>
      </c>
      <c r="L13" s="8">
        <f t="shared" si="6"/>
        <v>0</v>
      </c>
      <c r="M13" s="10">
        <f t="shared" si="7"/>
        <v>0</v>
      </c>
      <c r="N13" s="21"/>
      <c r="O13" s="7">
        <f>'[5]Mar Prod'!H12</f>
        <v>12202999.999999998</v>
      </c>
      <c r="P13" s="8">
        <f t="shared" si="8"/>
        <v>12.202999999999998</v>
      </c>
      <c r="Q13" s="10">
        <f t="shared" si="9"/>
        <v>37.463209999999989</v>
      </c>
      <c r="R13" s="7">
        <f>'[5]Mar Prod'!C12</f>
        <v>12675000</v>
      </c>
      <c r="S13" s="8">
        <f t="shared" si="10"/>
        <v>12.675000000000001</v>
      </c>
      <c r="T13" s="10">
        <f t="shared" si="11"/>
        <v>38.91225</v>
      </c>
      <c r="U13" s="7">
        <f>'[5]Mar Prod'!D12</f>
        <v>0</v>
      </c>
      <c r="V13" s="8">
        <f t="shared" si="12"/>
        <v>0</v>
      </c>
      <c r="W13" s="10">
        <f t="shared" si="13"/>
        <v>0</v>
      </c>
      <c r="X13" s="7">
        <f>'[5]Mar Prod'!D267</f>
        <v>472000.00000000128</v>
      </c>
      <c r="Y13" s="8">
        <f t="shared" si="14"/>
        <v>0.47200000000000131</v>
      </c>
      <c r="Z13" s="10">
        <f t="shared" si="15"/>
        <v>1.4490400000000039</v>
      </c>
      <c r="AA13" s="15"/>
      <c r="AB13" s="7">
        <f t="shared" si="16"/>
        <v>12202999.999999998</v>
      </c>
      <c r="AC13" s="8">
        <f t="shared" si="16"/>
        <v>12.202999999999998</v>
      </c>
      <c r="AD13" s="8">
        <f>D13+Q13</f>
        <v>37.463209999999989</v>
      </c>
      <c r="AF13" s="8">
        <f t="shared" si="17"/>
        <v>6.8833827526759706E-15</v>
      </c>
    </row>
    <row r="14" spans="1:32" x14ac:dyDescent="0.2">
      <c r="A14" s="28">
        <v>38421</v>
      </c>
      <c r="B14" s="7">
        <f>'[5]Mar Prod'!I13</f>
        <v>0</v>
      </c>
      <c r="C14" s="8">
        <f t="shared" si="1"/>
        <v>0</v>
      </c>
      <c r="D14" s="10">
        <f t="shared" si="0"/>
        <v>0</v>
      </c>
      <c r="E14" s="7">
        <f>'[5]Mar Prod'!E13</f>
        <v>0</v>
      </c>
      <c r="F14" s="8">
        <f t="shared" si="2"/>
        <v>0</v>
      </c>
      <c r="G14" s="10">
        <f t="shared" si="3"/>
        <v>0</v>
      </c>
      <c r="H14" s="7">
        <f>'[5]Mar Prod'!F13</f>
        <v>0</v>
      </c>
      <c r="I14" s="8">
        <f t="shared" si="4"/>
        <v>0</v>
      </c>
      <c r="J14" s="10">
        <f t="shared" si="5"/>
        <v>0</v>
      </c>
      <c r="K14" s="7">
        <f>'[5]Mar Prod'!H268</f>
        <v>0</v>
      </c>
      <c r="L14" s="8">
        <f t="shared" si="6"/>
        <v>0</v>
      </c>
      <c r="M14" s="10">
        <f t="shared" si="7"/>
        <v>0</v>
      </c>
      <c r="N14" s="21"/>
      <c r="O14" s="7">
        <f>'[5]Mar Prod'!H13</f>
        <v>12260999.999999998</v>
      </c>
      <c r="P14" s="8">
        <f t="shared" si="8"/>
        <v>12.260999999999997</v>
      </c>
      <c r="Q14" s="10">
        <f t="shared" si="9"/>
        <v>37.641269999999992</v>
      </c>
      <c r="R14" s="7">
        <f>'[5]Mar Prod'!C13</f>
        <v>12663000</v>
      </c>
      <c r="S14" s="8">
        <f t="shared" si="10"/>
        <v>12.663</v>
      </c>
      <c r="T14" s="10">
        <f t="shared" si="11"/>
        <v>38.875410000000002</v>
      </c>
      <c r="U14" s="7">
        <f>'[5]Mar Prod'!D13</f>
        <v>0</v>
      </c>
      <c r="V14" s="8">
        <f t="shared" si="12"/>
        <v>0</v>
      </c>
      <c r="W14" s="10">
        <f t="shared" si="13"/>
        <v>0</v>
      </c>
      <c r="X14" s="7">
        <f>'[5]Mar Prod'!D268</f>
        <v>402000.00000000105</v>
      </c>
      <c r="Y14" s="8">
        <f t="shared" si="14"/>
        <v>0.40200000000000102</v>
      </c>
      <c r="Z14" s="10">
        <f t="shared" si="15"/>
        <v>1.2341400000000031</v>
      </c>
      <c r="AA14" s="15"/>
      <c r="AB14" s="7">
        <f t="shared" si="16"/>
        <v>12260999.999999998</v>
      </c>
      <c r="AC14" s="8">
        <f t="shared" si="16"/>
        <v>12.260999999999997</v>
      </c>
      <c r="AD14" s="8">
        <f t="shared" si="16"/>
        <v>37.641269999999992</v>
      </c>
      <c r="AF14" s="8">
        <f t="shared" si="17"/>
        <v>7.5495165674510645E-15</v>
      </c>
    </row>
    <row r="15" spans="1:32" x14ac:dyDescent="0.2">
      <c r="A15" s="28">
        <v>38422</v>
      </c>
      <c r="B15" s="7">
        <f>'[5]Mar Prod'!I14</f>
        <v>0</v>
      </c>
      <c r="C15" s="8">
        <f t="shared" si="1"/>
        <v>0</v>
      </c>
      <c r="D15" s="10">
        <f t="shared" si="0"/>
        <v>0</v>
      </c>
      <c r="E15" s="7">
        <f>'[5]Mar Prod'!E14</f>
        <v>0</v>
      </c>
      <c r="F15" s="8">
        <f t="shared" si="2"/>
        <v>0</v>
      </c>
      <c r="G15" s="10">
        <f t="shared" si="3"/>
        <v>0</v>
      </c>
      <c r="H15" s="7">
        <f>'[5]Mar Prod'!F14</f>
        <v>0</v>
      </c>
      <c r="I15" s="8">
        <f t="shared" si="4"/>
        <v>0</v>
      </c>
      <c r="J15" s="10">
        <f t="shared" si="5"/>
        <v>0</v>
      </c>
      <c r="K15" s="7">
        <f>'[5]Mar Prod'!H269</f>
        <v>0</v>
      </c>
      <c r="L15" s="8">
        <f t="shared" si="6"/>
        <v>0</v>
      </c>
      <c r="M15" s="10">
        <f t="shared" si="7"/>
        <v>0</v>
      </c>
      <c r="N15" s="21"/>
      <c r="O15" s="7">
        <f>'[5]Mar Prod'!H14</f>
        <v>11014000</v>
      </c>
      <c r="P15" s="8">
        <f t="shared" si="8"/>
        <v>11.013999999999999</v>
      </c>
      <c r="Q15" s="10">
        <f t="shared" si="9"/>
        <v>33.812979999999996</v>
      </c>
      <c r="R15" s="7">
        <f>'[5]Mar Prod'!C14</f>
        <v>11505000</v>
      </c>
      <c r="S15" s="8">
        <f t="shared" si="10"/>
        <v>11.505000000000001</v>
      </c>
      <c r="T15" s="10">
        <f t="shared" si="11"/>
        <v>35.320349999999998</v>
      </c>
      <c r="U15" s="7">
        <f>'[5]Mar Prod'!D14</f>
        <v>0</v>
      </c>
      <c r="V15" s="8">
        <f t="shared" si="12"/>
        <v>0</v>
      </c>
      <c r="W15" s="10">
        <f t="shared" si="13"/>
        <v>0</v>
      </c>
      <c r="X15" s="7">
        <f>'[5]Mar Prod'!D269</f>
        <v>490999.99999999965</v>
      </c>
      <c r="Y15" s="8">
        <f t="shared" si="14"/>
        <v>0.49099999999999966</v>
      </c>
      <c r="Z15" s="10">
        <f t="shared" si="15"/>
        <v>1.5073699999999988</v>
      </c>
      <c r="AA15" s="15"/>
      <c r="AB15" s="7">
        <f t="shared" si="16"/>
        <v>11014000</v>
      </c>
      <c r="AC15" s="8">
        <f t="shared" si="16"/>
        <v>11.013999999999999</v>
      </c>
      <c r="AD15" s="8">
        <f t="shared" si="16"/>
        <v>33.812979999999996</v>
      </c>
      <c r="AF15" s="8">
        <f>T15-Q15-Z15</f>
        <v>2.886579864025407E-15</v>
      </c>
    </row>
    <row r="16" spans="1:32" x14ac:dyDescent="0.2">
      <c r="A16" s="28">
        <v>38423</v>
      </c>
      <c r="B16" s="7">
        <f>'[5]Mar Prod'!I15</f>
        <v>2899999.9999996363</v>
      </c>
      <c r="C16" s="8">
        <f t="shared" si="1"/>
        <v>2.8999999999996362</v>
      </c>
      <c r="D16" s="10">
        <f t="shared" si="0"/>
        <v>8.9029999999988831</v>
      </c>
      <c r="E16" s="7">
        <f>'[5]Mar Prod'!E15</f>
        <v>2000000</v>
      </c>
      <c r="F16" s="8">
        <f t="shared" si="2"/>
        <v>2</v>
      </c>
      <c r="G16" s="10">
        <f t="shared" si="3"/>
        <v>6.14</v>
      </c>
      <c r="H16" s="7">
        <f>'[5]Mar Prod'!F15</f>
        <v>0</v>
      </c>
      <c r="I16" s="8">
        <f t="shared" si="4"/>
        <v>0</v>
      </c>
      <c r="J16" s="10">
        <f t="shared" si="5"/>
        <v>0</v>
      </c>
      <c r="K16" s="7">
        <f>'[5]Mar Prod'!H270</f>
        <v>0</v>
      </c>
      <c r="L16" s="8">
        <f t="shared" si="6"/>
        <v>0</v>
      </c>
      <c r="M16" s="10">
        <f t="shared" si="7"/>
        <v>0</v>
      </c>
      <c r="N16" s="21"/>
      <c r="O16" s="7">
        <f>'[5]Mar Prod'!H15</f>
        <v>10095999.999999996</v>
      </c>
      <c r="P16" s="8">
        <f t="shared" si="8"/>
        <v>10.095999999999997</v>
      </c>
      <c r="Q16" s="10">
        <f t="shared" si="9"/>
        <v>30.994719999999987</v>
      </c>
      <c r="R16" s="7">
        <f>'[5]Mar Prod'!C15</f>
        <v>10512000</v>
      </c>
      <c r="S16" s="8">
        <f t="shared" si="10"/>
        <v>10.512</v>
      </c>
      <c r="T16" s="10">
        <f t="shared" si="11"/>
        <v>32.271839999999997</v>
      </c>
      <c r="U16" s="7">
        <f>'[5]Mar Prod'!D15</f>
        <v>0</v>
      </c>
      <c r="V16" s="8">
        <f t="shared" si="12"/>
        <v>0</v>
      </c>
      <c r="W16" s="10">
        <f t="shared" si="13"/>
        <v>0</v>
      </c>
      <c r="X16" s="7">
        <f>'[5]Mar Prod'!D270</f>
        <v>416000.0000000039</v>
      </c>
      <c r="Y16" s="8">
        <f t="shared" si="14"/>
        <v>0.41600000000000392</v>
      </c>
      <c r="Z16" s="10">
        <f t="shared" si="15"/>
        <v>1.277120000000012</v>
      </c>
      <c r="AA16" s="15"/>
      <c r="AB16" s="7">
        <f t="shared" si="16"/>
        <v>12995999.999999633</v>
      </c>
      <c r="AC16" s="8">
        <f t="shared" si="16"/>
        <v>12.995999999999633</v>
      </c>
      <c r="AD16" s="8">
        <f t="shared" si="16"/>
        <v>39.89771999999887</v>
      </c>
      <c r="AF16" s="8">
        <f>T16-Q16-Z16</f>
        <v>0</v>
      </c>
    </row>
    <row r="17" spans="1:32" x14ac:dyDescent="0.2">
      <c r="A17" s="28">
        <v>38424</v>
      </c>
      <c r="B17" s="7">
        <f>'[5]Mar Prod'!I16</f>
        <v>2100000.0000003637</v>
      </c>
      <c r="C17" s="8">
        <f t="shared" si="1"/>
        <v>2.1000000000003638</v>
      </c>
      <c r="D17" s="10">
        <f t="shared" si="0"/>
        <v>6.4470000000011165</v>
      </c>
      <c r="E17" s="7">
        <f>'[5]Mar Prod'!E16</f>
        <v>3000000</v>
      </c>
      <c r="F17" s="8">
        <f t="shared" si="2"/>
        <v>3</v>
      </c>
      <c r="G17" s="10">
        <f t="shared" si="3"/>
        <v>9.2099999999999991</v>
      </c>
      <c r="H17" s="7">
        <f>'[5]Mar Prod'!F16</f>
        <v>0</v>
      </c>
      <c r="I17" s="8">
        <f t="shared" si="4"/>
        <v>0</v>
      </c>
      <c r="J17" s="10">
        <f t="shared" si="5"/>
        <v>0</v>
      </c>
      <c r="K17" s="7">
        <f>'[5]Mar Prod'!H271</f>
        <v>0</v>
      </c>
      <c r="L17" s="8">
        <f t="shared" si="6"/>
        <v>0</v>
      </c>
      <c r="M17" s="10">
        <f t="shared" si="7"/>
        <v>0</v>
      </c>
      <c r="N17" s="21"/>
      <c r="O17" s="7">
        <f>'[5]Mar Prod'!H16</f>
        <v>9254000.0000000037</v>
      </c>
      <c r="P17" s="8">
        <f t="shared" si="8"/>
        <v>9.2540000000000031</v>
      </c>
      <c r="Q17" s="10">
        <f t="shared" si="9"/>
        <v>28.409780000000008</v>
      </c>
      <c r="R17" s="7">
        <f>'[5]Mar Prod'!C16</f>
        <v>9728000</v>
      </c>
      <c r="S17" s="8">
        <f t="shared" si="10"/>
        <v>9.7279999999999998</v>
      </c>
      <c r="T17" s="10">
        <f t="shared" si="11"/>
        <v>29.864959999999996</v>
      </c>
      <c r="U17" s="7">
        <f>'[5]Mar Prod'!D16</f>
        <v>0</v>
      </c>
      <c r="V17" s="8">
        <f t="shared" si="12"/>
        <v>0</v>
      </c>
      <c r="W17" s="10">
        <f t="shared" si="13"/>
        <v>0</v>
      </c>
      <c r="X17" s="7">
        <f>'[5]Mar Prod'!D271</f>
        <v>473999.99999999662</v>
      </c>
      <c r="Y17" s="8">
        <f t="shared" si="14"/>
        <v>0.47399999999999665</v>
      </c>
      <c r="Z17" s="10">
        <f t="shared" si="15"/>
        <v>1.4551799999999897</v>
      </c>
      <c r="AA17" s="15"/>
      <c r="AB17" s="7">
        <f t="shared" si="16"/>
        <v>11354000.000000367</v>
      </c>
      <c r="AC17" s="8">
        <f t="shared" si="16"/>
        <v>11.354000000000367</v>
      </c>
      <c r="AD17" s="8">
        <f t="shared" si="16"/>
        <v>34.856780000001123</v>
      </c>
      <c r="AF17" s="8">
        <f>T17-Q17-Z17</f>
        <v>-1.7763568394002505E-15</v>
      </c>
    </row>
    <row r="18" spans="1:32" x14ac:dyDescent="0.2">
      <c r="A18" s="28">
        <v>38425</v>
      </c>
      <c r="B18" s="7">
        <f>'[5]Mar Prod'!I17</f>
        <v>0</v>
      </c>
      <c r="C18" s="8">
        <f t="shared" si="1"/>
        <v>0</v>
      </c>
      <c r="D18" s="10">
        <f t="shared" si="0"/>
        <v>0</v>
      </c>
      <c r="E18" s="7">
        <f>'[5]Mar Prod'!E17</f>
        <v>0</v>
      </c>
      <c r="F18" s="8">
        <f t="shared" si="2"/>
        <v>0</v>
      </c>
      <c r="G18" s="10">
        <f t="shared" si="3"/>
        <v>0</v>
      </c>
      <c r="H18" s="7">
        <f>'[5]Mar Prod'!F17</f>
        <v>0</v>
      </c>
      <c r="I18" s="8">
        <f t="shared" si="4"/>
        <v>0</v>
      </c>
      <c r="J18" s="10">
        <f t="shared" si="5"/>
        <v>0</v>
      </c>
      <c r="K18" s="7">
        <f>'[5]Mar Prod'!H272</f>
        <v>0</v>
      </c>
      <c r="L18" s="8">
        <f t="shared" si="6"/>
        <v>0</v>
      </c>
      <c r="M18" s="10">
        <f t="shared" si="7"/>
        <v>0</v>
      </c>
      <c r="N18" s="21"/>
      <c r="O18" s="7">
        <f>'[5]Mar Prod'!H17</f>
        <v>10880999.999999998</v>
      </c>
      <c r="P18" s="8">
        <f t="shared" si="8"/>
        <v>10.880999999999998</v>
      </c>
      <c r="Q18" s="10">
        <f t="shared" si="9"/>
        <v>33.404669999999996</v>
      </c>
      <c r="R18" s="7">
        <f>'[5]Mar Prod'!C17</f>
        <v>11350000</v>
      </c>
      <c r="S18" s="8">
        <f t="shared" si="10"/>
        <v>11.35</v>
      </c>
      <c r="T18" s="10">
        <f t="shared" si="11"/>
        <v>34.844499999999996</v>
      </c>
      <c r="U18" s="7">
        <f>'[5]Mar Prod'!D17</f>
        <v>0</v>
      </c>
      <c r="V18" s="8">
        <f t="shared" si="12"/>
        <v>0</v>
      </c>
      <c r="W18" s="10">
        <f t="shared" si="13"/>
        <v>0</v>
      </c>
      <c r="X18" s="7">
        <f>'[5]Mar Prod'!D272</f>
        <v>469000.00000000122</v>
      </c>
      <c r="Y18" s="8">
        <f t="shared" si="14"/>
        <v>0.46900000000000125</v>
      </c>
      <c r="Z18" s="10">
        <f t="shared" si="15"/>
        <v>1.4398300000000037</v>
      </c>
      <c r="AA18" s="15"/>
      <c r="AB18" s="7">
        <f t="shared" si="16"/>
        <v>10880999.999999998</v>
      </c>
      <c r="AC18" s="8">
        <f t="shared" si="16"/>
        <v>10.880999999999998</v>
      </c>
      <c r="AD18" s="8">
        <f t="shared" si="16"/>
        <v>33.404669999999996</v>
      </c>
      <c r="AF18" s="8">
        <f>T18-Q18-Z18</f>
        <v>-3.1086244689504383E-15</v>
      </c>
    </row>
    <row r="19" spans="1:32" x14ac:dyDescent="0.2">
      <c r="A19" s="28">
        <v>38426</v>
      </c>
      <c r="B19" s="7">
        <f>'[5]Mar Prod'!I18</f>
        <v>3600000.0000003637</v>
      </c>
      <c r="C19" s="8">
        <f t="shared" si="1"/>
        <v>3.6000000000003638</v>
      </c>
      <c r="D19" s="10">
        <f t="shared" si="0"/>
        <v>11.052000000001117</v>
      </c>
      <c r="E19" s="7">
        <f>'[5]Mar Prod'!E18</f>
        <v>3000000</v>
      </c>
      <c r="F19" s="8">
        <f t="shared" si="2"/>
        <v>3</v>
      </c>
      <c r="G19" s="10">
        <f t="shared" si="3"/>
        <v>9.2099999999999991</v>
      </c>
      <c r="H19" s="7">
        <f>'[5]Mar Prod'!F18</f>
        <v>0</v>
      </c>
      <c r="I19" s="8">
        <f t="shared" si="4"/>
        <v>0</v>
      </c>
      <c r="J19" s="10">
        <f t="shared" si="5"/>
        <v>0</v>
      </c>
      <c r="K19" s="7">
        <f>'[5]Mar Prod'!H273</f>
        <v>249568</v>
      </c>
      <c r="L19" s="8">
        <f t="shared" si="6"/>
        <v>0.24956800000000001</v>
      </c>
      <c r="M19" s="10">
        <f t="shared" si="7"/>
        <v>0.76617376000000004</v>
      </c>
      <c r="N19" s="21"/>
      <c r="O19" s="7">
        <f>'[5]Mar Prod'!H18</f>
        <v>9188000.0000000037</v>
      </c>
      <c r="P19" s="8">
        <f t="shared" si="8"/>
        <v>9.1880000000000042</v>
      </c>
      <c r="Q19" s="10">
        <f t="shared" si="9"/>
        <v>28.207160000000012</v>
      </c>
      <c r="R19" s="7">
        <f>'[5]Mar Prod'!C18</f>
        <v>9653000</v>
      </c>
      <c r="S19" s="8">
        <f t="shared" si="10"/>
        <v>9.6530000000000005</v>
      </c>
      <c r="T19" s="10">
        <f t="shared" si="11"/>
        <v>29.634709999999998</v>
      </c>
      <c r="U19" s="7">
        <f>'[5]Mar Prod'!D18</f>
        <v>0</v>
      </c>
      <c r="V19" s="8">
        <f t="shared" si="12"/>
        <v>0</v>
      </c>
      <c r="W19" s="10">
        <f t="shared" si="13"/>
        <v>0</v>
      </c>
      <c r="X19" s="7">
        <f>'[5]Mar Prod'!D273</f>
        <v>464999.99999999633</v>
      </c>
      <c r="Y19" s="8">
        <f t="shared" si="14"/>
        <v>0.46499999999999631</v>
      </c>
      <c r="Z19" s="10">
        <f t="shared" si="15"/>
        <v>1.4275499999999886</v>
      </c>
      <c r="AA19" s="15"/>
      <c r="AB19" s="7">
        <f t="shared" si="16"/>
        <v>12788000.000000367</v>
      </c>
      <c r="AC19" s="8">
        <f t="shared" si="16"/>
        <v>12.788000000000368</v>
      </c>
      <c r="AD19" s="8">
        <f>D19+Q19</f>
        <v>39.259160000001131</v>
      </c>
      <c r="AF19" s="8">
        <f>T19-Q19-Z19</f>
        <v>-2.6645352591003757E-15</v>
      </c>
    </row>
    <row r="20" spans="1:32" x14ac:dyDescent="0.2">
      <c r="A20" s="28">
        <v>38427</v>
      </c>
      <c r="B20" s="7">
        <f>'[5]Mar Prod'!I19</f>
        <v>6199999.9999989085</v>
      </c>
      <c r="C20" s="8">
        <f t="shared" si="1"/>
        <v>6.1999999999989086</v>
      </c>
      <c r="D20" s="10">
        <f t="shared" si="0"/>
        <v>19.033999999996649</v>
      </c>
      <c r="E20" s="7">
        <f>'[5]Mar Prod'!E19</f>
        <v>2000000</v>
      </c>
      <c r="F20" s="8">
        <f t="shared" si="2"/>
        <v>2</v>
      </c>
      <c r="G20" s="10">
        <f t="shared" si="3"/>
        <v>6.14</v>
      </c>
      <c r="H20" s="7">
        <f>'[5]Mar Prod'!F19</f>
        <v>5000000</v>
      </c>
      <c r="I20" s="8">
        <f t="shared" si="4"/>
        <v>5</v>
      </c>
      <c r="J20" s="10">
        <f t="shared" si="5"/>
        <v>15.35</v>
      </c>
      <c r="K20" s="7">
        <f>'[5]Mar Prod'!H274</f>
        <v>335662</v>
      </c>
      <c r="L20" s="8">
        <f t="shared" si="6"/>
        <v>0.33566200000000002</v>
      </c>
      <c r="M20" s="10">
        <f t="shared" si="7"/>
        <v>1.0304823400000001</v>
      </c>
      <c r="N20" s="21"/>
      <c r="O20" s="7">
        <f>'[5]Mar Prod'!H19</f>
        <v>5682999.9999999953</v>
      </c>
      <c r="P20" s="8">
        <f t="shared" si="8"/>
        <v>5.6829999999999954</v>
      </c>
      <c r="Q20" s="10">
        <f t="shared" si="9"/>
        <v>17.446809999999985</v>
      </c>
      <c r="R20" s="7">
        <f>'[5]Mar Prod'!C19</f>
        <v>5989000</v>
      </c>
      <c r="S20" s="8">
        <f t="shared" si="10"/>
        <v>5.9889999999999999</v>
      </c>
      <c r="T20" s="10">
        <f t="shared" si="11"/>
        <v>18.386229999999998</v>
      </c>
      <c r="U20" s="7">
        <f>'[5]Mar Prod'!D19</f>
        <v>0</v>
      </c>
      <c r="V20" s="8">
        <f t="shared" si="12"/>
        <v>0</v>
      </c>
      <c r="W20" s="10">
        <f t="shared" si="13"/>
        <v>0</v>
      </c>
      <c r="X20" s="7">
        <f>'[5]Mar Prod'!D274</f>
        <v>306000.00000000448</v>
      </c>
      <c r="Y20" s="8">
        <f t="shared" si="14"/>
        <v>0.30600000000000449</v>
      </c>
      <c r="Z20" s="10">
        <f t="shared" si="15"/>
        <v>0.93942000000001369</v>
      </c>
      <c r="AA20" s="15"/>
      <c r="AB20" s="7">
        <f t="shared" si="16"/>
        <v>11882999.999998905</v>
      </c>
      <c r="AC20" s="8">
        <f t="shared" si="16"/>
        <v>11.882999999998905</v>
      </c>
      <c r="AD20" s="8">
        <f t="shared" si="16"/>
        <v>36.480809999996637</v>
      </c>
      <c r="AF20" s="8">
        <f t="shared" ref="AF20:AF35" si="18">T20-Q20-Z20</f>
        <v>-1.1102230246251565E-15</v>
      </c>
    </row>
    <row r="21" spans="1:32" x14ac:dyDescent="0.2">
      <c r="A21" s="28">
        <v>38428</v>
      </c>
      <c r="B21" s="7">
        <f>'[5]Mar Prod'!I20</f>
        <v>7600000.0000003641</v>
      </c>
      <c r="C21" s="8">
        <f t="shared" si="1"/>
        <v>7.6000000000003638</v>
      </c>
      <c r="D21" s="10">
        <f t="shared" si="0"/>
        <v>23.332000000001116</v>
      </c>
      <c r="E21" s="7">
        <f>'[5]Mar Prod'!E20</f>
        <v>0</v>
      </c>
      <c r="F21" s="8">
        <f t="shared" si="2"/>
        <v>0</v>
      </c>
      <c r="G21" s="10">
        <f t="shared" si="3"/>
        <v>0</v>
      </c>
      <c r="H21" s="7">
        <f>'[5]Mar Prod'!F20</f>
        <v>7000000</v>
      </c>
      <c r="I21" s="8">
        <f t="shared" si="4"/>
        <v>7</v>
      </c>
      <c r="J21" s="10">
        <f t="shared" si="5"/>
        <v>21.49</v>
      </c>
      <c r="K21" s="7">
        <f>'[5]Mar Prod'!H275</f>
        <v>449458</v>
      </c>
      <c r="L21" s="8">
        <f t="shared" si="6"/>
        <v>0.44945800000000002</v>
      </c>
      <c r="M21" s="10">
        <f t="shared" si="7"/>
        <v>1.3798360599999999</v>
      </c>
      <c r="N21" s="21"/>
      <c r="O21" s="7">
        <f>'[5]Mar Prod'!H20</f>
        <v>5626000</v>
      </c>
      <c r="P21" s="8">
        <f t="shared" si="8"/>
        <v>5.6260000000000003</v>
      </c>
      <c r="Q21" s="10">
        <f t="shared" si="9"/>
        <v>17.271820000000002</v>
      </c>
      <c r="R21" s="7">
        <f>'[5]Mar Prod'!C20</f>
        <v>5992000</v>
      </c>
      <c r="S21" s="8">
        <f t="shared" si="10"/>
        <v>5.992</v>
      </c>
      <c r="T21" s="10">
        <f t="shared" si="11"/>
        <v>18.395440000000001</v>
      </c>
      <c r="U21" s="7">
        <f>'[5]Mar Prod'!D20</f>
        <v>0</v>
      </c>
      <c r="V21" s="8">
        <f t="shared" si="12"/>
        <v>0</v>
      </c>
      <c r="W21" s="10">
        <f t="shared" si="13"/>
        <v>0</v>
      </c>
      <c r="X21" s="7">
        <f>'[5]Mar Prod'!D275</f>
        <v>365999.99999999965</v>
      </c>
      <c r="Y21" s="8">
        <f t="shared" si="14"/>
        <v>0.36599999999999966</v>
      </c>
      <c r="Z21" s="10">
        <f t="shared" si="15"/>
        <v>1.123619999999999</v>
      </c>
      <c r="AA21" s="15"/>
      <c r="AB21" s="7">
        <f t="shared" si="16"/>
        <v>13226000.000000365</v>
      </c>
      <c r="AC21" s="8">
        <f t="shared" si="16"/>
        <v>13.226000000000365</v>
      </c>
      <c r="AD21" s="8">
        <f t="shared" si="16"/>
        <v>40.603820000001122</v>
      </c>
      <c r="AF21" s="8">
        <f t="shared" si="18"/>
        <v>0</v>
      </c>
    </row>
    <row r="22" spans="1:32" x14ac:dyDescent="0.2">
      <c r="A22" s="28">
        <v>38429</v>
      </c>
      <c r="B22" s="7">
        <f>'[5]Mar Prod'!I21</f>
        <v>7300000.0000010915</v>
      </c>
      <c r="C22" s="8">
        <f t="shared" si="1"/>
        <v>7.3000000000010914</v>
      </c>
      <c r="D22" s="10">
        <f t="shared" si="0"/>
        <v>22.411000000003348</v>
      </c>
      <c r="E22" s="7">
        <f>'[5]Mar Prod'!E21</f>
        <v>0</v>
      </c>
      <c r="F22" s="8">
        <f t="shared" si="2"/>
        <v>0</v>
      </c>
      <c r="G22" s="10">
        <f t="shared" si="3"/>
        <v>0</v>
      </c>
      <c r="H22" s="7">
        <f>'[5]Mar Prod'!F21</f>
        <v>7000000</v>
      </c>
      <c r="I22" s="8">
        <f t="shared" si="4"/>
        <v>7</v>
      </c>
      <c r="J22" s="10">
        <f t="shared" si="5"/>
        <v>21.49</v>
      </c>
      <c r="K22" s="7">
        <f>'[5]Mar Prod'!H276</f>
        <v>495077</v>
      </c>
      <c r="L22" s="8">
        <f t="shared" si="6"/>
        <v>0.49507699999999999</v>
      </c>
      <c r="M22" s="10">
        <f t="shared" si="7"/>
        <v>1.5198863899999999</v>
      </c>
      <c r="N22" s="21"/>
      <c r="O22" s="7">
        <f>'[5]Mar Prod'!H21</f>
        <v>5714000.0000000019</v>
      </c>
      <c r="P22" s="8">
        <f t="shared" si="8"/>
        <v>5.7140000000000022</v>
      </c>
      <c r="Q22" s="10">
        <f t="shared" si="9"/>
        <v>17.541980000000006</v>
      </c>
      <c r="R22" s="7">
        <f>'[5]Mar Prod'!C21</f>
        <v>6047000</v>
      </c>
      <c r="S22" s="8">
        <f t="shared" si="10"/>
        <v>6.0469999999999997</v>
      </c>
      <c r="T22" s="10">
        <f t="shared" si="11"/>
        <v>18.56429</v>
      </c>
      <c r="U22" s="7">
        <f>'[5]Mar Prod'!D21</f>
        <v>0</v>
      </c>
      <c r="V22" s="8">
        <f t="shared" si="12"/>
        <v>0</v>
      </c>
      <c r="W22" s="10">
        <f t="shared" si="13"/>
        <v>0</v>
      </c>
      <c r="X22" s="7">
        <f>'[5]Mar Prod'!D276</f>
        <v>332999.99999999843</v>
      </c>
      <c r="Y22" s="8">
        <f t="shared" si="14"/>
        <v>0.33299999999999841</v>
      </c>
      <c r="Z22" s="10">
        <f t="shared" si="15"/>
        <v>1.0223099999999952</v>
      </c>
      <c r="AA22" s="15"/>
      <c r="AB22" s="7">
        <f t="shared" si="16"/>
        <v>13014000.000001093</v>
      </c>
      <c r="AC22" s="8">
        <f t="shared" si="16"/>
        <v>13.014000000001094</v>
      </c>
      <c r="AD22" s="8">
        <f t="shared" si="16"/>
        <v>39.95298000000335</v>
      </c>
      <c r="AF22" s="8">
        <f t="shared" si="18"/>
        <v>0</v>
      </c>
    </row>
    <row r="23" spans="1:32" x14ac:dyDescent="0.2">
      <c r="A23" s="28">
        <v>38430</v>
      </c>
      <c r="B23" s="7">
        <f>'[5]Mar Prod'!I22</f>
        <v>7299999.9999992726</v>
      </c>
      <c r="C23" s="8">
        <f t="shared" si="1"/>
        <v>7.2999999999992724</v>
      </c>
      <c r="D23" s="10">
        <f t="shared" si="0"/>
        <v>22.410999999997767</v>
      </c>
      <c r="E23" s="7">
        <f>'[5]Mar Prod'!E22</f>
        <v>0</v>
      </c>
      <c r="F23" s="8">
        <f t="shared" si="2"/>
        <v>0</v>
      </c>
      <c r="G23" s="10">
        <f t="shared" si="3"/>
        <v>0</v>
      </c>
      <c r="H23" s="7">
        <f>'[5]Mar Prod'!F22</f>
        <v>7000000</v>
      </c>
      <c r="I23" s="8">
        <f t="shared" si="4"/>
        <v>7</v>
      </c>
      <c r="J23" s="10">
        <f t="shared" si="5"/>
        <v>21.49</v>
      </c>
      <c r="K23" s="7">
        <f>'[5]Mar Prod'!H277</f>
        <v>448620</v>
      </c>
      <c r="L23" s="8">
        <f t="shared" si="6"/>
        <v>0.44862000000000002</v>
      </c>
      <c r="M23" s="10">
        <f t="shared" si="7"/>
        <v>1.3772633999999999</v>
      </c>
      <c r="N23" s="21"/>
      <c r="O23" s="7">
        <f>'[5]Mar Prod'!H22</f>
        <v>5190000.0000000028</v>
      </c>
      <c r="P23" s="8">
        <f t="shared" si="8"/>
        <v>5.1900000000000031</v>
      </c>
      <c r="Q23" s="10">
        <f t="shared" si="9"/>
        <v>15.933300000000008</v>
      </c>
      <c r="R23" s="7">
        <f>'[5]Mar Prod'!C22</f>
        <v>5493000</v>
      </c>
      <c r="S23" s="8">
        <f t="shared" si="10"/>
        <v>5.4930000000000003</v>
      </c>
      <c r="T23" s="10">
        <f t="shared" si="11"/>
        <v>16.863510000000002</v>
      </c>
      <c r="U23" s="7">
        <f>'[5]Mar Prod'!D22</f>
        <v>0</v>
      </c>
      <c r="V23" s="8">
        <f t="shared" si="12"/>
        <v>0</v>
      </c>
      <c r="W23" s="10">
        <f t="shared" si="13"/>
        <v>0</v>
      </c>
      <c r="X23" s="7">
        <f>'[5]Mar Prod'!D277</f>
        <v>302999.99999999726</v>
      </c>
      <c r="Y23" s="8">
        <f t="shared" si="14"/>
        <v>0.30299999999999727</v>
      </c>
      <c r="Z23" s="10">
        <f t="shared" si="15"/>
        <v>0.93020999999999154</v>
      </c>
      <c r="AA23" s="15"/>
      <c r="AB23" s="7">
        <f t="shared" si="16"/>
        <v>12489999.999999275</v>
      </c>
      <c r="AC23" s="8">
        <f t="shared" si="16"/>
        <v>12.489999999999275</v>
      </c>
      <c r="AD23" s="8">
        <f t="shared" si="16"/>
        <v>38.344299999997773</v>
      </c>
      <c r="AF23" s="8">
        <f t="shared" si="18"/>
        <v>1.9984014443252818E-15</v>
      </c>
    </row>
    <row r="24" spans="1:32" x14ac:dyDescent="0.2">
      <c r="A24" s="28">
        <v>38431</v>
      </c>
      <c r="B24" s="7">
        <f>'[5]Mar Prod'!I23</f>
        <v>7799999.9999992726</v>
      </c>
      <c r="C24" s="8">
        <f t="shared" si="1"/>
        <v>7.7999999999992724</v>
      </c>
      <c r="D24" s="10">
        <f t="shared" si="0"/>
        <v>23.945999999997763</v>
      </c>
      <c r="E24" s="7">
        <f>'[5]Mar Prod'!E23</f>
        <v>0</v>
      </c>
      <c r="F24" s="8">
        <f t="shared" si="2"/>
        <v>0</v>
      </c>
      <c r="G24" s="10">
        <f t="shared" si="3"/>
        <v>0</v>
      </c>
      <c r="H24" s="7">
        <f>'[5]Mar Prod'!F23</f>
        <v>7000000</v>
      </c>
      <c r="I24" s="8">
        <f t="shared" si="4"/>
        <v>7</v>
      </c>
      <c r="J24" s="10">
        <f t="shared" si="5"/>
        <v>21.49</v>
      </c>
      <c r="K24" s="7">
        <f>'[5]Mar Prod'!H278</f>
        <v>690080</v>
      </c>
      <c r="L24" s="8">
        <f t="shared" si="6"/>
        <v>0.69008000000000003</v>
      </c>
      <c r="M24" s="10">
        <f t="shared" si="7"/>
        <v>2.1185456</v>
      </c>
      <c r="N24" s="21"/>
      <c r="O24" s="7">
        <f>'[5]Mar Prod'!H23</f>
        <v>4718999.9999999953</v>
      </c>
      <c r="P24" s="8">
        <f t="shared" si="8"/>
        <v>4.718999999999995</v>
      </c>
      <c r="Q24" s="10">
        <f t="shared" si="9"/>
        <v>14.487329999999984</v>
      </c>
      <c r="R24" s="7">
        <f>'[5]Mar Prod'!C23</f>
        <v>5031000</v>
      </c>
      <c r="S24" s="8">
        <f t="shared" si="10"/>
        <v>5.0309999999999997</v>
      </c>
      <c r="T24" s="10">
        <f t="shared" si="11"/>
        <v>15.445169999999997</v>
      </c>
      <c r="U24" s="7">
        <f>'[5]Mar Prod'!D23</f>
        <v>0</v>
      </c>
      <c r="V24" s="8">
        <f t="shared" si="12"/>
        <v>0</v>
      </c>
      <c r="W24" s="10">
        <f t="shared" si="13"/>
        <v>0</v>
      </c>
      <c r="X24" s="7">
        <f>'[5]Mar Prod'!D278</f>
        <v>312000.00000000471</v>
      </c>
      <c r="Y24" s="8">
        <f t="shared" si="14"/>
        <v>0.31200000000000472</v>
      </c>
      <c r="Z24" s="10">
        <f t="shared" si="15"/>
        <v>0.95784000000001446</v>
      </c>
      <c r="AA24" s="15"/>
      <c r="AB24" s="7">
        <f t="shared" si="16"/>
        <v>12518999.999999268</v>
      </c>
      <c r="AC24" s="8">
        <f t="shared" si="16"/>
        <v>12.518999999999266</v>
      </c>
      <c r="AD24" s="8">
        <f>D24+Q24</f>
        <v>38.433329999997746</v>
      </c>
      <c r="AF24" s="8">
        <f t="shared" si="18"/>
        <v>-1.1102230246251565E-15</v>
      </c>
    </row>
    <row r="25" spans="1:32" x14ac:dyDescent="0.2">
      <c r="A25" s="28">
        <v>38432</v>
      </c>
      <c r="B25" s="7">
        <f>'[5]Mar Prod'!I24</f>
        <v>7100000.0000003641</v>
      </c>
      <c r="C25" s="8">
        <f t="shared" si="1"/>
        <v>7.1000000000003638</v>
      </c>
      <c r="D25" s="10">
        <f t="shared" si="0"/>
        <v>21.797000000001116</v>
      </c>
      <c r="E25" s="7">
        <f>'[5]Mar Prod'!E24</f>
        <v>0</v>
      </c>
      <c r="F25" s="8">
        <f t="shared" si="2"/>
        <v>0</v>
      </c>
      <c r="G25" s="10">
        <f t="shared" si="3"/>
        <v>0</v>
      </c>
      <c r="H25" s="7">
        <f>'[5]Mar Prod'!F24</f>
        <v>7000000</v>
      </c>
      <c r="I25" s="8">
        <f t="shared" si="4"/>
        <v>7</v>
      </c>
      <c r="J25" s="10">
        <f t="shared" si="5"/>
        <v>21.49</v>
      </c>
      <c r="K25" s="7">
        <f>'[5]Mar Prod'!H279</f>
        <v>792030</v>
      </c>
      <c r="L25" s="8">
        <f t="shared" si="6"/>
        <v>0.79203000000000001</v>
      </c>
      <c r="M25" s="10">
        <f t="shared" si="7"/>
        <v>2.4315321000000001</v>
      </c>
      <c r="N25" s="21"/>
      <c r="O25" s="7">
        <f>'[5]Mar Prod'!H24</f>
        <v>4693999.9999999981</v>
      </c>
      <c r="P25" s="8">
        <f t="shared" si="8"/>
        <v>4.6939999999999982</v>
      </c>
      <c r="Q25" s="10">
        <f t="shared" si="9"/>
        <v>14.410579999999994</v>
      </c>
      <c r="R25" s="7">
        <f>'[5]Mar Prod'!C24</f>
        <v>4989000</v>
      </c>
      <c r="S25" s="8">
        <f t="shared" si="10"/>
        <v>4.9889999999999999</v>
      </c>
      <c r="T25" s="10">
        <f t="shared" si="11"/>
        <v>15.316229999999999</v>
      </c>
      <c r="U25" s="7">
        <f>'[5]Mar Prod'!D24</f>
        <v>0</v>
      </c>
      <c r="V25" s="8">
        <f t="shared" si="12"/>
        <v>0</v>
      </c>
      <c r="W25" s="10">
        <f t="shared" si="13"/>
        <v>0</v>
      </c>
      <c r="X25" s="7">
        <f>'[5]Mar Prod'!D279</f>
        <v>295000.00000000169</v>
      </c>
      <c r="Y25" s="8">
        <f t="shared" si="14"/>
        <v>0.29500000000000171</v>
      </c>
      <c r="Z25" s="10">
        <f t="shared" si="15"/>
        <v>0.90565000000000517</v>
      </c>
      <c r="AA25" s="15"/>
      <c r="AB25" s="7">
        <f t="shared" si="16"/>
        <v>11794000.000000361</v>
      </c>
      <c r="AC25" s="8">
        <f t="shared" si="16"/>
        <v>11.794000000000363</v>
      </c>
      <c r="AD25" s="8">
        <f t="shared" si="16"/>
        <v>36.207580000001109</v>
      </c>
      <c r="AF25" s="8">
        <f t="shared" si="18"/>
        <v>0</v>
      </c>
    </row>
    <row r="26" spans="1:32" x14ac:dyDescent="0.2">
      <c r="A26" s="28">
        <v>38433</v>
      </c>
      <c r="B26" s="7">
        <f>'[5]Mar Prod'!I25</f>
        <v>7300000.0000010915</v>
      </c>
      <c r="C26" s="8">
        <f t="shared" si="1"/>
        <v>7.3000000000010914</v>
      </c>
      <c r="D26" s="10">
        <f t="shared" si="0"/>
        <v>22.411000000003348</v>
      </c>
      <c r="E26" s="7">
        <f>'[5]Mar Prod'!E25</f>
        <v>0</v>
      </c>
      <c r="F26" s="8">
        <f t="shared" si="2"/>
        <v>0</v>
      </c>
      <c r="G26" s="10">
        <f t="shared" si="3"/>
        <v>0</v>
      </c>
      <c r="H26" s="7">
        <f>'[5]Mar Prod'!F25</f>
        <v>9000000</v>
      </c>
      <c r="I26" s="8">
        <f t="shared" si="4"/>
        <v>9</v>
      </c>
      <c r="J26" s="10">
        <f t="shared" si="5"/>
        <v>27.63</v>
      </c>
      <c r="K26" s="7">
        <f>'[5]Mar Prod'!H280</f>
        <v>1151553</v>
      </c>
      <c r="L26" s="8">
        <f t="shared" si="6"/>
        <v>1.151553</v>
      </c>
      <c r="M26" s="10">
        <f t="shared" si="7"/>
        <v>3.5352677099999998</v>
      </c>
      <c r="N26" s="21"/>
      <c r="O26" s="7">
        <f>'[5]Mar Prod'!H25</f>
        <v>4701000.0000000028</v>
      </c>
      <c r="P26" s="8">
        <f t="shared" si="8"/>
        <v>4.7010000000000032</v>
      </c>
      <c r="Q26" s="10">
        <f t="shared" si="9"/>
        <v>14.432070000000008</v>
      </c>
      <c r="R26" s="7">
        <f>'[5]Mar Prod'!C25</f>
        <v>5001000</v>
      </c>
      <c r="S26" s="8">
        <f t="shared" si="10"/>
        <v>5.0010000000000003</v>
      </c>
      <c r="T26" s="10">
        <f t="shared" si="11"/>
        <v>15.353070000000001</v>
      </c>
      <c r="U26" s="7">
        <f>'[5]Mar Prod'!D25</f>
        <v>0</v>
      </c>
      <c r="V26" s="8">
        <f t="shared" si="12"/>
        <v>0</v>
      </c>
      <c r="W26" s="10">
        <f t="shared" si="13"/>
        <v>0</v>
      </c>
      <c r="X26" s="7">
        <f>'[5]Mar Prod'!D280</f>
        <v>299999.99999999715</v>
      </c>
      <c r="Y26" s="8">
        <f t="shared" si="14"/>
        <v>0.29999999999999716</v>
      </c>
      <c r="Z26" s="10">
        <f t="shared" si="15"/>
        <v>0.92099999999999127</v>
      </c>
      <c r="AA26" s="15"/>
      <c r="AB26" s="7">
        <f t="shared" si="16"/>
        <v>12001000.000001095</v>
      </c>
      <c r="AC26" s="8">
        <f t="shared" si="16"/>
        <v>12.001000000001095</v>
      </c>
      <c r="AD26" s="8">
        <f t="shared" si="16"/>
        <v>36.843070000003358</v>
      </c>
      <c r="AF26" s="8">
        <f t="shared" si="18"/>
        <v>9.9920072216264089E-16</v>
      </c>
    </row>
    <row r="27" spans="1:32" x14ac:dyDescent="0.2">
      <c r="A27" s="28">
        <v>38434</v>
      </c>
      <c r="B27" s="7">
        <f>'[5]Mar Prod'!I26</f>
        <v>7799999.9999992726</v>
      </c>
      <c r="C27" s="8">
        <f t="shared" si="1"/>
        <v>7.7999999999992724</v>
      </c>
      <c r="D27" s="10">
        <f t="shared" si="0"/>
        <v>23.945999999997763</v>
      </c>
      <c r="E27" s="7">
        <f>'[5]Mar Prod'!E26</f>
        <v>0</v>
      </c>
      <c r="F27" s="8">
        <f t="shared" si="2"/>
        <v>0</v>
      </c>
      <c r="G27" s="10">
        <f t="shared" si="3"/>
        <v>0</v>
      </c>
      <c r="H27" s="7">
        <f>'[5]Mar Prod'!F26</f>
        <v>9000000</v>
      </c>
      <c r="I27" s="8">
        <f t="shared" si="4"/>
        <v>9</v>
      </c>
      <c r="J27" s="10">
        <f t="shared" si="5"/>
        <v>27.63</v>
      </c>
      <c r="K27" s="7">
        <f>'[5]Mar Prod'!H281</f>
        <v>1195001</v>
      </c>
      <c r="L27" s="8">
        <f t="shared" si="6"/>
        <v>1.195001</v>
      </c>
      <c r="M27" s="10">
        <f t="shared" si="7"/>
        <v>3.66865307</v>
      </c>
      <c r="N27" s="21"/>
      <c r="O27" s="7">
        <f>'[5]Mar Prod'!H26</f>
        <v>5633000</v>
      </c>
      <c r="P27" s="8">
        <f t="shared" si="8"/>
        <v>5.633</v>
      </c>
      <c r="Q27" s="10">
        <f t="shared" si="9"/>
        <v>17.293309999999998</v>
      </c>
      <c r="R27" s="7">
        <f>'[5]Mar Prod'!C26</f>
        <v>5935000</v>
      </c>
      <c r="S27" s="8">
        <f t="shared" si="10"/>
        <v>5.9349999999999996</v>
      </c>
      <c r="T27" s="10">
        <f t="shared" si="11"/>
        <v>18.22045</v>
      </c>
      <c r="U27" s="7">
        <f>'[5]Mar Prod'!D26</f>
        <v>0</v>
      </c>
      <c r="V27" s="8">
        <f t="shared" si="12"/>
        <v>0</v>
      </c>
      <c r="W27" s="10">
        <f t="shared" si="13"/>
        <v>0</v>
      </c>
      <c r="X27" s="7">
        <f>'[5]Mar Prod'!D281</f>
        <v>301999.99999999959</v>
      </c>
      <c r="Y27" s="8">
        <f t="shared" si="14"/>
        <v>0.3019999999999996</v>
      </c>
      <c r="Z27" s="10">
        <f t="shared" si="15"/>
        <v>0.92713999999999874</v>
      </c>
      <c r="AA27" s="15"/>
      <c r="AB27" s="7">
        <f t="shared" si="16"/>
        <v>13432999.999999274</v>
      </c>
      <c r="AC27" s="8">
        <f t="shared" si="16"/>
        <v>13.432999999999272</v>
      </c>
      <c r="AD27" s="8">
        <f t="shared" si="16"/>
        <v>41.239309999997758</v>
      </c>
      <c r="AF27" s="8">
        <f t="shared" si="18"/>
        <v>2.6645352591003757E-15</v>
      </c>
    </row>
    <row r="28" spans="1:32" x14ac:dyDescent="0.2">
      <c r="A28" s="28">
        <v>38435</v>
      </c>
      <c r="B28" s="7">
        <f>'[5]Mar Prod'!I27</f>
        <v>8799999.9999992717</v>
      </c>
      <c r="C28" s="8">
        <f t="shared" si="1"/>
        <v>8.7999999999992724</v>
      </c>
      <c r="D28" s="10">
        <f t="shared" si="0"/>
        <v>27.015999999997764</v>
      </c>
      <c r="E28" s="7">
        <f>'[5]Mar Prod'!E27</f>
        <v>0</v>
      </c>
      <c r="F28" s="8">
        <f t="shared" si="2"/>
        <v>0</v>
      </c>
      <c r="G28" s="10">
        <f t="shared" si="3"/>
        <v>0</v>
      </c>
      <c r="H28" s="7">
        <f>'[5]Mar Prod'!F27</f>
        <v>9000000</v>
      </c>
      <c r="I28" s="8">
        <f t="shared" si="4"/>
        <v>9</v>
      </c>
      <c r="J28" s="10">
        <f t="shared" si="5"/>
        <v>27.63</v>
      </c>
      <c r="K28" s="7">
        <f>'[5]Mar Prod'!H282</f>
        <v>1492521</v>
      </c>
      <c r="L28" s="8">
        <f t="shared" si="6"/>
        <v>1.492521</v>
      </c>
      <c r="M28" s="10">
        <f t="shared" si="7"/>
        <v>4.5820394699999998</v>
      </c>
      <c r="N28" s="21"/>
      <c r="O28" s="7">
        <f>'[5]Mar Prod'!H27</f>
        <v>8149999.9999999991</v>
      </c>
      <c r="P28" s="8">
        <f t="shared" si="8"/>
        <v>8.1499999999999986</v>
      </c>
      <c r="Q28" s="10">
        <f t="shared" si="9"/>
        <v>25.020499999999995</v>
      </c>
      <c r="R28" s="7">
        <f>'[5]Mar Prod'!C27</f>
        <v>8476000</v>
      </c>
      <c r="S28" s="8">
        <f t="shared" si="10"/>
        <v>8.4760000000000009</v>
      </c>
      <c r="T28" s="10">
        <f t="shared" si="11"/>
        <v>26.021320000000003</v>
      </c>
      <c r="U28" s="7">
        <f>'[5]Mar Prod'!D27</f>
        <v>0</v>
      </c>
      <c r="V28" s="8">
        <f t="shared" si="12"/>
        <v>0</v>
      </c>
      <c r="W28" s="10">
        <f t="shared" si="13"/>
        <v>0</v>
      </c>
      <c r="X28" s="7">
        <f>'[5]Mar Prod'!D282</f>
        <v>326000.00000000052</v>
      </c>
      <c r="Y28" s="8">
        <f t="shared" si="14"/>
        <v>0.32600000000000051</v>
      </c>
      <c r="Z28" s="10">
        <f t="shared" si="15"/>
        <v>1.0008200000000016</v>
      </c>
      <c r="AA28" s="15"/>
      <c r="AB28" s="7">
        <f t="shared" si="16"/>
        <v>16949999.99999927</v>
      </c>
      <c r="AC28" s="8">
        <f t="shared" si="16"/>
        <v>16.949999999999271</v>
      </c>
      <c r="AD28" s="8">
        <f t="shared" si="16"/>
        <v>52.036499999997758</v>
      </c>
      <c r="AF28" s="8">
        <f t="shared" si="18"/>
        <v>6.4392935428259079E-15</v>
      </c>
    </row>
    <row r="29" spans="1:32" x14ac:dyDescent="0.2">
      <c r="A29" s="28">
        <v>38436</v>
      </c>
      <c r="B29" s="7">
        <f>'[5]Mar Prod'!I28</f>
        <v>8200000.0000007274</v>
      </c>
      <c r="C29" s="8">
        <f t="shared" si="1"/>
        <v>8.2000000000007276</v>
      </c>
      <c r="D29" s="10">
        <f t="shared" si="0"/>
        <v>25.174000000002234</v>
      </c>
      <c r="E29" s="7">
        <f>'[5]Mar Prod'!E28</f>
        <v>0</v>
      </c>
      <c r="F29" s="8">
        <f t="shared" si="2"/>
        <v>0</v>
      </c>
      <c r="G29" s="10">
        <f t="shared" si="3"/>
        <v>0</v>
      </c>
      <c r="H29" s="7">
        <f>'[5]Mar Prod'!F28</f>
        <v>9000000</v>
      </c>
      <c r="I29" s="8">
        <f t="shared" si="4"/>
        <v>9</v>
      </c>
      <c r="J29" s="10">
        <f t="shared" si="5"/>
        <v>27.63</v>
      </c>
      <c r="K29" s="7">
        <f>'[5]Mar Prod'!H283</f>
        <v>1112300</v>
      </c>
      <c r="L29" s="8">
        <f t="shared" si="6"/>
        <v>1.1123000000000001</v>
      </c>
      <c r="M29" s="10">
        <f t="shared" si="7"/>
        <v>3.4147609999999999</v>
      </c>
      <c r="N29" s="21"/>
      <c r="O29" s="7">
        <f>'[5]Mar Prod'!H28</f>
        <v>7748000.0000000037</v>
      </c>
      <c r="P29" s="8">
        <f t="shared" si="8"/>
        <v>7.7480000000000038</v>
      </c>
      <c r="Q29" s="10">
        <f t="shared" si="9"/>
        <v>23.786360000000009</v>
      </c>
      <c r="R29" s="7">
        <f>'[5]Mar Prod'!C28</f>
        <v>8143000</v>
      </c>
      <c r="S29" s="8">
        <f t="shared" si="10"/>
        <v>8.1430000000000007</v>
      </c>
      <c r="T29" s="10">
        <f t="shared" si="11"/>
        <v>24.999010000000002</v>
      </c>
      <c r="U29" s="7">
        <f>'[5]Mar Prod'!D28</f>
        <v>0</v>
      </c>
      <c r="V29" s="8">
        <f t="shared" si="12"/>
        <v>0</v>
      </c>
      <c r="W29" s="10">
        <f t="shared" si="13"/>
        <v>0</v>
      </c>
      <c r="X29" s="7">
        <f>'[5]Mar Prod'!D283</f>
        <v>394999.99999999604</v>
      </c>
      <c r="Y29" s="8">
        <f t="shared" si="14"/>
        <v>0.39499999999999602</v>
      </c>
      <c r="Z29" s="10">
        <f t="shared" si="15"/>
        <v>1.2126499999999878</v>
      </c>
      <c r="AA29" s="15"/>
      <c r="AB29" s="7">
        <f t="shared" si="16"/>
        <v>15948000.00000073</v>
      </c>
      <c r="AC29" s="8">
        <f t="shared" si="16"/>
        <v>15.948000000000732</v>
      </c>
      <c r="AD29" s="8">
        <f t="shared" si="16"/>
        <v>48.96036000000224</v>
      </c>
      <c r="AF29" s="8">
        <f t="shared" si="18"/>
        <v>5.1070259132757201E-15</v>
      </c>
    </row>
    <row r="30" spans="1:32" x14ac:dyDescent="0.2">
      <c r="A30" s="28">
        <v>38437</v>
      </c>
      <c r="B30" s="7">
        <f>'[5]Mar Prod'!I29</f>
        <v>8299999.9999992726</v>
      </c>
      <c r="C30" s="8">
        <f t="shared" si="1"/>
        <v>8.2999999999992724</v>
      </c>
      <c r="D30" s="10">
        <f t="shared" si="0"/>
        <v>25.480999999997763</v>
      </c>
      <c r="E30" s="7">
        <f>'[5]Mar Prod'!E29</f>
        <v>0</v>
      </c>
      <c r="F30" s="8">
        <f t="shared" si="2"/>
        <v>0</v>
      </c>
      <c r="G30" s="10">
        <f t="shared" si="3"/>
        <v>0</v>
      </c>
      <c r="H30" s="7">
        <f>'[5]Mar Prod'!F29</f>
        <v>8000000</v>
      </c>
      <c r="I30" s="8">
        <f t="shared" si="4"/>
        <v>8</v>
      </c>
      <c r="J30" s="10">
        <f t="shared" si="5"/>
        <v>24.56</v>
      </c>
      <c r="K30" s="7">
        <f>'[5]Mar Prod'!H284</f>
        <v>920888</v>
      </c>
      <c r="L30" s="8">
        <f t="shared" si="6"/>
        <v>0.92088800000000004</v>
      </c>
      <c r="M30" s="10">
        <f t="shared" si="7"/>
        <v>2.8271261600000002</v>
      </c>
      <c r="N30" s="21"/>
      <c r="O30" s="7">
        <f>'[5]Mar Prod'!H29</f>
        <v>6100999.9999999944</v>
      </c>
      <c r="P30" s="8">
        <f t="shared" si="8"/>
        <v>6.1009999999999946</v>
      </c>
      <c r="Q30" s="10">
        <f t="shared" si="9"/>
        <v>18.730069999999984</v>
      </c>
      <c r="R30" s="7">
        <f>'[5]Mar Prod'!C29</f>
        <v>6495000</v>
      </c>
      <c r="S30" s="8">
        <f t="shared" si="10"/>
        <v>6.4950000000000001</v>
      </c>
      <c r="T30" s="10">
        <f t="shared" si="11"/>
        <v>19.93965</v>
      </c>
      <c r="U30" s="7">
        <f>'[5]Mar Prod'!D29</f>
        <v>0</v>
      </c>
      <c r="V30" s="8">
        <f t="shared" si="12"/>
        <v>0</v>
      </c>
      <c r="W30" s="10">
        <f t="shared" si="13"/>
        <v>0</v>
      </c>
      <c r="X30" s="7">
        <f>'[5]Mar Prod'!D284</f>
        <v>394000.00000000547</v>
      </c>
      <c r="Y30" s="8">
        <f t="shared" si="14"/>
        <v>0.39400000000000546</v>
      </c>
      <c r="Z30" s="10">
        <f t="shared" si="15"/>
        <v>1.2095800000000168</v>
      </c>
      <c r="AA30" s="15"/>
      <c r="AB30" s="7">
        <f t="shared" si="16"/>
        <v>14400999.999999266</v>
      </c>
      <c r="AC30" s="8">
        <f t="shared" si="16"/>
        <v>14.400999999999268</v>
      </c>
      <c r="AD30" s="8">
        <f>D30+Q30</f>
        <v>44.211069999997747</v>
      </c>
      <c r="AF30" s="8">
        <f t="shared" si="18"/>
        <v>0</v>
      </c>
    </row>
    <row r="31" spans="1:32" x14ac:dyDescent="0.2">
      <c r="A31" s="28">
        <v>38438</v>
      </c>
      <c r="B31" s="7">
        <f>'[5]Mar Prod'!I30</f>
        <v>7400000.0000014547</v>
      </c>
      <c r="C31" s="8">
        <f t="shared" si="1"/>
        <v>7.4000000000014543</v>
      </c>
      <c r="D31" s="10">
        <f t="shared" si="0"/>
        <v>22.718000000004462</v>
      </c>
      <c r="E31" s="7">
        <f>'[5]Mar Prod'!E30</f>
        <v>0</v>
      </c>
      <c r="F31" s="8">
        <f t="shared" si="2"/>
        <v>0</v>
      </c>
      <c r="G31" s="10">
        <f t="shared" si="3"/>
        <v>0</v>
      </c>
      <c r="H31" s="7">
        <f>'[5]Mar Prod'!F30</f>
        <v>403000000</v>
      </c>
      <c r="I31" s="45">
        <f>H31/100000000</f>
        <v>4.03</v>
      </c>
      <c r="J31" s="10">
        <f t="shared" si="5"/>
        <v>12.3721</v>
      </c>
      <c r="K31" s="7">
        <f>'[5]Mar Prod'!H285</f>
        <v>1291300</v>
      </c>
      <c r="L31" s="8">
        <f t="shared" si="6"/>
        <v>1.2912999999999999</v>
      </c>
      <c r="M31" s="10">
        <f t="shared" si="7"/>
        <v>3.9642909999999993</v>
      </c>
      <c r="N31" s="21"/>
      <c r="O31" s="7">
        <f>'[5]Mar Prod'!H30</f>
        <v>5731000.0000000037</v>
      </c>
      <c r="P31" s="8">
        <f t="shared" si="8"/>
        <v>5.7310000000000034</v>
      </c>
      <c r="Q31" s="10">
        <f t="shared" si="9"/>
        <v>17.594170000000009</v>
      </c>
      <c r="R31" s="7">
        <f>'[5]Mar Prod'!C30</f>
        <v>6062000</v>
      </c>
      <c r="S31" s="8">
        <f t="shared" si="10"/>
        <v>6.0620000000000003</v>
      </c>
      <c r="T31" s="10">
        <f t="shared" si="11"/>
        <v>18.610340000000001</v>
      </c>
      <c r="U31" s="7">
        <f>'[5]Mar Prod'!D30</f>
        <v>0</v>
      </c>
      <c r="V31" s="8">
        <f t="shared" si="12"/>
        <v>0</v>
      </c>
      <c r="W31" s="10">
        <f t="shared" si="13"/>
        <v>0</v>
      </c>
      <c r="X31" s="7">
        <f>'[5]Mar Prod'!D285</f>
        <v>330999.99999999598</v>
      </c>
      <c r="Y31" s="8">
        <f t="shared" si="14"/>
        <v>0.33099999999999596</v>
      </c>
      <c r="Z31" s="10">
        <f t="shared" si="15"/>
        <v>1.0161699999999876</v>
      </c>
      <c r="AA31" s="15"/>
      <c r="AB31" s="7">
        <f t="shared" si="16"/>
        <v>13131000.000001458</v>
      </c>
      <c r="AC31" s="8">
        <f t="shared" si="16"/>
        <v>13.131000000001457</v>
      </c>
      <c r="AD31" s="8">
        <f t="shared" si="16"/>
        <v>40.312170000004471</v>
      </c>
      <c r="AF31" s="8">
        <f>T31-Q31-Z31</f>
        <v>4.2188474935755949E-15</v>
      </c>
    </row>
    <row r="32" spans="1:32" x14ac:dyDescent="0.2">
      <c r="A32" s="28">
        <v>38439</v>
      </c>
      <c r="B32" s="7">
        <f>'[5]Mar Prod'!I31</f>
        <v>8599999.9999985453</v>
      </c>
      <c r="C32" s="8">
        <f t="shared" si="1"/>
        <v>8.5999999999985448</v>
      </c>
      <c r="D32" s="10">
        <f t="shared" si="0"/>
        <v>26.401999999995532</v>
      </c>
      <c r="E32" s="7">
        <f>'[5]Mar Prod'!E31</f>
        <v>0</v>
      </c>
      <c r="F32" s="8">
        <f t="shared" si="2"/>
        <v>0</v>
      </c>
      <c r="G32" s="10">
        <f t="shared" si="3"/>
        <v>0</v>
      </c>
      <c r="H32" s="7">
        <f>'[5]Mar Prod'!F31</f>
        <v>843000000</v>
      </c>
      <c r="I32" s="45">
        <f t="shared" ref="I32:I35" si="19">H32/100000000</f>
        <v>8.43</v>
      </c>
      <c r="J32" s="10">
        <f t="shared" si="5"/>
        <v>25.880099999999999</v>
      </c>
      <c r="K32" s="7">
        <f>'[5]Mar Prod'!H286</f>
        <v>1115393</v>
      </c>
      <c r="L32" s="8">
        <f t="shared" si="6"/>
        <v>1.1153930000000001</v>
      </c>
      <c r="M32" s="10">
        <f t="shared" si="7"/>
        <v>3.4242565100000002</v>
      </c>
      <c r="N32" s="21"/>
      <c r="O32" s="7">
        <f>'[5]Mar Prod'!H31</f>
        <v>5978000</v>
      </c>
      <c r="P32" s="8">
        <f t="shared" si="8"/>
        <v>5.9779999999999998</v>
      </c>
      <c r="Q32" s="10">
        <f t="shared" si="9"/>
        <v>18.352459999999997</v>
      </c>
      <c r="R32" s="7">
        <f>'[5]Mar Prod'!C31</f>
        <v>6269000</v>
      </c>
      <c r="S32" s="8">
        <f t="shared" si="10"/>
        <v>6.2690000000000001</v>
      </c>
      <c r="T32" s="10">
        <f t="shared" si="11"/>
        <v>19.245829999999998</v>
      </c>
      <c r="U32" s="7">
        <f>'[5]Mar Prod'!D31</f>
        <v>32000</v>
      </c>
      <c r="V32" s="8">
        <f t="shared" si="12"/>
        <v>3.2000000000000001E-2</v>
      </c>
      <c r="W32" s="10">
        <f t="shared" si="13"/>
        <v>9.8239999999999994E-2</v>
      </c>
      <c r="X32" s="7">
        <f>'[5]Mar Prod'!D286</f>
        <v>323000.00000000041</v>
      </c>
      <c r="Y32" s="8">
        <f t="shared" si="14"/>
        <v>0.3230000000000004</v>
      </c>
      <c r="Z32" s="10">
        <f t="shared" si="15"/>
        <v>0.99161000000000121</v>
      </c>
      <c r="AA32" s="15"/>
      <c r="AB32" s="7">
        <f t="shared" si="16"/>
        <v>14577999.999998545</v>
      </c>
      <c r="AC32" s="8">
        <f t="shared" si="16"/>
        <v>14.577999999998545</v>
      </c>
      <c r="AD32" s="8">
        <f t="shared" si="16"/>
        <v>44.754459999995532</v>
      </c>
      <c r="AF32" s="8">
        <f t="shared" si="18"/>
        <v>-9.8240000000000327E-2</v>
      </c>
    </row>
    <row r="33" spans="1:32" x14ac:dyDescent="0.2">
      <c r="A33" s="28">
        <v>38440</v>
      </c>
      <c r="B33" s="7">
        <f>'[5]Mar Prod'!I32</f>
        <v>10000000</v>
      </c>
      <c r="C33" s="8">
        <f t="shared" si="1"/>
        <v>10</v>
      </c>
      <c r="D33" s="10">
        <f t="shared" si="0"/>
        <v>30.7</v>
      </c>
      <c r="E33" s="7">
        <f>'[5]Mar Prod'!E32</f>
        <v>0</v>
      </c>
      <c r="F33" s="8">
        <f t="shared" si="2"/>
        <v>0</v>
      </c>
      <c r="G33" s="10">
        <f t="shared" si="3"/>
        <v>0</v>
      </c>
      <c r="H33" s="7">
        <f>'[5]Mar Prod'!F32</f>
        <v>1063000000</v>
      </c>
      <c r="I33" s="45">
        <f t="shared" si="19"/>
        <v>10.63</v>
      </c>
      <c r="J33" s="10">
        <f t="shared" si="5"/>
        <v>32.634100000000004</v>
      </c>
      <c r="K33" s="7">
        <f>'[5]Mar Prod'!H287</f>
        <v>1255349</v>
      </c>
      <c r="L33" s="8">
        <f t="shared" si="6"/>
        <v>1.255349</v>
      </c>
      <c r="M33" s="10">
        <f t="shared" si="7"/>
        <v>3.8539214299999998</v>
      </c>
      <c r="N33" s="21"/>
      <c r="O33" s="7">
        <f>'[5]Mar Prod'!H32</f>
        <v>7742999.9999999991</v>
      </c>
      <c r="P33" s="8">
        <f t="shared" si="8"/>
        <v>7.7429999999999994</v>
      </c>
      <c r="Q33" s="10">
        <f t="shared" si="9"/>
        <v>23.771009999999997</v>
      </c>
      <c r="R33" s="7">
        <f>'[5]Mar Prod'!C32</f>
        <v>8072000</v>
      </c>
      <c r="S33" s="8">
        <f t="shared" si="10"/>
        <v>8.0719999999999992</v>
      </c>
      <c r="T33" s="10">
        <f t="shared" si="11"/>
        <v>24.781039999999997</v>
      </c>
      <c r="U33" s="7">
        <f>'[5]Mar Prod'!D32</f>
        <v>0</v>
      </c>
      <c r="V33" s="8">
        <f t="shared" si="12"/>
        <v>0</v>
      </c>
      <c r="W33" s="10">
        <f t="shared" si="13"/>
        <v>0</v>
      </c>
      <c r="X33" s="7">
        <f>'[5]Mar Prod'!D287</f>
        <v>329000.00000000064</v>
      </c>
      <c r="Y33" s="8">
        <f t="shared" si="14"/>
        <v>0.32900000000000063</v>
      </c>
      <c r="Z33" s="10">
        <f t="shared" si="15"/>
        <v>1.0100300000000018</v>
      </c>
      <c r="AA33" s="15"/>
      <c r="AB33" s="7">
        <f t="shared" si="16"/>
        <v>17743000</v>
      </c>
      <c r="AC33" s="8">
        <f t="shared" si="16"/>
        <v>17.742999999999999</v>
      </c>
      <c r="AD33" s="8">
        <f t="shared" si="16"/>
        <v>54.471009999999993</v>
      </c>
      <c r="AF33" s="8">
        <f t="shared" si="18"/>
        <v>0</v>
      </c>
    </row>
    <row r="34" spans="1:32" x14ac:dyDescent="0.2">
      <c r="A34" s="28">
        <v>38441</v>
      </c>
      <c r="B34" s="7">
        <f>'[5]Mar Prod'!I33</f>
        <v>11800000.000001092</v>
      </c>
      <c r="C34" s="8">
        <f t="shared" si="1"/>
        <v>11.800000000001091</v>
      </c>
      <c r="D34" s="10">
        <f t="shared" si="0"/>
        <v>36.226000000003346</v>
      </c>
      <c r="E34" s="7">
        <f>'[5]Mar Prod'!E33</f>
        <v>0</v>
      </c>
      <c r="F34" s="8">
        <f t="shared" si="2"/>
        <v>0</v>
      </c>
      <c r="G34" s="10">
        <f t="shared" si="3"/>
        <v>0</v>
      </c>
      <c r="H34" s="7">
        <f>'[5]Mar Prod'!F33</f>
        <v>1219000000</v>
      </c>
      <c r="I34" s="45">
        <f t="shared" si="19"/>
        <v>12.19</v>
      </c>
      <c r="J34" s="10">
        <f t="shared" si="5"/>
        <v>37.423299999999998</v>
      </c>
      <c r="K34" s="7">
        <f>'[5]Mar Prod'!H288</f>
        <v>1550500</v>
      </c>
      <c r="L34" s="8">
        <f t="shared" si="6"/>
        <v>1.5505</v>
      </c>
      <c r="M34" s="10">
        <f t="shared" si="7"/>
        <v>4.7600349999999993</v>
      </c>
      <c r="N34" s="21"/>
      <c r="O34" s="7">
        <f>'[5]Mar Prod'!H33</f>
        <v>8714999.9999999981</v>
      </c>
      <c r="P34" s="8">
        <f t="shared" si="8"/>
        <v>8.7149999999999981</v>
      </c>
      <c r="Q34" s="10">
        <f t="shared" si="9"/>
        <v>26.755049999999994</v>
      </c>
      <c r="R34" s="7">
        <f>'[5]Mar Prod'!C33</f>
        <v>9125000</v>
      </c>
      <c r="S34" s="8">
        <f t="shared" si="10"/>
        <v>9.125</v>
      </c>
      <c r="T34" s="10">
        <f t="shared" si="11"/>
        <v>28.013749999999998</v>
      </c>
      <c r="U34" s="7">
        <f>'[5]Mar Prod'!D33</f>
        <v>1000</v>
      </c>
      <c r="V34" s="8">
        <f t="shared" si="12"/>
        <v>1E-3</v>
      </c>
      <c r="W34" s="10">
        <f t="shared" si="13"/>
        <v>3.0699999999999998E-3</v>
      </c>
      <c r="X34" s="7">
        <f>'[5]Mar Prod'!D288</f>
        <v>411000.00000000134</v>
      </c>
      <c r="Y34" s="8">
        <f t="shared" si="14"/>
        <v>0.41100000000000136</v>
      </c>
      <c r="Z34" s="10">
        <f t="shared" si="15"/>
        <v>1.2617700000000041</v>
      </c>
      <c r="AA34" s="15"/>
      <c r="AB34" s="7">
        <f t="shared" si="16"/>
        <v>20515000.000001088</v>
      </c>
      <c r="AC34" s="8">
        <f t="shared" si="16"/>
        <v>20.515000000001088</v>
      </c>
      <c r="AD34" s="8">
        <f t="shared" si="16"/>
        <v>62.981050000003336</v>
      </c>
      <c r="AF34" s="8">
        <f t="shared" si="18"/>
        <v>-3.069999999999462E-3</v>
      </c>
    </row>
    <row r="35" spans="1:32" ht="13.5" thickBot="1" x14ac:dyDescent="0.25">
      <c r="A35" s="28">
        <v>38442</v>
      </c>
      <c r="B35" s="7">
        <f>'[5]Mar Prod'!I34</f>
        <v>11100000.000000363</v>
      </c>
      <c r="C35" s="8">
        <f t="shared" si="1"/>
        <v>11.100000000000364</v>
      </c>
      <c r="D35" s="10">
        <f t="shared" si="0"/>
        <v>34.077000000001114</v>
      </c>
      <c r="E35" s="7">
        <f>'[5]Mar Prod'!E34</f>
        <v>0</v>
      </c>
      <c r="F35" s="8">
        <f t="shared" si="2"/>
        <v>0</v>
      </c>
      <c r="G35" s="10">
        <f t="shared" si="3"/>
        <v>0</v>
      </c>
      <c r="H35" s="7">
        <f>'[5]Mar Prod'!F34</f>
        <v>1135000000</v>
      </c>
      <c r="I35" s="45">
        <f t="shared" si="19"/>
        <v>11.35</v>
      </c>
      <c r="J35" s="10">
        <f t="shared" si="5"/>
        <v>34.844499999999996</v>
      </c>
      <c r="K35" s="7">
        <f>'[5]Mar Prod'!H289</f>
        <v>1469512</v>
      </c>
      <c r="L35" s="8">
        <f t="shared" si="6"/>
        <v>1.4695119999999999</v>
      </c>
      <c r="M35" s="10">
        <f t="shared" si="7"/>
        <v>4.5114018399999996</v>
      </c>
      <c r="N35" s="21"/>
      <c r="O35" s="7">
        <f>'[5]Mar Prod'!H34</f>
        <v>5760000.0000000037</v>
      </c>
      <c r="P35" s="8">
        <f t="shared" si="8"/>
        <v>5.7600000000000033</v>
      </c>
      <c r="Q35" s="10">
        <f t="shared" si="9"/>
        <v>17.68320000000001</v>
      </c>
      <c r="R35" s="7">
        <f>'[5]Mar Prod'!C34</f>
        <v>6176000</v>
      </c>
      <c r="S35" s="8">
        <f t="shared" si="10"/>
        <v>6.1760000000000002</v>
      </c>
      <c r="T35" s="10">
        <f t="shared" si="11"/>
        <v>18.960319999999999</v>
      </c>
      <c r="U35" s="7">
        <f>'[5]Mar Prod'!D34</f>
        <v>0</v>
      </c>
      <c r="V35" s="8">
        <f t="shared" si="12"/>
        <v>0</v>
      </c>
      <c r="W35" s="10">
        <f t="shared" si="13"/>
        <v>0</v>
      </c>
      <c r="X35" s="7">
        <f>'[5]Mar Prod'!D289</f>
        <v>415999.9999999968</v>
      </c>
      <c r="Y35" s="8">
        <f t="shared" si="14"/>
        <v>0.41599999999999682</v>
      </c>
      <c r="Z35" s="10">
        <f t="shared" si="15"/>
        <v>1.2771199999999903</v>
      </c>
      <c r="AA35" s="15"/>
      <c r="AB35" s="7">
        <f t="shared" si="16"/>
        <v>16860000.000000365</v>
      </c>
      <c r="AC35" s="8">
        <f t="shared" si="16"/>
        <v>16.860000000000369</v>
      </c>
      <c r="AD35" s="8">
        <f t="shared" si="16"/>
        <v>51.76020000000112</v>
      </c>
      <c r="AF35" s="8">
        <f t="shared" si="18"/>
        <v>0</v>
      </c>
    </row>
    <row r="36" spans="1:32" ht="13.5" thickBot="1" x14ac:dyDescent="0.25">
      <c r="A36" s="14"/>
      <c r="B36" s="39"/>
      <c r="C36" s="40">
        <f>SUM(C5:C35)</f>
        <v>141.20000000000073</v>
      </c>
      <c r="D36" s="40">
        <f t="shared" ref="D36:J36" si="20">SUM(D5:D35)</f>
        <v>433.48400000000225</v>
      </c>
      <c r="E36" s="39"/>
      <c r="F36" s="40">
        <f t="shared" si="20"/>
        <v>18</v>
      </c>
      <c r="G36" s="40">
        <f t="shared" si="20"/>
        <v>55.26</v>
      </c>
      <c r="H36" s="39"/>
      <c r="I36" s="40">
        <f t="shared" si="20"/>
        <v>130.63</v>
      </c>
      <c r="J36" s="40">
        <f t="shared" si="20"/>
        <v>401.03409999999985</v>
      </c>
      <c r="K36" s="39"/>
      <c r="L36" s="40">
        <f>SUM(L5:L35)</f>
        <v>16.014811999999999</v>
      </c>
      <c r="M36" s="40">
        <f>SUM(M5:M35)</f>
        <v>49.165472839999993</v>
      </c>
      <c r="N36" s="14"/>
      <c r="O36" s="39"/>
      <c r="P36" s="40">
        <f>SUM(P5:P35)</f>
        <v>259.26799999999997</v>
      </c>
      <c r="Q36" s="40">
        <f>SUM(Q5:Q35)</f>
        <v>795.9527599999999</v>
      </c>
      <c r="R36" s="39"/>
      <c r="S36" s="40">
        <f>SUM(S5:S35)</f>
        <v>273.62200000000001</v>
      </c>
      <c r="T36" s="40">
        <f>SUM(T5:T35)</f>
        <v>840.01953999999978</v>
      </c>
      <c r="U36" s="39"/>
      <c r="V36" s="40">
        <f>SUM(V5:V35)</f>
        <v>4.3999999999999997E-2</v>
      </c>
      <c r="W36" s="40">
        <f>SUM(W5:W35)</f>
        <v>0.13507999999999998</v>
      </c>
      <c r="X36" s="39"/>
      <c r="Y36" s="40">
        <f>SUM(Y5:Y35)</f>
        <v>14.397999999999996</v>
      </c>
      <c r="Z36" s="40">
        <f>SUM(Z5:Z35)</f>
        <v>44.201859999999989</v>
      </c>
      <c r="AA36" s="14"/>
      <c r="AB36" s="39"/>
      <c r="AC36" s="40">
        <f>SUM(AC5:AC35)</f>
        <v>400.46800000000064</v>
      </c>
      <c r="AD36" s="40">
        <f>AC36*3.07</f>
        <v>1229.4367600000019</v>
      </c>
      <c r="AF36" s="40">
        <f>SUM(AF5:AF35)</f>
        <v>-0.13507999999996423</v>
      </c>
    </row>
    <row r="37" spans="1:32" x14ac:dyDescent="0.2">
      <c r="C37" s="18"/>
      <c r="E37" s="3"/>
      <c r="F37" s="3"/>
      <c r="G37" s="3"/>
      <c r="H37" s="3"/>
      <c r="I37" s="3"/>
      <c r="J37" s="15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</row>
  </sheetData>
  <mergeCells count="9">
    <mergeCell ref="AB3:AD3"/>
    <mergeCell ref="R3:T3"/>
    <mergeCell ref="U3:W3"/>
    <mergeCell ref="X3:Z3"/>
    <mergeCell ref="B3:D3"/>
    <mergeCell ref="E3:G3"/>
    <mergeCell ref="H3:J3"/>
    <mergeCell ref="O3:Q3"/>
    <mergeCell ref="K3:M3"/>
  </mergeCells>
  <phoneticPr fontId="1" type="noConversion"/>
  <pageMargins left="0.75" right="0.75" top="1" bottom="1" header="0.5" footer="0.5"/>
  <pageSetup scale="37" orientation="landscape" r:id="rId1"/>
  <headerFooter alignWithMargins="0">
    <oddFooter>&amp;R&amp;D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F36"/>
  <sheetViews>
    <sheetView workbookViewId="0">
      <pane xSplit="1" ySplit="4" topLeftCell="B23" activePane="bottomRight" state="frozen"/>
      <selection pane="topRight" activeCell="B1" sqref="B1"/>
      <selection pane="bottomLeft" activeCell="A5" sqref="A5"/>
      <selection pane="bottomRight" activeCell="M34" sqref="M34"/>
    </sheetView>
  </sheetViews>
  <sheetFormatPr defaultRowHeight="12.75" x14ac:dyDescent="0.2"/>
  <cols>
    <col min="2" max="2" width="13.28515625" customWidth="1"/>
    <col min="5" max="5" width="13.140625" customWidth="1"/>
    <col min="8" max="8" width="15.140625" customWidth="1"/>
    <col min="11" max="11" width="10.28515625" customWidth="1"/>
    <col min="12" max="12" width="11.7109375" bestFit="1" customWidth="1"/>
    <col min="15" max="15" width="10.7109375" customWidth="1"/>
    <col min="18" max="18" width="10.7109375" customWidth="1"/>
    <col min="21" max="21" width="10.42578125" customWidth="1"/>
    <col min="22" max="22" width="10.85546875" customWidth="1"/>
    <col min="24" max="24" width="12.140625" customWidth="1"/>
    <col min="28" max="28" width="13.140625" customWidth="1"/>
  </cols>
  <sheetData>
    <row r="1" spans="1:30" x14ac:dyDescent="0.2">
      <c r="A1" s="25"/>
      <c r="B1" s="41"/>
      <c r="C1" s="26"/>
      <c r="D1" s="26"/>
      <c r="E1" s="26"/>
      <c r="F1" s="26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0" ht="13.5" thickBot="1" x14ac:dyDescent="0.25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0" ht="60.75" customHeight="1" thickBot="1" x14ac:dyDescent="0.25">
      <c r="A3" s="3"/>
      <c r="B3" s="51" t="s">
        <v>10</v>
      </c>
      <c r="C3" s="52"/>
      <c r="D3" s="53"/>
      <c r="E3" s="51" t="s">
        <v>11</v>
      </c>
      <c r="F3" s="52"/>
      <c r="G3" s="53"/>
      <c r="H3" s="51" t="s">
        <v>12</v>
      </c>
      <c r="I3" s="52"/>
      <c r="J3" s="53"/>
      <c r="K3" s="51" t="s">
        <v>13</v>
      </c>
      <c r="L3" s="52"/>
      <c r="M3" s="53"/>
      <c r="N3" s="19"/>
      <c r="O3" s="51" t="s">
        <v>4</v>
      </c>
      <c r="P3" s="52"/>
      <c r="Q3" s="53"/>
      <c r="R3" s="51" t="s">
        <v>3</v>
      </c>
      <c r="S3" s="52"/>
      <c r="T3" s="53"/>
      <c r="U3" s="51" t="s">
        <v>6</v>
      </c>
      <c r="V3" s="52"/>
      <c r="W3" s="53"/>
      <c r="X3" s="51" t="s">
        <v>7</v>
      </c>
      <c r="Y3" s="52"/>
      <c r="Z3" s="53"/>
      <c r="AA3" s="19"/>
      <c r="AB3" s="48" t="s">
        <v>8</v>
      </c>
      <c r="AC3" s="49"/>
      <c r="AD3" s="50"/>
    </row>
    <row r="4" spans="1:30" x14ac:dyDescent="0.2">
      <c r="A4" s="27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6" t="s">
        <v>0</v>
      </c>
      <c r="AC4" s="37" t="s">
        <v>1</v>
      </c>
      <c r="AD4" s="38" t="s">
        <v>2</v>
      </c>
    </row>
    <row r="5" spans="1:30" x14ac:dyDescent="0.2">
      <c r="A5" s="28">
        <v>38443</v>
      </c>
      <c r="B5" s="7">
        <f>'[6]Apr Prod'!I4</f>
        <v>13399999.999999637</v>
      </c>
      <c r="C5" s="8">
        <f>B5/1000000</f>
        <v>13.399999999999636</v>
      </c>
      <c r="D5" s="10">
        <f>C5*3.07</f>
        <v>41.137999999998883</v>
      </c>
      <c r="E5" s="7">
        <f>'[6]Apr Prod'!E4</f>
        <v>0</v>
      </c>
      <c r="F5" s="8">
        <f>E5/1000000</f>
        <v>0</v>
      </c>
      <c r="G5" s="10">
        <f>F5*3.07</f>
        <v>0</v>
      </c>
      <c r="H5" s="7">
        <f>'[6]Apr Prod'!F4</f>
        <v>13610000</v>
      </c>
      <c r="I5" s="8">
        <f t="shared" ref="I5:I7" si="0">H5/1000000</f>
        <v>13.61</v>
      </c>
      <c r="J5" s="10">
        <f>I5*3.07</f>
        <v>41.782699999999998</v>
      </c>
      <c r="K5" s="7">
        <f>'[6]Apr Prod'!H252</f>
        <v>1652346</v>
      </c>
      <c r="L5" s="8">
        <f>K5/1000000</f>
        <v>1.6523460000000001</v>
      </c>
      <c r="M5" s="10">
        <f>L5*3.07</f>
        <v>5.07270222</v>
      </c>
      <c r="N5" s="21"/>
      <c r="O5" s="7">
        <f>'[6]Apr Prod'!H4</f>
        <v>7651999.9999999991</v>
      </c>
      <c r="P5" s="8">
        <f>O5/1000000</f>
        <v>7.6519999999999992</v>
      </c>
      <c r="Q5" s="10">
        <f>P5*3.07</f>
        <v>23.491639999999997</v>
      </c>
      <c r="R5" s="7">
        <f>'[6]Apr Prod'!C4</f>
        <v>8048000</v>
      </c>
      <c r="S5" s="8">
        <f>R5/1000000</f>
        <v>8.048</v>
      </c>
      <c r="T5" s="10">
        <f>S5*3.07</f>
        <v>24.707359999999998</v>
      </c>
      <c r="U5" s="7">
        <f>'[6]Apr Prod'!D4</f>
        <v>0</v>
      </c>
      <c r="V5" s="8">
        <f>U5/1000000</f>
        <v>0</v>
      </c>
      <c r="W5" s="10">
        <f>V5*3.07</f>
        <v>0</v>
      </c>
      <c r="X5" s="7">
        <f>'[6]Apr Prod'!D252</f>
        <v>396000.00000000081</v>
      </c>
      <c r="Y5" s="8">
        <f>X5/1000000</f>
        <v>0.3960000000000008</v>
      </c>
      <c r="Z5" s="10">
        <f>Y5*3.07</f>
        <v>1.2157200000000024</v>
      </c>
      <c r="AA5" s="15"/>
      <c r="AB5" s="7">
        <f>B5+O5</f>
        <v>21051999.999999635</v>
      </c>
      <c r="AC5" s="8">
        <f>C5+P5</f>
        <v>21.051999999999637</v>
      </c>
      <c r="AD5" s="8">
        <f>D5+Q5</f>
        <v>64.629639999998886</v>
      </c>
    </row>
    <row r="6" spans="1:30" x14ac:dyDescent="0.2">
      <c r="A6" s="28">
        <v>38444</v>
      </c>
      <c r="B6" s="7">
        <f>'[6]Apr Prod'!I5</f>
        <v>9500000</v>
      </c>
      <c r="C6" s="8">
        <f t="shared" ref="C6:C34" si="1">B6/1000000</f>
        <v>9.5</v>
      </c>
      <c r="D6" s="10">
        <f t="shared" ref="D6:D34" si="2">C6*3.07</f>
        <v>29.164999999999999</v>
      </c>
      <c r="E6" s="7">
        <f>'[6]Apr Prod'!E5</f>
        <v>0</v>
      </c>
      <c r="F6" s="8">
        <f t="shared" ref="F6:F34" si="3">E6/1000000</f>
        <v>0</v>
      </c>
      <c r="G6" s="10">
        <f t="shared" ref="G6:G34" si="4">F6*3.07</f>
        <v>0</v>
      </c>
      <c r="H6" s="7">
        <f>'[6]Apr Prod'!F5</f>
        <v>9740000</v>
      </c>
      <c r="I6" s="8">
        <f t="shared" si="0"/>
        <v>9.74</v>
      </c>
      <c r="J6" s="10">
        <f t="shared" ref="J6:J34" si="5">I6*3.07</f>
        <v>29.901799999999998</v>
      </c>
      <c r="K6" s="7">
        <f>'[6]Apr Prod'!H253</f>
        <v>1264817</v>
      </c>
      <c r="L6" s="8">
        <f t="shared" ref="L6:L34" si="6">K6/1000000</f>
        <v>1.2648170000000001</v>
      </c>
      <c r="M6" s="10">
        <f t="shared" ref="M6:M34" si="7">L6*3.07</f>
        <v>3.8829881899999998</v>
      </c>
      <c r="N6" s="21"/>
      <c r="O6" s="7">
        <f>'[6]Apr Prod'!H5</f>
        <v>5571999.9999999944</v>
      </c>
      <c r="P6" s="8">
        <f t="shared" ref="P6:P34" si="8">O6/1000000</f>
        <v>5.5719999999999947</v>
      </c>
      <c r="Q6" s="10">
        <f t="shared" ref="Q6:Q34" si="9">P6*3.07</f>
        <v>17.106039999999982</v>
      </c>
      <c r="R6" s="7">
        <f>'[6]Apr Prod'!C5</f>
        <v>5899000</v>
      </c>
      <c r="S6" s="8">
        <f t="shared" ref="S6:S34" si="10">R6/1000000</f>
        <v>5.899</v>
      </c>
      <c r="T6" s="10">
        <f t="shared" ref="T6:T34" si="11">S6*3.07</f>
        <v>18.109929999999999</v>
      </c>
      <c r="U6" s="7">
        <f>'[6]Apr Prod'!D5</f>
        <v>0</v>
      </c>
      <c r="V6" s="8">
        <f t="shared" ref="V6:V34" si="12">U6/1000000</f>
        <v>0</v>
      </c>
      <c r="W6" s="10">
        <f t="shared" ref="W6:W34" si="13">V6*3.07</f>
        <v>0</v>
      </c>
      <c r="X6" s="7">
        <f>'[6]Apr Prod'!D253</f>
        <v>327000.0000000053</v>
      </c>
      <c r="Y6" s="8">
        <f t="shared" ref="Y6:Y34" si="14">X6/1000000</f>
        <v>0.32700000000000529</v>
      </c>
      <c r="Z6" s="10">
        <f t="shared" ref="Z6:Z34" si="15">Y6*3.07</f>
        <v>1.0038900000000162</v>
      </c>
      <c r="AA6" s="15"/>
      <c r="AB6" s="7">
        <f t="shared" ref="AB6:AD35" si="16">B6+O6</f>
        <v>15071999.999999994</v>
      </c>
      <c r="AC6" s="8">
        <f t="shared" si="16"/>
        <v>15.071999999999996</v>
      </c>
      <c r="AD6" s="8">
        <f t="shared" si="16"/>
        <v>46.271039999999985</v>
      </c>
    </row>
    <row r="7" spans="1:30" x14ac:dyDescent="0.2">
      <c r="A7" s="28">
        <v>38445</v>
      </c>
      <c r="B7" s="7">
        <f>'[6]Apr Prod'!I6</f>
        <v>6299999.9999992726</v>
      </c>
      <c r="C7" s="8">
        <f t="shared" si="1"/>
        <v>6.2999999999992724</v>
      </c>
      <c r="D7" s="10">
        <f t="shared" si="2"/>
        <v>19.340999999997766</v>
      </c>
      <c r="E7" s="7">
        <f>'[6]Apr Prod'!E6</f>
        <v>0</v>
      </c>
      <c r="F7" s="8">
        <f t="shared" si="3"/>
        <v>0</v>
      </c>
      <c r="G7" s="10">
        <f t="shared" si="4"/>
        <v>0</v>
      </c>
      <c r="H7" s="7">
        <f>'[6]Apr Prod'!F6</f>
        <v>5650000</v>
      </c>
      <c r="I7" s="8">
        <f t="shared" si="0"/>
        <v>5.65</v>
      </c>
      <c r="J7" s="10">
        <f t="shared" si="5"/>
        <v>17.345500000000001</v>
      </c>
      <c r="K7" s="7">
        <f>'[6]Apr Prod'!H254</f>
        <v>672901</v>
      </c>
      <c r="L7" s="8">
        <f t="shared" si="6"/>
        <v>0.67290099999999997</v>
      </c>
      <c r="M7" s="10">
        <f t="shared" si="7"/>
        <v>2.0658060699999998</v>
      </c>
      <c r="N7" s="21"/>
      <c r="O7" s="7">
        <f>'[6]Apr Prod'!H6</f>
        <v>5547000.0000000056</v>
      </c>
      <c r="P7" s="8">
        <f t="shared" si="8"/>
        <v>5.5470000000000059</v>
      </c>
      <c r="Q7" s="10">
        <f t="shared" si="9"/>
        <v>17.029290000000017</v>
      </c>
      <c r="R7" s="7">
        <f>'[6]Apr Prod'!C6</f>
        <v>5784000</v>
      </c>
      <c r="S7" s="8">
        <f t="shared" si="10"/>
        <v>5.7839999999999998</v>
      </c>
      <c r="T7" s="10">
        <f t="shared" si="11"/>
        <v>17.756879999999999</v>
      </c>
      <c r="U7" s="7">
        <f>'[6]Apr Prod'!D6</f>
        <v>0</v>
      </c>
      <c r="V7" s="8">
        <f t="shared" si="12"/>
        <v>0</v>
      </c>
      <c r="W7" s="10">
        <f t="shared" si="13"/>
        <v>0</v>
      </c>
      <c r="X7" s="7">
        <f>'[6]Apr Prod'!D254</f>
        <v>236999.99999999476</v>
      </c>
      <c r="Y7" s="8">
        <f t="shared" si="14"/>
        <v>0.23699999999999477</v>
      </c>
      <c r="Z7" s="10">
        <f t="shared" si="15"/>
        <v>0.72758999999998386</v>
      </c>
      <c r="AA7" s="15"/>
      <c r="AB7" s="7">
        <f t="shared" si="16"/>
        <v>11846999.999999277</v>
      </c>
      <c r="AC7" s="8">
        <f t="shared" si="16"/>
        <v>11.846999999999278</v>
      </c>
      <c r="AD7" s="8">
        <f t="shared" si="16"/>
        <v>36.37028999999778</v>
      </c>
    </row>
    <row r="8" spans="1:30" x14ac:dyDescent="0.2">
      <c r="A8" s="28">
        <v>38446</v>
      </c>
      <c r="B8" s="7">
        <f>'[6]Apr Prod'!I7</f>
        <v>5300000.0000010915</v>
      </c>
      <c r="C8" s="8">
        <f t="shared" si="1"/>
        <v>5.3000000000010914</v>
      </c>
      <c r="D8" s="10">
        <f t="shared" si="2"/>
        <v>16.271000000003351</v>
      </c>
      <c r="E8" s="7">
        <f>'[6]Apr Prod'!E7</f>
        <v>0</v>
      </c>
      <c r="F8" s="8">
        <f t="shared" si="3"/>
        <v>0</v>
      </c>
      <c r="G8" s="10">
        <f t="shared" si="4"/>
        <v>0</v>
      </c>
      <c r="H8" s="7">
        <f>'[6]Apr Prod'!F7</f>
        <v>5590000</v>
      </c>
      <c r="I8" s="8">
        <f>H8/100000000</f>
        <v>5.5899999999999998E-2</v>
      </c>
      <c r="J8" s="10">
        <f t="shared" si="5"/>
        <v>0.17161299999999999</v>
      </c>
      <c r="K8" s="7">
        <f>'[6]Apr Prod'!H255</f>
        <v>634192</v>
      </c>
      <c r="L8" s="8">
        <f t="shared" si="6"/>
        <v>0.63419199999999998</v>
      </c>
      <c r="M8" s="10">
        <f t="shared" si="7"/>
        <v>1.9469694399999999</v>
      </c>
      <c r="N8" s="21"/>
      <c r="O8" s="7">
        <f>'[6]Apr Prod'!H7</f>
        <v>6156999.9999999981</v>
      </c>
      <c r="P8" s="8">
        <f t="shared" si="8"/>
        <v>6.1569999999999983</v>
      </c>
      <c r="Q8" s="10">
        <f t="shared" si="9"/>
        <v>18.901989999999994</v>
      </c>
      <c r="R8" s="7">
        <f>'[6]Apr Prod'!C7</f>
        <v>6516000</v>
      </c>
      <c r="S8" s="8">
        <f t="shared" si="10"/>
        <v>6.516</v>
      </c>
      <c r="T8" s="10">
        <f t="shared" si="11"/>
        <v>20.00412</v>
      </c>
      <c r="U8" s="7">
        <f>'[6]Apr Prod'!D7</f>
        <v>0</v>
      </c>
      <c r="V8" s="8">
        <f t="shared" si="12"/>
        <v>0</v>
      </c>
      <c r="W8" s="10">
        <f t="shared" si="13"/>
        <v>0</v>
      </c>
      <c r="X8" s="7">
        <f>'[6]Apr Prod'!D255</f>
        <v>359000.00000000175</v>
      </c>
      <c r="Y8" s="8">
        <f t="shared" si="14"/>
        <v>0.35900000000000176</v>
      </c>
      <c r="Z8" s="10">
        <f t="shared" si="15"/>
        <v>1.1021300000000054</v>
      </c>
      <c r="AA8" s="15"/>
      <c r="AB8" s="7">
        <f t="shared" si="16"/>
        <v>11457000.00000109</v>
      </c>
      <c r="AC8" s="8">
        <f t="shared" si="16"/>
        <v>11.45700000000109</v>
      </c>
      <c r="AD8" s="8">
        <f>D8+Q8</f>
        <v>35.172990000003345</v>
      </c>
    </row>
    <row r="9" spans="1:30" x14ac:dyDescent="0.2">
      <c r="A9" s="28">
        <v>38447</v>
      </c>
      <c r="B9" s="7">
        <f>'[6]Apr Prod'!I8</f>
        <v>11099999.999998545</v>
      </c>
      <c r="C9" s="8">
        <f t="shared" si="1"/>
        <v>11.099999999998545</v>
      </c>
      <c r="D9" s="10">
        <f t="shared" si="2"/>
        <v>34.076999999995529</v>
      </c>
      <c r="E9" s="7">
        <f>'[6]Apr Prod'!E8</f>
        <v>0</v>
      </c>
      <c r="F9" s="8">
        <f t="shared" si="3"/>
        <v>0</v>
      </c>
      <c r="G9" s="10">
        <f t="shared" si="4"/>
        <v>0</v>
      </c>
      <c r="H9" s="7">
        <f>'[6]Apr Prod'!F8</f>
        <v>11840000</v>
      </c>
      <c r="I9" s="8">
        <f t="shared" ref="I9:I34" si="17">H9/100000000</f>
        <v>0.11840000000000001</v>
      </c>
      <c r="J9" s="10">
        <f t="shared" si="5"/>
        <v>0.36348799999999998</v>
      </c>
      <c r="K9" s="7">
        <f>'[6]Apr Prod'!H256</f>
        <v>1434666</v>
      </c>
      <c r="L9" s="8">
        <f t="shared" si="6"/>
        <v>1.434666</v>
      </c>
      <c r="M9" s="10">
        <f t="shared" si="7"/>
        <v>4.4044246199999995</v>
      </c>
      <c r="N9" s="21"/>
      <c r="O9" s="7">
        <f>'[6]Apr Prod'!H8</f>
        <v>0</v>
      </c>
      <c r="P9" s="8">
        <f t="shared" si="8"/>
        <v>0</v>
      </c>
      <c r="Q9" s="10">
        <f t="shared" si="9"/>
        <v>0</v>
      </c>
      <c r="R9" s="7">
        <f>'[6]Apr Prod'!C8</f>
        <v>3897000</v>
      </c>
      <c r="S9" s="8">
        <f t="shared" si="10"/>
        <v>3.8969999999999998</v>
      </c>
      <c r="T9" s="10">
        <f t="shared" si="11"/>
        <v>11.963789999999999</v>
      </c>
      <c r="U9" s="7">
        <f>'[6]Apr Prod'!D8</f>
        <v>0</v>
      </c>
      <c r="V9" s="8">
        <f t="shared" si="12"/>
        <v>0</v>
      </c>
      <c r="W9" s="10">
        <f t="shared" si="13"/>
        <v>0</v>
      </c>
      <c r="X9" s="7">
        <f>'[6]Apr Prod'!D256</f>
        <v>286999.99999999901</v>
      </c>
      <c r="Y9" s="8">
        <f t="shared" si="14"/>
        <v>0.28699999999999903</v>
      </c>
      <c r="Z9" s="10">
        <f t="shared" si="15"/>
        <v>0.88108999999999704</v>
      </c>
      <c r="AA9" s="15"/>
      <c r="AB9" s="7">
        <f t="shared" si="16"/>
        <v>11099999.999998545</v>
      </c>
      <c r="AC9" s="8">
        <f t="shared" si="16"/>
        <v>11.099999999998545</v>
      </c>
      <c r="AD9" s="8">
        <f t="shared" si="16"/>
        <v>34.076999999995529</v>
      </c>
    </row>
    <row r="10" spans="1:30" x14ac:dyDescent="0.2">
      <c r="A10" s="28">
        <v>38448</v>
      </c>
      <c r="B10" s="7">
        <f>'[6]Apr Prod'!I9</f>
        <v>13700000.000000728</v>
      </c>
      <c r="C10" s="8">
        <f t="shared" si="1"/>
        <v>13.700000000000728</v>
      </c>
      <c r="D10" s="10">
        <f t="shared" si="2"/>
        <v>42.059000000002229</v>
      </c>
      <c r="E10" s="7">
        <f>'[6]Apr Prod'!E9</f>
        <v>0</v>
      </c>
      <c r="F10" s="8">
        <f t="shared" si="3"/>
        <v>0</v>
      </c>
      <c r="G10" s="10">
        <f t="shared" si="4"/>
        <v>0</v>
      </c>
      <c r="H10" s="7">
        <f>'[6]Apr Prod'!F9</f>
        <v>13890000</v>
      </c>
      <c r="I10" s="8">
        <f t="shared" si="17"/>
        <v>0.1389</v>
      </c>
      <c r="J10" s="10">
        <f t="shared" si="5"/>
        <v>0.42642299999999994</v>
      </c>
      <c r="K10" s="7">
        <f>'[6]Apr Prod'!H257</f>
        <v>1763944</v>
      </c>
      <c r="L10" s="8">
        <f t="shared" si="6"/>
        <v>1.763944</v>
      </c>
      <c r="M10" s="10">
        <f t="shared" si="7"/>
        <v>5.41530808</v>
      </c>
      <c r="N10" s="21"/>
      <c r="O10" s="44">
        <f>'[6]Apr Prod'!H9</f>
        <v>-87000.000000003303</v>
      </c>
      <c r="P10" s="45">
        <f t="shared" si="8"/>
        <v>-8.7000000000003297E-2</v>
      </c>
      <c r="Q10" s="46">
        <f t="shared" si="9"/>
        <v>-0.2670900000000101</v>
      </c>
      <c r="R10" s="7">
        <f>'[6]Apr Prod'!C9</f>
        <v>0</v>
      </c>
      <c r="S10" s="8">
        <f t="shared" si="10"/>
        <v>0</v>
      </c>
      <c r="T10" s="10">
        <f t="shared" si="11"/>
        <v>0</v>
      </c>
      <c r="U10" s="7">
        <f>'[6]Apr Prod'!D9</f>
        <v>0</v>
      </c>
      <c r="V10" s="8">
        <f t="shared" si="12"/>
        <v>0</v>
      </c>
      <c r="W10" s="10">
        <f t="shared" si="13"/>
        <v>0</v>
      </c>
      <c r="X10" s="44">
        <f>'[6]Apr Prod'!D257</f>
        <v>87000.000000003303</v>
      </c>
      <c r="Y10" s="45">
        <f t="shared" si="14"/>
        <v>8.7000000000003297E-2</v>
      </c>
      <c r="Z10" s="46">
        <f t="shared" si="15"/>
        <v>0.2670900000000101</v>
      </c>
      <c r="AA10" s="15"/>
      <c r="AB10" s="7">
        <f t="shared" si="16"/>
        <v>13613000.000000725</v>
      </c>
      <c r="AC10" s="8">
        <f t="shared" si="16"/>
        <v>13.613000000000724</v>
      </c>
      <c r="AD10" s="8">
        <f t="shared" si="16"/>
        <v>41.791910000002218</v>
      </c>
    </row>
    <row r="11" spans="1:30" x14ac:dyDescent="0.2">
      <c r="A11" s="28">
        <v>38449</v>
      </c>
      <c r="B11" s="7">
        <f>'[6]Apr Prod'!I10</f>
        <v>16100000.000000363</v>
      </c>
      <c r="C11" s="8">
        <f t="shared" si="1"/>
        <v>16.100000000000364</v>
      </c>
      <c r="D11" s="10">
        <f t="shared" si="2"/>
        <v>49.427000000001115</v>
      </c>
      <c r="E11" s="7">
        <f>'[6]Apr Prod'!E10</f>
        <v>0</v>
      </c>
      <c r="F11" s="8">
        <f t="shared" si="3"/>
        <v>0</v>
      </c>
      <c r="G11" s="10">
        <f t="shared" si="4"/>
        <v>0</v>
      </c>
      <c r="H11" s="7">
        <f>'[6]Apr Prod'!F10</f>
        <v>16070000</v>
      </c>
      <c r="I11" s="8">
        <f t="shared" si="17"/>
        <v>0.16070000000000001</v>
      </c>
      <c r="J11" s="10">
        <f t="shared" si="5"/>
        <v>0.49334899999999998</v>
      </c>
      <c r="K11" s="7">
        <f>'[6]Apr Prod'!H258</f>
        <v>1923163</v>
      </c>
      <c r="L11" s="8">
        <f t="shared" si="6"/>
        <v>1.923163</v>
      </c>
      <c r="M11" s="10">
        <f t="shared" si="7"/>
        <v>5.9041104099999995</v>
      </c>
      <c r="N11" s="21"/>
      <c r="O11" s="44">
        <f>'[6]Apr Prod'!H10</f>
        <v>-156999.99999999648</v>
      </c>
      <c r="P11" s="45">
        <f t="shared" si="8"/>
        <v>-0.15699999999999648</v>
      </c>
      <c r="Q11" s="46">
        <f t="shared" si="9"/>
        <v>-0.48198999999998915</v>
      </c>
      <c r="R11" s="7">
        <f>'[6]Apr Prod'!C10</f>
        <v>0</v>
      </c>
      <c r="S11" s="8">
        <f t="shared" si="10"/>
        <v>0</v>
      </c>
      <c r="T11" s="10">
        <f t="shared" si="11"/>
        <v>0</v>
      </c>
      <c r="U11" s="7">
        <f>'[6]Apr Prod'!D10</f>
        <v>0</v>
      </c>
      <c r="V11" s="8">
        <f t="shared" si="12"/>
        <v>0</v>
      </c>
      <c r="W11" s="10">
        <f t="shared" si="13"/>
        <v>0</v>
      </c>
      <c r="X11" s="44">
        <f>'[6]Apr Prod'!D258</f>
        <v>156999.99999999648</v>
      </c>
      <c r="Y11" s="45">
        <f t="shared" si="14"/>
        <v>0.15699999999999648</v>
      </c>
      <c r="Z11" s="46">
        <f t="shared" si="15"/>
        <v>0.48198999999998915</v>
      </c>
      <c r="AA11" s="15"/>
      <c r="AB11" s="7">
        <f t="shared" si="16"/>
        <v>15943000.000000367</v>
      </c>
      <c r="AC11" s="8">
        <f t="shared" si="16"/>
        <v>15.943000000000367</v>
      </c>
      <c r="AD11" s="8">
        <f t="shared" si="16"/>
        <v>48.945010000001126</v>
      </c>
    </row>
    <row r="12" spans="1:30" x14ac:dyDescent="0.2">
      <c r="A12" s="28">
        <v>38450</v>
      </c>
      <c r="B12" s="7">
        <f>'[6]Apr Prod'!I11</f>
        <v>18399999.999999635</v>
      </c>
      <c r="C12" s="8">
        <f t="shared" si="1"/>
        <v>18.399999999999636</v>
      </c>
      <c r="D12" s="10">
        <f t="shared" si="2"/>
        <v>56.487999999998877</v>
      </c>
      <c r="E12" s="7">
        <f>'[6]Apr Prod'!E11</f>
        <v>0</v>
      </c>
      <c r="F12" s="8">
        <f t="shared" si="3"/>
        <v>0</v>
      </c>
      <c r="G12" s="10">
        <f t="shared" si="4"/>
        <v>0</v>
      </c>
      <c r="H12" s="7">
        <f>'[6]Apr Prod'!F11</f>
        <v>18540000</v>
      </c>
      <c r="I12" s="8">
        <f t="shared" si="17"/>
        <v>0.18540000000000001</v>
      </c>
      <c r="J12" s="10">
        <f t="shared" si="5"/>
        <v>0.56917799999999996</v>
      </c>
      <c r="K12" s="7">
        <f>'[6]Apr Prod'!H259</f>
        <v>2105738</v>
      </c>
      <c r="L12" s="8">
        <f t="shared" si="6"/>
        <v>2.1057380000000001</v>
      </c>
      <c r="M12" s="10">
        <f t="shared" si="7"/>
        <v>6.4646156599999998</v>
      </c>
      <c r="N12" s="21"/>
      <c r="O12" s="44">
        <f>'[6]Apr Prod'!H11</f>
        <v>-88000.00000000096</v>
      </c>
      <c r="P12" s="45">
        <f t="shared" si="8"/>
        <v>-8.8000000000000966E-2</v>
      </c>
      <c r="Q12" s="46">
        <f t="shared" si="9"/>
        <v>-0.27016000000000295</v>
      </c>
      <c r="R12" s="7">
        <f>'[6]Apr Prod'!C11</f>
        <v>0</v>
      </c>
      <c r="S12" s="8">
        <f t="shared" si="10"/>
        <v>0</v>
      </c>
      <c r="T12" s="10">
        <f t="shared" si="11"/>
        <v>0</v>
      </c>
      <c r="U12" s="7">
        <f>'[6]Apr Prod'!D11</f>
        <v>0</v>
      </c>
      <c r="V12" s="8">
        <f t="shared" si="12"/>
        <v>0</v>
      </c>
      <c r="W12" s="10">
        <f t="shared" si="13"/>
        <v>0</v>
      </c>
      <c r="X12" s="44">
        <f>'[6]Apr Prod'!D259</f>
        <v>88000.00000000096</v>
      </c>
      <c r="Y12" s="45">
        <f t="shared" si="14"/>
        <v>8.8000000000000966E-2</v>
      </c>
      <c r="Z12" s="46">
        <f t="shared" si="15"/>
        <v>0.27016000000000295</v>
      </c>
      <c r="AA12" s="15"/>
      <c r="AB12" s="7">
        <f t="shared" si="16"/>
        <v>18311999.999999635</v>
      </c>
      <c r="AC12" s="8">
        <f t="shared" si="16"/>
        <v>18.311999999999635</v>
      </c>
      <c r="AD12" s="8">
        <f t="shared" si="16"/>
        <v>56.217839999998873</v>
      </c>
    </row>
    <row r="13" spans="1:30" x14ac:dyDescent="0.2">
      <c r="A13" s="28">
        <v>38451</v>
      </c>
      <c r="B13" s="7">
        <f>'[6]Apr Prod'!I12</f>
        <v>17799999.999999274</v>
      </c>
      <c r="C13" s="8">
        <f t="shared" si="1"/>
        <v>17.799999999999272</v>
      </c>
      <c r="D13" s="10">
        <f t="shared" si="2"/>
        <v>54.645999999997763</v>
      </c>
      <c r="E13" s="7">
        <f>'[6]Apr Prod'!E12</f>
        <v>0</v>
      </c>
      <c r="F13" s="8">
        <f t="shared" si="3"/>
        <v>0</v>
      </c>
      <c r="G13" s="10">
        <f t="shared" si="4"/>
        <v>0</v>
      </c>
      <c r="H13" s="7">
        <f>'[6]Apr Prod'!F12</f>
        <v>18610000</v>
      </c>
      <c r="I13" s="8">
        <f t="shared" si="17"/>
        <v>0.18609999999999999</v>
      </c>
      <c r="J13" s="10">
        <f t="shared" si="5"/>
        <v>0.57132699999999992</v>
      </c>
      <c r="K13" s="7">
        <f>'[6]Apr Prod'!H260</f>
        <v>2132886</v>
      </c>
      <c r="L13" s="8">
        <f t="shared" si="6"/>
        <v>2.1328860000000001</v>
      </c>
      <c r="M13" s="10">
        <f t="shared" si="7"/>
        <v>6.5479600199999997</v>
      </c>
      <c r="N13" s="21"/>
      <c r="O13" s="7">
        <f>'[6]Apr Prod'!H12</f>
        <v>522000</v>
      </c>
      <c r="P13" s="8">
        <f t="shared" si="8"/>
        <v>0.52200000000000002</v>
      </c>
      <c r="Q13" s="10">
        <f t="shared" si="9"/>
        <v>1.6025400000000001</v>
      </c>
      <c r="R13" s="7">
        <f>'[6]Apr Prod'!C12</f>
        <v>771000</v>
      </c>
      <c r="S13" s="8">
        <f t="shared" si="10"/>
        <v>0.77100000000000002</v>
      </c>
      <c r="T13" s="10">
        <f t="shared" si="11"/>
        <v>2.3669699999999998</v>
      </c>
      <c r="U13" s="7">
        <f>'[6]Apr Prod'!D12</f>
        <v>1000</v>
      </c>
      <c r="V13" s="8">
        <f t="shared" si="12"/>
        <v>1E-3</v>
      </c>
      <c r="W13" s="10">
        <f t="shared" si="13"/>
        <v>3.0699999999999998E-3</v>
      </c>
      <c r="X13" s="7">
        <f>'[6]Apr Prod'!D260</f>
        <v>250000</v>
      </c>
      <c r="Y13" s="8">
        <f t="shared" si="14"/>
        <v>0.25</v>
      </c>
      <c r="Z13" s="10">
        <f t="shared" si="15"/>
        <v>0.76749999999999996</v>
      </c>
      <c r="AA13" s="15"/>
      <c r="AB13" s="7">
        <f t="shared" si="16"/>
        <v>18321999.999999274</v>
      </c>
      <c r="AC13" s="8">
        <f t="shared" si="16"/>
        <v>18.321999999999271</v>
      </c>
      <c r="AD13" s="8">
        <f t="shared" si="16"/>
        <v>56.24853999999776</v>
      </c>
    </row>
    <row r="14" spans="1:30" x14ac:dyDescent="0.2">
      <c r="A14" s="28">
        <v>38452</v>
      </c>
      <c r="B14" s="7">
        <f>'[6]Apr Prod'!I13</f>
        <v>19700000.000000726</v>
      </c>
      <c r="C14" s="8">
        <f t="shared" si="1"/>
        <v>19.700000000000728</v>
      </c>
      <c r="D14" s="10">
        <f t="shared" si="2"/>
        <v>60.47900000000223</v>
      </c>
      <c r="E14" s="7">
        <f>'[6]Apr Prod'!E13</f>
        <v>0</v>
      </c>
      <c r="F14" s="8">
        <f t="shared" si="3"/>
        <v>0</v>
      </c>
      <c r="G14" s="10">
        <f t="shared" si="4"/>
        <v>0</v>
      </c>
      <c r="H14" s="7">
        <f>'[6]Apr Prod'!F13</f>
        <v>19780000</v>
      </c>
      <c r="I14" s="8">
        <f t="shared" si="17"/>
        <v>0.1978</v>
      </c>
      <c r="J14" s="10">
        <f t="shared" si="5"/>
        <v>0.60724599999999995</v>
      </c>
      <c r="K14" s="7">
        <f>'[6]Apr Prod'!H261</f>
        <v>2304289</v>
      </c>
      <c r="L14" s="8">
        <f t="shared" si="6"/>
        <v>2.3042889999999998</v>
      </c>
      <c r="M14" s="10">
        <f t="shared" si="7"/>
        <v>7.0741672299999987</v>
      </c>
      <c r="N14" s="21"/>
      <c r="O14" s="7">
        <f>'[6]Apr Prod'!H13</f>
        <v>5635999.9999999991</v>
      </c>
      <c r="P14" s="8">
        <f t="shared" si="8"/>
        <v>5.6359999999999992</v>
      </c>
      <c r="Q14" s="10">
        <f t="shared" si="9"/>
        <v>17.302519999999998</v>
      </c>
      <c r="R14" s="7">
        <f>'[6]Apr Prod'!C13</f>
        <v>6218000</v>
      </c>
      <c r="S14" s="8">
        <f t="shared" si="10"/>
        <v>6.218</v>
      </c>
      <c r="T14" s="10">
        <f t="shared" si="11"/>
        <v>19.089259999999999</v>
      </c>
      <c r="U14" s="7">
        <f>'[6]Apr Prod'!D13</f>
        <v>0</v>
      </c>
      <c r="V14" s="8">
        <f t="shared" si="12"/>
        <v>0</v>
      </c>
      <c r="W14" s="10">
        <f t="shared" si="13"/>
        <v>0</v>
      </c>
      <c r="X14" s="7">
        <f>'[6]Apr Prod'!D261</f>
        <v>582000.0000000007</v>
      </c>
      <c r="Y14" s="8">
        <f t="shared" si="14"/>
        <v>0.58200000000000074</v>
      </c>
      <c r="Z14" s="10">
        <f t="shared" si="15"/>
        <v>1.7867400000000022</v>
      </c>
      <c r="AA14" s="15"/>
      <c r="AB14" s="7">
        <f t="shared" si="16"/>
        <v>25336000.000000726</v>
      </c>
      <c r="AC14" s="8">
        <f t="shared" si="16"/>
        <v>25.336000000000727</v>
      </c>
      <c r="AD14" s="8">
        <f t="shared" si="16"/>
        <v>77.781520000002232</v>
      </c>
    </row>
    <row r="15" spans="1:30" x14ac:dyDescent="0.2">
      <c r="A15" s="28">
        <v>38453</v>
      </c>
      <c r="B15" s="7">
        <f>'[6]Apr Prod'!I14</f>
        <v>15100000.000000363</v>
      </c>
      <c r="C15" s="8">
        <f t="shared" si="1"/>
        <v>15.100000000000364</v>
      </c>
      <c r="D15" s="10">
        <f t="shared" si="2"/>
        <v>46.357000000001115</v>
      </c>
      <c r="E15" s="7">
        <f>'[6]Apr Prod'!E14</f>
        <v>0</v>
      </c>
      <c r="F15" s="8">
        <f t="shared" si="3"/>
        <v>0</v>
      </c>
      <c r="G15" s="10">
        <f t="shared" si="4"/>
        <v>0</v>
      </c>
      <c r="H15" s="7">
        <f>'[6]Apr Prod'!F14</f>
        <v>16110000</v>
      </c>
      <c r="I15" s="8">
        <f t="shared" si="17"/>
        <v>0.16109999999999999</v>
      </c>
      <c r="J15" s="10">
        <f t="shared" si="5"/>
        <v>0.49457699999999993</v>
      </c>
      <c r="K15" s="7">
        <f>'[6]Apr Prod'!H262</f>
        <v>2012262</v>
      </c>
      <c r="L15" s="8">
        <f t="shared" si="6"/>
        <v>2.0122620000000002</v>
      </c>
      <c r="M15" s="10">
        <f t="shared" si="7"/>
        <v>6.1776443400000005</v>
      </c>
      <c r="N15" s="21"/>
      <c r="O15" s="7">
        <f>'[6]Apr Prod'!H14</f>
        <v>5735999.9999999972</v>
      </c>
      <c r="P15" s="8">
        <f t="shared" si="8"/>
        <v>5.7359999999999971</v>
      </c>
      <c r="Q15" s="10">
        <f t="shared" si="9"/>
        <v>17.609519999999989</v>
      </c>
      <c r="R15" s="7">
        <f>'[6]Apr Prod'!C14</f>
        <v>6110000</v>
      </c>
      <c r="S15" s="8">
        <f t="shared" si="10"/>
        <v>6.11</v>
      </c>
      <c r="T15" s="10">
        <f t="shared" si="11"/>
        <v>18.7577</v>
      </c>
      <c r="U15" s="7">
        <f>'[6]Apr Prod'!D14</f>
        <v>0</v>
      </c>
      <c r="V15" s="8">
        <f t="shared" si="12"/>
        <v>0</v>
      </c>
      <c r="W15" s="10">
        <f t="shared" si="13"/>
        <v>0</v>
      </c>
      <c r="X15" s="7">
        <f>'[6]Apr Prod'!D262</f>
        <v>374000.00000000233</v>
      </c>
      <c r="Y15" s="8">
        <f t="shared" si="14"/>
        <v>0.37400000000000233</v>
      </c>
      <c r="Z15" s="10">
        <f t="shared" si="15"/>
        <v>1.1481800000000071</v>
      </c>
      <c r="AA15" s="15"/>
      <c r="AB15" s="7">
        <f t="shared" si="16"/>
        <v>20836000.000000361</v>
      </c>
      <c r="AC15" s="8">
        <f t="shared" si="16"/>
        <v>20.836000000000361</v>
      </c>
      <c r="AD15" s="8">
        <f t="shared" si="16"/>
        <v>63.966520000001104</v>
      </c>
    </row>
    <row r="16" spans="1:30" x14ac:dyDescent="0.2">
      <c r="A16" s="28">
        <v>38454</v>
      </c>
      <c r="B16" s="7">
        <f>'[6]Apr Prod'!I15</f>
        <v>11500000</v>
      </c>
      <c r="C16" s="8">
        <f t="shared" si="1"/>
        <v>11.5</v>
      </c>
      <c r="D16" s="10">
        <f t="shared" si="2"/>
        <v>35.305</v>
      </c>
      <c r="E16" s="7">
        <f>'[6]Apr Prod'!E15</f>
        <v>0</v>
      </c>
      <c r="F16" s="8">
        <f t="shared" si="3"/>
        <v>0</v>
      </c>
      <c r="G16" s="10">
        <f t="shared" si="4"/>
        <v>0</v>
      </c>
      <c r="H16" s="7">
        <f>'[6]Apr Prod'!F15</f>
        <v>11710000</v>
      </c>
      <c r="I16" s="8">
        <f t="shared" si="17"/>
        <v>0.1171</v>
      </c>
      <c r="J16" s="10">
        <f t="shared" si="5"/>
        <v>0.35949699999999996</v>
      </c>
      <c r="K16" s="7">
        <f>'[6]Apr Prod'!H263</f>
        <v>1582412</v>
      </c>
      <c r="L16" s="8">
        <f t="shared" si="6"/>
        <v>1.5824119999999999</v>
      </c>
      <c r="M16" s="10">
        <f t="shared" si="7"/>
        <v>4.8580048399999995</v>
      </c>
      <c r="N16" s="21"/>
      <c r="O16" s="7">
        <f>'[6]Apr Prod'!H15</f>
        <v>4295000.0000000009</v>
      </c>
      <c r="P16" s="8">
        <f t="shared" si="8"/>
        <v>4.2950000000000008</v>
      </c>
      <c r="Q16" s="10">
        <f t="shared" si="9"/>
        <v>13.185650000000003</v>
      </c>
      <c r="R16" s="7">
        <f>'[6]Apr Prod'!C15</f>
        <v>4530000</v>
      </c>
      <c r="S16" s="8">
        <f t="shared" si="10"/>
        <v>4.53</v>
      </c>
      <c r="T16" s="10">
        <f t="shared" si="11"/>
        <v>13.9071</v>
      </c>
      <c r="U16" s="7">
        <f>'[6]Apr Prod'!D15</f>
        <v>0</v>
      </c>
      <c r="V16" s="8">
        <f t="shared" si="12"/>
        <v>0</v>
      </c>
      <c r="W16" s="10">
        <f t="shared" si="13"/>
        <v>0</v>
      </c>
      <c r="X16" s="7">
        <f>'[6]Apr Prod'!D263</f>
        <v>234999.99999999942</v>
      </c>
      <c r="Y16" s="8">
        <f t="shared" si="14"/>
        <v>0.23499999999999943</v>
      </c>
      <c r="Z16" s="10">
        <f t="shared" si="15"/>
        <v>0.72144999999999826</v>
      </c>
      <c r="AA16" s="15"/>
      <c r="AB16" s="7">
        <f t="shared" si="16"/>
        <v>15795000</v>
      </c>
      <c r="AC16" s="8">
        <f t="shared" si="16"/>
        <v>15.795000000000002</v>
      </c>
      <c r="AD16" s="8">
        <f t="shared" si="16"/>
        <v>48.490650000000002</v>
      </c>
    </row>
    <row r="17" spans="1:30" x14ac:dyDescent="0.2">
      <c r="A17" s="28">
        <v>38455</v>
      </c>
      <c r="B17" s="7">
        <f>'[6]Apr Prod'!I16</f>
        <v>13899999.999999637</v>
      </c>
      <c r="C17" s="8">
        <f t="shared" si="1"/>
        <v>13.899999999999636</v>
      </c>
      <c r="D17" s="10">
        <f t="shared" si="2"/>
        <v>42.672999999998879</v>
      </c>
      <c r="E17" s="7">
        <f>'[6]Apr Prod'!E16</f>
        <v>0</v>
      </c>
      <c r="F17" s="8">
        <f t="shared" si="3"/>
        <v>0</v>
      </c>
      <c r="G17" s="10">
        <f t="shared" si="4"/>
        <v>0</v>
      </c>
      <c r="H17" s="7">
        <f>'[6]Apr Prod'!F16</f>
        <v>14440000</v>
      </c>
      <c r="I17" s="8">
        <f t="shared" si="17"/>
        <v>0.1444</v>
      </c>
      <c r="J17" s="10">
        <f t="shared" si="5"/>
        <v>0.44330799999999998</v>
      </c>
      <c r="K17" s="7">
        <f>'[6]Apr Prod'!H264</f>
        <v>1919515</v>
      </c>
      <c r="L17" s="8">
        <f t="shared" si="6"/>
        <v>1.9195150000000001</v>
      </c>
      <c r="M17" s="10">
        <f t="shared" si="7"/>
        <v>5.8929110500000004</v>
      </c>
      <c r="N17" s="21"/>
      <c r="O17" s="7">
        <f>'[6]Apr Prod'!H16</f>
        <v>3836999.9999999995</v>
      </c>
      <c r="P17" s="8">
        <f t="shared" si="8"/>
        <v>3.8369999999999997</v>
      </c>
      <c r="Q17" s="10">
        <f t="shared" si="9"/>
        <v>11.779589999999999</v>
      </c>
      <c r="R17" s="7">
        <f>'[6]Apr Prod'!C16</f>
        <v>4027000</v>
      </c>
      <c r="S17" s="8">
        <f t="shared" si="10"/>
        <v>4.0270000000000001</v>
      </c>
      <c r="T17" s="10">
        <f t="shared" si="11"/>
        <v>12.36289</v>
      </c>
      <c r="U17" s="7">
        <f>'[6]Apr Prod'!D16</f>
        <v>11000</v>
      </c>
      <c r="V17" s="8">
        <f t="shared" si="12"/>
        <v>1.0999999999999999E-2</v>
      </c>
      <c r="W17" s="10">
        <f t="shared" si="13"/>
        <v>3.3769999999999994E-2</v>
      </c>
      <c r="X17" s="7">
        <f>'[6]Apr Prod'!D264</f>
        <v>201000.00000000052</v>
      </c>
      <c r="Y17" s="8">
        <f t="shared" si="14"/>
        <v>0.20100000000000051</v>
      </c>
      <c r="Z17" s="10">
        <f t="shared" si="15"/>
        <v>0.61707000000000156</v>
      </c>
      <c r="AA17" s="15"/>
      <c r="AB17" s="7">
        <f t="shared" si="16"/>
        <v>17736999.999999635</v>
      </c>
      <c r="AC17" s="8">
        <f t="shared" si="16"/>
        <v>17.736999999999636</v>
      </c>
      <c r="AD17" s="8">
        <f t="shared" si="16"/>
        <v>54.452589999998878</v>
      </c>
    </row>
    <row r="18" spans="1:30" x14ac:dyDescent="0.2">
      <c r="A18" s="28">
        <v>38456</v>
      </c>
      <c r="B18" s="7">
        <f>'[6]Apr Prod'!I17</f>
        <v>14600000.000000363</v>
      </c>
      <c r="C18" s="8">
        <f t="shared" si="1"/>
        <v>14.600000000000364</v>
      </c>
      <c r="D18" s="10">
        <f t="shared" si="2"/>
        <v>44.822000000001111</v>
      </c>
      <c r="E18" s="7">
        <f>'[6]Apr Prod'!E17</f>
        <v>0</v>
      </c>
      <c r="F18" s="8">
        <f t="shared" si="3"/>
        <v>0</v>
      </c>
      <c r="G18" s="10">
        <f t="shared" si="4"/>
        <v>0</v>
      </c>
      <c r="H18" s="7">
        <f>'[6]Apr Prod'!F17</f>
        <v>14540000</v>
      </c>
      <c r="I18" s="8">
        <f t="shared" si="17"/>
        <v>0.1454</v>
      </c>
      <c r="J18" s="10">
        <f t="shared" si="5"/>
        <v>0.446378</v>
      </c>
      <c r="K18" s="7">
        <f>'[6]Apr Prod'!H265</f>
        <v>1866639</v>
      </c>
      <c r="L18" s="8">
        <f t="shared" si="6"/>
        <v>1.8666389999999999</v>
      </c>
      <c r="M18" s="10">
        <f t="shared" si="7"/>
        <v>5.7305817299999999</v>
      </c>
      <c r="N18" s="21"/>
      <c r="O18" s="7">
        <f>'[6]Apr Prod'!H17</f>
        <v>3826000.0000000061</v>
      </c>
      <c r="P18" s="8">
        <f t="shared" si="8"/>
        <v>3.8260000000000058</v>
      </c>
      <c r="Q18" s="10">
        <f t="shared" si="9"/>
        <v>11.745820000000018</v>
      </c>
      <c r="R18" s="7">
        <f>'[6]Apr Prod'!C17</f>
        <v>3987000</v>
      </c>
      <c r="S18" s="8">
        <f t="shared" si="10"/>
        <v>3.9870000000000001</v>
      </c>
      <c r="T18" s="10">
        <f t="shared" si="11"/>
        <v>12.24009</v>
      </c>
      <c r="U18" s="7">
        <f>'[6]Apr Prod'!D17</f>
        <v>0</v>
      </c>
      <c r="V18" s="8">
        <f t="shared" si="12"/>
        <v>0</v>
      </c>
      <c r="W18" s="10">
        <f t="shared" si="13"/>
        <v>0</v>
      </c>
      <c r="X18" s="7">
        <f>'[6]Apr Prod'!D265</f>
        <v>160999.99999999427</v>
      </c>
      <c r="Y18" s="8">
        <f t="shared" si="14"/>
        <v>0.16099999999999426</v>
      </c>
      <c r="Z18" s="10">
        <f t="shared" si="15"/>
        <v>0.49426999999998233</v>
      </c>
      <c r="AA18" s="15"/>
      <c r="AB18" s="7">
        <f t="shared" si="16"/>
        <v>18426000.000000369</v>
      </c>
      <c r="AC18" s="8">
        <f t="shared" si="16"/>
        <v>18.426000000000371</v>
      </c>
      <c r="AD18" s="8">
        <f t="shared" si="16"/>
        <v>56.567820000001127</v>
      </c>
    </row>
    <row r="19" spans="1:30" x14ac:dyDescent="0.2">
      <c r="A19" s="28">
        <v>38457</v>
      </c>
      <c r="B19" s="7">
        <f>'[6]Apr Prod'!I18</f>
        <v>10899999.999999637</v>
      </c>
      <c r="C19" s="8">
        <f t="shared" si="1"/>
        <v>10.899999999999636</v>
      </c>
      <c r="D19" s="10">
        <f t="shared" si="2"/>
        <v>33.462999999998878</v>
      </c>
      <c r="E19" s="7">
        <f>'[6]Apr Prod'!E18</f>
        <v>0</v>
      </c>
      <c r="F19" s="8">
        <f t="shared" si="3"/>
        <v>0</v>
      </c>
      <c r="G19" s="10">
        <f t="shared" si="4"/>
        <v>0</v>
      </c>
      <c r="H19" s="7">
        <f>'[6]Apr Prod'!F18</f>
        <v>11180000</v>
      </c>
      <c r="I19" s="8">
        <f t="shared" si="17"/>
        <v>0.1118</v>
      </c>
      <c r="J19" s="10">
        <f t="shared" si="5"/>
        <v>0.34322599999999998</v>
      </c>
      <c r="K19" s="7">
        <f>'[6]Apr Prod'!H266</f>
        <v>1785269</v>
      </c>
      <c r="L19" s="8">
        <f t="shared" si="6"/>
        <v>1.785269</v>
      </c>
      <c r="M19" s="10">
        <f t="shared" si="7"/>
        <v>5.4807758299999998</v>
      </c>
      <c r="N19" s="21"/>
      <c r="O19" s="7">
        <f>'[6]Apr Prod'!H18</f>
        <v>3893999.9999999986</v>
      </c>
      <c r="P19" s="8">
        <f t="shared" si="8"/>
        <v>3.8939999999999988</v>
      </c>
      <c r="Q19" s="10">
        <f t="shared" si="9"/>
        <v>11.954579999999996</v>
      </c>
      <c r="R19" s="7">
        <f>'[6]Apr Prod'!C18</f>
        <v>4055000</v>
      </c>
      <c r="S19" s="8">
        <f t="shared" si="10"/>
        <v>4.0549999999999997</v>
      </c>
      <c r="T19" s="10">
        <f t="shared" si="11"/>
        <v>12.448849999999998</v>
      </c>
      <c r="U19" s="7">
        <f>'[6]Apr Prod'!D18</f>
        <v>0</v>
      </c>
      <c r="V19" s="8">
        <f t="shared" si="12"/>
        <v>0</v>
      </c>
      <c r="W19" s="10">
        <f t="shared" si="13"/>
        <v>0</v>
      </c>
      <c r="X19" s="7">
        <f>'[6]Apr Prod'!D266</f>
        <v>161000.00000000137</v>
      </c>
      <c r="Y19" s="8">
        <f t="shared" si="14"/>
        <v>0.16100000000000136</v>
      </c>
      <c r="Z19" s="10">
        <f t="shared" si="15"/>
        <v>0.49427000000000415</v>
      </c>
      <c r="AA19" s="15"/>
      <c r="AB19" s="7">
        <f t="shared" si="16"/>
        <v>14793999.999999635</v>
      </c>
      <c r="AC19" s="8">
        <f t="shared" si="16"/>
        <v>14.793999999999635</v>
      </c>
      <c r="AD19" s="8">
        <f>D19+Q19</f>
        <v>45.417579999998878</v>
      </c>
    </row>
    <row r="20" spans="1:30" x14ac:dyDescent="0.2">
      <c r="A20" s="28">
        <v>38458</v>
      </c>
      <c r="B20" s="7">
        <f>'[6]Apr Prod'!I19</f>
        <v>12000000</v>
      </c>
      <c r="C20" s="8">
        <f t="shared" si="1"/>
        <v>12</v>
      </c>
      <c r="D20" s="10">
        <f t="shared" si="2"/>
        <v>36.839999999999996</v>
      </c>
      <c r="E20" s="7">
        <f>'[6]Apr Prod'!E19</f>
        <v>0</v>
      </c>
      <c r="F20" s="8">
        <f t="shared" si="3"/>
        <v>0</v>
      </c>
      <c r="G20" s="10">
        <f t="shared" si="4"/>
        <v>0</v>
      </c>
      <c r="H20" s="7">
        <f>'[6]Apr Prod'!F19</f>
        <v>12910000</v>
      </c>
      <c r="I20" s="8">
        <f t="shared" si="17"/>
        <v>0.12909999999999999</v>
      </c>
      <c r="J20" s="10">
        <f t="shared" si="5"/>
        <v>0.39633699999999994</v>
      </c>
      <c r="K20" s="7">
        <f>'[6]Apr Prod'!H267</f>
        <v>1737623</v>
      </c>
      <c r="L20" s="8">
        <f t="shared" si="6"/>
        <v>1.7376229999999999</v>
      </c>
      <c r="M20" s="10">
        <f t="shared" si="7"/>
        <v>5.3345026099999995</v>
      </c>
      <c r="N20" s="21"/>
      <c r="O20" s="7">
        <f>'[6]Apr Prod'!H19</f>
        <v>3794999.9999999981</v>
      </c>
      <c r="P20" s="8">
        <f t="shared" si="8"/>
        <v>3.7949999999999982</v>
      </c>
      <c r="Q20" s="10">
        <f t="shared" si="9"/>
        <v>11.650649999999994</v>
      </c>
      <c r="R20" s="7">
        <f>'[6]Apr Prod'!C19</f>
        <v>3962000</v>
      </c>
      <c r="S20" s="8">
        <f t="shared" si="10"/>
        <v>3.9620000000000002</v>
      </c>
      <c r="T20" s="10">
        <f t="shared" si="11"/>
        <v>12.16334</v>
      </c>
      <c r="U20" s="7">
        <f>'[6]Apr Prod'!D19</f>
        <v>0</v>
      </c>
      <c r="V20" s="8">
        <f t="shared" si="12"/>
        <v>0</v>
      </c>
      <c r="W20" s="10">
        <f t="shared" si="13"/>
        <v>0</v>
      </c>
      <c r="X20" s="7">
        <f>'[6]Apr Prod'!D267</f>
        <v>167000.0000000016</v>
      </c>
      <c r="Y20" s="8">
        <f t="shared" si="14"/>
        <v>0.16700000000000159</v>
      </c>
      <c r="Z20" s="10">
        <f t="shared" si="15"/>
        <v>0.51269000000000486</v>
      </c>
      <c r="AA20" s="15"/>
      <c r="AB20" s="7">
        <f t="shared" si="16"/>
        <v>15794999.999999998</v>
      </c>
      <c r="AC20" s="8">
        <f t="shared" si="16"/>
        <v>15.794999999999998</v>
      </c>
      <c r="AD20" s="8">
        <f t="shared" si="16"/>
        <v>48.490649999999988</v>
      </c>
    </row>
    <row r="21" spans="1:30" x14ac:dyDescent="0.2">
      <c r="A21" s="28">
        <v>38459</v>
      </c>
      <c r="B21" s="7">
        <f>'[6]Apr Prod'!I20</f>
        <v>15000000</v>
      </c>
      <c r="C21" s="8">
        <f t="shared" si="1"/>
        <v>15</v>
      </c>
      <c r="D21" s="10">
        <f t="shared" si="2"/>
        <v>46.05</v>
      </c>
      <c r="E21" s="7">
        <f>'[6]Apr Prod'!E20</f>
        <v>0</v>
      </c>
      <c r="F21" s="8">
        <f t="shared" si="3"/>
        <v>0</v>
      </c>
      <c r="G21" s="10">
        <f t="shared" si="4"/>
        <v>0</v>
      </c>
      <c r="H21" s="7">
        <f>'[6]Apr Prod'!F20</f>
        <v>15050000</v>
      </c>
      <c r="I21" s="8">
        <f t="shared" si="17"/>
        <v>0.15049999999999999</v>
      </c>
      <c r="J21" s="10">
        <f t="shared" si="5"/>
        <v>0.46203499999999997</v>
      </c>
      <c r="K21" s="7">
        <f>'[6]Apr Prod'!H268</f>
        <v>1922893</v>
      </c>
      <c r="L21" s="8">
        <f t="shared" si="6"/>
        <v>1.922893</v>
      </c>
      <c r="M21" s="10">
        <f t="shared" si="7"/>
        <v>5.9032815099999993</v>
      </c>
      <c r="N21" s="21"/>
      <c r="O21" s="7">
        <f>'[6]Apr Prod'!H20</f>
        <v>3438999.9999999963</v>
      </c>
      <c r="P21" s="8">
        <f t="shared" si="8"/>
        <v>3.4389999999999961</v>
      </c>
      <c r="Q21" s="10">
        <f t="shared" si="9"/>
        <v>10.557729999999987</v>
      </c>
      <c r="R21" s="7">
        <f>'[6]Apr Prod'!C20</f>
        <v>3791000</v>
      </c>
      <c r="S21" s="8">
        <f t="shared" si="10"/>
        <v>3.7909999999999999</v>
      </c>
      <c r="T21" s="10">
        <f t="shared" si="11"/>
        <v>11.638369999999998</v>
      </c>
      <c r="U21" s="7">
        <f>'[6]Apr Prod'!D20</f>
        <v>0</v>
      </c>
      <c r="V21" s="8">
        <f t="shared" si="12"/>
        <v>0</v>
      </c>
      <c r="W21" s="10">
        <f t="shared" si="13"/>
        <v>0</v>
      </c>
      <c r="X21" s="7">
        <f>'[6]Apr Prod'!D268</f>
        <v>352000.00000000384</v>
      </c>
      <c r="Y21" s="8">
        <f t="shared" si="14"/>
        <v>0.35200000000000387</v>
      </c>
      <c r="Z21" s="10">
        <f t="shared" si="15"/>
        <v>1.0806400000000118</v>
      </c>
      <c r="AA21" s="15"/>
      <c r="AB21" s="7">
        <f t="shared" si="16"/>
        <v>18438999.999999996</v>
      </c>
      <c r="AC21" s="8">
        <f t="shared" si="16"/>
        <v>18.438999999999997</v>
      </c>
      <c r="AD21" s="8">
        <f t="shared" si="16"/>
        <v>56.607729999999982</v>
      </c>
    </row>
    <row r="22" spans="1:30" x14ac:dyDescent="0.2">
      <c r="A22" s="28">
        <v>38460</v>
      </c>
      <c r="B22" s="7">
        <f>'[6]Apr Prod'!I21</f>
        <v>18000000</v>
      </c>
      <c r="C22" s="8">
        <f t="shared" si="1"/>
        <v>18</v>
      </c>
      <c r="D22" s="10">
        <f t="shared" si="2"/>
        <v>55.26</v>
      </c>
      <c r="E22" s="7">
        <f>'[6]Apr Prod'!E21</f>
        <v>0</v>
      </c>
      <c r="F22" s="8">
        <f t="shared" si="3"/>
        <v>0</v>
      </c>
      <c r="G22" s="10">
        <f t="shared" si="4"/>
        <v>0</v>
      </c>
      <c r="H22" s="7">
        <f>'[6]Apr Prod'!F21</f>
        <v>18080000</v>
      </c>
      <c r="I22" s="8">
        <f t="shared" si="17"/>
        <v>0.18079999999999999</v>
      </c>
      <c r="J22" s="10">
        <f t="shared" si="5"/>
        <v>0.55505599999999988</v>
      </c>
      <c r="K22" s="7">
        <f>'[6]Apr Prod'!H269</f>
        <v>1633717</v>
      </c>
      <c r="L22" s="8">
        <f t="shared" si="6"/>
        <v>1.6337170000000001</v>
      </c>
      <c r="M22" s="10">
        <f t="shared" si="7"/>
        <v>5.0155111899999998</v>
      </c>
      <c r="N22" s="21"/>
      <c r="O22" s="7">
        <f>'[6]Apr Prod'!H21</f>
        <v>5106000.0000000056</v>
      </c>
      <c r="P22" s="8">
        <f t="shared" si="8"/>
        <v>5.1060000000000052</v>
      </c>
      <c r="Q22" s="10">
        <f t="shared" si="9"/>
        <v>15.675420000000015</v>
      </c>
      <c r="R22" s="7">
        <f>'[6]Apr Prod'!C21</f>
        <v>5215000</v>
      </c>
      <c r="S22" s="8">
        <f t="shared" si="10"/>
        <v>5.2149999999999999</v>
      </c>
      <c r="T22" s="10">
        <f t="shared" si="11"/>
        <v>16.01005</v>
      </c>
      <c r="U22" s="7">
        <f>'[6]Apr Prod'!D21</f>
        <v>0</v>
      </c>
      <c r="V22" s="8">
        <f t="shared" si="12"/>
        <v>0</v>
      </c>
      <c r="W22" s="10">
        <f t="shared" si="13"/>
        <v>0</v>
      </c>
      <c r="X22" s="7">
        <f>'[6]Apr Prod'!D269</f>
        <v>108999.99999999466</v>
      </c>
      <c r="Y22" s="8">
        <f t="shared" si="14"/>
        <v>0.10899999999999466</v>
      </c>
      <c r="Z22" s="10">
        <f t="shared" si="15"/>
        <v>0.33462999999998355</v>
      </c>
      <c r="AA22" s="15"/>
      <c r="AB22" s="7">
        <f t="shared" si="16"/>
        <v>23106000.000000007</v>
      </c>
      <c r="AC22" s="8">
        <f t="shared" si="16"/>
        <v>23.106000000000005</v>
      </c>
      <c r="AD22" s="8">
        <f t="shared" si="16"/>
        <v>70.935420000000008</v>
      </c>
    </row>
    <row r="23" spans="1:30" x14ac:dyDescent="0.2">
      <c r="A23" s="28">
        <v>38461</v>
      </c>
      <c r="B23" s="7">
        <f>'[6]Apr Prod'!I22</f>
        <v>18299999.999999274</v>
      </c>
      <c r="C23" s="8">
        <f t="shared" si="1"/>
        <v>18.299999999999272</v>
      </c>
      <c r="D23" s="10">
        <f t="shared" si="2"/>
        <v>56.180999999997766</v>
      </c>
      <c r="E23" s="7">
        <f>'[6]Apr Prod'!E22</f>
        <v>0</v>
      </c>
      <c r="F23" s="8">
        <f t="shared" si="3"/>
        <v>0</v>
      </c>
      <c r="G23" s="10">
        <f t="shared" si="4"/>
        <v>0</v>
      </c>
      <c r="H23" s="7">
        <f>'[6]Apr Prod'!F22</f>
        <v>18340000</v>
      </c>
      <c r="I23" s="8">
        <f t="shared" si="17"/>
        <v>0.18340000000000001</v>
      </c>
      <c r="J23" s="10">
        <f t="shared" si="5"/>
        <v>0.56303800000000004</v>
      </c>
      <c r="K23" s="7">
        <f>'[6]Apr Prod'!H270</f>
        <v>1796491</v>
      </c>
      <c r="L23" s="8">
        <f t="shared" si="6"/>
        <v>1.7964910000000001</v>
      </c>
      <c r="M23" s="10">
        <f t="shared" si="7"/>
        <v>5.5152273699999999</v>
      </c>
      <c r="N23" s="21"/>
      <c r="O23" s="7">
        <f>'[6]Apr Prod'!H22</f>
        <v>3640000</v>
      </c>
      <c r="P23" s="8">
        <f t="shared" si="8"/>
        <v>3.64</v>
      </c>
      <c r="Q23" s="10">
        <f t="shared" si="9"/>
        <v>11.174799999999999</v>
      </c>
      <c r="R23" s="7">
        <f>'[6]Apr Prod'!C22</f>
        <v>3640000</v>
      </c>
      <c r="S23" s="8">
        <f t="shared" si="10"/>
        <v>3.64</v>
      </c>
      <c r="T23" s="10">
        <f t="shared" si="11"/>
        <v>11.174799999999999</v>
      </c>
      <c r="U23" s="7">
        <f>'[6]Apr Prod'!D22</f>
        <v>0</v>
      </c>
      <c r="V23" s="8">
        <f t="shared" si="12"/>
        <v>0</v>
      </c>
      <c r="W23" s="10">
        <f t="shared" si="13"/>
        <v>0</v>
      </c>
      <c r="X23" s="7">
        <f>'[6]Apr Prod'!D270</f>
        <v>0</v>
      </c>
      <c r="Y23" s="8">
        <f t="shared" si="14"/>
        <v>0</v>
      </c>
      <c r="Z23" s="10">
        <f t="shared" si="15"/>
        <v>0</v>
      </c>
      <c r="AA23" s="15"/>
      <c r="AB23" s="7">
        <f t="shared" si="16"/>
        <v>21939999.999999274</v>
      </c>
      <c r="AC23" s="8">
        <f t="shared" si="16"/>
        <v>21.939999999999273</v>
      </c>
      <c r="AD23" s="8">
        <f t="shared" si="16"/>
        <v>67.355799999997771</v>
      </c>
    </row>
    <row r="24" spans="1:30" x14ac:dyDescent="0.2">
      <c r="A24" s="28">
        <v>38462</v>
      </c>
      <c r="B24" s="7">
        <f>'[6]Apr Prod'!I23</f>
        <v>17300000.000001092</v>
      </c>
      <c r="C24" s="8">
        <f t="shared" si="1"/>
        <v>17.300000000001091</v>
      </c>
      <c r="D24" s="10">
        <f t="shared" si="2"/>
        <v>53.111000000003351</v>
      </c>
      <c r="E24" s="7">
        <f>'[6]Apr Prod'!E23</f>
        <v>0</v>
      </c>
      <c r="F24" s="8">
        <f t="shared" si="3"/>
        <v>0</v>
      </c>
      <c r="G24" s="10">
        <f t="shared" si="4"/>
        <v>0</v>
      </c>
      <c r="H24" s="7">
        <f>'[6]Apr Prod'!F23</f>
        <v>17160000</v>
      </c>
      <c r="I24" s="8">
        <f t="shared" si="17"/>
        <v>0.1716</v>
      </c>
      <c r="J24" s="10">
        <f t="shared" si="5"/>
        <v>0.52681199999999995</v>
      </c>
      <c r="K24" s="7">
        <f>'[6]Apr Prod'!H271</f>
        <v>2264051</v>
      </c>
      <c r="L24" s="8">
        <f t="shared" si="6"/>
        <v>2.2640509999999998</v>
      </c>
      <c r="M24" s="10">
        <f t="shared" si="7"/>
        <v>6.9506365699999995</v>
      </c>
      <c r="N24" s="21"/>
      <c r="O24" s="7">
        <f>'[6]Apr Prod'!H23</f>
        <v>4861999.9999999972</v>
      </c>
      <c r="P24" s="8">
        <f t="shared" si="8"/>
        <v>4.8619999999999974</v>
      </c>
      <c r="Q24" s="10">
        <f t="shared" si="9"/>
        <v>14.926339999999991</v>
      </c>
      <c r="R24" s="7">
        <f>'[6]Apr Prod'!C23</f>
        <v>5050000</v>
      </c>
      <c r="S24" s="8">
        <f t="shared" si="10"/>
        <v>5.05</v>
      </c>
      <c r="T24" s="10">
        <f t="shared" si="11"/>
        <v>15.503499999999999</v>
      </c>
      <c r="U24" s="7">
        <f>'[6]Apr Prod'!D23</f>
        <v>0</v>
      </c>
      <c r="V24" s="8">
        <f t="shared" si="12"/>
        <v>0</v>
      </c>
      <c r="W24" s="10">
        <f t="shared" si="13"/>
        <v>0</v>
      </c>
      <c r="X24" s="7">
        <f>'[6]Apr Prod'!D271</f>
        <v>188000.00000000239</v>
      </c>
      <c r="Y24" s="8">
        <f t="shared" si="14"/>
        <v>0.18800000000000239</v>
      </c>
      <c r="Z24" s="10">
        <f t="shared" si="15"/>
        <v>0.57716000000000733</v>
      </c>
      <c r="AA24" s="15"/>
      <c r="AB24" s="7">
        <f t="shared" si="16"/>
        <v>22162000.000001088</v>
      </c>
      <c r="AC24" s="8">
        <f t="shared" si="16"/>
        <v>22.16200000000109</v>
      </c>
      <c r="AD24" s="8">
        <f>D24+Q24</f>
        <v>68.03734000000334</v>
      </c>
    </row>
    <row r="25" spans="1:30" x14ac:dyDescent="0.2">
      <c r="A25" s="28">
        <v>38463</v>
      </c>
      <c r="B25" s="7">
        <f>'[6]Apr Prod'!I24</f>
        <v>20799999.999999274</v>
      </c>
      <c r="C25" s="8">
        <f t="shared" si="1"/>
        <v>20.799999999999272</v>
      </c>
      <c r="D25" s="10">
        <f t="shared" si="2"/>
        <v>63.855999999997763</v>
      </c>
      <c r="E25" s="7">
        <f>'[6]Apr Prod'!E24</f>
        <v>0</v>
      </c>
      <c r="F25" s="8">
        <f t="shared" si="3"/>
        <v>0</v>
      </c>
      <c r="G25" s="10">
        <f t="shared" si="4"/>
        <v>0</v>
      </c>
      <c r="H25" s="7">
        <f>'[6]Apr Prod'!F24</f>
        <v>21060000</v>
      </c>
      <c r="I25" s="8">
        <f t="shared" si="17"/>
        <v>0.21060000000000001</v>
      </c>
      <c r="J25" s="10">
        <f t="shared" si="5"/>
        <v>0.64654199999999995</v>
      </c>
      <c r="K25" s="7">
        <f>'[6]Apr Prod'!H272</f>
        <v>2144099</v>
      </c>
      <c r="L25" s="8">
        <f t="shared" si="6"/>
        <v>2.1440990000000002</v>
      </c>
      <c r="M25" s="10">
        <f t="shared" si="7"/>
        <v>6.5823839300000007</v>
      </c>
      <c r="N25" s="21"/>
      <c r="O25" s="7">
        <f>'[6]Apr Prod'!H24</f>
        <v>5963999.9999999991</v>
      </c>
      <c r="P25" s="8">
        <f t="shared" si="8"/>
        <v>5.9639999999999986</v>
      </c>
      <c r="Q25" s="10">
        <f t="shared" si="9"/>
        <v>18.309479999999994</v>
      </c>
      <c r="R25" s="7">
        <f>'[6]Apr Prod'!C24</f>
        <v>6229000</v>
      </c>
      <c r="S25" s="8">
        <f t="shared" si="10"/>
        <v>6.2290000000000001</v>
      </c>
      <c r="T25" s="10">
        <f t="shared" si="11"/>
        <v>19.12303</v>
      </c>
      <c r="U25" s="7">
        <f>'[6]Apr Prod'!D24</f>
        <v>0</v>
      </c>
      <c r="V25" s="8">
        <f t="shared" si="12"/>
        <v>0</v>
      </c>
      <c r="W25" s="10">
        <f t="shared" si="13"/>
        <v>0</v>
      </c>
      <c r="X25" s="7">
        <f>'[6]Apr Prod'!D272</f>
        <v>265000.00000000058</v>
      </c>
      <c r="Y25" s="8">
        <f t="shared" si="14"/>
        <v>0.26500000000000057</v>
      </c>
      <c r="Z25" s="10">
        <f t="shared" si="15"/>
        <v>0.81355000000000166</v>
      </c>
      <c r="AA25" s="15"/>
      <c r="AB25" s="7">
        <f t="shared" si="16"/>
        <v>26763999.999999274</v>
      </c>
      <c r="AC25" s="8">
        <f t="shared" si="16"/>
        <v>26.763999999999271</v>
      </c>
      <c r="AD25" s="8">
        <f t="shared" si="16"/>
        <v>82.165479999997757</v>
      </c>
    </row>
    <row r="26" spans="1:30" x14ac:dyDescent="0.2">
      <c r="A26" s="28">
        <v>38464</v>
      </c>
      <c r="B26" s="7">
        <f>'[6]Apr Prod'!I25</f>
        <v>21500000</v>
      </c>
      <c r="C26" s="8">
        <f t="shared" si="1"/>
        <v>21.5</v>
      </c>
      <c r="D26" s="10">
        <f t="shared" si="2"/>
        <v>66.004999999999995</v>
      </c>
      <c r="E26" s="7">
        <f>'[6]Apr Prod'!E25</f>
        <v>0</v>
      </c>
      <c r="F26" s="8">
        <f t="shared" si="3"/>
        <v>0</v>
      </c>
      <c r="G26" s="10">
        <f t="shared" si="4"/>
        <v>0</v>
      </c>
      <c r="H26" s="7">
        <f>'[6]Apr Prod'!F25</f>
        <v>20590000</v>
      </c>
      <c r="I26" s="8">
        <f t="shared" si="17"/>
        <v>0.2059</v>
      </c>
      <c r="J26" s="10">
        <f t="shared" si="5"/>
        <v>0.63211299999999992</v>
      </c>
      <c r="K26" s="7">
        <f>'[6]Apr Prod'!H273</f>
        <v>1866423</v>
      </c>
      <c r="L26" s="8">
        <f t="shared" si="6"/>
        <v>1.8664229999999999</v>
      </c>
      <c r="M26" s="10">
        <f t="shared" si="7"/>
        <v>5.7299186099999995</v>
      </c>
      <c r="N26" s="21"/>
      <c r="O26" s="7">
        <f>'[6]Apr Prod'!H25</f>
        <v>6055999.9999999972</v>
      </c>
      <c r="P26" s="8">
        <f t="shared" si="8"/>
        <v>6.0559999999999974</v>
      </c>
      <c r="Q26" s="10">
        <f t="shared" si="9"/>
        <v>18.591919999999991</v>
      </c>
      <c r="R26" s="7">
        <f>'[6]Apr Prod'!C25</f>
        <v>6317000</v>
      </c>
      <c r="S26" s="8">
        <f t="shared" si="10"/>
        <v>6.3170000000000002</v>
      </c>
      <c r="T26" s="10">
        <f t="shared" si="11"/>
        <v>19.393190000000001</v>
      </c>
      <c r="U26" s="7">
        <f>'[6]Apr Prod'!D25</f>
        <v>0</v>
      </c>
      <c r="V26" s="8">
        <f t="shared" si="12"/>
        <v>0</v>
      </c>
      <c r="W26" s="10">
        <f t="shared" si="13"/>
        <v>0</v>
      </c>
      <c r="X26" s="7">
        <f>'[6]Apr Prod'!D273</f>
        <v>261000.00000000279</v>
      </c>
      <c r="Y26" s="8">
        <f t="shared" si="14"/>
        <v>0.26100000000000279</v>
      </c>
      <c r="Z26" s="10">
        <f t="shared" si="15"/>
        <v>0.80127000000000848</v>
      </c>
      <c r="AA26" s="15"/>
      <c r="AB26" s="7">
        <f t="shared" si="16"/>
        <v>27555999.999999996</v>
      </c>
      <c r="AC26" s="8">
        <f t="shared" si="16"/>
        <v>27.555999999999997</v>
      </c>
      <c r="AD26" s="8">
        <f t="shared" si="16"/>
        <v>84.596919999999983</v>
      </c>
    </row>
    <row r="27" spans="1:30" x14ac:dyDescent="0.2">
      <c r="A27" s="28">
        <v>38465</v>
      </c>
      <c r="B27" s="7">
        <f>'[6]Apr Prod'!I26</f>
        <v>20200000.000000726</v>
      </c>
      <c r="C27" s="8">
        <f t="shared" si="1"/>
        <v>20.200000000000728</v>
      </c>
      <c r="D27" s="10">
        <f t="shared" si="2"/>
        <v>62.014000000002234</v>
      </c>
      <c r="E27" s="7">
        <f>'[6]Apr Prod'!E26</f>
        <v>0</v>
      </c>
      <c r="F27" s="8">
        <f t="shared" si="3"/>
        <v>0</v>
      </c>
      <c r="G27" s="10">
        <f t="shared" si="4"/>
        <v>0</v>
      </c>
      <c r="H27" s="7">
        <f>'[6]Apr Prod'!F26</f>
        <v>19970000</v>
      </c>
      <c r="I27" s="8">
        <f t="shared" si="17"/>
        <v>0.19969999999999999</v>
      </c>
      <c r="J27" s="10">
        <f t="shared" si="5"/>
        <v>0.61307899999999993</v>
      </c>
      <c r="K27" s="7">
        <f>'[6]Apr Prod'!H274</f>
        <v>1605465</v>
      </c>
      <c r="L27" s="8">
        <f t="shared" si="6"/>
        <v>1.6054649999999999</v>
      </c>
      <c r="M27" s="10">
        <f t="shared" si="7"/>
        <v>4.9287775499999995</v>
      </c>
      <c r="N27" s="21"/>
      <c r="O27" s="7">
        <f>'[6]Apr Prod'!H26</f>
        <v>5779000.0000000019</v>
      </c>
      <c r="P27" s="8">
        <f t="shared" si="8"/>
        <v>5.7790000000000017</v>
      </c>
      <c r="Q27" s="10">
        <f t="shared" si="9"/>
        <v>17.741530000000004</v>
      </c>
      <c r="R27" s="7">
        <f>'[6]Apr Prod'!C26</f>
        <v>6033000</v>
      </c>
      <c r="S27" s="8">
        <f t="shared" si="10"/>
        <v>6.0330000000000004</v>
      </c>
      <c r="T27" s="10">
        <f t="shared" si="11"/>
        <v>18.52131</v>
      </c>
      <c r="U27" s="7">
        <f>'[6]Apr Prod'!D26</f>
        <v>0</v>
      </c>
      <c r="V27" s="8">
        <f t="shared" si="12"/>
        <v>0</v>
      </c>
      <c r="W27" s="10">
        <f t="shared" si="13"/>
        <v>0</v>
      </c>
      <c r="X27" s="7">
        <f>'[6]Apr Prod'!D274</f>
        <v>253999.99999999779</v>
      </c>
      <c r="Y27" s="8">
        <f t="shared" si="14"/>
        <v>0.25399999999999778</v>
      </c>
      <c r="Z27" s="10">
        <f t="shared" si="15"/>
        <v>0.77977999999999315</v>
      </c>
      <c r="AA27" s="15"/>
      <c r="AB27" s="7">
        <f t="shared" si="16"/>
        <v>25979000.00000073</v>
      </c>
      <c r="AC27" s="8">
        <f t="shared" si="16"/>
        <v>25.979000000000731</v>
      </c>
      <c r="AD27" s="8">
        <f t="shared" si="16"/>
        <v>79.755530000002238</v>
      </c>
    </row>
    <row r="28" spans="1:30" x14ac:dyDescent="0.2">
      <c r="A28" s="28">
        <v>38466</v>
      </c>
      <c r="B28" s="7">
        <f>'[6]Apr Prod'!I27</f>
        <v>22799999.999999274</v>
      </c>
      <c r="C28" s="8">
        <f t="shared" si="1"/>
        <v>22.799999999999272</v>
      </c>
      <c r="D28" s="10">
        <f t="shared" si="2"/>
        <v>69.995999999997764</v>
      </c>
      <c r="E28" s="7">
        <f>'[6]Apr Prod'!E27</f>
        <v>0</v>
      </c>
      <c r="F28" s="8">
        <f t="shared" si="3"/>
        <v>0</v>
      </c>
      <c r="G28" s="10">
        <f t="shared" si="4"/>
        <v>0</v>
      </c>
      <c r="H28" s="7">
        <f>'[6]Apr Prod'!F27</f>
        <v>21700000</v>
      </c>
      <c r="I28" s="8">
        <f t="shared" si="17"/>
        <v>0.217</v>
      </c>
      <c r="J28" s="10">
        <f t="shared" si="5"/>
        <v>0.66618999999999995</v>
      </c>
      <c r="K28" s="7">
        <f>'[6]Apr Prod'!H275</f>
        <v>1547600</v>
      </c>
      <c r="L28" s="8">
        <f t="shared" si="6"/>
        <v>1.5476000000000001</v>
      </c>
      <c r="M28" s="10">
        <f t="shared" si="7"/>
        <v>4.7511320000000001</v>
      </c>
      <c r="N28" s="21"/>
      <c r="O28" s="7">
        <f>'[6]Apr Prod'!H27</f>
        <v>7803999.9999999972</v>
      </c>
      <c r="P28" s="8">
        <f t="shared" si="8"/>
        <v>7.8039999999999976</v>
      </c>
      <c r="Q28" s="10">
        <f t="shared" si="9"/>
        <v>23.958279999999991</v>
      </c>
      <c r="R28" s="7">
        <f>'[6]Apr Prod'!C27</f>
        <v>8059000</v>
      </c>
      <c r="S28" s="8">
        <f t="shared" si="10"/>
        <v>8.0589999999999993</v>
      </c>
      <c r="T28" s="10">
        <f t="shared" si="11"/>
        <v>24.741129999999995</v>
      </c>
      <c r="U28" s="7">
        <f>'[6]Apr Prod'!D27</f>
        <v>0</v>
      </c>
      <c r="V28" s="8">
        <f t="shared" si="12"/>
        <v>0</v>
      </c>
      <c r="W28" s="10">
        <f t="shared" si="13"/>
        <v>0</v>
      </c>
      <c r="X28" s="7">
        <f>'[6]Apr Prod'!D275</f>
        <v>255000.00000000256</v>
      </c>
      <c r="Y28" s="8">
        <f t="shared" si="14"/>
        <v>0.25500000000000256</v>
      </c>
      <c r="Z28" s="10">
        <f t="shared" si="15"/>
        <v>0.78285000000000782</v>
      </c>
      <c r="AA28" s="15"/>
      <c r="AB28" s="7">
        <f t="shared" si="16"/>
        <v>30603999.99999927</v>
      </c>
      <c r="AC28" s="8">
        <f t="shared" si="16"/>
        <v>30.603999999999271</v>
      </c>
      <c r="AD28" s="8">
        <f t="shared" si="16"/>
        <v>93.954279999997752</v>
      </c>
    </row>
    <row r="29" spans="1:30" x14ac:dyDescent="0.2">
      <c r="A29" s="28">
        <v>38467</v>
      </c>
      <c r="B29" s="7">
        <f>'[6]Apr Prod'!I28</f>
        <v>21000000</v>
      </c>
      <c r="C29" s="8">
        <f t="shared" si="1"/>
        <v>21</v>
      </c>
      <c r="D29" s="10">
        <f t="shared" si="2"/>
        <v>64.47</v>
      </c>
      <c r="E29" s="7">
        <f>'[6]Apr Prod'!E28</f>
        <v>6000000</v>
      </c>
      <c r="F29" s="8">
        <f t="shared" si="3"/>
        <v>6</v>
      </c>
      <c r="G29" s="10">
        <f t="shared" si="4"/>
        <v>18.419999999999998</v>
      </c>
      <c r="H29" s="7">
        <f>'[6]Apr Prod'!F28</f>
        <v>14010000</v>
      </c>
      <c r="I29" s="8">
        <f>H29/1000000</f>
        <v>14.01</v>
      </c>
      <c r="J29" s="10">
        <f t="shared" si="5"/>
        <v>43.0107</v>
      </c>
      <c r="K29" s="7">
        <f>'[6]Apr Prod'!H276</f>
        <v>1201631</v>
      </c>
      <c r="L29" s="8">
        <f t="shared" si="6"/>
        <v>1.2016309999999999</v>
      </c>
      <c r="M29" s="10">
        <f t="shared" si="7"/>
        <v>3.6890071699999996</v>
      </c>
      <c r="N29" s="21"/>
      <c r="O29" s="7">
        <f>'[6]Apr Prod'!H28</f>
        <v>6103000.0000000047</v>
      </c>
      <c r="P29" s="8">
        <f t="shared" si="8"/>
        <v>6.1030000000000051</v>
      </c>
      <c r="Q29" s="10">
        <f t="shared" si="9"/>
        <v>18.736210000000014</v>
      </c>
      <c r="R29" s="7">
        <f>'[6]Apr Prod'!C28</f>
        <v>6358000</v>
      </c>
      <c r="S29" s="8">
        <f t="shared" si="10"/>
        <v>6.3579999999999997</v>
      </c>
      <c r="T29" s="10">
        <f t="shared" si="11"/>
        <v>19.51906</v>
      </c>
      <c r="U29" s="7">
        <f>'[6]Apr Prod'!D28</f>
        <v>0</v>
      </c>
      <c r="V29" s="8">
        <f t="shared" si="12"/>
        <v>0</v>
      </c>
      <c r="W29" s="10">
        <f t="shared" si="13"/>
        <v>0</v>
      </c>
      <c r="X29" s="7">
        <f>'[6]Apr Prod'!D276</f>
        <v>254999.99999999546</v>
      </c>
      <c r="Y29" s="8">
        <f t="shared" si="14"/>
        <v>0.25499999999999545</v>
      </c>
      <c r="Z29" s="10">
        <f t="shared" si="15"/>
        <v>0.78284999999998595</v>
      </c>
      <c r="AA29" s="15"/>
      <c r="AB29" s="7">
        <f t="shared" si="16"/>
        <v>27103000.000000004</v>
      </c>
      <c r="AC29" s="8">
        <f t="shared" si="16"/>
        <v>27.103000000000005</v>
      </c>
      <c r="AD29" s="8">
        <f t="shared" si="16"/>
        <v>83.206210000000013</v>
      </c>
    </row>
    <row r="30" spans="1:30" x14ac:dyDescent="0.2">
      <c r="A30" s="28">
        <v>38468</v>
      </c>
      <c r="B30" s="7">
        <f>'[6]Apr Prod'!I29</f>
        <v>20000000</v>
      </c>
      <c r="C30" s="8">
        <f t="shared" si="1"/>
        <v>20</v>
      </c>
      <c r="D30" s="10">
        <f t="shared" si="2"/>
        <v>61.4</v>
      </c>
      <c r="E30" s="7">
        <f>'[6]Apr Prod'!E29</f>
        <v>10000000</v>
      </c>
      <c r="F30" s="8">
        <f t="shared" si="3"/>
        <v>10</v>
      </c>
      <c r="G30" s="10">
        <f t="shared" si="4"/>
        <v>30.7</v>
      </c>
      <c r="H30" s="7">
        <f>'[6]Apr Prod'!F29</f>
        <v>10650000</v>
      </c>
      <c r="I30" s="8">
        <f t="shared" ref="I30:I32" si="18">H30/1000000</f>
        <v>10.65</v>
      </c>
      <c r="J30" s="10">
        <f t="shared" si="5"/>
        <v>32.695500000000003</v>
      </c>
      <c r="K30" s="7">
        <f>'[6]Apr Prod'!H277</f>
        <v>1286601</v>
      </c>
      <c r="L30" s="8">
        <f t="shared" si="6"/>
        <v>1.2866010000000001</v>
      </c>
      <c r="M30" s="10">
        <f t="shared" si="7"/>
        <v>3.94986507</v>
      </c>
      <c r="N30" s="21"/>
      <c r="O30" s="7">
        <f>'[6]Apr Prod'!H29</f>
        <v>6825999.9999999972</v>
      </c>
      <c r="P30" s="8">
        <f t="shared" si="8"/>
        <v>6.825999999999997</v>
      </c>
      <c r="Q30" s="10">
        <f t="shared" si="9"/>
        <v>20.955819999999989</v>
      </c>
      <c r="R30" s="7">
        <f>'[6]Apr Prod'!C29</f>
        <v>7029000</v>
      </c>
      <c r="S30" s="8">
        <f t="shared" si="10"/>
        <v>7.0289999999999999</v>
      </c>
      <c r="T30" s="10">
        <f t="shared" si="11"/>
        <v>21.579029999999999</v>
      </c>
      <c r="U30" s="7">
        <f>'[6]Apr Prod'!D29</f>
        <v>0</v>
      </c>
      <c r="V30" s="8">
        <f t="shared" si="12"/>
        <v>0</v>
      </c>
      <c r="W30" s="10">
        <f t="shared" si="13"/>
        <v>0</v>
      </c>
      <c r="X30" s="7">
        <f>'[6]Apr Prod'!D277</f>
        <v>203000.00000000297</v>
      </c>
      <c r="Y30" s="8">
        <f t="shared" si="14"/>
        <v>0.20300000000000296</v>
      </c>
      <c r="Z30" s="10">
        <f t="shared" si="15"/>
        <v>0.62321000000000903</v>
      </c>
      <c r="AA30" s="15"/>
      <c r="AB30" s="7">
        <f t="shared" si="16"/>
        <v>26825999.999999996</v>
      </c>
      <c r="AC30" s="8">
        <f t="shared" si="16"/>
        <v>26.825999999999997</v>
      </c>
      <c r="AD30" s="8">
        <f>D30+Q30</f>
        <v>82.355819999999994</v>
      </c>
    </row>
    <row r="31" spans="1:30" x14ac:dyDescent="0.2">
      <c r="A31" s="28">
        <v>38469</v>
      </c>
      <c r="B31" s="7">
        <f>'[6]Apr Prod'!I30</f>
        <v>16500000</v>
      </c>
      <c r="C31" s="8">
        <f t="shared" si="1"/>
        <v>16.5</v>
      </c>
      <c r="D31" s="10">
        <f t="shared" si="2"/>
        <v>50.654999999999994</v>
      </c>
      <c r="E31" s="7">
        <f>'[6]Apr Prod'!E30</f>
        <v>7000000</v>
      </c>
      <c r="F31" s="8">
        <f t="shared" si="3"/>
        <v>7</v>
      </c>
      <c r="G31" s="10">
        <f t="shared" si="4"/>
        <v>21.49</v>
      </c>
      <c r="H31" s="7">
        <f>'[6]Apr Prod'!F30</f>
        <v>9380000</v>
      </c>
      <c r="I31" s="8">
        <f t="shared" si="18"/>
        <v>9.3800000000000008</v>
      </c>
      <c r="J31" s="10">
        <f t="shared" si="5"/>
        <v>28.796600000000002</v>
      </c>
      <c r="K31" s="7">
        <f>'[6]Apr Prod'!H278</f>
        <v>1197295</v>
      </c>
      <c r="L31" s="8">
        <f t="shared" si="6"/>
        <v>1.197295</v>
      </c>
      <c r="M31" s="10">
        <f t="shared" si="7"/>
        <v>3.6756956499999998</v>
      </c>
      <c r="N31" s="21"/>
      <c r="O31" s="7">
        <f>'[6]Apr Prod'!H30</f>
        <v>4329999.9999999981</v>
      </c>
      <c r="P31" s="8">
        <f t="shared" si="8"/>
        <v>4.3299999999999983</v>
      </c>
      <c r="Q31" s="10">
        <f t="shared" si="9"/>
        <v>13.293099999999994</v>
      </c>
      <c r="R31" s="7">
        <f>'[6]Apr Prod'!C30</f>
        <v>4491000</v>
      </c>
      <c r="S31" s="8">
        <f t="shared" si="10"/>
        <v>4.4909999999999997</v>
      </c>
      <c r="T31" s="10">
        <f t="shared" si="11"/>
        <v>13.787369999999997</v>
      </c>
      <c r="U31" s="7">
        <f>'[6]Apr Prod'!D30</f>
        <v>0</v>
      </c>
      <c r="V31" s="8">
        <f t="shared" si="12"/>
        <v>0</v>
      </c>
      <c r="W31" s="10">
        <f t="shared" si="13"/>
        <v>0</v>
      </c>
      <c r="X31" s="7">
        <f>'[6]Apr Prod'!D278</f>
        <v>161000.00000000137</v>
      </c>
      <c r="Y31" s="8">
        <f t="shared" si="14"/>
        <v>0.16100000000000136</v>
      </c>
      <c r="Z31" s="10">
        <f t="shared" si="15"/>
        <v>0.49427000000000415</v>
      </c>
      <c r="AA31" s="15"/>
      <c r="AB31" s="7">
        <f t="shared" si="16"/>
        <v>20830000</v>
      </c>
      <c r="AC31" s="8">
        <f t="shared" si="16"/>
        <v>20.83</v>
      </c>
      <c r="AD31" s="8">
        <f t="shared" si="16"/>
        <v>63.94809999999999</v>
      </c>
    </row>
    <row r="32" spans="1:30" x14ac:dyDescent="0.2">
      <c r="A32" s="28">
        <v>38470</v>
      </c>
      <c r="B32" s="7">
        <f>'[6]Apr Prod'!I31</f>
        <v>16300000.000001092</v>
      </c>
      <c r="C32" s="8">
        <f t="shared" si="1"/>
        <v>16.300000000001091</v>
      </c>
      <c r="D32" s="10">
        <f t="shared" si="2"/>
        <v>50.041000000003351</v>
      </c>
      <c r="E32" s="7">
        <f>'[6]Apr Prod'!E31</f>
        <v>7000000</v>
      </c>
      <c r="F32" s="8">
        <f t="shared" si="3"/>
        <v>7</v>
      </c>
      <c r="G32" s="10">
        <f t="shared" si="4"/>
        <v>21.49</v>
      </c>
      <c r="H32" s="7">
        <f>'[6]Apr Prod'!F31</f>
        <v>9110000</v>
      </c>
      <c r="I32" s="8">
        <f t="shared" si="18"/>
        <v>9.11</v>
      </c>
      <c r="J32" s="10">
        <f t="shared" si="5"/>
        <v>27.967699999999997</v>
      </c>
      <c r="K32" s="7">
        <f>'[6]Apr Prod'!H279</f>
        <v>1203459</v>
      </c>
      <c r="L32" s="8">
        <f t="shared" si="6"/>
        <v>1.2034590000000001</v>
      </c>
      <c r="M32" s="10">
        <f t="shared" si="7"/>
        <v>3.69461913</v>
      </c>
      <c r="N32" s="21"/>
      <c r="O32" s="7">
        <f>'[6]Apr Prod'!H31</f>
        <v>4874000.0000000028</v>
      </c>
      <c r="P32" s="8">
        <f t="shared" si="8"/>
        <v>4.8740000000000032</v>
      </c>
      <c r="Q32" s="10">
        <f t="shared" si="9"/>
        <v>14.963180000000008</v>
      </c>
      <c r="R32" s="7">
        <f>'[6]Apr Prod'!C31</f>
        <v>5061000</v>
      </c>
      <c r="S32" s="8">
        <f t="shared" si="10"/>
        <v>5.0609999999999999</v>
      </c>
      <c r="T32" s="10">
        <f t="shared" si="11"/>
        <v>15.537269999999999</v>
      </c>
      <c r="U32" s="7">
        <f>'[6]Apr Prod'!D31</f>
        <v>0</v>
      </c>
      <c r="V32" s="8">
        <f t="shared" si="12"/>
        <v>0</v>
      </c>
      <c r="W32" s="10">
        <f t="shared" si="13"/>
        <v>0</v>
      </c>
      <c r="X32" s="7">
        <f>'[6]Apr Prod'!D279</f>
        <v>186999.99999999761</v>
      </c>
      <c r="Y32" s="8">
        <f t="shared" si="14"/>
        <v>0.18699999999999761</v>
      </c>
      <c r="Z32" s="10">
        <f t="shared" si="15"/>
        <v>0.57408999999999266</v>
      </c>
      <c r="AA32" s="15"/>
      <c r="AB32" s="7">
        <f t="shared" si="16"/>
        <v>21174000.000001095</v>
      </c>
      <c r="AC32" s="8">
        <f t="shared" si="16"/>
        <v>21.174000000001094</v>
      </c>
      <c r="AD32" s="8">
        <f t="shared" si="16"/>
        <v>65.004180000003359</v>
      </c>
    </row>
    <row r="33" spans="1:32" x14ac:dyDescent="0.2">
      <c r="A33" s="28">
        <v>38471</v>
      </c>
      <c r="B33" s="7">
        <f>'[6]Apr Prod'!I32</f>
        <v>19500000</v>
      </c>
      <c r="C33" s="8">
        <f t="shared" si="1"/>
        <v>19.5</v>
      </c>
      <c r="D33" s="10">
        <f t="shared" si="2"/>
        <v>59.864999999999995</v>
      </c>
      <c r="E33" s="7">
        <f>'[6]Apr Prod'!E32</f>
        <v>10000000</v>
      </c>
      <c r="F33" s="8">
        <f t="shared" si="3"/>
        <v>10</v>
      </c>
      <c r="G33" s="10">
        <f t="shared" si="4"/>
        <v>30.7</v>
      </c>
      <c r="H33" s="7">
        <f>'[6]Apr Prod'!F32</f>
        <v>9810000</v>
      </c>
      <c r="I33" s="8">
        <f t="shared" si="17"/>
        <v>9.8100000000000007E-2</v>
      </c>
      <c r="J33" s="10">
        <f t="shared" si="5"/>
        <v>0.30116700000000002</v>
      </c>
      <c r="K33" s="44">
        <f>'[6]Apr Prod'!H280</f>
        <v>11777805</v>
      </c>
      <c r="L33" s="45">
        <f t="shared" si="6"/>
        <v>11.777805000000001</v>
      </c>
      <c r="M33" s="46">
        <v>3.6160000000000001</v>
      </c>
      <c r="N33" s="21"/>
      <c r="O33" s="7">
        <f>'[6]Apr Prod'!H32</f>
        <v>5226000</v>
      </c>
      <c r="P33" s="8">
        <f t="shared" si="8"/>
        <v>5.226</v>
      </c>
      <c r="Q33" s="10">
        <f t="shared" si="9"/>
        <v>16.04382</v>
      </c>
      <c r="R33" s="7">
        <f>'[6]Apr Prod'!C32</f>
        <v>5409000</v>
      </c>
      <c r="S33" s="8">
        <f t="shared" si="10"/>
        <v>5.4089999999999998</v>
      </c>
      <c r="T33" s="10">
        <f t="shared" si="11"/>
        <v>16.605629999999998</v>
      </c>
      <c r="U33" s="7">
        <f>'[6]Apr Prod'!D32</f>
        <v>0</v>
      </c>
      <c r="V33" s="8">
        <f t="shared" si="12"/>
        <v>0</v>
      </c>
      <c r="W33" s="10">
        <f t="shared" si="13"/>
        <v>0</v>
      </c>
      <c r="X33" s="7">
        <f>'[6]Apr Prod'!D280</f>
        <v>182999.99999999983</v>
      </c>
      <c r="Y33" s="8">
        <f t="shared" si="14"/>
        <v>0.18299999999999983</v>
      </c>
      <c r="Z33" s="10">
        <f t="shared" si="15"/>
        <v>0.56180999999999948</v>
      </c>
      <c r="AA33" s="15"/>
      <c r="AB33" s="7">
        <f t="shared" si="16"/>
        <v>24726000</v>
      </c>
      <c r="AC33" s="8">
        <f t="shared" si="16"/>
        <v>24.725999999999999</v>
      </c>
      <c r="AD33" s="8">
        <f t="shared" si="16"/>
        <v>75.908819999999992</v>
      </c>
    </row>
    <row r="34" spans="1:32" ht="13.5" thickBot="1" x14ac:dyDescent="0.25">
      <c r="A34" s="28">
        <v>38472</v>
      </c>
      <c r="B34" s="7">
        <f>'[6]Apr Prod'!I33</f>
        <v>22599999.999998543</v>
      </c>
      <c r="C34" s="8">
        <f t="shared" si="1"/>
        <v>22.599999999998545</v>
      </c>
      <c r="D34" s="10">
        <f t="shared" si="2"/>
        <v>69.381999999995529</v>
      </c>
      <c r="E34" s="7">
        <f>'[6]Apr Prod'!E33</f>
        <v>12000000</v>
      </c>
      <c r="F34" s="8">
        <f t="shared" si="3"/>
        <v>12</v>
      </c>
      <c r="G34" s="10">
        <f t="shared" si="4"/>
        <v>36.839999999999996</v>
      </c>
      <c r="H34" s="7">
        <f>'[6]Apr Prod'!F33</f>
        <v>10020000</v>
      </c>
      <c r="I34" s="8">
        <f t="shared" si="17"/>
        <v>0.1002</v>
      </c>
      <c r="J34" s="10">
        <f t="shared" si="5"/>
        <v>0.307614</v>
      </c>
      <c r="K34" s="7">
        <f>'[6]Apr Prod'!H281</f>
        <v>1426779</v>
      </c>
      <c r="L34" s="8">
        <f t="shared" si="6"/>
        <v>1.426779</v>
      </c>
      <c r="M34" s="10">
        <f t="shared" si="7"/>
        <v>4.3802115299999995</v>
      </c>
      <c r="N34" s="21"/>
      <c r="O34" s="7">
        <f>'[6]Apr Prod'!H33</f>
        <v>7753000.0000000009</v>
      </c>
      <c r="P34" s="8">
        <f t="shared" si="8"/>
        <v>7.753000000000001</v>
      </c>
      <c r="Q34" s="10">
        <f t="shared" si="9"/>
        <v>23.801710000000003</v>
      </c>
      <c r="R34" s="7">
        <f>'[6]Apr Prod'!C33</f>
        <v>8095000</v>
      </c>
      <c r="S34" s="8">
        <f t="shared" si="10"/>
        <v>8.0950000000000006</v>
      </c>
      <c r="T34" s="10">
        <f t="shared" si="11"/>
        <v>24.851649999999999</v>
      </c>
      <c r="U34" s="7">
        <f>'[6]Apr Prod'!D33</f>
        <v>0</v>
      </c>
      <c r="V34" s="8">
        <f t="shared" si="12"/>
        <v>0</v>
      </c>
      <c r="W34" s="10">
        <f t="shared" si="13"/>
        <v>0</v>
      </c>
      <c r="X34" s="7">
        <f>'[6]Apr Prod'!D281</f>
        <v>341999.99999999878</v>
      </c>
      <c r="Y34" s="8">
        <f t="shared" si="14"/>
        <v>0.3419999999999988</v>
      </c>
      <c r="Z34" s="10">
        <f t="shared" si="15"/>
        <v>1.0499399999999963</v>
      </c>
      <c r="AA34" s="15"/>
      <c r="AB34" s="7">
        <f t="shared" si="16"/>
        <v>30352999.999998543</v>
      </c>
      <c r="AC34" s="8">
        <f t="shared" si="16"/>
        <v>30.352999999998545</v>
      </c>
      <c r="AD34" s="8">
        <f t="shared" si="16"/>
        <v>93.183709999995529</v>
      </c>
    </row>
    <row r="35" spans="1:32" ht="13.5" thickBot="1" x14ac:dyDescent="0.25">
      <c r="A35" s="3"/>
      <c r="B35" s="39"/>
      <c r="C35" s="40">
        <f>SUM(C5:C34)</f>
        <v>479.09999999999854</v>
      </c>
      <c r="D35" s="40">
        <f>SUM(D5:D34)</f>
        <v>1470.8369999999957</v>
      </c>
      <c r="E35" s="39"/>
      <c r="F35" s="40">
        <f>SUM(F5:F34)</f>
        <v>52</v>
      </c>
      <c r="G35" s="40">
        <f>SUM(G5:G34)</f>
        <v>159.63999999999999</v>
      </c>
      <c r="H35" s="39"/>
      <c r="I35" s="40">
        <f>SUM(I5:I34)</f>
        <v>75.719899999999996</v>
      </c>
      <c r="J35" s="40">
        <f>SUM(J5:J34)</f>
        <v>232.46009300000003</v>
      </c>
      <c r="K35" s="39"/>
      <c r="L35" s="40">
        <f>SUM(L5:L34)</f>
        <v>59.666971000000004</v>
      </c>
      <c r="M35" s="40">
        <f>SUM(M5:M34)</f>
        <v>150.63573962000001</v>
      </c>
      <c r="N35" s="14"/>
      <c r="O35" s="39"/>
      <c r="P35" s="40">
        <f>SUM(P5:P34)</f>
        <v>133.899</v>
      </c>
      <c r="Q35" s="40">
        <f>SUM(Q5:Q34)</f>
        <v>411.06993</v>
      </c>
      <c r="R35" s="39"/>
      <c r="S35" s="40">
        <f>SUM(S5:S34)</f>
        <v>144.58099999999999</v>
      </c>
      <c r="T35" s="40">
        <f>SUM(T5:T34)</f>
        <v>443.86367000000001</v>
      </c>
      <c r="U35" s="39"/>
      <c r="V35" s="40">
        <f>SUM(V5:V34)</f>
        <v>1.2E-2</v>
      </c>
      <c r="W35" s="40">
        <f>SUM(W5:W34)</f>
        <v>3.6839999999999998E-2</v>
      </c>
      <c r="X35" s="39"/>
      <c r="Y35" s="40">
        <f>SUM(Y5:Y34)</f>
        <v>7.0840000000000032</v>
      </c>
      <c r="Z35" s="40">
        <f>SUM(Z5:Z34)</f>
        <v>21.747879999999999</v>
      </c>
      <c r="AA35" s="14"/>
      <c r="AB35" s="39">
        <f t="shared" si="16"/>
        <v>0</v>
      </c>
      <c r="AC35" s="40">
        <f t="shared" si="16"/>
        <v>612.99899999999855</v>
      </c>
      <c r="AD35" s="40">
        <f t="shared" si="16"/>
        <v>1881.9069299999956</v>
      </c>
      <c r="AF35" s="18"/>
    </row>
    <row r="36" spans="1:32" x14ac:dyDescent="0.2">
      <c r="C36" s="18"/>
      <c r="E36" s="3"/>
      <c r="F36" s="3"/>
      <c r="G36" s="3"/>
      <c r="H36" s="3"/>
      <c r="I36" s="3"/>
      <c r="J36" s="15"/>
      <c r="K36" s="14"/>
      <c r="L36" s="3"/>
      <c r="M36" s="3"/>
      <c r="N36" s="3"/>
      <c r="O36" s="3"/>
      <c r="P36" s="3"/>
      <c r="Q36" s="3"/>
      <c r="R36" s="3"/>
      <c r="S36" s="3"/>
      <c r="T36" s="3"/>
      <c r="U36" s="14"/>
      <c r="AB36" s="23"/>
      <c r="AC36" s="31"/>
      <c r="AD36" s="23"/>
    </row>
  </sheetData>
  <mergeCells count="9">
    <mergeCell ref="R3:T3"/>
    <mergeCell ref="U3:W3"/>
    <mergeCell ref="AB3:AD3"/>
    <mergeCell ref="B3:D3"/>
    <mergeCell ref="E3:G3"/>
    <mergeCell ref="H3:J3"/>
    <mergeCell ref="O3:Q3"/>
    <mergeCell ref="K3:M3"/>
    <mergeCell ref="X3:Z3"/>
  </mergeCells>
  <phoneticPr fontId="1" type="noConversion"/>
  <pageMargins left="0.34" right="0.43" top="1" bottom="1" header="0.5" footer="0.5"/>
  <pageSetup paperSize="5" scale="54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AD37"/>
  <sheetViews>
    <sheetView workbookViewId="0">
      <pane xSplit="1" ySplit="4" topLeftCell="B21" activePane="bottomRight" state="frozen"/>
      <selection pane="topRight" activeCell="B1" sqref="B1"/>
      <selection pane="bottomLeft" activeCell="A5" sqref="A5"/>
      <selection pane="bottomRight" activeCell="S5" sqref="S5:S35"/>
    </sheetView>
  </sheetViews>
  <sheetFormatPr defaultRowHeight="12.75" x14ac:dyDescent="0.2"/>
  <cols>
    <col min="2" max="2" width="11.42578125" customWidth="1"/>
    <col min="5" max="5" width="11.140625" customWidth="1"/>
    <col min="8" max="8" width="14.42578125" bestFit="1" customWidth="1"/>
    <col min="11" max="11" width="10.28515625" customWidth="1"/>
    <col min="12" max="12" width="11" customWidth="1"/>
    <col min="15" max="15" width="11.7109375" customWidth="1"/>
    <col min="18" max="18" width="11.28515625" customWidth="1"/>
    <col min="22" max="22" width="10.42578125" customWidth="1"/>
    <col min="24" max="24" width="11.7109375" bestFit="1" customWidth="1"/>
    <col min="28" max="28" width="13.28515625" customWidth="1"/>
  </cols>
  <sheetData>
    <row r="1" spans="1:30" x14ac:dyDescent="0.2">
      <c r="A1" s="25"/>
      <c r="B1" s="41"/>
      <c r="C1" s="26"/>
      <c r="D1" s="26"/>
      <c r="E1" s="26"/>
      <c r="F1" s="26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0" ht="13.5" thickBot="1" x14ac:dyDescent="0.25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0" ht="60.75" customHeight="1" thickBot="1" x14ac:dyDescent="0.25">
      <c r="A3" s="3"/>
      <c r="B3" s="51" t="s">
        <v>10</v>
      </c>
      <c r="C3" s="52"/>
      <c r="D3" s="53"/>
      <c r="E3" s="51" t="s">
        <v>11</v>
      </c>
      <c r="F3" s="52"/>
      <c r="G3" s="53"/>
      <c r="H3" s="51" t="s">
        <v>12</v>
      </c>
      <c r="I3" s="52"/>
      <c r="J3" s="53"/>
      <c r="K3" s="51" t="s">
        <v>13</v>
      </c>
      <c r="L3" s="52"/>
      <c r="M3" s="53"/>
      <c r="N3" s="19"/>
      <c r="O3" s="51" t="s">
        <v>4</v>
      </c>
      <c r="P3" s="52"/>
      <c r="Q3" s="53"/>
      <c r="R3" s="51" t="s">
        <v>3</v>
      </c>
      <c r="S3" s="52"/>
      <c r="T3" s="53"/>
      <c r="U3" s="51" t="s">
        <v>6</v>
      </c>
      <c r="V3" s="52"/>
      <c r="W3" s="53"/>
      <c r="X3" s="51" t="s">
        <v>7</v>
      </c>
      <c r="Y3" s="52"/>
      <c r="Z3" s="53"/>
      <c r="AA3" s="19"/>
      <c r="AB3" s="48" t="s">
        <v>8</v>
      </c>
      <c r="AC3" s="49"/>
      <c r="AD3" s="50"/>
    </row>
    <row r="4" spans="1:30" x14ac:dyDescent="0.2">
      <c r="A4" s="27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4" t="s">
        <v>0</v>
      </c>
      <c r="AC4" s="5" t="s">
        <v>1</v>
      </c>
      <c r="AD4" s="6" t="s">
        <v>2</v>
      </c>
    </row>
    <row r="5" spans="1:30" x14ac:dyDescent="0.2">
      <c r="A5" s="28">
        <v>38473</v>
      </c>
      <c r="B5" s="7">
        <f>'[7]May Prod'!I4</f>
        <v>19900000.000001457</v>
      </c>
      <c r="C5" s="8">
        <f>B5/1000000</f>
        <v>19.900000000001455</v>
      </c>
      <c r="D5" s="10">
        <f>C5*3.07</f>
        <v>61.093000000004466</v>
      </c>
      <c r="E5" s="7">
        <f>'[7]May Prod'!E4</f>
        <v>11000000</v>
      </c>
      <c r="F5" s="8">
        <f>E5/1000000</f>
        <v>11</v>
      </c>
      <c r="G5" s="10">
        <f>F5*3.07</f>
        <v>33.769999999999996</v>
      </c>
      <c r="H5" s="7">
        <f>'[7]May Prod'!F4</f>
        <v>10000000</v>
      </c>
      <c r="I5" s="8">
        <f>H5/1000000</f>
        <v>10</v>
      </c>
      <c r="J5" s="10">
        <f>I5*3.07</f>
        <v>30.7</v>
      </c>
      <c r="K5" s="7">
        <f>'[7]May Prod'!H259</f>
        <v>1717425</v>
      </c>
      <c r="L5" s="8">
        <f>K5/1000000</f>
        <v>1.717425</v>
      </c>
      <c r="M5" s="10">
        <f>L5*3.07</f>
        <v>5.2724947499999999</v>
      </c>
      <c r="N5" s="21"/>
      <c r="O5" s="7">
        <f>'[7]May Prod'!H4</f>
        <v>8630000.0000000019</v>
      </c>
      <c r="P5" s="8">
        <f>O5/1000000</f>
        <v>8.6300000000000026</v>
      </c>
      <c r="Q5" s="10">
        <f t="shared" ref="Q5:Q36" si="0">P5*3.07</f>
        <v>26.494100000000007</v>
      </c>
      <c r="R5" s="7">
        <f>'[7]May Prod'!C4</f>
        <v>8957000</v>
      </c>
      <c r="S5" s="8">
        <f>R5/1000000</f>
        <v>8.9570000000000007</v>
      </c>
      <c r="T5" s="10">
        <f t="shared" ref="T5:T36" si="1">S5*3.07</f>
        <v>27.497990000000001</v>
      </c>
      <c r="U5" s="7">
        <f>'[7]May Prod'!D4</f>
        <v>0</v>
      </c>
      <c r="V5" s="8">
        <f>U5/1000000</f>
        <v>0</v>
      </c>
      <c r="W5" s="10">
        <f t="shared" ref="W5:W35" si="2">V5*3.07</f>
        <v>0</v>
      </c>
      <c r="X5" s="7">
        <f>'[7]May Prod'!D259</f>
        <v>326999.9999999982</v>
      </c>
      <c r="Y5" s="8">
        <f>X5/1000000</f>
        <v>0.32699999999999818</v>
      </c>
      <c r="Z5" s="10">
        <f t="shared" ref="Z5:Z35" si="3">Y5*3.07</f>
        <v>1.0038899999999944</v>
      </c>
      <c r="AA5" s="15"/>
      <c r="AB5" s="7">
        <f>B5+O5</f>
        <v>28530000.00000146</v>
      </c>
      <c r="AC5" s="8">
        <f>C5+P5</f>
        <v>28.530000000001458</v>
      </c>
      <c r="AD5" s="8">
        <f>D5+Q5</f>
        <v>87.587100000004469</v>
      </c>
    </row>
    <row r="6" spans="1:30" x14ac:dyDescent="0.2">
      <c r="A6" s="28">
        <v>38474</v>
      </c>
      <c r="B6" s="7">
        <f>'[7]May Prod'!I5</f>
        <v>21399999.999999635</v>
      </c>
      <c r="C6" s="8">
        <f t="shared" ref="C6:C35" si="4">B6/1000000</f>
        <v>21.399999999999636</v>
      </c>
      <c r="D6" s="10">
        <f t="shared" ref="D6:D36" si="5">C6*3.07</f>
        <v>65.697999999998885</v>
      </c>
      <c r="E6" s="7">
        <f>'[7]May Prod'!E5</f>
        <v>13000000</v>
      </c>
      <c r="F6" s="8">
        <f t="shared" ref="F6:F35" si="6">E6/1000000</f>
        <v>13</v>
      </c>
      <c r="G6" s="10">
        <f t="shared" ref="G6:G36" si="7">F6*3.07</f>
        <v>39.909999999999997</v>
      </c>
      <c r="H6" s="7">
        <f>'[7]May Prod'!F5</f>
        <v>10150000</v>
      </c>
      <c r="I6" s="8">
        <f t="shared" ref="I6:I35" si="8">H6/1000000</f>
        <v>10.15</v>
      </c>
      <c r="J6" s="10">
        <f t="shared" ref="J6:J36" si="9">I6*3.07</f>
        <v>31.160499999999999</v>
      </c>
      <c r="K6" s="7">
        <f>'[7]May Prod'!H260</f>
        <v>2480645</v>
      </c>
      <c r="L6" s="8">
        <f t="shared" ref="L6:L35" si="10">K6/1000000</f>
        <v>2.480645</v>
      </c>
      <c r="M6" s="10">
        <f t="shared" ref="M6:M35" si="11">L6*3.07</f>
        <v>7.6155801499999995</v>
      </c>
      <c r="N6" s="21"/>
      <c r="O6" s="7">
        <f>'[7]May Prod'!H5</f>
        <v>9183999.9999999963</v>
      </c>
      <c r="P6" s="8">
        <f t="shared" ref="P6:P35" si="12">O6/1000000</f>
        <v>9.1839999999999957</v>
      </c>
      <c r="Q6" s="10">
        <f t="shared" si="0"/>
        <v>28.194879999999987</v>
      </c>
      <c r="R6" s="7">
        <f>'[7]May Prod'!C5</f>
        <v>9509000</v>
      </c>
      <c r="S6" s="8">
        <f t="shared" ref="S6:S35" si="13">R6/1000000</f>
        <v>9.5090000000000003</v>
      </c>
      <c r="T6" s="10">
        <f t="shared" si="1"/>
        <v>29.192630000000001</v>
      </c>
      <c r="U6" s="7">
        <f>'[7]May Prod'!D5</f>
        <v>0</v>
      </c>
      <c r="V6" s="8">
        <f t="shared" ref="V6:V35" si="14">U6/1000000</f>
        <v>0</v>
      </c>
      <c r="W6" s="10">
        <f t="shared" si="2"/>
        <v>0</v>
      </c>
      <c r="X6" s="7">
        <f>'[7]May Prod'!D260</f>
        <v>325000.00000000285</v>
      </c>
      <c r="Y6" s="8">
        <f t="shared" ref="Y6:Y35" si="15">X6/1000000</f>
        <v>0.32500000000000284</v>
      </c>
      <c r="Z6" s="10">
        <f t="shared" si="3"/>
        <v>0.99775000000000869</v>
      </c>
      <c r="AA6" s="15"/>
      <c r="AB6" s="7">
        <f t="shared" ref="AB6:AD35" si="16">B6+O6</f>
        <v>30583999.999999631</v>
      </c>
      <c r="AC6" s="8">
        <f t="shared" si="16"/>
        <v>30.583999999999634</v>
      </c>
      <c r="AD6" s="8">
        <f t="shared" si="16"/>
        <v>93.892879999998868</v>
      </c>
    </row>
    <row r="7" spans="1:30" x14ac:dyDescent="0.2">
      <c r="A7" s="28">
        <v>38475</v>
      </c>
      <c r="B7" s="7">
        <f>'[7]May Prod'!I6</f>
        <v>23699999.999998908</v>
      </c>
      <c r="C7" s="8">
        <f t="shared" si="4"/>
        <v>23.699999999998909</v>
      </c>
      <c r="D7" s="10">
        <f t="shared" si="5"/>
        <v>72.758999999996647</v>
      </c>
      <c r="E7" s="7">
        <f>'[7]May Prod'!E6</f>
        <v>21000000</v>
      </c>
      <c r="F7" s="8">
        <f t="shared" si="6"/>
        <v>21</v>
      </c>
      <c r="G7" s="10">
        <f t="shared" si="7"/>
        <v>64.47</v>
      </c>
      <c r="H7" s="7">
        <f>'[7]May Prod'!F6</f>
        <v>3370000</v>
      </c>
      <c r="I7" s="8">
        <f t="shared" si="8"/>
        <v>3.37</v>
      </c>
      <c r="J7" s="10">
        <f t="shared" si="9"/>
        <v>10.3459</v>
      </c>
      <c r="K7" s="7">
        <f>'[7]May Prod'!H261</f>
        <v>2262400</v>
      </c>
      <c r="L7" s="8">
        <f t="shared" si="10"/>
        <v>2.2624</v>
      </c>
      <c r="M7" s="10">
        <f t="shared" si="11"/>
        <v>6.9455679999999997</v>
      </c>
      <c r="N7" s="21"/>
      <c r="O7" s="7">
        <f>'[7]May Prod'!H6</f>
        <v>8376000</v>
      </c>
      <c r="P7" s="8">
        <f t="shared" si="12"/>
        <v>8.3759999999999994</v>
      </c>
      <c r="Q7" s="10">
        <f t="shared" si="0"/>
        <v>25.714319999999997</v>
      </c>
      <c r="R7" s="7">
        <f>'[7]May Prod'!C6</f>
        <v>8705000</v>
      </c>
      <c r="S7" s="8">
        <f t="shared" si="13"/>
        <v>8.7050000000000001</v>
      </c>
      <c r="T7" s="10">
        <f t="shared" si="1"/>
        <v>26.724349999999998</v>
      </c>
      <c r="U7" s="7">
        <f>'[7]May Prod'!D6</f>
        <v>0</v>
      </c>
      <c r="V7" s="8">
        <f t="shared" si="14"/>
        <v>0</v>
      </c>
      <c r="W7" s="10">
        <f t="shared" si="2"/>
        <v>0</v>
      </c>
      <c r="X7" s="7">
        <f>'[7]May Prod'!D261</f>
        <v>329000.00000000064</v>
      </c>
      <c r="Y7" s="8">
        <f t="shared" si="15"/>
        <v>0.32900000000000063</v>
      </c>
      <c r="Z7" s="10">
        <f t="shared" si="3"/>
        <v>1.0100300000000018</v>
      </c>
      <c r="AA7" s="15"/>
      <c r="AB7" s="7">
        <f t="shared" si="16"/>
        <v>32075999.999998908</v>
      </c>
      <c r="AC7" s="8">
        <f t="shared" si="16"/>
        <v>32.075999999998906</v>
      </c>
      <c r="AD7" s="8">
        <f t="shared" si="16"/>
        <v>98.473319999996647</v>
      </c>
    </row>
    <row r="8" spans="1:30" x14ac:dyDescent="0.2">
      <c r="A8" s="28">
        <v>38476</v>
      </c>
      <c r="B8" s="7">
        <f>'[7]May Prod'!I7</f>
        <v>24200000.000000726</v>
      </c>
      <c r="C8" s="8">
        <f t="shared" si="4"/>
        <v>24.200000000000728</v>
      </c>
      <c r="D8" s="10">
        <f t="shared" si="5"/>
        <v>74.294000000002228</v>
      </c>
      <c r="E8" s="7">
        <f>'[7]May Prod'!E7</f>
        <v>27000000</v>
      </c>
      <c r="F8" s="8">
        <f t="shared" si="6"/>
        <v>27</v>
      </c>
      <c r="G8" s="10">
        <f t="shared" si="7"/>
        <v>82.89</v>
      </c>
      <c r="H8" s="7">
        <f>'[7]May Prod'!F7</f>
        <v>0</v>
      </c>
      <c r="I8" s="8">
        <f t="shared" si="8"/>
        <v>0</v>
      </c>
      <c r="J8" s="10">
        <f t="shared" si="9"/>
        <v>0</v>
      </c>
      <c r="K8" s="7">
        <f>'[7]May Prod'!H262</f>
        <v>2326555</v>
      </c>
      <c r="L8" s="8">
        <f t="shared" si="10"/>
        <v>2.3265549999999999</v>
      </c>
      <c r="M8" s="10">
        <f t="shared" si="11"/>
        <v>7.142523849999999</v>
      </c>
      <c r="N8" s="21"/>
      <c r="O8" s="7">
        <f>'[7]May Prod'!H7</f>
        <v>5560999.9999999991</v>
      </c>
      <c r="P8" s="8">
        <f t="shared" si="12"/>
        <v>5.5609999999999991</v>
      </c>
      <c r="Q8" s="10">
        <f t="shared" si="0"/>
        <v>17.072269999999996</v>
      </c>
      <c r="R8" s="7">
        <f>'[7]May Prod'!C7</f>
        <v>5905000</v>
      </c>
      <c r="S8" s="8">
        <f t="shared" si="13"/>
        <v>5.9050000000000002</v>
      </c>
      <c r="T8" s="10">
        <f t="shared" si="1"/>
        <v>18.128350000000001</v>
      </c>
      <c r="U8" s="7">
        <f>'[7]May Prod'!D7</f>
        <v>0</v>
      </c>
      <c r="V8" s="8">
        <f t="shared" si="14"/>
        <v>0</v>
      </c>
      <c r="W8" s="10">
        <f t="shared" si="2"/>
        <v>0</v>
      </c>
      <c r="X8" s="7">
        <f>'[7]May Prod'!D262</f>
        <v>344000.00000000122</v>
      </c>
      <c r="Y8" s="8">
        <f t="shared" si="15"/>
        <v>0.34400000000000125</v>
      </c>
      <c r="Z8" s="10">
        <f t="shared" si="3"/>
        <v>1.0560800000000037</v>
      </c>
      <c r="AA8" s="15"/>
      <c r="AB8" s="7">
        <f t="shared" si="16"/>
        <v>29761000.000000726</v>
      </c>
      <c r="AC8" s="8">
        <f t="shared" si="16"/>
        <v>29.761000000000728</v>
      </c>
      <c r="AD8" s="8">
        <f t="shared" si="16"/>
        <v>91.366270000002231</v>
      </c>
    </row>
    <row r="9" spans="1:30" x14ac:dyDescent="0.2">
      <c r="A9" s="28">
        <v>38477</v>
      </c>
      <c r="B9" s="7">
        <f>'[7]May Prod'!I8</f>
        <v>26200000.000000726</v>
      </c>
      <c r="C9" s="8">
        <f t="shared" si="4"/>
        <v>26.200000000000728</v>
      </c>
      <c r="D9" s="10">
        <f t="shared" si="5"/>
        <v>80.434000000002229</v>
      </c>
      <c r="E9" s="7">
        <f>'[7]May Prod'!E8</f>
        <v>29000000</v>
      </c>
      <c r="F9" s="8">
        <f t="shared" si="6"/>
        <v>29</v>
      </c>
      <c r="G9" s="10">
        <f t="shared" si="7"/>
        <v>89.03</v>
      </c>
      <c r="H9" s="7">
        <f>'[7]May Prod'!F8</f>
        <v>0</v>
      </c>
      <c r="I9" s="8">
        <f t="shared" si="8"/>
        <v>0</v>
      </c>
      <c r="J9" s="10">
        <f t="shared" si="9"/>
        <v>0</v>
      </c>
      <c r="K9" s="7">
        <f>'[7]May Prod'!H263</f>
        <v>2275798</v>
      </c>
      <c r="L9" s="8">
        <f t="shared" si="10"/>
        <v>2.275798</v>
      </c>
      <c r="M9" s="10">
        <f t="shared" si="11"/>
        <v>6.9866998599999999</v>
      </c>
      <c r="N9" s="21"/>
      <c r="O9" s="7">
        <f>'[7]May Prod'!H8</f>
        <v>8816000</v>
      </c>
      <c r="P9" s="8">
        <f t="shared" si="12"/>
        <v>8.8160000000000007</v>
      </c>
      <c r="Q9" s="10">
        <f t="shared" si="0"/>
        <v>27.06512</v>
      </c>
      <c r="R9" s="7">
        <f>'[7]May Prod'!C8</f>
        <v>9051000</v>
      </c>
      <c r="S9" s="8">
        <f t="shared" si="13"/>
        <v>9.0510000000000002</v>
      </c>
      <c r="T9" s="10">
        <f t="shared" si="1"/>
        <v>27.786569999999998</v>
      </c>
      <c r="U9" s="7">
        <f>'[7]May Prod'!D8</f>
        <v>0</v>
      </c>
      <c r="V9" s="8">
        <f t="shared" si="14"/>
        <v>0</v>
      </c>
      <c r="W9" s="10">
        <f t="shared" si="2"/>
        <v>0</v>
      </c>
      <c r="X9" s="7">
        <f>'[7]May Prod'!D263</f>
        <v>234999.99999999942</v>
      </c>
      <c r="Y9" s="8">
        <f t="shared" si="15"/>
        <v>0.23499999999999943</v>
      </c>
      <c r="Z9" s="10">
        <f t="shared" si="3"/>
        <v>0.72144999999999826</v>
      </c>
      <c r="AA9" s="15"/>
      <c r="AB9" s="7">
        <f t="shared" si="16"/>
        <v>35016000.00000073</v>
      </c>
      <c r="AC9" s="8">
        <f t="shared" si="16"/>
        <v>35.01600000000073</v>
      </c>
      <c r="AD9" s="8">
        <f t="shared" si="16"/>
        <v>107.49912000000222</v>
      </c>
    </row>
    <row r="10" spans="1:30" x14ac:dyDescent="0.2">
      <c r="A10" s="28">
        <v>38478</v>
      </c>
      <c r="B10" s="7">
        <f>'[7]May Prod'!I9</f>
        <v>25699999.999998908</v>
      </c>
      <c r="C10" s="8">
        <f t="shared" si="4"/>
        <v>25.699999999998909</v>
      </c>
      <c r="D10" s="10">
        <f t="shared" si="5"/>
        <v>78.898999999996647</v>
      </c>
      <c r="E10" s="7">
        <f>'[7]May Prod'!E9</f>
        <v>28000000</v>
      </c>
      <c r="F10" s="8">
        <f t="shared" si="6"/>
        <v>28</v>
      </c>
      <c r="G10" s="10">
        <f t="shared" si="7"/>
        <v>85.96</v>
      </c>
      <c r="H10" s="7">
        <f>'[7]May Prod'!F9</f>
        <v>0</v>
      </c>
      <c r="I10" s="8">
        <f t="shared" si="8"/>
        <v>0</v>
      </c>
      <c r="J10" s="10">
        <f t="shared" si="9"/>
        <v>0</v>
      </c>
      <c r="K10" s="7">
        <f>'[7]May Prod'!H264</f>
        <v>2389867</v>
      </c>
      <c r="L10" s="8">
        <f t="shared" si="10"/>
        <v>2.3898670000000002</v>
      </c>
      <c r="M10" s="10">
        <f t="shared" si="11"/>
        <v>7.3368916899999999</v>
      </c>
      <c r="N10" s="21"/>
      <c r="O10" s="7">
        <f>'[7]May Prod'!H9</f>
        <v>6371000.0000000037</v>
      </c>
      <c r="P10" s="8">
        <f t="shared" si="12"/>
        <v>6.371000000000004</v>
      </c>
      <c r="Q10" s="10">
        <f t="shared" si="0"/>
        <v>19.558970000000013</v>
      </c>
      <c r="R10" s="7">
        <f>'[7]May Prod'!C9</f>
        <v>6772000</v>
      </c>
      <c r="S10" s="8">
        <f t="shared" si="13"/>
        <v>6.7720000000000002</v>
      </c>
      <c r="T10" s="10">
        <f t="shared" si="1"/>
        <v>20.790040000000001</v>
      </c>
      <c r="U10" s="7">
        <f>'[7]May Prod'!D9</f>
        <v>0</v>
      </c>
      <c r="V10" s="8">
        <f t="shared" si="14"/>
        <v>0</v>
      </c>
      <c r="W10" s="10">
        <f t="shared" si="2"/>
        <v>0</v>
      </c>
      <c r="X10" s="7">
        <f>'[7]May Prod'!D264</f>
        <v>400999.99999999627</v>
      </c>
      <c r="Y10" s="8">
        <f t="shared" si="15"/>
        <v>0.40099999999999625</v>
      </c>
      <c r="Z10" s="10">
        <f t="shared" si="3"/>
        <v>1.2310699999999883</v>
      </c>
      <c r="AA10" s="15"/>
      <c r="AB10" s="7">
        <f t="shared" si="16"/>
        <v>32070999.999998912</v>
      </c>
      <c r="AC10" s="8">
        <f t="shared" si="16"/>
        <v>32.070999999998911</v>
      </c>
      <c r="AD10" s="8">
        <f t="shared" si="16"/>
        <v>98.457969999996664</v>
      </c>
    </row>
    <row r="11" spans="1:30" x14ac:dyDescent="0.2">
      <c r="A11" s="28">
        <v>38479</v>
      </c>
      <c r="B11" s="7">
        <f>'[7]May Prod'!I10</f>
        <v>18399999.999999635</v>
      </c>
      <c r="C11" s="8">
        <f t="shared" si="4"/>
        <v>18.399999999999636</v>
      </c>
      <c r="D11" s="10">
        <f t="shared" si="5"/>
        <v>56.487999999998877</v>
      </c>
      <c r="E11" s="7">
        <f>'[7]May Prod'!E10</f>
        <v>19000000</v>
      </c>
      <c r="F11" s="8">
        <f t="shared" si="6"/>
        <v>19</v>
      </c>
      <c r="G11" s="10">
        <f t="shared" si="7"/>
        <v>58.33</v>
      </c>
      <c r="H11" s="7">
        <f>'[7]May Prod'!F10</f>
        <v>0</v>
      </c>
      <c r="I11" s="8">
        <f t="shared" si="8"/>
        <v>0</v>
      </c>
      <c r="J11" s="10">
        <f t="shared" si="9"/>
        <v>0</v>
      </c>
      <c r="K11" s="7">
        <f>'[7]May Prod'!H265</f>
        <v>1317721</v>
      </c>
      <c r="L11" s="8">
        <f t="shared" si="10"/>
        <v>1.3177209999999999</v>
      </c>
      <c r="M11" s="10">
        <f t="shared" si="11"/>
        <v>4.0454034699999992</v>
      </c>
      <c r="N11" s="21"/>
      <c r="O11" s="7">
        <f>'[7]May Prod'!H10</f>
        <v>1896999.9999999942</v>
      </c>
      <c r="P11" s="8">
        <f t="shared" si="12"/>
        <v>1.8969999999999942</v>
      </c>
      <c r="Q11" s="10">
        <f t="shared" si="0"/>
        <v>5.823789999999982</v>
      </c>
      <c r="R11" s="7">
        <f>'[7]May Prod'!C10</f>
        <v>2056000</v>
      </c>
      <c r="S11" s="8">
        <f t="shared" si="13"/>
        <v>2.056</v>
      </c>
      <c r="T11" s="10">
        <f t="shared" si="1"/>
        <v>6.3119199999999998</v>
      </c>
      <c r="U11" s="7">
        <f>'[7]May Prod'!D10</f>
        <v>0</v>
      </c>
      <c r="V11" s="8">
        <f t="shared" si="14"/>
        <v>0</v>
      </c>
      <c r="W11" s="10">
        <f t="shared" si="2"/>
        <v>0</v>
      </c>
      <c r="X11" s="7">
        <f>'[7]May Prod'!D265</f>
        <v>159000.00000000602</v>
      </c>
      <c r="Y11" s="8">
        <f t="shared" si="15"/>
        <v>0.15900000000000603</v>
      </c>
      <c r="Z11" s="10">
        <f t="shared" si="3"/>
        <v>0.48813000000001849</v>
      </c>
      <c r="AA11" s="15"/>
      <c r="AB11" s="7">
        <f t="shared" si="16"/>
        <v>20296999.999999627</v>
      </c>
      <c r="AC11" s="8">
        <f t="shared" si="16"/>
        <v>20.296999999999631</v>
      </c>
      <c r="AD11" s="8">
        <f t="shared" si="16"/>
        <v>62.311789999998858</v>
      </c>
    </row>
    <row r="12" spans="1:30" x14ac:dyDescent="0.2">
      <c r="A12" s="28">
        <v>38480</v>
      </c>
      <c r="B12" s="7">
        <f>'[7]May Prod'!I11</f>
        <v>18900000.000001457</v>
      </c>
      <c r="C12" s="8">
        <f t="shared" si="4"/>
        <v>18.900000000001455</v>
      </c>
      <c r="D12" s="10">
        <f t="shared" si="5"/>
        <v>58.023000000004465</v>
      </c>
      <c r="E12" s="7">
        <f>'[7]May Prod'!E11</f>
        <v>20000000</v>
      </c>
      <c r="F12" s="8">
        <f t="shared" si="6"/>
        <v>20</v>
      </c>
      <c r="G12" s="10">
        <f t="shared" si="7"/>
        <v>61.4</v>
      </c>
      <c r="H12" s="7">
        <f>'[7]May Prod'!F11</f>
        <v>0</v>
      </c>
      <c r="I12" s="8">
        <f t="shared" si="8"/>
        <v>0</v>
      </c>
      <c r="J12" s="10">
        <f t="shared" si="9"/>
        <v>0</v>
      </c>
      <c r="K12" s="7">
        <f>'[7]May Prod'!H266</f>
        <v>1164040</v>
      </c>
      <c r="L12" s="8">
        <f t="shared" si="10"/>
        <v>1.16404</v>
      </c>
      <c r="M12" s="10">
        <f t="shared" si="11"/>
        <v>3.5736027999999997</v>
      </c>
      <c r="N12" s="21"/>
      <c r="O12" s="7">
        <f>'[7]May Prod'!H11</f>
        <v>0</v>
      </c>
      <c r="P12" s="8">
        <f t="shared" si="12"/>
        <v>0</v>
      </c>
      <c r="Q12" s="10">
        <f t="shared" si="0"/>
        <v>0</v>
      </c>
      <c r="R12" s="7">
        <f>'[7]May Prod'!C11</f>
        <v>0</v>
      </c>
      <c r="S12" s="8">
        <f t="shared" si="13"/>
        <v>0</v>
      </c>
      <c r="T12" s="10">
        <f t="shared" si="1"/>
        <v>0</v>
      </c>
      <c r="U12" s="7">
        <f>'[7]May Prod'!D11</f>
        <v>0</v>
      </c>
      <c r="V12" s="8">
        <f t="shared" si="14"/>
        <v>0</v>
      </c>
      <c r="W12" s="10">
        <f t="shared" si="2"/>
        <v>0</v>
      </c>
      <c r="X12" s="7">
        <f>'[7]May Prod'!D266</f>
        <v>0</v>
      </c>
      <c r="Y12" s="8">
        <f t="shared" si="15"/>
        <v>0</v>
      </c>
      <c r="Z12" s="10">
        <f t="shared" si="3"/>
        <v>0</v>
      </c>
      <c r="AA12" s="15"/>
      <c r="AB12" s="7">
        <f t="shared" si="16"/>
        <v>18900000.000001457</v>
      </c>
      <c r="AC12" s="8">
        <f t="shared" si="16"/>
        <v>18.900000000001455</v>
      </c>
      <c r="AD12" s="8">
        <f t="shared" si="16"/>
        <v>58.023000000004465</v>
      </c>
    </row>
    <row r="13" spans="1:30" x14ac:dyDescent="0.2">
      <c r="A13" s="28">
        <v>38481</v>
      </c>
      <c r="B13" s="7">
        <f>'[7]May Prod'!I12</f>
        <v>22099999.999998543</v>
      </c>
      <c r="C13" s="8">
        <f t="shared" si="4"/>
        <v>22.099999999998545</v>
      </c>
      <c r="D13" s="10">
        <f t="shared" si="5"/>
        <v>67.846999999995532</v>
      </c>
      <c r="E13" s="7">
        <f>'[7]May Prod'!E12</f>
        <v>24000000</v>
      </c>
      <c r="F13" s="8">
        <f t="shared" si="6"/>
        <v>24</v>
      </c>
      <c r="G13" s="10">
        <f t="shared" si="7"/>
        <v>73.679999999999993</v>
      </c>
      <c r="H13" s="7">
        <f>'[7]May Prod'!F12</f>
        <v>0</v>
      </c>
      <c r="I13" s="8">
        <f t="shared" si="8"/>
        <v>0</v>
      </c>
      <c r="J13" s="10">
        <f t="shared" si="9"/>
        <v>0</v>
      </c>
      <c r="K13" s="7">
        <f>'[7]May Prod'!H267</f>
        <v>1266632</v>
      </c>
      <c r="L13" s="8">
        <f t="shared" si="10"/>
        <v>1.266632</v>
      </c>
      <c r="M13" s="10">
        <f t="shared" si="11"/>
        <v>3.8885602399999999</v>
      </c>
      <c r="N13" s="21"/>
      <c r="O13" s="7">
        <f>'[7]May Prod'!H12</f>
        <v>-127999.99999999302</v>
      </c>
      <c r="P13" s="8">
        <f t="shared" si="12"/>
        <v>-0.12799999999999301</v>
      </c>
      <c r="Q13" s="10">
        <f t="shared" si="0"/>
        <v>-0.39295999999997849</v>
      </c>
      <c r="R13" s="7">
        <f>'[7]May Prod'!C12</f>
        <v>0</v>
      </c>
      <c r="S13" s="8">
        <f t="shared" si="13"/>
        <v>0</v>
      </c>
      <c r="T13" s="10">
        <f t="shared" si="1"/>
        <v>0</v>
      </c>
      <c r="U13" s="7">
        <f>'[7]May Prod'!D12</f>
        <v>0</v>
      </c>
      <c r="V13" s="8">
        <f t="shared" si="14"/>
        <v>0</v>
      </c>
      <c r="W13" s="10">
        <f t="shared" si="2"/>
        <v>0</v>
      </c>
      <c r="X13" s="7">
        <f>'[7]May Prod'!D267</f>
        <v>127999.99999999302</v>
      </c>
      <c r="Y13" s="8">
        <f t="shared" si="15"/>
        <v>0.12799999999999301</v>
      </c>
      <c r="Z13" s="10">
        <f t="shared" si="3"/>
        <v>0.39295999999997849</v>
      </c>
      <c r="AA13" s="15"/>
      <c r="AB13" s="7">
        <f t="shared" si="16"/>
        <v>21971999.999998551</v>
      </c>
      <c r="AC13" s="8">
        <f t="shared" si="16"/>
        <v>21.971999999998552</v>
      </c>
      <c r="AD13" s="8">
        <f t="shared" si="16"/>
        <v>67.454039999995558</v>
      </c>
    </row>
    <row r="14" spans="1:30" x14ac:dyDescent="0.2">
      <c r="A14" s="28">
        <v>38482</v>
      </c>
      <c r="B14" s="7">
        <f>'[7]May Prod'!I13</f>
        <v>26000000</v>
      </c>
      <c r="C14" s="8">
        <f t="shared" si="4"/>
        <v>26</v>
      </c>
      <c r="D14" s="10">
        <f t="shared" si="5"/>
        <v>79.819999999999993</v>
      </c>
      <c r="E14" s="7">
        <f>'[7]May Prod'!E13</f>
        <v>28000000</v>
      </c>
      <c r="F14" s="8">
        <f t="shared" si="6"/>
        <v>28</v>
      </c>
      <c r="G14" s="10">
        <f t="shared" si="7"/>
        <v>85.96</v>
      </c>
      <c r="H14" s="7">
        <f>'[7]May Prod'!F13</f>
        <v>0</v>
      </c>
      <c r="I14" s="8">
        <f t="shared" si="8"/>
        <v>0</v>
      </c>
      <c r="J14" s="10">
        <f t="shared" si="9"/>
        <v>0</v>
      </c>
      <c r="K14" s="7">
        <f>'[7]May Prod'!H268</f>
        <v>1985110</v>
      </c>
      <c r="L14" s="8">
        <f t="shared" si="10"/>
        <v>1.9851099999999999</v>
      </c>
      <c r="M14" s="10">
        <f t="shared" si="11"/>
        <v>6.0942876999999998</v>
      </c>
      <c r="N14" s="21"/>
      <c r="O14" s="7">
        <f>'[7]May Prod'!H13</f>
        <v>0</v>
      </c>
      <c r="P14" s="8">
        <f t="shared" si="12"/>
        <v>0</v>
      </c>
      <c r="Q14" s="10">
        <f t="shared" si="0"/>
        <v>0</v>
      </c>
      <c r="R14" s="7">
        <f>'[7]May Prod'!C13</f>
        <v>0</v>
      </c>
      <c r="S14" s="8">
        <f t="shared" si="13"/>
        <v>0</v>
      </c>
      <c r="T14" s="10">
        <f t="shared" si="1"/>
        <v>0</v>
      </c>
      <c r="U14" s="7">
        <f>'[7]May Prod'!D13</f>
        <v>0</v>
      </c>
      <c r="V14" s="8">
        <f t="shared" si="14"/>
        <v>0</v>
      </c>
      <c r="W14" s="10">
        <f t="shared" si="2"/>
        <v>0</v>
      </c>
      <c r="X14" s="7">
        <f>'[7]May Prod'!D268</f>
        <v>0</v>
      </c>
      <c r="Y14" s="8">
        <f t="shared" si="15"/>
        <v>0</v>
      </c>
      <c r="Z14" s="10">
        <f t="shared" si="3"/>
        <v>0</v>
      </c>
      <c r="AA14" s="15"/>
      <c r="AB14" s="7">
        <f t="shared" si="16"/>
        <v>26000000</v>
      </c>
      <c r="AC14" s="8">
        <f t="shared" si="16"/>
        <v>26</v>
      </c>
      <c r="AD14" s="8">
        <f t="shared" si="16"/>
        <v>79.819999999999993</v>
      </c>
    </row>
    <row r="15" spans="1:30" x14ac:dyDescent="0.2">
      <c r="A15" s="28">
        <v>38483</v>
      </c>
      <c r="B15" s="7">
        <f>'[7]May Prod'!I14</f>
        <v>25200000.000000726</v>
      </c>
      <c r="C15" s="8">
        <f t="shared" si="4"/>
        <v>25.200000000000728</v>
      </c>
      <c r="D15" s="10">
        <f t="shared" si="5"/>
        <v>77.364000000002235</v>
      </c>
      <c r="E15" s="7">
        <f>'[7]May Prod'!E14</f>
        <v>28000000</v>
      </c>
      <c r="F15" s="8">
        <f t="shared" si="6"/>
        <v>28</v>
      </c>
      <c r="G15" s="10">
        <f t="shared" si="7"/>
        <v>85.96</v>
      </c>
      <c r="H15" s="7">
        <f>'[7]May Prod'!F14</f>
        <v>0</v>
      </c>
      <c r="I15" s="8">
        <f t="shared" si="8"/>
        <v>0</v>
      </c>
      <c r="J15" s="10">
        <f t="shared" si="9"/>
        <v>0</v>
      </c>
      <c r="K15" s="7">
        <f>'[7]May Prod'!H269</f>
        <v>2400562</v>
      </c>
      <c r="L15" s="8">
        <f t="shared" si="10"/>
        <v>2.4005619999999999</v>
      </c>
      <c r="M15" s="10">
        <f t="shared" si="11"/>
        <v>7.3697253399999996</v>
      </c>
      <c r="N15" s="21"/>
      <c r="O15" s="7">
        <f>'[7]May Prod'!H14</f>
        <v>0</v>
      </c>
      <c r="P15" s="8">
        <f t="shared" si="12"/>
        <v>0</v>
      </c>
      <c r="Q15" s="10">
        <f t="shared" si="0"/>
        <v>0</v>
      </c>
      <c r="R15" s="7">
        <f>'[7]May Prod'!C14</f>
        <v>0</v>
      </c>
      <c r="S15" s="8">
        <f t="shared" si="13"/>
        <v>0</v>
      </c>
      <c r="T15" s="10">
        <f t="shared" si="1"/>
        <v>0</v>
      </c>
      <c r="U15" s="7">
        <f>'[7]May Prod'!D14</f>
        <v>0</v>
      </c>
      <c r="V15" s="8">
        <f t="shared" si="14"/>
        <v>0</v>
      </c>
      <c r="W15" s="10">
        <f t="shared" si="2"/>
        <v>0</v>
      </c>
      <c r="X15" s="7">
        <f>'[7]May Prod'!D269</f>
        <v>0</v>
      </c>
      <c r="Y15" s="8">
        <f t="shared" si="15"/>
        <v>0</v>
      </c>
      <c r="Z15" s="10">
        <f t="shared" si="3"/>
        <v>0</v>
      </c>
      <c r="AA15" s="15"/>
      <c r="AB15" s="7">
        <f t="shared" si="16"/>
        <v>25200000.000000726</v>
      </c>
      <c r="AC15" s="8">
        <f t="shared" si="16"/>
        <v>25.200000000000728</v>
      </c>
      <c r="AD15" s="8">
        <f t="shared" si="16"/>
        <v>77.364000000002235</v>
      </c>
    </row>
    <row r="16" spans="1:30" x14ac:dyDescent="0.2">
      <c r="A16" s="28">
        <v>38484</v>
      </c>
      <c r="B16" s="7">
        <f>'[7]May Prod'!I15</f>
        <v>18700000.000000726</v>
      </c>
      <c r="C16" s="8">
        <f t="shared" si="4"/>
        <v>18.700000000000728</v>
      </c>
      <c r="D16" s="10">
        <f t="shared" si="5"/>
        <v>57.40900000000223</v>
      </c>
      <c r="E16" s="7">
        <f>'[7]May Prod'!E15</f>
        <v>21000000</v>
      </c>
      <c r="F16" s="8">
        <f t="shared" si="6"/>
        <v>21</v>
      </c>
      <c r="G16" s="10">
        <f t="shared" si="7"/>
        <v>64.47</v>
      </c>
      <c r="H16" s="7">
        <f>'[7]May Prod'!F15</f>
        <v>0</v>
      </c>
      <c r="I16" s="8">
        <f t="shared" si="8"/>
        <v>0</v>
      </c>
      <c r="J16" s="10">
        <f t="shared" si="9"/>
        <v>0</v>
      </c>
      <c r="K16" s="7">
        <f>'[7]May Prod'!H270</f>
        <v>2002071</v>
      </c>
      <c r="L16" s="8">
        <f t="shared" si="10"/>
        <v>2.0020709999999999</v>
      </c>
      <c r="M16" s="10">
        <f t="shared" si="11"/>
        <v>6.1463579699999995</v>
      </c>
      <c r="N16" s="21"/>
      <c r="O16" s="7">
        <f>'[7]May Prod'!H15</f>
        <v>0</v>
      </c>
      <c r="P16" s="8">
        <f t="shared" si="12"/>
        <v>0</v>
      </c>
      <c r="Q16" s="10">
        <f t="shared" si="0"/>
        <v>0</v>
      </c>
      <c r="R16" s="7">
        <f>'[7]May Prod'!C15</f>
        <v>0</v>
      </c>
      <c r="S16" s="8">
        <f t="shared" si="13"/>
        <v>0</v>
      </c>
      <c r="T16" s="10">
        <f t="shared" si="1"/>
        <v>0</v>
      </c>
      <c r="U16" s="7">
        <f>'[7]May Prod'!D15</f>
        <v>0</v>
      </c>
      <c r="V16" s="8">
        <f t="shared" si="14"/>
        <v>0</v>
      </c>
      <c r="W16" s="10">
        <f t="shared" si="2"/>
        <v>0</v>
      </c>
      <c r="X16" s="7">
        <f>'[7]May Prod'!D270</f>
        <v>0</v>
      </c>
      <c r="Y16" s="8">
        <f t="shared" si="15"/>
        <v>0</v>
      </c>
      <c r="Z16" s="10">
        <f t="shared" si="3"/>
        <v>0</v>
      </c>
      <c r="AA16" s="15"/>
      <c r="AB16" s="7">
        <f t="shared" si="16"/>
        <v>18700000.000000726</v>
      </c>
      <c r="AC16" s="8">
        <f t="shared" si="16"/>
        <v>18.700000000000728</v>
      </c>
      <c r="AD16" s="8">
        <f t="shared" si="16"/>
        <v>57.40900000000223</v>
      </c>
    </row>
    <row r="17" spans="1:30" x14ac:dyDescent="0.2">
      <c r="A17" s="28">
        <v>38485</v>
      </c>
      <c r="B17" s="7">
        <f>'[7]May Prod'!I16</f>
        <v>17699999.999998908</v>
      </c>
      <c r="C17" s="8">
        <f t="shared" si="4"/>
        <v>17.699999999998909</v>
      </c>
      <c r="D17" s="10">
        <f t="shared" si="5"/>
        <v>54.338999999996645</v>
      </c>
      <c r="E17" s="7">
        <f>'[7]May Prod'!E16</f>
        <v>19000000</v>
      </c>
      <c r="F17" s="8">
        <f t="shared" si="6"/>
        <v>19</v>
      </c>
      <c r="G17" s="10">
        <f t="shared" si="7"/>
        <v>58.33</v>
      </c>
      <c r="H17" s="7">
        <f>'[7]May Prod'!F16</f>
        <v>0</v>
      </c>
      <c r="I17" s="8">
        <f t="shared" si="8"/>
        <v>0</v>
      </c>
      <c r="J17" s="10">
        <f t="shared" si="9"/>
        <v>0</v>
      </c>
      <c r="K17" s="7">
        <f>'[7]May Prod'!H271</f>
        <v>1668434</v>
      </c>
      <c r="L17" s="8">
        <f t="shared" si="10"/>
        <v>1.668434</v>
      </c>
      <c r="M17" s="10">
        <f t="shared" si="11"/>
        <v>5.1220923799999998</v>
      </c>
      <c r="N17" s="21"/>
      <c r="O17" s="7">
        <f>'[7]May Prod'!H16</f>
        <v>0</v>
      </c>
      <c r="P17" s="8">
        <f t="shared" si="12"/>
        <v>0</v>
      </c>
      <c r="Q17" s="10">
        <f t="shared" si="0"/>
        <v>0</v>
      </c>
      <c r="R17" s="7">
        <f>'[7]May Prod'!C16</f>
        <v>0</v>
      </c>
      <c r="S17" s="8">
        <f t="shared" si="13"/>
        <v>0</v>
      </c>
      <c r="T17" s="10">
        <f t="shared" si="1"/>
        <v>0</v>
      </c>
      <c r="U17" s="7">
        <f>'[7]May Prod'!D16</f>
        <v>0</v>
      </c>
      <c r="V17" s="8">
        <f t="shared" si="14"/>
        <v>0</v>
      </c>
      <c r="W17" s="10">
        <f t="shared" si="2"/>
        <v>0</v>
      </c>
      <c r="X17" s="7">
        <f>'[7]May Prod'!D271</f>
        <v>0</v>
      </c>
      <c r="Y17" s="8">
        <f t="shared" si="15"/>
        <v>0</v>
      </c>
      <c r="Z17" s="10">
        <f t="shared" si="3"/>
        <v>0</v>
      </c>
      <c r="AA17" s="15"/>
      <c r="AB17" s="7">
        <f t="shared" si="16"/>
        <v>17699999.999998908</v>
      </c>
      <c r="AC17" s="8">
        <f t="shared" si="16"/>
        <v>17.699999999998909</v>
      </c>
      <c r="AD17" s="8">
        <f t="shared" si="16"/>
        <v>54.338999999996645</v>
      </c>
    </row>
    <row r="18" spans="1:30" x14ac:dyDescent="0.2">
      <c r="A18" s="28">
        <v>38486</v>
      </c>
      <c r="B18" s="7">
        <f>'[7]May Prod'!I17</f>
        <v>26700000.000000726</v>
      </c>
      <c r="C18" s="8">
        <f t="shared" si="4"/>
        <v>26.700000000000728</v>
      </c>
      <c r="D18" s="10">
        <f t="shared" si="5"/>
        <v>81.969000000002225</v>
      </c>
      <c r="E18" s="7">
        <f>'[7]May Prod'!E17</f>
        <v>8000000</v>
      </c>
      <c r="F18" s="8">
        <f t="shared" si="6"/>
        <v>8</v>
      </c>
      <c r="G18" s="10">
        <f t="shared" si="7"/>
        <v>24.56</v>
      </c>
      <c r="H18" s="7">
        <f>'[7]May Prod'!F17</f>
        <v>180200</v>
      </c>
      <c r="I18" s="8">
        <f t="shared" si="8"/>
        <v>0.1802</v>
      </c>
      <c r="J18" s="10">
        <f t="shared" si="9"/>
        <v>0.55321399999999998</v>
      </c>
      <c r="K18" s="7">
        <f>'[7]May Prod'!H272</f>
        <v>2760000</v>
      </c>
      <c r="L18" s="8">
        <f t="shared" si="10"/>
        <v>2.76</v>
      </c>
      <c r="M18" s="10">
        <f t="shared" si="11"/>
        <v>8.4731999999999985</v>
      </c>
      <c r="N18" s="21"/>
      <c r="O18" s="7">
        <f>'[7]May Prod'!H17</f>
        <v>-205000.00000000541</v>
      </c>
      <c r="P18" s="8">
        <f t="shared" si="12"/>
        <v>-0.2050000000000054</v>
      </c>
      <c r="Q18" s="10">
        <f t="shared" si="0"/>
        <v>-0.62935000000001651</v>
      </c>
      <c r="R18" s="7">
        <f>'[7]May Prod'!C17</f>
        <v>0</v>
      </c>
      <c r="S18" s="8">
        <f t="shared" si="13"/>
        <v>0</v>
      </c>
      <c r="T18" s="10">
        <f t="shared" si="1"/>
        <v>0</v>
      </c>
      <c r="U18" s="7">
        <f>'[7]May Prod'!D17</f>
        <v>0</v>
      </c>
      <c r="V18" s="8">
        <f t="shared" si="14"/>
        <v>0</v>
      </c>
      <c r="W18" s="10">
        <f t="shared" si="2"/>
        <v>0</v>
      </c>
      <c r="X18" s="7">
        <f>'[7]May Prod'!D272</f>
        <v>205000.00000000541</v>
      </c>
      <c r="Y18" s="8">
        <f t="shared" si="15"/>
        <v>0.2050000000000054</v>
      </c>
      <c r="Z18" s="10">
        <f t="shared" si="3"/>
        <v>0.62935000000001651</v>
      </c>
      <c r="AA18" s="15"/>
      <c r="AB18" s="7">
        <f t="shared" si="16"/>
        <v>26495000.000000723</v>
      </c>
      <c r="AC18" s="8">
        <f t="shared" si="16"/>
        <v>26.495000000000722</v>
      </c>
      <c r="AD18" s="8">
        <f t="shared" si="16"/>
        <v>81.339650000002209</v>
      </c>
    </row>
    <row r="19" spans="1:30" x14ac:dyDescent="0.2">
      <c r="A19" s="28">
        <v>38487</v>
      </c>
      <c r="B19" s="7">
        <f>'[7]May Prod'!I18</f>
        <v>24000000</v>
      </c>
      <c r="C19" s="8">
        <f t="shared" si="4"/>
        <v>24</v>
      </c>
      <c r="D19" s="10">
        <f t="shared" si="5"/>
        <v>73.679999999999993</v>
      </c>
      <c r="E19" s="7">
        <f>'[7]May Prod'!E18</f>
        <v>0</v>
      </c>
      <c r="F19" s="8">
        <f t="shared" si="6"/>
        <v>0</v>
      </c>
      <c r="G19" s="10">
        <f t="shared" si="7"/>
        <v>0</v>
      </c>
      <c r="H19" s="7">
        <f>'[7]May Prod'!F18</f>
        <v>25020000</v>
      </c>
      <c r="I19" s="8">
        <f t="shared" si="8"/>
        <v>25.02</v>
      </c>
      <c r="J19" s="10">
        <f t="shared" si="9"/>
        <v>76.811399999999992</v>
      </c>
      <c r="K19" s="7">
        <f>'[7]May Prod'!H273</f>
        <v>2671886</v>
      </c>
      <c r="L19" s="8">
        <f t="shared" si="10"/>
        <v>2.6718860000000002</v>
      </c>
      <c r="M19" s="10">
        <f t="shared" si="11"/>
        <v>8.2026900200000004</v>
      </c>
      <c r="N19" s="21"/>
      <c r="O19" s="7">
        <f>'[7]May Prod'!H18</f>
        <v>0</v>
      </c>
      <c r="P19" s="8">
        <f t="shared" si="12"/>
        <v>0</v>
      </c>
      <c r="Q19" s="10">
        <f t="shared" si="0"/>
        <v>0</v>
      </c>
      <c r="R19" s="7">
        <f>'[7]May Prod'!C18</f>
        <v>0</v>
      </c>
      <c r="S19" s="8">
        <f t="shared" si="13"/>
        <v>0</v>
      </c>
      <c r="T19" s="10">
        <f t="shared" si="1"/>
        <v>0</v>
      </c>
      <c r="U19" s="7">
        <f>'[7]May Prod'!D18</f>
        <v>0</v>
      </c>
      <c r="V19" s="8">
        <f t="shared" si="14"/>
        <v>0</v>
      </c>
      <c r="W19" s="10">
        <f t="shared" si="2"/>
        <v>0</v>
      </c>
      <c r="X19" s="7">
        <f>'[7]May Prod'!D273</f>
        <v>0</v>
      </c>
      <c r="Y19" s="8">
        <f t="shared" si="15"/>
        <v>0</v>
      </c>
      <c r="Z19" s="10">
        <f t="shared" si="3"/>
        <v>0</v>
      </c>
      <c r="AA19" s="15"/>
      <c r="AB19" s="7">
        <f t="shared" si="16"/>
        <v>24000000</v>
      </c>
      <c r="AC19" s="8">
        <f t="shared" si="16"/>
        <v>24</v>
      </c>
      <c r="AD19" s="8">
        <f t="shared" si="16"/>
        <v>73.679999999999993</v>
      </c>
    </row>
    <row r="20" spans="1:30" x14ac:dyDescent="0.2">
      <c r="A20" s="28">
        <v>38488</v>
      </c>
      <c r="B20" s="7">
        <f>'[7]May Prod'!I19</f>
        <v>28299999.999999274</v>
      </c>
      <c r="C20" s="8">
        <f t="shared" si="4"/>
        <v>28.299999999999272</v>
      </c>
      <c r="D20" s="10">
        <f t="shared" si="5"/>
        <v>86.880999999997755</v>
      </c>
      <c r="E20" s="7">
        <f>'[7]May Prod'!E19</f>
        <v>0</v>
      </c>
      <c r="F20" s="8">
        <f t="shared" si="6"/>
        <v>0</v>
      </c>
      <c r="G20" s="10">
        <f t="shared" si="7"/>
        <v>0</v>
      </c>
      <c r="H20" s="7">
        <f>'[7]May Prod'!F19</f>
        <v>28340000</v>
      </c>
      <c r="I20" s="8">
        <f t="shared" si="8"/>
        <v>28.34</v>
      </c>
      <c r="J20" s="10">
        <f t="shared" si="9"/>
        <v>87.003799999999998</v>
      </c>
      <c r="K20" s="7">
        <f>'[7]May Prod'!H274</f>
        <v>2789505</v>
      </c>
      <c r="L20" s="8">
        <f t="shared" si="10"/>
        <v>2.7895050000000001</v>
      </c>
      <c r="M20" s="10">
        <f t="shared" si="11"/>
        <v>8.56378035</v>
      </c>
      <c r="N20" s="21"/>
      <c r="O20" s="7">
        <f>'[7]May Prod'!H19</f>
        <v>-174999.99999999715</v>
      </c>
      <c r="P20" s="8">
        <f t="shared" si="12"/>
        <v>-0.17499999999999716</v>
      </c>
      <c r="Q20" s="10">
        <f t="shared" si="0"/>
        <v>-0.53724999999999123</v>
      </c>
      <c r="R20" s="7">
        <f>'[7]May Prod'!C19</f>
        <v>0</v>
      </c>
      <c r="S20" s="8">
        <f t="shared" si="13"/>
        <v>0</v>
      </c>
      <c r="T20" s="10">
        <f t="shared" si="1"/>
        <v>0</v>
      </c>
      <c r="U20" s="7">
        <f>'[7]May Prod'!D19</f>
        <v>0</v>
      </c>
      <c r="V20" s="8">
        <f t="shared" si="14"/>
        <v>0</v>
      </c>
      <c r="W20" s="10">
        <f t="shared" si="2"/>
        <v>0</v>
      </c>
      <c r="X20" s="7">
        <f>'[7]May Prod'!D274</f>
        <v>174999.99999999715</v>
      </c>
      <c r="Y20" s="8">
        <f t="shared" si="15"/>
        <v>0.17499999999999716</v>
      </c>
      <c r="Z20" s="10">
        <f t="shared" si="3"/>
        <v>0.53724999999999123</v>
      </c>
      <c r="AA20" s="15"/>
      <c r="AB20" s="7">
        <f t="shared" si="16"/>
        <v>28124999.999999277</v>
      </c>
      <c r="AC20" s="8">
        <f t="shared" si="16"/>
        <v>28.124999999999275</v>
      </c>
      <c r="AD20" s="8">
        <f t="shared" si="16"/>
        <v>86.343749999997769</v>
      </c>
    </row>
    <row r="21" spans="1:30" x14ac:dyDescent="0.2">
      <c r="A21" s="28">
        <v>38489</v>
      </c>
      <c r="B21" s="7">
        <f>'[7]May Prod'!I20</f>
        <v>28899999.999999635</v>
      </c>
      <c r="C21" s="8">
        <f t="shared" si="4"/>
        <v>28.899999999999636</v>
      </c>
      <c r="D21" s="10">
        <f t="shared" si="5"/>
        <v>88.722999999998876</v>
      </c>
      <c r="E21" s="7">
        <f>'[7]May Prod'!E20</f>
        <v>0</v>
      </c>
      <c r="F21" s="8">
        <f t="shared" si="6"/>
        <v>0</v>
      </c>
      <c r="G21" s="10">
        <f t="shared" si="7"/>
        <v>0</v>
      </c>
      <c r="H21" s="7">
        <f>'[7]May Prod'!F20</f>
        <v>29990000</v>
      </c>
      <c r="I21" s="8">
        <f t="shared" si="8"/>
        <v>29.99</v>
      </c>
      <c r="J21" s="10">
        <f t="shared" si="9"/>
        <v>92.069299999999984</v>
      </c>
      <c r="K21" s="7">
        <f>'[7]May Prod'!H275</f>
        <v>2808941</v>
      </c>
      <c r="L21" s="8">
        <f t="shared" si="10"/>
        <v>2.8089409999999999</v>
      </c>
      <c r="M21" s="10">
        <f t="shared" si="11"/>
        <v>8.6234488699999989</v>
      </c>
      <c r="N21" s="21"/>
      <c r="O21" s="7">
        <f>'[7]May Prod'!H20</f>
        <v>3452000.0000000009</v>
      </c>
      <c r="P21" s="8">
        <f t="shared" si="12"/>
        <v>3.4520000000000008</v>
      </c>
      <c r="Q21" s="10">
        <f t="shared" si="0"/>
        <v>10.597640000000002</v>
      </c>
      <c r="R21" s="7">
        <f>'[7]May Prod'!C20</f>
        <v>3745000</v>
      </c>
      <c r="S21" s="8">
        <f t="shared" si="13"/>
        <v>3.7450000000000001</v>
      </c>
      <c r="T21" s="10">
        <f t="shared" si="1"/>
        <v>11.49715</v>
      </c>
      <c r="U21" s="7">
        <f>'[7]May Prod'!D20</f>
        <v>0</v>
      </c>
      <c r="V21" s="8">
        <f t="shared" si="14"/>
        <v>0</v>
      </c>
      <c r="W21" s="10">
        <f t="shared" si="2"/>
        <v>0</v>
      </c>
      <c r="X21" s="7">
        <f>'[7]May Prod'!D275</f>
        <v>292999.99999999924</v>
      </c>
      <c r="Y21" s="8">
        <f t="shared" si="15"/>
        <v>0.29299999999999926</v>
      </c>
      <c r="Z21" s="10">
        <f t="shared" si="3"/>
        <v>0.8995099999999977</v>
      </c>
      <c r="AA21" s="15"/>
      <c r="AB21" s="7">
        <f t="shared" si="16"/>
        <v>32351999.999999635</v>
      </c>
      <c r="AC21" s="8">
        <f t="shared" si="16"/>
        <v>32.351999999999634</v>
      </c>
      <c r="AD21" s="8">
        <f t="shared" si="16"/>
        <v>99.320639999998875</v>
      </c>
    </row>
    <row r="22" spans="1:30" x14ac:dyDescent="0.2">
      <c r="A22" s="28">
        <v>38490</v>
      </c>
      <c r="B22" s="7">
        <f>'[7]May Prod'!I21</f>
        <v>25200000.000000726</v>
      </c>
      <c r="C22" s="8">
        <f t="shared" si="4"/>
        <v>25.200000000000728</v>
      </c>
      <c r="D22" s="10">
        <f t="shared" si="5"/>
        <v>77.364000000002235</v>
      </c>
      <c r="E22" s="7">
        <f>'[7]May Prod'!E21</f>
        <v>0</v>
      </c>
      <c r="F22" s="8">
        <f t="shared" si="6"/>
        <v>0</v>
      </c>
      <c r="G22" s="10">
        <f t="shared" si="7"/>
        <v>0</v>
      </c>
      <c r="H22" s="7">
        <f>'[7]May Prod'!F21</f>
        <v>26550000</v>
      </c>
      <c r="I22" s="8">
        <f t="shared" si="8"/>
        <v>26.55</v>
      </c>
      <c r="J22" s="10">
        <f t="shared" si="9"/>
        <v>81.508499999999998</v>
      </c>
      <c r="K22" s="7">
        <f>'[7]May Prod'!H276</f>
        <v>2746693</v>
      </c>
      <c r="L22" s="8">
        <f t="shared" si="10"/>
        <v>2.7466930000000001</v>
      </c>
      <c r="M22" s="10">
        <f t="shared" si="11"/>
        <v>8.4323475099999996</v>
      </c>
      <c r="N22" s="21"/>
      <c r="O22" s="7">
        <f>'[7]May Prod'!H21</f>
        <v>4704999.9999999981</v>
      </c>
      <c r="P22" s="8">
        <f t="shared" si="12"/>
        <v>4.7049999999999983</v>
      </c>
      <c r="Q22" s="10">
        <f t="shared" si="0"/>
        <v>14.444349999999995</v>
      </c>
      <c r="R22" s="7">
        <f>'[7]May Prod'!C21</f>
        <v>4945000</v>
      </c>
      <c r="S22" s="8">
        <f t="shared" si="13"/>
        <v>4.9450000000000003</v>
      </c>
      <c r="T22" s="10">
        <f t="shared" si="1"/>
        <v>15.181150000000001</v>
      </c>
      <c r="U22" s="7">
        <f>'[7]May Prod'!D21</f>
        <v>0</v>
      </c>
      <c r="V22" s="8">
        <f t="shared" si="14"/>
        <v>0</v>
      </c>
      <c r="W22" s="10">
        <f t="shared" si="2"/>
        <v>0</v>
      </c>
      <c r="X22" s="7">
        <f>'[7]May Prod'!D276</f>
        <v>240000.00000000198</v>
      </c>
      <c r="Y22" s="8">
        <f t="shared" si="15"/>
        <v>0.24000000000000199</v>
      </c>
      <c r="Z22" s="10">
        <f t="shared" si="3"/>
        <v>0.73680000000000612</v>
      </c>
      <c r="AA22" s="15"/>
      <c r="AB22" s="7">
        <f t="shared" si="16"/>
        <v>29905000.000000723</v>
      </c>
      <c r="AC22" s="8">
        <f t="shared" si="16"/>
        <v>29.905000000000726</v>
      </c>
      <c r="AD22" s="8">
        <f t="shared" si="16"/>
        <v>91.808350000002235</v>
      </c>
    </row>
    <row r="23" spans="1:30" x14ac:dyDescent="0.2">
      <c r="A23" s="28">
        <v>38491</v>
      </c>
      <c r="B23" s="7">
        <f>'[7]May Prod'!I22</f>
        <v>20399999.999999635</v>
      </c>
      <c r="C23" s="8">
        <f t="shared" si="4"/>
        <v>20.399999999999636</v>
      </c>
      <c r="D23" s="10">
        <f t="shared" si="5"/>
        <v>62.627999999998877</v>
      </c>
      <c r="E23" s="7">
        <f>'[7]May Prod'!E22</f>
        <v>0</v>
      </c>
      <c r="F23" s="8">
        <f t="shared" si="6"/>
        <v>0</v>
      </c>
      <c r="G23" s="10">
        <f t="shared" si="7"/>
        <v>0</v>
      </c>
      <c r="H23" s="7">
        <f>'[7]May Prod'!F22</f>
        <v>21050000</v>
      </c>
      <c r="I23" s="8">
        <f t="shared" si="8"/>
        <v>21.05</v>
      </c>
      <c r="J23" s="10">
        <f t="shared" si="9"/>
        <v>64.623499999999993</v>
      </c>
      <c r="K23" s="7">
        <f>'[7]May Prod'!H277</f>
        <v>2265659.5999999996</v>
      </c>
      <c r="L23" s="8">
        <f t="shared" si="10"/>
        <v>2.2656595999999998</v>
      </c>
      <c r="M23" s="10">
        <f t="shared" si="11"/>
        <v>6.9555749719999991</v>
      </c>
      <c r="N23" s="21"/>
      <c r="O23" s="7">
        <f>'[7]May Prod'!H22</f>
        <v>4736000.0000000028</v>
      </c>
      <c r="P23" s="8">
        <f t="shared" si="12"/>
        <v>4.7360000000000024</v>
      </c>
      <c r="Q23" s="10">
        <f t="shared" si="0"/>
        <v>14.539520000000007</v>
      </c>
      <c r="R23" s="7">
        <f>'[7]May Prod'!C22</f>
        <v>5039000</v>
      </c>
      <c r="S23" s="8">
        <f t="shared" si="13"/>
        <v>5.0389999999999997</v>
      </c>
      <c r="T23" s="10">
        <f t="shared" si="1"/>
        <v>15.469729999999998</v>
      </c>
      <c r="U23" s="7">
        <f>'[7]May Prod'!D22</f>
        <v>0</v>
      </c>
      <c r="V23" s="8">
        <f t="shared" si="14"/>
        <v>0</v>
      </c>
      <c r="W23" s="10">
        <f t="shared" si="2"/>
        <v>0</v>
      </c>
      <c r="X23" s="7">
        <f>'[7]May Prod'!D277</f>
        <v>302999.99999999726</v>
      </c>
      <c r="Y23" s="8">
        <f t="shared" si="15"/>
        <v>0.30299999999999727</v>
      </c>
      <c r="Z23" s="10">
        <f t="shared" si="3"/>
        <v>0.93020999999999154</v>
      </c>
      <c r="AA23" s="15"/>
      <c r="AB23" s="7">
        <f t="shared" si="16"/>
        <v>25135999.999999639</v>
      </c>
      <c r="AC23" s="8">
        <f t="shared" si="16"/>
        <v>25.13599999999964</v>
      </c>
      <c r="AD23" s="8">
        <f t="shared" si="16"/>
        <v>77.167519999998888</v>
      </c>
    </row>
    <row r="24" spans="1:30" x14ac:dyDescent="0.2">
      <c r="A24" s="28">
        <v>38492</v>
      </c>
      <c r="B24" s="7">
        <f>'[7]May Prod'!I23</f>
        <v>18600000.000000365</v>
      </c>
      <c r="C24" s="8">
        <f t="shared" si="4"/>
        <v>18.600000000000364</v>
      </c>
      <c r="D24" s="10">
        <f t="shared" si="5"/>
        <v>57.102000000001112</v>
      </c>
      <c r="E24" s="7">
        <f>'[7]May Prod'!E23</f>
        <v>0</v>
      </c>
      <c r="F24" s="8">
        <f t="shared" si="6"/>
        <v>0</v>
      </c>
      <c r="G24" s="10">
        <f t="shared" si="7"/>
        <v>0</v>
      </c>
      <c r="H24" s="7">
        <f>'[7]May Prod'!F23</f>
        <v>19700000</v>
      </c>
      <c r="I24" s="8">
        <f t="shared" si="8"/>
        <v>19.7</v>
      </c>
      <c r="J24" s="10">
        <f t="shared" si="9"/>
        <v>60.478999999999992</v>
      </c>
      <c r="K24" s="7">
        <f>'[7]May Prod'!H278</f>
        <v>2184725</v>
      </c>
      <c r="L24" s="8">
        <f t="shared" si="10"/>
        <v>2.1847249999999998</v>
      </c>
      <c r="M24" s="10">
        <f t="shared" si="11"/>
        <v>6.7071057499999993</v>
      </c>
      <c r="N24" s="21"/>
      <c r="O24" s="7">
        <f>'[7]May Prod'!H23</f>
        <v>4609000</v>
      </c>
      <c r="P24" s="8">
        <f t="shared" si="12"/>
        <v>4.609</v>
      </c>
      <c r="Q24" s="10">
        <f t="shared" si="0"/>
        <v>14.149629999999998</v>
      </c>
      <c r="R24" s="7">
        <f>'[7]May Prod'!C23</f>
        <v>4929000</v>
      </c>
      <c r="S24" s="8">
        <f t="shared" si="13"/>
        <v>4.9290000000000003</v>
      </c>
      <c r="T24" s="10">
        <f t="shared" si="1"/>
        <v>15.13203</v>
      </c>
      <c r="U24" s="7">
        <f>'[7]May Prod'!D23</f>
        <v>0</v>
      </c>
      <c r="V24" s="8">
        <f t="shared" si="14"/>
        <v>0</v>
      </c>
      <c r="W24" s="10">
        <f t="shared" si="2"/>
        <v>0</v>
      </c>
      <c r="X24" s="7">
        <f>'[7]May Prod'!D278</f>
        <v>320000.00000000029</v>
      </c>
      <c r="Y24" s="8">
        <f t="shared" si="15"/>
        <v>0.32000000000000028</v>
      </c>
      <c r="Z24" s="10">
        <f t="shared" si="3"/>
        <v>0.98240000000000083</v>
      </c>
      <c r="AA24" s="15"/>
      <c r="AB24" s="7">
        <f t="shared" si="16"/>
        <v>23209000.000000365</v>
      </c>
      <c r="AC24" s="8">
        <f t="shared" si="16"/>
        <v>23.209000000000366</v>
      </c>
      <c r="AD24" s="8">
        <f t="shared" si="16"/>
        <v>71.251630000001114</v>
      </c>
    </row>
    <row r="25" spans="1:30" x14ac:dyDescent="0.2">
      <c r="A25" s="28">
        <v>38493</v>
      </c>
      <c r="B25" s="7">
        <f>'[7]May Prod'!I24</f>
        <v>24899999.999999635</v>
      </c>
      <c r="C25" s="8">
        <f t="shared" si="4"/>
        <v>24.899999999999636</v>
      </c>
      <c r="D25" s="10">
        <f t="shared" si="5"/>
        <v>76.442999999998875</v>
      </c>
      <c r="E25" s="7">
        <f>'[7]May Prod'!E24</f>
        <v>0</v>
      </c>
      <c r="F25" s="8">
        <f t="shared" si="6"/>
        <v>0</v>
      </c>
      <c r="G25" s="10">
        <f t="shared" si="7"/>
        <v>0</v>
      </c>
      <c r="H25" s="7">
        <f>'[7]May Prod'!F24</f>
        <v>26050000</v>
      </c>
      <c r="I25" s="8">
        <f t="shared" si="8"/>
        <v>26.05</v>
      </c>
      <c r="J25" s="10">
        <f t="shared" si="9"/>
        <v>79.973500000000001</v>
      </c>
      <c r="K25" s="7">
        <f>'[7]May Prod'!H279</f>
        <v>2711557</v>
      </c>
      <c r="L25" s="8">
        <f t="shared" si="10"/>
        <v>2.711557</v>
      </c>
      <c r="M25" s="10">
        <f t="shared" si="11"/>
        <v>8.3244799900000004</v>
      </c>
      <c r="N25" s="21"/>
      <c r="O25" s="7">
        <f>'[7]May Prod'!H24</f>
        <v>4441000.0000000009</v>
      </c>
      <c r="P25" s="8">
        <f t="shared" si="12"/>
        <v>4.4410000000000007</v>
      </c>
      <c r="Q25" s="10">
        <f t="shared" si="0"/>
        <v>13.633870000000002</v>
      </c>
      <c r="R25" s="7">
        <f>'[7]May Prod'!C24</f>
        <v>4600000</v>
      </c>
      <c r="S25" s="8">
        <f t="shared" si="13"/>
        <v>4.5999999999999996</v>
      </c>
      <c r="T25" s="10">
        <f t="shared" si="1"/>
        <v>14.121999999999998</v>
      </c>
      <c r="U25" s="7">
        <f>'[7]May Prod'!D24</f>
        <v>0</v>
      </c>
      <c r="V25" s="8">
        <f t="shared" si="14"/>
        <v>0</v>
      </c>
      <c r="W25" s="10">
        <f t="shared" si="2"/>
        <v>0</v>
      </c>
      <c r="X25" s="7">
        <f>'[7]May Prod'!D279</f>
        <v>158999.99999999892</v>
      </c>
      <c r="Y25" s="8">
        <f t="shared" si="15"/>
        <v>0.15899999999999892</v>
      </c>
      <c r="Z25" s="10">
        <f t="shared" si="3"/>
        <v>0.48812999999999668</v>
      </c>
      <c r="AA25" s="15"/>
      <c r="AB25" s="7">
        <f t="shared" si="16"/>
        <v>29340999.999999635</v>
      </c>
      <c r="AC25" s="8">
        <f t="shared" si="16"/>
        <v>29.340999999999639</v>
      </c>
      <c r="AD25" s="8">
        <f t="shared" si="16"/>
        <v>90.076869999998877</v>
      </c>
    </row>
    <row r="26" spans="1:30" x14ac:dyDescent="0.2">
      <c r="A26" s="28">
        <v>38494</v>
      </c>
      <c r="B26" s="7">
        <f>'[7]May Prod'!I25</f>
        <v>30800000.000001092</v>
      </c>
      <c r="C26" s="8">
        <f t="shared" si="4"/>
        <v>30.800000000001091</v>
      </c>
      <c r="D26" s="10">
        <f t="shared" si="5"/>
        <v>94.556000000003351</v>
      </c>
      <c r="E26" s="7">
        <f>'[7]May Prod'!E25</f>
        <v>3000000</v>
      </c>
      <c r="F26" s="8">
        <f t="shared" si="6"/>
        <v>3</v>
      </c>
      <c r="G26" s="10">
        <f t="shared" si="7"/>
        <v>9.2099999999999991</v>
      </c>
      <c r="H26" s="7">
        <f>'[7]May Prod'!F25</f>
        <v>28180000</v>
      </c>
      <c r="I26" s="8">
        <f t="shared" si="8"/>
        <v>28.18</v>
      </c>
      <c r="J26" s="10">
        <f t="shared" si="9"/>
        <v>86.512599999999992</v>
      </c>
      <c r="K26" s="7">
        <f>'[7]May Prod'!H280</f>
        <v>3015477</v>
      </c>
      <c r="L26" s="8">
        <f t="shared" si="10"/>
        <v>3.0154770000000002</v>
      </c>
      <c r="M26" s="10">
        <f t="shared" si="11"/>
        <v>9.2575143900000008</v>
      </c>
      <c r="N26" s="21"/>
      <c r="O26" s="7">
        <f>'[7]May Prod'!H25</f>
        <v>5905999.9999999935</v>
      </c>
      <c r="P26" s="8">
        <f t="shared" si="12"/>
        <v>5.9059999999999935</v>
      </c>
      <c r="Q26" s="10">
        <f t="shared" si="0"/>
        <v>18.131419999999981</v>
      </c>
      <c r="R26" s="7">
        <f>'[7]May Prod'!C25</f>
        <v>6205000</v>
      </c>
      <c r="S26" s="8">
        <f t="shared" si="13"/>
        <v>6.2050000000000001</v>
      </c>
      <c r="T26" s="10">
        <f t="shared" si="1"/>
        <v>19.04935</v>
      </c>
      <c r="U26" s="7">
        <f>'[7]May Prod'!D25</f>
        <v>0</v>
      </c>
      <c r="V26" s="8">
        <f t="shared" si="14"/>
        <v>0</v>
      </c>
      <c r="W26" s="10">
        <f t="shared" si="2"/>
        <v>0</v>
      </c>
      <c r="X26" s="7">
        <f>'[7]May Prod'!D280</f>
        <v>299000.00000000658</v>
      </c>
      <c r="Y26" s="8">
        <f t="shared" si="15"/>
        <v>0.29900000000000659</v>
      </c>
      <c r="Z26" s="10">
        <f t="shared" si="3"/>
        <v>0.91793000000002023</v>
      </c>
      <c r="AA26" s="15"/>
      <c r="AB26" s="7">
        <f t="shared" si="16"/>
        <v>36706000.000001088</v>
      </c>
      <c r="AC26" s="8">
        <f t="shared" si="16"/>
        <v>36.706000000001083</v>
      </c>
      <c r="AD26" s="8">
        <f t="shared" si="16"/>
        <v>112.68742000000333</v>
      </c>
    </row>
    <row r="27" spans="1:30" x14ac:dyDescent="0.2">
      <c r="A27" s="28">
        <v>38495</v>
      </c>
      <c r="B27" s="7">
        <f>'[7]May Prod'!I26</f>
        <v>22299999.999999274</v>
      </c>
      <c r="C27" s="8">
        <f t="shared" si="4"/>
        <v>22.299999999999272</v>
      </c>
      <c r="D27" s="10">
        <f t="shared" si="5"/>
        <v>68.460999999997767</v>
      </c>
      <c r="E27" s="7">
        <f>'[7]May Prod'!E26</f>
        <v>2000000</v>
      </c>
      <c r="F27" s="8">
        <f t="shared" si="6"/>
        <v>2</v>
      </c>
      <c r="G27" s="10">
        <f t="shared" si="7"/>
        <v>6.14</v>
      </c>
      <c r="H27" s="7">
        <f>'[7]May Prod'!F26</f>
        <v>20740000</v>
      </c>
      <c r="I27" s="8">
        <f t="shared" si="8"/>
        <v>20.74</v>
      </c>
      <c r="J27" s="10">
        <f t="shared" si="9"/>
        <v>63.67179999999999</v>
      </c>
      <c r="K27" s="7">
        <f>'[7]May Prod'!H281</f>
        <v>2050981</v>
      </c>
      <c r="L27" s="8">
        <f t="shared" si="10"/>
        <v>2.0509810000000002</v>
      </c>
      <c r="M27" s="10">
        <f t="shared" si="11"/>
        <v>6.2965116700000001</v>
      </c>
      <c r="N27" s="21"/>
      <c r="O27" s="7">
        <f>'[7]May Prod'!H26</f>
        <v>2793000.0000000065</v>
      </c>
      <c r="P27" s="8">
        <f t="shared" si="12"/>
        <v>2.7930000000000064</v>
      </c>
      <c r="Q27" s="10">
        <f t="shared" si="0"/>
        <v>8.5745100000000196</v>
      </c>
      <c r="R27" s="7">
        <f>'[7]May Prod'!C26</f>
        <v>3192000</v>
      </c>
      <c r="S27" s="8">
        <f t="shared" si="13"/>
        <v>3.1920000000000002</v>
      </c>
      <c r="T27" s="10">
        <f t="shared" si="1"/>
        <v>9.7994400000000006</v>
      </c>
      <c r="U27" s="7">
        <f>'[7]May Prod'!D26</f>
        <v>0</v>
      </c>
      <c r="V27" s="8">
        <f t="shared" si="14"/>
        <v>0</v>
      </c>
      <c r="W27" s="10">
        <f t="shared" si="2"/>
        <v>0</v>
      </c>
      <c r="X27" s="7">
        <f>'[7]May Prod'!D281</f>
        <v>398999.99999999383</v>
      </c>
      <c r="Y27" s="8">
        <f t="shared" si="15"/>
        <v>0.3989999999999938</v>
      </c>
      <c r="Z27" s="10">
        <f t="shared" si="3"/>
        <v>1.224929999999981</v>
      </c>
      <c r="AA27" s="15"/>
      <c r="AB27" s="7">
        <f t="shared" si="16"/>
        <v>25092999.999999281</v>
      </c>
      <c r="AC27" s="8">
        <f t="shared" si="16"/>
        <v>25.092999999999279</v>
      </c>
      <c r="AD27" s="8">
        <f t="shared" si="16"/>
        <v>77.035509999997785</v>
      </c>
    </row>
    <row r="28" spans="1:30" x14ac:dyDescent="0.2">
      <c r="A28" s="28">
        <v>38496</v>
      </c>
      <c r="B28" s="7">
        <f>'[7]May Prod'!I27</f>
        <v>19899999.999999635</v>
      </c>
      <c r="C28" s="8">
        <f t="shared" si="4"/>
        <v>19.899999999999636</v>
      </c>
      <c r="D28" s="10">
        <f t="shared" si="5"/>
        <v>61.092999999998881</v>
      </c>
      <c r="E28" s="7">
        <f>'[7]May Prod'!E27</f>
        <v>0</v>
      </c>
      <c r="F28" s="8">
        <f t="shared" si="6"/>
        <v>0</v>
      </c>
      <c r="G28" s="10">
        <f t="shared" si="7"/>
        <v>0</v>
      </c>
      <c r="H28" s="7">
        <f>'[7]May Prod'!F27</f>
        <v>20190000</v>
      </c>
      <c r="I28" s="8">
        <f t="shared" si="8"/>
        <v>20.190000000000001</v>
      </c>
      <c r="J28" s="10">
        <f t="shared" si="9"/>
        <v>61.9833</v>
      </c>
      <c r="K28" s="7">
        <f>'[7]May Prod'!H282</f>
        <v>172754</v>
      </c>
      <c r="L28" s="8">
        <f t="shared" si="10"/>
        <v>0.17275399999999999</v>
      </c>
      <c r="M28" s="10">
        <f t="shared" si="11"/>
        <v>0.53035477999999991</v>
      </c>
      <c r="N28" s="21"/>
      <c r="O28" s="7">
        <f>'[7]May Prod'!H27</f>
        <v>0</v>
      </c>
      <c r="P28" s="8">
        <f t="shared" si="12"/>
        <v>0</v>
      </c>
      <c r="Q28" s="10">
        <f t="shared" si="0"/>
        <v>0</v>
      </c>
      <c r="R28" s="7">
        <f>'[7]May Prod'!C27</f>
        <v>0</v>
      </c>
      <c r="S28" s="8">
        <f t="shared" si="13"/>
        <v>0</v>
      </c>
      <c r="T28" s="10">
        <f t="shared" si="1"/>
        <v>0</v>
      </c>
      <c r="U28" s="7">
        <f>'[7]May Prod'!D27</f>
        <v>0</v>
      </c>
      <c r="V28" s="8">
        <f t="shared" si="14"/>
        <v>0</v>
      </c>
      <c r="W28" s="10">
        <f t="shared" si="2"/>
        <v>0</v>
      </c>
      <c r="X28" s="7">
        <f>'[7]May Prod'!D282</f>
        <v>0</v>
      </c>
      <c r="Y28" s="8">
        <f t="shared" si="15"/>
        <v>0</v>
      </c>
      <c r="Z28" s="10">
        <f t="shared" si="3"/>
        <v>0</v>
      </c>
      <c r="AA28" s="15"/>
      <c r="AB28" s="7">
        <f t="shared" si="16"/>
        <v>19899999.999999635</v>
      </c>
      <c r="AC28" s="8">
        <f t="shared" si="16"/>
        <v>19.899999999999636</v>
      </c>
      <c r="AD28" s="8">
        <f t="shared" si="16"/>
        <v>61.092999999998881</v>
      </c>
    </row>
    <row r="29" spans="1:30" x14ac:dyDescent="0.2">
      <c r="A29" s="28">
        <v>38497</v>
      </c>
      <c r="B29" s="7">
        <f>'[7]May Prod'!I28</f>
        <v>22200000.000000726</v>
      </c>
      <c r="C29" s="8">
        <f t="shared" si="4"/>
        <v>22.200000000000728</v>
      </c>
      <c r="D29" s="10">
        <f t="shared" si="5"/>
        <v>68.154000000002227</v>
      </c>
      <c r="E29" s="7">
        <f>'[7]May Prod'!E28</f>
        <v>0</v>
      </c>
      <c r="F29" s="8">
        <f t="shared" si="6"/>
        <v>0</v>
      </c>
      <c r="G29" s="10">
        <f t="shared" si="7"/>
        <v>0</v>
      </c>
      <c r="H29" s="7">
        <f>'[7]May Prod'!F28</f>
        <v>23480000</v>
      </c>
      <c r="I29" s="8">
        <f t="shared" si="8"/>
        <v>23.48</v>
      </c>
      <c r="J29" s="10">
        <f t="shared" si="9"/>
        <v>72.083600000000004</v>
      </c>
      <c r="K29" s="7">
        <f>'[7]May Prod'!H283</f>
        <v>2032691</v>
      </c>
      <c r="L29" s="8">
        <f t="shared" si="10"/>
        <v>2.0326909999999998</v>
      </c>
      <c r="M29" s="10">
        <f t="shared" si="11"/>
        <v>6.2403613699999987</v>
      </c>
      <c r="N29" s="21"/>
      <c r="O29" s="7">
        <f>'[7]May Prod'!H28</f>
        <v>2923999.9999999958</v>
      </c>
      <c r="P29" s="8">
        <f t="shared" si="12"/>
        <v>2.9239999999999959</v>
      </c>
      <c r="Q29" s="10">
        <f t="shared" si="0"/>
        <v>8.9766799999999876</v>
      </c>
      <c r="R29" s="7">
        <f>'[7]May Prod'!C28</f>
        <v>2910000</v>
      </c>
      <c r="S29" s="8">
        <f t="shared" si="13"/>
        <v>2.91</v>
      </c>
      <c r="T29" s="10">
        <f t="shared" si="1"/>
        <v>8.9337</v>
      </c>
      <c r="U29" s="7">
        <f>'[7]May Prod'!D28</f>
        <v>0</v>
      </c>
      <c r="V29" s="8">
        <f t="shared" si="14"/>
        <v>0</v>
      </c>
      <c r="W29" s="10">
        <f t="shared" si="2"/>
        <v>0</v>
      </c>
      <c r="X29" s="7">
        <f>'[7]May Prod'!D283</f>
        <v>-13999.999999995794</v>
      </c>
      <c r="Y29" s="8">
        <f t="shared" si="15"/>
        <v>-1.3999999999995795E-2</v>
      </c>
      <c r="Z29" s="10">
        <f t="shared" si="3"/>
        <v>-4.2979999999987091E-2</v>
      </c>
      <c r="AA29" s="15"/>
      <c r="AB29" s="7">
        <f t="shared" si="16"/>
        <v>25124000.000000723</v>
      </c>
      <c r="AC29" s="8">
        <f t="shared" si="16"/>
        <v>25.124000000000724</v>
      </c>
      <c r="AD29" s="8">
        <f t="shared" si="16"/>
        <v>77.130680000002215</v>
      </c>
    </row>
    <row r="30" spans="1:30" x14ac:dyDescent="0.2">
      <c r="A30" s="28">
        <v>38498</v>
      </c>
      <c r="B30" s="7">
        <f>'[7]May Prod'!I29</f>
        <v>25100000.000000365</v>
      </c>
      <c r="C30" s="8">
        <f t="shared" si="4"/>
        <v>25.100000000000364</v>
      </c>
      <c r="D30" s="10">
        <f t="shared" si="5"/>
        <v>77.057000000001111</v>
      </c>
      <c r="E30" s="7">
        <f>'[7]May Prod'!E29</f>
        <v>0</v>
      </c>
      <c r="F30" s="8">
        <f t="shared" si="6"/>
        <v>0</v>
      </c>
      <c r="G30" s="10">
        <f t="shared" si="7"/>
        <v>0</v>
      </c>
      <c r="H30" s="7">
        <f>'[7]May Prod'!F29</f>
        <v>24800000</v>
      </c>
      <c r="I30" s="8">
        <f t="shared" si="8"/>
        <v>24.8</v>
      </c>
      <c r="J30" s="10">
        <f t="shared" si="9"/>
        <v>76.135999999999996</v>
      </c>
      <c r="K30" s="7">
        <f>'[7]May Prod'!H284</f>
        <v>2133406</v>
      </c>
      <c r="L30" s="8">
        <f t="shared" si="10"/>
        <v>2.1334059999999999</v>
      </c>
      <c r="M30" s="10">
        <f t="shared" si="11"/>
        <v>6.5495564199999992</v>
      </c>
      <c r="N30" s="21"/>
      <c r="O30" s="7">
        <f>'[7]May Prod'!H29</f>
        <v>4637000.0000000028</v>
      </c>
      <c r="P30" s="8">
        <f t="shared" si="12"/>
        <v>4.6370000000000031</v>
      </c>
      <c r="Q30" s="10">
        <f t="shared" si="0"/>
        <v>14.235590000000009</v>
      </c>
      <c r="R30" s="7">
        <f>'[7]May Prod'!C29</f>
        <v>4992000</v>
      </c>
      <c r="S30" s="8">
        <f t="shared" si="13"/>
        <v>4.992</v>
      </c>
      <c r="T30" s="10">
        <f t="shared" si="1"/>
        <v>15.325439999999999</v>
      </c>
      <c r="U30" s="7">
        <f>'[7]May Prod'!D29</f>
        <v>0</v>
      </c>
      <c r="V30" s="8">
        <f t="shared" si="14"/>
        <v>0</v>
      </c>
      <c r="W30" s="10">
        <f t="shared" si="2"/>
        <v>0</v>
      </c>
      <c r="X30" s="7">
        <f>'[7]May Prod'!D284</f>
        <v>354999.99999999686</v>
      </c>
      <c r="Y30" s="8">
        <f t="shared" si="15"/>
        <v>0.35499999999999687</v>
      </c>
      <c r="Z30" s="10">
        <f t="shared" si="3"/>
        <v>1.0898499999999904</v>
      </c>
      <c r="AA30" s="15"/>
      <c r="AB30" s="7">
        <f t="shared" si="16"/>
        <v>29737000.000000369</v>
      </c>
      <c r="AC30" s="8">
        <f t="shared" si="16"/>
        <v>29.737000000000368</v>
      </c>
      <c r="AD30" s="8">
        <f t="shared" si="16"/>
        <v>91.292590000001127</v>
      </c>
    </row>
    <row r="31" spans="1:30" x14ac:dyDescent="0.2">
      <c r="A31" s="28">
        <v>38499</v>
      </c>
      <c r="B31" s="7">
        <f>'[7]May Prod'!I30</f>
        <v>24000000</v>
      </c>
      <c r="C31" s="8">
        <f t="shared" si="4"/>
        <v>24</v>
      </c>
      <c r="D31" s="10">
        <f t="shared" si="5"/>
        <v>73.679999999999993</v>
      </c>
      <c r="E31" s="7">
        <f>'[7]May Prod'!E30</f>
        <v>0</v>
      </c>
      <c r="F31" s="8">
        <f t="shared" si="6"/>
        <v>0</v>
      </c>
      <c r="G31" s="10">
        <f t="shared" si="7"/>
        <v>0</v>
      </c>
      <c r="H31" s="7">
        <f>'[7]May Prod'!F30</f>
        <v>24960000</v>
      </c>
      <c r="I31" s="8">
        <f t="shared" si="8"/>
        <v>24.96</v>
      </c>
      <c r="J31" s="10">
        <f t="shared" si="9"/>
        <v>76.627200000000002</v>
      </c>
      <c r="K31" s="7">
        <f>'[7]May Prod'!H285</f>
        <v>2091605</v>
      </c>
      <c r="L31" s="8">
        <f t="shared" si="10"/>
        <v>2.0916049999999999</v>
      </c>
      <c r="M31" s="10">
        <f t="shared" si="11"/>
        <v>6.4212273499999997</v>
      </c>
      <c r="N31" s="21"/>
      <c r="O31" s="7">
        <f>'[7]May Prod'!H30</f>
        <v>4652000.0000000009</v>
      </c>
      <c r="P31" s="8">
        <f t="shared" si="12"/>
        <v>4.652000000000001</v>
      </c>
      <c r="Q31" s="10">
        <f t="shared" si="0"/>
        <v>14.281640000000003</v>
      </c>
      <c r="R31" s="7">
        <f>'[7]May Prod'!C30</f>
        <v>5009000</v>
      </c>
      <c r="S31" s="8">
        <f t="shared" si="13"/>
        <v>5.0090000000000003</v>
      </c>
      <c r="T31" s="10">
        <f t="shared" si="1"/>
        <v>15.37763</v>
      </c>
      <c r="U31" s="7">
        <f>'[7]May Prod'!D30</f>
        <v>0</v>
      </c>
      <c r="V31" s="8">
        <f t="shared" si="14"/>
        <v>0</v>
      </c>
      <c r="W31" s="10">
        <f t="shared" si="2"/>
        <v>0</v>
      </c>
      <c r="X31" s="7">
        <f>'[7]May Prod'!D285</f>
        <v>356999.9999999993</v>
      </c>
      <c r="Y31" s="8">
        <f t="shared" si="15"/>
        <v>0.35699999999999932</v>
      </c>
      <c r="Z31" s="10">
        <f t="shared" si="3"/>
        <v>1.0959899999999978</v>
      </c>
      <c r="AA31" s="15"/>
      <c r="AB31" s="7">
        <f t="shared" si="16"/>
        <v>28652000</v>
      </c>
      <c r="AC31" s="8">
        <f t="shared" si="16"/>
        <v>28.652000000000001</v>
      </c>
      <c r="AD31" s="8">
        <f t="shared" si="16"/>
        <v>87.961639999999989</v>
      </c>
    </row>
    <row r="32" spans="1:30" x14ac:dyDescent="0.2">
      <c r="A32" s="28">
        <v>38500</v>
      </c>
      <c r="B32" s="7">
        <f>'[7]May Prod'!I31</f>
        <v>23099999.999998543</v>
      </c>
      <c r="C32" s="8">
        <f t="shared" si="4"/>
        <v>23.099999999998545</v>
      </c>
      <c r="D32" s="10">
        <f t="shared" si="5"/>
        <v>70.916999999995525</v>
      </c>
      <c r="E32" s="7">
        <f>'[7]May Prod'!E31</f>
        <v>0</v>
      </c>
      <c r="F32" s="8">
        <f t="shared" si="6"/>
        <v>0</v>
      </c>
      <c r="G32" s="10">
        <f t="shared" si="7"/>
        <v>0</v>
      </c>
      <c r="H32" s="7">
        <f>'[7]May Prod'!F31</f>
        <v>23760000</v>
      </c>
      <c r="I32" s="8">
        <f t="shared" si="8"/>
        <v>23.76</v>
      </c>
      <c r="J32" s="10">
        <f t="shared" si="9"/>
        <v>72.943200000000004</v>
      </c>
      <c r="K32" s="7">
        <f>'[7]May Prod'!H286</f>
        <v>1931347</v>
      </c>
      <c r="L32" s="8">
        <f t="shared" si="10"/>
        <v>1.9313469999999999</v>
      </c>
      <c r="M32" s="10">
        <f t="shared" si="11"/>
        <v>5.9292352899999994</v>
      </c>
      <c r="N32" s="21"/>
      <c r="O32" s="7">
        <f>'[7]May Prod'!H31</f>
        <v>4617999.9999999981</v>
      </c>
      <c r="P32" s="8">
        <f t="shared" si="12"/>
        <v>4.6179999999999986</v>
      </c>
      <c r="Q32" s="10">
        <f t="shared" si="0"/>
        <v>14.177259999999995</v>
      </c>
      <c r="R32" s="7">
        <f>'[7]May Prod'!C31</f>
        <v>4974000</v>
      </c>
      <c r="S32" s="8">
        <f t="shared" si="13"/>
        <v>4.9740000000000002</v>
      </c>
      <c r="T32" s="10">
        <f t="shared" si="1"/>
        <v>15.27018</v>
      </c>
      <c r="U32" s="7">
        <f>'[7]May Prod'!D31</f>
        <v>0</v>
      </c>
      <c r="V32" s="8">
        <f t="shared" si="14"/>
        <v>0</v>
      </c>
      <c r="W32" s="10">
        <f t="shared" si="2"/>
        <v>0</v>
      </c>
      <c r="X32" s="7">
        <f>'[7]May Prod'!D286</f>
        <v>356000.00000000163</v>
      </c>
      <c r="Y32" s="8">
        <f t="shared" si="15"/>
        <v>0.35600000000000165</v>
      </c>
      <c r="Z32" s="10">
        <f t="shared" si="3"/>
        <v>1.092920000000005</v>
      </c>
      <c r="AA32" s="15"/>
      <c r="AB32" s="7">
        <f t="shared" si="16"/>
        <v>27717999.99999854</v>
      </c>
      <c r="AC32" s="8">
        <f t="shared" si="16"/>
        <v>27.717999999998543</v>
      </c>
      <c r="AD32" s="8">
        <f t="shared" si="16"/>
        <v>85.094259999995515</v>
      </c>
    </row>
    <row r="33" spans="1:30" x14ac:dyDescent="0.2">
      <c r="A33" s="28">
        <v>38501</v>
      </c>
      <c r="B33" s="7">
        <f>'[7]May Prod'!I32</f>
        <v>27400000.000001457</v>
      </c>
      <c r="C33" s="8">
        <f t="shared" si="4"/>
        <v>27.400000000001455</v>
      </c>
      <c r="D33" s="10">
        <f t="shared" si="5"/>
        <v>84.118000000004457</v>
      </c>
      <c r="E33" s="7">
        <f>'[7]May Prod'!E32</f>
        <v>0</v>
      </c>
      <c r="F33" s="8">
        <f t="shared" si="6"/>
        <v>0</v>
      </c>
      <c r="G33" s="10">
        <f t="shared" si="7"/>
        <v>0</v>
      </c>
      <c r="H33" s="7">
        <f>'[7]May Prod'!F32</f>
        <v>28140000</v>
      </c>
      <c r="I33" s="8">
        <f t="shared" si="8"/>
        <v>28.14</v>
      </c>
      <c r="J33" s="10">
        <f t="shared" si="9"/>
        <v>86.389799999999994</v>
      </c>
      <c r="K33" s="7">
        <f>'[7]May Prod'!H287</f>
        <v>2367695</v>
      </c>
      <c r="L33" s="8">
        <f t="shared" si="10"/>
        <v>2.3676949999999999</v>
      </c>
      <c r="M33" s="10">
        <f t="shared" si="11"/>
        <v>7.268823649999999</v>
      </c>
      <c r="N33" s="21"/>
      <c r="O33" s="7">
        <f>'[7]May Prod'!H32</f>
        <v>6671999.9999999963</v>
      </c>
      <c r="P33" s="8">
        <f t="shared" si="12"/>
        <v>6.6719999999999962</v>
      </c>
      <c r="Q33" s="10">
        <f t="shared" si="0"/>
        <v>20.483039999999988</v>
      </c>
      <c r="R33" s="7">
        <f>'[7]May Prod'!C32</f>
        <v>7079000</v>
      </c>
      <c r="S33" s="8">
        <f t="shared" si="13"/>
        <v>7.0789999999999997</v>
      </c>
      <c r="T33" s="10">
        <f t="shared" si="1"/>
        <v>21.732529999999997</v>
      </c>
      <c r="U33" s="7">
        <f>'[7]May Prod'!D32</f>
        <v>0</v>
      </c>
      <c r="V33" s="8">
        <f t="shared" si="14"/>
        <v>0</v>
      </c>
      <c r="W33" s="10">
        <f t="shared" si="2"/>
        <v>0</v>
      </c>
      <c r="X33" s="7">
        <f>'[7]May Prod'!D287</f>
        <v>407000.00000000361</v>
      </c>
      <c r="Y33" s="8">
        <f t="shared" si="15"/>
        <v>0.40700000000000358</v>
      </c>
      <c r="Z33" s="10">
        <f t="shared" si="3"/>
        <v>1.2494900000000109</v>
      </c>
      <c r="AA33" s="15"/>
      <c r="AB33" s="7">
        <f t="shared" si="16"/>
        <v>34072000.000001453</v>
      </c>
      <c r="AC33" s="8">
        <f t="shared" si="16"/>
        <v>34.072000000001452</v>
      </c>
      <c r="AD33" s="8">
        <f t="shared" si="16"/>
        <v>104.60104000000445</v>
      </c>
    </row>
    <row r="34" spans="1:30" x14ac:dyDescent="0.2">
      <c r="A34" s="28">
        <v>38502</v>
      </c>
      <c r="B34" s="7">
        <f>'[7]May Prod'!I33</f>
        <v>30899999.999999635</v>
      </c>
      <c r="C34" s="8">
        <f t="shared" si="4"/>
        <v>30.899999999999636</v>
      </c>
      <c r="D34" s="10">
        <f t="shared" si="5"/>
        <v>94.862999999998877</v>
      </c>
      <c r="E34" s="7">
        <f>'[7]May Prod'!E33</f>
        <v>1000000</v>
      </c>
      <c r="F34" s="8">
        <f t="shared" si="6"/>
        <v>1</v>
      </c>
      <c r="G34" s="10">
        <f t="shared" si="7"/>
        <v>3.07</v>
      </c>
      <c r="H34" s="7">
        <f>'[7]May Prod'!F33</f>
        <v>30610000</v>
      </c>
      <c r="I34" s="8">
        <f t="shared" si="8"/>
        <v>30.61</v>
      </c>
      <c r="J34" s="10">
        <f t="shared" si="9"/>
        <v>93.972699999999989</v>
      </c>
      <c r="K34" s="7">
        <f>'[7]May Prod'!H288</f>
        <v>2604004</v>
      </c>
      <c r="L34" s="8">
        <f t="shared" si="10"/>
        <v>2.6040040000000002</v>
      </c>
      <c r="M34" s="10">
        <f t="shared" si="11"/>
        <v>7.9942922799999998</v>
      </c>
      <c r="N34" s="21"/>
      <c r="O34" s="7">
        <f>'[7]May Prod'!H33</f>
        <v>6880000.0000000019</v>
      </c>
      <c r="P34" s="8">
        <f t="shared" si="12"/>
        <v>6.8800000000000017</v>
      </c>
      <c r="Q34" s="10">
        <f t="shared" si="0"/>
        <v>21.121600000000004</v>
      </c>
      <c r="R34" s="7">
        <f>'[7]May Prod'!C33</f>
        <v>7201000</v>
      </c>
      <c r="S34" s="8">
        <f t="shared" si="13"/>
        <v>7.2009999999999996</v>
      </c>
      <c r="T34" s="10">
        <f t="shared" si="1"/>
        <v>22.107069999999997</v>
      </c>
      <c r="U34" s="7">
        <f>'[7]May Prod'!D33</f>
        <v>0</v>
      </c>
      <c r="V34" s="8">
        <f t="shared" si="14"/>
        <v>0</v>
      </c>
      <c r="W34" s="10">
        <f t="shared" si="2"/>
        <v>0</v>
      </c>
      <c r="X34" s="7">
        <f>'[7]May Prod'!D288</f>
        <v>320999.99999999796</v>
      </c>
      <c r="Y34" s="8">
        <f t="shared" si="15"/>
        <v>0.32099999999999795</v>
      </c>
      <c r="Z34" s="10">
        <f t="shared" si="3"/>
        <v>0.98546999999999363</v>
      </c>
      <c r="AA34" s="15"/>
      <c r="AB34" s="7">
        <f t="shared" si="16"/>
        <v>37779999.999999635</v>
      </c>
      <c r="AC34" s="8">
        <f t="shared" si="16"/>
        <v>37.779999999999639</v>
      </c>
      <c r="AD34" s="8">
        <f t="shared" si="16"/>
        <v>115.98459999999888</v>
      </c>
    </row>
    <row r="35" spans="1:30" ht="13.5" thickBot="1" x14ac:dyDescent="0.25">
      <c r="A35" s="28">
        <v>38503</v>
      </c>
      <c r="B35" s="30">
        <f>'[7]May Prod'!I34</f>
        <v>26299999.999999274</v>
      </c>
      <c r="C35" s="9">
        <f t="shared" si="4"/>
        <v>26.299999999999272</v>
      </c>
      <c r="D35" s="11">
        <f t="shared" si="5"/>
        <v>80.740999999997769</v>
      </c>
      <c r="E35" s="30">
        <f>'[7]May Prod'!E34</f>
        <v>0</v>
      </c>
      <c r="F35" s="9">
        <f t="shared" si="6"/>
        <v>0</v>
      </c>
      <c r="G35" s="11">
        <f t="shared" si="7"/>
        <v>0</v>
      </c>
      <c r="H35" s="30">
        <f>'[7]May Prod'!F34</f>
        <v>27170000</v>
      </c>
      <c r="I35" s="8">
        <f t="shared" si="8"/>
        <v>27.17</v>
      </c>
      <c r="J35" s="11">
        <f t="shared" si="9"/>
        <v>83.411900000000003</v>
      </c>
      <c r="K35" s="7">
        <f>'[7]May Prod'!H289</f>
        <v>2330387</v>
      </c>
      <c r="L35" s="9">
        <f t="shared" si="10"/>
        <v>2.330387</v>
      </c>
      <c r="M35" s="11">
        <f t="shared" si="11"/>
        <v>7.1542880899999997</v>
      </c>
      <c r="N35" s="21"/>
      <c r="O35" s="30">
        <f>'[7]May Prod'!H34</f>
        <v>4646999.9999999972</v>
      </c>
      <c r="P35" s="9">
        <f t="shared" si="12"/>
        <v>4.6469999999999976</v>
      </c>
      <c r="Q35" s="11">
        <f t="shared" si="0"/>
        <v>14.266289999999993</v>
      </c>
      <c r="R35" s="30">
        <f>'[7]May Prod'!C34</f>
        <v>4898000</v>
      </c>
      <c r="S35" s="9">
        <f t="shared" si="13"/>
        <v>4.8979999999999997</v>
      </c>
      <c r="T35" s="11">
        <f t="shared" si="1"/>
        <v>15.036859999999999</v>
      </c>
      <c r="U35" s="7">
        <f>'[7]May Prod'!D34</f>
        <v>1000</v>
      </c>
      <c r="V35" s="9">
        <f t="shared" si="14"/>
        <v>1E-3</v>
      </c>
      <c r="W35" s="11">
        <f t="shared" si="2"/>
        <v>3.0699999999999998E-3</v>
      </c>
      <c r="X35" s="7">
        <f>'[7]May Prod'!D289</f>
        <v>252000.00000000244</v>
      </c>
      <c r="Y35" s="8">
        <f t="shared" si="15"/>
        <v>0.25200000000000244</v>
      </c>
      <c r="Z35" s="10">
        <f t="shared" si="3"/>
        <v>0.77364000000000743</v>
      </c>
      <c r="AA35" s="15"/>
      <c r="AB35" s="7">
        <f t="shared" si="16"/>
        <v>30946999.99999927</v>
      </c>
      <c r="AC35" s="8">
        <f t="shared" si="16"/>
        <v>30.946999999999271</v>
      </c>
      <c r="AD35" s="8">
        <f t="shared" si="16"/>
        <v>95.007289999997766</v>
      </c>
    </row>
    <row r="36" spans="1:30" s="18" customFormat="1" ht="13.5" thickBot="1" x14ac:dyDescent="0.25">
      <c r="A36" s="15"/>
      <c r="B36" s="39"/>
      <c r="C36" s="40">
        <f>SUM(C5:C35)</f>
        <v>737.10000000000036</v>
      </c>
      <c r="D36" s="40">
        <f t="shared" si="5"/>
        <v>2262.8970000000008</v>
      </c>
      <c r="E36" s="39"/>
      <c r="F36" s="40">
        <f>SUM(F5:F35)</f>
        <v>302</v>
      </c>
      <c r="G36" s="40">
        <f t="shared" si="7"/>
        <v>927.14</v>
      </c>
      <c r="H36" s="39"/>
      <c r="I36" s="40">
        <f>SUM(I5:I35)</f>
        <v>452.43020000000007</v>
      </c>
      <c r="J36" s="40">
        <f t="shared" si="9"/>
        <v>1388.9607140000001</v>
      </c>
      <c r="K36" s="39"/>
      <c r="L36" s="40">
        <f>SUM(L5:L35)</f>
        <v>66.926573599999998</v>
      </c>
      <c r="M36" s="40">
        <f>L36*3.07</f>
        <v>205.46458095199998</v>
      </c>
      <c r="N36" s="14"/>
      <c r="O36" s="39"/>
      <c r="P36" s="40">
        <f>SUM(P5:P35)</f>
        <v>113.99899999999997</v>
      </c>
      <c r="Q36" s="40">
        <f t="shared" si="0"/>
        <v>349.97692999999987</v>
      </c>
      <c r="R36" s="39"/>
      <c r="S36" s="40">
        <f>SUM(S5:S35)</f>
        <v>120.67299999999997</v>
      </c>
      <c r="T36" s="40">
        <f t="shared" si="1"/>
        <v>370.4661099999999</v>
      </c>
      <c r="U36" s="39"/>
      <c r="V36" s="40">
        <f>SUM(V5:V35)</f>
        <v>1E-3</v>
      </c>
      <c r="W36" s="40">
        <f>V36*3.07</f>
        <v>3.0699999999999998E-3</v>
      </c>
      <c r="X36" s="39"/>
      <c r="Y36" s="40">
        <f>SUM(Y5:Y35)</f>
        <v>6.6750000000000043</v>
      </c>
      <c r="Z36" s="40">
        <f>Y36*3.07</f>
        <v>20.492250000000013</v>
      </c>
      <c r="AA36" s="14"/>
      <c r="AB36" s="39"/>
      <c r="AC36" s="40">
        <f>SUM(AC5:AC35)</f>
        <v>851.0990000000005</v>
      </c>
      <c r="AD36" s="40">
        <f>AC36*3.07</f>
        <v>2612.8739300000016</v>
      </c>
    </row>
    <row r="37" spans="1:30" x14ac:dyDescent="0.2">
      <c r="C37" s="18"/>
      <c r="E37" s="3"/>
      <c r="F37" s="3"/>
      <c r="G37" s="3"/>
      <c r="H37" s="3"/>
      <c r="I37" s="3"/>
      <c r="J37" s="15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  <c r="W37" s="31"/>
    </row>
  </sheetData>
  <mergeCells count="9">
    <mergeCell ref="AB3:AD3"/>
    <mergeCell ref="R3:T3"/>
    <mergeCell ref="U3:W3"/>
    <mergeCell ref="X3:Z3"/>
    <mergeCell ref="B3:D3"/>
    <mergeCell ref="E3:G3"/>
    <mergeCell ref="H3:J3"/>
    <mergeCell ref="O3:Q3"/>
    <mergeCell ref="K3:M3"/>
  </mergeCells>
  <phoneticPr fontId="1" type="noConversion"/>
  <pageMargins left="0.75" right="0.75" top="1" bottom="1" header="0.5" footer="0.5"/>
  <pageSetup paperSize="5" scale="60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AF43"/>
  <sheetViews>
    <sheetView workbookViewId="0">
      <pane xSplit="1" ySplit="4" topLeftCell="B23" activePane="bottomRight" state="frozen"/>
      <selection pane="topRight" activeCell="B1" sqref="B1"/>
      <selection pane="bottomLeft" activeCell="A5" sqref="A5"/>
      <selection pane="bottomRight" activeCell="I32" sqref="I32:I34"/>
    </sheetView>
  </sheetViews>
  <sheetFormatPr defaultRowHeight="12.75" x14ac:dyDescent="0.2"/>
  <cols>
    <col min="2" max="2" width="11.140625" customWidth="1"/>
    <col min="5" max="5" width="15.28515625" customWidth="1"/>
    <col min="7" max="7" width="11.42578125" customWidth="1"/>
    <col min="8" max="8" width="13.7109375" customWidth="1"/>
    <col min="11" max="11" width="10.7109375" bestFit="1" customWidth="1"/>
    <col min="12" max="12" width="11" customWidth="1"/>
    <col min="15" max="15" width="10.140625" customWidth="1"/>
    <col min="18" max="18" width="10.140625" customWidth="1"/>
    <col min="19" max="21" width="9.140625" customWidth="1"/>
    <col min="22" max="22" width="11.140625" customWidth="1"/>
    <col min="23" max="23" width="9.140625" customWidth="1"/>
    <col min="28" max="28" width="12.140625" customWidth="1"/>
  </cols>
  <sheetData>
    <row r="1" spans="1:32" x14ac:dyDescent="0.2">
      <c r="A1" s="25"/>
      <c r="B1" s="41"/>
      <c r="C1" s="26"/>
      <c r="D1" s="26"/>
      <c r="E1" s="26"/>
      <c r="F1" s="26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2" ht="13.5" thickBot="1" x14ac:dyDescent="0.25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2" ht="60.75" customHeight="1" thickBot="1" x14ac:dyDescent="0.25">
      <c r="A3" s="3"/>
      <c r="B3" s="51" t="s">
        <v>10</v>
      </c>
      <c r="C3" s="52"/>
      <c r="D3" s="53"/>
      <c r="E3" s="51" t="s">
        <v>11</v>
      </c>
      <c r="F3" s="52"/>
      <c r="G3" s="53"/>
      <c r="H3" s="51" t="s">
        <v>12</v>
      </c>
      <c r="I3" s="52"/>
      <c r="J3" s="53"/>
      <c r="K3" s="51" t="s">
        <v>13</v>
      </c>
      <c r="L3" s="52"/>
      <c r="M3" s="53"/>
      <c r="N3" s="19"/>
      <c r="O3" s="51" t="s">
        <v>4</v>
      </c>
      <c r="P3" s="52"/>
      <c r="Q3" s="53"/>
      <c r="R3" s="51" t="s">
        <v>3</v>
      </c>
      <c r="S3" s="52"/>
      <c r="T3" s="53"/>
      <c r="U3" s="51" t="s">
        <v>6</v>
      </c>
      <c r="V3" s="52"/>
      <c r="W3" s="53"/>
      <c r="X3" s="51" t="s">
        <v>7</v>
      </c>
      <c r="Y3" s="52"/>
      <c r="Z3" s="53"/>
      <c r="AA3" s="19"/>
      <c r="AB3" s="48" t="s">
        <v>8</v>
      </c>
      <c r="AC3" s="49"/>
      <c r="AD3" s="50"/>
      <c r="AF3" s="35" t="s">
        <v>9</v>
      </c>
    </row>
    <row r="4" spans="1:32" x14ac:dyDescent="0.2">
      <c r="A4" s="27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4" t="s">
        <v>0</v>
      </c>
      <c r="AC4" s="5" t="s">
        <v>1</v>
      </c>
      <c r="AD4" s="6" t="s">
        <v>2</v>
      </c>
      <c r="AF4" s="5" t="s">
        <v>2</v>
      </c>
    </row>
    <row r="5" spans="1:32" x14ac:dyDescent="0.2">
      <c r="A5" s="28">
        <v>38504</v>
      </c>
      <c r="B5" s="7">
        <f>'[8]Jun Prod'!I4</f>
        <v>27700000.000000726</v>
      </c>
      <c r="C5" s="8">
        <f>B5/1000000</f>
        <v>27.700000000000728</v>
      </c>
      <c r="D5" s="10">
        <f>C5*3.07</f>
        <v>85.039000000002233</v>
      </c>
      <c r="E5" s="7">
        <f>'[8]Jun Prod'!E4</f>
        <v>0</v>
      </c>
      <c r="F5" s="8">
        <f>E5/1000000</f>
        <v>0</v>
      </c>
      <c r="G5" s="10">
        <f>F5*3.07</f>
        <v>0</v>
      </c>
      <c r="H5" s="7">
        <f>'[8]Jun Prod'!F4</f>
        <v>28370000</v>
      </c>
      <c r="I5" s="8">
        <f>H5/1000000</f>
        <v>28.37</v>
      </c>
      <c r="J5" s="10">
        <f>I5*3.07</f>
        <v>87.0959</v>
      </c>
      <c r="K5" s="7">
        <f>'[8]Jun Prod'!H252</f>
        <v>2366024</v>
      </c>
      <c r="L5" s="8">
        <f>K5/1000000</f>
        <v>2.3660239999999999</v>
      </c>
      <c r="M5" s="10">
        <f>L5*3.07</f>
        <v>7.2636936799999994</v>
      </c>
      <c r="N5" s="21"/>
      <c r="O5" s="7">
        <f>'[8]Jun Prod'!H4</f>
        <v>4735000.0000000047</v>
      </c>
      <c r="P5" s="8">
        <f>O5/1000000</f>
        <v>4.7350000000000048</v>
      </c>
      <c r="Q5" s="10">
        <f>P5*3.07</f>
        <v>14.536450000000015</v>
      </c>
      <c r="R5" s="7">
        <f>'[8]Jun Prod'!C4</f>
        <v>5118000</v>
      </c>
      <c r="S5" s="8">
        <f>R5/1000000</f>
        <v>5.1180000000000003</v>
      </c>
      <c r="T5" s="10">
        <f>S5*3.07</f>
        <v>15.712260000000001</v>
      </c>
      <c r="U5" s="7">
        <f>'[8]Jun Prod'!D4</f>
        <v>0</v>
      </c>
      <c r="V5" s="8">
        <f>U5/1000000</f>
        <v>0</v>
      </c>
      <c r="W5" s="10">
        <f>V5*3.07</f>
        <v>0</v>
      </c>
      <c r="X5" s="7">
        <f>'[8]Jun Prod'!D252</f>
        <v>382999.99999999558</v>
      </c>
      <c r="Y5" s="8">
        <f>X5/1000000</f>
        <v>0.38299999999999557</v>
      </c>
      <c r="Z5" s="10">
        <f>Y5*3.07</f>
        <v>1.1758099999999863</v>
      </c>
      <c r="AA5" s="15"/>
      <c r="AB5" s="7">
        <f>B5+O5</f>
        <v>32435000.00000073</v>
      </c>
      <c r="AC5" s="8">
        <f>C5+P5</f>
        <v>32.435000000000734</v>
      </c>
      <c r="AD5" s="8">
        <f>D5+Q5</f>
        <v>99.575450000002249</v>
      </c>
      <c r="AF5" s="8">
        <f t="shared" ref="AF5:AF14" si="0">T5-Q5-Z5</f>
        <v>0</v>
      </c>
    </row>
    <row r="6" spans="1:32" x14ac:dyDescent="0.2">
      <c r="A6" s="28">
        <v>38505</v>
      </c>
      <c r="B6" s="7">
        <f>'[8]Jun Prod'!I5</f>
        <v>26199999.999998908</v>
      </c>
      <c r="C6" s="8">
        <f t="shared" ref="C6:C34" si="1">B6/1000000</f>
        <v>26.199999999998909</v>
      </c>
      <c r="D6" s="10">
        <f t="shared" ref="D6:D35" si="2">C6*3.07</f>
        <v>80.433999999996644</v>
      </c>
      <c r="E6" s="7">
        <f>'[8]Jun Prod'!E5</f>
        <v>0</v>
      </c>
      <c r="F6" s="8">
        <f t="shared" ref="F6:F34" si="3">E6/1000000</f>
        <v>0</v>
      </c>
      <c r="G6" s="10">
        <f t="shared" ref="G6:G35" si="4">F6*3.07</f>
        <v>0</v>
      </c>
      <c r="H6" s="7">
        <f>'[8]Jun Prod'!F5</f>
        <v>26170000</v>
      </c>
      <c r="I6" s="8">
        <f t="shared" ref="I6:I29" si="5">H6/1000000</f>
        <v>26.17</v>
      </c>
      <c r="J6" s="10">
        <f t="shared" ref="J6:J35" si="6">I6*3.07</f>
        <v>80.341899999999995</v>
      </c>
      <c r="K6" s="7">
        <f>'[8]Jun Prod'!H253</f>
        <v>2262924</v>
      </c>
      <c r="L6" s="8">
        <f>K6/1000000</f>
        <v>2.2629239999999999</v>
      </c>
      <c r="M6" s="10">
        <f t="shared" ref="M6:M35" si="7">L6*3.07</f>
        <v>6.9471766799999992</v>
      </c>
      <c r="N6" s="21"/>
      <c r="O6" s="7">
        <f>'[8]Jun Prod'!H5</f>
        <v>4570000.0000000009</v>
      </c>
      <c r="P6" s="8">
        <f t="shared" ref="P6:P34" si="8">O6/1000000</f>
        <v>4.5700000000000012</v>
      </c>
      <c r="Q6" s="10">
        <f t="shared" ref="Q6:Q35" si="9">P6*3.07</f>
        <v>14.029900000000003</v>
      </c>
      <c r="R6" s="7">
        <f>'[8]Jun Prod'!C5</f>
        <v>4869000</v>
      </c>
      <c r="S6" s="8">
        <f t="shared" ref="S6:S34" si="10">R6/1000000</f>
        <v>4.8689999999999998</v>
      </c>
      <c r="T6" s="10">
        <f t="shared" ref="T6:T35" si="11">S6*3.07</f>
        <v>14.947829999999998</v>
      </c>
      <c r="U6" s="7">
        <f>'[8]Jun Prod'!D5</f>
        <v>0</v>
      </c>
      <c r="V6" s="8">
        <f t="shared" ref="V6:V34" si="12">U6/1000000</f>
        <v>0</v>
      </c>
      <c r="W6" s="10">
        <f t="shared" ref="W6:W35" si="13">V6*3.07</f>
        <v>0</v>
      </c>
      <c r="X6" s="7">
        <f>'[8]Jun Prod'!D253</f>
        <v>298999.99999999948</v>
      </c>
      <c r="Y6" s="8">
        <f t="shared" ref="Y6:Y34" si="14">X6/1000000</f>
        <v>0.29899999999999949</v>
      </c>
      <c r="Z6" s="10">
        <f t="shared" ref="Z6:Z35" si="15">Y6*3.07</f>
        <v>0.91792999999999836</v>
      </c>
      <c r="AA6" s="15"/>
      <c r="AB6" s="7">
        <f t="shared" ref="AB6:AD34" si="16">B6+O6</f>
        <v>30769999.999998908</v>
      </c>
      <c r="AC6" s="8">
        <f t="shared" si="16"/>
        <v>30.769999999998909</v>
      </c>
      <c r="AD6" s="8">
        <f t="shared" si="16"/>
        <v>94.463899999996642</v>
      </c>
      <c r="AF6" s="8">
        <f t="shared" si="0"/>
        <v>-3.5527136788005009E-15</v>
      </c>
    </row>
    <row r="7" spans="1:32" x14ac:dyDescent="0.2">
      <c r="A7" s="28">
        <v>38506</v>
      </c>
      <c r="B7" s="7">
        <f>'[8]Jun Prod'!I6</f>
        <v>26600000.000000365</v>
      </c>
      <c r="C7" s="8">
        <f t="shared" si="1"/>
        <v>26.600000000000364</v>
      </c>
      <c r="D7" s="10">
        <f t="shared" si="2"/>
        <v>81.662000000001115</v>
      </c>
      <c r="E7" s="7">
        <f>'[8]Jun Prod'!E6</f>
        <v>0</v>
      </c>
      <c r="F7" s="8">
        <f t="shared" si="3"/>
        <v>0</v>
      </c>
      <c r="G7" s="10">
        <f t="shared" si="4"/>
        <v>0</v>
      </c>
      <c r="H7" s="7">
        <f>'[8]Jun Prod'!F6</f>
        <v>27220000</v>
      </c>
      <c r="I7" s="8">
        <f t="shared" si="5"/>
        <v>27.22</v>
      </c>
      <c r="J7" s="10">
        <f t="shared" si="6"/>
        <v>83.565399999999997</v>
      </c>
      <c r="K7" s="7">
        <f>'[8]Jun Prod'!H254</f>
        <v>2326620</v>
      </c>
      <c r="L7" s="8">
        <f t="shared" ref="L7:L34" si="17">K7/1000000</f>
        <v>2.3266200000000001</v>
      </c>
      <c r="M7" s="10">
        <f t="shared" si="7"/>
        <v>7.1427234000000004</v>
      </c>
      <c r="N7" s="21"/>
      <c r="O7" s="7">
        <f>'[8]Jun Prod'!H6</f>
        <v>4948999.9999999963</v>
      </c>
      <c r="P7" s="8">
        <f t="shared" si="8"/>
        <v>4.9489999999999963</v>
      </c>
      <c r="Q7" s="10">
        <f t="shared" si="9"/>
        <v>15.193429999999989</v>
      </c>
      <c r="R7" s="7">
        <f>'[8]Jun Prod'!C6</f>
        <v>5039000</v>
      </c>
      <c r="S7" s="8">
        <f t="shared" si="10"/>
        <v>5.0389999999999997</v>
      </c>
      <c r="T7" s="10">
        <f t="shared" si="11"/>
        <v>15.469729999999998</v>
      </c>
      <c r="U7" s="7">
        <f>'[8]Jun Prod'!D6</f>
        <v>0</v>
      </c>
      <c r="V7" s="8">
        <f t="shared" si="12"/>
        <v>0</v>
      </c>
      <c r="W7" s="10">
        <f t="shared" si="13"/>
        <v>0</v>
      </c>
      <c r="X7" s="7">
        <f>'[8]Jun Prod'!D254</f>
        <v>90000.000000003405</v>
      </c>
      <c r="Y7" s="8">
        <f t="shared" si="14"/>
        <v>9.0000000000003411E-2</v>
      </c>
      <c r="Z7" s="10">
        <f t="shared" si="15"/>
        <v>0.27630000000001048</v>
      </c>
      <c r="AA7" s="15"/>
      <c r="AB7" s="7">
        <f t="shared" si="16"/>
        <v>31549000.000000361</v>
      </c>
      <c r="AC7" s="8">
        <f t="shared" si="16"/>
        <v>31.549000000000362</v>
      </c>
      <c r="AD7" s="8">
        <f t="shared" si="16"/>
        <v>96.855430000001107</v>
      </c>
      <c r="AF7" s="8">
        <f t="shared" si="0"/>
        <v>-7.2164496600635175E-16</v>
      </c>
    </row>
    <row r="8" spans="1:32" x14ac:dyDescent="0.2">
      <c r="A8" s="28">
        <v>38507</v>
      </c>
      <c r="B8" s="7">
        <f>'[8]Jun Prod'!I7</f>
        <v>29399999.999999635</v>
      </c>
      <c r="C8" s="8">
        <f t="shared" si="1"/>
        <v>29.399999999999636</v>
      </c>
      <c r="D8" s="10">
        <f t="shared" si="2"/>
        <v>90.257999999998873</v>
      </c>
      <c r="E8" s="7">
        <f>'[8]Jun Prod'!E7</f>
        <v>1000000</v>
      </c>
      <c r="F8" s="8">
        <f t="shared" si="3"/>
        <v>1</v>
      </c>
      <c r="G8" s="10">
        <f t="shared" si="4"/>
        <v>3.07</v>
      </c>
      <c r="H8" s="7">
        <f>'[8]Jun Prod'!F7</f>
        <v>29450000</v>
      </c>
      <c r="I8" s="8">
        <f t="shared" si="5"/>
        <v>29.45</v>
      </c>
      <c r="J8" s="10">
        <f t="shared" si="6"/>
        <v>90.41149999999999</v>
      </c>
      <c r="K8" s="7">
        <f>'[8]Jun Prod'!H255</f>
        <v>2326485</v>
      </c>
      <c r="L8" s="8">
        <f t="shared" si="17"/>
        <v>2.3264849999999999</v>
      </c>
      <c r="M8" s="10">
        <f t="shared" si="7"/>
        <v>7.1423089499999994</v>
      </c>
      <c r="N8" s="21"/>
      <c r="O8" s="7">
        <f>'[8]Jun Prod'!H7</f>
        <v>4614999.9999999981</v>
      </c>
      <c r="P8" s="8">
        <f t="shared" si="8"/>
        <v>4.6149999999999984</v>
      </c>
      <c r="Q8" s="10">
        <f t="shared" si="9"/>
        <v>14.168049999999994</v>
      </c>
      <c r="R8" s="7">
        <f>'[8]Jun Prod'!C7</f>
        <v>5038000</v>
      </c>
      <c r="S8" s="8">
        <f t="shared" si="10"/>
        <v>5.0380000000000003</v>
      </c>
      <c r="T8" s="10">
        <f t="shared" si="11"/>
        <v>15.466659999999999</v>
      </c>
      <c r="U8" s="7">
        <f>'[8]Jun Prod'!D7</f>
        <v>0</v>
      </c>
      <c r="V8" s="8">
        <f t="shared" si="12"/>
        <v>0</v>
      </c>
      <c r="W8" s="10">
        <f t="shared" si="13"/>
        <v>0</v>
      </c>
      <c r="X8" s="7">
        <f>'[8]Jun Prod'!D255</f>
        <v>423000.0000000018</v>
      </c>
      <c r="Y8" s="8">
        <f t="shared" si="14"/>
        <v>0.42300000000000182</v>
      </c>
      <c r="Z8" s="10">
        <f t="shared" si="15"/>
        <v>1.2986100000000056</v>
      </c>
      <c r="AA8" s="15"/>
      <c r="AB8" s="7">
        <f t="shared" si="16"/>
        <v>34014999.999999635</v>
      </c>
      <c r="AC8" s="8">
        <f t="shared" si="16"/>
        <v>34.014999999999631</v>
      </c>
      <c r="AD8" s="8">
        <f t="shared" si="16"/>
        <v>104.42604999999887</v>
      </c>
      <c r="AF8" s="8">
        <f t="shared" si="0"/>
        <v>0</v>
      </c>
    </row>
    <row r="9" spans="1:32" x14ac:dyDescent="0.2">
      <c r="A9" s="28">
        <v>38508</v>
      </c>
      <c r="B9" s="7">
        <f>'[8]Jun Prod'!I8</f>
        <v>26100000.000000365</v>
      </c>
      <c r="C9" s="8">
        <f t="shared" si="1"/>
        <v>26.100000000000364</v>
      </c>
      <c r="D9" s="10">
        <f t="shared" si="2"/>
        <v>80.127000000001118</v>
      </c>
      <c r="E9" s="7">
        <f>'[8]Jun Prod'!E8</f>
        <v>2000000</v>
      </c>
      <c r="F9" s="8">
        <f t="shared" si="3"/>
        <v>2</v>
      </c>
      <c r="G9" s="10">
        <f t="shared" si="4"/>
        <v>6.14</v>
      </c>
      <c r="H9" s="7">
        <f>'[8]Jun Prod'!F8</f>
        <v>24910000</v>
      </c>
      <c r="I9" s="8">
        <f t="shared" si="5"/>
        <v>24.91</v>
      </c>
      <c r="J9" s="10">
        <f t="shared" si="6"/>
        <v>76.473699999999994</v>
      </c>
      <c r="K9" s="7">
        <f>'[8]Jun Prod'!H256</f>
        <v>904295</v>
      </c>
      <c r="L9" s="8">
        <f t="shared" si="17"/>
        <v>0.90429499999999996</v>
      </c>
      <c r="M9" s="10">
        <f t="shared" si="7"/>
        <v>2.7761856499999999</v>
      </c>
      <c r="N9" s="21"/>
      <c r="O9" s="7">
        <f>'[8]Jun Prod'!H8</f>
        <v>5070000.0000000037</v>
      </c>
      <c r="P9" s="8">
        <f t="shared" si="8"/>
        <v>5.0700000000000038</v>
      </c>
      <c r="Q9" s="10">
        <f t="shared" si="9"/>
        <v>15.56490000000001</v>
      </c>
      <c r="R9" s="7">
        <f>'[8]Jun Prod'!C8</f>
        <v>5401000</v>
      </c>
      <c r="S9" s="8">
        <f t="shared" si="10"/>
        <v>5.4009999999999998</v>
      </c>
      <c r="T9" s="10">
        <f t="shared" si="11"/>
        <v>16.581069999999997</v>
      </c>
      <c r="U9" s="7">
        <f>'[8]Jun Prod'!D8</f>
        <v>0</v>
      </c>
      <c r="V9" s="8">
        <f t="shared" si="12"/>
        <v>0</v>
      </c>
      <c r="W9" s="10">
        <f t="shared" si="13"/>
        <v>0</v>
      </c>
      <c r="X9" s="7">
        <f>'[8]Jun Prod'!D256</f>
        <v>330999.99999999598</v>
      </c>
      <c r="Y9" s="8">
        <f t="shared" si="14"/>
        <v>0.33099999999999596</v>
      </c>
      <c r="Z9" s="10">
        <f t="shared" si="15"/>
        <v>1.0161699999999876</v>
      </c>
      <c r="AA9" s="15"/>
      <c r="AB9" s="7">
        <f t="shared" si="16"/>
        <v>31170000.000000369</v>
      </c>
      <c r="AC9" s="8">
        <f t="shared" si="16"/>
        <v>31.170000000000368</v>
      </c>
      <c r="AD9" s="8">
        <f t="shared" si="16"/>
        <v>95.691900000001127</v>
      </c>
      <c r="AF9" s="8">
        <f t="shared" si="0"/>
        <v>0</v>
      </c>
    </row>
    <row r="10" spans="1:32" x14ac:dyDescent="0.2">
      <c r="A10" s="28">
        <v>38509</v>
      </c>
      <c r="B10" s="7">
        <f>'[8]Jun Prod'!I9</f>
        <v>27600000.000000365</v>
      </c>
      <c r="C10" s="8">
        <f t="shared" si="1"/>
        <v>27.600000000000364</v>
      </c>
      <c r="D10" s="10">
        <f t="shared" si="2"/>
        <v>84.732000000001108</v>
      </c>
      <c r="E10" s="7">
        <f>'[8]Jun Prod'!E9</f>
        <v>0</v>
      </c>
      <c r="F10" s="8">
        <f t="shared" si="3"/>
        <v>0</v>
      </c>
      <c r="G10" s="10">
        <f t="shared" si="4"/>
        <v>0</v>
      </c>
      <c r="H10" s="7">
        <f>'[8]Jun Prod'!F9</f>
        <v>27830000</v>
      </c>
      <c r="I10" s="8">
        <f t="shared" si="5"/>
        <v>27.83</v>
      </c>
      <c r="J10" s="10">
        <f t="shared" si="6"/>
        <v>85.438099999999991</v>
      </c>
      <c r="K10" s="7">
        <f>'[8]Jun Prod'!H257</f>
        <v>1027120</v>
      </c>
      <c r="L10" s="8">
        <f t="shared" si="17"/>
        <v>1.02712</v>
      </c>
      <c r="M10" s="10">
        <f t="shared" si="7"/>
        <v>3.1532583999999999</v>
      </c>
      <c r="N10" s="21"/>
      <c r="O10" s="7">
        <f>'[8]Jun Prod'!H9</f>
        <v>7919000.0000000028</v>
      </c>
      <c r="P10" s="8">
        <f t="shared" si="8"/>
        <v>7.9190000000000031</v>
      </c>
      <c r="Q10" s="10">
        <f t="shared" si="9"/>
        <v>24.311330000000009</v>
      </c>
      <c r="R10" s="7">
        <f>'[8]Jun Prod'!C9</f>
        <v>8219000</v>
      </c>
      <c r="S10" s="8">
        <f t="shared" si="10"/>
        <v>8.2189999999999994</v>
      </c>
      <c r="T10" s="10">
        <f t="shared" si="11"/>
        <v>25.232329999999997</v>
      </c>
      <c r="U10" s="7">
        <f>'[8]Jun Prod'!D9</f>
        <v>0</v>
      </c>
      <c r="V10" s="8">
        <f t="shared" si="12"/>
        <v>0</v>
      </c>
      <c r="W10" s="10">
        <f t="shared" si="13"/>
        <v>0</v>
      </c>
      <c r="X10" s="7">
        <f>'[8]Jun Prod'!D257</f>
        <v>299999.99999999715</v>
      </c>
      <c r="Y10" s="8">
        <f t="shared" si="14"/>
        <v>0.29999999999999716</v>
      </c>
      <c r="Z10" s="10">
        <f t="shared" si="15"/>
        <v>0.92099999999999127</v>
      </c>
      <c r="AA10" s="15"/>
      <c r="AB10" s="7">
        <f t="shared" si="16"/>
        <v>35519000.000000365</v>
      </c>
      <c r="AC10" s="8">
        <f t="shared" si="16"/>
        <v>35.519000000000368</v>
      </c>
      <c r="AD10" s="8">
        <f t="shared" si="16"/>
        <v>109.04333000000112</v>
      </c>
      <c r="AF10" s="8">
        <f t="shared" si="0"/>
        <v>-2.55351295663786E-15</v>
      </c>
    </row>
    <row r="11" spans="1:32" x14ac:dyDescent="0.2">
      <c r="A11" s="28">
        <v>38510</v>
      </c>
      <c r="B11" s="7">
        <f>'[8]Jun Prod'!I10</f>
        <v>23700000.000000726</v>
      </c>
      <c r="C11" s="8">
        <f t="shared" si="1"/>
        <v>23.700000000000728</v>
      </c>
      <c r="D11" s="10">
        <f t="shared" si="2"/>
        <v>72.759000000002231</v>
      </c>
      <c r="E11" s="7">
        <f>'[8]Jun Prod'!E10</f>
        <v>5000000</v>
      </c>
      <c r="F11" s="8">
        <f t="shared" si="3"/>
        <v>5</v>
      </c>
      <c r="G11" s="10">
        <f t="shared" si="4"/>
        <v>15.35</v>
      </c>
      <c r="H11" s="7">
        <f>'[8]Jun Prod'!F10</f>
        <v>18790000</v>
      </c>
      <c r="I11" s="8">
        <f t="shared" si="5"/>
        <v>18.79</v>
      </c>
      <c r="J11" s="10">
        <f t="shared" si="6"/>
        <v>57.685299999999991</v>
      </c>
      <c r="K11" s="7">
        <f>'[8]Jun Prod'!H258</f>
        <v>2032977</v>
      </c>
      <c r="L11" s="8">
        <f t="shared" si="17"/>
        <v>2.0329769999999998</v>
      </c>
      <c r="M11" s="10">
        <f t="shared" si="7"/>
        <v>6.2412393899999987</v>
      </c>
      <c r="N11" s="21"/>
      <c r="O11" s="7">
        <f>'[8]Jun Prod'!H10</f>
        <v>6472999.9999999963</v>
      </c>
      <c r="P11" s="8">
        <f t="shared" si="8"/>
        <v>6.4729999999999963</v>
      </c>
      <c r="Q11" s="10">
        <f t="shared" si="9"/>
        <v>19.872109999999989</v>
      </c>
      <c r="R11" s="7">
        <f>'[8]Jun Prod'!C10</f>
        <v>6941000</v>
      </c>
      <c r="S11" s="8">
        <f t="shared" si="10"/>
        <v>6.9409999999999998</v>
      </c>
      <c r="T11" s="10">
        <f t="shared" si="11"/>
        <v>21.308869999999999</v>
      </c>
      <c r="U11" s="7">
        <f>'[8]Jun Prod'!D10</f>
        <v>0</v>
      </c>
      <c r="V11" s="8">
        <f t="shared" si="12"/>
        <v>0</v>
      </c>
      <c r="W11" s="10">
        <f t="shared" si="13"/>
        <v>0</v>
      </c>
      <c r="X11" s="7">
        <f>'[8]Jun Prod'!D258</f>
        <v>468000.00000000355</v>
      </c>
      <c r="Y11" s="8">
        <f t="shared" si="14"/>
        <v>0.46800000000000352</v>
      </c>
      <c r="Z11" s="10">
        <f t="shared" si="15"/>
        <v>1.4367600000000107</v>
      </c>
      <c r="AA11" s="15"/>
      <c r="AB11" s="7">
        <f t="shared" si="16"/>
        <v>30173000.000000723</v>
      </c>
      <c r="AC11" s="8">
        <f t="shared" si="16"/>
        <v>30.173000000000723</v>
      </c>
      <c r="AD11" s="8">
        <f t="shared" si="16"/>
        <v>92.631110000002224</v>
      </c>
      <c r="AF11" s="8">
        <f t="shared" si="0"/>
        <v>0</v>
      </c>
    </row>
    <row r="12" spans="1:32" x14ac:dyDescent="0.2">
      <c r="A12" s="28">
        <v>38511</v>
      </c>
      <c r="B12" s="7">
        <f>'[8]Jun Prod'!I11</f>
        <v>27399999.999999635</v>
      </c>
      <c r="C12" s="8">
        <f t="shared" si="1"/>
        <v>27.399999999999636</v>
      </c>
      <c r="D12" s="10">
        <f t="shared" si="2"/>
        <v>84.117999999998872</v>
      </c>
      <c r="E12" s="7">
        <f>'[8]Jun Prod'!E11</f>
        <v>20000000</v>
      </c>
      <c r="F12" s="8">
        <f t="shared" si="3"/>
        <v>20</v>
      </c>
      <c r="G12" s="10">
        <f t="shared" si="4"/>
        <v>61.4</v>
      </c>
      <c r="H12" s="7">
        <f>'[8]Jun Prod'!F11</f>
        <v>8380000.0000000009</v>
      </c>
      <c r="I12" s="8">
        <f t="shared" si="5"/>
        <v>8.3800000000000008</v>
      </c>
      <c r="J12" s="10">
        <f t="shared" si="6"/>
        <v>25.726600000000001</v>
      </c>
      <c r="K12" s="7">
        <f>'[8]Jun Prod'!H259</f>
        <v>1013827</v>
      </c>
      <c r="L12" s="8">
        <f t="shared" si="17"/>
        <v>1.013827</v>
      </c>
      <c r="M12" s="10">
        <f t="shared" si="7"/>
        <v>3.11244889</v>
      </c>
      <c r="N12" s="21"/>
      <c r="O12" s="7">
        <f>'[8]Jun Prod'!H11</f>
        <v>9675000</v>
      </c>
      <c r="P12" s="8">
        <f t="shared" si="8"/>
        <v>9.6750000000000007</v>
      </c>
      <c r="Q12" s="10">
        <f t="shared" si="9"/>
        <v>29.702249999999999</v>
      </c>
      <c r="R12" s="7">
        <f>'[8]Jun Prod'!C11</f>
        <v>9928000</v>
      </c>
      <c r="S12" s="8">
        <f t="shared" si="10"/>
        <v>9.9280000000000008</v>
      </c>
      <c r="T12" s="10">
        <f t="shared" si="11"/>
        <v>30.478960000000001</v>
      </c>
      <c r="U12" s="7">
        <f>'[8]Jun Prod'!D11</f>
        <v>0</v>
      </c>
      <c r="V12" s="8">
        <f t="shared" si="12"/>
        <v>0</v>
      </c>
      <c r="W12" s="10">
        <f t="shared" si="13"/>
        <v>0</v>
      </c>
      <c r="X12" s="7">
        <f>'[8]Jun Prod'!D259</f>
        <v>253000.00000000012</v>
      </c>
      <c r="Y12" s="8">
        <f t="shared" si="14"/>
        <v>0.25300000000000011</v>
      </c>
      <c r="Z12" s="10">
        <f t="shared" si="15"/>
        <v>0.77671000000000034</v>
      </c>
      <c r="AA12" s="15"/>
      <c r="AB12" s="7">
        <f t="shared" si="16"/>
        <v>37074999.999999635</v>
      </c>
      <c r="AC12" s="8">
        <f t="shared" si="16"/>
        <v>37.074999999999633</v>
      </c>
      <c r="AD12" s="8">
        <f t="shared" si="16"/>
        <v>113.82024999999888</v>
      </c>
      <c r="AF12" s="8">
        <f t="shared" si="0"/>
        <v>9.9920072216264089E-16</v>
      </c>
    </row>
    <row r="13" spans="1:32" x14ac:dyDescent="0.2">
      <c r="A13" s="28">
        <v>38512</v>
      </c>
      <c r="B13" s="7">
        <f>'[8]Jun Prod'!I12</f>
        <v>27799999.999999274</v>
      </c>
      <c r="C13" s="8">
        <f t="shared" si="1"/>
        <v>27.799999999999272</v>
      </c>
      <c r="D13" s="10">
        <f t="shared" si="2"/>
        <v>85.345999999997758</v>
      </c>
      <c r="E13" s="7">
        <f>'[8]Jun Prod'!E12</f>
        <v>30000000</v>
      </c>
      <c r="F13" s="8">
        <f t="shared" si="3"/>
        <v>30</v>
      </c>
      <c r="G13" s="10">
        <f t="shared" si="4"/>
        <v>92.1</v>
      </c>
      <c r="H13" s="7">
        <f>'[8]Jun Prod'!F12</f>
        <v>0</v>
      </c>
      <c r="I13" s="8">
        <f t="shared" si="5"/>
        <v>0</v>
      </c>
      <c r="J13" s="10">
        <f t="shared" si="6"/>
        <v>0</v>
      </c>
      <c r="K13" s="7">
        <f>'[8]Jun Prod'!H260</f>
        <v>1847750</v>
      </c>
      <c r="L13" s="8">
        <f t="shared" si="17"/>
        <v>1.84775</v>
      </c>
      <c r="M13" s="10">
        <f t="shared" si="7"/>
        <v>5.6725924999999995</v>
      </c>
      <c r="N13" s="21"/>
      <c r="O13" s="7">
        <f>'[8]Jun Prod'!H12</f>
        <v>9521000.0000000019</v>
      </c>
      <c r="P13" s="8">
        <f t="shared" si="8"/>
        <v>9.5210000000000026</v>
      </c>
      <c r="Q13" s="10">
        <f t="shared" si="9"/>
        <v>29.229470000000006</v>
      </c>
      <c r="R13" s="7">
        <f>'[8]Jun Prod'!C12</f>
        <v>9915000</v>
      </c>
      <c r="S13" s="8">
        <f t="shared" si="10"/>
        <v>9.9149999999999991</v>
      </c>
      <c r="T13" s="10">
        <f t="shared" si="11"/>
        <v>30.439049999999995</v>
      </c>
      <c r="U13" s="7">
        <f>'[8]Jun Prod'!D12</f>
        <v>0</v>
      </c>
      <c r="V13" s="8">
        <f t="shared" si="12"/>
        <v>0</v>
      </c>
      <c r="W13" s="10">
        <f t="shared" si="13"/>
        <v>0</v>
      </c>
      <c r="X13" s="7">
        <f>'[8]Jun Prod'!D260</f>
        <v>393999.99999999837</v>
      </c>
      <c r="Y13" s="8">
        <f t="shared" si="14"/>
        <v>0.39399999999999835</v>
      </c>
      <c r="Z13" s="10">
        <f t="shared" si="15"/>
        <v>1.2095799999999948</v>
      </c>
      <c r="AA13" s="15"/>
      <c r="AB13" s="7">
        <f t="shared" si="16"/>
        <v>37320999.999999277</v>
      </c>
      <c r="AC13" s="8">
        <f t="shared" si="16"/>
        <v>37.320999999999273</v>
      </c>
      <c r="AD13" s="8">
        <f t="shared" si="16"/>
        <v>114.57546999999776</v>
      </c>
      <c r="AF13" s="8">
        <f t="shared" si="0"/>
        <v>-6.4392935428259079E-15</v>
      </c>
    </row>
    <row r="14" spans="1:32" x14ac:dyDescent="0.2">
      <c r="A14" s="28">
        <v>38513</v>
      </c>
      <c r="B14" s="7">
        <f>'[8]Jun Prod'!I13</f>
        <v>26800000.000001092</v>
      </c>
      <c r="C14" s="8">
        <f t="shared" si="1"/>
        <v>26.800000000001091</v>
      </c>
      <c r="D14" s="10">
        <f t="shared" si="2"/>
        <v>82.27600000000335</v>
      </c>
      <c r="E14" s="7">
        <f>'[8]Jun Prod'!E13</f>
        <v>29000000</v>
      </c>
      <c r="F14" s="8">
        <f t="shared" si="3"/>
        <v>29</v>
      </c>
      <c r="G14" s="10">
        <f t="shared" si="4"/>
        <v>89.03</v>
      </c>
      <c r="H14" s="7">
        <f>'[8]Jun Prod'!F13</f>
        <v>0</v>
      </c>
      <c r="I14" s="8">
        <f t="shared" si="5"/>
        <v>0</v>
      </c>
      <c r="J14" s="10">
        <f t="shared" si="6"/>
        <v>0</v>
      </c>
      <c r="K14" s="7">
        <f>'[8]Jun Prod'!H261</f>
        <v>793183</v>
      </c>
      <c r="L14" s="8">
        <f t="shared" si="17"/>
        <v>0.79318299999999997</v>
      </c>
      <c r="M14" s="10">
        <f t="shared" si="7"/>
        <v>2.4350718099999997</v>
      </c>
      <c r="N14" s="21"/>
      <c r="O14" s="7">
        <f>'[8]Jun Prod'!H13</f>
        <v>9296999.9999999981</v>
      </c>
      <c r="P14" s="8">
        <f t="shared" si="8"/>
        <v>9.2969999999999988</v>
      </c>
      <c r="Q14" s="10">
        <f t="shared" si="9"/>
        <v>28.541789999999995</v>
      </c>
      <c r="R14" s="7">
        <f>'[8]Jun Prod'!C13</f>
        <v>9641000</v>
      </c>
      <c r="S14" s="8">
        <f t="shared" si="10"/>
        <v>9.641</v>
      </c>
      <c r="T14" s="10">
        <f t="shared" si="11"/>
        <v>29.597869999999997</v>
      </c>
      <c r="U14" s="7">
        <f>'[8]Jun Prod'!D13</f>
        <v>0</v>
      </c>
      <c r="V14" s="8">
        <f t="shared" si="12"/>
        <v>0</v>
      </c>
      <c r="W14" s="10">
        <f t="shared" si="13"/>
        <v>0</v>
      </c>
      <c r="X14" s="7">
        <f>'[8]Jun Prod'!D261</f>
        <v>344000.00000000122</v>
      </c>
      <c r="Y14" s="8">
        <f t="shared" si="14"/>
        <v>0.34400000000000125</v>
      </c>
      <c r="Z14" s="10">
        <f t="shared" si="15"/>
        <v>1.0560800000000037</v>
      </c>
      <c r="AA14" s="15"/>
      <c r="AB14" s="7">
        <f t="shared" si="16"/>
        <v>36097000.000001088</v>
      </c>
      <c r="AC14" s="8">
        <f t="shared" si="16"/>
        <v>36.097000000001088</v>
      </c>
      <c r="AD14" s="8">
        <f t="shared" si="16"/>
        <v>110.81779000000334</v>
      </c>
      <c r="AF14" s="8">
        <f t="shared" si="0"/>
        <v>-2.2204460492503131E-15</v>
      </c>
    </row>
    <row r="15" spans="1:32" x14ac:dyDescent="0.2">
      <c r="A15" s="28">
        <v>38514</v>
      </c>
      <c r="B15" s="7">
        <f>'[8]Jun Prod'!I14</f>
        <v>28899999.999999635</v>
      </c>
      <c r="C15" s="8">
        <f t="shared" si="1"/>
        <v>28.899999999999636</v>
      </c>
      <c r="D15" s="10">
        <f t="shared" si="2"/>
        <v>88.722999999998876</v>
      </c>
      <c r="E15" s="7">
        <f>'[8]Jun Prod'!E14</f>
        <v>31000000</v>
      </c>
      <c r="F15" s="8">
        <f t="shared" si="3"/>
        <v>31</v>
      </c>
      <c r="G15" s="10">
        <f t="shared" si="4"/>
        <v>95.17</v>
      </c>
      <c r="H15" s="7">
        <f>'[8]Jun Prod'!F14</f>
        <v>0</v>
      </c>
      <c r="I15" s="8">
        <f t="shared" si="5"/>
        <v>0</v>
      </c>
      <c r="J15" s="10">
        <f t="shared" si="6"/>
        <v>0</v>
      </c>
      <c r="K15" s="7">
        <f>'[8]Jun Prod'!H262</f>
        <v>2094152</v>
      </c>
      <c r="L15" s="8">
        <f t="shared" si="17"/>
        <v>2.0941519999999998</v>
      </c>
      <c r="M15" s="10">
        <f t="shared" si="7"/>
        <v>6.4290466399999993</v>
      </c>
      <c r="N15" s="21"/>
      <c r="O15" s="7">
        <f>'[8]Jun Prod'!H14</f>
        <v>6825999.9999999972</v>
      </c>
      <c r="P15" s="8">
        <f t="shared" si="8"/>
        <v>6.825999999999997</v>
      </c>
      <c r="Q15" s="10">
        <f t="shared" si="9"/>
        <v>20.955819999999989</v>
      </c>
      <c r="R15" s="7">
        <f>'[8]Jun Prod'!C14</f>
        <v>7157000</v>
      </c>
      <c r="S15" s="8">
        <f t="shared" si="10"/>
        <v>7.157</v>
      </c>
      <c r="T15" s="10">
        <f t="shared" si="11"/>
        <v>21.971989999999998</v>
      </c>
      <c r="U15" s="7">
        <f>'[8]Jun Prod'!D14</f>
        <v>0</v>
      </c>
      <c r="V15" s="8">
        <f t="shared" si="12"/>
        <v>0</v>
      </c>
      <c r="W15" s="10">
        <f t="shared" si="13"/>
        <v>0</v>
      </c>
      <c r="X15" s="7">
        <f>'[8]Jun Prod'!D262</f>
        <v>331000.00000000309</v>
      </c>
      <c r="Y15" s="8">
        <f t="shared" si="14"/>
        <v>0.33100000000000307</v>
      </c>
      <c r="Z15" s="10">
        <f t="shared" si="15"/>
        <v>1.0161700000000093</v>
      </c>
      <c r="AA15" s="15"/>
      <c r="AB15" s="7">
        <f t="shared" si="16"/>
        <v>35725999.999999635</v>
      </c>
      <c r="AC15" s="8">
        <f t="shared" si="16"/>
        <v>35.72599999999963</v>
      </c>
      <c r="AD15" s="8">
        <f t="shared" si="16"/>
        <v>109.67881999999886</v>
      </c>
      <c r="AF15" s="8">
        <f>T15-Q15-Z15</f>
        <v>0</v>
      </c>
    </row>
    <row r="16" spans="1:32" x14ac:dyDescent="0.2">
      <c r="A16" s="28">
        <v>38515</v>
      </c>
      <c r="B16" s="7">
        <f>'[8]Jun Prod'!I15</f>
        <v>30799999.999999274</v>
      </c>
      <c r="C16" s="8">
        <f t="shared" si="1"/>
        <v>30.799999999999272</v>
      </c>
      <c r="D16" s="10">
        <f t="shared" si="2"/>
        <v>94.555999999997766</v>
      </c>
      <c r="E16" s="7">
        <f>'[8]Jun Prod'!E15</f>
        <v>34000000</v>
      </c>
      <c r="F16" s="8">
        <f t="shared" si="3"/>
        <v>34</v>
      </c>
      <c r="G16" s="10">
        <f t="shared" si="4"/>
        <v>104.38</v>
      </c>
      <c r="H16" s="7">
        <f>'[8]Jun Prod'!F15</f>
        <v>0</v>
      </c>
      <c r="I16" s="8">
        <f t="shared" si="5"/>
        <v>0</v>
      </c>
      <c r="J16" s="10">
        <f t="shared" si="6"/>
        <v>0</v>
      </c>
      <c r="K16" s="7">
        <f>'[8]Jun Prod'!H263</f>
        <v>726850</v>
      </c>
      <c r="L16" s="8">
        <f t="shared" si="17"/>
        <v>0.72685</v>
      </c>
      <c r="M16" s="10">
        <f t="shared" si="7"/>
        <v>2.2314295</v>
      </c>
      <c r="N16" s="21"/>
      <c r="O16" s="7">
        <f>'[8]Jun Prod'!H15</f>
        <v>4702000.0000000065</v>
      </c>
      <c r="P16" s="8">
        <f t="shared" si="8"/>
        <v>4.7020000000000062</v>
      </c>
      <c r="Q16" s="10">
        <f t="shared" si="9"/>
        <v>14.435140000000018</v>
      </c>
      <c r="R16" s="7">
        <f>'[8]Jun Prod'!C15</f>
        <v>4915000</v>
      </c>
      <c r="S16" s="8">
        <f t="shared" si="10"/>
        <v>4.915</v>
      </c>
      <c r="T16" s="10">
        <f t="shared" si="11"/>
        <v>15.089049999999999</v>
      </c>
      <c r="U16" s="7">
        <f>'[8]Jun Prod'!D15</f>
        <v>0</v>
      </c>
      <c r="V16" s="8">
        <f t="shared" si="12"/>
        <v>0</v>
      </c>
      <c r="W16" s="10">
        <f t="shared" si="13"/>
        <v>0</v>
      </c>
      <c r="X16" s="7">
        <f>'[8]Jun Prod'!D263</f>
        <v>212999.99999999386</v>
      </c>
      <c r="Y16" s="8">
        <f t="shared" si="14"/>
        <v>0.21299999999999386</v>
      </c>
      <c r="Z16" s="10">
        <f t="shared" si="15"/>
        <v>0.65390999999998112</v>
      </c>
      <c r="AA16" s="15"/>
      <c r="AB16" s="7">
        <f t="shared" si="16"/>
        <v>35501999.999999277</v>
      </c>
      <c r="AC16" s="8">
        <f t="shared" si="16"/>
        <v>35.501999999999278</v>
      </c>
      <c r="AD16" s="8">
        <f t="shared" si="16"/>
        <v>108.99113999999778</v>
      </c>
      <c r="AF16" s="8">
        <f>T16-Q16-Z16</f>
        <v>-8.8817841970012523E-16</v>
      </c>
    </row>
    <row r="17" spans="1:32" x14ac:dyDescent="0.2">
      <c r="A17" s="28">
        <v>38516</v>
      </c>
      <c r="B17" s="7">
        <f>'[8]Jun Prod'!I16</f>
        <v>33000000</v>
      </c>
      <c r="C17" s="8">
        <f t="shared" si="1"/>
        <v>33</v>
      </c>
      <c r="D17" s="10">
        <f t="shared" si="2"/>
        <v>101.30999999999999</v>
      </c>
      <c r="E17" s="7">
        <f>'[8]Jun Prod'!E16</f>
        <v>36000000</v>
      </c>
      <c r="F17" s="8">
        <f t="shared" si="3"/>
        <v>36</v>
      </c>
      <c r="G17" s="10">
        <f t="shared" si="4"/>
        <v>110.52</v>
      </c>
      <c r="H17" s="7">
        <f>'[8]Jun Prod'!F16</f>
        <v>0</v>
      </c>
      <c r="I17" s="8">
        <f t="shared" si="5"/>
        <v>0</v>
      </c>
      <c r="J17" s="10">
        <f t="shared" si="6"/>
        <v>0</v>
      </c>
      <c r="K17" s="7">
        <f>'[8]Jun Prod'!H264</f>
        <v>2473322</v>
      </c>
      <c r="L17" s="8">
        <f t="shared" si="17"/>
        <v>2.473322</v>
      </c>
      <c r="M17" s="10">
        <f t="shared" si="7"/>
        <v>7.5930985399999997</v>
      </c>
      <c r="N17" s="21"/>
      <c r="O17" s="7">
        <f>'[8]Jun Prod'!H16</f>
        <v>8490999.9999999981</v>
      </c>
      <c r="P17" s="8">
        <f t="shared" si="8"/>
        <v>8.4909999999999979</v>
      </c>
      <c r="Q17" s="10">
        <f t="shared" si="9"/>
        <v>26.067369999999993</v>
      </c>
      <c r="R17" s="7">
        <f>'[8]Jun Prod'!C16</f>
        <v>8679000</v>
      </c>
      <c r="S17" s="8">
        <f t="shared" si="10"/>
        <v>8.6790000000000003</v>
      </c>
      <c r="T17" s="10">
        <f t="shared" si="11"/>
        <v>26.64453</v>
      </c>
      <c r="U17" s="7">
        <f>'[8]Jun Prod'!D16</f>
        <v>0</v>
      </c>
      <c r="V17" s="8">
        <f t="shared" si="12"/>
        <v>0</v>
      </c>
      <c r="W17" s="10">
        <f t="shared" si="13"/>
        <v>0</v>
      </c>
      <c r="X17" s="7">
        <f>'[8]Jun Prod'!D264</f>
        <v>188000.00000000239</v>
      </c>
      <c r="Y17" s="8">
        <f t="shared" si="14"/>
        <v>0.18800000000000239</v>
      </c>
      <c r="Z17" s="10">
        <f t="shared" si="15"/>
        <v>0.57716000000000733</v>
      </c>
      <c r="AA17" s="15"/>
      <c r="AB17" s="7">
        <f t="shared" si="16"/>
        <v>41491000</v>
      </c>
      <c r="AC17" s="8">
        <f t="shared" si="16"/>
        <v>41.491</v>
      </c>
      <c r="AD17" s="8">
        <f t="shared" si="16"/>
        <v>127.37736999999998</v>
      </c>
      <c r="AF17" s="8">
        <f>T17-Q17-Z17</f>
        <v>-9.9920072216264089E-16</v>
      </c>
    </row>
    <row r="18" spans="1:32" x14ac:dyDescent="0.2">
      <c r="A18" s="28">
        <v>38517</v>
      </c>
      <c r="B18" s="7">
        <f>'[8]Jun Prod'!I17</f>
        <v>29700000.000000726</v>
      </c>
      <c r="C18" s="8">
        <f t="shared" si="1"/>
        <v>29.700000000000728</v>
      </c>
      <c r="D18" s="10">
        <f t="shared" si="2"/>
        <v>91.179000000002233</v>
      </c>
      <c r="E18" s="7">
        <f>'[8]Jun Prod'!E17</f>
        <v>31000000</v>
      </c>
      <c r="F18" s="8">
        <f t="shared" si="3"/>
        <v>31</v>
      </c>
      <c r="G18" s="10">
        <f t="shared" si="4"/>
        <v>95.17</v>
      </c>
      <c r="H18" s="7">
        <f>'[8]Jun Prod'!F17</f>
        <v>0</v>
      </c>
      <c r="I18" s="8">
        <f t="shared" si="5"/>
        <v>0</v>
      </c>
      <c r="J18" s="10">
        <f t="shared" si="6"/>
        <v>0</v>
      </c>
      <c r="K18" s="7">
        <f>'[8]Jun Prod'!H265</f>
        <v>2177295</v>
      </c>
      <c r="L18" s="8">
        <f t="shared" si="17"/>
        <v>2.177295</v>
      </c>
      <c r="M18" s="10">
        <f t="shared" si="7"/>
        <v>6.6842956499999993</v>
      </c>
      <c r="N18" s="21"/>
      <c r="O18" s="7">
        <f>'[8]Jun Prod'!H17</f>
        <v>7482999.9999999981</v>
      </c>
      <c r="P18" s="8">
        <f t="shared" si="8"/>
        <v>7.4829999999999979</v>
      </c>
      <c r="Q18" s="10">
        <f t="shared" si="9"/>
        <v>22.972809999999992</v>
      </c>
      <c r="R18" s="7">
        <f>'[8]Jun Prod'!C17</f>
        <v>7772000</v>
      </c>
      <c r="S18" s="8">
        <f t="shared" si="10"/>
        <v>7.7720000000000002</v>
      </c>
      <c r="T18" s="10">
        <f t="shared" si="11"/>
        <v>23.860039999999998</v>
      </c>
      <c r="U18" s="7">
        <f>'[8]Jun Prod'!D17</f>
        <v>0</v>
      </c>
      <c r="V18" s="8">
        <f t="shared" si="12"/>
        <v>0</v>
      </c>
      <c r="W18" s="10">
        <f t="shared" si="13"/>
        <v>0</v>
      </c>
      <c r="X18" s="7">
        <f>'[8]Jun Prod'!D265</f>
        <v>289000.00000000146</v>
      </c>
      <c r="Y18" s="8">
        <f t="shared" si="14"/>
        <v>0.28900000000000148</v>
      </c>
      <c r="Z18" s="10">
        <f t="shared" si="15"/>
        <v>0.88723000000000452</v>
      </c>
      <c r="AA18" s="15"/>
      <c r="AB18" s="7">
        <f t="shared" si="16"/>
        <v>37183000.000000723</v>
      </c>
      <c r="AC18" s="8">
        <f t="shared" si="16"/>
        <v>37.183000000000725</v>
      </c>
      <c r="AD18" s="8">
        <f t="shared" si="16"/>
        <v>114.15181000000223</v>
      </c>
      <c r="AF18" s="8">
        <f>T18-Q18-Z18</f>
        <v>1.4432899320127035E-15</v>
      </c>
    </row>
    <row r="19" spans="1:32" x14ac:dyDescent="0.2">
      <c r="A19" s="28">
        <v>38518</v>
      </c>
      <c r="B19" s="7">
        <f>'[8]Jun Prod'!I18</f>
        <v>32199999.999998908</v>
      </c>
      <c r="C19" s="8">
        <f t="shared" si="1"/>
        <v>32.199999999998909</v>
      </c>
      <c r="D19" s="10">
        <f t="shared" si="2"/>
        <v>98.853999999996645</v>
      </c>
      <c r="E19" s="7">
        <f>'[8]Jun Prod'!E18</f>
        <v>34000000</v>
      </c>
      <c r="F19" s="8">
        <f t="shared" si="3"/>
        <v>34</v>
      </c>
      <c r="G19" s="10">
        <f t="shared" si="4"/>
        <v>104.38</v>
      </c>
      <c r="H19" s="7">
        <f>'[8]Jun Prod'!F18</f>
        <v>0</v>
      </c>
      <c r="I19" s="8">
        <f t="shared" si="5"/>
        <v>0</v>
      </c>
      <c r="J19" s="10">
        <f t="shared" si="6"/>
        <v>0</v>
      </c>
      <c r="K19" s="7">
        <f>'[8]Jun Prod'!H266</f>
        <v>1740616</v>
      </c>
      <c r="L19" s="8">
        <f t="shared" si="17"/>
        <v>1.7406159999999999</v>
      </c>
      <c r="M19" s="10">
        <f t="shared" si="7"/>
        <v>5.3436911199999999</v>
      </c>
      <c r="N19" s="21"/>
      <c r="O19" s="7">
        <f>'[8]Jun Prod'!H18</f>
        <v>5371999.9999999991</v>
      </c>
      <c r="P19" s="8">
        <f t="shared" si="8"/>
        <v>5.371999999999999</v>
      </c>
      <c r="Q19" s="10">
        <f t="shared" si="9"/>
        <v>16.492039999999996</v>
      </c>
      <c r="R19" s="7">
        <f>'[8]Jun Prod'!C18</f>
        <v>5643000</v>
      </c>
      <c r="S19" s="8">
        <f t="shared" si="10"/>
        <v>5.6429999999999998</v>
      </c>
      <c r="T19" s="10">
        <f t="shared" si="11"/>
        <v>17.324009999999998</v>
      </c>
      <c r="U19" s="7">
        <f>'[8]Jun Prod'!D18</f>
        <v>0</v>
      </c>
      <c r="V19" s="8">
        <f t="shared" si="12"/>
        <v>0</v>
      </c>
      <c r="W19" s="10">
        <f t="shared" si="13"/>
        <v>0</v>
      </c>
      <c r="X19" s="7">
        <f>'[8]Jun Prod'!D266</f>
        <v>271000.00000000081</v>
      </c>
      <c r="Y19" s="8">
        <f t="shared" si="14"/>
        <v>0.2710000000000008</v>
      </c>
      <c r="Z19" s="10">
        <f t="shared" si="15"/>
        <v>0.83197000000000243</v>
      </c>
      <c r="AA19" s="15"/>
      <c r="AB19" s="7">
        <f t="shared" si="16"/>
        <v>37571999.999998905</v>
      </c>
      <c r="AC19" s="8">
        <f t="shared" si="16"/>
        <v>37.571999999998908</v>
      </c>
      <c r="AD19" s="8">
        <f t="shared" si="16"/>
        <v>115.34603999999663</v>
      </c>
      <c r="AF19" s="8">
        <f>T19-Q19-Z19</f>
        <v>0</v>
      </c>
    </row>
    <row r="20" spans="1:32" x14ac:dyDescent="0.2">
      <c r="A20" s="28">
        <v>38519</v>
      </c>
      <c r="B20" s="7">
        <f>'[8]Jun Prod'!I19</f>
        <v>32800000.000001092</v>
      </c>
      <c r="C20" s="8">
        <f t="shared" si="1"/>
        <v>32.800000000001091</v>
      </c>
      <c r="D20" s="10">
        <f t="shared" si="2"/>
        <v>100.69600000000335</v>
      </c>
      <c r="E20" s="7">
        <f>'[8]Jun Prod'!E19</f>
        <v>35000000</v>
      </c>
      <c r="F20" s="8">
        <f t="shared" si="3"/>
        <v>35</v>
      </c>
      <c r="G20" s="10">
        <f t="shared" si="4"/>
        <v>107.44999999999999</v>
      </c>
      <c r="H20" s="7">
        <f>'[8]Jun Prod'!F19</f>
        <v>0</v>
      </c>
      <c r="I20" s="8">
        <f t="shared" si="5"/>
        <v>0</v>
      </c>
      <c r="J20" s="10">
        <f t="shared" si="6"/>
        <v>0</v>
      </c>
      <c r="K20" s="7">
        <f>'[8]Jun Prod'!H267</f>
        <v>2167500</v>
      </c>
      <c r="L20" s="8">
        <f t="shared" si="17"/>
        <v>2.1675</v>
      </c>
      <c r="M20" s="10">
        <f t="shared" si="7"/>
        <v>6.6542249999999994</v>
      </c>
      <c r="N20" s="21"/>
      <c r="O20" s="7">
        <f>'[8]Jun Prod'!H19</f>
        <v>4844000.0000000009</v>
      </c>
      <c r="P20" s="8">
        <f t="shared" si="8"/>
        <v>4.8440000000000012</v>
      </c>
      <c r="Q20" s="10">
        <f t="shared" si="9"/>
        <v>14.871080000000003</v>
      </c>
      <c r="R20" s="7">
        <f>'[8]Jun Prod'!C19</f>
        <v>5073000</v>
      </c>
      <c r="S20" s="8">
        <f t="shared" si="10"/>
        <v>5.0730000000000004</v>
      </c>
      <c r="T20" s="10">
        <f t="shared" si="11"/>
        <v>15.574110000000001</v>
      </c>
      <c r="U20" s="7">
        <f>'[8]Jun Prod'!D19</f>
        <v>0</v>
      </c>
      <c r="V20" s="8">
        <f t="shared" si="12"/>
        <v>0</v>
      </c>
      <c r="W20" s="10">
        <f t="shared" si="13"/>
        <v>0</v>
      </c>
      <c r="X20" s="7">
        <f>'[8]Jun Prod'!D267</f>
        <v>228999.99999999921</v>
      </c>
      <c r="Y20" s="8">
        <f t="shared" si="14"/>
        <v>0.2289999999999992</v>
      </c>
      <c r="Z20" s="10">
        <f t="shared" si="15"/>
        <v>0.70302999999999749</v>
      </c>
      <c r="AA20" s="15"/>
      <c r="AB20" s="7">
        <f t="shared" si="16"/>
        <v>37644000.000001095</v>
      </c>
      <c r="AC20" s="8">
        <f t="shared" si="16"/>
        <v>37.644000000001093</v>
      </c>
      <c r="AD20" s="8">
        <f t="shared" si="16"/>
        <v>115.56708000000336</v>
      </c>
      <c r="AF20" s="8">
        <f t="shared" ref="AF20:AF34" si="18">T20-Q20-Z20</f>
        <v>0</v>
      </c>
    </row>
    <row r="21" spans="1:32" x14ac:dyDescent="0.2">
      <c r="A21" s="28">
        <v>38520</v>
      </c>
      <c r="B21" s="7">
        <f>'[8]Jun Prod'!I20</f>
        <v>32100000.000000365</v>
      </c>
      <c r="C21" s="8">
        <f t="shared" si="1"/>
        <v>32.100000000000364</v>
      </c>
      <c r="D21" s="10">
        <f t="shared" si="2"/>
        <v>98.547000000001105</v>
      </c>
      <c r="E21" s="7">
        <f>'[8]Jun Prod'!E20</f>
        <v>35000000</v>
      </c>
      <c r="F21" s="8">
        <f t="shared" si="3"/>
        <v>35</v>
      </c>
      <c r="G21" s="10">
        <f t="shared" si="4"/>
        <v>107.44999999999999</v>
      </c>
      <c r="H21" s="7">
        <f>'[8]Jun Prod'!F20</f>
        <v>0</v>
      </c>
      <c r="I21" s="8">
        <f t="shared" si="5"/>
        <v>0</v>
      </c>
      <c r="J21" s="10">
        <f t="shared" si="6"/>
        <v>0</v>
      </c>
      <c r="K21" s="7">
        <f>'[8]Jun Prod'!H268</f>
        <v>2523115</v>
      </c>
      <c r="L21" s="8">
        <f t="shared" si="17"/>
        <v>2.5231150000000002</v>
      </c>
      <c r="M21" s="10">
        <f t="shared" si="7"/>
        <v>7.7459630500000003</v>
      </c>
      <c r="N21" s="21"/>
      <c r="O21" s="7">
        <f>'[8]Jun Prod'!H20</f>
        <v>5873000.0000000009</v>
      </c>
      <c r="P21" s="8">
        <f t="shared" si="8"/>
        <v>5.8730000000000011</v>
      </c>
      <c r="Q21" s="10">
        <f t="shared" si="9"/>
        <v>18.030110000000004</v>
      </c>
      <c r="R21" s="7">
        <f>'[8]Jun Prod'!C20</f>
        <v>6102000</v>
      </c>
      <c r="S21" s="8">
        <f t="shared" si="10"/>
        <v>6.1020000000000003</v>
      </c>
      <c r="T21" s="10">
        <f t="shared" si="11"/>
        <v>18.733139999999999</v>
      </c>
      <c r="U21" s="7">
        <f>'[8]Jun Prod'!D20</f>
        <v>0</v>
      </c>
      <c r="V21" s="8">
        <f t="shared" si="12"/>
        <v>0</v>
      </c>
      <c r="W21" s="10">
        <f t="shared" si="13"/>
        <v>0</v>
      </c>
      <c r="X21" s="7">
        <f>'[8]Jun Prod'!D268</f>
        <v>228999.99999999921</v>
      </c>
      <c r="Y21" s="8">
        <f t="shared" si="14"/>
        <v>0.2289999999999992</v>
      </c>
      <c r="Z21" s="10">
        <f t="shared" si="15"/>
        <v>0.70302999999999749</v>
      </c>
      <c r="AA21" s="15"/>
      <c r="AB21" s="7">
        <f t="shared" si="16"/>
        <v>37973000.000000365</v>
      </c>
      <c r="AC21" s="8">
        <f t="shared" si="16"/>
        <v>37.973000000000368</v>
      </c>
      <c r="AD21" s="8">
        <f t="shared" si="16"/>
        <v>116.57711000000111</v>
      </c>
      <c r="AF21" s="8">
        <f t="shared" si="18"/>
        <v>-2.7755575615628914E-15</v>
      </c>
    </row>
    <row r="22" spans="1:32" x14ac:dyDescent="0.2">
      <c r="A22" s="28">
        <v>38521</v>
      </c>
      <c r="B22" s="7">
        <f>'[8]Jun Prod'!I21</f>
        <v>34299999.99999927</v>
      </c>
      <c r="C22" s="8">
        <f t="shared" si="1"/>
        <v>34.299999999999272</v>
      </c>
      <c r="D22" s="10">
        <f t="shared" si="2"/>
        <v>105.30099999999776</v>
      </c>
      <c r="E22" s="7">
        <f>'[8]Jun Prod'!E21</f>
        <v>37000000</v>
      </c>
      <c r="F22" s="8">
        <f t="shared" si="3"/>
        <v>37</v>
      </c>
      <c r="G22" s="10">
        <f t="shared" si="4"/>
        <v>113.58999999999999</v>
      </c>
      <c r="H22" s="7">
        <f>'[8]Jun Prod'!F21</f>
        <v>0</v>
      </c>
      <c r="I22" s="8">
        <f t="shared" si="5"/>
        <v>0</v>
      </c>
      <c r="J22" s="10">
        <f t="shared" si="6"/>
        <v>0</v>
      </c>
      <c r="K22" s="7">
        <f>'[8]Jun Prod'!H269</f>
        <v>2497308</v>
      </c>
      <c r="L22" s="8">
        <f t="shared" si="17"/>
        <v>2.4973079999999999</v>
      </c>
      <c r="M22" s="10">
        <f t="shared" si="7"/>
        <v>7.6667355599999993</v>
      </c>
      <c r="N22" s="21"/>
      <c r="O22" s="7">
        <f>'[8]Jun Prod'!H21</f>
        <v>8837999.9999999981</v>
      </c>
      <c r="P22" s="8">
        <f t="shared" si="8"/>
        <v>8.8379999999999974</v>
      </c>
      <c r="Q22" s="10">
        <f t="shared" si="9"/>
        <v>27.132659999999991</v>
      </c>
      <c r="R22" s="7">
        <f>'[8]Jun Prod'!C21</f>
        <v>9087000</v>
      </c>
      <c r="S22" s="8">
        <f t="shared" si="10"/>
        <v>9.0869999999999997</v>
      </c>
      <c r="T22" s="10">
        <f t="shared" si="11"/>
        <v>27.897089999999999</v>
      </c>
      <c r="U22" s="7">
        <f>'[8]Jun Prod'!D21</f>
        <v>0</v>
      </c>
      <c r="V22" s="8">
        <f t="shared" si="12"/>
        <v>0</v>
      </c>
      <c r="W22" s="10">
        <f t="shared" si="13"/>
        <v>0</v>
      </c>
      <c r="X22" s="7">
        <f>'[8]Jun Prod'!D269</f>
        <v>249000.00000000233</v>
      </c>
      <c r="Y22" s="8">
        <f t="shared" si="14"/>
        <v>0.24900000000000233</v>
      </c>
      <c r="Z22" s="10">
        <f t="shared" si="15"/>
        <v>0.76443000000000716</v>
      </c>
      <c r="AA22" s="15"/>
      <c r="AB22" s="7">
        <f t="shared" si="16"/>
        <v>43137999.99999927</v>
      </c>
      <c r="AC22" s="8">
        <f t="shared" si="16"/>
        <v>43.137999999999266</v>
      </c>
      <c r="AD22" s="8">
        <f t="shared" si="16"/>
        <v>132.43365999999776</v>
      </c>
      <c r="AF22" s="8">
        <f t="shared" si="18"/>
        <v>0</v>
      </c>
    </row>
    <row r="23" spans="1:32" x14ac:dyDescent="0.2">
      <c r="A23" s="28">
        <v>38522</v>
      </c>
      <c r="B23" s="7">
        <f>'[8]Jun Prod'!I22</f>
        <v>32399999.999999635</v>
      </c>
      <c r="C23" s="8">
        <f t="shared" si="1"/>
        <v>32.399999999999636</v>
      </c>
      <c r="D23" s="10">
        <f t="shared" si="2"/>
        <v>99.467999999998881</v>
      </c>
      <c r="E23" s="7">
        <f>'[8]Jun Prod'!E22</f>
        <v>35000000</v>
      </c>
      <c r="F23" s="8">
        <f t="shared" si="3"/>
        <v>35</v>
      </c>
      <c r="G23" s="10">
        <f t="shared" si="4"/>
        <v>107.44999999999999</v>
      </c>
      <c r="H23" s="7">
        <f>'[8]Jun Prod'!F22</f>
        <v>0</v>
      </c>
      <c r="I23" s="8">
        <f t="shared" si="5"/>
        <v>0</v>
      </c>
      <c r="J23" s="10">
        <f t="shared" si="6"/>
        <v>0</v>
      </c>
      <c r="K23" s="7">
        <f>'[8]Jun Prod'!H270</f>
        <v>2539467</v>
      </c>
      <c r="L23" s="8">
        <f t="shared" si="17"/>
        <v>2.5394670000000001</v>
      </c>
      <c r="M23" s="10">
        <f t="shared" si="7"/>
        <v>7.7961636900000002</v>
      </c>
      <c r="N23" s="21"/>
      <c r="O23" s="7">
        <f>'[8]Jun Prod'!H22</f>
        <v>9701000.0000000037</v>
      </c>
      <c r="P23" s="8">
        <f t="shared" si="8"/>
        <v>9.7010000000000041</v>
      </c>
      <c r="Q23" s="10">
        <f t="shared" si="9"/>
        <v>29.782070000000012</v>
      </c>
      <c r="R23" s="7">
        <f>'[8]Jun Prod'!C22</f>
        <v>10108000</v>
      </c>
      <c r="S23" s="8">
        <f t="shared" si="10"/>
        <v>10.108000000000001</v>
      </c>
      <c r="T23" s="10">
        <f t="shared" si="11"/>
        <v>31.031559999999999</v>
      </c>
      <c r="U23" s="7">
        <f>'[8]Jun Prod'!D22</f>
        <v>0</v>
      </c>
      <c r="V23" s="8">
        <f t="shared" si="12"/>
        <v>0</v>
      </c>
      <c r="W23" s="10">
        <f t="shared" si="13"/>
        <v>0</v>
      </c>
      <c r="X23" s="7">
        <f>'[8]Jun Prod'!D270</f>
        <v>406999.99999999645</v>
      </c>
      <c r="Y23" s="8">
        <f t="shared" si="14"/>
        <v>0.40699999999999648</v>
      </c>
      <c r="Z23" s="10">
        <f t="shared" si="15"/>
        <v>1.2494899999999891</v>
      </c>
      <c r="AA23" s="15"/>
      <c r="AB23" s="7">
        <f t="shared" si="16"/>
        <v>42100999.999999642</v>
      </c>
      <c r="AC23" s="8">
        <f t="shared" si="16"/>
        <v>42.100999999999644</v>
      </c>
      <c r="AD23" s="8">
        <f t="shared" si="16"/>
        <v>129.25006999999889</v>
      </c>
      <c r="AF23" s="8">
        <f t="shared" si="18"/>
        <v>-1.7763568394002505E-15</v>
      </c>
    </row>
    <row r="24" spans="1:32" x14ac:dyDescent="0.2">
      <c r="A24" s="28">
        <v>38523</v>
      </c>
      <c r="B24" s="7">
        <f>'[8]Jun Prod'!I23</f>
        <v>30399999.999999635</v>
      </c>
      <c r="C24" s="8">
        <f t="shared" si="1"/>
        <v>30.399999999999636</v>
      </c>
      <c r="D24" s="10">
        <f t="shared" si="2"/>
        <v>93.32799999999888</v>
      </c>
      <c r="E24" s="7">
        <f>'[8]Jun Prod'!E23</f>
        <v>32000000</v>
      </c>
      <c r="F24" s="8">
        <f t="shared" si="3"/>
        <v>32</v>
      </c>
      <c r="G24" s="10">
        <f t="shared" si="4"/>
        <v>98.24</v>
      </c>
      <c r="H24" s="7">
        <f>'[8]Jun Prod'!F23</f>
        <v>0</v>
      </c>
      <c r="I24" s="8">
        <f t="shared" si="5"/>
        <v>0</v>
      </c>
      <c r="J24" s="10">
        <f t="shared" si="6"/>
        <v>0</v>
      </c>
      <c r="K24" s="7">
        <f>'[8]Jun Prod'!H271</f>
        <v>2384353</v>
      </c>
      <c r="L24" s="8">
        <f t="shared" si="17"/>
        <v>2.3843529999999999</v>
      </c>
      <c r="M24" s="10">
        <f t="shared" si="7"/>
        <v>7.3199637099999997</v>
      </c>
      <c r="N24" s="21"/>
      <c r="O24" s="7">
        <f>'[8]Jun Prod'!H23</f>
        <v>9377000.0000000019</v>
      </c>
      <c r="P24" s="8">
        <f t="shared" si="8"/>
        <v>9.3770000000000024</v>
      </c>
      <c r="Q24" s="10">
        <f t="shared" si="9"/>
        <v>28.787390000000006</v>
      </c>
      <c r="R24" s="7">
        <f>'[8]Jun Prod'!C23</f>
        <v>9710000</v>
      </c>
      <c r="S24" s="8">
        <f t="shared" si="10"/>
        <v>9.7100000000000009</v>
      </c>
      <c r="T24" s="10">
        <f t="shared" si="11"/>
        <v>29.809699999999999</v>
      </c>
      <c r="U24" s="7">
        <f>'[8]Jun Prod'!D23</f>
        <v>0</v>
      </c>
      <c r="V24" s="8">
        <f t="shared" si="12"/>
        <v>0</v>
      </c>
      <c r="W24" s="10">
        <f t="shared" si="13"/>
        <v>0</v>
      </c>
      <c r="X24" s="7">
        <f>'[8]Jun Prod'!D271</f>
        <v>332999.99999999843</v>
      </c>
      <c r="Y24" s="8">
        <f t="shared" si="14"/>
        <v>0.33299999999999841</v>
      </c>
      <c r="Z24" s="10">
        <f t="shared" si="15"/>
        <v>1.0223099999999952</v>
      </c>
      <c r="AA24" s="15"/>
      <c r="AB24" s="7">
        <f t="shared" si="16"/>
        <v>39776999.999999635</v>
      </c>
      <c r="AC24" s="8">
        <f t="shared" si="16"/>
        <v>39.776999999999639</v>
      </c>
      <c r="AD24" s="8">
        <f t="shared" si="16"/>
        <v>122.11538999999888</v>
      </c>
      <c r="AF24" s="8">
        <f t="shared" si="18"/>
        <v>0</v>
      </c>
    </row>
    <row r="25" spans="1:32" x14ac:dyDescent="0.2">
      <c r="A25" s="28">
        <v>38524</v>
      </c>
      <c r="B25" s="7">
        <f>'[8]Jun Prod'!I24</f>
        <v>31200000.000000726</v>
      </c>
      <c r="C25" s="8">
        <f t="shared" si="1"/>
        <v>31.200000000000728</v>
      </c>
      <c r="D25" s="10">
        <f t="shared" si="2"/>
        <v>95.784000000002223</v>
      </c>
      <c r="E25" s="7">
        <f>'[8]Jun Prod'!E24</f>
        <v>34000000</v>
      </c>
      <c r="F25" s="8">
        <f t="shared" si="3"/>
        <v>34</v>
      </c>
      <c r="G25" s="10">
        <f t="shared" si="4"/>
        <v>104.38</v>
      </c>
      <c r="H25" s="7">
        <f>'[8]Jun Prod'!F24</f>
        <v>0</v>
      </c>
      <c r="I25" s="8">
        <f t="shared" si="5"/>
        <v>0</v>
      </c>
      <c r="J25" s="10">
        <f t="shared" si="6"/>
        <v>0</v>
      </c>
      <c r="K25" s="7">
        <f>'[8]Jun Prod'!H272</f>
        <v>764027</v>
      </c>
      <c r="L25" s="8">
        <f t="shared" si="17"/>
        <v>0.76402700000000001</v>
      </c>
      <c r="M25" s="10">
        <f t="shared" si="7"/>
        <v>2.3455628900000001</v>
      </c>
      <c r="N25" s="21"/>
      <c r="O25" s="7">
        <f>'[8]Jun Prod'!H24</f>
        <v>6716000</v>
      </c>
      <c r="P25" s="8">
        <f t="shared" si="8"/>
        <v>6.7160000000000002</v>
      </c>
      <c r="Q25" s="10">
        <f t="shared" si="9"/>
        <v>20.618120000000001</v>
      </c>
      <c r="R25" s="7">
        <f>'[8]Jun Prod'!C24</f>
        <v>7079000</v>
      </c>
      <c r="S25" s="8">
        <f t="shared" si="10"/>
        <v>7.0789999999999997</v>
      </c>
      <c r="T25" s="10">
        <f t="shared" si="11"/>
        <v>21.732529999999997</v>
      </c>
      <c r="U25" s="7">
        <f>'[8]Jun Prod'!D24</f>
        <v>0</v>
      </c>
      <c r="V25" s="8">
        <f t="shared" si="12"/>
        <v>0</v>
      </c>
      <c r="W25" s="10">
        <f t="shared" si="13"/>
        <v>0</v>
      </c>
      <c r="X25" s="7">
        <f>'[8]Jun Prod'!D272</f>
        <v>362999.99999999953</v>
      </c>
      <c r="Y25" s="8">
        <f t="shared" si="14"/>
        <v>0.36299999999999955</v>
      </c>
      <c r="Z25" s="10">
        <f t="shared" si="15"/>
        <v>1.1144099999999986</v>
      </c>
      <c r="AA25" s="15"/>
      <c r="AB25" s="7">
        <f t="shared" si="16"/>
        <v>37916000.00000073</v>
      </c>
      <c r="AC25" s="8">
        <f t="shared" si="16"/>
        <v>37.916000000000729</v>
      </c>
      <c r="AD25" s="8">
        <f t="shared" si="16"/>
        <v>116.40212000000223</v>
      </c>
      <c r="AF25" s="8">
        <f t="shared" si="18"/>
        <v>-2.6645352591003757E-15</v>
      </c>
    </row>
    <row r="26" spans="1:32" x14ac:dyDescent="0.2">
      <c r="A26" s="28">
        <v>38525</v>
      </c>
      <c r="B26" s="7">
        <f>'[8]Jun Prod'!I25</f>
        <v>33700000.00000073</v>
      </c>
      <c r="C26" s="8">
        <f t="shared" si="1"/>
        <v>33.700000000000728</v>
      </c>
      <c r="D26" s="10">
        <f t="shared" si="2"/>
        <v>103.45900000000223</v>
      </c>
      <c r="E26" s="7">
        <f>'[8]Jun Prod'!E25</f>
        <v>35000000</v>
      </c>
      <c r="F26" s="8">
        <f t="shared" si="3"/>
        <v>35</v>
      </c>
      <c r="G26" s="10">
        <f t="shared" si="4"/>
        <v>107.44999999999999</v>
      </c>
      <c r="H26" s="7">
        <f>'[8]Jun Prod'!F25</f>
        <v>0</v>
      </c>
      <c r="I26" s="8">
        <f t="shared" si="5"/>
        <v>0</v>
      </c>
      <c r="J26" s="10">
        <f t="shared" si="6"/>
        <v>0</v>
      </c>
      <c r="K26" s="7">
        <f>'[8]Jun Prod'!H273</f>
        <v>1798474</v>
      </c>
      <c r="L26" s="8">
        <f t="shared" si="17"/>
        <v>1.7984739999999999</v>
      </c>
      <c r="M26" s="10">
        <f t="shared" si="7"/>
        <v>5.5213151799999993</v>
      </c>
      <c r="N26" s="21"/>
      <c r="O26" s="7">
        <f>'[8]Jun Prod'!H25</f>
        <v>9718000</v>
      </c>
      <c r="P26" s="8">
        <f t="shared" si="8"/>
        <v>9.718</v>
      </c>
      <c r="Q26" s="10">
        <f t="shared" si="9"/>
        <v>29.834259999999997</v>
      </c>
      <c r="R26" s="7">
        <f>'[8]Jun Prod'!C25</f>
        <v>9971000</v>
      </c>
      <c r="S26" s="8">
        <f t="shared" si="10"/>
        <v>9.9710000000000001</v>
      </c>
      <c r="T26" s="10">
        <f t="shared" si="11"/>
        <v>30.610969999999998</v>
      </c>
      <c r="U26" s="7">
        <f>'[8]Jun Prod'!D25</f>
        <v>0</v>
      </c>
      <c r="V26" s="8">
        <f t="shared" si="12"/>
        <v>0</v>
      </c>
      <c r="W26" s="10">
        <f t="shared" si="13"/>
        <v>0</v>
      </c>
      <c r="X26" s="7">
        <f>'[8]Jun Prod'!D273</f>
        <v>253000.00000000012</v>
      </c>
      <c r="Y26" s="8">
        <f t="shared" si="14"/>
        <v>0.25300000000000011</v>
      </c>
      <c r="Z26" s="10">
        <f t="shared" si="15"/>
        <v>0.77671000000000034</v>
      </c>
      <c r="AA26" s="15"/>
      <c r="AB26" s="7">
        <f t="shared" si="16"/>
        <v>43418000.00000073</v>
      </c>
      <c r="AC26" s="8">
        <f t="shared" si="16"/>
        <v>43.418000000000731</v>
      </c>
      <c r="AD26" s="8">
        <f t="shared" si="16"/>
        <v>133.29326000000222</v>
      </c>
      <c r="AF26" s="8">
        <f t="shared" si="18"/>
        <v>9.9920072216264089E-16</v>
      </c>
    </row>
    <row r="27" spans="1:32" x14ac:dyDescent="0.2">
      <c r="A27" s="28">
        <v>38526</v>
      </c>
      <c r="B27" s="7">
        <f>'[8]Jun Prod'!I26</f>
        <v>34500000</v>
      </c>
      <c r="C27" s="8">
        <f t="shared" si="1"/>
        <v>34.5</v>
      </c>
      <c r="D27" s="10">
        <f t="shared" si="2"/>
        <v>105.91499999999999</v>
      </c>
      <c r="E27" s="7">
        <f>'[8]Jun Prod'!E26</f>
        <v>37000000</v>
      </c>
      <c r="F27" s="8">
        <f t="shared" si="3"/>
        <v>37</v>
      </c>
      <c r="G27" s="10">
        <f t="shared" si="4"/>
        <v>113.58999999999999</v>
      </c>
      <c r="H27" s="7">
        <f>'[8]Jun Prod'!F26</f>
        <v>0</v>
      </c>
      <c r="I27" s="8">
        <f t="shared" si="5"/>
        <v>0</v>
      </c>
      <c r="J27" s="10">
        <f t="shared" si="6"/>
        <v>0</v>
      </c>
      <c r="K27" s="7">
        <f>'[8]Jun Prod'!H274</f>
        <v>2073488</v>
      </c>
      <c r="L27" s="8">
        <f t="shared" si="17"/>
        <v>2.0734880000000002</v>
      </c>
      <c r="M27" s="10">
        <f t="shared" si="7"/>
        <v>6.3656081600000007</v>
      </c>
      <c r="N27" s="21"/>
      <c r="O27" s="7">
        <f>'[8]Jun Prod'!H26</f>
        <v>9564999.9999999981</v>
      </c>
      <c r="P27" s="8">
        <f t="shared" si="8"/>
        <v>9.5649999999999977</v>
      </c>
      <c r="Q27" s="10">
        <f t="shared" si="9"/>
        <v>29.364549999999991</v>
      </c>
      <c r="R27" s="7">
        <f>'[8]Jun Prod'!C26</f>
        <v>9851000</v>
      </c>
      <c r="S27" s="8">
        <f t="shared" si="10"/>
        <v>9.8510000000000009</v>
      </c>
      <c r="T27" s="10">
        <f t="shared" si="11"/>
        <v>30.242570000000001</v>
      </c>
      <c r="U27" s="7">
        <f>'[8]Jun Prod'!D26</f>
        <v>0</v>
      </c>
      <c r="V27" s="8">
        <f t="shared" si="12"/>
        <v>0</v>
      </c>
      <c r="W27" s="10">
        <f t="shared" si="13"/>
        <v>0</v>
      </c>
      <c r="X27" s="7">
        <f>'[8]Jun Prod'!D274</f>
        <v>286000.00000000134</v>
      </c>
      <c r="Y27" s="8">
        <f t="shared" si="14"/>
        <v>0.28600000000000136</v>
      </c>
      <c r="Z27" s="10">
        <f t="shared" si="15"/>
        <v>0.87802000000000413</v>
      </c>
      <c r="AA27" s="15"/>
      <c r="AB27" s="7">
        <f t="shared" si="16"/>
        <v>44065000</v>
      </c>
      <c r="AC27" s="8">
        <f t="shared" si="16"/>
        <v>44.064999999999998</v>
      </c>
      <c r="AD27" s="8">
        <f t="shared" si="16"/>
        <v>135.27954999999997</v>
      </c>
      <c r="AF27" s="8">
        <f t="shared" si="18"/>
        <v>5.8841820305133297E-15</v>
      </c>
    </row>
    <row r="28" spans="1:32" x14ac:dyDescent="0.2">
      <c r="A28" s="28">
        <v>38527</v>
      </c>
      <c r="B28" s="7">
        <f>'[8]Jun Prod'!I27</f>
        <v>32599999.999998543</v>
      </c>
      <c r="C28" s="8">
        <f t="shared" si="1"/>
        <v>32.599999999998545</v>
      </c>
      <c r="D28" s="10">
        <f t="shared" si="2"/>
        <v>100.08199999999553</v>
      </c>
      <c r="E28" s="7">
        <f>'[8]Jun Prod'!E27</f>
        <v>35000000</v>
      </c>
      <c r="F28" s="8">
        <f t="shared" si="3"/>
        <v>35</v>
      </c>
      <c r="G28" s="10">
        <f t="shared" si="4"/>
        <v>107.44999999999999</v>
      </c>
      <c r="H28" s="7">
        <f>'[8]Jun Prod'!F27</f>
        <v>0</v>
      </c>
      <c r="I28" s="8">
        <f t="shared" si="5"/>
        <v>0</v>
      </c>
      <c r="J28" s="10">
        <f t="shared" si="6"/>
        <v>0</v>
      </c>
      <c r="K28" s="7">
        <f>'[8]Jun Prod'!H275</f>
        <v>561826</v>
      </c>
      <c r="L28" s="8">
        <f t="shared" si="17"/>
        <v>0.56182600000000005</v>
      </c>
      <c r="M28" s="10">
        <f t="shared" si="7"/>
        <v>1.72480582</v>
      </c>
      <c r="N28" s="21"/>
      <c r="O28" s="7">
        <f>'[8]Jun Prod'!H27</f>
        <v>9522000.0000000019</v>
      </c>
      <c r="P28" s="8">
        <f t="shared" si="8"/>
        <v>9.522000000000002</v>
      </c>
      <c r="Q28" s="10">
        <f t="shared" si="9"/>
        <v>29.232540000000004</v>
      </c>
      <c r="R28" s="7">
        <f>'[8]Jun Prod'!C27</f>
        <v>9794000</v>
      </c>
      <c r="S28" s="8">
        <f t="shared" si="10"/>
        <v>9.7940000000000005</v>
      </c>
      <c r="T28" s="10">
        <f t="shared" si="11"/>
        <v>30.06758</v>
      </c>
      <c r="U28" s="7">
        <f>'[8]Jun Prod'!D27</f>
        <v>0</v>
      </c>
      <c r="V28" s="8">
        <f t="shared" si="12"/>
        <v>0</v>
      </c>
      <c r="W28" s="10">
        <f t="shared" si="13"/>
        <v>0</v>
      </c>
      <c r="X28" s="7">
        <f>'[8]Jun Prod'!D275</f>
        <v>271999.99999999849</v>
      </c>
      <c r="Y28" s="8">
        <f t="shared" si="14"/>
        <v>0.27199999999999847</v>
      </c>
      <c r="Z28" s="10">
        <f t="shared" si="15"/>
        <v>0.83503999999999523</v>
      </c>
      <c r="AA28" s="15"/>
      <c r="AB28" s="7">
        <f t="shared" si="16"/>
        <v>42121999.999998547</v>
      </c>
      <c r="AC28" s="8">
        <f t="shared" si="16"/>
        <v>42.12199999999855</v>
      </c>
      <c r="AD28" s="8">
        <f t="shared" si="16"/>
        <v>129.31453999999553</v>
      </c>
      <c r="AF28" s="8">
        <f t="shared" si="18"/>
        <v>0</v>
      </c>
    </row>
    <row r="29" spans="1:32" x14ac:dyDescent="0.2">
      <c r="A29" s="28">
        <v>38528</v>
      </c>
      <c r="B29" s="7">
        <f>'[8]Jun Prod'!I28</f>
        <v>34500000</v>
      </c>
      <c r="C29" s="8">
        <f t="shared" si="1"/>
        <v>34.5</v>
      </c>
      <c r="D29" s="10">
        <f t="shared" si="2"/>
        <v>105.91499999999999</v>
      </c>
      <c r="E29" s="7">
        <f>'[8]Jun Prod'!E28</f>
        <v>38000000</v>
      </c>
      <c r="F29" s="8">
        <f t="shared" si="3"/>
        <v>38</v>
      </c>
      <c r="G29" s="10">
        <f t="shared" si="4"/>
        <v>116.66</v>
      </c>
      <c r="H29" s="7">
        <f>'[8]Jun Prod'!F28</f>
        <v>0</v>
      </c>
      <c r="I29" s="8">
        <f t="shared" si="5"/>
        <v>0</v>
      </c>
      <c r="J29" s="10">
        <f t="shared" si="6"/>
        <v>0</v>
      </c>
      <c r="K29" s="7">
        <f>'[8]Jun Prod'!H276</f>
        <v>2989958</v>
      </c>
      <c r="L29" s="8">
        <f>K29/1000000</f>
        <v>2.9899580000000001</v>
      </c>
      <c r="M29" s="10">
        <f t="shared" si="7"/>
        <v>9.1791710599999998</v>
      </c>
      <c r="N29" s="21"/>
      <c r="O29" s="7">
        <f>'[8]Jun Prod'!H28</f>
        <v>9359999.9999999963</v>
      </c>
      <c r="P29" s="8">
        <f t="shared" si="8"/>
        <v>9.3599999999999959</v>
      </c>
      <c r="Q29" s="10">
        <f t="shared" si="9"/>
        <v>28.735199999999985</v>
      </c>
      <c r="R29" s="7">
        <f>'[8]Jun Prod'!C28</f>
        <v>9758000</v>
      </c>
      <c r="S29" s="8">
        <f t="shared" si="10"/>
        <v>9.7579999999999991</v>
      </c>
      <c r="T29" s="10">
        <f t="shared" si="11"/>
        <v>29.957059999999995</v>
      </c>
      <c r="U29" s="7">
        <f>'[8]Jun Prod'!D28</f>
        <v>0</v>
      </c>
      <c r="V29" s="8">
        <f t="shared" si="12"/>
        <v>0</v>
      </c>
      <c r="W29" s="10">
        <f t="shared" si="13"/>
        <v>0</v>
      </c>
      <c r="X29" s="7">
        <f>'[8]Jun Prod'!D276</f>
        <v>398000.00000000326</v>
      </c>
      <c r="Y29" s="8">
        <f t="shared" si="14"/>
        <v>0.39800000000000324</v>
      </c>
      <c r="Z29" s="10">
        <f t="shared" si="15"/>
        <v>1.2218600000000099</v>
      </c>
      <c r="AA29" s="15"/>
      <c r="AB29" s="7">
        <f t="shared" si="16"/>
        <v>43860000</v>
      </c>
      <c r="AC29" s="8">
        <f t="shared" si="16"/>
        <v>43.86</v>
      </c>
      <c r="AD29" s="8">
        <f t="shared" si="16"/>
        <v>134.65019999999998</v>
      </c>
      <c r="AF29" s="8">
        <f t="shared" si="18"/>
        <v>0</v>
      </c>
    </row>
    <row r="30" spans="1:32" x14ac:dyDescent="0.2">
      <c r="A30" s="28">
        <v>38529</v>
      </c>
      <c r="B30" s="7">
        <f>'[8]Jun Prod'!I29</f>
        <v>34300000.000001088</v>
      </c>
      <c r="C30" s="8">
        <f t="shared" si="1"/>
        <v>34.300000000001084</v>
      </c>
      <c r="D30" s="10">
        <f t="shared" si="2"/>
        <v>105.30100000000333</v>
      </c>
      <c r="E30" s="7">
        <f>'[8]Jun Prod'!E29</f>
        <v>32000000</v>
      </c>
      <c r="F30" s="8">
        <f t="shared" si="3"/>
        <v>32</v>
      </c>
      <c r="G30" s="10">
        <f t="shared" si="4"/>
        <v>98.24</v>
      </c>
      <c r="H30" s="7">
        <f>'[8]Jun Prod'!F29</f>
        <v>4930000</v>
      </c>
      <c r="I30" s="8">
        <f>H30/100000000</f>
        <v>4.9299999999999997E-2</v>
      </c>
      <c r="J30" s="10">
        <f t="shared" si="6"/>
        <v>0.15135099999999999</v>
      </c>
      <c r="K30" s="7">
        <f>'[8]Jun Prod'!H277</f>
        <v>2786880</v>
      </c>
      <c r="L30" s="8">
        <f t="shared" si="17"/>
        <v>2.78688</v>
      </c>
      <c r="M30" s="10">
        <f t="shared" si="7"/>
        <v>8.5557216</v>
      </c>
      <c r="N30" s="21"/>
      <c r="O30" s="7">
        <f>'[8]Jun Prod'!H29</f>
        <v>9108999.9999999963</v>
      </c>
      <c r="P30" s="8">
        <f t="shared" si="8"/>
        <v>9.1089999999999964</v>
      </c>
      <c r="Q30" s="10">
        <f t="shared" si="9"/>
        <v>27.964629999999989</v>
      </c>
      <c r="R30" s="7">
        <f>'[8]Jun Prod'!C29</f>
        <v>9440000</v>
      </c>
      <c r="S30" s="8">
        <f t="shared" si="10"/>
        <v>9.44</v>
      </c>
      <c r="T30" s="10">
        <f t="shared" si="11"/>
        <v>28.980799999999999</v>
      </c>
      <c r="U30" s="7">
        <f>'[8]Jun Prod'!D29</f>
        <v>0</v>
      </c>
      <c r="V30" s="8">
        <f t="shared" si="12"/>
        <v>0</v>
      </c>
      <c r="W30" s="10">
        <f t="shared" si="13"/>
        <v>0</v>
      </c>
      <c r="X30" s="7">
        <f>'[8]Jun Prod'!D277</f>
        <v>331000.00000000309</v>
      </c>
      <c r="Y30" s="8">
        <f t="shared" si="14"/>
        <v>0.33100000000000307</v>
      </c>
      <c r="Z30" s="10">
        <f t="shared" si="15"/>
        <v>1.0161700000000093</v>
      </c>
      <c r="AA30" s="15"/>
      <c r="AB30" s="7">
        <f t="shared" si="16"/>
        <v>43409000.000001088</v>
      </c>
      <c r="AC30" s="8">
        <f t="shared" si="16"/>
        <v>43.409000000001079</v>
      </c>
      <c r="AD30" s="8">
        <f t="shared" si="16"/>
        <v>133.26563000000331</v>
      </c>
      <c r="AF30" s="8">
        <f t="shared" si="18"/>
        <v>0</v>
      </c>
    </row>
    <row r="31" spans="1:32" x14ac:dyDescent="0.2">
      <c r="A31" s="28">
        <v>38530</v>
      </c>
      <c r="B31" s="7">
        <f>'[8]Jun Prod'!I30</f>
        <v>35199999.999998912</v>
      </c>
      <c r="C31" s="8">
        <f t="shared" si="1"/>
        <v>35.199999999998916</v>
      </c>
      <c r="D31" s="10">
        <f t="shared" si="2"/>
        <v>108.06399999999667</v>
      </c>
      <c r="E31" s="7">
        <f>'[8]Jun Prod'!E30</f>
        <v>29000000</v>
      </c>
      <c r="F31" s="8">
        <f t="shared" si="3"/>
        <v>29</v>
      </c>
      <c r="G31" s="10">
        <f t="shared" si="4"/>
        <v>89.03</v>
      </c>
      <c r="H31" s="7">
        <f>'[8]Jun Prod'!F30</f>
        <v>8029999.9999999991</v>
      </c>
      <c r="I31" s="8">
        <f>H31/1000000</f>
        <v>8.0299999999999994</v>
      </c>
      <c r="J31" s="10">
        <f t="shared" si="6"/>
        <v>24.652099999999997</v>
      </c>
      <c r="K31" s="7">
        <f>'[8]Jun Prod'!H278</f>
        <v>2872208</v>
      </c>
      <c r="L31" s="8">
        <f t="shared" si="17"/>
        <v>2.8722080000000001</v>
      </c>
      <c r="M31" s="10">
        <f t="shared" si="7"/>
        <v>8.8176785599999992</v>
      </c>
      <c r="N31" s="21"/>
      <c r="O31" s="7">
        <f>'[8]Jun Prod'!H30</f>
        <v>8093000.0000000009</v>
      </c>
      <c r="P31" s="8">
        <f t="shared" si="8"/>
        <v>8.0930000000000017</v>
      </c>
      <c r="Q31" s="10">
        <f t="shared" si="9"/>
        <v>24.845510000000004</v>
      </c>
      <c r="R31" s="7">
        <f>'[8]Jun Prod'!C30</f>
        <v>8371000</v>
      </c>
      <c r="S31" s="8">
        <f t="shared" si="10"/>
        <v>8.3710000000000004</v>
      </c>
      <c r="T31" s="10">
        <f t="shared" si="11"/>
        <v>25.698969999999999</v>
      </c>
      <c r="U31" s="7">
        <f>'[8]Jun Prod'!D30</f>
        <v>0</v>
      </c>
      <c r="V31" s="8">
        <f t="shared" si="12"/>
        <v>0</v>
      </c>
      <c r="W31" s="10">
        <f t="shared" si="13"/>
        <v>0</v>
      </c>
      <c r="X31" s="7">
        <f>'[8]Jun Prod'!D278</f>
        <v>277999.99999999872</v>
      </c>
      <c r="Y31" s="8">
        <f t="shared" si="14"/>
        <v>0.27799999999999869</v>
      </c>
      <c r="Z31" s="10">
        <f t="shared" si="15"/>
        <v>0.85345999999999589</v>
      </c>
      <c r="AA31" s="15"/>
      <c r="AB31" s="7">
        <f t="shared" si="16"/>
        <v>43292999.999998912</v>
      </c>
      <c r="AC31" s="8">
        <f t="shared" si="16"/>
        <v>43.292999999998919</v>
      </c>
      <c r="AD31" s="8">
        <f t="shared" si="16"/>
        <v>132.90950999999666</v>
      </c>
      <c r="AF31" s="8">
        <f t="shared" si="18"/>
        <v>-1.1102230246251565E-15</v>
      </c>
    </row>
    <row r="32" spans="1:32" x14ac:dyDescent="0.2">
      <c r="A32" s="28">
        <v>38531</v>
      </c>
      <c r="B32" s="7">
        <f>'[8]Jun Prod'!I31</f>
        <v>33800000.000001088</v>
      </c>
      <c r="C32" s="8">
        <f t="shared" si="1"/>
        <v>33.800000000001084</v>
      </c>
      <c r="D32" s="10">
        <f t="shared" si="2"/>
        <v>103.76600000000332</v>
      </c>
      <c r="E32" s="7">
        <f>'[8]Jun Prod'!E31</f>
        <v>22000000</v>
      </c>
      <c r="F32" s="8">
        <f t="shared" si="3"/>
        <v>22</v>
      </c>
      <c r="G32" s="10">
        <f t="shared" si="4"/>
        <v>67.539999999999992</v>
      </c>
      <c r="H32" s="7">
        <f>'[8]Jun Prod'!F31</f>
        <v>13080000</v>
      </c>
      <c r="I32" s="8">
        <f>H32/1000000</f>
        <v>13.08</v>
      </c>
      <c r="J32" s="10">
        <f t="shared" si="6"/>
        <v>40.1556</v>
      </c>
      <c r="K32" s="7">
        <f>'[8]Jun Prod'!H279</f>
        <v>2786361</v>
      </c>
      <c r="L32" s="8">
        <f t="shared" si="17"/>
        <v>2.7863609999999999</v>
      </c>
      <c r="M32" s="10">
        <f t="shared" si="7"/>
        <v>8.5541282699999996</v>
      </c>
      <c r="N32" s="21"/>
      <c r="O32" s="7">
        <f>'[8]Jun Prod'!H31</f>
        <v>6416999.9999999991</v>
      </c>
      <c r="P32" s="8">
        <f t="shared" si="8"/>
        <v>6.4169999999999989</v>
      </c>
      <c r="Q32" s="10">
        <f t="shared" si="9"/>
        <v>19.700189999999996</v>
      </c>
      <c r="R32" s="7">
        <f>'[8]Jun Prod'!C31</f>
        <v>6813000</v>
      </c>
      <c r="S32" s="8">
        <f t="shared" si="10"/>
        <v>6.8129999999999997</v>
      </c>
      <c r="T32" s="10">
        <f t="shared" si="11"/>
        <v>20.915909999999997</v>
      </c>
      <c r="U32" s="7">
        <f>'[8]Jun Prod'!D31</f>
        <v>0</v>
      </c>
      <c r="V32" s="8">
        <f t="shared" si="12"/>
        <v>0</v>
      </c>
      <c r="W32" s="10">
        <f t="shared" si="13"/>
        <v>0</v>
      </c>
      <c r="X32" s="7">
        <f>'[8]Jun Prod'!D279</f>
        <v>396000.00000000081</v>
      </c>
      <c r="Y32" s="8">
        <f t="shared" si="14"/>
        <v>0.3960000000000008</v>
      </c>
      <c r="Z32" s="10">
        <f t="shared" si="15"/>
        <v>1.2157200000000024</v>
      </c>
      <c r="AA32" s="15"/>
      <c r="AB32" s="7">
        <f t="shared" si="16"/>
        <v>40217000.000001088</v>
      </c>
      <c r="AC32" s="8">
        <f>C32+P32</f>
        <v>40.217000000001086</v>
      </c>
      <c r="AD32" s="8">
        <f>D32+Q32</f>
        <v>123.46619000000331</v>
      </c>
      <c r="AF32" s="8">
        <f t="shared" si="18"/>
        <v>0</v>
      </c>
    </row>
    <row r="33" spans="1:32" x14ac:dyDescent="0.2">
      <c r="A33" s="28">
        <v>38532</v>
      </c>
      <c r="B33" s="7">
        <f>'[8]Jun Prod'!I32</f>
        <v>33500000</v>
      </c>
      <c r="C33" s="8">
        <f t="shared" si="1"/>
        <v>33.5</v>
      </c>
      <c r="D33" s="10">
        <f t="shared" si="2"/>
        <v>102.845</v>
      </c>
      <c r="E33" s="7">
        <f>'[8]Jun Prod'!E32</f>
        <v>21000000</v>
      </c>
      <c r="F33" s="8">
        <f t="shared" si="3"/>
        <v>21</v>
      </c>
      <c r="G33" s="10">
        <f t="shared" si="4"/>
        <v>64.47</v>
      </c>
      <c r="H33" s="7">
        <f>'[8]Jun Prod'!F32</f>
        <v>14860000</v>
      </c>
      <c r="I33" s="8">
        <f t="shared" ref="I33:I34" si="19">H33/1000000</f>
        <v>14.86</v>
      </c>
      <c r="J33" s="10">
        <f t="shared" si="6"/>
        <v>45.620199999999997</v>
      </c>
      <c r="K33" s="7">
        <f>'[8]Jun Prod'!H280</f>
        <v>2736955</v>
      </c>
      <c r="L33" s="8">
        <f t="shared" si="17"/>
        <v>2.736955</v>
      </c>
      <c r="M33" s="10">
        <f t="shared" si="7"/>
        <v>8.4024518500000003</v>
      </c>
      <c r="N33" s="21"/>
      <c r="O33" s="7">
        <f>'[8]Jun Prod'!H32</f>
        <v>6606000</v>
      </c>
      <c r="P33" s="8">
        <f t="shared" si="8"/>
        <v>6.6059999999999999</v>
      </c>
      <c r="Q33" s="10">
        <f t="shared" si="9"/>
        <v>20.280419999999999</v>
      </c>
      <c r="R33" s="7">
        <f>'[8]Jun Prod'!C32</f>
        <v>6740000</v>
      </c>
      <c r="S33" s="8">
        <f t="shared" si="10"/>
        <v>6.74</v>
      </c>
      <c r="T33" s="10">
        <f t="shared" si="11"/>
        <v>20.691800000000001</v>
      </c>
      <c r="U33" s="7">
        <f>'[8]Jun Prod'!D32</f>
        <v>0</v>
      </c>
      <c r="V33" s="8">
        <f t="shared" si="12"/>
        <v>0</v>
      </c>
      <c r="W33" s="10">
        <f t="shared" si="13"/>
        <v>0</v>
      </c>
      <c r="X33" s="7">
        <f>'[8]Jun Prod'!D280</f>
        <v>134000.00000000035</v>
      </c>
      <c r="Y33" s="8">
        <f t="shared" si="14"/>
        <v>0.13400000000000034</v>
      </c>
      <c r="Z33" s="10">
        <f t="shared" si="15"/>
        <v>0.41138000000000102</v>
      </c>
      <c r="AA33" s="15"/>
      <c r="AB33" s="7">
        <f t="shared" si="16"/>
        <v>40106000</v>
      </c>
      <c r="AC33" s="8">
        <f t="shared" si="16"/>
        <v>40.106000000000002</v>
      </c>
      <c r="AD33" s="8">
        <f t="shared" si="16"/>
        <v>123.12541999999999</v>
      </c>
      <c r="AF33" s="8">
        <f t="shared" si="18"/>
        <v>0</v>
      </c>
    </row>
    <row r="34" spans="1:32" ht="13.5" thickBot="1" x14ac:dyDescent="0.25">
      <c r="A34" s="28">
        <v>38533</v>
      </c>
      <c r="B34" s="7">
        <f>'[8]Jun Prod'!I33</f>
        <v>35799999.99999927</v>
      </c>
      <c r="C34" s="8">
        <f t="shared" si="1"/>
        <v>35.799999999999272</v>
      </c>
      <c r="D34" s="10">
        <f t="shared" si="2"/>
        <v>109.90599999999776</v>
      </c>
      <c r="E34" s="7">
        <f>'[8]Jun Prod'!E33</f>
        <v>21000000</v>
      </c>
      <c r="F34" s="8">
        <f t="shared" si="3"/>
        <v>21</v>
      </c>
      <c r="G34" s="10">
        <f t="shared" si="4"/>
        <v>64.47</v>
      </c>
      <c r="H34" s="7">
        <f>'[8]Jun Prod'!F33</f>
        <v>15700000</v>
      </c>
      <c r="I34" s="8">
        <f t="shared" si="19"/>
        <v>15.7</v>
      </c>
      <c r="J34" s="10">
        <f t="shared" si="6"/>
        <v>48.198999999999998</v>
      </c>
      <c r="K34" s="7">
        <f>'[8]Jun Prod'!H281</f>
        <v>2797801</v>
      </c>
      <c r="L34" s="8">
        <f t="shared" si="17"/>
        <v>2.7978010000000002</v>
      </c>
      <c r="M34" s="10">
        <f t="shared" si="7"/>
        <v>8.589249070000001</v>
      </c>
      <c r="N34" s="21"/>
      <c r="O34" s="7">
        <f>'[8]Jun Prod'!H33</f>
        <v>6657000.0000000019</v>
      </c>
      <c r="P34" s="8">
        <f t="shared" si="8"/>
        <v>6.6570000000000018</v>
      </c>
      <c r="Q34" s="10">
        <f t="shared" si="9"/>
        <v>20.436990000000005</v>
      </c>
      <c r="R34" s="7">
        <f>'[8]Jun Prod'!C33</f>
        <v>6746000</v>
      </c>
      <c r="S34" s="8">
        <f t="shared" si="10"/>
        <v>6.7460000000000004</v>
      </c>
      <c r="T34" s="10">
        <f t="shared" si="11"/>
        <v>20.71022</v>
      </c>
      <c r="U34" s="7">
        <f>'[8]Jun Prod'!D33</f>
        <v>0</v>
      </c>
      <c r="V34" s="8">
        <f t="shared" si="12"/>
        <v>0</v>
      </c>
      <c r="W34" s="10">
        <f t="shared" si="13"/>
        <v>0</v>
      </c>
      <c r="X34" s="7">
        <f>'[8]Jun Prod'!D281</f>
        <v>88999.999999998632</v>
      </c>
      <c r="Y34" s="8">
        <f t="shared" si="14"/>
        <v>8.8999999999998636E-2</v>
      </c>
      <c r="Z34" s="10">
        <f t="shared" si="15"/>
        <v>0.27322999999999581</v>
      </c>
      <c r="AA34" s="15"/>
      <c r="AB34" s="7">
        <f t="shared" si="16"/>
        <v>42456999.99999927</v>
      </c>
      <c r="AC34" s="8">
        <f t="shared" si="16"/>
        <v>42.456999999999276</v>
      </c>
      <c r="AD34" s="8">
        <f t="shared" si="16"/>
        <v>130.34298999999777</v>
      </c>
      <c r="AF34" s="8">
        <f t="shared" si="18"/>
        <v>-1.27675647831893E-15</v>
      </c>
    </row>
    <row r="35" spans="1:32" ht="13.5" thickBot="1" x14ac:dyDescent="0.25">
      <c r="A35" s="3"/>
      <c r="B35" s="39"/>
      <c r="C35" s="40">
        <f>SUM(C5:C34)</f>
        <v>925</v>
      </c>
      <c r="D35" s="40">
        <f t="shared" si="2"/>
        <v>2839.75</v>
      </c>
      <c r="E35" s="39"/>
      <c r="F35" s="40">
        <f>SUM(F5:F34)</f>
        <v>731</v>
      </c>
      <c r="G35" s="40">
        <f t="shared" si="4"/>
        <v>2244.17</v>
      </c>
      <c r="H35" s="39"/>
      <c r="I35" s="40">
        <f>SUM(I5:I34)</f>
        <v>242.83929999999998</v>
      </c>
      <c r="J35" s="40">
        <f t="shared" si="6"/>
        <v>745.51665099999991</v>
      </c>
      <c r="K35" s="39"/>
      <c r="L35" s="40">
        <f>SUM(L5:L34)</f>
        <v>60.393160999999992</v>
      </c>
      <c r="M35" s="40">
        <f t="shared" si="7"/>
        <v>185.40700426999996</v>
      </c>
      <c r="N35" s="14"/>
      <c r="O35" s="39"/>
      <c r="P35" s="40">
        <f>SUM(P5:P34)</f>
        <v>220.09399999999999</v>
      </c>
      <c r="Q35" s="40">
        <f t="shared" si="9"/>
        <v>675.68858</v>
      </c>
      <c r="R35" s="39"/>
      <c r="S35" s="40">
        <f>SUM(S5:S34)</f>
        <v>228.91800000000006</v>
      </c>
      <c r="T35" s="40">
        <f t="shared" si="11"/>
        <v>702.77826000000016</v>
      </c>
      <c r="U35" s="39"/>
      <c r="V35" s="40">
        <f>SUM(V5:V34)</f>
        <v>0</v>
      </c>
      <c r="W35" s="40">
        <f t="shared" si="13"/>
        <v>0</v>
      </c>
      <c r="X35" s="39"/>
      <c r="Y35" s="40">
        <f>SUM(Y5:Y34)</f>
        <v>8.8239999999999981</v>
      </c>
      <c r="Z35" s="40">
        <f t="shared" si="15"/>
        <v>27.089679999999994</v>
      </c>
      <c r="AA35" s="14"/>
      <c r="AB35" s="39"/>
      <c r="AC35" s="40">
        <f>SUM(AC5:AC34)</f>
        <v>1145.0939999999998</v>
      </c>
      <c r="AD35" s="40">
        <f>AC35*3.07</f>
        <v>3515.4385799999991</v>
      </c>
      <c r="AF35" s="40">
        <f>SUM(AF5:AF34)</f>
        <v>-1.7652546091539989E-14</v>
      </c>
    </row>
    <row r="36" spans="1:32" x14ac:dyDescent="0.2">
      <c r="C36" s="18"/>
      <c r="E36" s="3"/>
      <c r="F36" s="3"/>
      <c r="G36" s="3"/>
      <c r="H36" s="3"/>
      <c r="I36" s="3"/>
      <c r="J36" s="3"/>
      <c r="K36" s="14"/>
      <c r="L36" s="3"/>
      <c r="M36" s="3"/>
      <c r="N36" s="3"/>
      <c r="O36" s="3"/>
      <c r="P36" s="3"/>
      <c r="Q36" s="3"/>
      <c r="R36" s="3"/>
      <c r="S36" s="3"/>
      <c r="T36" s="3"/>
      <c r="U36" s="14"/>
      <c r="AB36" s="14"/>
      <c r="AF36" s="31"/>
    </row>
    <row r="43" spans="1:32" x14ac:dyDescent="0.2">
      <c r="T43" s="18"/>
    </row>
  </sheetData>
  <mergeCells count="9">
    <mergeCell ref="AB3:AD3"/>
    <mergeCell ref="R3:T3"/>
    <mergeCell ref="U3:W3"/>
    <mergeCell ref="X3:Z3"/>
    <mergeCell ref="B3:D3"/>
    <mergeCell ref="E3:G3"/>
    <mergeCell ref="H3:J3"/>
    <mergeCell ref="O3:Q3"/>
    <mergeCell ref="K3:M3"/>
  </mergeCells>
  <phoneticPr fontId="1" type="noConversion"/>
  <pageMargins left="0.75" right="0.75" top="1" bottom="1" header="0.5" footer="0.5"/>
  <pageSetup scale="37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AJ37"/>
  <sheetViews>
    <sheetView workbookViewId="0">
      <pane xSplit="1" ySplit="4" topLeftCell="B23" activePane="bottomRight" state="frozen"/>
      <selection activeCell="J30" sqref="J30:J32"/>
      <selection pane="topRight" activeCell="J30" sqref="J30:J32"/>
      <selection pane="bottomLeft" activeCell="J30" sqref="J30:J32"/>
      <selection pane="bottomRight" activeCell="S5" sqref="S5:S35"/>
    </sheetView>
  </sheetViews>
  <sheetFormatPr defaultRowHeight="12.75" x14ac:dyDescent="0.2"/>
  <cols>
    <col min="2" max="2" width="11.140625" customWidth="1"/>
    <col min="5" max="5" width="11.28515625" customWidth="1"/>
    <col min="8" max="8" width="13.5703125" customWidth="1"/>
    <col min="9" max="9" width="9.7109375" customWidth="1"/>
    <col min="10" max="10" width="11.5703125" customWidth="1"/>
    <col min="11" max="11" width="13.42578125" bestFit="1" customWidth="1"/>
    <col min="12" max="12" width="11.42578125" customWidth="1"/>
    <col min="15" max="15" width="11.140625" customWidth="1"/>
    <col min="18" max="18" width="11.140625" customWidth="1"/>
    <col min="22" max="22" width="10.5703125" customWidth="1"/>
    <col min="28" max="31" width="0" hidden="1" customWidth="1"/>
    <col min="32" max="32" width="12.140625" customWidth="1"/>
  </cols>
  <sheetData>
    <row r="1" spans="1:36" x14ac:dyDescent="0.2">
      <c r="A1" s="25"/>
      <c r="B1" s="41"/>
      <c r="C1" s="26"/>
      <c r="D1" s="26"/>
      <c r="E1" s="26"/>
      <c r="F1" s="26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6" ht="13.5" thickBot="1" x14ac:dyDescent="0.25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6" ht="60.75" customHeight="1" thickBot="1" x14ac:dyDescent="0.25">
      <c r="A3" s="3"/>
      <c r="B3" s="51" t="s">
        <v>10</v>
      </c>
      <c r="C3" s="52"/>
      <c r="D3" s="53"/>
      <c r="E3" s="51" t="s">
        <v>11</v>
      </c>
      <c r="F3" s="52"/>
      <c r="G3" s="53"/>
      <c r="H3" s="51" t="s">
        <v>12</v>
      </c>
      <c r="I3" s="52"/>
      <c r="J3" s="53"/>
      <c r="K3" s="51" t="s">
        <v>13</v>
      </c>
      <c r="L3" s="52"/>
      <c r="M3" s="53"/>
      <c r="N3" s="19"/>
      <c r="O3" s="51" t="s">
        <v>4</v>
      </c>
      <c r="P3" s="52"/>
      <c r="Q3" s="53"/>
      <c r="R3" s="51" t="s">
        <v>3</v>
      </c>
      <c r="S3" s="52"/>
      <c r="T3" s="53"/>
      <c r="U3" s="51" t="s">
        <v>6</v>
      </c>
      <c r="V3" s="52"/>
      <c r="W3" s="53"/>
      <c r="X3" s="51" t="s">
        <v>7</v>
      </c>
      <c r="Y3" s="52"/>
      <c r="Z3" s="53"/>
      <c r="AA3" s="19"/>
      <c r="AB3" s="48" t="s">
        <v>5</v>
      </c>
      <c r="AC3" s="49"/>
      <c r="AD3" s="50"/>
      <c r="AF3" s="51" t="s">
        <v>8</v>
      </c>
      <c r="AG3" s="52"/>
      <c r="AH3" s="53"/>
      <c r="AJ3" s="35" t="s">
        <v>9</v>
      </c>
    </row>
    <row r="4" spans="1:36" x14ac:dyDescent="0.2">
      <c r="A4" s="27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4" t="s">
        <v>0</v>
      </c>
      <c r="AC4" s="5" t="s">
        <v>1</v>
      </c>
      <c r="AD4" s="6" t="s">
        <v>2</v>
      </c>
      <c r="AF4" s="36" t="s">
        <v>0</v>
      </c>
      <c r="AG4" s="37" t="s">
        <v>1</v>
      </c>
      <c r="AH4" s="38" t="s">
        <v>2</v>
      </c>
      <c r="AJ4" s="5" t="s">
        <v>2</v>
      </c>
    </row>
    <row r="5" spans="1:36" x14ac:dyDescent="0.2">
      <c r="A5" s="28">
        <v>38534</v>
      </c>
      <c r="B5" s="7">
        <f>'[9]Jul Prod'!I4</f>
        <v>37100000.000000365</v>
      </c>
      <c r="C5" s="8">
        <f>B5/1000000</f>
        <v>37.100000000000364</v>
      </c>
      <c r="D5" s="10">
        <f>C5*3.07</f>
        <v>113.89700000000111</v>
      </c>
      <c r="E5" s="7">
        <f>'[9]Jul Prod'!E4</f>
        <v>23000000</v>
      </c>
      <c r="F5" s="8">
        <f>E5/1000000</f>
        <v>23</v>
      </c>
      <c r="G5" s="10">
        <f>F5*3.07</f>
        <v>70.61</v>
      </c>
      <c r="H5" s="7">
        <f>'[9]Jul Prod'!F4</f>
        <v>15760000</v>
      </c>
      <c r="I5" s="8">
        <f>H5/1000000</f>
        <v>15.76</v>
      </c>
      <c r="J5" s="10">
        <f>I5*3.07</f>
        <v>48.383199999999995</v>
      </c>
      <c r="K5" s="7">
        <f>'[9]Jul Prod'!H259</f>
        <v>2928359</v>
      </c>
      <c r="L5" s="8">
        <f>K5/1000000</f>
        <v>2.9283589999999999</v>
      </c>
      <c r="M5" s="10">
        <f>L5*3.07</f>
        <v>8.9900621300000001</v>
      </c>
      <c r="N5" s="21"/>
      <c r="O5" s="7">
        <f>'[9]Jul Prod'!H4</f>
        <v>6094999.9999999981</v>
      </c>
      <c r="P5" s="8">
        <f>O5/1000000</f>
        <v>6.094999999999998</v>
      </c>
      <c r="Q5" s="10">
        <f>P5*3.07</f>
        <v>18.711649999999992</v>
      </c>
      <c r="R5" s="7">
        <f>'[9]Jul Prod'!C4</f>
        <v>6146000</v>
      </c>
      <c r="S5" s="8">
        <f>R5/1000000</f>
        <v>6.1459999999999999</v>
      </c>
      <c r="T5" s="10">
        <f>S5*3.07</f>
        <v>18.868219999999997</v>
      </c>
      <c r="U5" s="7">
        <f>'[9]Jul Prod'!D4</f>
        <v>0</v>
      </c>
      <c r="V5" s="8">
        <f>U5/1000000</f>
        <v>0</v>
      </c>
      <c r="W5" s="10">
        <f>V5*3.07</f>
        <v>0</v>
      </c>
      <c r="X5" s="7">
        <f>'[9]Jul Prod'!D259</f>
        <v>51000.000000001935</v>
      </c>
      <c r="Y5" s="8">
        <f>X5/1000000</f>
        <v>5.1000000000001933E-2</v>
      </c>
      <c r="Z5" s="10">
        <f>Y5*3.07</f>
        <v>0.15657000000000593</v>
      </c>
      <c r="AA5" s="15"/>
      <c r="AB5" s="7">
        <f>'[9]Jul Prod'!G4</f>
        <v>0</v>
      </c>
      <c r="AC5" s="8">
        <f>AB5/1000000</f>
        <v>0</v>
      </c>
      <c r="AD5" s="10">
        <f>AC5*3.07</f>
        <v>0</v>
      </c>
      <c r="AF5" s="7">
        <f>B5+O5</f>
        <v>43195000.000000365</v>
      </c>
      <c r="AG5" s="8">
        <f>C5+P5</f>
        <v>43.195000000000363</v>
      </c>
      <c r="AH5" s="8">
        <f>D5+Q5</f>
        <v>132.60865000000109</v>
      </c>
      <c r="AJ5" s="8">
        <f t="shared" ref="AJ5:AJ14" si="0">T5-Q5-Z5</f>
        <v>-2.7755575615628914E-16</v>
      </c>
    </row>
    <row r="6" spans="1:36" x14ac:dyDescent="0.2">
      <c r="A6" s="28">
        <v>38535</v>
      </c>
      <c r="B6" s="7">
        <f>'[9]Jul Prod'!I5</f>
        <v>36500000</v>
      </c>
      <c r="C6" s="8">
        <f t="shared" ref="C6:C35" si="1">B6/1000000</f>
        <v>36.5</v>
      </c>
      <c r="D6" s="10">
        <f t="shared" ref="D6:D36" si="2">C6*3.07</f>
        <v>112.05499999999999</v>
      </c>
      <c r="E6" s="7">
        <f>'[9]Jul Prod'!E5</f>
        <v>23000000</v>
      </c>
      <c r="F6" s="8">
        <f t="shared" ref="F6:F35" si="3">E6/1000000</f>
        <v>23</v>
      </c>
      <c r="G6" s="10">
        <f t="shared" ref="G6:G36" si="4">F6*3.07</f>
        <v>70.61</v>
      </c>
      <c r="H6" s="7">
        <f>'[9]Jul Prod'!F5</f>
        <v>15110000</v>
      </c>
      <c r="I6" s="8">
        <f t="shared" ref="I6:I35" si="5">H6/1000000</f>
        <v>15.11</v>
      </c>
      <c r="J6" s="10">
        <f t="shared" ref="J6:J36" si="6">I6*3.07</f>
        <v>46.387699999999995</v>
      </c>
      <c r="K6" s="7">
        <f>'[9]Jul Prod'!H260</f>
        <v>2947462</v>
      </c>
      <c r="L6" s="8">
        <f t="shared" ref="L6:L35" si="7">K6/1000000</f>
        <v>2.9474619999999998</v>
      </c>
      <c r="M6" s="10">
        <f t="shared" ref="M6:M36" si="8">L6*3.07</f>
        <v>9.0487083399999992</v>
      </c>
      <c r="N6" s="21"/>
      <c r="O6" s="7">
        <f>'[9]Jul Prod'!H5</f>
        <v>5514999.9999999981</v>
      </c>
      <c r="P6" s="8">
        <f t="shared" ref="P6:P35" si="9">O6/1000000</f>
        <v>5.5149999999999979</v>
      </c>
      <c r="Q6" s="10">
        <f t="shared" ref="Q6:Q36" si="10">P6*3.07</f>
        <v>16.931049999999992</v>
      </c>
      <c r="R6" s="7">
        <f>'[9]Jul Prod'!C5</f>
        <v>5569000</v>
      </c>
      <c r="S6" s="8">
        <f t="shared" ref="S6:S35" si="11">R6/1000000</f>
        <v>5.569</v>
      </c>
      <c r="T6" s="10">
        <f t="shared" ref="T6:T36" si="12">S6*3.07</f>
        <v>17.096830000000001</v>
      </c>
      <c r="U6" s="7">
        <f>'[9]Jul Prod'!D5</f>
        <v>0</v>
      </c>
      <c r="V6" s="8">
        <f t="shared" ref="V6:V35" si="13">U6/1000000</f>
        <v>0</v>
      </c>
      <c r="W6" s="10">
        <f t="shared" ref="W6:W36" si="14">V6*3.07</f>
        <v>0</v>
      </c>
      <c r="X6" s="7">
        <f>'[9]Jul Prod'!D260</f>
        <v>54000.000000002045</v>
      </c>
      <c r="Y6" s="8">
        <f t="shared" ref="Y6:Y35" si="15">X6/1000000</f>
        <v>5.4000000000002046E-2</v>
      </c>
      <c r="Z6" s="10">
        <f t="shared" ref="Z6:Z36" si="16">Y6*3.07</f>
        <v>0.16578000000000628</v>
      </c>
      <c r="AA6" s="15"/>
      <c r="AB6" s="7">
        <f>'[9]Jul Prod'!G5</f>
        <v>0</v>
      </c>
      <c r="AC6" s="8">
        <f t="shared" ref="AC6:AC35" si="17">AB6/1000000</f>
        <v>0</v>
      </c>
      <c r="AD6" s="10">
        <f t="shared" ref="AD6:AD36" si="18">AC6*3.07</f>
        <v>0</v>
      </c>
      <c r="AF6" s="7">
        <f t="shared" ref="AF6:AF35" si="19">B6+O6</f>
        <v>42015000</v>
      </c>
      <c r="AG6" s="8">
        <f t="shared" ref="AG6:AG35" si="20">C6+P6</f>
        <v>42.015000000000001</v>
      </c>
      <c r="AH6" s="8">
        <f t="shared" ref="AH6:AH35" si="21">D6+Q6</f>
        <v>128.98604999999998</v>
      </c>
      <c r="AJ6" s="8">
        <f t="shared" si="0"/>
        <v>2.4147350785597155E-15</v>
      </c>
    </row>
    <row r="7" spans="1:36" x14ac:dyDescent="0.2">
      <c r="A7" s="28">
        <v>38536</v>
      </c>
      <c r="B7" s="7">
        <f>'[9]Jul Prod'!I6</f>
        <v>36399999.999999635</v>
      </c>
      <c r="C7" s="8">
        <f t="shared" si="1"/>
        <v>36.399999999999636</v>
      </c>
      <c r="D7" s="10">
        <f t="shared" si="2"/>
        <v>111.74799999999888</v>
      </c>
      <c r="E7" s="7">
        <f>'[9]Jul Prod'!E6</f>
        <v>21000000</v>
      </c>
      <c r="F7" s="8">
        <f t="shared" si="3"/>
        <v>21</v>
      </c>
      <c r="G7" s="10">
        <f t="shared" si="4"/>
        <v>64.47</v>
      </c>
      <c r="H7" s="7">
        <f>'[9]Jul Prod'!F6</f>
        <v>16070000</v>
      </c>
      <c r="I7" s="8">
        <f t="shared" si="5"/>
        <v>16.07</v>
      </c>
      <c r="J7" s="10">
        <f t="shared" si="6"/>
        <v>49.334899999999998</v>
      </c>
      <c r="K7" s="7">
        <f>'[9]Jul Prod'!H261</f>
        <v>2907545</v>
      </c>
      <c r="L7" s="8">
        <f t="shared" si="7"/>
        <v>2.9075449999999998</v>
      </c>
      <c r="M7" s="10">
        <f t="shared" si="8"/>
        <v>8.9261631499999989</v>
      </c>
      <c r="N7" s="21"/>
      <c r="O7" s="7">
        <f>'[9]Jul Prod'!H6</f>
        <v>6077000.0000000065</v>
      </c>
      <c r="P7" s="8">
        <f t="shared" si="9"/>
        <v>6.0770000000000062</v>
      </c>
      <c r="Q7" s="10">
        <f t="shared" si="10"/>
        <v>18.65639000000002</v>
      </c>
      <c r="R7" s="7">
        <f>'[9]Jul Prod'!C6</f>
        <v>6156000</v>
      </c>
      <c r="S7" s="8">
        <f t="shared" si="11"/>
        <v>6.1559999999999997</v>
      </c>
      <c r="T7" s="10">
        <f t="shared" si="12"/>
        <v>18.898919999999997</v>
      </c>
      <c r="U7" s="7">
        <f>'[9]Jul Prod'!D6</f>
        <v>0</v>
      </c>
      <c r="V7" s="8">
        <f t="shared" si="13"/>
        <v>0</v>
      </c>
      <c r="W7" s="10">
        <f t="shared" si="14"/>
        <v>0</v>
      </c>
      <c r="X7" s="7">
        <f>'[9]Jul Prod'!D261</f>
        <v>78999.999999993524</v>
      </c>
      <c r="Y7" s="8">
        <f t="shared" si="15"/>
        <v>7.899999999999352E-2</v>
      </c>
      <c r="Z7" s="10">
        <f t="shared" si="16"/>
        <v>0.24252999999998009</v>
      </c>
      <c r="AA7" s="15"/>
      <c r="AB7" s="7">
        <f>'[9]Jul Prod'!G6</f>
        <v>0</v>
      </c>
      <c r="AC7" s="8">
        <f t="shared" si="17"/>
        <v>0</v>
      </c>
      <c r="AD7" s="10">
        <f t="shared" si="18"/>
        <v>0</v>
      </c>
      <c r="AF7" s="7">
        <f t="shared" si="19"/>
        <v>42476999.999999642</v>
      </c>
      <c r="AG7" s="8">
        <f t="shared" si="20"/>
        <v>42.476999999999641</v>
      </c>
      <c r="AH7" s="8">
        <f t="shared" si="21"/>
        <v>130.4043899999989</v>
      </c>
      <c r="AJ7" s="8">
        <f t="shared" si="0"/>
        <v>-2.8310687127941492E-15</v>
      </c>
    </row>
    <row r="8" spans="1:36" x14ac:dyDescent="0.2">
      <c r="A8" s="28">
        <v>38537</v>
      </c>
      <c r="B8" s="7">
        <f>'[9]Jul Prod'!I7</f>
        <v>37700000.00000073</v>
      </c>
      <c r="C8" s="8">
        <f t="shared" si="1"/>
        <v>37.700000000000728</v>
      </c>
      <c r="D8" s="10">
        <f t="shared" si="2"/>
        <v>115.73900000000222</v>
      </c>
      <c r="E8" s="7">
        <f>'[9]Jul Prod'!E7</f>
        <v>21000000</v>
      </c>
      <c r="F8" s="8">
        <f t="shared" si="3"/>
        <v>21</v>
      </c>
      <c r="G8" s="10">
        <f t="shared" si="4"/>
        <v>64.47</v>
      </c>
      <c r="H8" s="7">
        <f>'[9]Jul Prod'!F7</f>
        <v>19080000</v>
      </c>
      <c r="I8" s="8">
        <f t="shared" si="5"/>
        <v>19.079999999999998</v>
      </c>
      <c r="J8" s="10">
        <f t="shared" si="6"/>
        <v>58.575599999999994</v>
      </c>
      <c r="K8" s="7">
        <f>'[9]Jul Prod'!H262</f>
        <v>3112530</v>
      </c>
      <c r="L8" s="8">
        <f t="shared" si="7"/>
        <v>3.11253</v>
      </c>
      <c r="M8" s="10">
        <f t="shared" si="8"/>
        <v>9.5554670999999995</v>
      </c>
      <c r="N8" s="21"/>
      <c r="O8" s="7">
        <f>'[9]Jul Prod'!H7</f>
        <v>6141000.0000000019</v>
      </c>
      <c r="P8" s="8">
        <f t="shared" si="9"/>
        <v>6.1410000000000018</v>
      </c>
      <c r="Q8" s="10">
        <f t="shared" si="10"/>
        <v>18.852870000000003</v>
      </c>
      <c r="R8" s="7">
        <f>'[9]Jul Prod'!C7</f>
        <v>6221000</v>
      </c>
      <c r="S8" s="8">
        <f t="shared" si="11"/>
        <v>6.2210000000000001</v>
      </c>
      <c r="T8" s="10">
        <f t="shared" si="12"/>
        <v>19.098469999999999</v>
      </c>
      <c r="U8" s="7">
        <f>'[9]Jul Prod'!D7</f>
        <v>0</v>
      </c>
      <c r="V8" s="8">
        <f t="shared" si="13"/>
        <v>0</v>
      </c>
      <c r="W8" s="10">
        <f t="shared" si="14"/>
        <v>0</v>
      </c>
      <c r="X8" s="7">
        <f>'[9]Jul Prod'!D262</f>
        <v>79999.999999998297</v>
      </c>
      <c r="Y8" s="8">
        <f t="shared" si="15"/>
        <v>7.9999999999998295E-2</v>
      </c>
      <c r="Z8" s="10">
        <f t="shared" si="16"/>
        <v>0.24559999999999474</v>
      </c>
      <c r="AA8" s="15"/>
      <c r="AB8" s="7">
        <f>'[9]Jul Prod'!G7</f>
        <v>0</v>
      </c>
      <c r="AC8" s="8">
        <f t="shared" si="17"/>
        <v>0</v>
      </c>
      <c r="AD8" s="10">
        <f t="shared" si="18"/>
        <v>0</v>
      </c>
      <c r="AF8" s="7">
        <f t="shared" si="19"/>
        <v>43841000.00000073</v>
      </c>
      <c r="AG8" s="8">
        <f t="shared" si="20"/>
        <v>43.841000000000733</v>
      </c>
      <c r="AH8" s="8">
        <f t="shared" si="21"/>
        <v>134.59187000000222</v>
      </c>
      <c r="AJ8" s="8">
        <f t="shared" si="0"/>
        <v>1.3045120539345589E-15</v>
      </c>
    </row>
    <row r="9" spans="1:36" x14ac:dyDescent="0.2">
      <c r="A9" s="28">
        <v>38538</v>
      </c>
      <c r="B9" s="7">
        <f>'[9]Jul Prod'!I8</f>
        <v>32000000</v>
      </c>
      <c r="C9" s="8">
        <f t="shared" si="1"/>
        <v>32</v>
      </c>
      <c r="D9" s="10">
        <f t="shared" si="2"/>
        <v>98.24</v>
      </c>
      <c r="E9" s="7">
        <f>'[9]Jul Prod'!E8</f>
        <v>15000000</v>
      </c>
      <c r="F9" s="8">
        <f t="shared" si="3"/>
        <v>15</v>
      </c>
      <c r="G9" s="10">
        <f t="shared" si="4"/>
        <v>46.05</v>
      </c>
      <c r="H9" s="7">
        <f>'[9]Jul Prod'!F8</f>
        <v>17730000</v>
      </c>
      <c r="I9" s="8">
        <f t="shared" si="5"/>
        <v>17.73</v>
      </c>
      <c r="J9" s="10">
        <f t="shared" si="6"/>
        <v>54.431100000000001</v>
      </c>
      <c r="K9" s="7">
        <f>'[9]Jul Prod'!H263</f>
        <v>2651438</v>
      </c>
      <c r="L9" s="8">
        <f t="shared" si="7"/>
        <v>2.6514380000000002</v>
      </c>
      <c r="M9" s="10">
        <f t="shared" si="8"/>
        <v>8.1399146600000005</v>
      </c>
      <c r="N9" s="21"/>
      <c r="O9" s="7">
        <f>'[9]Jul Prod'!H8</f>
        <v>6149999.9999999925</v>
      </c>
      <c r="P9" s="8">
        <f t="shared" si="9"/>
        <v>6.1499999999999924</v>
      </c>
      <c r="Q9" s="10">
        <f t="shared" si="10"/>
        <v>18.880499999999977</v>
      </c>
      <c r="R9" s="7">
        <f>'[9]Jul Prod'!C8</f>
        <v>6211000</v>
      </c>
      <c r="S9" s="8">
        <f t="shared" si="11"/>
        <v>6.2110000000000003</v>
      </c>
      <c r="T9" s="10">
        <f t="shared" si="12"/>
        <v>19.067769999999999</v>
      </c>
      <c r="U9" s="7">
        <f>'[9]Jul Prod'!D8</f>
        <v>0</v>
      </c>
      <c r="V9" s="8">
        <f t="shared" si="13"/>
        <v>0</v>
      </c>
      <c r="W9" s="10">
        <f t="shared" si="14"/>
        <v>0</v>
      </c>
      <c r="X9" s="7">
        <f>'[9]Jul Prod'!D263</f>
        <v>61000.00000000705</v>
      </c>
      <c r="Y9" s="8">
        <f t="shared" si="15"/>
        <v>6.1000000000007049E-2</v>
      </c>
      <c r="Z9" s="10">
        <f t="shared" si="16"/>
        <v>0.18727000000002164</v>
      </c>
      <c r="AA9" s="15"/>
      <c r="AB9" s="7">
        <f>'[9]Jul Prod'!G8</f>
        <v>0</v>
      </c>
      <c r="AC9" s="8">
        <f t="shared" si="17"/>
        <v>0</v>
      </c>
      <c r="AD9" s="10">
        <f t="shared" si="18"/>
        <v>0</v>
      </c>
      <c r="AF9" s="7">
        <f t="shared" si="19"/>
        <v>38149999.999999993</v>
      </c>
      <c r="AG9" s="8">
        <f t="shared" si="20"/>
        <v>38.149999999999991</v>
      </c>
      <c r="AH9" s="8">
        <f t="shared" si="21"/>
        <v>117.12049999999996</v>
      </c>
      <c r="AJ9" s="8">
        <f>T9-Q9-Z9</f>
        <v>1.27675647831893E-15</v>
      </c>
    </row>
    <row r="10" spans="1:36" x14ac:dyDescent="0.2">
      <c r="A10" s="28">
        <v>38539</v>
      </c>
      <c r="B10" s="7">
        <f>'[9]Jul Prod'!I9</f>
        <v>32199999.999998908</v>
      </c>
      <c r="C10" s="8">
        <f t="shared" si="1"/>
        <v>32.199999999998909</v>
      </c>
      <c r="D10" s="10">
        <f t="shared" si="2"/>
        <v>98.853999999996645</v>
      </c>
      <c r="E10" s="7">
        <f>'[9]Jul Prod'!E9</f>
        <v>19000000</v>
      </c>
      <c r="F10" s="8">
        <f t="shared" si="3"/>
        <v>19</v>
      </c>
      <c r="G10" s="10">
        <f t="shared" si="4"/>
        <v>58.33</v>
      </c>
      <c r="H10" s="7">
        <f>'[9]Jul Prod'!F9</f>
        <v>15220000</v>
      </c>
      <c r="I10" s="8">
        <f t="shared" si="5"/>
        <v>15.22</v>
      </c>
      <c r="J10" s="10">
        <f t="shared" si="6"/>
        <v>46.7254</v>
      </c>
      <c r="K10" s="7">
        <f>'[9]Jul Prod'!H264</f>
        <v>2651438</v>
      </c>
      <c r="L10" s="8">
        <f t="shared" si="7"/>
        <v>2.6514380000000002</v>
      </c>
      <c r="M10" s="10">
        <f t="shared" si="8"/>
        <v>8.1399146600000005</v>
      </c>
      <c r="N10" s="21"/>
      <c r="O10" s="7">
        <f>'[9]Jul Prod'!H9</f>
        <v>7837000.0000000112</v>
      </c>
      <c r="P10" s="8">
        <f t="shared" si="9"/>
        <v>7.8370000000000113</v>
      </c>
      <c r="Q10" s="10">
        <f t="shared" si="10"/>
        <v>24.059590000000032</v>
      </c>
      <c r="R10" s="7">
        <f>'[9]Jul Prod'!C9</f>
        <v>7918000</v>
      </c>
      <c r="S10" s="8">
        <f t="shared" si="11"/>
        <v>7.9180000000000001</v>
      </c>
      <c r="T10" s="10">
        <f t="shared" si="12"/>
        <v>24.308260000000001</v>
      </c>
      <c r="U10" s="7">
        <f>'[9]Jul Prod'!D9</f>
        <v>0</v>
      </c>
      <c r="V10" s="8">
        <f t="shared" si="13"/>
        <v>0</v>
      </c>
      <c r="W10" s="10">
        <f t="shared" si="14"/>
        <v>0</v>
      </c>
      <c r="X10" s="7">
        <f>'[9]Jul Prod'!D264</f>
        <v>80999.999999988853</v>
      </c>
      <c r="Y10" s="8">
        <f t="shared" si="15"/>
        <v>8.0999999999988859E-2</v>
      </c>
      <c r="Z10" s="10">
        <f t="shared" si="16"/>
        <v>0.24866999999996578</v>
      </c>
      <c r="AA10" s="15"/>
      <c r="AB10" s="7">
        <f>'[9]Jul Prod'!G9</f>
        <v>0</v>
      </c>
      <c r="AC10" s="8">
        <f t="shared" si="17"/>
        <v>0</v>
      </c>
      <c r="AD10" s="10">
        <f t="shared" si="18"/>
        <v>0</v>
      </c>
      <c r="AF10" s="7">
        <f t="shared" si="19"/>
        <v>40036999.99999892</v>
      </c>
      <c r="AG10" s="8">
        <f t="shared" si="20"/>
        <v>40.036999999998919</v>
      </c>
      <c r="AH10" s="8">
        <f t="shared" si="21"/>
        <v>122.91358999999667</v>
      </c>
      <c r="AJ10" s="8">
        <f t="shared" si="0"/>
        <v>2.8588242884097781E-15</v>
      </c>
    </row>
    <row r="11" spans="1:36" x14ac:dyDescent="0.2">
      <c r="A11" s="28">
        <v>38540</v>
      </c>
      <c r="B11" s="7">
        <f>'[9]Jul Prod'!I10</f>
        <v>25700000.000000726</v>
      </c>
      <c r="C11" s="8">
        <f t="shared" si="1"/>
        <v>25.700000000000728</v>
      </c>
      <c r="D11" s="10">
        <f t="shared" si="2"/>
        <v>78.899000000002232</v>
      </c>
      <c r="E11" s="7">
        <f>'[9]Jul Prod'!E10</f>
        <v>12000000</v>
      </c>
      <c r="F11" s="8">
        <f t="shared" si="3"/>
        <v>12</v>
      </c>
      <c r="G11" s="10">
        <f t="shared" si="4"/>
        <v>36.839999999999996</v>
      </c>
      <c r="H11" s="7">
        <f>'[9]Jul Prod'!F10</f>
        <v>14860000</v>
      </c>
      <c r="I11" s="8">
        <f t="shared" si="5"/>
        <v>14.86</v>
      </c>
      <c r="J11" s="10">
        <f t="shared" si="6"/>
        <v>45.620199999999997</v>
      </c>
      <c r="K11" s="7">
        <f>'[9]Jul Prod'!H265</f>
        <v>2110018</v>
      </c>
      <c r="L11" s="8">
        <f t="shared" si="7"/>
        <v>2.1100180000000002</v>
      </c>
      <c r="M11" s="10">
        <f t="shared" si="8"/>
        <v>6.4777552600000003</v>
      </c>
      <c r="N11" s="21"/>
      <c r="O11" s="7">
        <f>'[9]Jul Prod'!H10</f>
        <v>5316999.9999999925</v>
      </c>
      <c r="P11" s="8">
        <f t="shared" si="9"/>
        <v>5.3169999999999922</v>
      </c>
      <c r="Q11" s="10">
        <f t="shared" si="10"/>
        <v>16.323189999999975</v>
      </c>
      <c r="R11" s="7">
        <f>'[9]Jul Prod'!C10</f>
        <v>5378000</v>
      </c>
      <c r="S11" s="8">
        <f t="shared" si="11"/>
        <v>5.3780000000000001</v>
      </c>
      <c r="T11" s="10">
        <f t="shared" si="12"/>
        <v>16.510459999999998</v>
      </c>
      <c r="U11" s="7">
        <f>'[9]Jul Prod'!D10</f>
        <v>0</v>
      </c>
      <c r="V11" s="8">
        <f t="shared" si="13"/>
        <v>0</v>
      </c>
      <c r="W11" s="10">
        <f t="shared" si="14"/>
        <v>0</v>
      </c>
      <c r="X11" s="7">
        <f>'[9]Jul Prod'!D265</f>
        <v>61000.00000000705</v>
      </c>
      <c r="Y11" s="8">
        <f t="shared" si="15"/>
        <v>6.1000000000007049E-2</v>
      </c>
      <c r="Z11" s="10">
        <f t="shared" si="16"/>
        <v>0.18727000000002164</v>
      </c>
      <c r="AA11" s="15"/>
      <c r="AB11" s="7">
        <f>'[9]Jul Prod'!G10</f>
        <v>0</v>
      </c>
      <c r="AC11" s="8">
        <f t="shared" si="17"/>
        <v>0</v>
      </c>
      <c r="AD11" s="10">
        <f t="shared" si="18"/>
        <v>0</v>
      </c>
      <c r="AF11" s="7">
        <f t="shared" si="19"/>
        <v>31017000.000000719</v>
      </c>
      <c r="AG11" s="8">
        <f t="shared" si="20"/>
        <v>31.017000000000721</v>
      </c>
      <c r="AH11" s="8">
        <f t="shared" si="21"/>
        <v>95.2221900000022</v>
      </c>
      <c r="AJ11" s="8">
        <f t="shared" si="0"/>
        <v>1.27675647831893E-15</v>
      </c>
    </row>
    <row r="12" spans="1:36" x14ac:dyDescent="0.2">
      <c r="A12" s="28">
        <v>38541</v>
      </c>
      <c r="B12" s="7">
        <f>'[9]Jul Prod'!I11</f>
        <v>18500000</v>
      </c>
      <c r="C12" s="8">
        <f t="shared" si="1"/>
        <v>18.5</v>
      </c>
      <c r="D12" s="10">
        <f t="shared" si="2"/>
        <v>56.794999999999995</v>
      </c>
      <c r="E12" s="7">
        <f>'[9]Jul Prod'!E11</f>
        <v>8000000</v>
      </c>
      <c r="F12" s="8">
        <f t="shared" si="3"/>
        <v>8</v>
      </c>
      <c r="G12" s="10">
        <f t="shared" si="4"/>
        <v>24.56</v>
      </c>
      <c r="H12" s="7">
        <f>'[9]Jul Prod'!F11</f>
        <v>10880000</v>
      </c>
      <c r="I12" s="8">
        <f t="shared" si="5"/>
        <v>10.88</v>
      </c>
      <c r="J12" s="10">
        <f t="shared" si="6"/>
        <v>33.401600000000002</v>
      </c>
      <c r="K12" s="7">
        <f>'[9]Jul Prod'!H266</f>
        <v>1608422</v>
      </c>
      <c r="L12" s="8">
        <f t="shared" si="7"/>
        <v>1.608422</v>
      </c>
      <c r="M12" s="10">
        <f t="shared" si="8"/>
        <v>4.9378555400000002</v>
      </c>
      <c r="N12" s="21"/>
      <c r="O12" s="7">
        <f>'[9]Jul Prod'!H11</f>
        <v>5378999.9999999963</v>
      </c>
      <c r="P12" s="8">
        <f t="shared" si="9"/>
        <v>5.378999999999996</v>
      </c>
      <c r="Q12" s="10">
        <f t="shared" si="10"/>
        <v>16.513529999999985</v>
      </c>
      <c r="R12" s="7">
        <f>'[9]Jul Prod'!C11</f>
        <v>5463000</v>
      </c>
      <c r="S12" s="8">
        <f t="shared" si="11"/>
        <v>5.4630000000000001</v>
      </c>
      <c r="T12" s="10">
        <f t="shared" si="12"/>
        <v>16.771409999999999</v>
      </c>
      <c r="U12" s="7">
        <f>'[9]Jul Prod'!D11</f>
        <v>0</v>
      </c>
      <c r="V12" s="8">
        <f t="shared" si="13"/>
        <v>0</v>
      </c>
      <c r="W12" s="10">
        <f t="shared" si="14"/>
        <v>0</v>
      </c>
      <c r="X12" s="7">
        <f>'[9]Jul Prod'!D266</f>
        <v>84000.000000003187</v>
      </c>
      <c r="Y12" s="8">
        <f t="shared" si="15"/>
        <v>8.4000000000003183E-2</v>
      </c>
      <c r="Z12" s="10">
        <f t="shared" si="16"/>
        <v>0.25788000000000977</v>
      </c>
      <c r="AA12" s="15"/>
      <c r="AB12" s="7">
        <f>'[9]Jul Prod'!G11</f>
        <v>0</v>
      </c>
      <c r="AC12" s="8">
        <f t="shared" si="17"/>
        <v>0</v>
      </c>
      <c r="AD12" s="10">
        <f t="shared" si="18"/>
        <v>0</v>
      </c>
      <c r="AF12" s="7">
        <f t="shared" si="19"/>
        <v>23878999.999999996</v>
      </c>
      <c r="AG12" s="8">
        <f t="shared" si="20"/>
        <v>23.878999999999998</v>
      </c>
      <c r="AH12" s="8">
        <f t="shared" si="21"/>
        <v>73.308529999999976</v>
      </c>
      <c r="AJ12" s="8">
        <f t="shared" si="0"/>
        <v>4.5519144009631418E-15</v>
      </c>
    </row>
    <row r="13" spans="1:36" x14ac:dyDescent="0.2">
      <c r="A13" s="28">
        <v>38542</v>
      </c>
      <c r="B13" s="7">
        <f>'[9]Jul Prod'!I12</f>
        <v>22500000</v>
      </c>
      <c r="C13" s="8">
        <f t="shared" si="1"/>
        <v>22.5</v>
      </c>
      <c r="D13" s="10">
        <f t="shared" si="2"/>
        <v>69.075000000000003</v>
      </c>
      <c r="E13" s="7">
        <f>'[9]Jul Prod'!E12</f>
        <v>9000000</v>
      </c>
      <c r="F13" s="8">
        <f t="shared" si="3"/>
        <v>9</v>
      </c>
      <c r="G13" s="10">
        <f t="shared" si="4"/>
        <v>27.63</v>
      </c>
      <c r="H13" s="7">
        <f>'[9]Jul Prod'!F12</f>
        <v>13620000</v>
      </c>
      <c r="I13" s="8">
        <f t="shared" si="5"/>
        <v>13.62</v>
      </c>
      <c r="J13" s="10">
        <f t="shared" si="6"/>
        <v>41.813399999999994</v>
      </c>
      <c r="K13" s="7">
        <f>'[9]Jul Prod'!H267</f>
        <v>1799991</v>
      </c>
      <c r="L13" s="8">
        <f t="shared" si="7"/>
        <v>1.7999909999999999</v>
      </c>
      <c r="M13" s="10">
        <f t="shared" si="8"/>
        <v>5.525972369999999</v>
      </c>
      <c r="N13" s="21"/>
      <c r="O13" s="7">
        <f>'[9]Jul Prod'!H12</f>
        <v>5215999.9999999963</v>
      </c>
      <c r="P13" s="8">
        <f t="shared" si="9"/>
        <v>5.2159999999999966</v>
      </c>
      <c r="Q13" s="10">
        <f t="shared" si="10"/>
        <v>16.01311999999999</v>
      </c>
      <c r="R13" s="7">
        <f>'[9]Jul Prod'!C12</f>
        <v>5300000</v>
      </c>
      <c r="S13" s="8">
        <f t="shared" si="11"/>
        <v>5.3</v>
      </c>
      <c r="T13" s="10">
        <f t="shared" si="12"/>
        <v>16.270999999999997</v>
      </c>
      <c r="U13" s="7">
        <f>'[9]Jul Prod'!D12</f>
        <v>0</v>
      </c>
      <c r="V13" s="8">
        <f t="shared" si="13"/>
        <v>0</v>
      </c>
      <c r="W13" s="10">
        <f t="shared" si="14"/>
        <v>0</v>
      </c>
      <c r="X13" s="7">
        <f>'[9]Jul Prod'!D267</f>
        <v>84000.000000003187</v>
      </c>
      <c r="Y13" s="8">
        <f t="shared" si="15"/>
        <v>8.4000000000003183E-2</v>
      </c>
      <c r="Z13" s="10">
        <f t="shared" si="16"/>
        <v>0.25788000000000977</v>
      </c>
      <c r="AA13" s="15"/>
      <c r="AB13" s="7">
        <f>'[9]Jul Prod'!G12</f>
        <v>0</v>
      </c>
      <c r="AC13" s="8">
        <f t="shared" si="17"/>
        <v>0</v>
      </c>
      <c r="AD13" s="10">
        <f t="shared" si="18"/>
        <v>0</v>
      </c>
      <c r="AF13" s="7">
        <f t="shared" si="19"/>
        <v>27715999.999999996</v>
      </c>
      <c r="AG13" s="8">
        <f t="shared" si="20"/>
        <v>27.715999999999998</v>
      </c>
      <c r="AH13" s="8">
        <f t="shared" si="21"/>
        <v>85.088119999999989</v>
      </c>
      <c r="AJ13" s="8">
        <f t="shared" si="0"/>
        <v>-2.55351295663786E-15</v>
      </c>
    </row>
    <row r="14" spans="1:36" x14ac:dyDescent="0.2">
      <c r="A14" s="28">
        <v>38543</v>
      </c>
      <c r="B14" s="7">
        <f>'[9]Jul Prod'!I13</f>
        <v>20799999.999999274</v>
      </c>
      <c r="C14" s="8">
        <f t="shared" si="1"/>
        <v>20.799999999999272</v>
      </c>
      <c r="D14" s="10">
        <f t="shared" si="2"/>
        <v>63.855999999997763</v>
      </c>
      <c r="E14" s="7">
        <f>'[9]Jul Prod'!E13</f>
        <v>7000000</v>
      </c>
      <c r="F14" s="8">
        <f t="shared" si="3"/>
        <v>7</v>
      </c>
      <c r="G14" s="10">
        <f t="shared" si="4"/>
        <v>21.49</v>
      </c>
      <c r="H14" s="7">
        <f>'[9]Jul Prod'!F13</f>
        <v>15150000</v>
      </c>
      <c r="I14" s="8">
        <f t="shared" si="5"/>
        <v>15.15</v>
      </c>
      <c r="J14" s="10">
        <f t="shared" si="6"/>
        <v>46.5105</v>
      </c>
      <c r="K14" s="7">
        <f>'[9]Jul Prod'!H268</f>
        <v>1697962</v>
      </c>
      <c r="L14" s="8">
        <f t="shared" si="7"/>
        <v>1.697962</v>
      </c>
      <c r="M14" s="10">
        <f t="shared" si="8"/>
        <v>5.2127433399999994</v>
      </c>
      <c r="N14" s="21"/>
      <c r="O14" s="7">
        <f>'[9]Jul Prod'!H13</f>
        <v>4709000.0000000065</v>
      </c>
      <c r="P14" s="8">
        <f t="shared" si="9"/>
        <v>4.7090000000000067</v>
      </c>
      <c r="Q14" s="10">
        <f t="shared" si="10"/>
        <v>14.45663000000002</v>
      </c>
      <c r="R14" s="7">
        <f>'[9]Jul Prod'!C13</f>
        <v>4788000</v>
      </c>
      <c r="S14" s="8">
        <f t="shared" si="11"/>
        <v>4.7880000000000003</v>
      </c>
      <c r="T14" s="10">
        <f t="shared" si="12"/>
        <v>14.699160000000001</v>
      </c>
      <c r="U14" s="7">
        <f>'[9]Jul Prod'!D13</f>
        <v>0</v>
      </c>
      <c r="V14" s="8">
        <f t="shared" si="13"/>
        <v>0</v>
      </c>
      <c r="W14" s="10">
        <f t="shared" si="14"/>
        <v>0</v>
      </c>
      <c r="X14" s="7">
        <f>'[9]Jul Prod'!D268</f>
        <v>78999.999999993524</v>
      </c>
      <c r="Y14" s="8">
        <f t="shared" si="15"/>
        <v>7.899999999999352E-2</v>
      </c>
      <c r="Z14" s="10">
        <f t="shared" si="16"/>
        <v>0.24252999999998009</v>
      </c>
      <c r="AA14" s="15"/>
      <c r="AB14" s="7">
        <f>'[9]Jul Prod'!G13</f>
        <v>0</v>
      </c>
      <c r="AC14" s="8">
        <f t="shared" si="17"/>
        <v>0</v>
      </c>
      <c r="AD14" s="10">
        <f t="shared" si="18"/>
        <v>0</v>
      </c>
      <c r="AF14" s="7">
        <f t="shared" si="19"/>
        <v>25508999.999999281</v>
      </c>
      <c r="AG14" s="8">
        <f t="shared" si="20"/>
        <v>25.508999999999279</v>
      </c>
      <c r="AH14" s="8">
        <f t="shared" si="21"/>
        <v>78.312629999997782</v>
      </c>
      <c r="AJ14" s="8">
        <f t="shared" si="0"/>
        <v>7.2164496600635175E-16</v>
      </c>
    </row>
    <row r="15" spans="1:36" x14ac:dyDescent="0.2">
      <c r="A15" s="28">
        <v>38544</v>
      </c>
      <c r="B15" s="7">
        <f>'[9]Jul Prod'!I14</f>
        <v>30800000.000001092</v>
      </c>
      <c r="C15" s="8">
        <f t="shared" si="1"/>
        <v>30.800000000001091</v>
      </c>
      <c r="D15" s="10">
        <f t="shared" si="2"/>
        <v>94.556000000003351</v>
      </c>
      <c r="E15" s="7">
        <f>'[9]Jul Prod'!E14</f>
        <v>17000000</v>
      </c>
      <c r="F15" s="8">
        <f t="shared" si="3"/>
        <v>17</v>
      </c>
      <c r="G15" s="10">
        <f t="shared" si="4"/>
        <v>52.19</v>
      </c>
      <c r="H15" s="7">
        <f>'[9]Jul Prod'!F14</f>
        <v>15020000</v>
      </c>
      <c r="I15" s="8">
        <f t="shared" si="5"/>
        <v>15.02</v>
      </c>
      <c r="J15" s="10">
        <f t="shared" si="6"/>
        <v>46.111399999999996</v>
      </c>
      <c r="K15" s="7">
        <f>'[9]Jul Prod'!H269</f>
        <v>2707174</v>
      </c>
      <c r="L15" s="8">
        <f t="shared" si="7"/>
        <v>2.7071740000000002</v>
      </c>
      <c r="M15" s="10">
        <f t="shared" si="8"/>
        <v>8.3110241800000004</v>
      </c>
      <c r="N15" s="21"/>
      <c r="O15" s="7">
        <f>'[9]Jul Prod'!H14</f>
        <v>5210999.9999999972</v>
      </c>
      <c r="P15" s="8">
        <f t="shared" si="9"/>
        <v>5.2109999999999976</v>
      </c>
      <c r="Q15" s="10">
        <f t="shared" si="10"/>
        <v>15.997769999999992</v>
      </c>
      <c r="R15" s="7">
        <f>'[9]Jul Prod'!C14</f>
        <v>5274000</v>
      </c>
      <c r="S15" s="8">
        <f t="shared" si="11"/>
        <v>5.274</v>
      </c>
      <c r="T15" s="10">
        <f t="shared" si="12"/>
        <v>16.191179999999999</v>
      </c>
      <c r="U15" s="7">
        <f>'[9]Jul Prod'!D14</f>
        <v>0</v>
      </c>
      <c r="V15" s="8">
        <f t="shared" si="13"/>
        <v>0</v>
      </c>
      <c r="W15" s="10">
        <f t="shared" si="14"/>
        <v>0</v>
      </c>
      <c r="X15" s="7">
        <f>'[9]Jul Prod'!D269</f>
        <v>63000.000000002387</v>
      </c>
      <c r="Y15" s="8">
        <f t="shared" si="15"/>
        <v>6.3000000000002387E-2</v>
      </c>
      <c r="Z15" s="10">
        <f t="shared" si="16"/>
        <v>0.19341000000000733</v>
      </c>
      <c r="AA15" s="15"/>
      <c r="AB15" s="7">
        <f>'[9]Jul Prod'!G14</f>
        <v>0</v>
      </c>
      <c r="AC15" s="8">
        <f t="shared" si="17"/>
        <v>0</v>
      </c>
      <c r="AD15" s="10">
        <f t="shared" si="18"/>
        <v>0</v>
      </c>
      <c r="AF15" s="7">
        <f t="shared" si="19"/>
        <v>36011000.000001088</v>
      </c>
      <c r="AG15" s="8">
        <f t="shared" si="20"/>
        <v>36.01100000000109</v>
      </c>
      <c r="AH15" s="8">
        <f t="shared" si="21"/>
        <v>110.55377000000334</v>
      </c>
      <c r="AJ15" s="8">
        <f>T15-Q15-Z15</f>
        <v>0</v>
      </c>
    </row>
    <row r="16" spans="1:36" x14ac:dyDescent="0.2">
      <c r="A16" s="28">
        <v>38545</v>
      </c>
      <c r="B16" s="7">
        <f>'[9]Jul Prod'!I15</f>
        <v>29100000.000000365</v>
      </c>
      <c r="C16" s="8">
        <f t="shared" si="1"/>
        <v>29.100000000000364</v>
      </c>
      <c r="D16" s="10">
        <f t="shared" si="2"/>
        <v>89.337000000001112</v>
      </c>
      <c r="E16" s="7">
        <f>'[9]Jul Prod'!E15</f>
        <v>15000000</v>
      </c>
      <c r="F16" s="8">
        <f t="shared" si="3"/>
        <v>15</v>
      </c>
      <c r="G16" s="10">
        <f t="shared" si="4"/>
        <v>46.05</v>
      </c>
      <c r="H16" s="7">
        <f>'[9]Jul Prod'!F15</f>
        <v>15110000</v>
      </c>
      <c r="I16" s="8">
        <f t="shared" si="5"/>
        <v>15.11</v>
      </c>
      <c r="J16" s="10">
        <f t="shared" si="6"/>
        <v>46.387699999999995</v>
      </c>
      <c r="K16" s="7">
        <f>'[9]Jul Prod'!H270</f>
        <v>1991451</v>
      </c>
      <c r="L16" s="8">
        <f t="shared" si="7"/>
        <v>1.9914510000000001</v>
      </c>
      <c r="M16" s="10">
        <f t="shared" si="8"/>
        <v>6.1137545700000002</v>
      </c>
      <c r="N16" s="21"/>
      <c r="O16" s="7">
        <f>'[9]Jul Prod'!H15</f>
        <v>5174000.0000000075</v>
      </c>
      <c r="P16" s="8">
        <f t="shared" si="9"/>
        <v>5.1740000000000075</v>
      </c>
      <c r="Q16" s="10">
        <f t="shared" si="10"/>
        <v>15.884180000000022</v>
      </c>
      <c r="R16" s="7">
        <f>'[9]Jul Prod'!C15</f>
        <v>5238000</v>
      </c>
      <c r="S16" s="8">
        <f t="shared" si="11"/>
        <v>5.2380000000000004</v>
      </c>
      <c r="T16" s="10">
        <f t="shared" si="12"/>
        <v>16.080660000000002</v>
      </c>
      <c r="U16" s="7">
        <f>'[9]Jul Prod'!D15</f>
        <v>0</v>
      </c>
      <c r="V16" s="8">
        <f t="shared" si="13"/>
        <v>0</v>
      </c>
      <c r="W16" s="10">
        <f t="shared" si="14"/>
        <v>0</v>
      </c>
      <c r="X16" s="7">
        <f>'[9]Jul Prod'!D270</f>
        <v>63999.99999999295</v>
      </c>
      <c r="Y16" s="8">
        <f t="shared" si="15"/>
        <v>6.3999999999992951E-2</v>
      </c>
      <c r="Z16" s="10">
        <f t="shared" si="16"/>
        <v>0.19647999999997834</v>
      </c>
      <c r="AA16" s="15"/>
      <c r="AB16" s="7">
        <f>'[9]Jul Prod'!G15</f>
        <v>0</v>
      </c>
      <c r="AC16" s="8">
        <f t="shared" si="17"/>
        <v>0</v>
      </c>
      <c r="AD16" s="10">
        <f t="shared" si="18"/>
        <v>0</v>
      </c>
      <c r="AF16" s="7">
        <f t="shared" si="19"/>
        <v>34274000.000000373</v>
      </c>
      <c r="AG16" s="8">
        <f t="shared" si="20"/>
        <v>34.27400000000037</v>
      </c>
      <c r="AH16" s="8">
        <f t="shared" si="21"/>
        <v>105.22118000000114</v>
      </c>
      <c r="AJ16" s="8">
        <f>T16-Q16-Z16</f>
        <v>1.4432899320127035E-15</v>
      </c>
    </row>
    <row r="17" spans="1:36" x14ac:dyDescent="0.2">
      <c r="A17" s="28">
        <v>38546</v>
      </c>
      <c r="B17" s="7">
        <f>'[9]Jul Prod'!I16</f>
        <v>32799999.999999274</v>
      </c>
      <c r="C17" s="8">
        <f t="shared" si="1"/>
        <v>32.799999999999272</v>
      </c>
      <c r="D17" s="10">
        <f t="shared" si="2"/>
        <v>100.69599999999777</v>
      </c>
      <c r="E17" s="7">
        <f>'[9]Jul Prod'!E16</f>
        <v>16000000</v>
      </c>
      <c r="F17" s="8">
        <f t="shared" si="3"/>
        <v>16</v>
      </c>
      <c r="G17" s="10">
        <f t="shared" si="4"/>
        <v>49.12</v>
      </c>
      <c r="H17" s="7">
        <f>'[9]Jul Prod'!F16</f>
        <v>17660000</v>
      </c>
      <c r="I17" s="8">
        <f t="shared" si="5"/>
        <v>17.66</v>
      </c>
      <c r="J17" s="10">
        <f t="shared" si="6"/>
        <v>54.216200000000001</v>
      </c>
      <c r="K17" s="7">
        <f>'[9]Jul Prod'!H271</f>
        <v>2465392</v>
      </c>
      <c r="L17" s="8">
        <f t="shared" si="7"/>
        <v>2.465392</v>
      </c>
      <c r="M17" s="10">
        <f t="shared" si="8"/>
        <v>7.5687534400000001</v>
      </c>
      <c r="N17" s="21"/>
      <c r="O17" s="7">
        <f>'[9]Jul Prod'!H16</f>
        <v>5468999.9999999981</v>
      </c>
      <c r="P17" s="8">
        <f t="shared" si="9"/>
        <v>5.4689999999999985</v>
      </c>
      <c r="Q17" s="10">
        <f t="shared" si="10"/>
        <v>16.789829999999995</v>
      </c>
      <c r="R17" s="7">
        <f>'[9]Jul Prod'!C16</f>
        <v>5526000</v>
      </c>
      <c r="S17" s="8">
        <f t="shared" si="11"/>
        <v>5.5259999999999998</v>
      </c>
      <c r="T17" s="10">
        <f t="shared" si="12"/>
        <v>16.96482</v>
      </c>
      <c r="U17" s="7">
        <f>'[9]Jul Prod'!D16</f>
        <v>0</v>
      </c>
      <c r="V17" s="8">
        <f t="shared" si="13"/>
        <v>0</v>
      </c>
      <c r="W17" s="10">
        <f t="shared" si="14"/>
        <v>0</v>
      </c>
      <c r="X17" s="7">
        <f>'[9]Jul Prod'!D271</f>
        <v>57000.000000002161</v>
      </c>
      <c r="Y17" s="8">
        <f t="shared" si="15"/>
        <v>5.700000000000216E-2</v>
      </c>
      <c r="Z17" s="10">
        <f t="shared" si="16"/>
        <v>0.17499000000000661</v>
      </c>
      <c r="AA17" s="15"/>
      <c r="AB17" s="7">
        <f>'[9]Jul Prod'!G16</f>
        <v>0</v>
      </c>
      <c r="AC17" s="8">
        <f t="shared" si="17"/>
        <v>0</v>
      </c>
      <c r="AD17" s="10">
        <f t="shared" si="18"/>
        <v>0</v>
      </c>
      <c r="AF17" s="7">
        <f t="shared" si="19"/>
        <v>38268999.99999927</v>
      </c>
      <c r="AG17" s="8">
        <f t="shared" si="20"/>
        <v>38.268999999999274</v>
      </c>
      <c r="AH17" s="8">
        <f t="shared" si="21"/>
        <v>117.48582999999776</v>
      </c>
      <c r="AJ17" s="8">
        <f>T17-Q17-Z17</f>
        <v>-1.9706458687096529E-15</v>
      </c>
    </row>
    <row r="18" spans="1:36" x14ac:dyDescent="0.2">
      <c r="A18" s="28">
        <v>38547</v>
      </c>
      <c r="B18" s="7">
        <f>'[9]Jul Prod'!I17</f>
        <v>36200000.00000073</v>
      </c>
      <c r="C18" s="8">
        <f t="shared" si="1"/>
        <v>36.200000000000728</v>
      </c>
      <c r="D18" s="10">
        <f t="shared" si="2"/>
        <v>111.13400000000223</v>
      </c>
      <c r="E18" s="7">
        <f>'[9]Jul Prod'!E17</f>
        <v>19000000</v>
      </c>
      <c r="F18" s="8">
        <f t="shared" si="3"/>
        <v>19</v>
      </c>
      <c r="G18" s="10">
        <f t="shared" si="4"/>
        <v>58.33</v>
      </c>
      <c r="H18" s="7">
        <f>'[9]Jul Prod'!F17</f>
        <v>18500000</v>
      </c>
      <c r="I18" s="8">
        <f t="shared" si="5"/>
        <v>18.5</v>
      </c>
      <c r="J18" s="10">
        <f t="shared" si="6"/>
        <v>56.794999999999995</v>
      </c>
      <c r="K18" s="7">
        <f>'[9]Jul Prod'!H272</f>
        <v>2920916</v>
      </c>
      <c r="L18" s="8">
        <f t="shared" si="7"/>
        <v>2.9209160000000001</v>
      </c>
      <c r="M18" s="10">
        <f t="shared" si="8"/>
        <v>8.9672121199999992</v>
      </c>
      <c r="N18" s="21"/>
      <c r="O18" s="7">
        <f>'[9]Jul Prod'!H17</f>
        <v>5052000.0000000037</v>
      </c>
      <c r="P18" s="8">
        <f t="shared" si="9"/>
        <v>5.052000000000004</v>
      </c>
      <c r="Q18" s="10">
        <f t="shared" si="10"/>
        <v>15.509640000000012</v>
      </c>
      <c r="R18" s="7">
        <f>'[9]Jul Prod'!C17</f>
        <v>5072000</v>
      </c>
      <c r="S18" s="8">
        <f t="shared" si="11"/>
        <v>5.0720000000000001</v>
      </c>
      <c r="T18" s="10">
        <f t="shared" si="12"/>
        <v>15.57104</v>
      </c>
      <c r="U18" s="7">
        <f>'[9]Jul Prod'!D17</f>
        <v>0</v>
      </c>
      <c r="V18" s="8">
        <f t="shared" si="13"/>
        <v>0</v>
      </c>
      <c r="W18" s="10">
        <f t="shared" si="14"/>
        <v>0</v>
      </c>
      <c r="X18" s="7">
        <f>'[9]Jul Prod'!D272</f>
        <v>19999.99999999602</v>
      </c>
      <c r="Y18" s="8">
        <f t="shared" si="15"/>
        <v>1.9999999999996021E-2</v>
      </c>
      <c r="Z18" s="10">
        <f t="shared" si="16"/>
        <v>6.1399999999987784E-2</v>
      </c>
      <c r="AA18" s="15"/>
      <c r="AB18" s="7">
        <f>'[9]Jul Prod'!G17</f>
        <v>0</v>
      </c>
      <c r="AC18" s="8">
        <f t="shared" si="17"/>
        <v>0</v>
      </c>
      <c r="AD18" s="10">
        <f t="shared" si="18"/>
        <v>0</v>
      </c>
      <c r="AF18" s="7">
        <f t="shared" si="19"/>
        <v>41252000.00000073</v>
      </c>
      <c r="AG18" s="8">
        <f t="shared" si="20"/>
        <v>41.252000000000734</v>
      </c>
      <c r="AH18" s="8">
        <f t="shared" si="21"/>
        <v>126.64364000000225</v>
      </c>
      <c r="AJ18" s="8">
        <f>T18-Q18-Z18</f>
        <v>5.6898930012039273E-16</v>
      </c>
    </row>
    <row r="19" spans="1:36" x14ac:dyDescent="0.2">
      <c r="A19" s="28">
        <v>38548</v>
      </c>
      <c r="B19" s="7">
        <f>'[9]Jul Prod'!I18</f>
        <v>32699999.999998908</v>
      </c>
      <c r="C19" s="8">
        <f t="shared" si="1"/>
        <v>32.699999999998909</v>
      </c>
      <c r="D19" s="10">
        <f t="shared" si="2"/>
        <v>100.38899999999664</v>
      </c>
      <c r="E19" s="7">
        <f>'[9]Jul Prod'!E18</f>
        <v>14000000</v>
      </c>
      <c r="F19" s="8">
        <f t="shared" si="3"/>
        <v>14</v>
      </c>
      <c r="G19" s="10">
        <f t="shared" si="4"/>
        <v>42.98</v>
      </c>
      <c r="H19" s="7">
        <f>'[9]Jul Prod'!F18</f>
        <v>19320000</v>
      </c>
      <c r="I19" s="8">
        <f t="shared" si="5"/>
        <v>19.32</v>
      </c>
      <c r="J19" s="10">
        <f t="shared" si="6"/>
        <v>59.312399999999997</v>
      </c>
      <c r="K19" s="7">
        <f>'[9]Jul Prod'!H273</f>
        <v>2631798</v>
      </c>
      <c r="L19" s="8">
        <f t="shared" si="7"/>
        <v>2.6317979999999999</v>
      </c>
      <c r="M19" s="10">
        <f t="shared" si="8"/>
        <v>8.0796198599999993</v>
      </c>
      <c r="N19" s="21"/>
      <c r="O19" s="7">
        <f>'[9]Jul Prod'!H18</f>
        <v>5140999.9999999981</v>
      </c>
      <c r="P19" s="8">
        <f t="shared" si="9"/>
        <v>5.1409999999999982</v>
      </c>
      <c r="Q19" s="10">
        <f t="shared" si="10"/>
        <v>15.782869999999994</v>
      </c>
      <c r="R19" s="7">
        <f>'[9]Jul Prod'!C18</f>
        <v>5180000</v>
      </c>
      <c r="S19" s="8">
        <f t="shared" si="11"/>
        <v>5.18</v>
      </c>
      <c r="T19" s="10">
        <f t="shared" si="12"/>
        <v>15.902599999999998</v>
      </c>
      <c r="U19" s="7">
        <f>'[9]Jul Prod'!D18</f>
        <v>0</v>
      </c>
      <c r="V19" s="8">
        <f t="shared" si="13"/>
        <v>0</v>
      </c>
      <c r="W19" s="10">
        <f t="shared" si="14"/>
        <v>0</v>
      </c>
      <c r="X19" s="7">
        <f>'[9]Jul Prod'!D273</f>
        <v>39000.000000001477</v>
      </c>
      <c r="Y19" s="8">
        <f t="shared" si="15"/>
        <v>3.9000000000001478E-2</v>
      </c>
      <c r="Z19" s="10">
        <f t="shared" si="16"/>
        <v>0.11973000000000453</v>
      </c>
      <c r="AA19" s="15"/>
      <c r="AB19" s="7">
        <f>'[9]Jul Prod'!G18</f>
        <v>0</v>
      </c>
      <c r="AC19" s="8">
        <f t="shared" si="17"/>
        <v>0</v>
      </c>
      <c r="AD19" s="10">
        <f t="shared" si="18"/>
        <v>0</v>
      </c>
      <c r="AF19" s="7">
        <f t="shared" si="19"/>
        <v>37840999.999998905</v>
      </c>
      <c r="AG19" s="8">
        <f t="shared" si="20"/>
        <v>37.840999999998907</v>
      </c>
      <c r="AH19" s="8">
        <f t="shared" si="21"/>
        <v>116.17186999999663</v>
      </c>
      <c r="AJ19" s="8">
        <f>T19-Q19-Z19</f>
        <v>-4.163336342344337E-16</v>
      </c>
    </row>
    <row r="20" spans="1:36" x14ac:dyDescent="0.2">
      <c r="A20" s="28">
        <v>38549</v>
      </c>
      <c r="B20" s="7">
        <f>'[9]Jul Prod'!I19</f>
        <v>33600000.000000365</v>
      </c>
      <c r="C20" s="8">
        <f t="shared" si="1"/>
        <v>33.600000000000364</v>
      </c>
      <c r="D20" s="10">
        <f t="shared" si="2"/>
        <v>103.15200000000111</v>
      </c>
      <c r="E20" s="7">
        <f>'[9]Jul Prod'!E19</f>
        <v>13000000</v>
      </c>
      <c r="F20" s="8">
        <f t="shared" si="3"/>
        <v>13</v>
      </c>
      <c r="G20" s="10">
        <f t="shared" si="4"/>
        <v>39.909999999999997</v>
      </c>
      <c r="H20" s="7">
        <f>'[9]Jul Prod'!F19</f>
        <v>21750000</v>
      </c>
      <c r="I20" s="8">
        <f t="shared" si="5"/>
        <v>21.75</v>
      </c>
      <c r="J20" s="10">
        <f t="shared" si="6"/>
        <v>66.772499999999994</v>
      </c>
      <c r="K20" s="7">
        <f>'[9]Jul Prod'!H274</f>
        <v>2932302</v>
      </c>
      <c r="L20" s="8">
        <f t="shared" si="7"/>
        <v>2.932302</v>
      </c>
      <c r="M20" s="10">
        <f t="shared" si="8"/>
        <v>9.0021671399999992</v>
      </c>
      <c r="N20" s="21"/>
      <c r="O20" s="7">
        <f>'[9]Jul Prod'!H19</f>
        <v>5070999.9999999981</v>
      </c>
      <c r="P20" s="8">
        <f t="shared" si="9"/>
        <v>5.070999999999998</v>
      </c>
      <c r="Q20" s="10">
        <f t="shared" si="10"/>
        <v>15.567969999999994</v>
      </c>
      <c r="R20" s="7">
        <f>'[9]Jul Prod'!C19</f>
        <v>5110000</v>
      </c>
      <c r="S20" s="8">
        <f t="shared" si="11"/>
        <v>5.1100000000000003</v>
      </c>
      <c r="T20" s="10">
        <f t="shared" si="12"/>
        <v>15.6877</v>
      </c>
      <c r="U20" s="7">
        <f>'[9]Jul Prod'!D19</f>
        <v>0</v>
      </c>
      <c r="V20" s="8">
        <f t="shared" si="13"/>
        <v>0</v>
      </c>
      <c r="W20" s="10">
        <f t="shared" si="14"/>
        <v>0</v>
      </c>
      <c r="X20" s="7">
        <f>'[9]Jul Prod'!D274</f>
        <v>39000.000000001477</v>
      </c>
      <c r="Y20" s="8">
        <f t="shared" si="15"/>
        <v>3.9000000000001478E-2</v>
      </c>
      <c r="Z20" s="10">
        <f t="shared" si="16"/>
        <v>0.11973000000000453</v>
      </c>
      <c r="AA20" s="15"/>
      <c r="AB20" s="7">
        <f>'[9]Jul Prod'!G19</f>
        <v>0</v>
      </c>
      <c r="AC20" s="8">
        <f t="shared" si="17"/>
        <v>0</v>
      </c>
      <c r="AD20" s="10">
        <f t="shared" si="18"/>
        <v>0</v>
      </c>
      <c r="AF20" s="7">
        <f t="shared" si="19"/>
        <v>38671000.000000365</v>
      </c>
      <c r="AG20" s="8">
        <f t="shared" si="20"/>
        <v>38.671000000000362</v>
      </c>
      <c r="AH20" s="8">
        <f t="shared" si="21"/>
        <v>118.7199700000011</v>
      </c>
      <c r="AJ20" s="8">
        <f t="shared" ref="AJ20:AJ35" si="22">T20-Q20-Z20</f>
        <v>1.3600232051658168E-15</v>
      </c>
    </row>
    <row r="21" spans="1:36" x14ac:dyDescent="0.2">
      <c r="A21" s="28">
        <v>38550</v>
      </c>
      <c r="B21" s="7">
        <f>'[9]Jul Prod'!I20</f>
        <v>25500000</v>
      </c>
      <c r="C21" s="8">
        <f t="shared" si="1"/>
        <v>25.5</v>
      </c>
      <c r="D21" s="10">
        <f t="shared" si="2"/>
        <v>78.284999999999997</v>
      </c>
      <c r="E21" s="7">
        <f>'[9]Jul Prod'!E20</f>
        <v>15000000</v>
      </c>
      <c r="F21" s="8">
        <f t="shared" si="3"/>
        <v>15</v>
      </c>
      <c r="G21" s="10">
        <f t="shared" si="4"/>
        <v>46.05</v>
      </c>
      <c r="H21" s="7">
        <f>'[9]Jul Prod'!F20</f>
        <v>12170000</v>
      </c>
      <c r="I21" s="8">
        <f t="shared" si="5"/>
        <v>12.17</v>
      </c>
      <c r="J21" s="10">
        <f t="shared" si="6"/>
        <v>37.361899999999999</v>
      </c>
      <c r="K21" s="7">
        <f>'[9]Jul Prod'!H275</f>
        <v>2515168</v>
      </c>
      <c r="L21" s="8">
        <f t="shared" si="7"/>
        <v>2.5151680000000001</v>
      </c>
      <c r="M21" s="10">
        <f t="shared" si="8"/>
        <v>7.7215657599999998</v>
      </c>
      <c r="N21" s="21"/>
      <c r="O21" s="7">
        <f>'[9]Jul Prod'!H20</f>
        <v>5192999.9999999935</v>
      </c>
      <c r="P21" s="8">
        <f t="shared" si="9"/>
        <v>5.1929999999999934</v>
      </c>
      <c r="Q21" s="10">
        <f t="shared" si="10"/>
        <v>15.942509999999979</v>
      </c>
      <c r="R21" s="7">
        <f>'[9]Jul Prod'!C20</f>
        <v>5233000</v>
      </c>
      <c r="S21" s="8">
        <f t="shared" si="11"/>
        <v>5.2329999999999997</v>
      </c>
      <c r="T21" s="10">
        <f t="shared" si="12"/>
        <v>16.065309999999997</v>
      </c>
      <c r="U21" s="7">
        <f>'[9]Jul Prod'!D20</f>
        <v>0</v>
      </c>
      <c r="V21" s="8">
        <f t="shared" si="13"/>
        <v>0</v>
      </c>
      <c r="W21" s="10">
        <f t="shared" si="14"/>
        <v>0</v>
      </c>
      <c r="X21" s="7">
        <f>'[9]Jul Prod'!D275</f>
        <v>40000.00000000625</v>
      </c>
      <c r="Y21" s="8">
        <f t="shared" si="15"/>
        <v>4.0000000000006253E-2</v>
      </c>
      <c r="Z21" s="10">
        <f t="shared" si="16"/>
        <v>0.12280000000001919</v>
      </c>
      <c r="AA21" s="15"/>
      <c r="AB21" s="7">
        <f>'[9]Jul Prod'!G20</f>
        <v>0</v>
      </c>
      <c r="AC21" s="8">
        <f t="shared" si="17"/>
        <v>0</v>
      </c>
      <c r="AD21" s="10">
        <f t="shared" si="18"/>
        <v>0</v>
      </c>
      <c r="AF21" s="7">
        <f t="shared" si="19"/>
        <v>30692999.999999993</v>
      </c>
      <c r="AG21" s="8">
        <f t="shared" si="20"/>
        <v>30.692999999999994</v>
      </c>
      <c r="AH21" s="8">
        <f t="shared" si="21"/>
        <v>94.227509999999981</v>
      </c>
      <c r="AJ21" s="8">
        <f t="shared" si="22"/>
        <v>-1.6237011735142914E-15</v>
      </c>
    </row>
    <row r="22" spans="1:36" x14ac:dyDescent="0.2">
      <c r="A22" s="28">
        <v>38551</v>
      </c>
      <c r="B22" s="7">
        <f>'[9]Jul Prod'!I21</f>
        <v>28600000.000000365</v>
      </c>
      <c r="C22" s="8">
        <f t="shared" si="1"/>
        <v>28.600000000000364</v>
      </c>
      <c r="D22" s="10">
        <f t="shared" si="2"/>
        <v>87.802000000001115</v>
      </c>
      <c r="E22" s="7">
        <f>'[9]Jul Prod'!E21</f>
        <v>20000000</v>
      </c>
      <c r="F22" s="8">
        <f t="shared" si="3"/>
        <v>20</v>
      </c>
      <c r="G22" s="10">
        <f t="shared" si="4"/>
        <v>61.4</v>
      </c>
      <c r="H22" s="7">
        <f>'[9]Jul Prod'!F21</f>
        <v>11020000</v>
      </c>
      <c r="I22" s="8">
        <f t="shared" si="5"/>
        <v>11.02</v>
      </c>
      <c r="J22" s="10">
        <f t="shared" si="6"/>
        <v>33.831399999999995</v>
      </c>
      <c r="K22" s="7">
        <f>'[9]Jul Prod'!H276</f>
        <v>2582777</v>
      </c>
      <c r="L22" s="8">
        <f t="shared" si="7"/>
        <v>2.5827770000000001</v>
      </c>
      <c r="M22" s="10">
        <f t="shared" si="8"/>
        <v>7.9291253900000003</v>
      </c>
      <c r="N22" s="21"/>
      <c r="O22" s="7">
        <f>'[9]Jul Prod'!H21</f>
        <v>4908000.0000000084</v>
      </c>
      <c r="P22" s="8">
        <f t="shared" si="9"/>
        <v>4.9080000000000084</v>
      </c>
      <c r="Q22" s="10">
        <f t="shared" si="10"/>
        <v>15.067560000000025</v>
      </c>
      <c r="R22" s="7">
        <f>'[9]Jul Prod'!C21</f>
        <v>4948000</v>
      </c>
      <c r="S22" s="8">
        <f t="shared" si="11"/>
        <v>4.9480000000000004</v>
      </c>
      <c r="T22" s="10">
        <f t="shared" si="12"/>
        <v>15.19036</v>
      </c>
      <c r="U22" s="7">
        <f>'[9]Jul Prod'!D21</f>
        <v>0</v>
      </c>
      <c r="V22" s="8">
        <f t="shared" si="13"/>
        <v>0</v>
      </c>
      <c r="W22" s="10">
        <f t="shared" si="14"/>
        <v>0</v>
      </c>
      <c r="X22" s="7">
        <f>'[9]Jul Prod'!D276</f>
        <v>39999.99999999204</v>
      </c>
      <c r="Y22" s="8">
        <f t="shared" si="15"/>
        <v>3.9999999999992042E-2</v>
      </c>
      <c r="Z22" s="10">
        <f t="shared" si="16"/>
        <v>0.12279999999997557</v>
      </c>
      <c r="AA22" s="15"/>
      <c r="AB22" s="7">
        <f>'[9]Jul Prod'!G21</f>
        <v>0</v>
      </c>
      <c r="AC22" s="8">
        <f t="shared" si="17"/>
        <v>0</v>
      </c>
      <c r="AD22" s="10">
        <f t="shared" si="18"/>
        <v>0</v>
      </c>
      <c r="AF22" s="7">
        <f t="shared" si="19"/>
        <v>33508000.000000373</v>
      </c>
      <c r="AG22" s="8">
        <f t="shared" si="20"/>
        <v>33.508000000000372</v>
      </c>
      <c r="AH22" s="8">
        <f t="shared" si="21"/>
        <v>102.86956000000114</v>
      </c>
      <c r="AI22" s="18"/>
      <c r="AJ22" s="8">
        <f t="shared" si="22"/>
        <v>-6.3837823915946501E-16</v>
      </c>
    </row>
    <row r="23" spans="1:36" x14ac:dyDescent="0.2">
      <c r="A23" s="28">
        <v>38552</v>
      </c>
      <c r="B23" s="7">
        <f>'[9]Jul Prod'!I22</f>
        <v>32600000.000000365</v>
      </c>
      <c r="C23" s="8">
        <f t="shared" si="1"/>
        <v>32.600000000000364</v>
      </c>
      <c r="D23" s="10">
        <f t="shared" si="2"/>
        <v>100.08200000000112</v>
      </c>
      <c r="E23" s="7">
        <f>'[9]Jul Prod'!E22</f>
        <v>24000000</v>
      </c>
      <c r="F23" s="8">
        <f t="shared" si="3"/>
        <v>24</v>
      </c>
      <c r="G23" s="10">
        <f t="shared" si="4"/>
        <v>73.679999999999993</v>
      </c>
      <c r="H23" s="7">
        <f>'[9]Jul Prod'!F22</f>
        <v>10130000</v>
      </c>
      <c r="I23" s="8">
        <f t="shared" si="5"/>
        <v>10.130000000000001</v>
      </c>
      <c r="J23" s="10">
        <f t="shared" si="6"/>
        <v>31.0991</v>
      </c>
      <c r="K23" s="7">
        <f>'[9]Jul Prod'!H277</f>
        <v>2511664</v>
      </c>
      <c r="L23" s="8">
        <f t="shared" si="7"/>
        <v>2.5116640000000001</v>
      </c>
      <c r="M23" s="10">
        <f t="shared" si="8"/>
        <v>7.7108084799999999</v>
      </c>
      <c r="N23" s="21"/>
      <c r="O23" s="7">
        <f>'[9]Jul Prod'!H22</f>
        <v>5080999.9999999981</v>
      </c>
      <c r="P23" s="8">
        <f t="shared" si="9"/>
        <v>5.0809999999999977</v>
      </c>
      <c r="Q23" s="10">
        <f t="shared" si="10"/>
        <v>15.598669999999991</v>
      </c>
      <c r="R23" s="7">
        <f>'[9]Jul Prod'!C22</f>
        <v>5138000</v>
      </c>
      <c r="S23" s="8">
        <f t="shared" si="11"/>
        <v>5.1379999999999999</v>
      </c>
      <c r="T23" s="10">
        <f t="shared" si="12"/>
        <v>15.77366</v>
      </c>
      <c r="U23" s="7">
        <f>'[9]Jul Prod'!D22</f>
        <v>0</v>
      </c>
      <c r="V23" s="8">
        <f t="shared" si="13"/>
        <v>0</v>
      </c>
      <c r="W23" s="10">
        <f t="shared" si="14"/>
        <v>0</v>
      </c>
      <c r="X23" s="7">
        <f>'[9]Jul Prod'!D277</f>
        <v>57000.000000002161</v>
      </c>
      <c r="Y23" s="8">
        <f t="shared" si="15"/>
        <v>5.700000000000216E-2</v>
      </c>
      <c r="Z23" s="10">
        <f t="shared" si="16"/>
        <v>0.17499000000000661</v>
      </c>
      <c r="AA23" s="15"/>
      <c r="AB23" s="7">
        <f>'[9]Jul Prod'!G22</f>
        <v>0</v>
      </c>
      <c r="AC23" s="8">
        <f t="shared" si="17"/>
        <v>0</v>
      </c>
      <c r="AD23" s="10">
        <f t="shared" si="18"/>
        <v>0</v>
      </c>
      <c r="AF23" s="7">
        <f t="shared" si="19"/>
        <v>37681000.000000365</v>
      </c>
      <c r="AG23" s="8">
        <f t="shared" si="20"/>
        <v>37.68100000000036</v>
      </c>
      <c r="AH23" s="8">
        <f t="shared" si="21"/>
        <v>115.6806700000011</v>
      </c>
      <c r="AJ23" s="8">
        <f t="shared" si="22"/>
        <v>1.5820678100908481E-15</v>
      </c>
    </row>
    <row r="24" spans="1:36" x14ac:dyDescent="0.2">
      <c r="A24" s="28">
        <v>38553</v>
      </c>
      <c r="B24" s="7">
        <f>'[9]Jul Prod'!I23</f>
        <v>37899999.999999635</v>
      </c>
      <c r="C24" s="8">
        <f t="shared" si="1"/>
        <v>37.899999999999636</v>
      </c>
      <c r="D24" s="10">
        <f t="shared" si="2"/>
        <v>116.35299999999887</v>
      </c>
      <c r="E24" s="7">
        <f>'[9]Jul Prod'!E23</f>
        <v>30000000</v>
      </c>
      <c r="F24" s="8">
        <f t="shared" si="3"/>
        <v>30</v>
      </c>
      <c r="G24" s="10">
        <f t="shared" si="4"/>
        <v>92.1</v>
      </c>
      <c r="H24" s="7">
        <f>'[9]Jul Prod'!F23</f>
        <v>10190000</v>
      </c>
      <c r="I24" s="8">
        <f t="shared" si="5"/>
        <v>10.19</v>
      </c>
      <c r="J24" s="10">
        <f t="shared" si="6"/>
        <v>31.283299999999997</v>
      </c>
      <c r="K24" s="7">
        <f>'[9]Jul Prod'!H278</f>
        <v>2946152</v>
      </c>
      <c r="L24" s="8">
        <f t="shared" si="7"/>
        <v>2.9461520000000001</v>
      </c>
      <c r="M24" s="10">
        <f t="shared" si="8"/>
        <v>9.0446866400000001</v>
      </c>
      <c r="N24" s="21"/>
      <c r="O24" s="7">
        <f>'[9]Jul Prod'!H23</f>
        <v>5177000.0000000019</v>
      </c>
      <c r="P24" s="8">
        <f t="shared" si="9"/>
        <v>5.1770000000000023</v>
      </c>
      <c r="Q24" s="10">
        <f t="shared" si="10"/>
        <v>15.893390000000005</v>
      </c>
      <c r="R24" s="7">
        <f>'[9]Jul Prod'!C23</f>
        <v>5245000</v>
      </c>
      <c r="S24" s="8">
        <f t="shared" si="11"/>
        <v>5.2450000000000001</v>
      </c>
      <c r="T24" s="10">
        <f t="shared" si="12"/>
        <v>16.102149999999998</v>
      </c>
      <c r="U24" s="7">
        <f>'[9]Jul Prod'!D23</f>
        <v>0</v>
      </c>
      <c r="V24" s="8">
        <f t="shared" si="13"/>
        <v>0</v>
      </c>
      <c r="W24" s="10">
        <f t="shared" si="14"/>
        <v>0</v>
      </c>
      <c r="X24" s="7">
        <f>'[9]Jul Prod'!D278</f>
        <v>67999.999999997846</v>
      </c>
      <c r="Y24" s="8">
        <f t="shared" si="15"/>
        <v>6.799999999999784E-2</v>
      </c>
      <c r="Z24" s="10">
        <f t="shared" si="16"/>
        <v>0.20875999999999337</v>
      </c>
      <c r="AA24" s="15"/>
      <c r="AB24" s="7">
        <f>'[9]Jul Prod'!G23</f>
        <v>0</v>
      </c>
      <c r="AC24" s="8">
        <f t="shared" si="17"/>
        <v>0</v>
      </c>
      <c r="AD24" s="10">
        <f t="shared" si="18"/>
        <v>0</v>
      </c>
      <c r="AF24" s="7">
        <f t="shared" si="19"/>
        <v>43076999.999999635</v>
      </c>
      <c r="AG24" s="8">
        <f t="shared" si="20"/>
        <v>43.076999999999636</v>
      </c>
      <c r="AH24" s="8">
        <f t="shared" si="21"/>
        <v>132.24638999999888</v>
      </c>
      <c r="AJ24" s="8">
        <f t="shared" si="22"/>
        <v>-6.3837823915946501E-16</v>
      </c>
    </row>
    <row r="25" spans="1:36" x14ac:dyDescent="0.2">
      <c r="A25" s="28">
        <v>38554</v>
      </c>
      <c r="B25" s="7">
        <f>'[9]Jul Prod'!I24</f>
        <v>36199999.999998912</v>
      </c>
      <c r="C25" s="8">
        <f t="shared" si="1"/>
        <v>36.199999999998916</v>
      </c>
      <c r="D25" s="10">
        <f t="shared" si="2"/>
        <v>111.13399999999666</v>
      </c>
      <c r="E25" s="7">
        <f>'[9]Jul Prod'!E24</f>
        <v>28000000</v>
      </c>
      <c r="F25" s="8">
        <f t="shared" si="3"/>
        <v>28</v>
      </c>
      <c r="G25" s="10">
        <f t="shared" si="4"/>
        <v>85.96</v>
      </c>
      <c r="H25" s="7">
        <f>'[9]Jul Prod'!F24</f>
        <v>9890000</v>
      </c>
      <c r="I25" s="8">
        <f t="shared" si="5"/>
        <v>9.89</v>
      </c>
      <c r="J25" s="10">
        <f t="shared" si="6"/>
        <v>30.362300000000001</v>
      </c>
      <c r="K25" s="7">
        <f>'[9]Jul Prod'!H279</f>
        <v>2830897</v>
      </c>
      <c r="L25" s="8">
        <f t="shared" si="7"/>
        <v>2.8308970000000002</v>
      </c>
      <c r="M25" s="10">
        <f t="shared" si="8"/>
        <v>8.6908537900000002</v>
      </c>
      <c r="N25" s="21"/>
      <c r="O25" s="7">
        <f>'[9]Jul Prod'!H24</f>
        <v>4978999.9999999879</v>
      </c>
      <c r="P25" s="8">
        <f t="shared" si="9"/>
        <v>4.9789999999999877</v>
      </c>
      <c r="Q25" s="10">
        <f t="shared" si="10"/>
        <v>15.285529999999961</v>
      </c>
      <c r="R25" s="7">
        <f>'[9]Jul Prod'!C24</f>
        <v>5038000</v>
      </c>
      <c r="S25" s="8">
        <f t="shared" si="11"/>
        <v>5.0380000000000003</v>
      </c>
      <c r="T25" s="10">
        <f t="shared" si="12"/>
        <v>15.466659999999999</v>
      </c>
      <c r="U25" s="7">
        <f>'[9]Jul Prod'!D24</f>
        <v>0</v>
      </c>
      <c r="V25" s="8">
        <f t="shared" si="13"/>
        <v>0</v>
      </c>
      <c r="W25" s="10">
        <f t="shared" si="14"/>
        <v>0</v>
      </c>
      <c r="X25" s="7">
        <f>'[9]Jul Prod'!D279</f>
        <v>59000.000000011707</v>
      </c>
      <c r="Y25" s="8">
        <f t="shared" si="15"/>
        <v>5.900000000001171E-2</v>
      </c>
      <c r="Z25" s="10">
        <f t="shared" si="16"/>
        <v>0.18113000000003593</v>
      </c>
      <c r="AA25" s="15"/>
      <c r="AB25" s="7">
        <f>'[9]Jul Prod'!G24</f>
        <v>0</v>
      </c>
      <c r="AC25" s="8">
        <f t="shared" si="17"/>
        <v>0</v>
      </c>
      <c r="AD25" s="10">
        <f t="shared" si="18"/>
        <v>0</v>
      </c>
      <c r="AF25" s="7">
        <f t="shared" si="19"/>
        <v>41178999.999998897</v>
      </c>
      <c r="AG25" s="8">
        <f t="shared" si="20"/>
        <v>41.178999999998901</v>
      </c>
      <c r="AH25" s="8">
        <f t="shared" si="21"/>
        <v>126.41952999999663</v>
      </c>
      <c r="AJ25" s="8">
        <f t="shared" si="22"/>
        <v>2.7200464103316335E-15</v>
      </c>
    </row>
    <row r="26" spans="1:36" x14ac:dyDescent="0.2">
      <c r="A26" s="28">
        <v>38555</v>
      </c>
      <c r="B26" s="7">
        <f>'[9]Jul Prod'!I25</f>
        <v>36900000.000001453</v>
      </c>
      <c r="C26" s="8">
        <f t="shared" si="1"/>
        <v>36.900000000001455</v>
      </c>
      <c r="D26" s="10">
        <f t="shared" si="2"/>
        <v>113.28300000000446</v>
      </c>
      <c r="E26" s="7">
        <f>'[9]Jul Prod'!E25</f>
        <v>20000000</v>
      </c>
      <c r="F26" s="8">
        <f t="shared" si="3"/>
        <v>20</v>
      </c>
      <c r="G26" s="10">
        <f t="shared" si="4"/>
        <v>61.4</v>
      </c>
      <c r="H26" s="7">
        <f>'[9]Jul Prod'!F25</f>
        <v>18810000</v>
      </c>
      <c r="I26" s="8">
        <f t="shared" si="5"/>
        <v>18.809999999999999</v>
      </c>
      <c r="J26" s="10">
        <f t="shared" si="6"/>
        <v>57.74669999999999</v>
      </c>
      <c r="K26" s="7">
        <f>'[9]Jul Prod'!H280</f>
        <v>2950000</v>
      </c>
      <c r="L26" s="8">
        <f t="shared" si="7"/>
        <v>2.95</v>
      </c>
      <c r="M26" s="10">
        <f t="shared" si="8"/>
        <v>9.0564999999999998</v>
      </c>
      <c r="N26" s="21"/>
      <c r="O26" s="7">
        <f>'[9]Jul Prod'!H25</f>
        <v>5112000.0000000112</v>
      </c>
      <c r="P26" s="8">
        <f t="shared" si="9"/>
        <v>5.1120000000000108</v>
      </c>
      <c r="Q26" s="10">
        <f t="shared" si="10"/>
        <v>15.693840000000032</v>
      </c>
      <c r="R26" s="7">
        <f>'[9]Jul Prod'!C25</f>
        <v>5190000</v>
      </c>
      <c r="S26" s="8">
        <f t="shared" si="11"/>
        <v>5.19</v>
      </c>
      <c r="T26" s="10">
        <f t="shared" si="12"/>
        <v>15.933300000000001</v>
      </c>
      <c r="U26" s="7">
        <f>'[9]Jul Prod'!D25</f>
        <v>0</v>
      </c>
      <c r="V26" s="8">
        <f t="shared" si="13"/>
        <v>0</v>
      </c>
      <c r="W26" s="10">
        <f t="shared" si="14"/>
        <v>0</v>
      </c>
      <c r="X26" s="7">
        <f>'[9]Jul Prod'!D280</f>
        <v>77999.999999988751</v>
      </c>
      <c r="Y26" s="8">
        <f t="shared" si="15"/>
        <v>7.7999999999988745E-2</v>
      </c>
      <c r="Z26" s="10">
        <f t="shared" si="16"/>
        <v>0.23945999999996542</v>
      </c>
      <c r="AA26" s="15"/>
      <c r="AB26" s="7">
        <f>'[9]Jul Prod'!G25</f>
        <v>0</v>
      </c>
      <c r="AC26" s="8">
        <f t="shared" si="17"/>
        <v>0</v>
      </c>
      <c r="AD26" s="10">
        <f t="shared" si="18"/>
        <v>0</v>
      </c>
      <c r="AF26" s="7">
        <f t="shared" si="19"/>
        <v>42012000.00000146</v>
      </c>
      <c r="AG26" s="8">
        <f t="shared" si="20"/>
        <v>42.012000000001464</v>
      </c>
      <c r="AH26" s="8">
        <f t="shared" si="21"/>
        <v>128.9768400000045</v>
      </c>
      <c r="AJ26" s="8">
        <f t="shared" si="22"/>
        <v>3.7192471324942744E-15</v>
      </c>
    </row>
    <row r="27" spans="1:36" x14ac:dyDescent="0.2">
      <c r="A27" s="28">
        <v>38556</v>
      </c>
      <c r="B27" s="7">
        <f>'[9]Jul Prod'!I26</f>
        <v>32500000</v>
      </c>
      <c r="C27" s="8">
        <f t="shared" si="1"/>
        <v>32.5</v>
      </c>
      <c r="D27" s="10">
        <f t="shared" si="2"/>
        <v>99.774999999999991</v>
      </c>
      <c r="E27" s="7">
        <f>'[9]Jul Prod'!E26</f>
        <v>16000000</v>
      </c>
      <c r="F27" s="8">
        <f t="shared" si="3"/>
        <v>16</v>
      </c>
      <c r="G27" s="10">
        <f t="shared" si="4"/>
        <v>49.12</v>
      </c>
      <c r="H27" s="7">
        <f>'[9]Jul Prod'!F26</f>
        <v>16620000.000000002</v>
      </c>
      <c r="I27" s="8">
        <f t="shared" si="5"/>
        <v>16.62</v>
      </c>
      <c r="J27" s="10">
        <f t="shared" si="6"/>
        <v>51.023400000000002</v>
      </c>
      <c r="K27" s="7">
        <f>'[9]Jul Prod'!H281</f>
        <v>2504743</v>
      </c>
      <c r="L27" s="8">
        <f t="shared" si="7"/>
        <v>2.5047429999999999</v>
      </c>
      <c r="M27" s="10">
        <f t="shared" si="8"/>
        <v>7.6895610099999994</v>
      </c>
      <c r="N27" s="21"/>
      <c r="O27" s="7">
        <f>'[9]Jul Prod'!H26</f>
        <v>5029999.9999999879</v>
      </c>
      <c r="P27" s="8">
        <f t="shared" si="9"/>
        <v>5.0299999999999878</v>
      </c>
      <c r="Q27" s="10">
        <f t="shared" si="10"/>
        <v>15.442099999999963</v>
      </c>
      <c r="R27" s="7">
        <f>'[9]Jul Prod'!C26</f>
        <v>5092000</v>
      </c>
      <c r="S27" s="8">
        <f t="shared" si="11"/>
        <v>5.0919999999999996</v>
      </c>
      <c r="T27" s="10">
        <f t="shared" si="12"/>
        <v>15.632439999999997</v>
      </c>
      <c r="U27" s="7">
        <f>'[9]Jul Prod'!D26</f>
        <v>0</v>
      </c>
      <c r="V27" s="8">
        <f t="shared" si="13"/>
        <v>0</v>
      </c>
      <c r="W27" s="10">
        <f t="shared" si="14"/>
        <v>0</v>
      </c>
      <c r="X27" s="7">
        <f>'[9]Jul Prod'!D281</f>
        <v>62000.000000011823</v>
      </c>
      <c r="Y27" s="8">
        <f t="shared" si="15"/>
        <v>6.2000000000011823E-2</v>
      </c>
      <c r="Z27" s="10">
        <f t="shared" si="16"/>
        <v>0.19034000000003629</v>
      </c>
      <c r="AA27" s="15"/>
      <c r="AB27" s="7">
        <f>'[9]Jul Prod'!G26</f>
        <v>0</v>
      </c>
      <c r="AC27" s="8">
        <f t="shared" si="17"/>
        <v>0</v>
      </c>
      <c r="AD27" s="10">
        <f t="shared" si="18"/>
        <v>0</v>
      </c>
      <c r="AF27" s="7">
        <f t="shared" si="19"/>
        <v>37529999.999999985</v>
      </c>
      <c r="AG27" s="8">
        <f t="shared" si="20"/>
        <v>37.529999999999987</v>
      </c>
      <c r="AH27" s="8">
        <f t="shared" si="21"/>
        <v>115.21709999999996</v>
      </c>
      <c r="AJ27" s="8">
        <f t="shared" si="22"/>
        <v>-1.6930901125533637E-15</v>
      </c>
    </row>
    <row r="28" spans="1:36" x14ac:dyDescent="0.2">
      <c r="A28" s="28">
        <v>38557</v>
      </c>
      <c r="B28" s="7">
        <f>'[9]Jul Prod'!I27</f>
        <v>33000000</v>
      </c>
      <c r="C28" s="8">
        <f t="shared" si="1"/>
        <v>33</v>
      </c>
      <c r="D28" s="10">
        <f t="shared" si="2"/>
        <v>101.30999999999999</v>
      </c>
      <c r="E28" s="7">
        <f>'[9]Jul Prod'!E27</f>
        <v>21000000</v>
      </c>
      <c r="F28" s="8">
        <f t="shared" si="3"/>
        <v>21</v>
      </c>
      <c r="G28" s="10">
        <f t="shared" si="4"/>
        <v>64.47</v>
      </c>
      <c r="H28" s="7">
        <f>'[9]Jul Prod'!F27</f>
        <v>12890000</v>
      </c>
      <c r="I28" s="8">
        <f t="shared" si="5"/>
        <v>12.89</v>
      </c>
      <c r="J28" s="10">
        <f t="shared" si="6"/>
        <v>39.572299999999998</v>
      </c>
      <c r="K28" s="7">
        <f>'[9]Jul Prod'!H282</f>
        <v>2549218</v>
      </c>
      <c r="L28" s="8">
        <f t="shared" si="7"/>
        <v>2.5492180000000002</v>
      </c>
      <c r="M28" s="10">
        <f t="shared" si="8"/>
        <v>7.8260992600000003</v>
      </c>
      <c r="N28" s="21"/>
      <c r="O28" s="7">
        <f>'[9]Jul Prod'!H27</f>
        <v>5128000.0000000075</v>
      </c>
      <c r="P28" s="8">
        <f t="shared" si="9"/>
        <v>5.1280000000000072</v>
      </c>
      <c r="Q28" s="10">
        <f t="shared" si="10"/>
        <v>15.742960000000021</v>
      </c>
      <c r="R28" s="7">
        <f>'[9]Jul Prod'!C27</f>
        <v>5192000</v>
      </c>
      <c r="S28" s="8">
        <f t="shared" si="11"/>
        <v>5.1920000000000002</v>
      </c>
      <c r="T28" s="10">
        <f t="shared" si="12"/>
        <v>15.939439999999999</v>
      </c>
      <c r="U28" s="7">
        <f>'[9]Jul Prod'!D27</f>
        <v>0</v>
      </c>
      <c r="V28" s="8">
        <f t="shared" si="13"/>
        <v>0</v>
      </c>
      <c r="W28" s="10">
        <f t="shared" si="14"/>
        <v>0</v>
      </c>
      <c r="X28" s="7">
        <f>'[9]Jul Prod'!D282</f>
        <v>63999.99999999295</v>
      </c>
      <c r="Y28" s="8">
        <f t="shared" si="15"/>
        <v>6.3999999999992951E-2</v>
      </c>
      <c r="Z28" s="10">
        <f t="shared" si="16"/>
        <v>0.19647999999997834</v>
      </c>
      <c r="AA28" s="15"/>
      <c r="AB28" s="7">
        <f>'[9]Jul Prod'!G27</f>
        <v>0</v>
      </c>
      <c r="AC28" s="8">
        <f t="shared" si="17"/>
        <v>0</v>
      </c>
      <c r="AD28" s="10">
        <f t="shared" si="18"/>
        <v>0</v>
      </c>
      <c r="AF28" s="7">
        <f t="shared" si="19"/>
        <v>38128000.000000007</v>
      </c>
      <c r="AG28" s="8">
        <f t="shared" si="20"/>
        <v>38.128000000000007</v>
      </c>
      <c r="AH28" s="8">
        <f t="shared" si="21"/>
        <v>117.05296000000001</v>
      </c>
      <c r="AJ28" s="8">
        <f t="shared" si="22"/>
        <v>-3.3306690738754696E-16</v>
      </c>
    </row>
    <row r="29" spans="1:36" x14ac:dyDescent="0.2">
      <c r="A29" s="28">
        <v>38558</v>
      </c>
      <c r="B29" s="7">
        <f>'[9]Jul Prod'!I28</f>
        <v>31799999.999999274</v>
      </c>
      <c r="C29" s="8">
        <f t="shared" si="1"/>
        <v>31.799999999999272</v>
      </c>
      <c r="D29" s="10">
        <f t="shared" si="2"/>
        <v>97.625999999997759</v>
      </c>
      <c r="E29" s="7">
        <f>'[9]Jul Prod'!E28</f>
        <v>25000000</v>
      </c>
      <c r="F29" s="8">
        <f t="shared" si="3"/>
        <v>25</v>
      </c>
      <c r="G29" s="10">
        <f t="shared" si="4"/>
        <v>76.75</v>
      </c>
      <c r="H29" s="7">
        <f>'[9]Jul Prod'!F28</f>
        <v>9980000</v>
      </c>
      <c r="I29" s="8">
        <f t="shared" si="5"/>
        <v>9.98</v>
      </c>
      <c r="J29" s="10">
        <f t="shared" si="6"/>
        <v>30.6386</v>
      </c>
      <c r="K29" s="7">
        <f>'[9]Jul Prod'!H283</f>
        <v>2679009</v>
      </c>
      <c r="L29" s="8">
        <f t="shared" si="7"/>
        <v>2.6790090000000002</v>
      </c>
      <c r="M29" s="10">
        <f t="shared" si="8"/>
        <v>8.2245576299999996</v>
      </c>
      <c r="N29" s="21"/>
      <c r="O29" s="7">
        <f>'[9]Jul Prod'!H28</f>
        <v>5129000.0000000037</v>
      </c>
      <c r="P29" s="8">
        <f t="shared" si="9"/>
        <v>5.129000000000004</v>
      </c>
      <c r="Q29" s="10">
        <f t="shared" si="10"/>
        <v>15.746030000000012</v>
      </c>
      <c r="R29" s="7">
        <f>'[9]Jul Prod'!C28</f>
        <v>5149000</v>
      </c>
      <c r="S29" s="8">
        <f t="shared" si="11"/>
        <v>5.149</v>
      </c>
      <c r="T29" s="10">
        <f t="shared" si="12"/>
        <v>15.80743</v>
      </c>
      <c r="U29" s="7">
        <f>'[9]Jul Prod'!D28</f>
        <v>0</v>
      </c>
      <c r="V29" s="8">
        <f t="shared" si="13"/>
        <v>0</v>
      </c>
      <c r="W29" s="10">
        <f t="shared" si="14"/>
        <v>0</v>
      </c>
      <c r="X29" s="7">
        <f>'[9]Jul Prod'!D283</f>
        <v>19999.99999999602</v>
      </c>
      <c r="Y29" s="8">
        <f t="shared" si="15"/>
        <v>1.9999999999996021E-2</v>
      </c>
      <c r="Z29" s="10">
        <f t="shared" si="16"/>
        <v>6.1399999999987784E-2</v>
      </c>
      <c r="AA29" s="15"/>
      <c r="AB29" s="7">
        <f>'[9]Jul Prod'!G28</f>
        <v>0</v>
      </c>
      <c r="AC29" s="8">
        <f t="shared" si="17"/>
        <v>0</v>
      </c>
      <c r="AD29" s="10">
        <f t="shared" si="18"/>
        <v>0</v>
      </c>
      <c r="AF29" s="7">
        <f t="shared" si="19"/>
        <v>36928999.999999277</v>
      </c>
      <c r="AG29" s="8">
        <f t="shared" si="20"/>
        <v>36.928999999999277</v>
      </c>
      <c r="AH29" s="8">
        <f t="shared" si="21"/>
        <v>113.37202999999778</v>
      </c>
      <c r="AJ29" s="8">
        <f t="shared" si="22"/>
        <v>5.6898930012039273E-16</v>
      </c>
    </row>
    <row r="30" spans="1:36" x14ac:dyDescent="0.2">
      <c r="A30" s="28">
        <v>38559</v>
      </c>
      <c r="B30" s="7">
        <f>'[9]Jul Prod'!I29</f>
        <v>34899999.999999635</v>
      </c>
      <c r="C30" s="8">
        <f t="shared" si="1"/>
        <v>34.899999999999636</v>
      </c>
      <c r="D30" s="10">
        <f t="shared" si="2"/>
        <v>107.14299999999888</v>
      </c>
      <c r="E30" s="7">
        <f>'[9]Jul Prod'!E29</f>
        <v>26000000</v>
      </c>
      <c r="F30" s="8">
        <f t="shared" si="3"/>
        <v>26</v>
      </c>
      <c r="G30" s="10">
        <f t="shared" si="4"/>
        <v>79.819999999999993</v>
      </c>
      <c r="H30" s="7">
        <f>'[9]Jul Prod'!F29</f>
        <v>9910000</v>
      </c>
      <c r="I30" s="8">
        <f t="shared" si="5"/>
        <v>9.91</v>
      </c>
      <c r="J30" s="10">
        <f t="shared" si="6"/>
        <v>30.4237</v>
      </c>
      <c r="K30" s="7">
        <f>'[9]Jul Prod'!H284</f>
        <v>2753453</v>
      </c>
      <c r="L30" s="8">
        <f>K30/1000000</f>
        <v>2.7534529999999999</v>
      </c>
      <c r="M30" s="10">
        <f t="shared" si="8"/>
        <v>8.4531007099999993</v>
      </c>
      <c r="N30" s="21"/>
      <c r="O30" s="7">
        <f>'[9]Jul Prod'!H29</f>
        <v>5162000.0000000028</v>
      </c>
      <c r="P30" s="8">
        <f t="shared" si="9"/>
        <v>5.1620000000000026</v>
      </c>
      <c r="Q30" s="10">
        <f t="shared" si="10"/>
        <v>15.847340000000008</v>
      </c>
      <c r="R30" s="7">
        <f>'[9]Jul Prod'!C29</f>
        <v>5224000</v>
      </c>
      <c r="S30" s="8">
        <f t="shared" si="11"/>
        <v>5.2240000000000002</v>
      </c>
      <c r="T30" s="10">
        <f t="shared" si="12"/>
        <v>16.037679999999998</v>
      </c>
      <c r="U30" s="7">
        <f>'[9]Jul Prod'!D29</f>
        <v>0</v>
      </c>
      <c r="V30" s="8">
        <f t="shared" si="13"/>
        <v>0</v>
      </c>
      <c r="W30" s="10">
        <f t="shared" si="14"/>
        <v>0</v>
      </c>
      <c r="X30" s="7">
        <f>'[9]Jul Prod'!D284</f>
        <v>61999.999999997613</v>
      </c>
      <c r="Y30" s="8">
        <f t="shared" si="15"/>
        <v>6.1999999999997613E-2</v>
      </c>
      <c r="Z30" s="10">
        <f t="shared" si="16"/>
        <v>0.19033999999999265</v>
      </c>
      <c r="AA30" s="15"/>
      <c r="AB30" s="7">
        <f>'[9]Jul Prod'!G29</f>
        <v>0</v>
      </c>
      <c r="AC30" s="8">
        <f t="shared" si="17"/>
        <v>0</v>
      </c>
      <c r="AD30" s="10">
        <f t="shared" si="18"/>
        <v>0</v>
      </c>
      <c r="AF30" s="7">
        <f t="shared" si="19"/>
        <v>40061999.999999635</v>
      </c>
      <c r="AG30" s="8">
        <f t="shared" si="20"/>
        <v>40.061999999999642</v>
      </c>
      <c r="AH30" s="8">
        <f t="shared" si="21"/>
        <v>122.99033999999888</v>
      </c>
      <c r="AJ30" s="8">
        <f t="shared" si="22"/>
        <v>-2.4702462297909733E-15</v>
      </c>
    </row>
    <row r="31" spans="1:36" x14ac:dyDescent="0.2">
      <c r="A31" s="28">
        <v>38560</v>
      </c>
      <c r="B31" s="7">
        <f>'[9]Jul Prod'!I30</f>
        <v>33100000.000000365</v>
      </c>
      <c r="C31" s="8">
        <f t="shared" si="1"/>
        <v>33.100000000000364</v>
      </c>
      <c r="D31" s="10">
        <f t="shared" si="2"/>
        <v>101.61700000000111</v>
      </c>
      <c r="E31" s="7">
        <f>'[9]Jul Prod'!E30</f>
        <v>25000000</v>
      </c>
      <c r="F31" s="8">
        <f t="shared" si="3"/>
        <v>25</v>
      </c>
      <c r="G31" s="10">
        <f t="shared" si="4"/>
        <v>76.75</v>
      </c>
      <c r="H31" s="7">
        <f>'[9]Jul Prod'!F30</f>
        <v>9810000</v>
      </c>
      <c r="I31" s="8">
        <f t="shared" si="5"/>
        <v>9.81</v>
      </c>
      <c r="J31" s="10">
        <f t="shared" si="6"/>
        <v>30.116700000000002</v>
      </c>
      <c r="K31" s="7">
        <f>'[9]Jul Prod'!H285</f>
        <v>2651770</v>
      </c>
      <c r="L31" s="8">
        <f t="shared" si="7"/>
        <v>2.65177</v>
      </c>
      <c r="M31" s="10">
        <f t="shared" si="8"/>
        <v>8.1409339000000003</v>
      </c>
      <c r="N31" s="21"/>
      <c r="O31" s="7">
        <f>'[9]Jul Prod'!H30</f>
        <v>4995999.9999999888</v>
      </c>
      <c r="P31" s="8">
        <f t="shared" si="9"/>
        <v>4.9959999999999889</v>
      </c>
      <c r="Q31" s="10">
        <f t="shared" si="10"/>
        <v>15.337719999999965</v>
      </c>
      <c r="R31" s="7">
        <f>'[9]Jul Prod'!C30</f>
        <v>5037000</v>
      </c>
      <c r="S31" s="8">
        <f t="shared" si="11"/>
        <v>5.0369999999999999</v>
      </c>
      <c r="T31" s="10">
        <f t="shared" si="12"/>
        <v>15.463589999999998</v>
      </c>
      <c r="U31" s="7">
        <f>'[9]Jul Prod'!D30</f>
        <v>0</v>
      </c>
      <c r="V31" s="8">
        <f t="shared" si="13"/>
        <v>0</v>
      </c>
      <c r="W31" s="10">
        <f t="shared" si="14"/>
        <v>0</v>
      </c>
      <c r="X31" s="7">
        <f>'[9]Jul Prod'!D285</f>
        <v>41000.00000001103</v>
      </c>
      <c r="Y31" s="8">
        <f t="shared" si="15"/>
        <v>4.1000000000011028E-2</v>
      </c>
      <c r="Z31" s="10">
        <f t="shared" si="16"/>
        <v>0.12587000000003384</v>
      </c>
      <c r="AA31" s="15"/>
      <c r="AB31" s="7">
        <f>'[9]Jul Prod'!G30</f>
        <v>0</v>
      </c>
      <c r="AC31" s="8">
        <f t="shared" si="17"/>
        <v>0</v>
      </c>
      <c r="AD31" s="10">
        <f t="shared" si="18"/>
        <v>0</v>
      </c>
      <c r="AF31" s="7">
        <f t="shared" si="19"/>
        <v>38096000.000000358</v>
      </c>
      <c r="AG31" s="8">
        <f t="shared" si="20"/>
        <v>38.096000000000352</v>
      </c>
      <c r="AH31" s="8">
        <f t="shared" si="21"/>
        <v>116.95472000000107</v>
      </c>
      <c r="AJ31" s="8">
        <f t="shared" si="22"/>
        <v>-1.0547118733938987E-15</v>
      </c>
    </row>
    <row r="32" spans="1:36" x14ac:dyDescent="0.2">
      <c r="A32" s="28">
        <v>38561</v>
      </c>
      <c r="B32" s="7">
        <f>'[9]Jul Prod'!I31</f>
        <v>32700000.000000726</v>
      </c>
      <c r="C32" s="8">
        <f t="shared" si="1"/>
        <v>32.700000000000728</v>
      </c>
      <c r="D32" s="10">
        <f t="shared" si="2"/>
        <v>100.38900000000223</v>
      </c>
      <c r="E32" s="7">
        <f>'[9]Jul Prod'!E31</f>
        <v>24000000</v>
      </c>
      <c r="F32" s="8">
        <f t="shared" si="3"/>
        <v>24</v>
      </c>
      <c r="G32" s="10">
        <f t="shared" si="4"/>
        <v>73.679999999999993</v>
      </c>
      <c r="H32" s="7">
        <f>'[9]Jul Prod'!F31</f>
        <v>9940000</v>
      </c>
      <c r="I32" s="8">
        <f t="shared" si="5"/>
        <v>9.94</v>
      </c>
      <c r="J32" s="10">
        <f t="shared" si="6"/>
        <v>30.515799999999995</v>
      </c>
      <c r="K32" s="7">
        <f>'[9]Jul Prod'!H286</f>
        <v>2443723</v>
      </c>
      <c r="L32" s="8">
        <f t="shared" si="7"/>
        <v>2.4437229999999999</v>
      </c>
      <c r="M32" s="10">
        <f t="shared" si="8"/>
        <v>7.5022296099999988</v>
      </c>
      <c r="N32" s="21"/>
      <c r="O32" s="7">
        <f>'[9]Jul Prod'!H31</f>
        <v>5175999.9999999981</v>
      </c>
      <c r="P32" s="8">
        <f t="shared" si="9"/>
        <v>5.1759999999999984</v>
      </c>
      <c r="Q32" s="10">
        <f t="shared" si="10"/>
        <v>15.890319999999994</v>
      </c>
      <c r="R32" s="7">
        <f>'[9]Jul Prod'!C31</f>
        <v>5236000</v>
      </c>
      <c r="S32" s="8">
        <f t="shared" si="11"/>
        <v>5.2359999999999998</v>
      </c>
      <c r="T32" s="10">
        <f t="shared" si="12"/>
        <v>16.07452</v>
      </c>
      <c r="U32" s="7">
        <f>'[9]Jul Prod'!D31</f>
        <v>0</v>
      </c>
      <c r="V32" s="8">
        <f t="shared" si="13"/>
        <v>0</v>
      </c>
      <c r="W32" s="10">
        <f t="shared" si="14"/>
        <v>0</v>
      </c>
      <c r="X32" s="7">
        <f>'[9]Jul Prod'!D286</f>
        <v>60000.00000000227</v>
      </c>
      <c r="Y32" s="8">
        <f t="shared" si="15"/>
        <v>6.0000000000002267E-2</v>
      </c>
      <c r="Z32" s="10">
        <f t="shared" si="16"/>
        <v>0.18420000000000694</v>
      </c>
      <c r="AA32" s="15"/>
      <c r="AB32" s="7">
        <f>'[9]Jul Prod'!G31</f>
        <v>0</v>
      </c>
      <c r="AC32" s="8">
        <f t="shared" si="17"/>
        <v>0</v>
      </c>
      <c r="AD32" s="10">
        <f t="shared" si="18"/>
        <v>0</v>
      </c>
      <c r="AF32" s="7">
        <f t="shared" si="19"/>
        <v>37876000.000000723</v>
      </c>
      <c r="AG32" s="8">
        <f t="shared" si="20"/>
        <v>37.87600000000073</v>
      </c>
      <c r="AH32" s="8">
        <f t="shared" si="21"/>
        <v>116.27932000000222</v>
      </c>
      <c r="AJ32" s="8">
        <f t="shared" si="22"/>
        <v>-1.0269562977782698E-15</v>
      </c>
    </row>
    <row r="33" spans="1:36" x14ac:dyDescent="0.2">
      <c r="A33" s="28">
        <v>38562</v>
      </c>
      <c r="B33" s="7">
        <f>'[9]Jul Prod'!I32</f>
        <v>32799999.999999274</v>
      </c>
      <c r="C33" s="8">
        <f t="shared" si="1"/>
        <v>32.799999999999272</v>
      </c>
      <c r="D33" s="10">
        <f t="shared" si="2"/>
        <v>100.69599999999777</v>
      </c>
      <c r="E33" s="7">
        <f>'[9]Jul Prod'!E32</f>
        <v>25000000</v>
      </c>
      <c r="F33" s="8">
        <f t="shared" si="3"/>
        <v>25</v>
      </c>
      <c r="G33" s="10">
        <f t="shared" si="4"/>
        <v>76.75</v>
      </c>
      <c r="H33" s="7">
        <f>'[9]Jul Prod'!F32</f>
        <v>10100000</v>
      </c>
      <c r="I33" s="8">
        <f t="shared" si="5"/>
        <v>10.1</v>
      </c>
      <c r="J33" s="10">
        <f t="shared" si="6"/>
        <v>31.006999999999998</v>
      </c>
      <c r="K33" s="7">
        <f>'[9]Jul Prod'!H287</f>
        <v>2575725</v>
      </c>
      <c r="L33" s="8">
        <f t="shared" si="7"/>
        <v>2.5757249999999998</v>
      </c>
      <c r="M33" s="10">
        <f t="shared" si="8"/>
        <v>7.9074757499999988</v>
      </c>
      <c r="N33" s="21"/>
      <c r="O33" s="7">
        <f>'[9]Jul Prod'!H32</f>
        <v>5022000.0000000028</v>
      </c>
      <c r="P33" s="8">
        <f t="shared" si="9"/>
        <v>5.0220000000000029</v>
      </c>
      <c r="Q33" s="10">
        <f t="shared" si="10"/>
        <v>15.417540000000008</v>
      </c>
      <c r="R33" s="7">
        <f>'[9]Jul Prod'!C32</f>
        <v>5084000</v>
      </c>
      <c r="S33" s="8">
        <f t="shared" si="11"/>
        <v>5.0839999999999996</v>
      </c>
      <c r="T33" s="10">
        <f t="shared" si="12"/>
        <v>15.607879999999998</v>
      </c>
      <c r="U33" s="7">
        <f>'[9]Jul Prod'!D32</f>
        <v>0</v>
      </c>
      <c r="V33" s="8">
        <f t="shared" si="13"/>
        <v>0</v>
      </c>
      <c r="W33" s="10">
        <f t="shared" si="14"/>
        <v>0</v>
      </c>
      <c r="X33" s="7">
        <f>'[9]Jul Prod'!D287</f>
        <v>61999.999999997613</v>
      </c>
      <c r="Y33" s="8">
        <f t="shared" si="15"/>
        <v>6.1999999999997613E-2</v>
      </c>
      <c r="Z33" s="10">
        <f t="shared" si="16"/>
        <v>0.19033999999999265</v>
      </c>
      <c r="AA33" s="15"/>
      <c r="AB33" s="7">
        <f>'[9]Jul Prod'!G32</f>
        <v>0</v>
      </c>
      <c r="AC33" s="8">
        <f t="shared" si="17"/>
        <v>0</v>
      </c>
      <c r="AD33" s="10">
        <f t="shared" si="18"/>
        <v>0</v>
      </c>
      <c r="AF33" s="7">
        <f t="shared" si="19"/>
        <v>37821999.999999277</v>
      </c>
      <c r="AG33" s="8">
        <f t="shared" si="20"/>
        <v>37.821999999999278</v>
      </c>
      <c r="AH33" s="8">
        <f t="shared" si="21"/>
        <v>116.11353999999777</v>
      </c>
      <c r="AJ33" s="8">
        <f t="shared" si="22"/>
        <v>-2.4702462297909733E-15</v>
      </c>
    </row>
    <row r="34" spans="1:36" x14ac:dyDescent="0.2">
      <c r="A34" s="28">
        <v>38563</v>
      </c>
      <c r="B34" s="7">
        <f>'[9]Jul Prod'!I33</f>
        <v>33600000.000000365</v>
      </c>
      <c r="C34" s="8">
        <f t="shared" si="1"/>
        <v>33.600000000000364</v>
      </c>
      <c r="D34" s="10">
        <f t="shared" si="2"/>
        <v>103.15200000000111</v>
      </c>
      <c r="E34" s="7">
        <f>'[9]Jul Prod'!E33</f>
        <v>25000000</v>
      </c>
      <c r="F34" s="8">
        <f t="shared" si="3"/>
        <v>25</v>
      </c>
      <c r="G34" s="10">
        <f t="shared" si="4"/>
        <v>76.75</v>
      </c>
      <c r="H34" s="7">
        <f>'[9]Jul Prod'!F33</f>
        <v>10300000</v>
      </c>
      <c r="I34" s="8">
        <f t="shared" si="5"/>
        <v>10.3</v>
      </c>
      <c r="J34" s="10">
        <f t="shared" si="6"/>
        <v>31.621000000000002</v>
      </c>
      <c r="K34" s="7">
        <f>'[9]Jul Prod'!H288</f>
        <v>2610500</v>
      </c>
      <c r="L34" s="8">
        <f t="shared" si="7"/>
        <v>2.6105</v>
      </c>
      <c r="M34" s="10">
        <f t="shared" si="8"/>
        <v>8.0142349999999993</v>
      </c>
      <c r="N34" s="21"/>
      <c r="O34" s="7">
        <f>'[9]Jul Prod'!H33</f>
        <v>5115999.9999999981</v>
      </c>
      <c r="P34" s="8">
        <f t="shared" si="9"/>
        <v>5.1159999999999979</v>
      </c>
      <c r="Q34" s="10">
        <f t="shared" si="10"/>
        <v>15.706119999999993</v>
      </c>
      <c r="R34" s="7">
        <f>'[9]Jul Prod'!C33</f>
        <v>5176000</v>
      </c>
      <c r="S34" s="8">
        <f t="shared" si="11"/>
        <v>5.1760000000000002</v>
      </c>
      <c r="T34" s="10">
        <f t="shared" si="12"/>
        <v>15.890319999999999</v>
      </c>
      <c r="U34" s="7">
        <f>'[9]Jul Prod'!D33</f>
        <v>0</v>
      </c>
      <c r="V34" s="8">
        <f t="shared" si="13"/>
        <v>0</v>
      </c>
      <c r="W34" s="10">
        <f t="shared" si="14"/>
        <v>0</v>
      </c>
      <c r="X34" s="7">
        <f>'[9]Jul Prod'!D288</f>
        <v>60000.00000000227</v>
      </c>
      <c r="Y34" s="8">
        <f t="shared" si="15"/>
        <v>6.0000000000002267E-2</v>
      </c>
      <c r="Z34" s="10">
        <f t="shared" si="16"/>
        <v>0.18420000000000694</v>
      </c>
      <c r="AA34" s="15"/>
      <c r="AB34" s="7">
        <f>'[9]Jul Prod'!G33</f>
        <v>0</v>
      </c>
      <c r="AC34" s="8">
        <f t="shared" si="17"/>
        <v>0</v>
      </c>
      <c r="AD34" s="10">
        <f t="shared" si="18"/>
        <v>0</v>
      </c>
      <c r="AF34" s="7">
        <f t="shared" si="19"/>
        <v>38716000.000000365</v>
      </c>
      <c r="AG34" s="8">
        <f t="shared" si="20"/>
        <v>38.716000000000363</v>
      </c>
      <c r="AH34" s="8">
        <f t="shared" si="21"/>
        <v>118.85812000000111</v>
      </c>
      <c r="AJ34" s="8">
        <f t="shared" si="22"/>
        <v>-1.0269562977782698E-15</v>
      </c>
    </row>
    <row r="35" spans="1:36" ht="13.5" thickBot="1" x14ac:dyDescent="0.25">
      <c r="A35" s="28">
        <v>38564</v>
      </c>
      <c r="B35" s="7">
        <f>'[9]Jul Prod'!I34</f>
        <v>32199999.999998908</v>
      </c>
      <c r="C35" s="9">
        <f t="shared" si="1"/>
        <v>32.199999999998909</v>
      </c>
      <c r="D35" s="11">
        <f t="shared" si="2"/>
        <v>98.853999999996645</v>
      </c>
      <c r="E35" s="7">
        <f>'[9]Jul Prod'!E34</f>
        <v>24000000</v>
      </c>
      <c r="F35" s="9">
        <f t="shared" si="3"/>
        <v>24</v>
      </c>
      <c r="G35" s="11">
        <f t="shared" si="4"/>
        <v>73.679999999999993</v>
      </c>
      <c r="H35" s="7">
        <f>'[9]Jul Prod'!F34</f>
        <v>9950000.0000000019</v>
      </c>
      <c r="I35" s="8">
        <f t="shared" si="5"/>
        <v>9.9500000000000011</v>
      </c>
      <c r="J35" s="11">
        <f t="shared" si="6"/>
        <v>30.546500000000002</v>
      </c>
      <c r="K35" s="7">
        <f>'[9]Jul Prod'!H289</f>
        <v>2646979</v>
      </c>
      <c r="L35" s="9">
        <f t="shared" si="7"/>
        <v>2.646979</v>
      </c>
      <c r="M35" s="11">
        <f t="shared" si="8"/>
        <v>8.1262255299999993</v>
      </c>
      <c r="N35" s="21"/>
      <c r="O35" s="7">
        <f>'[9]Jul Prod'!H34</f>
        <v>5117000.0000000028</v>
      </c>
      <c r="P35" s="9">
        <f t="shared" si="9"/>
        <v>5.1170000000000027</v>
      </c>
      <c r="Q35" s="11">
        <f t="shared" si="10"/>
        <v>15.709190000000007</v>
      </c>
      <c r="R35" s="7">
        <f>'[9]Jul Prod'!C34</f>
        <v>5176000</v>
      </c>
      <c r="S35" s="9">
        <f t="shared" si="11"/>
        <v>5.1760000000000002</v>
      </c>
      <c r="T35" s="11">
        <f t="shared" si="12"/>
        <v>15.890319999999999</v>
      </c>
      <c r="U35" s="7">
        <f>'[9]Jul Prod'!D34</f>
        <v>0</v>
      </c>
      <c r="V35" s="9">
        <f t="shared" si="13"/>
        <v>0</v>
      </c>
      <c r="W35" s="11">
        <f t="shared" si="14"/>
        <v>0</v>
      </c>
      <c r="X35" s="7">
        <f>'[9]Jul Prod'!D289</f>
        <v>58999.999999997497</v>
      </c>
      <c r="Y35" s="9">
        <f t="shared" si="15"/>
        <v>5.8999999999997499E-2</v>
      </c>
      <c r="Z35" s="11">
        <f t="shared" si="16"/>
        <v>0.18112999999999232</v>
      </c>
      <c r="AA35" s="15"/>
      <c r="AB35" s="7">
        <f>'[9]Jul Prod'!G34</f>
        <v>0</v>
      </c>
      <c r="AC35" s="9">
        <f t="shared" si="17"/>
        <v>0</v>
      </c>
      <c r="AD35" s="11">
        <f t="shared" si="18"/>
        <v>0</v>
      </c>
      <c r="AF35" s="7">
        <f t="shared" si="19"/>
        <v>37316999.999998912</v>
      </c>
      <c r="AG35" s="8">
        <f t="shared" si="20"/>
        <v>37.316999999998913</v>
      </c>
      <c r="AH35" s="8">
        <f t="shared" si="21"/>
        <v>114.56318999999665</v>
      </c>
      <c r="AJ35" s="8">
        <f t="shared" si="22"/>
        <v>0</v>
      </c>
    </row>
    <row r="36" spans="1:36" ht="13.5" thickBot="1" x14ac:dyDescent="0.25">
      <c r="A36" s="14"/>
      <c r="B36" s="39"/>
      <c r="C36" s="40">
        <f>SUM(C5:C35)</f>
        <v>988.89999999999964</v>
      </c>
      <c r="D36" s="40">
        <f t="shared" si="2"/>
        <v>3035.9229999999989</v>
      </c>
      <c r="E36" s="39"/>
      <c r="F36" s="40">
        <f>SUM(F5:F35)</f>
        <v>600</v>
      </c>
      <c r="G36" s="40">
        <f t="shared" si="4"/>
        <v>1842</v>
      </c>
      <c r="H36" s="39"/>
      <c r="I36" s="40">
        <f>SUM(I5:I35)</f>
        <v>432.55000000000007</v>
      </c>
      <c r="J36" s="40">
        <f t="shared" si="6"/>
        <v>1327.9285000000002</v>
      </c>
      <c r="K36" s="39"/>
      <c r="L36" s="40">
        <f>SUM(L5:L35)</f>
        <v>79.81597600000002</v>
      </c>
      <c r="M36" s="40">
        <f t="shared" si="8"/>
        <v>245.03504632000005</v>
      </c>
      <c r="N36" s="14"/>
      <c r="O36" s="39"/>
      <c r="P36" s="40">
        <f>SUM(P5:P35)</f>
        <v>165.87999999999994</v>
      </c>
      <c r="Q36" s="40">
        <f t="shared" si="10"/>
        <v>509.25159999999977</v>
      </c>
      <c r="R36" s="39"/>
      <c r="S36" s="40">
        <f>SUM(S5:S35)</f>
        <v>167.70799999999997</v>
      </c>
      <c r="T36" s="40">
        <f t="shared" si="12"/>
        <v>514.86355999999989</v>
      </c>
      <c r="U36" s="39"/>
      <c r="V36" s="40">
        <f>SUM(V5:V35)</f>
        <v>0</v>
      </c>
      <c r="W36" s="40">
        <f t="shared" si="14"/>
        <v>0</v>
      </c>
      <c r="X36" s="39"/>
      <c r="Y36" s="40">
        <f>SUM(Y5:Y35)</f>
        <v>1.828000000000003</v>
      </c>
      <c r="Z36" s="40">
        <f t="shared" si="16"/>
        <v>5.6119600000000087</v>
      </c>
      <c r="AA36" s="14"/>
      <c r="AB36" s="39"/>
      <c r="AC36" s="40">
        <f>SUM(AC5:AC35)</f>
        <v>0</v>
      </c>
      <c r="AD36" s="40">
        <f t="shared" si="18"/>
        <v>0</v>
      </c>
      <c r="AF36" s="39"/>
      <c r="AG36" s="40">
        <f>SUM(AG5:AG35)</f>
        <v>1154.7799999999997</v>
      </c>
      <c r="AH36" s="40">
        <f>AG36*3.07</f>
        <v>3545.1745999999989</v>
      </c>
      <c r="AJ36" s="40">
        <f>SUM(AJ5:AJ35)</f>
        <v>5.3429483060085659E-15</v>
      </c>
    </row>
    <row r="37" spans="1:36" x14ac:dyDescent="0.2">
      <c r="C37" s="18"/>
      <c r="E37" s="3"/>
      <c r="F37" s="3"/>
      <c r="G37" s="3"/>
      <c r="H37" s="3"/>
      <c r="I37" s="3"/>
      <c r="J37" s="3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</row>
  </sheetData>
  <mergeCells count="10">
    <mergeCell ref="B3:D3"/>
    <mergeCell ref="E3:G3"/>
    <mergeCell ref="H3:J3"/>
    <mergeCell ref="O3:Q3"/>
    <mergeCell ref="K3:M3"/>
    <mergeCell ref="AF3:AH3"/>
    <mergeCell ref="R3:T3"/>
    <mergeCell ref="U3:W3"/>
    <mergeCell ref="AB3:AD3"/>
    <mergeCell ref="X3:Z3"/>
  </mergeCells>
  <phoneticPr fontId="1" type="noConversion"/>
  <pageMargins left="0.75" right="0.75" top="1" bottom="1" header="0.5" footer="0.5"/>
  <pageSetup paperSize="5" scale="50"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AF38"/>
  <sheetViews>
    <sheetView workbookViewId="0">
      <pane xSplit="1" ySplit="4" topLeftCell="B22" activePane="bottomRight" state="frozen"/>
      <selection pane="topRight" activeCell="B1" sqref="B1"/>
      <selection pane="bottomLeft" activeCell="A5" sqref="A5"/>
      <selection pane="bottomRight" activeCell="S5" sqref="S5:S35"/>
    </sheetView>
  </sheetViews>
  <sheetFormatPr defaultRowHeight="12.75" x14ac:dyDescent="0.2"/>
  <cols>
    <col min="2" max="2" width="12.85546875" customWidth="1"/>
    <col min="5" max="5" width="12.85546875" customWidth="1"/>
    <col min="8" max="8" width="11" customWidth="1"/>
    <col min="11" max="11" width="11" customWidth="1"/>
    <col min="12" max="12" width="10.85546875" customWidth="1"/>
    <col min="15" max="15" width="11.28515625" customWidth="1"/>
    <col min="18" max="18" width="10.5703125" customWidth="1"/>
    <col min="22" max="22" width="10.5703125" customWidth="1"/>
    <col min="28" max="28" width="10.7109375" customWidth="1"/>
  </cols>
  <sheetData>
    <row r="1" spans="1:32" x14ac:dyDescent="0.2">
      <c r="A1" s="25"/>
      <c r="B1" s="41"/>
      <c r="C1" s="26"/>
      <c r="D1" s="26"/>
      <c r="E1" s="26"/>
      <c r="F1" s="26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2" ht="13.5" thickBot="1" x14ac:dyDescent="0.25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2" ht="60.75" customHeight="1" thickBot="1" x14ac:dyDescent="0.25">
      <c r="A3" s="3"/>
      <c r="B3" s="51" t="s">
        <v>10</v>
      </c>
      <c r="C3" s="52"/>
      <c r="D3" s="53"/>
      <c r="E3" s="51" t="s">
        <v>11</v>
      </c>
      <c r="F3" s="52"/>
      <c r="G3" s="53"/>
      <c r="H3" s="51" t="s">
        <v>12</v>
      </c>
      <c r="I3" s="52"/>
      <c r="J3" s="53"/>
      <c r="K3" s="51" t="s">
        <v>13</v>
      </c>
      <c r="L3" s="52"/>
      <c r="M3" s="53"/>
      <c r="N3" s="19"/>
      <c r="O3" s="51" t="s">
        <v>4</v>
      </c>
      <c r="P3" s="52"/>
      <c r="Q3" s="53"/>
      <c r="R3" s="51" t="s">
        <v>3</v>
      </c>
      <c r="S3" s="52"/>
      <c r="T3" s="53"/>
      <c r="U3" s="51" t="s">
        <v>6</v>
      </c>
      <c r="V3" s="52"/>
      <c r="W3" s="53"/>
      <c r="X3" s="51" t="s">
        <v>7</v>
      </c>
      <c r="Y3" s="52"/>
      <c r="Z3" s="53"/>
      <c r="AA3" s="19"/>
      <c r="AB3" s="48" t="s">
        <v>8</v>
      </c>
      <c r="AC3" s="49"/>
      <c r="AD3" s="50"/>
      <c r="AF3" s="35" t="s">
        <v>9</v>
      </c>
    </row>
    <row r="4" spans="1:32" x14ac:dyDescent="0.2">
      <c r="A4" s="27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2" t="s">
        <v>0</v>
      </c>
      <c r="AC4" s="33" t="s">
        <v>1</v>
      </c>
      <c r="AD4" s="34" t="s">
        <v>2</v>
      </c>
      <c r="AF4" s="5" t="s">
        <v>2</v>
      </c>
    </row>
    <row r="5" spans="1:32" x14ac:dyDescent="0.2">
      <c r="A5" s="28">
        <v>38565</v>
      </c>
      <c r="B5" s="7">
        <f>'[10]Aug Prod'!I4</f>
        <v>33300000.000001092</v>
      </c>
      <c r="C5" s="8">
        <f>B5/1000000</f>
        <v>33.300000000001091</v>
      </c>
      <c r="D5" s="10">
        <f>C5*3.07</f>
        <v>102.23100000000335</v>
      </c>
      <c r="E5" s="7">
        <f>'[10]Aug Prod'!E4</f>
        <v>22000000</v>
      </c>
      <c r="F5" s="8">
        <f>E5/1000000</f>
        <v>22</v>
      </c>
      <c r="G5" s="10">
        <f>F5*3.07</f>
        <v>67.539999999999992</v>
      </c>
      <c r="H5" s="7">
        <f>'[10]Aug Prod'!F4</f>
        <v>12130000</v>
      </c>
      <c r="I5" s="8">
        <f>H5/1000000</f>
        <v>12.13</v>
      </c>
      <c r="J5" s="10">
        <f>I5*3.07</f>
        <v>37.239100000000001</v>
      </c>
      <c r="K5" s="7">
        <f>'[10]Aug Prod'!H259</f>
        <v>2631794</v>
      </c>
      <c r="L5" s="8">
        <f>K5/1000000</f>
        <v>2.6317940000000002</v>
      </c>
      <c r="M5" s="10">
        <f>L5*3.07</f>
        <v>8.0796075799999993</v>
      </c>
      <c r="N5" s="21"/>
      <c r="O5" s="7">
        <f>'[10]Aug Prod'!H4</f>
        <v>5104999.9999999981</v>
      </c>
      <c r="P5" s="8">
        <f>O5/1000000</f>
        <v>5.1049999999999978</v>
      </c>
      <c r="Q5" s="10">
        <f>P5*3.07</f>
        <v>15.672349999999993</v>
      </c>
      <c r="R5" s="7">
        <f>'[10]Aug Prod'!C4</f>
        <v>5144000</v>
      </c>
      <c r="S5" s="8">
        <f>R5/1000000</f>
        <v>5.1440000000000001</v>
      </c>
      <c r="T5" s="10">
        <f>S5*3.07</f>
        <v>15.79208</v>
      </c>
      <c r="U5" s="7">
        <f>'[10]Aug Prod'!D4</f>
        <v>0</v>
      </c>
      <c r="V5" s="8">
        <f>U5/1000000</f>
        <v>0</v>
      </c>
      <c r="W5" s="10">
        <f>V5*3.07</f>
        <v>0</v>
      </c>
      <c r="X5" s="7">
        <f>'[10]Aug Prod'!D259</f>
        <v>39000.000000001477</v>
      </c>
      <c r="Y5" s="8">
        <f>X5/1000000</f>
        <v>3.9000000000001478E-2</v>
      </c>
      <c r="Z5" s="10">
        <f>Y5*3.07</f>
        <v>0.11973000000000453</v>
      </c>
      <c r="AA5" s="15"/>
      <c r="AB5" s="7">
        <f>B5+O5</f>
        <v>38405000.000001088</v>
      </c>
      <c r="AC5" s="8">
        <f>C5+P5</f>
        <v>38.405000000001088</v>
      </c>
      <c r="AD5" s="8">
        <f>D5+Q5</f>
        <v>117.90335000000334</v>
      </c>
      <c r="AF5" s="8">
        <f t="shared" ref="AF5:AF14" si="0">T5-Q5-Z5</f>
        <v>3.1363800445660672E-15</v>
      </c>
    </row>
    <row r="6" spans="1:32" x14ac:dyDescent="0.2">
      <c r="A6" s="28">
        <v>38566</v>
      </c>
      <c r="B6" s="7">
        <f>'[10]Aug Prod'!I5</f>
        <v>24000000</v>
      </c>
      <c r="C6" s="8">
        <f t="shared" ref="C6:C35" si="1">B6/1000000</f>
        <v>24</v>
      </c>
      <c r="D6" s="10">
        <f t="shared" ref="D6:D35" si="2">C6*3.07</f>
        <v>73.679999999999993</v>
      </c>
      <c r="E6" s="7">
        <f>'[10]Aug Prod'!E5</f>
        <v>14000000</v>
      </c>
      <c r="F6" s="8">
        <f t="shared" ref="F6:F35" si="3">E6/1000000</f>
        <v>14</v>
      </c>
      <c r="G6" s="10">
        <f t="shared" ref="G6:G35" si="4">F6*3.07</f>
        <v>42.98</v>
      </c>
      <c r="H6" s="7">
        <f>'[10]Aug Prod'!F5</f>
        <v>11410000</v>
      </c>
      <c r="I6" s="8">
        <f t="shared" ref="I6:I35" si="5">H6/1000000</f>
        <v>11.41</v>
      </c>
      <c r="J6" s="10">
        <f t="shared" ref="J6:J35" si="6">I6*3.07</f>
        <v>35.028700000000001</v>
      </c>
      <c r="K6" s="7">
        <f>'[10]Aug Prod'!H260/1000</f>
        <v>1221630.4720000001</v>
      </c>
      <c r="L6" s="8">
        <f t="shared" ref="L6:L35" si="7">K6/1000000</f>
        <v>1.221630472</v>
      </c>
      <c r="M6" s="10">
        <f t="shared" ref="M6:M35" si="8">L6*3.07</f>
        <v>3.7504055490399999</v>
      </c>
      <c r="N6" s="21"/>
      <c r="O6" s="7">
        <f>'[10]Aug Prod'!H5</f>
        <v>5111000.0000000037</v>
      </c>
      <c r="P6" s="8">
        <f t="shared" ref="P6:P35" si="9">O6/1000000</f>
        <v>5.1110000000000033</v>
      </c>
      <c r="Q6" s="10">
        <f t="shared" ref="Q6:Q36" si="10">P6*3.07</f>
        <v>15.690770000000009</v>
      </c>
      <c r="R6" s="7">
        <f>'[10]Aug Prod'!C5</f>
        <v>5149000</v>
      </c>
      <c r="S6" s="8">
        <f t="shared" ref="S6:S35" si="11">R6/1000000</f>
        <v>5.149</v>
      </c>
      <c r="T6" s="10">
        <f t="shared" ref="T6:T36" si="12">S6*3.07</f>
        <v>15.80743</v>
      </c>
      <c r="U6" s="7">
        <f>'[10]Aug Prod'!D5</f>
        <v>0</v>
      </c>
      <c r="V6" s="8">
        <f t="shared" ref="V6:V35" si="13">U6/1000000</f>
        <v>0</v>
      </c>
      <c r="W6" s="10">
        <f t="shared" ref="W6:W36" si="14">V6*3.07</f>
        <v>0</v>
      </c>
      <c r="X6" s="7">
        <f>'[10]Aug Prod'!D260</f>
        <v>37999.999999996704</v>
      </c>
      <c r="Y6" s="8">
        <f t="shared" ref="Y6:Y35" si="15">X6/1000000</f>
        <v>3.7999999999996703E-2</v>
      </c>
      <c r="Z6" s="10">
        <f t="shared" ref="Z6:Z36" si="16">Y6*3.07</f>
        <v>0.11665999999998987</v>
      </c>
      <c r="AA6" s="15"/>
      <c r="AB6" s="7">
        <f t="shared" ref="AB6:AD35" si="17">B6+O6</f>
        <v>29111000.000000004</v>
      </c>
      <c r="AC6" s="8">
        <f t="shared" si="17"/>
        <v>29.111000000000004</v>
      </c>
      <c r="AD6" s="8">
        <f t="shared" si="17"/>
        <v>89.370770000000007</v>
      </c>
      <c r="AF6" s="8">
        <f t="shared" si="0"/>
        <v>7.9103390504542404E-16</v>
      </c>
    </row>
    <row r="7" spans="1:32" x14ac:dyDescent="0.2">
      <c r="A7" s="28">
        <v>38567</v>
      </c>
      <c r="B7" s="7">
        <f>'[10]Aug Prod'!I6</f>
        <v>34199999.999998912</v>
      </c>
      <c r="C7" s="8">
        <f t="shared" si="1"/>
        <v>34.199999999998916</v>
      </c>
      <c r="D7" s="10">
        <f t="shared" si="2"/>
        <v>104.99399999999666</v>
      </c>
      <c r="E7" s="7">
        <f>'[10]Aug Prod'!E6</f>
        <v>23000000</v>
      </c>
      <c r="F7" s="8">
        <f t="shared" si="3"/>
        <v>23</v>
      </c>
      <c r="G7" s="10">
        <f t="shared" si="4"/>
        <v>70.61</v>
      </c>
      <c r="H7" s="7">
        <f>'[10]Aug Prod'!F6</f>
        <v>12410000</v>
      </c>
      <c r="I7" s="8">
        <f t="shared" si="5"/>
        <v>12.41</v>
      </c>
      <c r="J7" s="10">
        <f t="shared" si="6"/>
        <v>38.098700000000001</v>
      </c>
      <c r="K7" s="7">
        <f>'[10]Aug Prod'!H261</f>
        <v>2786601</v>
      </c>
      <c r="L7" s="8">
        <f t="shared" si="7"/>
        <v>2.7866010000000001</v>
      </c>
      <c r="M7" s="10">
        <f t="shared" si="8"/>
        <v>8.55486507</v>
      </c>
      <c r="N7" s="21"/>
      <c r="O7" s="7">
        <f>'[10]Aug Prod'!H6</f>
        <v>5143999.9999999991</v>
      </c>
      <c r="P7" s="8">
        <f t="shared" si="9"/>
        <v>5.1439999999999992</v>
      </c>
      <c r="Q7" s="10">
        <f t="shared" si="10"/>
        <v>15.792079999999997</v>
      </c>
      <c r="R7" s="7">
        <f>'[10]Aug Prod'!C6</f>
        <v>5162000</v>
      </c>
      <c r="S7" s="8">
        <f t="shared" si="11"/>
        <v>5.1619999999999999</v>
      </c>
      <c r="T7" s="10">
        <f t="shared" si="12"/>
        <v>15.847339999999999</v>
      </c>
      <c r="U7" s="7">
        <f>'[10]Aug Prod'!D6</f>
        <v>0</v>
      </c>
      <c r="V7" s="8">
        <f t="shared" si="13"/>
        <v>0</v>
      </c>
      <c r="W7" s="10">
        <f t="shared" si="14"/>
        <v>0</v>
      </c>
      <c r="X7" s="7">
        <f>'[10]Aug Prod'!D261</f>
        <v>18000.000000000684</v>
      </c>
      <c r="Y7" s="8">
        <f t="shared" si="15"/>
        <v>1.8000000000000686E-2</v>
      </c>
      <c r="Z7" s="10">
        <f t="shared" si="16"/>
        <v>5.5260000000002099E-2</v>
      </c>
      <c r="AA7" s="15"/>
      <c r="AB7" s="7">
        <f t="shared" si="17"/>
        <v>39343999.999998912</v>
      </c>
      <c r="AC7" s="8">
        <f t="shared" si="17"/>
        <v>39.343999999998914</v>
      </c>
      <c r="AD7" s="8">
        <f t="shared" si="17"/>
        <v>120.78607999999666</v>
      </c>
      <c r="AF7" s="8">
        <f t="shared" si="0"/>
        <v>2.0816681711721685E-16</v>
      </c>
    </row>
    <row r="8" spans="1:32" x14ac:dyDescent="0.2">
      <c r="A8" s="28">
        <v>38568</v>
      </c>
      <c r="B8" s="7">
        <f>'[10]Aug Prod'!I7</f>
        <v>33000000</v>
      </c>
      <c r="C8" s="8">
        <f t="shared" si="1"/>
        <v>33</v>
      </c>
      <c r="D8" s="10">
        <f t="shared" si="2"/>
        <v>101.30999999999999</v>
      </c>
      <c r="E8" s="7">
        <f>'[10]Aug Prod'!E7</f>
        <v>24299999.999999274</v>
      </c>
      <c r="F8" s="8">
        <f t="shared" si="3"/>
        <v>24.299999999999272</v>
      </c>
      <c r="G8" s="10">
        <f t="shared" si="4"/>
        <v>74.600999999997768</v>
      </c>
      <c r="H8" s="7">
        <f>'[10]Aug Prod'!F7</f>
        <v>10020000</v>
      </c>
      <c r="I8" s="8">
        <f t="shared" si="5"/>
        <v>10.02</v>
      </c>
      <c r="J8" s="10">
        <f t="shared" si="6"/>
        <v>30.761399999999998</v>
      </c>
      <c r="K8" s="7">
        <f>'[10]Aug Prod'!H262</f>
        <v>2648000</v>
      </c>
      <c r="L8" s="8">
        <f t="shared" si="7"/>
        <v>2.6480000000000001</v>
      </c>
      <c r="M8" s="10">
        <f t="shared" si="8"/>
        <v>8.1293600000000001</v>
      </c>
      <c r="N8" s="21"/>
      <c r="O8" s="7">
        <f>'[10]Aug Prod'!H7</f>
        <v>5122000.0000000084</v>
      </c>
      <c r="P8" s="8">
        <f t="shared" si="9"/>
        <v>5.1220000000000088</v>
      </c>
      <c r="Q8" s="10">
        <f t="shared" si="10"/>
        <v>15.724540000000026</v>
      </c>
      <c r="R8" s="7">
        <f>'[10]Aug Prod'!C7</f>
        <v>5150000</v>
      </c>
      <c r="S8" s="8">
        <f t="shared" si="11"/>
        <v>5.15</v>
      </c>
      <c r="T8" s="10">
        <f t="shared" si="12"/>
        <v>15.810500000000001</v>
      </c>
      <c r="U8" s="7">
        <f>'[10]Aug Prod'!D7</f>
        <v>0</v>
      </c>
      <c r="V8" s="8">
        <f t="shared" si="13"/>
        <v>0</v>
      </c>
      <c r="W8" s="10">
        <f t="shared" si="14"/>
        <v>0</v>
      </c>
      <c r="X8" s="7">
        <f>'[10]Aug Prod'!D262</f>
        <v>27999.999999991589</v>
      </c>
      <c r="Y8" s="8">
        <f t="shared" si="15"/>
        <v>2.7999999999991591E-2</v>
      </c>
      <c r="Z8" s="10">
        <f t="shared" si="16"/>
        <v>8.5959999999974182E-2</v>
      </c>
      <c r="AA8" s="15"/>
      <c r="AB8" s="7">
        <f t="shared" si="17"/>
        <v>38122000.000000007</v>
      </c>
      <c r="AC8" s="8">
        <f t="shared" si="17"/>
        <v>38.122000000000007</v>
      </c>
      <c r="AD8" s="8">
        <f>D8+Q8</f>
        <v>117.03454000000002</v>
      </c>
      <c r="AF8" s="8">
        <f t="shared" si="0"/>
        <v>9.8532293435482643E-16</v>
      </c>
    </row>
    <row r="9" spans="1:32" x14ac:dyDescent="0.2">
      <c r="A9" s="28">
        <v>38569</v>
      </c>
      <c r="B9" s="7">
        <f>'[10]Aug Prod'!I8</f>
        <v>32900000.000001457</v>
      </c>
      <c r="C9" s="8">
        <f t="shared" si="1"/>
        <v>32.900000000001455</v>
      </c>
      <c r="D9" s="10">
        <f t="shared" si="2"/>
        <v>101.00300000000446</v>
      </c>
      <c r="E9" s="7">
        <f>'[10]Aug Prod'!E8</f>
        <v>24700000.000000726</v>
      </c>
      <c r="F9" s="8">
        <f t="shared" si="3"/>
        <v>24.700000000000728</v>
      </c>
      <c r="G9" s="10">
        <f t="shared" si="4"/>
        <v>75.829000000002225</v>
      </c>
      <c r="H9" s="7">
        <f>'[10]Aug Prod'!F8</f>
        <v>10010000</v>
      </c>
      <c r="I9" s="8">
        <f t="shared" si="5"/>
        <v>10.01</v>
      </c>
      <c r="J9" s="10">
        <f t="shared" si="6"/>
        <v>30.730699999999999</v>
      </c>
      <c r="K9" s="7">
        <f>'[10]Aug Prod'!H263</f>
        <v>2543317</v>
      </c>
      <c r="L9" s="8">
        <f t="shared" si="7"/>
        <v>2.543317</v>
      </c>
      <c r="M9" s="10">
        <f t="shared" si="8"/>
        <v>7.8079831899999999</v>
      </c>
      <c r="N9" s="21"/>
      <c r="O9" s="7">
        <f>'[10]Aug Prod'!H8</f>
        <v>5076999.9999999991</v>
      </c>
      <c r="P9" s="8">
        <f t="shared" si="9"/>
        <v>5.0769999999999991</v>
      </c>
      <c r="Q9" s="10">
        <f t="shared" si="10"/>
        <v>15.586389999999996</v>
      </c>
      <c r="R9" s="7">
        <f>'[10]Aug Prod'!C8</f>
        <v>5104000</v>
      </c>
      <c r="S9" s="8">
        <f t="shared" si="11"/>
        <v>5.1040000000000001</v>
      </c>
      <c r="T9" s="10">
        <f t="shared" si="12"/>
        <v>15.669279999999999</v>
      </c>
      <c r="U9" s="7">
        <f>'[10]Aug Prod'!D8</f>
        <v>0</v>
      </c>
      <c r="V9" s="8">
        <f t="shared" si="13"/>
        <v>0</v>
      </c>
      <c r="W9" s="10">
        <f t="shared" si="14"/>
        <v>0</v>
      </c>
      <c r="X9" s="7">
        <f>'[10]Aug Prod'!D263</f>
        <v>27000.000000001022</v>
      </c>
      <c r="Y9" s="8">
        <f t="shared" si="15"/>
        <v>2.7000000000001023E-2</v>
      </c>
      <c r="Z9" s="10">
        <f t="shared" si="16"/>
        <v>8.2890000000003142E-2</v>
      </c>
      <c r="AA9" s="15"/>
      <c r="AB9" s="7">
        <f t="shared" si="17"/>
        <v>37977000.000001453</v>
      </c>
      <c r="AC9" s="8">
        <f t="shared" si="17"/>
        <v>37.977000000001453</v>
      </c>
      <c r="AD9" s="8">
        <f t="shared" si="17"/>
        <v>116.58939000000446</v>
      </c>
      <c r="AF9" s="8">
        <f t="shared" si="0"/>
        <v>-5.6898930012039273E-16</v>
      </c>
    </row>
    <row r="10" spans="1:32" x14ac:dyDescent="0.2">
      <c r="A10" s="28">
        <v>38570</v>
      </c>
      <c r="B10" s="7">
        <f>'[10]Aug Prod'!I9</f>
        <v>33299999.999999274</v>
      </c>
      <c r="C10" s="8">
        <f t="shared" si="1"/>
        <v>33.299999999999272</v>
      </c>
      <c r="D10" s="10">
        <f t="shared" si="2"/>
        <v>102.23099999999776</v>
      </c>
      <c r="E10" s="7">
        <f>'[10]Aug Prod'!E9</f>
        <v>25000000</v>
      </c>
      <c r="F10" s="8">
        <f t="shared" si="3"/>
        <v>25</v>
      </c>
      <c r="G10" s="10">
        <f t="shared" si="4"/>
        <v>76.75</v>
      </c>
      <c r="H10" s="7">
        <f>'[10]Aug Prod'!F9</f>
        <v>9970000</v>
      </c>
      <c r="I10" s="8">
        <f t="shared" si="5"/>
        <v>9.9700000000000006</v>
      </c>
      <c r="J10" s="10">
        <f t="shared" si="6"/>
        <v>30.607900000000001</v>
      </c>
      <c r="K10" s="7">
        <f>'[10]Aug Prod'!H264</f>
        <v>2625335</v>
      </c>
      <c r="L10" s="8">
        <f t="shared" si="7"/>
        <v>2.6253350000000002</v>
      </c>
      <c r="M10" s="10">
        <f t="shared" si="8"/>
        <v>8.0597784499999996</v>
      </c>
      <c r="N10" s="21"/>
      <c r="O10" s="7">
        <f>'[10]Aug Prod'!H9</f>
        <v>5064999.9999999935</v>
      </c>
      <c r="P10" s="8">
        <f t="shared" si="9"/>
        <v>5.0649999999999933</v>
      </c>
      <c r="Q10" s="10">
        <f t="shared" si="10"/>
        <v>15.549549999999979</v>
      </c>
      <c r="R10" s="7">
        <f>'[10]Aug Prod'!C9</f>
        <v>5102000</v>
      </c>
      <c r="S10" s="8">
        <f t="shared" si="11"/>
        <v>5.1020000000000003</v>
      </c>
      <c r="T10" s="10">
        <f t="shared" si="12"/>
        <v>15.66314</v>
      </c>
      <c r="U10" s="7">
        <f>'[10]Aug Prod'!D9</f>
        <v>0</v>
      </c>
      <c r="V10" s="8">
        <f t="shared" si="13"/>
        <v>0</v>
      </c>
      <c r="W10" s="10">
        <f t="shared" si="14"/>
        <v>0</v>
      </c>
      <c r="X10" s="7">
        <f>'[10]Aug Prod'!D264</f>
        <v>37000.000000006141</v>
      </c>
      <c r="Y10" s="8">
        <f t="shared" si="15"/>
        <v>3.7000000000006139E-2</v>
      </c>
      <c r="Z10" s="10">
        <f t="shared" si="16"/>
        <v>0.11359000000001884</v>
      </c>
      <c r="AA10" s="15"/>
      <c r="AB10" s="7">
        <f t="shared" si="17"/>
        <v>38364999.99999927</v>
      </c>
      <c r="AC10" s="8">
        <f t="shared" si="17"/>
        <v>38.364999999999263</v>
      </c>
      <c r="AD10" s="8">
        <f t="shared" si="17"/>
        <v>117.78054999999775</v>
      </c>
      <c r="AF10" s="8">
        <f t="shared" si="0"/>
        <v>2.7755575615628914E-15</v>
      </c>
    </row>
    <row r="11" spans="1:32" x14ac:dyDescent="0.2">
      <c r="A11" s="28">
        <v>38571</v>
      </c>
      <c r="B11" s="7">
        <f>'[10]Aug Prod'!I10</f>
        <v>35000000</v>
      </c>
      <c r="C11" s="8">
        <f t="shared" si="1"/>
        <v>35</v>
      </c>
      <c r="D11" s="10">
        <f t="shared" si="2"/>
        <v>107.44999999999999</v>
      </c>
      <c r="E11" s="7">
        <f>'[10]Aug Prod'!E10</f>
        <v>27000000</v>
      </c>
      <c r="F11" s="8">
        <f t="shared" si="3"/>
        <v>27</v>
      </c>
      <c r="G11" s="10">
        <f t="shared" si="4"/>
        <v>82.89</v>
      </c>
      <c r="H11" s="7">
        <f>'[10]Aug Prod'!F10</f>
        <v>9840000</v>
      </c>
      <c r="I11" s="8">
        <f t="shared" si="5"/>
        <v>9.84</v>
      </c>
      <c r="J11" s="10">
        <f t="shared" si="6"/>
        <v>30.208799999999997</v>
      </c>
      <c r="K11" s="7">
        <f>'[10]Aug Prod'!H265</f>
        <v>2719770</v>
      </c>
      <c r="L11" s="8">
        <f t="shared" si="7"/>
        <v>2.71977</v>
      </c>
      <c r="M11" s="10">
        <f t="shared" si="8"/>
        <v>8.3496939000000001</v>
      </c>
      <c r="N11" s="21"/>
      <c r="O11" s="7">
        <f>'[10]Aug Prod'!H10</f>
        <v>5099999.9999999981</v>
      </c>
      <c r="P11" s="8">
        <f t="shared" si="9"/>
        <v>5.0999999999999979</v>
      </c>
      <c r="Q11" s="10">
        <f t="shared" si="10"/>
        <v>15.656999999999993</v>
      </c>
      <c r="R11" s="7">
        <f>'[10]Aug Prod'!C10</f>
        <v>5139000</v>
      </c>
      <c r="S11" s="8">
        <f t="shared" si="11"/>
        <v>5.1390000000000002</v>
      </c>
      <c r="T11" s="10">
        <f t="shared" si="12"/>
        <v>15.776730000000001</v>
      </c>
      <c r="U11" s="7">
        <f>'[10]Aug Prod'!D10</f>
        <v>0</v>
      </c>
      <c r="V11" s="8">
        <f t="shared" si="13"/>
        <v>0</v>
      </c>
      <c r="W11" s="10">
        <f t="shared" si="14"/>
        <v>0</v>
      </c>
      <c r="X11" s="7">
        <f>'[10]Aug Prod'!D265</f>
        <v>39000.000000001477</v>
      </c>
      <c r="Y11" s="8">
        <f t="shared" si="15"/>
        <v>3.9000000000001478E-2</v>
      </c>
      <c r="Z11" s="10">
        <f t="shared" si="16"/>
        <v>0.11973000000000453</v>
      </c>
      <c r="AA11" s="15"/>
      <c r="AB11" s="7">
        <f t="shared" si="17"/>
        <v>40100000</v>
      </c>
      <c r="AC11" s="8">
        <f t="shared" si="17"/>
        <v>40.099999999999994</v>
      </c>
      <c r="AD11" s="8">
        <f t="shared" si="17"/>
        <v>123.10699999999999</v>
      </c>
      <c r="AF11" s="8">
        <f t="shared" si="0"/>
        <v>3.1363800445660672E-15</v>
      </c>
    </row>
    <row r="12" spans="1:32" x14ac:dyDescent="0.2">
      <c r="A12" s="28">
        <v>38572</v>
      </c>
      <c r="B12" s="7">
        <f>'[10]Aug Prod'!I11</f>
        <v>34399999.999999635</v>
      </c>
      <c r="C12" s="8">
        <f t="shared" si="1"/>
        <v>34.399999999999636</v>
      </c>
      <c r="D12" s="10">
        <f t="shared" si="2"/>
        <v>105.60799999999888</v>
      </c>
      <c r="E12" s="7">
        <f>'[10]Aug Prod'!E11</f>
        <v>37000000</v>
      </c>
      <c r="F12" s="8">
        <f t="shared" si="3"/>
        <v>37</v>
      </c>
      <c r="G12" s="10">
        <f t="shared" si="4"/>
        <v>113.58999999999999</v>
      </c>
      <c r="H12" s="7">
        <f>'[10]Aug Prod'!F11</f>
        <v>0</v>
      </c>
      <c r="I12" s="8">
        <f t="shared" si="5"/>
        <v>0</v>
      </c>
      <c r="J12" s="10">
        <f t="shared" si="6"/>
        <v>0</v>
      </c>
      <c r="K12" s="7">
        <f>'[10]Aug Prod'!H266</f>
        <v>2677350</v>
      </c>
      <c r="L12" s="8">
        <f t="shared" si="7"/>
        <v>2.6773500000000001</v>
      </c>
      <c r="M12" s="10">
        <f t="shared" si="8"/>
        <v>8.2194644999999991</v>
      </c>
      <c r="N12" s="21"/>
      <c r="O12" s="7">
        <f>'[10]Aug Prod'!H11</f>
        <v>5108000.0000000037</v>
      </c>
      <c r="P12" s="8">
        <f t="shared" si="9"/>
        <v>5.1080000000000041</v>
      </c>
      <c r="Q12" s="10">
        <f t="shared" si="10"/>
        <v>15.681560000000012</v>
      </c>
      <c r="R12" s="7">
        <f>'[10]Aug Prod'!C11</f>
        <v>5146000</v>
      </c>
      <c r="S12" s="8">
        <f t="shared" si="11"/>
        <v>5.1459999999999999</v>
      </c>
      <c r="T12" s="10">
        <f t="shared" si="12"/>
        <v>15.798219999999999</v>
      </c>
      <c r="U12" s="7">
        <f>'[10]Aug Prod'!D11</f>
        <v>0</v>
      </c>
      <c r="V12" s="8">
        <f t="shared" si="13"/>
        <v>0</v>
      </c>
      <c r="W12" s="10">
        <f t="shared" si="14"/>
        <v>0</v>
      </c>
      <c r="X12" s="7">
        <f>'[10]Aug Prod'!D266</f>
        <v>37999.999999996704</v>
      </c>
      <c r="Y12" s="8">
        <f t="shared" si="15"/>
        <v>3.7999999999996703E-2</v>
      </c>
      <c r="Z12" s="10">
        <f t="shared" si="16"/>
        <v>0.11665999999998987</v>
      </c>
      <c r="AA12" s="15"/>
      <c r="AB12" s="7">
        <f t="shared" si="17"/>
        <v>39507999.999999642</v>
      </c>
      <c r="AC12" s="8">
        <f t="shared" si="17"/>
        <v>39.50799999999964</v>
      </c>
      <c r="AD12" s="8">
        <f t="shared" si="17"/>
        <v>121.28955999999889</v>
      </c>
      <c r="AF12" s="8">
        <f t="shared" si="0"/>
        <v>-2.7616797737550769E-15</v>
      </c>
    </row>
    <row r="13" spans="1:32" x14ac:dyDescent="0.2">
      <c r="A13" s="28">
        <v>38573</v>
      </c>
      <c r="B13" s="7">
        <f>'[10]Aug Prod'!I12</f>
        <v>35600000.000000365</v>
      </c>
      <c r="C13" s="8">
        <f t="shared" si="1"/>
        <v>35.600000000000364</v>
      </c>
      <c r="D13" s="10">
        <f t="shared" si="2"/>
        <v>109.29200000000111</v>
      </c>
      <c r="E13" s="7">
        <f>'[10]Aug Prod'!E12</f>
        <v>32000000</v>
      </c>
      <c r="F13" s="8">
        <f t="shared" si="3"/>
        <v>32</v>
      </c>
      <c r="G13" s="10">
        <f t="shared" si="4"/>
        <v>98.24</v>
      </c>
      <c r="H13" s="7">
        <f>'[10]Aug Prod'!F12</f>
        <v>5100000.0000000009</v>
      </c>
      <c r="I13" s="8">
        <f t="shared" si="5"/>
        <v>5.1000000000000005</v>
      </c>
      <c r="J13" s="10">
        <f t="shared" si="6"/>
        <v>15.657</v>
      </c>
      <c r="K13" s="7">
        <f>'[10]Aug Prod'!H267</f>
        <v>2871607</v>
      </c>
      <c r="L13" s="8">
        <f t="shared" si="7"/>
        <v>2.871607</v>
      </c>
      <c r="M13" s="10">
        <f t="shared" si="8"/>
        <v>8.8158334899999993</v>
      </c>
      <c r="N13" s="21"/>
      <c r="O13" s="7">
        <f>'[10]Aug Prod'!H12</f>
        <v>5036000.0000000037</v>
      </c>
      <c r="P13" s="8">
        <f t="shared" si="9"/>
        <v>5.036000000000004</v>
      </c>
      <c r="Q13" s="10">
        <f t="shared" si="10"/>
        <v>15.460520000000011</v>
      </c>
      <c r="R13" s="7">
        <f>'[10]Aug Prod'!C12</f>
        <v>5074000</v>
      </c>
      <c r="S13" s="8">
        <f t="shared" si="11"/>
        <v>5.0739999999999998</v>
      </c>
      <c r="T13" s="10">
        <f t="shared" si="12"/>
        <v>15.577179999999998</v>
      </c>
      <c r="U13" s="7">
        <f>'[10]Aug Prod'!D12</f>
        <v>0</v>
      </c>
      <c r="V13" s="8">
        <f t="shared" si="13"/>
        <v>0</v>
      </c>
      <c r="W13" s="10">
        <f t="shared" si="14"/>
        <v>0</v>
      </c>
      <c r="X13" s="7">
        <f>'[10]Aug Prod'!D267</f>
        <v>37999.999999996704</v>
      </c>
      <c r="Y13" s="8">
        <f t="shared" si="15"/>
        <v>3.7999999999996703E-2</v>
      </c>
      <c r="Z13" s="10">
        <f t="shared" si="16"/>
        <v>0.11665999999998987</v>
      </c>
      <c r="AA13" s="15"/>
      <c r="AB13" s="7">
        <f t="shared" si="17"/>
        <v>40636000.000000373</v>
      </c>
      <c r="AC13" s="8">
        <f t="shared" si="17"/>
        <v>40.636000000000365</v>
      </c>
      <c r="AD13" s="8">
        <f t="shared" si="17"/>
        <v>124.75252000000113</v>
      </c>
      <c r="AF13" s="8">
        <f t="shared" si="0"/>
        <v>-2.7616797737550769E-15</v>
      </c>
    </row>
    <row r="14" spans="1:32" x14ac:dyDescent="0.2">
      <c r="A14" s="28">
        <v>38574</v>
      </c>
      <c r="B14" s="7">
        <f>'[10]Aug Prod'!I13</f>
        <v>33200000.000000726</v>
      </c>
      <c r="C14" s="8">
        <f t="shared" si="1"/>
        <v>33.200000000000728</v>
      </c>
      <c r="D14" s="10">
        <f t="shared" si="2"/>
        <v>101.92400000000222</v>
      </c>
      <c r="E14" s="7">
        <f>'[10]Aug Prod'!E13</f>
        <v>25000000</v>
      </c>
      <c r="F14" s="8">
        <f t="shared" si="3"/>
        <v>25</v>
      </c>
      <c r="G14" s="10">
        <f t="shared" si="4"/>
        <v>76.75</v>
      </c>
      <c r="H14" s="7">
        <f>'[10]Aug Prod'!F13</f>
        <v>9910000</v>
      </c>
      <c r="I14" s="8">
        <f t="shared" si="5"/>
        <v>9.91</v>
      </c>
      <c r="J14" s="10">
        <f t="shared" si="6"/>
        <v>30.4237</v>
      </c>
      <c r="K14" s="7">
        <f>'[10]Aug Prod'!H268</f>
        <v>2586745</v>
      </c>
      <c r="L14" s="8">
        <f t="shared" si="7"/>
        <v>2.5867450000000001</v>
      </c>
      <c r="M14" s="10">
        <f t="shared" si="8"/>
        <v>7.9413071500000001</v>
      </c>
      <c r="N14" s="21"/>
      <c r="O14" s="7">
        <f>'[10]Aug Prod'!H13</f>
        <v>5003000.0000000037</v>
      </c>
      <c r="P14" s="8">
        <f t="shared" si="9"/>
        <v>5.0030000000000037</v>
      </c>
      <c r="Q14" s="10">
        <f t="shared" si="10"/>
        <v>15.35921000000001</v>
      </c>
      <c r="R14" s="7">
        <f>'[10]Aug Prod'!C13</f>
        <v>5041000</v>
      </c>
      <c r="S14" s="8">
        <f t="shared" si="11"/>
        <v>5.0410000000000004</v>
      </c>
      <c r="T14" s="10">
        <f t="shared" si="12"/>
        <v>15.47587</v>
      </c>
      <c r="U14" s="7">
        <f>'[10]Aug Prod'!D13</f>
        <v>0</v>
      </c>
      <c r="V14" s="8">
        <f t="shared" si="13"/>
        <v>0</v>
      </c>
      <c r="W14" s="10">
        <f t="shared" si="14"/>
        <v>0</v>
      </c>
      <c r="X14" s="7">
        <f>'[10]Aug Prod'!D268</f>
        <v>37999.999999996704</v>
      </c>
      <c r="Y14" s="8">
        <f t="shared" si="15"/>
        <v>3.7999999999996703E-2</v>
      </c>
      <c r="Z14" s="10">
        <f t="shared" si="16"/>
        <v>0.11665999999998987</v>
      </c>
      <c r="AA14" s="15"/>
      <c r="AB14" s="7">
        <f t="shared" si="17"/>
        <v>38203000.00000073</v>
      </c>
      <c r="AC14" s="8">
        <f t="shared" si="17"/>
        <v>38.203000000000728</v>
      </c>
      <c r="AD14" s="8">
        <f t="shared" si="17"/>
        <v>117.28321000000223</v>
      </c>
      <c r="AF14" s="8">
        <f t="shared" si="0"/>
        <v>7.9103390504542404E-16</v>
      </c>
    </row>
    <row r="15" spans="1:32" x14ac:dyDescent="0.2">
      <c r="A15" s="28">
        <v>38575</v>
      </c>
      <c r="B15" s="7">
        <f>'[10]Aug Prod'!I14</f>
        <v>35099999.999998547</v>
      </c>
      <c r="C15" s="8">
        <f t="shared" si="1"/>
        <v>35.099999999998545</v>
      </c>
      <c r="D15" s="10">
        <f t="shared" si="2"/>
        <v>107.75699999999553</v>
      </c>
      <c r="E15" s="7">
        <f>'[10]Aug Prod'!E14</f>
        <v>28000000</v>
      </c>
      <c r="F15" s="8">
        <f t="shared" si="3"/>
        <v>28</v>
      </c>
      <c r="G15" s="10">
        <f t="shared" si="4"/>
        <v>85.96</v>
      </c>
      <c r="H15" s="7">
        <f>'[10]Aug Prod'!F14</f>
        <v>10000000</v>
      </c>
      <c r="I15" s="8">
        <f t="shared" si="5"/>
        <v>10</v>
      </c>
      <c r="J15" s="10">
        <f t="shared" si="6"/>
        <v>30.7</v>
      </c>
      <c r="K15" s="7">
        <f>'[10]Aug Prod'!H269</f>
        <v>2714955</v>
      </c>
      <c r="L15" s="8">
        <f t="shared" si="7"/>
        <v>2.7149549999999998</v>
      </c>
      <c r="M15" s="10">
        <f t="shared" si="8"/>
        <v>8.3349118499999992</v>
      </c>
      <c r="N15" s="21"/>
      <c r="O15" s="7">
        <f>'[10]Aug Prod'!H14</f>
        <v>5017999.9999999935</v>
      </c>
      <c r="P15" s="8">
        <f t="shared" si="9"/>
        <v>5.0179999999999936</v>
      </c>
      <c r="Q15" s="10">
        <f t="shared" si="10"/>
        <v>15.405259999999979</v>
      </c>
      <c r="R15" s="7">
        <f>'[10]Aug Prod'!C14</f>
        <v>5055000</v>
      </c>
      <c r="S15" s="8">
        <f t="shared" si="11"/>
        <v>5.0549999999999997</v>
      </c>
      <c r="T15" s="10">
        <f t="shared" si="12"/>
        <v>15.518849999999999</v>
      </c>
      <c r="U15" s="7">
        <f>'[10]Aug Prod'!D14</f>
        <v>0</v>
      </c>
      <c r="V15" s="8">
        <f t="shared" si="13"/>
        <v>0</v>
      </c>
      <c r="W15" s="10">
        <f t="shared" si="14"/>
        <v>0</v>
      </c>
      <c r="X15" s="7">
        <f>'[10]Aug Prod'!D269</f>
        <v>37000.000000006141</v>
      </c>
      <c r="Y15" s="8">
        <f t="shared" si="15"/>
        <v>3.7000000000006139E-2</v>
      </c>
      <c r="Z15" s="10">
        <f t="shared" si="16"/>
        <v>0.11359000000001884</v>
      </c>
      <c r="AA15" s="15"/>
      <c r="AB15" s="7">
        <f t="shared" si="17"/>
        <v>40117999.99999854</v>
      </c>
      <c r="AC15" s="8">
        <f t="shared" si="17"/>
        <v>40.117999999998538</v>
      </c>
      <c r="AD15" s="8">
        <f t="shared" si="17"/>
        <v>123.16225999999551</v>
      </c>
      <c r="AF15" s="8">
        <f>T15-Q15-Z15</f>
        <v>9.9920072216264089E-16</v>
      </c>
    </row>
    <row r="16" spans="1:32" x14ac:dyDescent="0.2">
      <c r="A16" s="28">
        <v>38576</v>
      </c>
      <c r="B16" s="7">
        <f>'[10]Aug Prod'!I15</f>
        <v>31500000</v>
      </c>
      <c r="C16" s="8">
        <f t="shared" si="1"/>
        <v>31.5</v>
      </c>
      <c r="D16" s="10">
        <f t="shared" si="2"/>
        <v>96.704999999999998</v>
      </c>
      <c r="E16" s="7">
        <f>'[10]Aug Prod'!E15</f>
        <v>22000000</v>
      </c>
      <c r="F16" s="8">
        <f t="shared" si="3"/>
        <v>22</v>
      </c>
      <c r="G16" s="10">
        <f t="shared" si="4"/>
        <v>67.539999999999992</v>
      </c>
      <c r="H16" s="7">
        <f>'[10]Aug Prod'!F15</f>
        <v>10020000</v>
      </c>
      <c r="I16" s="8">
        <f t="shared" si="5"/>
        <v>10.02</v>
      </c>
      <c r="J16" s="10">
        <f t="shared" si="6"/>
        <v>30.761399999999998</v>
      </c>
      <c r="K16" s="7">
        <f>'[10]Aug Prod'!H270</f>
        <v>2399818</v>
      </c>
      <c r="L16" s="8">
        <f t="shared" si="7"/>
        <v>2.3998179999999998</v>
      </c>
      <c r="M16" s="10">
        <f t="shared" si="8"/>
        <v>7.3674412599999988</v>
      </c>
      <c r="N16" s="21"/>
      <c r="O16" s="7">
        <f>'[10]Aug Prod'!H15</f>
        <v>5083999.9999999935</v>
      </c>
      <c r="P16" s="8">
        <f t="shared" si="9"/>
        <v>5.0839999999999934</v>
      </c>
      <c r="Q16" s="10">
        <f t="shared" si="10"/>
        <v>15.607879999999978</v>
      </c>
      <c r="R16" s="7">
        <f>'[10]Aug Prod'!C15</f>
        <v>5124000</v>
      </c>
      <c r="S16" s="8">
        <f t="shared" si="11"/>
        <v>5.1239999999999997</v>
      </c>
      <c r="T16" s="10">
        <f t="shared" si="12"/>
        <v>15.730679999999998</v>
      </c>
      <c r="U16" s="7">
        <f>'[10]Aug Prod'!D15</f>
        <v>0</v>
      </c>
      <c r="V16" s="8">
        <f t="shared" si="13"/>
        <v>0</v>
      </c>
      <c r="W16" s="10">
        <f t="shared" si="14"/>
        <v>0</v>
      </c>
      <c r="X16" s="7">
        <f>'[10]Aug Prod'!D270</f>
        <v>40000.00000000625</v>
      </c>
      <c r="Y16" s="8">
        <f t="shared" si="15"/>
        <v>4.0000000000006253E-2</v>
      </c>
      <c r="Z16" s="10">
        <f t="shared" si="16"/>
        <v>0.12280000000001919</v>
      </c>
      <c r="AA16" s="15"/>
      <c r="AB16" s="7">
        <f t="shared" si="17"/>
        <v>36583999.999999993</v>
      </c>
      <c r="AC16" s="8">
        <f t="shared" si="17"/>
        <v>36.583999999999996</v>
      </c>
      <c r="AD16" s="8">
        <f t="shared" si="17"/>
        <v>112.31287999999998</v>
      </c>
      <c r="AF16" s="8">
        <f>T16-Q16-Z16</f>
        <v>1.5265566588595902E-16</v>
      </c>
    </row>
    <row r="17" spans="1:32" x14ac:dyDescent="0.2">
      <c r="A17" s="28">
        <v>38577</v>
      </c>
      <c r="B17" s="7">
        <f>'[10]Aug Prod'!I16</f>
        <v>32000000</v>
      </c>
      <c r="C17" s="8">
        <f t="shared" si="1"/>
        <v>32</v>
      </c>
      <c r="D17" s="10">
        <f t="shared" si="2"/>
        <v>98.24</v>
      </c>
      <c r="E17" s="7">
        <f>'[10]Aug Prod'!E16</f>
        <v>30000000</v>
      </c>
      <c r="F17" s="8">
        <f t="shared" si="3"/>
        <v>30</v>
      </c>
      <c r="G17" s="10">
        <f t="shared" si="4"/>
        <v>92.1</v>
      </c>
      <c r="H17" s="7">
        <f>'[10]Aug Prod'!F16</f>
        <v>4240000</v>
      </c>
      <c r="I17" s="8">
        <f t="shared" si="5"/>
        <v>4.24</v>
      </c>
      <c r="J17" s="10">
        <f t="shared" si="6"/>
        <v>13.0168</v>
      </c>
      <c r="K17" s="7">
        <f>'[10]Aug Prod'!H271</f>
        <v>2493869</v>
      </c>
      <c r="L17" s="8">
        <f t="shared" si="7"/>
        <v>2.4938690000000001</v>
      </c>
      <c r="M17" s="10">
        <f t="shared" si="8"/>
        <v>7.6561778299999999</v>
      </c>
      <c r="N17" s="21"/>
      <c r="O17" s="7">
        <f>'[10]Aug Prod'!H16</f>
        <v>6666000.0000000037</v>
      </c>
      <c r="P17" s="8">
        <f t="shared" si="9"/>
        <v>6.6660000000000039</v>
      </c>
      <c r="Q17" s="10">
        <f t="shared" si="10"/>
        <v>20.464620000000011</v>
      </c>
      <c r="R17" s="7">
        <f>'[10]Aug Prod'!C16</f>
        <v>6686000</v>
      </c>
      <c r="S17" s="8">
        <f t="shared" si="11"/>
        <v>6.6859999999999999</v>
      </c>
      <c r="T17" s="10">
        <f t="shared" si="12"/>
        <v>20.526019999999999</v>
      </c>
      <c r="U17" s="7">
        <f>'[10]Aug Prod'!D16</f>
        <v>0</v>
      </c>
      <c r="V17" s="8">
        <f t="shared" si="13"/>
        <v>0</v>
      </c>
      <c r="W17" s="10">
        <f t="shared" si="14"/>
        <v>0</v>
      </c>
      <c r="X17" s="7">
        <f>'[10]Aug Prod'!D271</f>
        <v>19999.99999999602</v>
      </c>
      <c r="Y17" s="8">
        <f t="shared" si="15"/>
        <v>1.9999999999996021E-2</v>
      </c>
      <c r="Z17" s="10">
        <f t="shared" si="16"/>
        <v>6.1399999999987784E-2</v>
      </c>
      <c r="AA17" s="15"/>
      <c r="AB17" s="7">
        <f t="shared" si="17"/>
        <v>38666000</v>
      </c>
      <c r="AC17" s="8">
        <f t="shared" si="17"/>
        <v>38.666000000000004</v>
      </c>
      <c r="AD17" s="8">
        <f t="shared" si="17"/>
        <v>118.70462000000001</v>
      </c>
      <c r="AF17" s="8">
        <f>T17-Q17-Z17</f>
        <v>5.6898930012039273E-16</v>
      </c>
    </row>
    <row r="18" spans="1:32" x14ac:dyDescent="0.2">
      <c r="A18" s="28">
        <v>38578</v>
      </c>
      <c r="B18" s="7">
        <f>'[10]Aug Prod'!I17</f>
        <v>28900000.000001457</v>
      </c>
      <c r="C18" s="8">
        <f t="shared" si="1"/>
        <v>28.900000000001455</v>
      </c>
      <c r="D18" s="10">
        <f t="shared" si="2"/>
        <v>88.723000000004461</v>
      </c>
      <c r="E18" s="7">
        <f>'[10]Aug Prod'!E17</f>
        <v>31000000</v>
      </c>
      <c r="F18" s="8">
        <f t="shared" si="3"/>
        <v>31</v>
      </c>
      <c r="G18" s="10">
        <f t="shared" si="4"/>
        <v>95.17</v>
      </c>
      <c r="H18" s="7">
        <f>'[10]Aug Prod'!F17</f>
        <v>0</v>
      </c>
      <c r="I18" s="8">
        <f t="shared" si="5"/>
        <v>0</v>
      </c>
      <c r="J18" s="10">
        <f t="shared" si="6"/>
        <v>0</v>
      </c>
      <c r="K18" s="7">
        <f>'[10]Aug Prod'!H272</f>
        <v>2270070</v>
      </c>
      <c r="L18" s="8">
        <f t="shared" si="7"/>
        <v>2.27007</v>
      </c>
      <c r="M18" s="10">
        <f t="shared" si="8"/>
        <v>6.9691149000000001</v>
      </c>
      <c r="N18" s="21"/>
      <c r="O18" s="7">
        <f>'[10]Aug Prod'!H17</f>
        <v>5057999.9999999972</v>
      </c>
      <c r="P18" s="8">
        <f t="shared" si="9"/>
        <v>5.0579999999999972</v>
      </c>
      <c r="Q18" s="10">
        <f t="shared" si="10"/>
        <v>15.528059999999991</v>
      </c>
      <c r="R18" s="7">
        <f>'[10]Aug Prod'!C17</f>
        <v>5130000</v>
      </c>
      <c r="S18" s="8">
        <f t="shared" si="11"/>
        <v>5.13</v>
      </c>
      <c r="T18" s="10">
        <f t="shared" si="12"/>
        <v>15.749099999999999</v>
      </c>
      <c r="U18" s="7">
        <f>'[10]Aug Prod'!D17</f>
        <v>0</v>
      </c>
      <c r="V18" s="8">
        <f t="shared" si="13"/>
        <v>0</v>
      </c>
      <c r="W18" s="10">
        <f t="shared" si="14"/>
        <v>0</v>
      </c>
      <c r="X18" s="7">
        <f>'[10]Aug Prod'!D272</f>
        <v>72000.000000002736</v>
      </c>
      <c r="Y18" s="8">
        <f t="shared" si="15"/>
        <v>7.2000000000002742E-2</v>
      </c>
      <c r="Z18" s="10">
        <f t="shared" si="16"/>
        <v>0.2210400000000084</v>
      </c>
      <c r="AA18" s="15"/>
      <c r="AB18" s="7">
        <f t="shared" si="17"/>
        <v>33958000.000001453</v>
      </c>
      <c r="AC18" s="8">
        <f t="shared" si="17"/>
        <v>33.958000000001455</v>
      </c>
      <c r="AD18" s="8">
        <f t="shared" si="17"/>
        <v>104.25106000000446</v>
      </c>
      <c r="AF18" s="8">
        <f>T18-Q18-Z18</f>
        <v>-9.4368957093138306E-16</v>
      </c>
    </row>
    <row r="19" spans="1:32" x14ac:dyDescent="0.2">
      <c r="A19" s="28">
        <v>38579</v>
      </c>
      <c r="B19" s="7">
        <f>'[10]Aug Prod'!I18</f>
        <v>31899999.999997817</v>
      </c>
      <c r="C19" s="8">
        <f t="shared" si="1"/>
        <v>31.899999999997817</v>
      </c>
      <c r="D19" s="10">
        <f t="shared" si="2"/>
        <v>97.932999999993299</v>
      </c>
      <c r="E19" s="7">
        <f>'[10]Aug Prod'!E18</f>
        <v>35000000</v>
      </c>
      <c r="F19" s="8">
        <f t="shared" si="3"/>
        <v>35</v>
      </c>
      <c r="G19" s="10">
        <f t="shared" si="4"/>
        <v>107.44999999999999</v>
      </c>
      <c r="H19" s="7">
        <f>'[10]Aug Prod'!F18</f>
        <v>0</v>
      </c>
      <c r="I19" s="8">
        <f t="shared" si="5"/>
        <v>0</v>
      </c>
      <c r="J19" s="10">
        <f t="shared" si="6"/>
        <v>0</v>
      </c>
      <c r="K19" s="7">
        <f>'[10]Aug Prod'!H273</f>
        <v>2676850</v>
      </c>
      <c r="L19" s="8">
        <f t="shared" si="7"/>
        <v>2.67685</v>
      </c>
      <c r="M19" s="10">
        <f t="shared" si="8"/>
        <v>8.2179294999999986</v>
      </c>
      <c r="N19" s="21"/>
      <c r="O19" s="7">
        <f>'[10]Aug Prod'!H18</f>
        <v>6717000.0000000075</v>
      </c>
      <c r="P19" s="8">
        <f t="shared" si="9"/>
        <v>6.7170000000000076</v>
      </c>
      <c r="Q19" s="10">
        <f t="shared" si="10"/>
        <v>20.621190000000023</v>
      </c>
      <c r="R19" s="7">
        <f>'[10]Aug Prod'!C18</f>
        <v>6778000</v>
      </c>
      <c r="S19" s="8">
        <f t="shared" si="11"/>
        <v>6.7779999999999996</v>
      </c>
      <c r="T19" s="10">
        <f t="shared" si="12"/>
        <v>20.808459999999997</v>
      </c>
      <c r="U19" s="7">
        <f>'[10]Aug Prod'!D18</f>
        <v>0</v>
      </c>
      <c r="V19" s="8">
        <f t="shared" si="13"/>
        <v>0</v>
      </c>
      <c r="W19" s="10">
        <f t="shared" si="14"/>
        <v>0</v>
      </c>
      <c r="X19" s="7">
        <f>'[10]Aug Prod'!D273</f>
        <v>60999.99999999284</v>
      </c>
      <c r="Y19" s="8">
        <f t="shared" si="15"/>
        <v>6.0999999999992838E-2</v>
      </c>
      <c r="Z19" s="10">
        <f t="shared" si="16"/>
        <v>0.18726999999997801</v>
      </c>
      <c r="AA19" s="15"/>
      <c r="AB19" s="7">
        <f t="shared" si="17"/>
        <v>38616999.999997824</v>
      </c>
      <c r="AC19" s="8">
        <f t="shared" si="17"/>
        <v>38.616999999997823</v>
      </c>
      <c r="AD19" s="8">
        <f>D19+Q19</f>
        <v>118.55418999999333</v>
      </c>
      <c r="AF19" s="8">
        <f>T19-Q19-Z19</f>
        <v>-4.829470157119431E-15</v>
      </c>
    </row>
    <row r="20" spans="1:32" x14ac:dyDescent="0.2">
      <c r="A20" s="28">
        <v>38580</v>
      </c>
      <c r="B20" s="7">
        <f>'[10]Aug Prod'!I19</f>
        <v>27400000.000001457</v>
      </c>
      <c r="C20" s="8">
        <f t="shared" si="1"/>
        <v>27.400000000001455</v>
      </c>
      <c r="D20" s="10">
        <f t="shared" si="2"/>
        <v>84.118000000004457</v>
      </c>
      <c r="E20" s="7">
        <f>'[10]Aug Prod'!E19</f>
        <v>17000000</v>
      </c>
      <c r="F20" s="8">
        <f t="shared" si="3"/>
        <v>17</v>
      </c>
      <c r="G20" s="10">
        <f t="shared" si="4"/>
        <v>52.19</v>
      </c>
      <c r="H20" s="7">
        <f>'[10]Aug Prod'!F19</f>
        <v>10630000</v>
      </c>
      <c r="I20" s="8">
        <f t="shared" si="5"/>
        <v>10.63</v>
      </c>
      <c r="J20" s="10">
        <f t="shared" si="6"/>
        <v>32.634100000000004</v>
      </c>
      <c r="K20" s="7">
        <f>'[10]Aug Prod'!H274</f>
        <v>2140926</v>
      </c>
      <c r="L20" s="8">
        <f t="shared" si="7"/>
        <v>2.1409259999999999</v>
      </c>
      <c r="M20" s="10">
        <f t="shared" si="8"/>
        <v>6.5726428199999996</v>
      </c>
      <c r="N20" s="21"/>
      <c r="O20" s="7">
        <f>'[10]Aug Prod'!H19</f>
        <v>7138999.9999999972</v>
      </c>
      <c r="P20" s="8">
        <f t="shared" si="9"/>
        <v>7.1389999999999976</v>
      </c>
      <c r="Q20" s="10">
        <f t="shared" si="10"/>
        <v>21.91672999999999</v>
      </c>
      <c r="R20" s="7">
        <f>'[10]Aug Prod'!C19</f>
        <v>7217000</v>
      </c>
      <c r="S20" s="8">
        <f t="shared" si="11"/>
        <v>7.2169999999999996</v>
      </c>
      <c r="T20" s="10">
        <f t="shared" si="12"/>
        <v>22.156189999999999</v>
      </c>
      <c r="U20" s="7">
        <f>'[10]Aug Prod'!D19</f>
        <v>0</v>
      </c>
      <c r="V20" s="8">
        <f t="shared" si="13"/>
        <v>0</v>
      </c>
      <c r="W20" s="10">
        <f t="shared" si="14"/>
        <v>0</v>
      </c>
      <c r="X20" s="7">
        <f>'[10]Aug Prod'!D274</f>
        <v>78000.000000002954</v>
      </c>
      <c r="Y20" s="8">
        <f t="shared" si="15"/>
        <v>7.8000000000002956E-2</v>
      </c>
      <c r="Z20" s="10">
        <f t="shared" si="16"/>
        <v>0.23946000000000905</v>
      </c>
      <c r="AA20" s="15"/>
      <c r="AB20" s="7">
        <f t="shared" si="17"/>
        <v>34539000.000001453</v>
      </c>
      <c r="AC20" s="8">
        <f t="shared" si="17"/>
        <v>34.539000000001451</v>
      </c>
      <c r="AD20" s="8">
        <f t="shared" si="17"/>
        <v>106.03473000000444</v>
      </c>
      <c r="AF20" s="8">
        <f t="shared" ref="AF20:AF35" si="18">T20-Q20-Z20</f>
        <v>-8.3266726846886741E-16</v>
      </c>
    </row>
    <row r="21" spans="1:32" x14ac:dyDescent="0.2">
      <c r="A21" s="28">
        <v>38581</v>
      </c>
      <c r="B21" s="7">
        <f>'[10]Aug Prod'!I20</f>
        <v>29000000</v>
      </c>
      <c r="C21" s="8">
        <f t="shared" si="1"/>
        <v>29</v>
      </c>
      <c r="D21" s="10">
        <f t="shared" si="2"/>
        <v>89.03</v>
      </c>
      <c r="E21" s="7">
        <f>'[10]Aug Prod'!E20</f>
        <v>12000000</v>
      </c>
      <c r="F21" s="8">
        <f t="shared" si="3"/>
        <v>12</v>
      </c>
      <c r="G21" s="10">
        <f t="shared" si="4"/>
        <v>36.839999999999996</v>
      </c>
      <c r="H21" s="7">
        <f>'[10]Aug Prod'!F20</f>
        <v>18430000</v>
      </c>
      <c r="I21" s="8">
        <f t="shared" si="5"/>
        <v>18.43</v>
      </c>
      <c r="J21" s="10">
        <f t="shared" si="6"/>
        <v>56.580099999999995</v>
      </c>
      <c r="K21" s="7">
        <f>'[10]Aug Prod'!H275</f>
        <v>2335543</v>
      </c>
      <c r="L21" s="8">
        <f t="shared" si="7"/>
        <v>2.3355429999999999</v>
      </c>
      <c r="M21" s="10">
        <f t="shared" si="8"/>
        <v>7.1701170099999993</v>
      </c>
      <c r="N21" s="21"/>
      <c r="O21" s="7">
        <f>'[10]Aug Prod'!H20</f>
        <v>5962000.0000000075</v>
      </c>
      <c r="P21" s="8">
        <f t="shared" si="9"/>
        <v>5.9620000000000077</v>
      </c>
      <c r="Q21" s="10">
        <f t="shared" si="10"/>
        <v>18.303340000000023</v>
      </c>
      <c r="R21" s="7">
        <f>'[10]Aug Prod'!C20</f>
        <v>6020000</v>
      </c>
      <c r="S21" s="8">
        <f t="shared" si="11"/>
        <v>6.02</v>
      </c>
      <c r="T21" s="10">
        <f t="shared" si="12"/>
        <v>18.481399999999997</v>
      </c>
      <c r="U21" s="7">
        <f>'[10]Aug Prod'!D20</f>
        <v>0</v>
      </c>
      <c r="V21" s="8">
        <f t="shared" si="13"/>
        <v>0</v>
      </c>
      <c r="W21" s="10">
        <f t="shared" si="14"/>
        <v>0</v>
      </c>
      <c r="X21" s="7">
        <f>'[10]Aug Prod'!D275</f>
        <v>57999.999999992724</v>
      </c>
      <c r="Y21" s="8">
        <f t="shared" si="15"/>
        <v>5.7999999999992724E-2</v>
      </c>
      <c r="Z21" s="10">
        <f t="shared" si="16"/>
        <v>0.17805999999997765</v>
      </c>
      <c r="AA21" s="15"/>
      <c r="AB21" s="7">
        <f t="shared" si="17"/>
        <v>34962000.000000007</v>
      </c>
      <c r="AC21" s="8">
        <f t="shared" si="17"/>
        <v>34.96200000000001</v>
      </c>
      <c r="AD21" s="8">
        <f t="shared" si="17"/>
        <v>107.33334000000002</v>
      </c>
      <c r="AF21" s="8">
        <f t="shared" si="18"/>
        <v>-3.9690473130349346E-15</v>
      </c>
    </row>
    <row r="22" spans="1:32" x14ac:dyDescent="0.2">
      <c r="A22" s="28">
        <v>38582</v>
      </c>
      <c r="B22" s="7">
        <f>'[10]Aug Prod'!I21</f>
        <v>31099999.999998543</v>
      </c>
      <c r="C22" s="8">
        <f t="shared" si="1"/>
        <v>31.099999999998545</v>
      </c>
      <c r="D22" s="10">
        <f t="shared" si="2"/>
        <v>95.476999999995527</v>
      </c>
      <c r="E22" s="7">
        <f>'[10]Aug Prod'!E21</f>
        <v>16000000</v>
      </c>
      <c r="F22" s="8">
        <f t="shared" si="3"/>
        <v>16</v>
      </c>
      <c r="G22" s="10">
        <f t="shared" si="4"/>
        <v>49.12</v>
      </c>
      <c r="H22" s="7">
        <f>'[10]Aug Prod'!F21</f>
        <v>16960000</v>
      </c>
      <c r="I22" s="8">
        <f t="shared" si="5"/>
        <v>16.96</v>
      </c>
      <c r="J22" s="10">
        <f t="shared" si="6"/>
        <v>52.0672</v>
      </c>
      <c r="K22" s="7">
        <f>'[10]Aug Prod'!H276</f>
        <v>2403356</v>
      </c>
      <c r="L22" s="8">
        <f t="shared" si="7"/>
        <v>2.403356</v>
      </c>
      <c r="M22" s="10">
        <f t="shared" si="8"/>
        <v>7.3783029199999994</v>
      </c>
      <c r="N22" s="21"/>
      <c r="O22" s="7">
        <f>'[10]Aug Prod'!H21</f>
        <v>5924999.9999999888</v>
      </c>
      <c r="P22" s="8">
        <f t="shared" si="9"/>
        <v>5.9249999999999892</v>
      </c>
      <c r="Q22" s="10">
        <f t="shared" si="10"/>
        <v>18.189749999999965</v>
      </c>
      <c r="R22" s="7">
        <f>'[10]Aug Prod'!C21</f>
        <v>5963000</v>
      </c>
      <c r="S22" s="8">
        <f t="shared" si="11"/>
        <v>5.9630000000000001</v>
      </c>
      <c r="T22" s="10">
        <f t="shared" si="12"/>
        <v>18.30641</v>
      </c>
      <c r="U22" s="7">
        <f>'[10]Aug Prod'!D21</f>
        <v>0</v>
      </c>
      <c r="V22" s="8">
        <f t="shared" si="13"/>
        <v>0</v>
      </c>
      <c r="W22" s="10">
        <f t="shared" si="14"/>
        <v>0</v>
      </c>
      <c r="X22" s="7">
        <f>'[10]Aug Prod'!D276</f>
        <v>38000.000000010914</v>
      </c>
      <c r="Y22" s="8">
        <f t="shared" si="15"/>
        <v>3.8000000000010914E-2</v>
      </c>
      <c r="Z22" s="10">
        <f t="shared" si="16"/>
        <v>0.1166600000000335</v>
      </c>
      <c r="AA22" s="15"/>
      <c r="AB22" s="7">
        <f t="shared" si="17"/>
        <v>37024999.999998532</v>
      </c>
      <c r="AC22" s="8">
        <f t="shared" si="17"/>
        <v>37.024999999998535</v>
      </c>
      <c r="AD22" s="8">
        <f t="shared" si="17"/>
        <v>113.66674999999549</v>
      </c>
      <c r="AF22" s="8">
        <f t="shared" si="18"/>
        <v>1.5681900222830336E-15</v>
      </c>
    </row>
    <row r="23" spans="1:32" x14ac:dyDescent="0.2">
      <c r="A23" s="28">
        <v>38583</v>
      </c>
      <c r="B23" s="7">
        <f>'[10]Aug Prod'!I22</f>
        <v>32700000.000000726</v>
      </c>
      <c r="C23" s="8">
        <f t="shared" si="1"/>
        <v>32.700000000000728</v>
      </c>
      <c r="D23" s="10">
        <f t="shared" si="2"/>
        <v>100.38900000000223</v>
      </c>
      <c r="E23" s="7">
        <f>'[10]Aug Prod'!E22</f>
        <v>17000000</v>
      </c>
      <c r="F23" s="8">
        <f t="shared" si="3"/>
        <v>17</v>
      </c>
      <c r="G23" s="10">
        <f t="shared" si="4"/>
        <v>52.19</v>
      </c>
      <c r="H23" s="7">
        <f>'[10]Aug Prod'!F22</f>
        <v>16790000</v>
      </c>
      <c r="I23" s="8">
        <f t="shared" si="5"/>
        <v>16.79</v>
      </c>
      <c r="J23" s="10">
        <f t="shared" si="6"/>
        <v>51.545299999999997</v>
      </c>
      <c r="K23" s="7">
        <f>'[10]Aug Prod'!H277</f>
        <v>2505405</v>
      </c>
      <c r="L23" s="8">
        <f t="shared" si="7"/>
        <v>2.5054050000000001</v>
      </c>
      <c r="M23" s="10">
        <f t="shared" si="8"/>
        <v>7.6915933499999998</v>
      </c>
      <c r="N23" s="21"/>
      <c r="O23" s="7">
        <f>'[10]Aug Prod'!H22</f>
        <v>5991000.0000000084</v>
      </c>
      <c r="P23" s="8">
        <f t="shared" si="9"/>
        <v>5.9910000000000085</v>
      </c>
      <c r="Q23" s="10">
        <f t="shared" si="10"/>
        <v>18.392370000000025</v>
      </c>
      <c r="R23" s="7">
        <f>'[10]Aug Prod'!C22</f>
        <v>6031000</v>
      </c>
      <c r="S23" s="8">
        <f t="shared" si="11"/>
        <v>6.0309999999999997</v>
      </c>
      <c r="T23" s="10">
        <f t="shared" si="12"/>
        <v>18.515169999999998</v>
      </c>
      <c r="U23" s="7">
        <f>'[10]Aug Prod'!D22</f>
        <v>0</v>
      </c>
      <c r="V23" s="8">
        <f t="shared" si="13"/>
        <v>0</v>
      </c>
      <c r="W23" s="10">
        <f t="shared" si="14"/>
        <v>0</v>
      </c>
      <c r="X23" s="7">
        <f>'[10]Aug Prod'!D277</f>
        <v>39999.99999999204</v>
      </c>
      <c r="Y23" s="8">
        <f t="shared" si="15"/>
        <v>3.9999999999992042E-2</v>
      </c>
      <c r="Z23" s="10">
        <f t="shared" si="16"/>
        <v>0.12279999999997557</v>
      </c>
      <c r="AA23" s="15"/>
      <c r="AB23" s="7">
        <f t="shared" si="17"/>
        <v>38691000.000000738</v>
      </c>
      <c r="AC23" s="8">
        <f t="shared" si="17"/>
        <v>38.691000000000734</v>
      </c>
      <c r="AD23" s="8">
        <f t="shared" si="17"/>
        <v>118.78137000000225</v>
      </c>
      <c r="AF23" s="8">
        <f t="shared" si="18"/>
        <v>-2.4147350785597155E-15</v>
      </c>
    </row>
    <row r="24" spans="1:32" x14ac:dyDescent="0.2">
      <c r="A24" s="28">
        <v>38584</v>
      </c>
      <c r="B24" s="7">
        <f>'[10]Aug Prod'!I23</f>
        <v>30299999.999999274</v>
      </c>
      <c r="C24" s="8">
        <f t="shared" si="1"/>
        <v>30.299999999999272</v>
      </c>
      <c r="D24" s="10">
        <f t="shared" si="2"/>
        <v>93.020999999997755</v>
      </c>
      <c r="E24" s="7">
        <f>'[10]Aug Prod'!E23</f>
        <v>16000000</v>
      </c>
      <c r="F24" s="8">
        <f t="shared" si="3"/>
        <v>16</v>
      </c>
      <c r="G24" s="10">
        <f t="shared" si="4"/>
        <v>49.12</v>
      </c>
      <c r="H24" s="7">
        <f>'[10]Aug Prod'!F23</f>
        <v>14390000</v>
      </c>
      <c r="I24" s="8">
        <f t="shared" si="5"/>
        <v>14.39</v>
      </c>
      <c r="J24" s="10">
        <f t="shared" si="6"/>
        <v>44.177300000000002</v>
      </c>
      <c r="K24" s="7">
        <f>'[10]Aug Prod'!H278</f>
        <v>2401492</v>
      </c>
      <c r="L24" s="8">
        <f t="shared" si="7"/>
        <v>2.4014920000000002</v>
      </c>
      <c r="M24" s="10">
        <f t="shared" si="8"/>
        <v>7.3725804400000001</v>
      </c>
      <c r="N24" s="21"/>
      <c r="O24" s="7">
        <f>'[10]Aug Prod'!H23</f>
        <v>5860999.9999999935</v>
      </c>
      <c r="P24" s="8">
        <f t="shared" si="9"/>
        <v>5.8609999999999935</v>
      </c>
      <c r="Q24" s="10">
        <f t="shared" si="10"/>
        <v>17.993269999999978</v>
      </c>
      <c r="R24" s="7">
        <f>'[10]Aug Prod'!C23</f>
        <v>5901000</v>
      </c>
      <c r="S24" s="8">
        <f t="shared" si="11"/>
        <v>5.9009999999999998</v>
      </c>
      <c r="T24" s="10">
        <f t="shared" si="12"/>
        <v>18.116069999999997</v>
      </c>
      <c r="U24" s="7">
        <f>'[10]Aug Prod'!D23</f>
        <v>0</v>
      </c>
      <c r="V24" s="8">
        <f t="shared" si="13"/>
        <v>0</v>
      </c>
      <c r="W24" s="10">
        <f t="shared" si="14"/>
        <v>0</v>
      </c>
      <c r="X24" s="7">
        <f>'[10]Aug Prod'!D278</f>
        <v>40000.00000000625</v>
      </c>
      <c r="Y24" s="8">
        <f t="shared" si="15"/>
        <v>4.0000000000006253E-2</v>
      </c>
      <c r="Z24" s="10">
        <f t="shared" si="16"/>
        <v>0.12280000000001919</v>
      </c>
      <c r="AA24" s="15"/>
      <c r="AB24" s="7">
        <f t="shared" si="17"/>
        <v>36160999.99999927</v>
      </c>
      <c r="AC24" s="8">
        <f t="shared" si="17"/>
        <v>36.160999999999262</v>
      </c>
      <c r="AD24" s="8">
        <f>D24+Q24</f>
        <v>111.01426999999774</v>
      </c>
      <c r="AF24" s="8">
        <f t="shared" si="18"/>
        <v>1.5265566588595902E-16</v>
      </c>
    </row>
    <row r="25" spans="1:32" x14ac:dyDescent="0.2">
      <c r="A25" s="28">
        <v>38585</v>
      </c>
      <c r="B25" s="7">
        <f>'[10]Aug Prod'!I24</f>
        <v>25200000.000000726</v>
      </c>
      <c r="C25" s="8">
        <f t="shared" si="1"/>
        <v>25.200000000000728</v>
      </c>
      <c r="D25" s="10">
        <f t="shared" si="2"/>
        <v>77.364000000002235</v>
      </c>
      <c r="E25" s="7">
        <f>'[10]Aug Prod'!E24</f>
        <v>17000000</v>
      </c>
      <c r="F25" s="8">
        <f t="shared" si="3"/>
        <v>17</v>
      </c>
      <c r="G25" s="10">
        <f t="shared" si="4"/>
        <v>52.19</v>
      </c>
      <c r="H25" s="7">
        <f>'[10]Aug Prod'!F24</f>
        <v>9700000.0000000019</v>
      </c>
      <c r="I25" s="8">
        <f t="shared" si="5"/>
        <v>9.7000000000000011</v>
      </c>
      <c r="J25" s="10">
        <f t="shared" si="6"/>
        <v>29.779000000000003</v>
      </c>
      <c r="K25" s="7">
        <f>'[10]Aug Prod'!H279</f>
        <v>2039698</v>
      </c>
      <c r="L25" s="8">
        <f t="shared" si="7"/>
        <v>2.039698</v>
      </c>
      <c r="M25" s="10">
        <f t="shared" si="8"/>
        <v>6.2618728599999995</v>
      </c>
      <c r="N25" s="21"/>
      <c r="O25" s="7">
        <f>'[10]Aug Prod'!H24</f>
        <v>6321999.9999999981</v>
      </c>
      <c r="P25" s="8">
        <f t="shared" si="9"/>
        <v>6.3219999999999983</v>
      </c>
      <c r="Q25" s="10">
        <f t="shared" si="10"/>
        <v>19.408539999999995</v>
      </c>
      <c r="R25" s="7">
        <f>'[10]Aug Prod'!C24</f>
        <v>6382000</v>
      </c>
      <c r="S25" s="8">
        <f t="shared" si="11"/>
        <v>6.3819999999999997</v>
      </c>
      <c r="T25" s="10">
        <f t="shared" si="12"/>
        <v>19.592739999999999</v>
      </c>
      <c r="U25" s="7">
        <f>'[10]Aug Prod'!D24</f>
        <v>0</v>
      </c>
      <c r="V25" s="8">
        <f t="shared" si="13"/>
        <v>0</v>
      </c>
      <c r="W25" s="10">
        <f t="shared" si="14"/>
        <v>0</v>
      </c>
      <c r="X25" s="7">
        <f>'[10]Aug Prod'!D279</f>
        <v>60000.00000000227</v>
      </c>
      <c r="Y25" s="8">
        <f t="shared" si="15"/>
        <v>6.0000000000002267E-2</v>
      </c>
      <c r="Z25" s="10">
        <f t="shared" si="16"/>
        <v>0.18420000000000694</v>
      </c>
      <c r="AA25" s="15"/>
      <c r="AB25" s="7">
        <f t="shared" si="17"/>
        <v>31522000.000000723</v>
      </c>
      <c r="AC25" s="8">
        <f t="shared" si="17"/>
        <v>31.522000000000727</v>
      </c>
      <c r="AD25" s="8">
        <f t="shared" si="17"/>
        <v>96.772540000002238</v>
      </c>
      <c r="AF25" s="8">
        <f t="shared" si="18"/>
        <v>-2.8033131371785203E-15</v>
      </c>
    </row>
    <row r="26" spans="1:32" x14ac:dyDescent="0.2">
      <c r="A26" s="28">
        <v>38586</v>
      </c>
      <c r="B26" s="7">
        <f>'[10]Aug Prod'!I25</f>
        <v>28000000</v>
      </c>
      <c r="C26" s="8">
        <f t="shared" si="1"/>
        <v>28</v>
      </c>
      <c r="D26" s="10">
        <f t="shared" si="2"/>
        <v>85.96</v>
      </c>
      <c r="E26" s="7">
        <f>'[10]Aug Prod'!E25</f>
        <v>22000000</v>
      </c>
      <c r="F26" s="8">
        <f t="shared" si="3"/>
        <v>22</v>
      </c>
      <c r="G26" s="10">
        <f t="shared" si="4"/>
        <v>67.539999999999992</v>
      </c>
      <c r="H26" s="7">
        <f>'[10]Aug Prod'!F25</f>
        <v>6990000</v>
      </c>
      <c r="I26" s="8">
        <f t="shared" si="5"/>
        <v>6.99</v>
      </c>
      <c r="J26" s="10">
        <f t="shared" si="6"/>
        <v>21.459299999999999</v>
      </c>
      <c r="K26" s="7">
        <f>'[10]Aug Prod'!H280</f>
        <v>2383396</v>
      </c>
      <c r="L26" s="8">
        <f t="shared" si="7"/>
        <v>2.3833959999999998</v>
      </c>
      <c r="M26" s="10">
        <f t="shared" si="8"/>
        <v>7.3170257199999993</v>
      </c>
      <c r="N26" s="21"/>
      <c r="O26" s="7">
        <f>'[10]Aug Prod'!H25</f>
        <v>7100000.0000000019</v>
      </c>
      <c r="P26" s="8">
        <f t="shared" si="9"/>
        <v>7.1000000000000014</v>
      </c>
      <c r="Q26" s="10">
        <f t="shared" si="10"/>
        <v>21.797000000000004</v>
      </c>
      <c r="R26" s="7">
        <f>'[10]Aug Prod'!C25</f>
        <v>7180000</v>
      </c>
      <c r="S26" s="8">
        <f t="shared" si="11"/>
        <v>7.18</v>
      </c>
      <c r="T26" s="10">
        <f t="shared" si="12"/>
        <v>22.042599999999997</v>
      </c>
      <c r="U26" s="7">
        <f>'[10]Aug Prod'!D25</f>
        <v>0</v>
      </c>
      <c r="V26" s="8">
        <f t="shared" si="13"/>
        <v>0</v>
      </c>
      <c r="W26" s="10">
        <f t="shared" si="14"/>
        <v>0</v>
      </c>
      <c r="X26" s="7">
        <f>'[10]Aug Prod'!D280</f>
        <v>79999.999999998297</v>
      </c>
      <c r="Y26" s="8">
        <f t="shared" si="15"/>
        <v>7.9999999999998295E-2</v>
      </c>
      <c r="Z26" s="10">
        <f t="shared" si="16"/>
        <v>0.24559999999999474</v>
      </c>
      <c r="AA26" s="15"/>
      <c r="AB26" s="7">
        <f t="shared" si="17"/>
        <v>35100000</v>
      </c>
      <c r="AC26" s="8">
        <f t="shared" si="17"/>
        <v>35.1</v>
      </c>
      <c r="AD26" s="8">
        <f t="shared" si="17"/>
        <v>107.75700000000001</v>
      </c>
      <c r="AF26" s="8">
        <f t="shared" si="18"/>
        <v>-2.248201624865942E-15</v>
      </c>
    </row>
    <row r="27" spans="1:32" x14ac:dyDescent="0.2">
      <c r="A27" s="28">
        <v>38587</v>
      </c>
      <c r="B27" s="7">
        <f>'[10]Aug Prod'!I26</f>
        <v>27700000.000000726</v>
      </c>
      <c r="C27" s="8">
        <f t="shared" si="1"/>
        <v>27.700000000000728</v>
      </c>
      <c r="D27" s="10">
        <f t="shared" si="2"/>
        <v>85.039000000002233</v>
      </c>
      <c r="E27" s="7">
        <f>'[10]Aug Prod'!E26</f>
        <v>21000000</v>
      </c>
      <c r="F27" s="8">
        <f t="shared" si="3"/>
        <v>21</v>
      </c>
      <c r="G27" s="10">
        <f t="shared" si="4"/>
        <v>64.47</v>
      </c>
      <c r="H27" s="7">
        <f>'[10]Aug Prod'!F26</f>
        <v>7830000</v>
      </c>
      <c r="I27" s="8">
        <f t="shared" si="5"/>
        <v>7.83</v>
      </c>
      <c r="J27" s="10">
        <f t="shared" si="6"/>
        <v>24.0381</v>
      </c>
      <c r="K27" s="7">
        <f>'[10]Aug Prod'!H281</f>
        <v>2224800</v>
      </c>
      <c r="L27" s="8">
        <f t="shared" si="7"/>
        <v>2.2248000000000001</v>
      </c>
      <c r="M27" s="10">
        <f t="shared" si="8"/>
        <v>6.8301359999999995</v>
      </c>
      <c r="N27" s="21"/>
      <c r="O27" s="7">
        <f>'[10]Aug Prod'!H26</f>
        <v>6602000.0000000065</v>
      </c>
      <c r="P27" s="8">
        <f t="shared" si="9"/>
        <v>6.6020000000000065</v>
      </c>
      <c r="Q27" s="10">
        <f t="shared" si="10"/>
        <v>20.26814000000002</v>
      </c>
      <c r="R27" s="7">
        <f>'[10]Aug Prod'!C26</f>
        <v>6684000</v>
      </c>
      <c r="S27" s="8">
        <f t="shared" si="11"/>
        <v>6.6840000000000002</v>
      </c>
      <c r="T27" s="10">
        <f t="shared" si="12"/>
        <v>20.519880000000001</v>
      </c>
      <c r="U27" s="7">
        <f>'[10]Aug Prod'!D26</f>
        <v>0</v>
      </c>
      <c r="V27" s="8">
        <f t="shared" si="13"/>
        <v>0</v>
      </c>
      <c r="W27" s="10">
        <f t="shared" si="14"/>
        <v>0</v>
      </c>
      <c r="X27" s="7">
        <f>'[10]Aug Prod'!D281</f>
        <v>81999.999999993626</v>
      </c>
      <c r="Y27" s="8">
        <f t="shared" si="15"/>
        <v>8.199999999999362E-2</v>
      </c>
      <c r="Z27" s="10">
        <f t="shared" si="16"/>
        <v>0.25173999999998042</v>
      </c>
      <c r="AA27" s="15"/>
      <c r="AB27" s="7">
        <f t="shared" si="17"/>
        <v>34302000.00000073</v>
      </c>
      <c r="AC27" s="8">
        <f t="shared" si="17"/>
        <v>34.302000000000731</v>
      </c>
      <c r="AD27" s="8">
        <f t="shared" si="17"/>
        <v>105.30714000000225</v>
      </c>
      <c r="AF27" s="8">
        <f>T27-Q27-Z27</f>
        <v>0</v>
      </c>
    </row>
    <row r="28" spans="1:32" x14ac:dyDescent="0.2">
      <c r="A28" s="28">
        <v>38588</v>
      </c>
      <c r="B28" s="7">
        <f>'[10]Aug Prod'!I27</f>
        <v>26400000.000001457</v>
      </c>
      <c r="C28" s="8">
        <f t="shared" si="1"/>
        <v>26.400000000001455</v>
      </c>
      <c r="D28" s="10">
        <f t="shared" si="2"/>
        <v>81.048000000004464</v>
      </c>
      <c r="E28" s="7">
        <f>'[10]Aug Prod'!E27</f>
        <v>20000000</v>
      </c>
      <c r="F28" s="8">
        <f t="shared" si="3"/>
        <v>20</v>
      </c>
      <c r="G28" s="10">
        <f t="shared" si="4"/>
        <v>61.4</v>
      </c>
      <c r="H28" s="7">
        <f>'[10]Aug Prod'!F27</f>
        <v>8850000</v>
      </c>
      <c r="I28" s="8">
        <f t="shared" si="5"/>
        <v>8.85</v>
      </c>
      <c r="J28" s="10">
        <f t="shared" si="6"/>
        <v>27.169499999999996</v>
      </c>
      <c r="K28" s="7">
        <f>'[10]Aug Prod'!H282</f>
        <v>2182588</v>
      </c>
      <c r="L28" s="8">
        <f t="shared" si="7"/>
        <v>2.182588</v>
      </c>
      <c r="M28" s="10">
        <f t="shared" si="8"/>
        <v>6.7005451599999999</v>
      </c>
      <c r="N28" s="21"/>
      <c r="O28" s="7">
        <f>'[10]Aug Prod'!H27</f>
        <v>7199999.9999999916</v>
      </c>
      <c r="P28" s="8">
        <f t="shared" si="9"/>
        <v>7.1999999999999913</v>
      </c>
      <c r="Q28" s="10">
        <f t="shared" si="10"/>
        <v>22.103999999999971</v>
      </c>
      <c r="R28" s="7">
        <f>'[10]Aug Prod'!C27</f>
        <v>7282000</v>
      </c>
      <c r="S28" s="8">
        <f t="shared" si="11"/>
        <v>7.282</v>
      </c>
      <c r="T28" s="10">
        <f t="shared" si="12"/>
        <v>22.355739999999997</v>
      </c>
      <c r="U28" s="7">
        <f>'[10]Aug Prod'!D27</f>
        <v>0</v>
      </c>
      <c r="V28" s="8">
        <f t="shared" si="13"/>
        <v>0</v>
      </c>
      <c r="W28" s="10">
        <f t="shared" si="14"/>
        <v>0</v>
      </c>
      <c r="X28" s="7">
        <f>'[10]Aug Prod'!D282</f>
        <v>82000.000000007843</v>
      </c>
      <c r="Y28" s="8">
        <f t="shared" si="15"/>
        <v>8.2000000000007844E-2</v>
      </c>
      <c r="Z28" s="10">
        <f t="shared" si="16"/>
        <v>0.25174000000002406</v>
      </c>
      <c r="AA28" s="15"/>
      <c r="AB28" s="7">
        <f t="shared" si="17"/>
        <v>33600000.000001445</v>
      </c>
      <c r="AC28" s="8">
        <f t="shared" si="17"/>
        <v>33.600000000001444</v>
      </c>
      <c r="AD28" s="8">
        <f t="shared" si="17"/>
        <v>103.15200000000443</v>
      </c>
      <c r="AF28" s="8">
        <f t="shared" si="18"/>
        <v>2.4424906541753444E-15</v>
      </c>
    </row>
    <row r="29" spans="1:32" x14ac:dyDescent="0.2">
      <c r="A29" s="28">
        <v>38589</v>
      </c>
      <c r="B29" s="7">
        <f>'[10]Aug Prod'!I28</f>
        <v>28699999.999997091</v>
      </c>
      <c r="C29" s="8">
        <f t="shared" si="1"/>
        <v>28.69999999999709</v>
      </c>
      <c r="D29" s="10">
        <f t="shared" si="2"/>
        <v>88.108999999991056</v>
      </c>
      <c r="E29" s="7">
        <f>'[10]Aug Prod'!E28</f>
        <v>21000000</v>
      </c>
      <c r="F29" s="8">
        <f t="shared" si="3"/>
        <v>21</v>
      </c>
      <c r="G29" s="10">
        <f t="shared" si="4"/>
        <v>64.47</v>
      </c>
      <c r="H29" s="7">
        <f>'[10]Aug Prod'!F28</f>
        <v>9110000</v>
      </c>
      <c r="I29" s="8">
        <f t="shared" si="5"/>
        <v>9.11</v>
      </c>
      <c r="J29" s="10">
        <f t="shared" si="6"/>
        <v>27.967699999999997</v>
      </c>
      <c r="K29" s="7">
        <f>'[10]Aug Prod'!H283</f>
        <v>2207346</v>
      </c>
      <c r="L29" s="8">
        <f t="shared" si="7"/>
        <v>2.2073459999999998</v>
      </c>
      <c r="M29" s="10">
        <f t="shared" si="8"/>
        <v>6.7765522199999992</v>
      </c>
      <c r="N29" s="21"/>
      <c r="O29" s="7">
        <f>'[10]Aug Prod'!H28</f>
        <v>8264999.9999999981</v>
      </c>
      <c r="P29" s="8">
        <f t="shared" si="9"/>
        <v>8.2649999999999988</v>
      </c>
      <c r="Q29" s="10">
        <f t="shared" si="10"/>
        <v>25.373549999999994</v>
      </c>
      <c r="R29" s="7">
        <f>'[10]Aug Prod'!C28</f>
        <v>8328000</v>
      </c>
      <c r="S29" s="8">
        <f t="shared" si="11"/>
        <v>8.3279999999999994</v>
      </c>
      <c r="T29" s="10">
        <f t="shared" si="12"/>
        <v>25.566959999999998</v>
      </c>
      <c r="U29" s="7">
        <f>'[10]Aug Prod'!D28</f>
        <v>0</v>
      </c>
      <c r="V29" s="8">
        <f t="shared" si="13"/>
        <v>0</v>
      </c>
      <c r="W29" s="10">
        <f t="shared" si="14"/>
        <v>0</v>
      </c>
      <c r="X29" s="7">
        <f>'[10]Aug Prod'!D283</f>
        <v>63000.000000002387</v>
      </c>
      <c r="Y29" s="8">
        <f t="shared" si="15"/>
        <v>6.3000000000002387E-2</v>
      </c>
      <c r="Z29" s="10">
        <f t="shared" si="16"/>
        <v>0.19341000000000733</v>
      </c>
      <c r="AA29" s="15"/>
      <c r="AB29" s="7">
        <f t="shared" si="17"/>
        <v>36964999.999997087</v>
      </c>
      <c r="AC29" s="8">
        <f t="shared" si="17"/>
        <v>36.96499999999709</v>
      </c>
      <c r="AD29" s="8">
        <f t="shared" si="17"/>
        <v>113.48254999999105</v>
      </c>
      <c r="AF29" s="8">
        <f t="shared" si="18"/>
        <v>-3.6914915568786455E-15</v>
      </c>
    </row>
    <row r="30" spans="1:32" x14ac:dyDescent="0.2">
      <c r="A30" s="28">
        <v>38590</v>
      </c>
      <c r="B30" s="7">
        <f>'[10]Aug Prod'!I29</f>
        <v>28300000.000002909</v>
      </c>
      <c r="C30" s="8">
        <f t="shared" si="1"/>
        <v>28.30000000000291</v>
      </c>
      <c r="D30" s="10">
        <f t="shared" si="2"/>
        <v>86.881000000008925</v>
      </c>
      <c r="E30" s="7">
        <f>'[10]Aug Prod'!E29</f>
        <v>20000000</v>
      </c>
      <c r="F30" s="8">
        <f t="shared" si="3"/>
        <v>20</v>
      </c>
      <c r="G30" s="10">
        <f t="shared" si="4"/>
        <v>61.4</v>
      </c>
      <c r="H30" s="7">
        <f>'[10]Aug Prod'!F29</f>
        <v>8960000</v>
      </c>
      <c r="I30" s="8">
        <f t="shared" si="5"/>
        <v>8.9600000000000009</v>
      </c>
      <c r="J30" s="10">
        <f t="shared" si="6"/>
        <v>27.507200000000001</v>
      </c>
      <c r="K30" s="7">
        <f>'[10]Aug Prod'!H284</f>
        <v>2183889</v>
      </c>
      <c r="L30" s="8">
        <f t="shared" si="7"/>
        <v>2.1838890000000002</v>
      </c>
      <c r="M30" s="10">
        <f t="shared" si="8"/>
        <v>6.70453923</v>
      </c>
      <c r="N30" s="21"/>
      <c r="O30" s="7">
        <f>'[10]Aug Prod'!H29</f>
        <v>7472000.0000000019</v>
      </c>
      <c r="P30" s="8">
        <f t="shared" si="9"/>
        <v>7.4720000000000022</v>
      </c>
      <c r="Q30" s="10">
        <f t="shared" si="10"/>
        <v>22.939040000000006</v>
      </c>
      <c r="R30" s="7">
        <f>'[10]Aug Prod'!C29</f>
        <v>7555000</v>
      </c>
      <c r="S30" s="8">
        <f t="shared" si="11"/>
        <v>7.5549999999999997</v>
      </c>
      <c r="T30" s="10">
        <f t="shared" si="12"/>
        <v>23.193849999999998</v>
      </c>
      <c r="U30" s="7">
        <f>'[10]Aug Prod'!D29</f>
        <v>0</v>
      </c>
      <c r="V30" s="8">
        <f t="shared" si="13"/>
        <v>0</v>
      </c>
      <c r="W30" s="10">
        <f t="shared" si="14"/>
        <v>0</v>
      </c>
      <c r="X30" s="7">
        <f>'[10]Aug Prod'!D284</f>
        <v>82999.999999998414</v>
      </c>
      <c r="Y30" s="8">
        <f t="shared" si="15"/>
        <v>8.2999999999998408E-2</v>
      </c>
      <c r="Z30" s="10">
        <f t="shared" si="16"/>
        <v>0.2548099999999951</v>
      </c>
      <c r="AA30" s="15"/>
      <c r="AB30" s="7">
        <f t="shared" si="17"/>
        <v>35772000.000002913</v>
      </c>
      <c r="AC30" s="8">
        <f t="shared" si="17"/>
        <v>35.772000000002912</v>
      </c>
      <c r="AD30" s="8">
        <f>D30+Q30</f>
        <v>109.82004000000893</v>
      </c>
      <c r="AF30" s="8">
        <f t="shared" si="18"/>
        <v>-3.1086244689504383E-15</v>
      </c>
    </row>
    <row r="31" spans="1:32" x14ac:dyDescent="0.2">
      <c r="A31" s="28">
        <v>38591</v>
      </c>
      <c r="B31" s="7">
        <f>'[10]Aug Prod'!I30</f>
        <v>28199999.999997091</v>
      </c>
      <c r="C31" s="8">
        <f t="shared" si="1"/>
        <v>28.19999999999709</v>
      </c>
      <c r="D31" s="10">
        <f t="shared" si="2"/>
        <v>86.573999999991059</v>
      </c>
      <c r="E31" s="7">
        <f>'[10]Aug Prod'!E30</f>
        <v>21000000</v>
      </c>
      <c r="F31" s="8">
        <f t="shared" si="3"/>
        <v>21</v>
      </c>
      <c r="G31" s="10">
        <f t="shared" si="4"/>
        <v>64.47</v>
      </c>
      <c r="H31" s="7">
        <f>'[10]Aug Prod'!F30</f>
        <v>9060000</v>
      </c>
      <c r="I31" s="8">
        <f t="shared" si="5"/>
        <v>9.06</v>
      </c>
      <c r="J31" s="10">
        <f t="shared" si="6"/>
        <v>27.8142</v>
      </c>
      <c r="K31" s="7">
        <f>'[10]Aug Prod'!H285</f>
        <v>2203326</v>
      </c>
      <c r="L31" s="8">
        <f t="shared" si="7"/>
        <v>2.2033260000000001</v>
      </c>
      <c r="M31" s="10">
        <f t="shared" si="8"/>
        <v>6.7642108199999997</v>
      </c>
      <c r="N31" s="21"/>
      <c r="O31" s="7">
        <f>'[10]Aug Prod'!H30</f>
        <v>8857999.9999999981</v>
      </c>
      <c r="P31" s="8">
        <f t="shared" si="9"/>
        <v>8.8579999999999988</v>
      </c>
      <c r="Q31" s="10">
        <f t="shared" si="10"/>
        <v>27.194059999999993</v>
      </c>
      <c r="R31" s="7">
        <f>'[10]Aug Prod'!C30</f>
        <v>8909000</v>
      </c>
      <c r="S31" s="8">
        <f t="shared" si="11"/>
        <v>8.9090000000000007</v>
      </c>
      <c r="T31" s="10">
        <f t="shared" si="12"/>
        <v>27.350630000000002</v>
      </c>
      <c r="U31" s="7">
        <f>'[10]Aug Prod'!D30</f>
        <v>0</v>
      </c>
      <c r="V31" s="8">
        <f t="shared" si="13"/>
        <v>0</v>
      </c>
      <c r="W31" s="10">
        <f t="shared" si="14"/>
        <v>0</v>
      </c>
      <c r="X31" s="7">
        <f>'[10]Aug Prod'!D285</f>
        <v>51000.000000001935</v>
      </c>
      <c r="Y31" s="8">
        <f t="shared" si="15"/>
        <v>5.1000000000001933E-2</v>
      </c>
      <c r="Z31" s="10">
        <f t="shared" si="16"/>
        <v>0.15657000000000593</v>
      </c>
      <c r="AA31" s="15"/>
      <c r="AB31" s="7">
        <f t="shared" si="17"/>
        <v>37057999.999997087</v>
      </c>
      <c r="AC31" s="8">
        <f t="shared" si="17"/>
        <v>37.057999999997087</v>
      </c>
      <c r="AD31" s="8">
        <f t="shared" si="17"/>
        <v>113.76805999999105</v>
      </c>
      <c r="AF31" s="8">
        <f t="shared" si="18"/>
        <v>3.2751579226442118E-15</v>
      </c>
    </row>
    <row r="32" spans="1:32" x14ac:dyDescent="0.2">
      <c r="A32" s="28">
        <v>38592</v>
      </c>
      <c r="B32" s="7">
        <f>'[10]Aug Prod'!I31</f>
        <v>24800000.000002909</v>
      </c>
      <c r="C32" s="8">
        <f t="shared" si="1"/>
        <v>24.80000000000291</v>
      </c>
      <c r="D32" s="10">
        <f t="shared" si="2"/>
        <v>76.136000000008934</v>
      </c>
      <c r="E32" s="7">
        <f>'[10]Aug Prod'!E31</f>
        <v>16000000</v>
      </c>
      <c r="F32" s="8">
        <f t="shared" si="3"/>
        <v>16</v>
      </c>
      <c r="G32" s="10">
        <f t="shared" si="4"/>
        <v>49.12</v>
      </c>
      <c r="H32" s="7">
        <f>'[10]Aug Prod'!F31</f>
        <v>9010000</v>
      </c>
      <c r="I32" s="8">
        <f t="shared" si="5"/>
        <v>9.01</v>
      </c>
      <c r="J32" s="10">
        <f t="shared" si="6"/>
        <v>27.660699999999999</v>
      </c>
      <c r="K32" s="7">
        <f>'[10]Aug Prod'!H286</f>
        <v>1778174</v>
      </c>
      <c r="L32" s="8">
        <f t="shared" si="7"/>
        <v>1.7781739999999999</v>
      </c>
      <c r="M32" s="10">
        <f t="shared" si="8"/>
        <v>5.4589941799999995</v>
      </c>
      <c r="N32" s="21"/>
      <c r="O32" s="7">
        <f>'[10]Aug Prod'!H31</f>
        <v>8993000.0000000112</v>
      </c>
      <c r="P32" s="8">
        <f t="shared" si="9"/>
        <v>8.993000000000011</v>
      </c>
      <c r="Q32" s="10">
        <f t="shared" si="10"/>
        <v>27.608510000000031</v>
      </c>
      <c r="R32" s="7">
        <f>'[10]Aug Prod'!C31</f>
        <v>9080000</v>
      </c>
      <c r="S32" s="8">
        <f t="shared" si="11"/>
        <v>9.08</v>
      </c>
      <c r="T32" s="10">
        <f t="shared" si="12"/>
        <v>27.875599999999999</v>
      </c>
      <c r="U32" s="7">
        <f>'[10]Aug Prod'!D31</f>
        <v>0</v>
      </c>
      <c r="V32" s="8">
        <f t="shared" si="13"/>
        <v>0</v>
      </c>
      <c r="W32" s="10">
        <f t="shared" si="14"/>
        <v>0</v>
      </c>
      <c r="X32" s="7">
        <f>'[10]Aug Prod'!D286</f>
        <v>86999.999999989086</v>
      </c>
      <c r="Y32" s="8">
        <f t="shared" si="15"/>
        <v>8.6999999999989086E-2</v>
      </c>
      <c r="Z32" s="10">
        <f t="shared" si="16"/>
        <v>0.26708999999996647</v>
      </c>
      <c r="AA32" s="15"/>
      <c r="AB32" s="7">
        <f t="shared" si="17"/>
        <v>33793000.000002921</v>
      </c>
      <c r="AC32" s="8">
        <f t="shared" si="17"/>
        <v>33.79300000000292</v>
      </c>
      <c r="AD32" s="8">
        <f t="shared" si="17"/>
        <v>103.74451000000897</v>
      </c>
      <c r="AF32" s="8">
        <f t="shared" si="18"/>
        <v>1.1657341758564144E-15</v>
      </c>
    </row>
    <row r="33" spans="1:32" x14ac:dyDescent="0.2">
      <c r="A33" s="28">
        <v>38593</v>
      </c>
      <c r="B33" s="7">
        <f>'[10]Aug Prod'!I32</f>
        <v>27399999.999997817</v>
      </c>
      <c r="C33" s="8">
        <f t="shared" si="1"/>
        <v>27.399999999997817</v>
      </c>
      <c r="D33" s="10">
        <f t="shared" si="2"/>
        <v>84.117999999993287</v>
      </c>
      <c r="E33" s="7">
        <f>'[10]Aug Prod'!E32</f>
        <v>18000000</v>
      </c>
      <c r="F33" s="8">
        <f t="shared" si="3"/>
        <v>18</v>
      </c>
      <c r="G33" s="10">
        <f t="shared" si="4"/>
        <v>55.26</v>
      </c>
      <c r="H33" s="7">
        <f>'[10]Aug Prod'!F32</f>
        <v>10920000</v>
      </c>
      <c r="I33" s="8">
        <f t="shared" si="5"/>
        <v>10.92</v>
      </c>
      <c r="J33" s="10">
        <f t="shared" si="6"/>
        <v>33.5244</v>
      </c>
      <c r="K33" s="7">
        <f>'[10]Aug Prod'!H287</f>
        <v>1912692</v>
      </c>
      <c r="L33" s="8">
        <f t="shared" si="7"/>
        <v>1.9126920000000001</v>
      </c>
      <c r="M33" s="10">
        <f t="shared" si="8"/>
        <v>5.8719644400000002</v>
      </c>
      <c r="N33" s="21"/>
      <c r="O33" s="7">
        <f>'[10]Aug Prod'!H32</f>
        <v>9220999.9999999925</v>
      </c>
      <c r="P33" s="8">
        <f t="shared" si="9"/>
        <v>9.220999999999993</v>
      </c>
      <c r="Q33" s="10">
        <f t="shared" si="10"/>
        <v>28.308469999999978</v>
      </c>
      <c r="R33" s="7">
        <f>'[10]Aug Prod'!C32</f>
        <v>9297000</v>
      </c>
      <c r="S33" s="8">
        <f t="shared" si="11"/>
        <v>9.2970000000000006</v>
      </c>
      <c r="T33" s="10">
        <f t="shared" si="12"/>
        <v>28.541789999999999</v>
      </c>
      <c r="U33" s="7">
        <f>'[10]Aug Prod'!D32</f>
        <v>0</v>
      </c>
      <c r="V33" s="8">
        <f t="shared" si="13"/>
        <v>0</v>
      </c>
      <c r="W33" s="10">
        <f t="shared" si="14"/>
        <v>0</v>
      </c>
      <c r="X33" s="7">
        <f>'[10]Aug Prod'!D287</f>
        <v>76000.000000007611</v>
      </c>
      <c r="Y33" s="8">
        <f t="shared" si="15"/>
        <v>7.6000000000007617E-2</v>
      </c>
      <c r="Z33" s="10">
        <f t="shared" si="16"/>
        <v>0.23332000000002337</v>
      </c>
      <c r="AA33" s="15"/>
      <c r="AB33" s="7">
        <f t="shared" si="17"/>
        <v>36620999.99999781</v>
      </c>
      <c r="AC33" s="8">
        <f t="shared" si="17"/>
        <v>36.620999999997807</v>
      </c>
      <c r="AD33" s="8">
        <f t="shared" si="17"/>
        <v>112.42646999999326</v>
      </c>
      <c r="AF33" s="8">
        <f t="shared" si="18"/>
        <v>-2.9698465908722937E-15</v>
      </c>
    </row>
    <row r="34" spans="1:32" x14ac:dyDescent="0.2">
      <c r="A34" s="28">
        <v>38594</v>
      </c>
      <c r="B34" s="7">
        <f>'[10]Aug Prod'!I33</f>
        <v>26700000.000000726</v>
      </c>
      <c r="C34" s="8">
        <f t="shared" si="1"/>
        <v>26.700000000000728</v>
      </c>
      <c r="D34" s="10">
        <f t="shared" si="2"/>
        <v>81.969000000002225</v>
      </c>
      <c r="E34" s="7">
        <f>'[10]Aug Prod'!E33</f>
        <v>17000000</v>
      </c>
      <c r="F34" s="8">
        <f t="shared" si="3"/>
        <v>17</v>
      </c>
      <c r="G34" s="10">
        <f t="shared" si="4"/>
        <v>52.19</v>
      </c>
      <c r="H34" s="7">
        <f>'[10]Aug Prod'!F33</f>
        <v>9910000</v>
      </c>
      <c r="I34" s="8">
        <f t="shared" si="5"/>
        <v>9.91</v>
      </c>
      <c r="J34" s="10">
        <f t="shared" si="6"/>
        <v>30.4237</v>
      </c>
      <c r="K34" s="7">
        <f>'[10]Aug Prod'!H288</f>
        <v>1750320</v>
      </c>
      <c r="L34" s="8">
        <f t="shared" si="7"/>
        <v>1.7503200000000001</v>
      </c>
      <c r="M34" s="10">
        <f t="shared" si="8"/>
        <v>5.3734824000000003</v>
      </c>
      <c r="N34" s="21"/>
      <c r="O34" s="7">
        <f>'[10]Aug Prod'!H33</f>
        <v>8290000.0000000056</v>
      </c>
      <c r="P34" s="8">
        <f t="shared" si="9"/>
        <v>8.2900000000000063</v>
      </c>
      <c r="Q34" s="10">
        <f t="shared" si="10"/>
        <v>25.450300000000016</v>
      </c>
      <c r="R34" s="7">
        <f>'[10]Aug Prod'!C33</f>
        <v>8390000</v>
      </c>
      <c r="S34" s="8">
        <f t="shared" si="11"/>
        <v>8.39</v>
      </c>
      <c r="T34" s="10">
        <f t="shared" si="12"/>
        <v>25.757300000000001</v>
      </c>
      <c r="U34" s="7">
        <f>'[10]Aug Prod'!D33</f>
        <v>0</v>
      </c>
      <c r="V34" s="8">
        <f t="shared" si="13"/>
        <v>0</v>
      </c>
      <c r="W34" s="10">
        <f t="shared" si="14"/>
        <v>0</v>
      </c>
      <c r="X34" s="7">
        <f>'[10]Aug Prod'!D288</f>
        <v>99999.99999999431</v>
      </c>
      <c r="Y34" s="8">
        <f t="shared" si="15"/>
        <v>9.9999999999994316E-2</v>
      </c>
      <c r="Z34" s="10">
        <f t="shared" si="16"/>
        <v>0.30699999999998251</v>
      </c>
      <c r="AA34" s="15"/>
      <c r="AB34" s="7">
        <f t="shared" si="17"/>
        <v>34990000.00000073</v>
      </c>
      <c r="AC34" s="8">
        <f t="shared" si="17"/>
        <v>34.990000000000734</v>
      </c>
      <c r="AD34" s="8">
        <f t="shared" si="17"/>
        <v>107.41930000000224</v>
      </c>
      <c r="AF34" s="8">
        <f t="shared" si="18"/>
        <v>1.8873791418627661E-15</v>
      </c>
    </row>
    <row r="35" spans="1:32" ht="13.5" thickBot="1" x14ac:dyDescent="0.25">
      <c r="A35" s="28">
        <v>38595</v>
      </c>
      <c r="B35" s="7">
        <f>'[10]Aug Prod'!I34</f>
        <v>23799999.999999274</v>
      </c>
      <c r="C35" s="8">
        <f t="shared" si="1"/>
        <v>23.799999999999272</v>
      </c>
      <c r="D35" s="10">
        <f t="shared" si="2"/>
        <v>73.065999999997757</v>
      </c>
      <c r="E35" s="7">
        <f>'[10]Aug Prod'!E34</f>
        <v>15000000</v>
      </c>
      <c r="F35" s="8">
        <f t="shared" si="3"/>
        <v>15</v>
      </c>
      <c r="G35" s="10">
        <f t="shared" si="4"/>
        <v>46.05</v>
      </c>
      <c r="H35" s="7">
        <f>'[10]Aug Prod'!F34</f>
        <v>10090000</v>
      </c>
      <c r="I35" s="8">
        <f t="shared" si="5"/>
        <v>10.09</v>
      </c>
      <c r="J35" s="10">
        <f t="shared" si="6"/>
        <v>30.976299999999998</v>
      </c>
      <c r="K35" s="7">
        <f>'[10]Aug Prod'!H289</f>
        <v>1621461</v>
      </c>
      <c r="L35" s="8">
        <f t="shared" si="7"/>
        <v>1.621461</v>
      </c>
      <c r="M35" s="10">
        <f t="shared" si="8"/>
        <v>4.9778852699999998</v>
      </c>
      <c r="N35" s="21"/>
      <c r="O35" s="7">
        <f>'[10]Aug Prod'!H34</f>
        <v>9228000</v>
      </c>
      <c r="P35" s="9">
        <f t="shared" si="9"/>
        <v>9.2279999999999998</v>
      </c>
      <c r="Q35" s="11">
        <f t="shared" si="10"/>
        <v>28.329959999999996</v>
      </c>
      <c r="R35" s="7">
        <f>'[10]Aug Prod'!C34</f>
        <v>9332000</v>
      </c>
      <c r="S35" s="9">
        <f t="shared" si="11"/>
        <v>9.3320000000000007</v>
      </c>
      <c r="T35" s="11">
        <f t="shared" si="12"/>
        <v>28.649240000000002</v>
      </c>
      <c r="U35" s="7">
        <f>'[10]Aug Prod'!D34</f>
        <v>0</v>
      </c>
      <c r="V35" s="9">
        <f t="shared" si="13"/>
        <v>0</v>
      </c>
      <c r="W35" s="11">
        <f t="shared" si="14"/>
        <v>0</v>
      </c>
      <c r="X35" s="7">
        <f>'[10]Aug Prod'!D289</f>
        <v>103999.9999999992</v>
      </c>
      <c r="Y35" s="9">
        <f t="shared" si="15"/>
        <v>0.1039999999999992</v>
      </c>
      <c r="Z35" s="11">
        <f t="shared" si="16"/>
        <v>0.31927999999999757</v>
      </c>
      <c r="AA35" s="15"/>
      <c r="AB35" s="7">
        <f t="shared" si="17"/>
        <v>33027999.999999274</v>
      </c>
      <c r="AC35" s="8">
        <f t="shared" si="17"/>
        <v>33.027999999999274</v>
      </c>
      <c r="AD35" s="8">
        <f t="shared" si="17"/>
        <v>101.39595999999776</v>
      </c>
      <c r="AF35" s="8">
        <f t="shared" si="18"/>
        <v>8.659739592076221E-15</v>
      </c>
    </row>
    <row r="36" spans="1:32" ht="13.5" thickBot="1" x14ac:dyDescent="0.25">
      <c r="A36" s="14"/>
      <c r="B36" s="39"/>
      <c r="C36" s="40">
        <f>SUM(C5:C35)</f>
        <v>934</v>
      </c>
      <c r="D36" s="40">
        <f t="shared" ref="D36" si="19">C36*3.07</f>
        <v>2867.3799999999997</v>
      </c>
      <c r="E36" s="39"/>
      <c r="F36" s="40">
        <f>SUM(F5:F35)</f>
        <v>686</v>
      </c>
      <c r="G36" s="40">
        <f t="shared" ref="G36" si="20">F36*3.07</f>
        <v>2106.02</v>
      </c>
      <c r="H36" s="39"/>
      <c r="I36" s="40">
        <f>SUM(I5:I35)</f>
        <v>292.69000000000005</v>
      </c>
      <c r="J36" s="40">
        <f t="shared" ref="J36" si="21">I36*3.07</f>
        <v>898.55830000000014</v>
      </c>
      <c r="K36" s="39"/>
      <c r="L36" s="40">
        <f>SUM(L5:L35)</f>
        <v>72.142123472000023</v>
      </c>
      <c r="M36" s="40">
        <f t="shared" ref="M36" si="22">L36*3.07</f>
        <v>221.47631905904007</v>
      </c>
      <c r="N36" s="14"/>
      <c r="O36" s="39"/>
      <c r="P36" s="40">
        <f>SUM(P5:P35)</f>
        <v>197.84300000000002</v>
      </c>
      <c r="Q36" s="40">
        <f t="shared" si="10"/>
        <v>607.37801000000002</v>
      </c>
      <c r="R36" s="39"/>
      <c r="S36" s="40">
        <f>SUM(S5:S35)</f>
        <v>199.53500000000003</v>
      </c>
      <c r="T36" s="40">
        <f t="shared" si="12"/>
        <v>612.57245</v>
      </c>
      <c r="U36" s="39"/>
      <c r="V36" s="40">
        <f>SUM(V5:V35)</f>
        <v>0</v>
      </c>
      <c r="W36" s="40">
        <f t="shared" si="14"/>
        <v>0</v>
      </c>
      <c r="X36" s="39"/>
      <c r="Y36" s="40">
        <f>SUM(Y5:Y35)</f>
        <v>1.6919999999999931</v>
      </c>
      <c r="Z36" s="40">
        <f t="shared" si="16"/>
        <v>5.1944399999999789</v>
      </c>
      <c r="AA36" s="14"/>
      <c r="AB36" s="39"/>
      <c r="AC36" s="40">
        <f>SUM(AC5:AC35)</f>
        <v>1131.8429999999998</v>
      </c>
      <c r="AD36" s="40">
        <f>AC36*3.07</f>
        <v>3474.7580099999996</v>
      </c>
      <c r="AF36" s="40">
        <f>SUM(AF5:AF35)</f>
        <v>-1.2073675392798577E-15</v>
      </c>
    </row>
    <row r="37" spans="1:32" x14ac:dyDescent="0.2">
      <c r="C37" s="18"/>
      <c r="E37" s="3"/>
      <c r="F37" s="3"/>
      <c r="G37" s="3"/>
      <c r="H37" s="3"/>
      <c r="I37" s="3"/>
      <c r="J37" s="3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</row>
    <row r="38" spans="1:32" x14ac:dyDescent="0.2">
      <c r="G38" s="15"/>
    </row>
  </sheetData>
  <mergeCells count="9">
    <mergeCell ref="AB3:AD3"/>
    <mergeCell ref="R3:T3"/>
    <mergeCell ref="U3:W3"/>
    <mergeCell ref="X3:Z3"/>
    <mergeCell ref="B3:D3"/>
    <mergeCell ref="E3:G3"/>
    <mergeCell ref="H3:J3"/>
    <mergeCell ref="O3:Q3"/>
    <mergeCell ref="K3:M3"/>
  </mergeCells>
  <phoneticPr fontId="1" type="noConversion"/>
  <pageMargins left="0.75" right="0.75" top="1" bottom="1" header="0.5" footer="0.5"/>
  <pageSetup scale="37" orientation="landscape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AF38"/>
  <sheetViews>
    <sheetView workbookViewId="0">
      <pane xSplit="1" ySplit="4" topLeftCell="B20" activePane="bottomRight" state="frozen"/>
      <selection activeCell="T39" sqref="T39"/>
      <selection pane="topRight" activeCell="T39" sqref="T39"/>
      <selection pane="bottomLeft" activeCell="T39" sqref="T39"/>
      <selection pane="bottomRight" activeCell="S5" sqref="S5:S34"/>
    </sheetView>
  </sheetViews>
  <sheetFormatPr defaultRowHeight="12.75" x14ac:dyDescent="0.2"/>
  <cols>
    <col min="2" max="2" width="12.5703125" customWidth="1"/>
    <col min="5" max="5" width="11.28515625" customWidth="1"/>
    <col min="8" max="8" width="11.28515625" customWidth="1"/>
    <col min="11" max="11" width="14.42578125" customWidth="1"/>
    <col min="12" max="12" width="10.42578125" customWidth="1"/>
    <col min="13" max="13" width="10.140625" customWidth="1"/>
    <col min="15" max="15" width="13.5703125" customWidth="1"/>
    <col min="18" max="18" width="11.140625" customWidth="1"/>
    <col min="22" max="22" width="11" customWidth="1"/>
    <col min="28" max="28" width="11.140625" customWidth="1"/>
  </cols>
  <sheetData>
    <row r="1" spans="1:32" x14ac:dyDescent="0.2">
      <c r="A1" s="25"/>
      <c r="B1" s="42"/>
      <c r="C1" s="43"/>
      <c r="D1" s="43"/>
      <c r="E1" s="26"/>
      <c r="F1" s="26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2" ht="13.5" thickBot="1" x14ac:dyDescent="0.25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2" ht="60.75" customHeight="1" thickBot="1" x14ac:dyDescent="0.25">
      <c r="A3" s="3"/>
      <c r="B3" s="51" t="s">
        <v>10</v>
      </c>
      <c r="C3" s="52"/>
      <c r="D3" s="53"/>
      <c r="E3" s="51" t="s">
        <v>11</v>
      </c>
      <c r="F3" s="52"/>
      <c r="G3" s="53"/>
      <c r="H3" s="51" t="s">
        <v>12</v>
      </c>
      <c r="I3" s="52"/>
      <c r="J3" s="53"/>
      <c r="K3" s="51" t="s">
        <v>13</v>
      </c>
      <c r="L3" s="52"/>
      <c r="M3" s="53"/>
      <c r="N3" s="19"/>
      <c r="O3" s="51" t="s">
        <v>4</v>
      </c>
      <c r="P3" s="52"/>
      <c r="Q3" s="53"/>
      <c r="R3" s="51" t="s">
        <v>3</v>
      </c>
      <c r="S3" s="52"/>
      <c r="T3" s="53"/>
      <c r="U3" s="51" t="s">
        <v>6</v>
      </c>
      <c r="V3" s="52"/>
      <c r="W3" s="53"/>
      <c r="X3" s="51" t="s">
        <v>7</v>
      </c>
      <c r="Y3" s="52"/>
      <c r="Z3" s="53"/>
      <c r="AA3" s="19"/>
      <c r="AB3" s="48" t="s">
        <v>8</v>
      </c>
      <c r="AC3" s="49"/>
      <c r="AD3" s="50"/>
      <c r="AF3" s="35" t="s">
        <v>9</v>
      </c>
    </row>
    <row r="4" spans="1:32" x14ac:dyDescent="0.2">
      <c r="A4" s="27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2" t="s">
        <v>0</v>
      </c>
      <c r="AC4" s="33" t="s">
        <v>1</v>
      </c>
      <c r="AD4" s="34" t="s">
        <v>2</v>
      </c>
      <c r="AF4" s="5" t="s">
        <v>2</v>
      </c>
    </row>
    <row r="5" spans="1:32" x14ac:dyDescent="0.2">
      <c r="A5" s="28">
        <v>38596</v>
      </c>
      <c r="B5" s="7">
        <f>'[11]Sep Prod'!I4</f>
        <v>26799999.999999274</v>
      </c>
      <c r="C5" s="8">
        <f>B5/1000000</f>
        <v>26.799999999999272</v>
      </c>
      <c r="D5" s="10">
        <f>C5*3.07</f>
        <v>82.275999999997765</v>
      </c>
      <c r="E5" s="7">
        <f>'[11]Sep Prod'!E4</f>
        <v>18000000</v>
      </c>
      <c r="F5" s="8">
        <f>E5/1000000</f>
        <v>18</v>
      </c>
      <c r="G5" s="10">
        <f>F5*3.07</f>
        <v>55.26</v>
      </c>
      <c r="H5" s="7">
        <f>'[11]Sep Prod'!F4</f>
        <v>9580000</v>
      </c>
      <c r="I5" s="8">
        <f t="shared" ref="I5:I7" si="0">H5/1000000</f>
        <v>9.58</v>
      </c>
      <c r="J5" s="10">
        <f>I5*3.07</f>
        <v>29.410599999999999</v>
      </c>
      <c r="K5" s="7">
        <f>'[11]Sep Prod'!H252</f>
        <v>1812236</v>
      </c>
      <c r="L5" s="8">
        <f>K5/1000000</f>
        <v>1.812236</v>
      </c>
      <c r="M5" s="10">
        <f>L5*3.07</f>
        <v>5.5635645199999999</v>
      </c>
      <c r="N5" s="21"/>
      <c r="O5" s="7">
        <f>'[11]Sep Prod'!H4</f>
        <v>8748000</v>
      </c>
      <c r="P5" s="8">
        <f>O5/1000000</f>
        <v>8.7479999999999993</v>
      </c>
      <c r="Q5" s="10">
        <f>P5*3.07</f>
        <v>26.856359999999995</v>
      </c>
      <c r="R5" s="7">
        <f>'[11]Sep Prod'!C4</f>
        <v>8855000</v>
      </c>
      <c r="S5" s="8">
        <f>R5/1000000</f>
        <v>8.8550000000000004</v>
      </c>
      <c r="T5" s="10">
        <f>S5*3.07</f>
        <v>27.184850000000001</v>
      </c>
      <c r="U5" s="7">
        <f>'[11]Sep Prod'!D4</f>
        <v>0</v>
      </c>
      <c r="V5" s="8">
        <f>U5/1000000</f>
        <v>0</v>
      </c>
      <c r="W5" s="10">
        <f>V5*3.07</f>
        <v>0</v>
      </c>
      <c r="X5" s="7">
        <f>'[11]Sep Prod'!D252</f>
        <v>106999.99999999932</v>
      </c>
      <c r="Y5" s="8">
        <f>X5/1000000</f>
        <v>0.10699999999999932</v>
      </c>
      <c r="Z5" s="10">
        <f>Y5*3.07</f>
        <v>0.32848999999999789</v>
      </c>
      <c r="AA5" s="15"/>
      <c r="AB5" s="7">
        <f>B5+O5</f>
        <v>35547999.99999927</v>
      </c>
      <c r="AC5" s="8">
        <f>C5+P5</f>
        <v>35.54799999999927</v>
      </c>
      <c r="AD5" s="8">
        <f>D5+Q5</f>
        <v>109.13235999999776</v>
      </c>
      <c r="AF5" s="8">
        <f>T5-Q5-Z5</f>
        <v>7.8270723236073536E-15</v>
      </c>
    </row>
    <row r="6" spans="1:32" x14ac:dyDescent="0.2">
      <c r="A6" s="28">
        <v>38597</v>
      </c>
      <c r="B6" s="7">
        <f>'[11]Sep Prod'!I5</f>
        <v>25900000.000001457</v>
      </c>
      <c r="C6" s="8">
        <f t="shared" ref="C6:C33" si="1">B6/1000000</f>
        <v>25.900000000001455</v>
      </c>
      <c r="D6" s="10">
        <f t="shared" ref="D6:D34" si="2">C6*3.07</f>
        <v>79.513000000004467</v>
      </c>
      <c r="E6" s="7">
        <f>'[11]Sep Prod'!E5</f>
        <v>18000000</v>
      </c>
      <c r="F6" s="8">
        <f t="shared" ref="F6:F34" si="3">E6/1000000</f>
        <v>18</v>
      </c>
      <c r="G6" s="10">
        <f t="shared" ref="G6:G34" si="4">F6*3.07</f>
        <v>55.26</v>
      </c>
      <c r="H6" s="7">
        <f>'[11]Sep Prod'!F5</f>
        <v>8630000</v>
      </c>
      <c r="I6" s="8">
        <f t="shared" si="0"/>
        <v>8.6300000000000008</v>
      </c>
      <c r="J6" s="10">
        <f t="shared" ref="J6:J35" si="5">I6*3.07</f>
        <v>26.4941</v>
      </c>
      <c r="K6" s="7">
        <f>'[11]Sep Prod'!H253</f>
        <v>1680639</v>
      </c>
      <c r="L6" s="8">
        <f t="shared" ref="L6:L34" si="6">K6/1000000</f>
        <v>1.680639</v>
      </c>
      <c r="M6" s="10">
        <f t="shared" ref="M6:M35" si="7">L6*3.07</f>
        <v>5.1595617300000001</v>
      </c>
      <c r="N6" s="21"/>
      <c r="O6" s="7">
        <f>'[11]Sep Prod'!H5</f>
        <v>8062000.0000000009</v>
      </c>
      <c r="P6" s="8">
        <f t="shared" ref="P6:P34" si="8">O6/1000000</f>
        <v>8.0620000000000012</v>
      </c>
      <c r="Q6" s="10">
        <f t="shared" ref="Q6:Q35" si="9">P6*3.07</f>
        <v>24.750340000000001</v>
      </c>
      <c r="R6" s="7">
        <f>'[11]Sep Prod'!C5</f>
        <v>8166000</v>
      </c>
      <c r="S6" s="8">
        <f t="shared" ref="S6:S34" si="10">R6/1000000</f>
        <v>8.1660000000000004</v>
      </c>
      <c r="T6" s="10">
        <f t="shared" ref="T6:T35" si="11">S6*3.07</f>
        <v>25.06962</v>
      </c>
      <c r="U6" s="7">
        <f>'[11]Sep Prod'!D5</f>
        <v>0</v>
      </c>
      <c r="V6" s="8">
        <f t="shared" ref="V6:V34" si="12">U6/1000000</f>
        <v>0</v>
      </c>
      <c r="W6" s="10">
        <f t="shared" ref="W6:W35" si="13">V6*3.07</f>
        <v>0</v>
      </c>
      <c r="X6" s="7">
        <f>'[11]Sep Prod'!D253</f>
        <v>103999.9999999992</v>
      </c>
      <c r="Y6" s="8">
        <f t="shared" ref="Y6:Y34" si="14">X6/1000000</f>
        <v>0.1039999999999992</v>
      </c>
      <c r="Z6" s="10">
        <f t="shared" ref="Z6:Z35" si="15">Y6*3.07</f>
        <v>0.31927999999999757</v>
      </c>
      <c r="AA6" s="15"/>
      <c r="AB6" s="7">
        <f t="shared" ref="AB6:AD35" si="16">B6+O6</f>
        <v>33962000.00000146</v>
      </c>
      <c r="AC6" s="8">
        <f t="shared" si="16"/>
        <v>33.962000000001453</v>
      </c>
      <c r="AD6" s="8">
        <f t="shared" si="16"/>
        <v>104.26334000000446</v>
      </c>
      <c r="AF6" s="8">
        <f t="shared" ref="AF6:AF14" si="17">T6-Q6-Z6</f>
        <v>1.5543122344752192E-15</v>
      </c>
    </row>
    <row r="7" spans="1:32" x14ac:dyDescent="0.2">
      <c r="A7" s="28">
        <v>38598</v>
      </c>
      <c r="B7" s="7">
        <f>'[11]Sep Prod'!I6</f>
        <v>26099999.999998543</v>
      </c>
      <c r="C7" s="8">
        <f t="shared" si="1"/>
        <v>26.099999999998545</v>
      </c>
      <c r="D7" s="10">
        <f t="shared" si="2"/>
        <v>80.126999999995533</v>
      </c>
      <c r="E7" s="7">
        <f>'[11]Sep Prod'!E6</f>
        <v>18000000</v>
      </c>
      <c r="F7" s="8">
        <f t="shared" si="3"/>
        <v>18</v>
      </c>
      <c r="G7" s="10">
        <f t="shared" si="4"/>
        <v>55.26</v>
      </c>
      <c r="H7" s="7">
        <f>'[11]Sep Prod'!F6</f>
        <v>8520000</v>
      </c>
      <c r="I7" s="8">
        <f t="shared" si="0"/>
        <v>8.52</v>
      </c>
      <c r="J7" s="10">
        <f t="shared" si="5"/>
        <v>26.156399999999998</v>
      </c>
      <c r="K7" s="7">
        <f>'[11]Sep Prod'!H254</f>
        <v>1747748</v>
      </c>
      <c r="L7" s="8">
        <f t="shared" si="6"/>
        <v>1.7477480000000001</v>
      </c>
      <c r="M7" s="10">
        <f t="shared" si="7"/>
        <v>5.36558636</v>
      </c>
      <c r="N7" s="21"/>
      <c r="O7" s="7">
        <f>'[11]Sep Prod'!H6</f>
        <v>5623999.9999999972</v>
      </c>
      <c r="P7" s="8">
        <f t="shared" si="8"/>
        <v>5.623999999999997</v>
      </c>
      <c r="Q7" s="10">
        <f t="shared" si="9"/>
        <v>17.265679999999989</v>
      </c>
      <c r="R7" s="7">
        <f>'[11]Sep Prod'!C6</f>
        <v>5705000</v>
      </c>
      <c r="S7" s="8">
        <f t="shared" si="10"/>
        <v>5.7050000000000001</v>
      </c>
      <c r="T7" s="10">
        <f t="shared" si="11"/>
        <v>17.51435</v>
      </c>
      <c r="U7" s="7">
        <f>'[11]Sep Prod'!D6</f>
        <v>0</v>
      </c>
      <c r="V7" s="8">
        <f t="shared" si="12"/>
        <v>0</v>
      </c>
      <c r="W7" s="10">
        <f t="shared" si="13"/>
        <v>0</v>
      </c>
      <c r="X7" s="7">
        <f>'[11]Sep Prod'!D254</f>
        <v>81000.00000000307</v>
      </c>
      <c r="Y7" s="8">
        <f t="shared" si="14"/>
        <v>8.100000000000307E-2</v>
      </c>
      <c r="Z7" s="10">
        <f t="shared" si="15"/>
        <v>0.24867000000000941</v>
      </c>
      <c r="AA7" s="15"/>
      <c r="AB7" s="7">
        <f t="shared" si="16"/>
        <v>31723999.99999854</v>
      </c>
      <c r="AC7" s="8">
        <f t="shared" si="16"/>
        <v>31.72399999999854</v>
      </c>
      <c r="AD7" s="8">
        <f t="shared" si="16"/>
        <v>97.392679999995522</v>
      </c>
      <c r="AF7" s="8">
        <f t="shared" si="17"/>
        <v>1.8596235662471372E-15</v>
      </c>
    </row>
    <row r="8" spans="1:32" x14ac:dyDescent="0.2">
      <c r="A8" s="28">
        <v>38599</v>
      </c>
      <c r="B8" s="7">
        <f>'[11]Sep Prod'!I7</f>
        <v>26700000.000000726</v>
      </c>
      <c r="C8" s="8">
        <f t="shared" si="1"/>
        <v>26.700000000000728</v>
      </c>
      <c r="D8" s="10">
        <f t="shared" si="2"/>
        <v>81.969000000002225</v>
      </c>
      <c r="E8" s="7">
        <f>'[11]Sep Prod'!E7</f>
        <v>18000000</v>
      </c>
      <c r="F8" s="8">
        <f t="shared" si="3"/>
        <v>18</v>
      </c>
      <c r="G8" s="10">
        <f t="shared" si="4"/>
        <v>55.26</v>
      </c>
      <c r="H8" s="7">
        <f>'[11]Sep Prod'!F7</f>
        <v>9950000</v>
      </c>
      <c r="I8" s="8">
        <f>H8/1000000</f>
        <v>9.9499999999999993</v>
      </c>
      <c r="J8" s="10">
        <f t="shared" si="5"/>
        <v>30.546499999999995</v>
      </c>
      <c r="K8" s="7">
        <f>'[11]Sep Prod'!H255</f>
        <v>1766985</v>
      </c>
      <c r="L8" s="8">
        <f t="shared" si="6"/>
        <v>1.766985</v>
      </c>
      <c r="M8" s="10">
        <f t="shared" si="7"/>
        <v>5.4246439500000001</v>
      </c>
      <c r="N8" s="21"/>
      <c r="O8" s="7">
        <f>'[11]Sep Prod'!H7</f>
        <v>6243999.9999999972</v>
      </c>
      <c r="P8" s="8">
        <f t="shared" si="8"/>
        <v>6.2439999999999971</v>
      </c>
      <c r="Q8" s="10">
        <f t="shared" si="9"/>
        <v>19.16907999999999</v>
      </c>
      <c r="R8" s="7">
        <f>'[11]Sep Prod'!C7</f>
        <v>6307000</v>
      </c>
      <c r="S8" s="8">
        <f t="shared" si="10"/>
        <v>6.3070000000000004</v>
      </c>
      <c r="T8" s="10">
        <f t="shared" si="11"/>
        <v>19.362490000000001</v>
      </c>
      <c r="U8" s="7">
        <f>'[11]Sep Prod'!D7</f>
        <v>0</v>
      </c>
      <c r="V8" s="8">
        <f t="shared" si="12"/>
        <v>0</v>
      </c>
      <c r="W8" s="10">
        <f t="shared" si="13"/>
        <v>0</v>
      </c>
      <c r="X8" s="7">
        <f>'[11]Sep Prod'!D255</f>
        <v>63000.000000002387</v>
      </c>
      <c r="Y8" s="8">
        <f t="shared" si="14"/>
        <v>6.3000000000002387E-2</v>
      </c>
      <c r="Z8" s="10">
        <f t="shared" si="15"/>
        <v>0.19341000000000733</v>
      </c>
      <c r="AA8" s="15"/>
      <c r="AB8" s="7">
        <f t="shared" si="16"/>
        <v>32944000.000000723</v>
      </c>
      <c r="AC8" s="8">
        <f t="shared" si="16"/>
        <v>32.944000000000727</v>
      </c>
      <c r="AD8" s="8">
        <f>D8+Q8</f>
        <v>101.13808000000222</v>
      </c>
      <c r="AF8" s="8">
        <f t="shared" si="17"/>
        <v>3.4139358007223564E-15</v>
      </c>
    </row>
    <row r="9" spans="1:32" x14ac:dyDescent="0.2">
      <c r="A9" s="28">
        <v>38600</v>
      </c>
      <c r="B9" s="7">
        <f>'[11]Sep Prod'!I8</f>
        <v>26400000.000001457</v>
      </c>
      <c r="C9" s="8">
        <f t="shared" si="1"/>
        <v>26.400000000001455</v>
      </c>
      <c r="D9" s="10">
        <f t="shared" si="2"/>
        <v>81.048000000004464</v>
      </c>
      <c r="E9" s="7">
        <f>'[11]Sep Prod'!E8</f>
        <v>17000000</v>
      </c>
      <c r="F9" s="8">
        <f t="shared" si="3"/>
        <v>17</v>
      </c>
      <c r="G9" s="10">
        <f t="shared" si="4"/>
        <v>52.19</v>
      </c>
      <c r="H9" s="7">
        <f>'[11]Sep Prod'!F8</f>
        <v>10170000</v>
      </c>
      <c r="I9" s="8">
        <f t="shared" ref="I9:I34" si="18">H9/1000000</f>
        <v>10.17</v>
      </c>
      <c r="J9" s="10">
        <f t="shared" si="5"/>
        <v>31.221899999999998</v>
      </c>
      <c r="K9" s="7">
        <f>'[11]Sep Prod'!H256</f>
        <v>1821527</v>
      </c>
      <c r="L9" s="8">
        <f t="shared" si="6"/>
        <v>1.8215269999999999</v>
      </c>
      <c r="M9" s="10">
        <f t="shared" si="7"/>
        <v>5.5920878899999993</v>
      </c>
      <c r="N9" s="21"/>
      <c r="O9" s="7">
        <f>'[11]Sep Prod'!H8</f>
        <v>7198000.0000000028</v>
      </c>
      <c r="P9" s="8">
        <f t="shared" si="8"/>
        <v>7.1980000000000031</v>
      </c>
      <c r="Q9" s="10">
        <f t="shared" si="9"/>
        <v>22.097860000000008</v>
      </c>
      <c r="R9" s="7">
        <f>'[11]Sep Prod'!C8</f>
        <v>7260000</v>
      </c>
      <c r="S9" s="8">
        <f t="shared" si="10"/>
        <v>7.26</v>
      </c>
      <c r="T9" s="10">
        <f t="shared" si="11"/>
        <v>22.2882</v>
      </c>
      <c r="U9" s="7">
        <f>'[11]Sep Prod'!D8</f>
        <v>0</v>
      </c>
      <c r="V9" s="8">
        <f t="shared" si="12"/>
        <v>0</v>
      </c>
      <c r="W9" s="10">
        <f t="shared" si="13"/>
        <v>0</v>
      </c>
      <c r="X9" s="7">
        <f>'[11]Sep Prod'!D256</f>
        <v>61999.999999997613</v>
      </c>
      <c r="Y9" s="8">
        <f t="shared" si="14"/>
        <v>6.1999999999997613E-2</v>
      </c>
      <c r="Z9" s="10">
        <f t="shared" si="15"/>
        <v>0.19033999999999265</v>
      </c>
      <c r="AA9" s="15"/>
      <c r="AB9" s="7">
        <f t="shared" si="16"/>
        <v>33598000.00000146</v>
      </c>
      <c r="AC9" s="8">
        <f t="shared" si="16"/>
        <v>33.598000000001456</v>
      </c>
      <c r="AD9" s="8">
        <f t="shared" si="16"/>
        <v>103.14586000000448</v>
      </c>
      <c r="AF9" s="8">
        <f t="shared" si="17"/>
        <v>-6.9388939039072284E-16</v>
      </c>
    </row>
    <row r="10" spans="1:32" x14ac:dyDescent="0.2">
      <c r="A10" s="28">
        <v>38601</v>
      </c>
      <c r="B10" s="7">
        <f>'[11]Sep Prod'!I9</f>
        <v>25799999.999999274</v>
      </c>
      <c r="C10" s="8">
        <f t="shared" si="1"/>
        <v>25.799999999999272</v>
      </c>
      <c r="D10" s="10">
        <f t="shared" si="2"/>
        <v>79.205999999997758</v>
      </c>
      <c r="E10" s="7">
        <f>'[11]Sep Prod'!E9</f>
        <v>17000000</v>
      </c>
      <c r="F10" s="8">
        <f t="shared" si="3"/>
        <v>17</v>
      </c>
      <c r="G10" s="10">
        <f t="shared" si="4"/>
        <v>52.19</v>
      </c>
      <c r="H10" s="7">
        <f>'[11]Sep Prod'!F9</f>
        <v>9080000</v>
      </c>
      <c r="I10" s="8">
        <f t="shared" si="18"/>
        <v>9.08</v>
      </c>
      <c r="J10" s="10">
        <f t="shared" si="5"/>
        <v>27.875599999999999</v>
      </c>
      <c r="K10" s="7">
        <f>'[11]Sep Prod'!H257</f>
        <v>1747173</v>
      </c>
      <c r="L10" s="8">
        <f t="shared" si="6"/>
        <v>1.7471730000000001</v>
      </c>
      <c r="M10" s="10">
        <f t="shared" si="7"/>
        <v>5.3638211099999999</v>
      </c>
      <c r="N10" s="21"/>
      <c r="O10" s="7">
        <f>'[11]Sep Prod'!H9</f>
        <v>7811000.0000000019</v>
      </c>
      <c r="P10" s="8">
        <f t="shared" si="8"/>
        <v>7.8110000000000017</v>
      </c>
      <c r="Q10" s="10">
        <f t="shared" si="9"/>
        <v>23.979770000000006</v>
      </c>
      <c r="R10" s="7">
        <f>'[11]Sep Prod'!C9</f>
        <v>7894000</v>
      </c>
      <c r="S10" s="8">
        <f t="shared" si="10"/>
        <v>7.8940000000000001</v>
      </c>
      <c r="T10" s="10">
        <f t="shared" si="11"/>
        <v>24.234579999999998</v>
      </c>
      <c r="U10" s="7">
        <f>'[11]Sep Prod'!D9</f>
        <v>0</v>
      </c>
      <c r="V10" s="8">
        <f t="shared" si="12"/>
        <v>0</v>
      </c>
      <c r="W10" s="10">
        <f t="shared" si="13"/>
        <v>0</v>
      </c>
      <c r="X10" s="7">
        <f>'[11]Sep Prod'!D257</f>
        <v>82999.999999998414</v>
      </c>
      <c r="Y10" s="8">
        <f t="shared" si="14"/>
        <v>8.2999999999998408E-2</v>
      </c>
      <c r="Z10" s="10">
        <f t="shared" si="15"/>
        <v>0.2548099999999951</v>
      </c>
      <c r="AA10" s="15"/>
      <c r="AB10" s="7">
        <f t="shared" si="16"/>
        <v>33610999.999999277</v>
      </c>
      <c r="AC10" s="8">
        <f t="shared" si="16"/>
        <v>33.610999999999272</v>
      </c>
      <c r="AD10" s="8">
        <f t="shared" si="16"/>
        <v>103.18576999999776</v>
      </c>
      <c r="AF10" s="8">
        <f t="shared" si="17"/>
        <v>-3.1086244689504383E-15</v>
      </c>
    </row>
    <row r="11" spans="1:32" x14ac:dyDescent="0.2">
      <c r="A11" s="28">
        <v>38602</v>
      </c>
      <c r="B11" s="7">
        <f>'[11]Sep Prod'!I10</f>
        <v>19500000</v>
      </c>
      <c r="C11" s="8">
        <f t="shared" si="1"/>
        <v>19.5</v>
      </c>
      <c r="D11" s="10">
        <f t="shared" si="2"/>
        <v>59.864999999999995</v>
      </c>
      <c r="E11" s="7">
        <f>'[11]Sep Prod'!E10</f>
        <v>14000000</v>
      </c>
      <c r="F11" s="8">
        <f t="shared" si="3"/>
        <v>14</v>
      </c>
      <c r="G11" s="10">
        <f t="shared" si="4"/>
        <v>42.98</v>
      </c>
      <c r="H11" s="7">
        <f>'[11]Sep Prod'!F10</f>
        <v>6750000</v>
      </c>
      <c r="I11" s="8">
        <f t="shared" si="18"/>
        <v>6.75</v>
      </c>
      <c r="J11" s="10">
        <f t="shared" si="5"/>
        <v>20.7225</v>
      </c>
      <c r="K11" s="7">
        <f>'[11]Sep Prod'!H258</f>
        <v>1355213</v>
      </c>
      <c r="L11" s="8">
        <f t="shared" si="6"/>
        <v>1.355213</v>
      </c>
      <c r="M11" s="10">
        <f t="shared" si="7"/>
        <v>4.1605039100000001</v>
      </c>
      <c r="N11" s="21"/>
      <c r="O11" s="7">
        <f>'[11]Sep Prod'!H10</f>
        <v>6292999.9999999972</v>
      </c>
      <c r="P11" s="8">
        <f t="shared" si="8"/>
        <v>6.2929999999999975</v>
      </c>
      <c r="Q11" s="10">
        <f t="shared" si="9"/>
        <v>19.31950999999999</v>
      </c>
      <c r="R11" s="7">
        <f>'[11]Sep Prod'!C10</f>
        <v>6374000</v>
      </c>
      <c r="S11" s="8">
        <f t="shared" si="10"/>
        <v>6.3739999999999997</v>
      </c>
      <c r="T11" s="10">
        <f t="shared" si="11"/>
        <v>19.568179999999998</v>
      </c>
      <c r="U11" s="7">
        <f>'[11]Sep Prod'!D10</f>
        <v>0</v>
      </c>
      <c r="V11" s="8">
        <f t="shared" si="12"/>
        <v>0</v>
      </c>
      <c r="W11" s="10">
        <f t="shared" si="13"/>
        <v>0</v>
      </c>
      <c r="X11" s="7">
        <f>'[11]Sep Prod'!D258</f>
        <v>81000.00000000307</v>
      </c>
      <c r="Y11" s="8">
        <f t="shared" si="14"/>
        <v>8.100000000000307E-2</v>
      </c>
      <c r="Z11" s="10">
        <f t="shared" si="15"/>
        <v>0.24867000000000941</v>
      </c>
      <c r="AA11" s="15"/>
      <c r="AB11" s="7">
        <f t="shared" si="16"/>
        <v>25792999.999999996</v>
      </c>
      <c r="AC11" s="8">
        <f t="shared" si="16"/>
        <v>25.792999999999999</v>
      </c>
      <c r="AD11" s="8">
        <f t="shared" si="16"/>
        <v>79.184509999999989</v>
      </c>
      <c r="AF11" s="8">
        <f t="shared" si="17"/>
        <v>-1.6930901125533637E-15</v>
      </c>
    </row>
    <row r="12" spans="1:32" x14ac:dyDescent="0.2">
      <c r="A12" s="28">
        <v>38603</v>
      </c>
      <c r="B12" s="7">
        <f>'[11]Sep Prod'!I11</f>
        <v>24700000.000000726</v>
      </c>
      <c r="C12" s="8">
        <f t="shared" si="1"/>
        <v>24.700000000000728</v>
      </c>
      <c r="D12" s="10">
        <f t="shared" si="2"/>
        <v>75.829000000002225</v>
      </c>
      <c r="E12" s="7">
        <f>'[11]Sep Prod'!E11</f>
        <v>18000000</v>
      </c>
      <c r="F12" s="8">
        <f t="shared" si="3"/>
        <v>18</v>
      </c>
      <c r="G12" s="10">
        <f t="shared" si="4"/>
        <v>55.26</v>
      </c>
      <c r="H12" s="7">
        <f>'[11]Sep Prod'!F11</f>
        <v>7860000</v>
      </c>
      <c r="I12" s="8">
        <f t="shared" si="18"/>
        <v>7.86</v>
      </c>
      <c r="J12" s="10">
        <f t="shared" si="5"/>
        <v>24.130199999999999</v>
      </c>
      <c r="K12" s="7">
        <f>'[11]Sep Prod'!H259</f>
        <v>1659366</v>
      </c>
      <c r="L12" s="8">
        <f t="shared" si="6"/>
        <v>1.6593659999999999</v>
      </c>
      <c r="M12" s="10">
        <f t="shared" si="7"/>
        <v>5.094253619999999</v>
      </c>
      <c r="N12" s="21"/>
      <c r="O12" s="7">
        <f>'[11]Sep Prod'!H11</f>
        <v>7124000.0000000075</v>
      </c>
      <c r="P12" s="8">
        <f t="shared" si="8"/>
        <v>7.1240000000000077</v>
      </c>
      <c r="Q12" s="10">
        <f t="shared" si="9"/>
        <v>21.870680000000021</v>
      </c>
      <c r="R12" s="7">
        <f>'[11]Sep Prod'!C11</f>
        <v>7182000</v>
      </c>
      <c r="S12" s="8">
        <f t="shared" si="10"/>
        <v>7.1820000000000004</v>
      </c>
      <c r="T12" s="10">
        <f t="shared" si="11"/>
        <v>22.048739999999999</v>
      </c>
      <c r="U12" s="7">
        <f>'[11]Sep Prod'!D11</f>
        <v>0</v>
      </c>
      <c r="V12" s="8">
        <f t="shared" si="12"/>
        <v>0</v>
      </c>
      <c r="W12" s="10">
        <f t="shared" si="13"/>
        <v>0</v>
      </c>
      <c r="X12" s="7">
        <f>'[11]Sep Prod'!D259</f>
        <v>57999.999999992724</v>
      </c>
      <c r="Y12" s="8">
        <f t="shared" si="14"/>
        <v>5.7999999999992724E-2</v>
      </c>
      <c r="Z12" s="10">
        <f t="shared" si="15"/>
        <v>0.17805999999997765</v>
      </c>
      <c r="AA12" s="15"/>
      <c r="AB12" s="7">
        <f t="shared" si="16"/>
        <v>31824000.000000734</v>
      </c>
      <c r="AC12" s="8">
        <f t="shared" si="16"/>
        <v>31.824000000000737</v>
      </c>
      <c r="AD12" s="8">
        <f t="shared" si="16"/>
        <v>97.699680000002246</v>
      </c>
      <c r="AF12" s="8">
        <f t="shared" si="17"/>
        <v>-4.163336342344337E-16</v>
      </c>
    </row>
    <row r="13" spans="1:32" x14ac:dyDescent="0.2">
      <c r="A13" s="28">
        <v>38604</v>
      </c>
      <c r="B13" s="7">
        <f>'[11]Sep Prod'!I12</f>
        <v>23100000.000002183</v>
      </c>
      <c r="C13" s="8">
        <f t="shared" si="1"/>
        <v>23.100000000002183</v>
      </c>
      <c r="D13" s="10">
        <f t="shared" si="2"/>
        <v>70.917000000006695</v>
      </c>
      <c r="E13" s="7">
        <f>'[11]Sep Prod'!E12</f>
        <v>15000000</v>
      </c>
      <c r="F13" s="8">
        <f t="shared" si="3"/>
        <v>15</v>
      </c>
      <c r="G13" s="10">
        <f t="shared" si="4"/>
        <v>46.05</v>
      </c>
      <c r="H13" s="7">
        <f>'[11]Sep Prod'!F12</f>
        <v>7700000</v>
      </c>
      <c r="I13" s="8">
        <f t="shared" si="18"/>
        <v>7.7</v>
      </c>
      <c r="J13" s="10">
        <f t="shared" si="5"/>
        <v>23.638999999999999</v>
      </c>
      <c r="K13" s="44">
        <f>'[11]Sep Prod'!H260</f>
        <v>13498915</v>
      </c>
      <c r="L13" s="8">
        <f>K13/10000000</f>
        <v>1.3498915</v>
      </c>
      <c r="M13" s="10">
        <f t="shared" si="7"/>
        <v>4.1441669049999996</v>
      </c>
      <c r="N13" s="21"/>
      <c r="O13" s="7">
        <f>'[11]Sep Prod'!H12</f>
        <v>6671999.9999999972</v>
      </c>
      <c r="P13" s="8">
        <f t="shared" si="8"/>
        <v>6.671999999999997</v>
      </c>
      <c r="Q13" s="10">
        <f t="shared" si="9"/>
        <v>20.483039999999988</v>
      </c>
      <c r="R13" s="7">
        <f>'[11]Sep Prod'!C12</f>
        <v>6753000</v>
      </c>
      <c r="S13" s="8">
        <f t="shared" si="10"/>
        <v>6.7530000000000001</v>
      </c>
      <c r="T13" s="10">
        <f t="shared" si="11"/>
        <v>20.73171</v>
      </c>
      <c r="U13" s="7">
        <f>'[11]Sep Prod'!D12</f>
        <v>0</v>
      </c>
      <c r="V13" s="8">
        <f t="shared" si="12"/>
        <v>0</v>
      </c>
      <c r="W13" s="10">
        <f t="shared" si="13"/>
        <v>0</v>
      </c>
      <c r="X13" s="7">
        <f>'[11]Sep Prod'!D260</f>
        <v>81000.00000000307</v>
      </c>
      <c r="Y13" s="8">
        <f t="shared" si="14"/>
        <v>8.100000000000307E-2</v>
      </c>
      <c r="Z13" s="10">
        <f t="shared" si="15"/>
        <v>0.24867000000000941</v>
      </c>
      <c r="AA13" s="15"/>
      <c r="AB13" s="7">
        <f t="shared" si="16"/>
        <v>29772000.000002179</v>
      </c>
      <c r="AC13" s="8">
        <f t="shared" si="16"/>
        <v>29.77200000000218</v>
      </c>
      <c r="AD13" s="8">
        <f t="shared" si="16"/>
        <v>91.400040000006683</v>
      </c>
      <c r="AF13" s="8">
        <f t="shared" si="17"/>
        <v>1.8596235662471372E-15</v>
      </c>
    </row>
    <row r="14" spans="1:32" x14ac:dyDescent="0.2">
      <c r="A14" s="28">
        <v>38605</v>
      </c>
      <c r="B14" s="7">
        <f>'[11]Sep Prod'!I13</f>
        <v>20599999.999998543</v>
      </c>
      <c r="C14" s="8">
        <f t="shared" si="1"/>
        <v>20.599999999998545</v>
      </c>
      <c r="D14" s="10">
        <f t="shared" si="2"/>
        <v>63.241999999995528</v>
      </c>
      <c r="E14" s="7">
        <f>'[11]Sep Prod'!E13</f>
        <v>16000000</v>
      </c>
      <c r="F14" s="8">
        <f t="shared" si="3"/>
        <v>16</v>
      </c>
      <c r="G14" s="10">
        <f t="shared" si="4"/>
        <v>49.12</v>
      </c>
      <c r="H14" s="7">
        <f>'[11]Sep Prod'!F13</f>
        <v>9030000</v>
      </c>
      <c r="I14" s="8">
        <f t="shared" si="18"/>
        <v>9.0299999999999994</v>
      </c>
      <c r="J14" s="10">
        <f t="shared" si="5"/>
        <v>27.722099999999998</v>
      </c>
      <c r="K14" s="7">
        <f>'[11]Sep Prod'!H261</f>
        <v>1604759</v>
      </c>
      <c r="L14" s="8">
        <f t="shared" si="6"/>
        <v>1.604759</v>
      </c>
      <c r="M14" s="10">
        <f t="shared" si="7"/>
        <v>4.9266101300000003</v>
      </c>
      <c r="N14" s="21"/>
      <c r="O14" s="7">
        <f>'[11]Sep Prod'!H13</f>
        <v>7828999.9999999925</v>
      </c>
      <c r="P14" s="8">
        <f t="shared" si="8"/>
        <v>7.8289999999999926</v>
      </c>
      <c r="Q14" s="10">
        <f t="shared" si="9"/>
        <v>24.035029999999978</v>
      </c>
      <c r="R14" s="7">
        <f>'[11]Sep Prod'!C13</f>
        <v>7908000</v>
      </c>
      <c r="S14" s="8">
        <f t="shared" si="10"/>
        <v>7.9080000000000004</v>
      </c>
      <c r="T14" s="10">
        <f t="shared" si="11"/>
        <v>24.277560000000001</v>
      </c>
      <c r="U14" s="7">
        <f>'[11]Sep Prod'!D13</f>
        <v>0</v>
      </c>
      <c r="V14" s="8">
        <f t="shared" si="12"/>
        <v>0</v>
      </c>
      <c r="W14" s="10">
        <f t="shared" si="13"/>
        <v>0</v>
      </c>
      <c r="X14" s="7">
        <f>'[11]Sep Prod'!D261</f>
        <v>79000.000000007727</v>
      </c>
      <c r="Y14" s="8">
        <f t="shared" si="14"/>
        <v>7.9000000000007731E-2</v>
      </c>
      <c r="Z14" s="10">
        <f t="shared" si="15"/>
        <v>0.24253000000002373</v>
      </c>
      <c r="AA14" s="15"/>
      <c r="AB14" s="7">
        <f t="shared" si="16"/>
        <v>28428999.999998536</v>
      </c>
      <c r="AC14" s="8">
        <f t="shared" si="16"/>
        <v>28.428999999998538</v>
      </c>
      <c r="AD14" s="8">
        <f t="shared" si="16"/>
        <v>87.277029999995506</v>
      </c>
      <c r="AF14" s="8">
        <f t="shared" si="17"/>
        <v>-2.7755575615628914E-16</v>
      </c>
    </row>
    <row r="15" spans="1:32" x14ac:dyDescent="0.2">
      <c r="A15" s="28">
        <v>38606</v>
      </c>
      <c r="B15" s="7">
        <f>'[11]Sep Prod'!I14</f>
        <v>22400000.000001457</v>
      </c>
      <c r="C15" s="8">
        <f t="shared" si="1"/>
        <v>22.400000000001455</v>
      </c>
      <c r="D15" s="10">
        <f t="shared" si="2"/>
        <v>68.768000000004463</v>
      </c>
      <c r="E15" s="7">
        <f>'[11]Sep Prod'!E14</f>
        <v>13000000</v>
      </c>
      <c r="F15" s="8">
        <f t="shared" si="3"/>
        <v>13</v>
      </c>
      <c r="G15" s="10">
        <f t="shared" si="4"/>
        <v>39.909999999999997</v>
      </c>
      <c r="H15" s="7">
        <f>'[11]Sep Prod'!F14</f>
        <v>9080000</v>
      </c>
      <c r="I15" s="8">
        <f t="shared" si="18"/>
        <v>9.08</v>
      </c>
      <c r="J15" s="10">
        <f t="shared" si="5"/>
        <v>27.875599999999999</v>
      </c>
      <c r="K15" s="7">
        <f>'[11]Sep Prod'!H262</f>
        <v>1759141</v>
      </c>
      <c r="L15" s="8">
        <f t="shared" si="6"/>
        <v>1.7591410000000001</v>
      </c>
      <c r="M15" s="10">
        <f t="shared" si="7"/>
        <v>5.4005628699999999</v>
      </c>
      <c r="N15" s="21"/>
      <c r="O15" s="7">
        <f>'[11]Sep Prod'!H14</f>
        <v>7529999.9999999972</v>
      </c>
      <c r="P15" s="8">
        <f t="shared" si="8"/>
        <v>7.5299999999999976</v>
      </c>
      <c r="Q15" s="10">
        <f t="shared" si="9"/>
        <v>23.11709999999999</v>
      </c>
      <c r="R15" s="7">
        <f>'[11]Sep Prod'!C14</f>
        <v>7611000</v>
      </c>
      <c r="S15" s="8">
        <f t="shared" si="10"/>
        <v>7.6109999999999998</v>
      </c>
      <c r="T15" s="10">
        <f t="shared" si="11"/>
        <v>23.365769999999998</v>
      </c>
      <c r="U15" s="7">
        <f>'[11]Sep Prod'!D14</f>
        <v>0</v>
      </c>
      <c r="V15" s="8">
        <f t="shared" si="12"/>
        <v>0</v>
      </c>
      <c r="W15" s="10">
        <f t="shared" si="13"/>
        <v>0</v>
      </c>
      <c r="X15" s="7">
        <f>'[11]Sep Prod'!D262</f>
        <v>81000.00000000307</v>
      </c>
      <c r="Y15" s="8">
        <f t="shared" si="14"/>
        <v>8.100000000000307E-2</v>
      </c>
      <c r="Z15" s="10">
        <f t="shared" si="15"/>
        <v>0.24867000000000941</v>
      </c>
      <c r="AA15" s="15"/>
      <c r="AB15" s="7">
        <f t="shared" si="16"/>
        <v>29930000.000001453</v>
      </c>
      <c r="AC15" s="8">
        <f t="shared" si="16"/>
        <v>29.930000000001453</v>
      </c>
      <c r="AD15" s="8">
        <f t="shared" si="16"/>
        <v>91.885100000004456</v>
      </c>
      <c r="AF15" s="8">
        <f>T15-Q15-Z15</f>
        <v>-1.6930901125533637E-15</v>
      </c>
    </row>
    <row r="16" spans="1:32" x14ac:dyDescent="0.2">
      <c r="A16" s="28">
        <v>38607</v>
      </c>
      <c r="B16" s="7">
        <f>'[11]Sep Prod'!I15</f>
        <v>16000000</v>
      </c>
      <c r="C16" s="8">
        <f t="shared" si="1"/>
        <v>16</v>
      </c>
      <c r="D16" s="10">
        <f t="shared" si="2"/>
        <v>49.12</v>
      </c>
      <c r="E16" s="7">
        <f>'[11]Sep Prod'!E15</f>
        <v>10000000</v>
      </c>
      <c r="F16" s="8">
        <f t="shared" si="3"/>
        <v>10</v>
      </c>
      <c r="G16" s="10">
        <f t="shared" si="4"/>
        <v>30.7</v>
      </c>
      <c r="H16" s="7">
        <f>'[11]Sep Prod'!F15</f>
        <v>7550000</v>
      </c>
      <c r="I16" s="8">
        <f t="shared" si="18"/>
        <v>7.55</v>
      </c>
      <c r="J16" s="10">
        <f t="shared" si="5"/>
        <v>23.1785</v>
      </c>
      <c r="K16" s="7">
        <f>'[11]Sep Prod'!H263</f>
        <v>1518172</v>
      </c>
      <c r="L16" s="8">
        <f t="shared" si="6"/>
        <v>1.5181720000000001</v>
      </c>
      <c r="M16" s="10">
        <f t="shared" si="7"/>
        <v>4.6607880399999999</v>
      </c>
      <c r="N16" s="21"/>
      <c r="O16" s="7">
        <f>'[11]Sep Prod'!H15</f>
        <v>6287000.0000000112</v>
      </c>
      <c r="P16" s="8">
        <f t="shared" si="8"/>
        <v>6.2870000000000115</v>
      </c>
      <c r="Q16" s="10">
        <f t="shared" si="9"/>
        <v>19.301090000000034</v>
      </c>
      <c r="R16" s="7">
        <f>'[11]Sep Prod'!C15</f>
        <v>6368000</v>
      </c>
      <c r="S16" s="8">
        <f t="shared" si="10"/>
        <v>6.3680000000000003</v>
      </c>
      <c r="T16" s="10">
        <f t="shared" si="11"/>
        <v>19.549759999999999</v>
      </c>
      <c r="U16" s="7">
        <f>'[11]Sep Prod'!D15</f>
        <v>0</v>
      </c>
      <c r="V16" s="8">
        <f t="shared" si="12"/>
        <v>0</v>
      </c>
      <c r="W16" s="10">
        <f t="shared" si="13"/>
        <v>0</v>
      </c>
      <c r="X16" s="7">
        <f>'[11]Sep Prod'!D263</f>
        <v>80999.999999988853</v>
      </c>
      <c r="Y16" s="8">
        <f t="shared" si="14"/>
        <v>8.0999999999988859E-2</v>
      </c>
      <c r="Z16" s="10">
        <f t="shared" si="15"/>
        <v>0.24866999999996578</v>
      </c>
      <c r="AA16" s="15"/>
      <c r="AB16" s="7">
        <f t="shared" si="16"/>
        <v>22287000.000000011</v>
      </c>
      <c r="AC16" s="8">
        <f t="shared" si="16"/>
        <v>22.287000000000013</v>
      </c>
      <c r="AD16" s="8">
        <f t="shared" si="16"/>
        <v>68.421090000000035</v>
      </c>
      <c r="AF16" s="8">
        <f>T16-Q16-Z16</f>
        <v>-6.9388939039072284E-16</v>
      </c>
    </row>
    <row r="17" spans="1:32" x14ac:dyDescent="0.2">
      <c r="A17" s="28">
        <v>38608</v>
      </c>
      <c r="B17" s="7">
        <f>'[11]Sep Prod'!I16</f>
        <v>9399999.999997817</v>
      </c>
      <c r="C17" s="8">
        <f t="shared" si="1"/>
        <v>9.3999999999978172</v>
      </c>
      <c r="D17" s="10">
        <f t="shared" si="2"/>
        <v>28.857999999993297</v>
      </c>
      <c r="E17" s="7">
        <f>'[11]Sep Prod'!E16</f>
        <v>10000000</v>
      </c>
      <c r="F17" s="8">
        <f t="shared" si="3"/>
        <v>10</v>
      </c>
      <c r="G17" s="10">
        <f t="shared" si="4"/>
        <v>30.7</v>
      </c>
      <c r="H17" s="7">
        <f>'[11]Sep Prod'!F16</f>
        <v>320000</v>
      </c>
      <c r="I17" s="8">
        <f t="shared" si="18"/>
        <v>0.32</v>
      </c>
      <c r="J17" s="10">
        <f t="shared" si="5"/>
        <v>0.98239999999999994</v>
      </c>
      <c r="K17" s="7">
        <f>'[11]Sep Prod'!H264</f>
        <v>783778</v>
      </c>
      <c r="L17" s="8">
        <f t="shared" si="6"/>
        <v>0.78377799999999997</v>
      </c>
      <c r="M17" s="10">
        <f t="shared" si="7"/>
        <v>2.4061984599999997</v>
      </c>
      <c r="N17" s="21"/>
      <c r="O17" s="7">
        <f>'[11]Sep Prod'!H16</f>
        <v>5132999.9999999981</v>
      </c>
      <c r="P17" s="8">
        <f t="shared" si="8"/>
        <v>5.1329999999999982</v>
      </c>
      <c r="Q17" s="10">
        <f t="shared" si="9"/>
        <v>15.758309999999994</v>
      </c>
      <c r="R17" s="7">
        <f>'[11]Sep Prod'!C16</f>
        <v>5193000</v>
      </c>
      <c r="S17" s="8">
        <f t="shared" si="10"/>
        <v>5.1929999999999996</v>
      </c>
      <c r="T17" s="10">
        <f t="shared" si="11"/>
        <v>15.942509999999999</v>
      </c>
      <c r="U17" s="7">
        <f>'[11]Sep Prod'!D16</f>
        <v>0</v>
      </c>
      <c r="V17" s="8">
        <f t="shared" si="12"/>
        <v>0</v>
      </c>
      <c r="W17" s="10">
        <f t="shared" si="13"/>
        <v>0</v>
      </c>
      <c r="X17" s="7">
        <f>'[11]Sep Prod'!D264</f>
        <v>60000.00000000227</v>
      </c>
      <c r="Y17" s="8">
        <f t="shared" si="14"/>
        <v>6.0000000000002267E-2</v>
      </c>
      <c r="Z17" s="10">
        <f t="shared" si="15"/>
        <v>0.18420000000000694</v>
      </c>
      <c r="AA17" s="15"/>
      <c r="AB17" s="7">
        <f t="shared" si="16"/>
        <v>14532999.999997815</v>
      </c>
      <c r="AC17" s="8">
        <f t="shared" si="16"/>
        <v>14.532999999997816</v>
      </c>
      <c r="AD17" s="8">
        <f t="shared" si="16"/>
        <v>44.616309999993291</v>
      </c>
      <c r="AF17" s="8">
        <f>T17-Q17-Z17</f>
        <v>-2.8033131371785203E-15</v>
      </c>
    </row>
    <row r="18" spans="1:32" x14ac:dyDescent="0.2">
      <c r="A18" s="28">
        <v>38609</v>
      </c>
      <c r="B18" s="7">
        <f>'[11]Sep Prod'!I17</f>
        <v>17400000.000001457</v>
      </c>
      <c r="C18" s="8">
        <f t="shared" si="1"/>
        <v>17.400000000001455</v>
      </c>
      <c r="D18" s="10">
        <f t="shared" si="2"/>
        <v>53.418000000004461</v>
      </c>
      <c r="E18" s="7">
        <f>'[11]Sep Prod'!E17</f>
        <v>19000000</v>
      </c>
      <c r="F18" s="8">
        <f t="shared" si="3"/>
        <v>19</v>
      </c>
      <c r="G18" s="10">
        <f t="shared" si="4"/>
        <v>58.33</v>
      </c>
      <c r="H18" s="7">
        <f>'[11]Sep Prod'!F17</f>
        <v>0</v>
      </c>
      <c r="I18" s="8">
        <f t="shared" si="18"/>
        <v>0</v>
      </c>
      <c r="J18" s="10">
        <f t="shared" si="5"/>
        <v>0</v>
      </c>
      <c r="K18" s="7">
        <f>'[11]Sep Prod'!H265</f>
        <v>984725</v>
      </c>
      <c r="L18" s="8">
        <f t="shared" si="6"/>
        <v>0.98472499999999996</v>
      </c>
      <c r="M18" s="10">
        <f t="shared" si="7"/>
        <v>3.0231057499999996</v>
      </c>
      <c r="N18" s="21"/>
      <c r="O18" s="7">
        <f>'[11]Sep Prod'!H17</f>
        <v>7345999.9999999935</v>
      </c>
      <c r="P18" s="8">
        <f t="shared" si="8"/>
        <v>7.3459999999999939</v>
      </c>
      <c r="Q18" s="10">
        <f t="shared" si="9"/>
        <v>22.552219999999981</v>
      </c>
      <c r="R18" s="7">
        <f>'[11]Sep Prod'!C17</f>
        <v>7386000</v>
      </c>
      <c r="S18" s="8">
        <f t="shared" si="10"/>
        <v>7.3860000000000001</v>
      </c>
      <c r="T18" s="10">
        <f t="shared" si="11"/>
        <v>22.67502</v>
      </c>
      <c r="U18" s="7">
        <f>'[11]Sep Prod'!D17</f>
        <v>0</v>
      </c>
      <c r="V18" s="8">
        <f t="shared" si="12"/>
        <v>0</v>
      </c>
      <c r="W18" s="10">
        <f t="shared" si="13"/>
        <v>0</v>
      </c>
      <c r="X18" s="7">
        <f>'[11]Sep Prod'!D265</f>
        <v>40000.00000000625</v>
      </c>
      <c r="Y18" s="8">
        <f t="shared" si="14"/>
        <v>4.0000000000006253E-2</v>
      </c>
      <c r="Z18" s="10">
        <f t="shared" si="15"/>
        <v>0.12280000000001919</v>
      </c>
      <c r="AA18" s="15"/>
      <c r="AB18" s="7">
        <f t="shared" si="16"/>
        <v>24746000.000001449</v>
      </c>
      <c r="AC18" s="8">
        <f t="shared" si="16"/>
        <v>24.746000000001448</v>
      </c>
      <c r="AD18" s="8">
        <f t="shared" si="16"/>
        <v>75.970220000004446</v>
      </c>
      <c r="AF18" s="8">
        <f>T18-Q18-Z18</f>
        <v>1.5265566588595902E-16</v>
      </c>
    </row>
    <row r="19" spans="1:32" x14ac:dyDescent="0.2">
      <c r="A19" s="28">
        <v>38610</v>
      </c>
      <c r="B19" s="7">
        <f>'[11]Sep Prod'!I18</f>
        <v>16599999.999998545</v>
      </c>
      <c r="C19" s="8">
        <f t="shared" si="1"/>
        <v>16.599999999998545</v>
      </c>
      <c r="D19" s="10">
        <f t="shared" si="2"/>
        <v>50.961999999995527</v>
      </c>
      <c r="E19" s="7">
        <f>'[11]Sep Prod'!E18</f>
        <v>18000000</v>
      </c>
      <c r="F19" s="8">
        <f t="shared" si="3"/>
        <v>18</v>
      </c>
      <c r="G19" s="10">
        <f t="shared" si="4"/>
        <v>55.26</v>
      </c>
      <c r="H19" s="7">
        <f>'[11]Sep Prod'!F18</f>
        <v>0</v>
      </c>
      <c r="I19" s="8">
        <f t="shared" si="18"/>
        <v>0</v>
      </c>
      <c r="J19" s="10">
        <f t="shared" si="5"/>
        <v>0</v>
      </c>
      <c r="K19" s="7">
        <f>'[11]Sep Prod'!H266</f>
        <v>1386041</v>
      </c>
      <c r="L19" s="8">
        <f t="shared" si="6"/>
        <v>1.3860410000000001</v>
      </c>
      <c r="M19" s="10">
        <f t="shared" si="7"/>
        <v>4.2551458699999998</v>
      </c>
      <c r="N19" s="21"/>
      <c r="O19" s="7">
        <f>'[11]Sep Prod'!H18</f>
        <v>7962999.9999999972</v>
      </c>
      <c r="P19" s="8">
        <f t="shared" si="8"/>
        <v>7.9629999999999974</v>
      </c>
      <c r="Q19" s="10">
        <f t="shared" si="9"/>
        <v>24.44640999999999</v>
      </c>
      <c r="R19" s="7">
        <f>'[11]Sep Prod'!C18</f>
        <v>8026000</v>
      </c>
      <c r="S19" s="8">
        <f t="shared" si="10"/>
        <v>8.0259999999999998</v>
      </c>
      <c r="T19" s="10">
        <f t="shared" si="11"/>
        <v>24.639819999999997</v>
      </c>
      <c r="U19" s="7">
        <f>'[11]Sep Prod'!D18</f>
        <v>0</v>
      </c>
      <c r="V19" s="8">
        <f t="shared" si="12"/>
        <v>0</v>
      </c>
      <c r="W19" s="10">
        <f t="shared" si="13"/>
        <v>0</v>
      </c>
      <c r="X19" s="7">
        <f>'[11]Sep Prod'!D266</f>
        <v>63000.000000002387</v>
      </c>
      <c r="Y19" s="8">
        <f t="shared" si="14"/>
        <v>6.3000000000002387E-2</v>
      </c>
      <c r="Z19" s="10">
        <f t="shared" si="15"/>
        <v>0.19341000000000733</v>
      </c>
      <c r="AA19" s="15"/>
      <c r="AB19" s="7">
        <f t="shared" si="16"/>
        <v>24562999.999998543</v>
      </c>
      <c r="AC19" s="8">
        <f t="shared" si="16"/>
        <v>24.562999999998542</v>
      </c>
      <c r="AD19" s="8">
        <f>D19+Q19</f>
        <v>75.408409999995513</v>
      </c>
      <c r="AF19" s="8">
        <f>T19-Q19-Z19</f>
        <v>0</v>
      </c>
    </row>
    <row r="20" spans="1:32" x14ac:dyDescent="0.2">
      <c r="A20" s="28">
        <v>38611</v>
      </c>
      <c r="B20" s="7">
        <f>'[11]Sep Prod'!I19</f>
        <v>15400000.000001455</v>
      </c>
      <c r="C20" s="8">
        <f t="shared" si="1"/>
        <v>15.400000000001455</v>
      </c>
      <c r="D20" s="10">
        <f t="shared" si="2"/>
        <v>47.278000000004468</v>
      </c>
      <c r="E20" s="7">
        <f>'[11]Sep Prod'!E19</f>
        <v>17000000</v>
      </c>
      <c r="F20" s="8">
        <f t="shared" si="3"/>
        <v>17</v>
      </c>
      <c r="G20" s="10">
        <f t="shared" si="4"/>
        <v>52.19</v>
      </c>
      <c r="H20" s="7">
        <f>'[11]Sep Prod'!F19</f>
        <v>0</v>
      </c>
      <c r="I20" s="8">
        <f t="shared" si="18"/>
        <v>0</v>
      </c>
      <c r="J20" s="10">
        <f t="shared" si="5"/>
        <v>0</v>
      </c>
      <c r="K20" s="7">
        <f>'[11]Sep Prod'!H267</f>
        <v>1249247</v>
      </c>
      <c r="L20" s="8">
        <f t="shared" si="6"/>
        <v>1.249247</v>
      </c>
      <c r="M20" s="10">
        <f t="shared" si="7"/>
        <v>3.8351882899999996</v>
      </c>
      <c r="N20" s="21"/>
      <c r="O20" s="7">
        <f>'[11]Sep Prod'!H19</f>
        <v>8148000.0000000065</v>
      </c>
      <c r="P20" s="8">
        <f t="shared" si="8"/>
        <v>8.1480000000000068</v>
      </c>
      <c r="Q20" s="10">
        <f t="shared" si="9"/>
        <v>25.014360000000021</v>
      </c>
      <c r="R20" s="7">
        <f>'[11]Sep Prod'!C19</f>
        <v>8229000</v>
      </c>
      <c r="S20" s="8">
        <f t="shared" si="10"/>
        <v>8.2289999999999992</v>
      </c>
      <c r="T20" s="10">
        <f t="shared" si="11"/>
        <v>25.263029999999997</v>
      </c>
      <c r="U20" s="7">
        <f>'[11]Sep Prod'!D19</f>
        <v>1000</v>
      </c>
      <c r="V20" s="8">
        <f t="shared" si="12"/>
        <v>1E-3</v>
      </c>
      <c r="W20" s="10">
        <f t="shared" si="13"/>
        <v>3.0699999999999998E-3</v>
      </c>
      <c r="X20" s="7">
        <f>'[11]Sep Prod'!D267</f>
        <v>81999.999999993626</v>
      </c>
      <c r="Y20" s="8">
        <f t="shared" si="14"/>
        <v>8.199999999999362E-2</v>
      </c>
      <c r="Z20" s="10">
        <f t="shared" si="15"/>
        <v>0.25173999999998042</v>
      </c>
      <c r="AA20" s="15"/>
      <c r="AB20" s="7">
        <f t="shared" si="16"/>
        <v>23548000.00000146</v>
      </c>
      <c r="AC20" s="8">
        <f t="shared" si="16"/>
        <v>23.548000000001462</v>
      </c>
      <c r="AD20" s="8">
        <f t="shared" si="16"/>
        <v>72.292360000004493</v>
      </c>
      <c r="AF20" s="8">
        <f t="shared" ref="AF20:AF35" si="19">T20-Q20-Z20</f>
        <v>-3.0700000000046801E-3</v>
      </c>
    </row>
    <row r="21" spans="1:32" x14ac:dyDescent="0.2">
      <c r="A21" s="28">
        <v>38612</v>
      </c>
      <c r="B21" s="7">
        <f>'[11]Sep Prod'!I20</f>
        <v>13500000</v>
      </c>
      <c r="C21" s="8">
        <f t="shared" si="1"/>
        <v>13.5</v>
      </c>
      <c r="D21" s="10">
        <f t="shared" si="2"/>
        <v>41.445</v>
      </c>
      <c r="E21" s="7">
        <f>'[11]Sep Prod'!E20</f>
        <v>14000000</v>
      </c>
      <c r="F21" s="8">
        <f t="shared" si="3"/>
        <v>14</v>
      </c>
      <c r="G21" s="10">
        <f t="shared" si="4"/>
        <v>42.98</v>
      </c>
      <c r="H21" s="7">
        <f>'[11]Sep Prod'!F20</f>
        <v>0</v>
      </c>
      <c r="I21" s="8">
        <f t="shared" si="18"/>
        <v>0</v>
      </c>
      <c r="J21" s="10">
        <f t="shared" si="5"/>
        <v>0</v>
      </c>
      <c r="K21" s="7">
        <f>'[11]Sep Prod'!H268</f>
        <v>1141424</v>
      </c>
      <c r="L21" s="8">
        <f t="shared" si="6"/>
        <v>1.141424</v>
      </c>
      <c r="M21" s="10">
        <f t="shared" si="7"/>
        <v>3.5041716799999998</v>
      </c>
      <c r="N21" s="21"/>
      <c r="O21" s="7">
        <f>'[11]Sep Prod'!H20</f>
        <v>7809000.0000000065</v>
      </c>
      <c r="P21" s="8">
        <f t="shared" si="8"/>
        <v>7.8090000000000064</v>
      </c>
      <c r="Q21" s="10">
        <f t="shared" si="9"/>
        <v>23.973630000000018</v>
      </c>
      <c r="R21" s="7">
        <f>'[11]Sep Prod'!C20</f>
        <v>7891000</v>
      </c>
      <c r="S21" s="8">
        <f t="shared" si="10"/>
        <v>7.891</v>
      </c>
      <c r="T21" s="10">
        <f t="shared" si="11"/>
        <v>24.225369999999998</v>
      </c>
      <c r="U21" s="7">
        <f>'[11]Sep Prod'!D20</f>
        <v>0</v>
      </c>
      <c r="V21" s="8">
        <f t="shared" si="12"/>
        <v>0</v>
      </c>
      <c r="W21" s="10">
        <f t="shared" si="13"/>
        <v>0</v>
      </c>
      <c r="X21" s="7">
        <f>'[11]Sep Prod'!D268</f>
        <v>81999.999999993626</v>
      </c>
      <c r="Y21" s="8">
        <f t="shared" si="14"/>
        <v>8.199999999999362E-2</v>
      </c>
      <c r="Z21" s="10">
        <f t="shared" si="15"/>
        <v>0.25173999999998042</v>
      </c>
      <c r="AA21" s="15"/>
      <c r="AB21" s="7">
        <f t="shared" si="16"/>
        <v>21309000.000000007</v>
      </c>
      <c r="AC21" s="8">
        <f t="shared" si="16"/>
        <v>21.309000000000005</v>
      </c>
      <c r="AD21" s="8">
        <f t="shared" si="16"/>
        <v>65.418630000000022</v>
      </c>
      <c r="AF21" s="8">
        <f t="shared" si="19"/>
        <v>0</v>
      </c>
    </row>
    <row r="22" spans="1:32" x14ac:dyDescent="0.2">
      <c r="A22" s="28">
        <v>38613</v>
      </c>
      <c r="B22" s="7">
        <f>'[11]Sep Prod'!I21</f>
        <v>13799999.999999272</v>
      </c>
      <c r="C22" s="8">
        <f t="shared" si="1"/>
        <v>13.799999999999272</v>
      </c>
      <c r="D22" s="10">
        <f t="shared" si="2"/>
        <v>42.365999999997761</v>
      </c>
      <c r="E22" s="7">
        <f>'[11]Sep Prod'!E21</f>
        <v>15000000</v>
      </c>
      <c r="F22" s="8">
        <f t="shared" si="3"/>
        <v>15</v>
      </c>
      <c r="G22" s="10">
        <f t="shared" si="4"/>
        <v>46.05</v>
      </c>
      <c r="H22" s="7">
        <f>'[11]Sep Prod'!F21</f>
        <v>5600000.0000000009</v>
      </c>
      <c r="I22" s="8">
        <f t="shared" si="18"/>
        <v>5.6000000000000005</v>
      </c>
      <c r="J22" s="10">
        <f t="shared" si="5"/>
        <v>17.192</v>
      </c>
      <c r="K22" s="7">
        <f>'[11]Sep Prod'!H269</f>
        <v>1105947</v>
      </c>
      <c r="L22" s="8">
        <f t="shared" si="6"/>
        <v>1.105947</v>
      </c>
      <c r="M22" s="10">
        <f t="shared" si="7"/>
        <v>3.39525729</v>
      </c>
      <c r="N22" s="21"/>
      <c r="O22" s="7">
        <f>'[11]Sep Prod'!H21</f>
        <v>9428999.9999999925</v>
      </c>
      <c r="P22" s="8">
        <f t="shared" si="8"/>
        <v>9.4289999999999932</v>
      </c>
      <c r="Q22" s="10">
        <f t="shared" si="9"/>
        <v>28.947029999999977</v>
      </c>
      <c r="R22" s="7">
        <f>'[11]Sep Prod'!C21</f>
        <v>9508000</v>
      </c>
      <c r="S22" s="8">
        <f t="shared" si="10"/>
        <v>9.5079999999999991</v>
      </c>
      <c r="T22" s="10">
        <f t="shared" si="11"/>
        <v>29.189559999999997</v>
      </c>
      <c r="U22" s="7">
        <f>'[11]Sep Prod'!D21</f>
        <v>0</v>
      </c>
      <c r="V22" s="8">
        <f t="shared" si="12"/>
        <v>0</v>
      </c>
      <c r="W22" s="10">
        <f t="shared" si="13"/>
        <v>0</v>
      </c>
      <c r="X22" s="7">
        <f>'[11]Sep Prod'!D269</f>
        <v>79000.000000007727</v>
      </c>
      <c r="Y22" s="8">
        <f t="shared" si="14"/>
        <v>7.9000000000007731E-2</v>
      </c>
      <c r="Z22" s="10">
        <f t="shared" si="15"/>
        <v>0.24253000000002373</v>
      </c>
      <c r="AA22" s="15"/>
      <c r="AB22" s="7">
        <f t="shared" si="16"/>
        <v>23228999.999999262</v>
      </c>
      <c r="AC22" s="8">
        <f t="shared" si="16"/>
        <v>23.228999999999267</v>
      </c>
      <c r="AD22" s="8">
        <f t="shared" si="16"/>
        <v>71.313029999997738</v>
      </c>
      <c r="AF22" s="8">
        <f t="shared" si="19"/>
        <v>-3.8302694349567901E-15</v>
      </c>
    </row>
    <row r="23" spans="1:32" x14ac:dyDescent="0.2">
      <c r="A23" s="28">
        <v>38614</v>
      </c>
      <c r="B23" s="7">
        <f>'[11]Sep Prod'!I22</f>
        <v>17000000</v>
      </c>
      <c r="C23" s="8">
        <f t="shared" si="1"/>
        <v>17</v>
      </c>
      <c r="D23" s="10">
        <f t="shared" si="2"/>
        <v>52.19</v>
      </c>
      <c r="E23" s="7">
        <f>'[11]Sep Prod'!E22</f>
        <v>13000000</v>
      </c>
      <c r="F23" s="8">
        <f t="shared" si="3"/>
        <v>13</v>
      </c>
      <c r="G23" s="10">
        <f t="shared" si="4"/>
        <v>39.909999999999997</v>
      </c>
      <c r="H23" s="7">
        <f>'[11]Sep Prod'!F22</f>
        <v>5030000</v>
      </c>
      <c r="I23" s="8">
        <f t="shared" si="18"/>
        <v>5.03</v>
      </c>
      <c r="J23" s="10">
        <f t="shared" si="5"/>
        <v>15.4421</v>
      </c>
      <c r="K23" s="7">
        <f>'[11]Sep Prod'!H270</f>
        <v>1313207</v>
      </c>
      <c r="L23" s="8">
        <f t="shared" si="6"/>
        <v>1.313207</v>
      </c>
      <c r="M23" s="10">
        <f t="shared" si="7"/>
        <v>4.0315454900000001</v>
      </c>
      <c r="N23" s="21"/>
      <c r="O23" s="7">
        <f>'[11]Sep Prod'!H22</f>
        <v>9896000.0000000056</v>
      </c>
      <c r="P23" s="8">
        <f t="shared" si="8"/>
        <v>9.8960000000000061</v>
      </c>
      <c r="Q23" s="10">
        <f t="shared" si="9"/>
        <v>30.380720000000018</v>
      </c>
      <c r="R23" s="7">
        <f>'[11]Sep Prod'!C22</f>
        <v>9999000</v>
      </c>
      <c r="S23" s="8">
        <f t="shared" si="10"/>
        <v>9.9990000000000006</v>
      </c>
      <c r="T23" s="10">
        <f t="shared" si="11"/>
        <v>30.696930000000002</v>
      </c>
      <c r="U23" s="7">
        <f>'[11]Sep Prod'!D22</f>
        <v>0</v>
      </c>
      <c r="V23" s="8">
        <f t="shared" si="12"/>
        <v>0</v>
      </c>
      <c r="W23" s="10">
        <f t="shared" si="13"/>
        <v>0</v>
      </c>
      <c r="X23" s="7">
        <f>'[11]Sep Prod'!D270</f>
        <v>102999.99999999443</v>
      </c>
      <c r="Y23" s="8">
        <f t="shared" si="14"/>
        <v>0.10299999999999443</v>
      </c>
      <c r="Z23" s="10">
        <f t="shared" si="15"/>
        <v>0.31620999999998289</v>
      </c>
      <c r="AA23" s="15"/>
      <c r="AB23" s="7">
        <f t="shared" si="16"/>
        <v>26896000.000000007</v>
      </c>
      <c r="AC23" s="8">
        <f t="shared" si="16"/>
        <v>26.896000000000008</v>
      </c>
      <c r="AD23" s="8">
        <f t="shared" si="16"/>
        <v>82.570720000000023</v>
      </c>
      <c r="AF23" s="8">
        <f t="shared" si="19"/>
        <v>9.9920072216264089E-16</v>
      </c>
    </row>
    <row r="24" spans="1:32" x14ac:dyDescent="0.2">
      <c r="A24" s="28">
        <v>38615</v>
      </c>
      <c r="B24" s="7">
        <f>'[11]Sep Prod'!I23</f>
        <v>18000000</v>
      </c>
      <c r="C24" s="8">
        <f t="shared" si="1"/>
        <v>18</v>
      </c>
      <c r="D24" s="10">
        <f t="shared" si="2"/>
        <v>55.26</v>
      </c>
      <c r="E24" s="7">
        <f>'[11]Sep Prod'!E23</f>
        <v>14000000</v>
      </c>
      <c r="F24" s="8">
        <f t="shared" si="3"/>
        <v>14</v>
      </c>
      <c r="G24" s="10">
        <f t="shared" si="4"/>
        <v>42.98</v>
      </c>
      <c r="H24" s="7">
        <f>'[11]Sep Prod'!F23</f>
        <v>5010000</v>
      </c>
      <c r="I24" s="8">
        <f t="shared" si="18"/>
        <v>5.01</v>
      </c>
      <c r="J24" s="10">
        <f t="shared" si="5"/>
        <v>15.380699999999999</v>
      </c>
      <c r="K24" s="7">
        <f>'[11]Sep Prod'!H271</f>
        <v>1476942</v>
      </c>
      <c r="L24" s="8">
        <f t="shared" si="6"/>
        <v>1.476942</v>
      </c>
      <c r="M24" s="10">
        <f t="shared" si="7"/>
        <v>4.5342119399999996</v>
      </c>
      <c r="N24" s="21"/>
      <c r="O24" s="7">
        <f>'[11]Sep Prod'!H23</f>
        <v>9747000</v>
      </c>
      <c r="P24" s="8">
        <f t="shared" si="8"/>
        <v>9.7469999999999999</v>
      </c>
      <c r="Q24" s="10">
        <f t="shared" si="9"/>
        <v>29.923289999999998</v>
      </c>
      <c r="R24" s="7">
        <f>'[11]Sep Prod'!C23</f>
        <v>9851000</v>
      </c>
      <c r="S24" s="8">
        <f t="shared" si="10"/>
        <v>9.8510000000000009</v>
      </c>
      <c r="T24" s="10">
        <f t="shared" si="11"/>
        <v>30.242570000000001</v>
      </c>
      <c r="U24" s="7">
        <f>'[11]Sep Prod'!D23</f>
        <v>0</v>
      </c>
      <c r="V24" s="8">
        <f t="shared" si="12"/>
        <v>0</v>
      </c>
      <c r="W24" s="10">
        <f t="shared" si="13"/>
        <v>0</v>
      </c>
      <c r="X24" s="7">
        <f>'[11]Sep Prod'!D271</f>
        <v>103999.9999999992</v>
      </c>
      <c r="Y24" s="8">
        <f t="shared" si="14"/>
        <v>0.1039999999999992</v>
      </c>
      <c r="Z24" s="10">
        <f t="shared" si="15"/>
        <v>0.31927999999999757</v>
      </c>
      <c r="AA24" s="15"/>
      <c r="AB24" s="7">
        <f t="shared" si="16"/>
        <v>27747000</v>
      </c>
      <c r="AC24" s="8">
        <f t="shared" si="16"/>
        <v>27.747</v>
      </c>
      <c r="AD24" s="8">
        <f>D24+Q24</f>
        <v>85.18329</v>
      </c>
      <c r="AF24" s="8">
        <f t="shared" si="19"/>
        <v>5.1070259132757201E-15</v>
      </c>
    </row>
    <row r="25" spans="1:32" x14ac:dyDescent="0.2">
      <c r="A25" s="28">
        <v>38616</v>
      </c>
      <c r="B25" s="7">
        <f>'[11]Sep Prod'!I24</f>
        <v>14200000.000000728</v>
      </c>
      <c r="C25" s="8">
        <f t="shared" si="1"/>
        <v>14.200000000000728</v>
      </c>
      <c r="D25" s="10">
        <f t="shared" si="2"/>
        <v>43.594000000002232</v>
      </c>
      <c r="E25" s="7">
        <f>'[11]Sep Prod'!E24</f>
        <v>9000000</v>
      </c>
      <c r="F25" s="8">
        <f t="shared" si="3"/>
        <v>9</v>
      </c>
      <c r="G25" s="10">
        <f t="shared" si="4"/>
        <v>27.63</v>
      </c>
      <c r="H25" s="7">
        <f>'[11]Sep Prod'!F24</f>
        <v>5700000</v>
      </c>
      <c r="I25" s="8">
        <f t="shared" si="18"/>
        <v>5.7</v>
      </c>
      <c r="J25" s="10">
        <f t="shared" si="5"/>
        <v>17.498999999999999</v>
      </c>
      <c r="K25" s="7">
        <f>'[11]Sep Prod'!H272</f>
        <v>1105618</v>
      </c>
      <c r="L25" s="8">
        <f t="shared" si="6"/>
        <v>1.105618</v>
      </c>
      <c r="M25" s="10">
        <f t="shared" si="7"/>
        <v>3.3942472599999998</v>
      </c>
      <c r="N25" s="21"/>
      <c r="O25" s="7">
        <f>'[11]Sep Prod'!H24</f>
        <v>9827000.0000000019</v>
      </c>
      <c r="P25" s="8">
        <f t="shared" si="8"/>
        <v>9.8270000000000017</v>
      </c>
      <c r="Q25" s="10">
        <f t="shared" si="9"/>
        <v>30.168890000000005</v>
      </c>
      <c r="R25" s="7">
        <f>'[11]Sep Prod'!C24</f>
        <v>9889000</v>
      </c>
      <c r="S25" s="8">
        <f t="shared" si="10"/>
        <v>9.8889999999999993</v>
      </c>
      <c r="T25" s="10">
        <f t="shared" si="11"/>
        <v>30.359229999999997</v>
      </c>
      <c r="U25" s="7">
        <f>'[11]Sep Prod'!D24</f>
        <v>0</v>
      </c>
      <c r="V25" s="8">
        <f t="shared" si="12"/>
        <v>0</v>
      </c>
      <c r="W25" s="10">
        <f t="shared" si="13"/>
        <v>0</v>
      </c>
      <c r="X25" s="7">
        <f>'[11]Sep Prod'!D272</f>
        <v>61999.999999997613</v>
      </c>
      <c r="Y25" s="8">
        <f t="shared" si="14"/>
        <v>6.1999999999997613E-2</v>
      </c>
      <c r="Z25" s="10">
        <f t="shared" si="15"/>
        <v>0.19033999999999265</v>
      </c>
      <c r="AA25" s="15"/>
      <c r="AB25" s="7">
        <f t="shared" si="16"/>
        <v>24027000.00000073</v>
      </c>
      <c r="AC25" s="8">
        <f t="shared" si="16"/>
        <v>24.027000000000729</v>
      </c>
      <c r="AD25" s="8">
        <f t="shared" si="16"/>
        <v>73.762890000002244</v>
      </c>
      <c r="AF25" s="8">
        <f t="shared" si="19"/>
        <v>-6.9388939039072284E-16</v>
      </c>
    </row>
    <row r="26" spans="1:32" x14ac:dyDescent="0.2">
      <c r="A26" s="28">
        <v>38617</v>
      </c>
      <c r="B26" s="7">
        <f>'[11]Sep Prod'!I25</f>
        <v>16599999.999998545</v>
      </c>
      <c r="C26" s="8">
        <f t="shared" si="1"/>
        <v>16.599999999998545</v>
      </c>
      <c r="D26" s="10">
        <f t="shared" si="2"/>
        <v>50.961999999995527</v>
      </c>
      <c r="E26" s="7">
        <f>'[11]Sep Prod'!E25</f>
        <v>8000000</v>
      </c>
      <c r="F26" s="8">
        <f t="shared" si="3"/>
        <v>8</v>
      </c>
      <c r="G26" s="10">
        <f t="shared" si="4"/>
        <v>24.56</v>
      </c>
      <c r="H26" s="7">
        <f>'[11]Sep Prod'!F25</f>
        <v>9000000</v>
      </c>
      <c r="I26" s="8">
        <f t="shared" si="18"/>
        <v>9</v>
      </c>
      <c r="J26" s="10">
        <f t="shared" si="5"/>
        <v>27.63</v>
      </c>
      <c r="K26" s="7">
        <f>'[11]Sep Prod'!H273</f>
        <v>1305279</v>
      </c>
      <c r="L26" s="8">
        <f t="shared" si="6"/>
        <v>1.3052790000000001</v>
      </c>
      <c r="M26" s="10">
        <f t="shared" si="7"/>
        <v>4.0072065300000004</v>
      </c>
      <c r="N26" s="21"/>
      <c r="O26" s="7">
        <f>'[11]Sep Prod'!H25</f>
        <v>9850999.9999999907</v>
      </c>
      <c r="P26" s="8">
        <f t="shared" si="8"/>
        <v>9.8509999999999902</v>
      </c>
      <c r="Q26" s="10">
        <f t="shared" si="9"/>
        <v>30.242569999999969</v>
      </c>
      <c r="R26" s="7">
        <f>'[11]Sep Prod'!C25</f>
        <v>9954000</v>
      </c>
      <c r="S26" s="8">
        <f t="shared" si="10"/>
        <v>9.9540000000000006</v>
      </c>
      <c r="T26" s="10">
        <f t="shared" si="11"/>
        <v>30.558779999999999</v>
      </c>
      <c r="U26" s="7">
        <f>'[11]Sep Prod'!D25</f>
        <v>0</v>
      </c>
      <c r="V26" s="8">
        <f t="shared" si="12"/>
        <v>0</v>
      </c>
      <c r="W26" s="10">
        <f t="shared" si="13"/>
        <v>0</v>
      </c>
      <c r="X26" s="7">
        <f>'[11]Sep Prod'!D273</f>
        <v>103000.00000000864</v>
      </c>
      <c r="Y26" s="8">
        <f t="shared" si="14"/>
        <v>0.10300000000000864</v>
      </c>
      <c r="Z26" s="10">
        <f t="shared" si="15"/>
        <v>0.31621000000002653</v>
      </c>
      <c r="AA26" s="15"/>
      <c r="AB26" s="7">
        <f t="shared" si="16"/>
        <v>26450999.999998536</v>
      </c>
      <c r="AC26" s="8">
        <f t="shared" si="16"/>
        <v>26.450999999998537</v>
      </c>
      <c r="AD26" s="8">
        <f t="shared" si="16"/>
        <v>81.204569999995499</v>
      </c>
      <c r="AF26" s="8">
        <f t="shared" si="19"/>
        <v>3.5527136788005009E-15</v>
      </c>
    </row>
    <row r="27" spans="1:32" x14ac:dyDescent="0.2">
      <c r="A27" s="28">
        <v>38618</v>
      </c>
      <c r="B27" s="7">
        <f>'[11]Sep Prod'!I26</f>
        <v>14800000.000002909</v>
      </c>
      <c r="C27" s="8">
        <f t="shared" si="1"/>
        <v>14.800000000002909</v>
      </c>
      <c r="D27" s="10">
        <f t="shared" si="2"/>
        <v>45.436000000008924</v>
      </c>
      <c r="E27" s="7">
        <f>'[11]Sep Prod'!E26</f>
        <v>8000000</v>
      </c>
      <c r="F27" s="8">
        <f t="shared" si="3"/>
        <v>8</v>
      </c>
      <c r="G27" s="10">
        <f t="shared" si="4"/>
        <v>24.56</v>
      </c>
      <c r="H27" s="7">
        <f>'[11]Sep Prod'!F26</f>
        <v>8370000.0000000009</v>
      </c>
      <c r="I27" s="8">
        <f t="shared" si="18"/>
        <v>8.370000000000001</v>
      </c>
      <c r="J27" s="10">
        <f t="shared" si="5"/>
        <v>25.695900000000002</v>
      </c>
      <c r="K27" s="7">
        <f>'[11]Sep Prod'!H274</f>
        <v>1297100</v>
      </c>
      <c r="L27" s="8">
        <f t="shared" si="6"/>
        <v>1.2970999999999999</v>
      </c>
      <c r="M27" s="10">
        <f t="shared" si="7"/>
        <v>3.9820969999999996</v>
      </c>
      <c r="N27" s="21"/>
      <c r="O27" s="7">
        <f>'[11]Sep Prod'!H26</f>
        <v>10225000</v>
      </c>
      <c r="P27" s="8">
        <f t="shared" si="8"/>
        <v>10.225</v>
      </c>
      <c r="Q27" s="10">
        <f t="shared" si="9"/>
        <v>31.390749999999997</v>
      </c>
      <c r="R27" s="7">
        <f>'[11]Sep Prod'!C26</f>
        <v>10329000</v>
      </c>
      <c r="S27" s="8">
        <f t="shared" si="10"/>
        <v>10.329000000000001</v>
      </c>
      <c r="T27" s="10">
        <f t="shared" si="11"/>
        <v>31.71003</v>
      </c>
      <c r="U27" s="7">
        <f>'[11]Sep Prod'!D26</f>
        <v>0</v>
      </c>
      <c r="V27" s="8">
        <f t="shared" si="12"/>
        <v>0</v>
      </c>
      <c r="W27" s="10">
        <f t="shared" si="13"/>
        <v>0</v>
      </c>
      <c r="X27" s="7">
        <f>'[11]Sep Prod'!D274</f>
        <v>103999.9999999992</v>
      </c>
      <c r="Y27" s="8">
        <f t="shared" si="14"/>
        <v>0.1039999999999992</v>
      </c>
      <c r="Z27" s="10">
        <f t="shared" si="15"/>
        <v>0.31927999999999757</v>
      </c>
      <c r="AA27" s="15"/>
      <c r="AB27" s="7">
        <f t="shared" si="16"/>
        <v>25025000.000002909</v>
      </c>
      <c r="AC27" s="8">
        <f t="shared" si="16"/>
        <v>25.025000000002908</v>
      </c>
      <c r="AD27" s="8">
        <f t="shared" si="16"/>
        <v>76.826750000008929</v>
      </c>
      <c r="AF27" s="8">
        <f t="shared" si="19"/>
        <v>5.1070259132757201E-15</v>
      </c>
    </row>
    <row r="28" spans="1:32" x14ac:dyDescent="0.2">
      <c r="A28" s="28">
        <v>38619</v>
      </c>
      <c r="B28" s="7">
        <f>'[11]Sep Prod'!I27</f>
        <v>14699999.999997091</v>
      </c>
      <c r="C28" s="8">
        <f t="shared" si="1"/>
        <v>14.699999999997091</v>
      </c>
      <c r="D28" s="10">
        <f t="shared" si="2"/>
        <v>45.128999999991066</v>
      </c>
      <c r="E28" s="7">
        <f>'[11]Sep Prod'!E27</f>
        <v>9000000</v>
      </c>
      <c r="F28" s="8">
        <f t="shared" si="3"/>
        <v>9</v>
      </c>
      <c r="G28" s="10">
        <f t="shared" si="4"/>
        <v>27.63</v>
      </c>
      <c r="H28" s="7">
        <f>'[11]Sep Prod'!F27</f>
        <v>5950000</v>
      </c>
      <c r="I28" s="8">
        <f t="shared" si="18"/>
        <v>5.95</v>
      </c>
      <c r="J28" s="10">
        <f t="shared" si="5"/>
        <v>18.266500000000001</v>
      </c>
      <c r="K28" s="7">
        <f>'[11]Sep Prod'!H275</f>
        <v>1516556</v>
      </c>
      <c r="L28" s="8">
        <f t="shared" si="6"/>
        <v>1.516556</v>
      </c>
      <c r="M28" s="10">
        <f t="shared" si="7"/>
        <v>4.65582692</v>
      </c>
      <c r="N28" s="21"/>
      <c r="O28" s="7">
        <f>'[11]Sep Prod'!H27</f>
        <v>10207000.000000004</v>
      </c>
      <c r="P28" s="8">
        <f t="shared" si="8"/>
        <v>10.207000000000004</v>
      </c>
      <c r="Q28" s="10">
        <f t="shared" si="9"/>
        <v>31.335490000000011</v>
      </c>
      <c r="R28" s="7">
        <f>'[11]Sep Prod'!C27</f>
        <v>10337000</v>
      </c>
      <c r="S28" s="8">
        <f t="shared" si="10"/>
        <v>10.337</v>
      </c>
      <c r="T28" s="10">
        <f t="shared" si="11"/>
        <v>31.734589999999997</v>
      </c>
      <c r="U28" s="7">
        <f>'[11]Sep Prod'!D27</f>
        <v>0</v>
      </c>
      <c r="V28" s="8">
        <f t="shared" si="12"/>
        <v>0</v>
      </c>
      <c r="W28" s="10">
        <f t="shared" si="13"/>
        <v>0</v>
      </c>
      <c r="X28" s="7">
        <f>'[11]Sep Prod'!D275</f>
        <v>129999.99999999546</v>
      </c>
      <c r="Y28" s="8">
        <f t="shared" si="14"/>
        <v>0.12999999999999545</v>
      </c>
      <c r="Z28" s="10">
        <f t="shared" si="15"/>
        <v>0.39909999999998602</v>
      </c>
      <c r="AA28" s="15"/>
      <c r="AB28" s="7">
        <f t="shared" si="16"/>
        <v>24906999.999997094</v>
      </c>
      <c r="AC28" s="8">
        <f t="shared" si="16"/>
        <v>24.906999999997097</v>
      </c>
      <c r="AD28" s="8">
        <f t="shared" si="16"/>
        <v>76.464489999991073</v>
      </c>
      <c r="AF28" s="8">
        <f t="shared" si="19"/>
        <v>4.4408920985006262E-16</v>
      </c>
    </row>
    <row r="29" spans="1:32" x14ac:dyDescent="0.2">
      <c r="A29" s="28">
        <v>38620</v>
      </c>
      <c r="B29" s="7">
        <f>'[11]Sep Prod'!I28</f>
        <v>13400000.000001455</v>
      </c>
      <c r="C29" s="8">
        <f t="shared" si="1"/>
        <v>13.400000000001455</v>
      </c>
      <c r="D29" s="10">
        <f t="shared" si="2"/>
        <v>41.138000000004467</v>
      </c>
      <c r="E29" s="7">
        <f>'[11]Sep Prod'!E28</f>
        <v>10000000</v>
      </c>
      <c r="F29" s="8">
        <f t="shared" si="3"/>
        <v>10</v>
      </c>
      <c r="G29" s="10">
        <f t="shared" si="4"/>
        <v>30.7</v>
      </c>
      <c r="H29" s="7">
        <f>'[11]Sep Prod'!F28</f>
        <v>4990000</v>
      </c>
      <c r="I29" s="8">
        <f t="shared" si="18"/>
        <v>4.99</v>
      </c>
      <c r="J29" s="10">
        <f t="shared" si="5"/>
        <v>15.3193</v>
      </c>
      <c r="K29" s="7">
        <f>'[11]Sep Prod'!H276</f>
        <v>1294234</v>
      </c>
      <c r="L29" s="8">
        <f t="shared" si="6"/>
        <v>1.2942340000000001</v>
      </c>
      <c r="M29" s="10">
        <f t="shared" si="7"/>
        <v>3.9732983800000001</v>
      </c>
      <c r="N29" s="21"/>
      <c r="O29" s="7">
        <f>'[11]Sep Prod'!H28</f>
        <v>10241000.000000002</v>
      </c>
      <c r="P29" s="8">
        <f t="shared" si="8"/>
        <v>10.241000000000001</v>
      </c>
      <c r="Q29" s="10">
        <f t="shared" si="9"/>
        <v>31.439870000000003</v>
      </c>
      <c r="R29" s="7">
        <f>'[11]Sep Prod'!C28</f>
        <v>10330000</v>
      </c>
      <c r="S29" s="8">
        <f t="shared" si="10"/>
        <v>10.33</v>
      </c>
      <c r="T29" s="10">
        <f t="shared" si="11"/>
        <v>31.713099999999997</v>
      </c>
      <c r="U29" s="7">
        <f>'[11]Sep Prod'!D28</f>
        <v>0</v>
      </c>
      <c r="V29" s="8">
        <f t="shared" si="12"/>
        <v>0</v>
      </c>
      <c r="W29" s="10">
        <f t="shared" si="13"/>
        <v>0</v>
      </c>
      <c r="X29" s="7">
        <f>'[11]Sep Prod'!D276</f>
        <v>88999.999999998632</v>
      </c>
      <c r="Y29" s="8">
        <f t="shared" si="14"/>
        <v>8.8999999999998636E-2</v>
      </c>
      <c r="Z29" s="10">
        <f t="shared" si="15"/>
        <v>0.27322999999999581</v>
      </c>
      <c r="AA29" s="15"/>
      <c r="AB29" s="7">
        <f t="shared" si="16"/>
        <v>23641000.000001457</v>
      </c>
      <c r="AC29" s="8">
        <f t="shared" si="16"/>
        <v>23.641000000001455</v>
      </c>
      <c r="AD29" s="8">
        <f t="shared" si="16"/>
        <v>72.577870000004467</v>
      </c>
      <c r="AF29" s="8">
        <f t="shared" si="19"/>
        <v>-1.27675647831893E-15</v>
      </c>
    </row>
    <row r="30" spans="1:32" x14ac:dyDescent="0.2">
      <c r="A30" s="28">
        <v>38621</v>
      </c>
      <c r="B30" s="7">
        <f>'[11]Sep Prod'!I29</f>
        <v>9299999.9999992717</v>
      </c>
      <c r="C30" s="8">
        <f t="shared" si="1"/>
        <v>9.2999999999992724</v>
      </c>
      <c r="D30" s="10">
        <f t="shared" si="2"/>
        <v>28.550999999997764</v>
      </c>
      <c r="E30" s="7">
        <f>'[11]Sep Prod'!E29</f>
        <v>7000000</v>
      </c>
      <c r="F30" s="8">
        <f t="shared" si="3"/>
        <v>7</v>
      </c>
      <c r="G30" s="10">
        <f t="shared" si="4"/>
        <v>21.49</v>
      </c>
      <c r="H30" s="7">
        <f>'[11]Sep Prod'!F29</f>
        <v>2350000</v>
      </c>
      <c r="I30" s="8">
        <f t="shared" si="18"/>
        <v>2.35</v>
      </c>
      <c r="J30" s="10">
        <f t="shared" si="5"/>
        <v>7.2145000000000001</v>
      </c>
      <c r="K30" s="7">
        <f>'[11]Sep Prod'!H277</f>
        <v>881972</v>
      </c>
      <c r="L30" s="8">
        <f t="shared" si="6"/>
        <v>0.88197199999999998</v>
      </c>
      <c r="M30" s="10">
        <f t="shared" si="7"/>
        <v>2.70765404</v>
      </c>
      <c r="N30" s="21"/>
      <c r="O30" s="7">
        <f>'[11]Sep Prod'!H29</f>
        <v>7760999.9999999925</v>
      </c>
      <c r="P30" s="8">
        <f t="shared" si="8"/>
        <v>7.7609999999999921</v>
      </c>
      <c r="Q30" s="10">
        <f t="shared" si="9"/>
        <v>23.826269999999976</v>
      </c>
      <c r="R30" s="7">
        <f>'[11]Sep Prod'!C29</f>
        <v>7825000</v>
      </c>
      <c r="S30" s="8">
        <f t="shared" si="10"/>
        <v>7.8250000000000002</v>
      </c>
      <c r="T30" s="10">
        <f t="shared" si="11"/>
        <v>24.022749999999998</v>
      </c>
      <c r="U30" s="7">
        <f>'[11]Sep Prod'!D29</f>
        <v>0</v>
      </c>
      <c r="V30" s="8">
        <f t="shared" si="12"/>
        <v>0</v>
      </c>
      <c r="W30" s="10">
        <f t="shared" si="13"/>
        <v>0</v>
      </c>
      <c r="X30" s="7">
        <f>'[11]Sep Prod'!D277</f>
        <v>64000.00000000716</v>
      </c>
      <c r="Y30" s="8">
        <f t="shared" si="14"/>
        <v>6.4000000000007162E-2</v>
      </c>
      <c r="Z30" s="10">
        <f t="shared" si="15"/>
        <v>0.19648000000002197</v>
      </c>
      <c r="AA30" s="15"/>
      <c r="AB30" s="7">
        <f t="shared" si="16"/>
        <v>17060999.999999262</v>
      </c>
      <c r="AC30" s="8">
        <f t="shared" si="16"/>
        <v>17.060999999999265</v>
      </c>
      <c r="AD30" s="8">
        <f>D30+Q30</f>
        <v>52.377269999997736</v>
      </c>
      <c r="AF30" s="8">
        <f t="shared" si="19"/>
        <v>4.4408920985006262E-16</v>
      </c>
    </row>
    <row r="31" spans="1:32" x14ac:dyDescent="0.2">
      <c r="A31" s="28">
        <v>38622</v>
      </c>
      <c r="B31" s="7">
        <f>'[11]Sep Prod'!I30</f>
        <v>6500000</v>
      </c>
      <c r="C31" s="8">
        <f t="shared" si="1"/>
        <v>6.5</v>
      </c>
      <c r="D31" s="10">
        <f t="shared" si="2"/>
        <v>19.954999999999998</v>
      </c>
      <c r="E31" s="7">
        <f>'[11]Sep Prod'!E30</f>
        <v>5000000</v>
      </c>
      <c r="F31" s="8">
        <f t="shared" si="3"/>
        <v>5</v>
      </c>
      <c r="G31" s="10">
        <f t="shared" si="4"/>
        <v>15.35</v>
      </c>
      <c r="H31" s="7">
        <f>'[11]Sep Prod'!F30</f>
        <v>2190000</v>
      </c>
      <c r="I31" s="8">
        <f t="shared" si="18"/>
        <v>2.19</v>
      </c>
      <c r="J31" s="10">
        <f t="shared" si="5"/>
        <v>6.7232999999999992</v>
      </c>
      <c r="K31" s="7">
        <f>'[11]Sep Prod'!H278</f>
        <v>782528</v>
      </c>
      <c r="L31" s="8">
        <f t="shared" si="6"/>
        <v>0.782528</v>
      </c>
      <c r="M31" s="10">
        <f t="shared" si="7"/>
        <v>2.4023609599999998</v>
      </c>
      <c r="N31" s="21"/>
      <c r="O31" s="7">
        <f>'[11]Sep Prod'!H30</f>
        <v>8861000.0000000075</v>
      </c>
      <c r="P31" s="8">
        <f t="shared" si="8"/>
        <v>8.8610000000000078</v>
      </c>
      <c r="Q31" s="10">
        <f t="shared" si="9"/>
        <v>27.203270000000021</v>
      </c>
      <c r="R31" s="7">
        <f>'[11]Sep Prod'!C30</f>
        <v>8925000</v>
      </c>
      <c r="S31" s="8">
        <f t="shared" si="10"/>
        <v>8.9250000000000007</v>
      </c>
      <c r="T31" s="10">
        <f t="shared" si="11"/>
        <v>27.399750000000001</v>
      </c>
      <c r="U31" s="7">
        <f>'[11]Sep Prod'!D30</f>
        <v>0</v>
      </c>
      <c r="V31" s="8">
        <f t="shared" si="12"/>
        <v>0</v>
      </c>
      <c r="W31" s="10">
        <f t="shared" si="13"/>
        <v>0</v>
      </c>
      <c r="X31" s="7">
        <f>'[11]Sep Prod'!D278</f>
        <v>63999.99999999295</v>
      </c>
      <c r="Y31" s="8">
        <f t="shared" si="14"/>
        <v>6.3999999999992951E-2</v>
      </c>
      <c r="Z31" s="10">
        <f t="shared" si="15"/>
        <v>0.19647999999997834</v>
      </c>
      <c r="AA31" s="15"/>
      <c r="AB31" s="7">
        <f t="shared" si="16"/>
        <v>15361000.000000007</v>
      </c>
      <c r="AC31" s="8">
        <f t="shared" si="16"/>
        <v>15.361000000000008</v>
      </c>
      <c r="AD31" s="8">
        <f t="shared" si="16"/>
        <v>47.158270000000016</v>
      </c>
      <c r="AF31" s="8">
        <f>T31-Q31-Z31</f>
        <v>1.4432899320127035E-15</v>
      </c>
    </row>
    <row r="32" spans="1:32" x14ac:dyDescent="0.2">
      <c r="A32" s="28">
        <v>38623</v>
      </c>
      <c r="B32" s="7">
        <f>'[11]Sep Prod'!I31</f>
        <v>8900000.0000014547</v>
      </c>
      <c r="C32" s="8">
        <f t="shared" si="1"/>
        <v>8.9000000000014552</v>
      </c>
      <c r="D32" s="10">
        <f t="shared" si="2"/>
        <v>27.323000000004466</v>
      </c>
      <c r="E32" s="7">
        <f>'[11]Sep Prod'!E31</f>
        <v>8000000</v>
      </c>
      <c r="F32" s="8">
        <f t="shared" si="3"/>
        <v>8</v>
      </c>
      <c r="G32" s="10">
        <f t="shared" si="4"/>
        <v>24.56</v>
      </c>
      <c r="H32" s="7">
        <f>'[11]Sep Prod'!F31</f>
        <v>2560000</v>
      </c>
      <c r="I32" s="8">
        <f t="shared" si="18"/>
        <v>2.56</v>
      </c>
      <c r="J32" s="10">
        <f t="shared" si="5"/>
        <v>7.8591999999999995</v>
      </c>
      <c r="K32" s="7">
        <f>'[11]Sep Prod'!H279</f>
        <v>823870</v>
      </c>
      <c r="L32" s="8">
        <f t="shared" si="6"/>
        <v>0.82386999999999999</v>
      </c>
      <c r="M32" s="10">
        <f t="shared" si="7"/>
        <v>2.5292808999999998</v>
      </c>
      <c r="N32" s="21"/>
      <c r="O32" s="7">
        <f>'[11]Sep Prod'!H31</f>
        <v>11399999.999999993</v>
      </c>
      <c r="P32" s="8">
        <f t="shared" si="8"/>
        <v>11.399999999999993</v>
      </c>
      <c r="Q32" s="10">
        <f>P32*3.07</f>
        <v>34.997999999999976</v>
      </c>
      <c r="R32" s="7">
        <f>'[11]Sep Prod'!C31</f>
        <v>11485000</v>
      </c>
      <c r="S32" s="8">
        <f t="shared" si="10"/>
        <v>11.484999999999999</v>
      </c>
      <c r="T32" s="10">
        <f t="shared" si="11"/>
        <v>35.258949999999999</v>
      </c>
      <c r="U32" s="7">
        <f>'[11]Sep Prod'!D31</f>
        <v>0</v>
      </c>
      <c r="V32" s="8">
        <f t="shared" si="12"/>
        <v>0</v>
      </c>
      <c r="W32" s="10">
        <f t="shared" si="13"/>
        <v>0</v>
      </c>
      <c r="X32" s="7">
        <f>'[11]Sep Prod'!D279</f>
        <v>85000.00000000796</v>
      </c>
      <c r="Y32" s="8">
        <f t="shared" si="14"/>
        <v>8.5000000000007958E-2</v>
      </c>
      <c r="Z32" s="10">
        <f t="shared" si="15"/>
        <v>0.26095000000002444</v>
      </c>
      <c r="AA32" s="15"/>
      <c r="AB32" s="7">
        <f t="shared" si="16"/>
        <v>20300000.000001445</v>
      </c>
      <c r="AC32" s="8">
        <f t="shared" si="16"/>
        <v>20.300000000001447</v>
      </c>
      <c r="AD32" s="8">
        <f t="shared" si="16"/>
        <v>62.321000000004446</v>
      </c>
      <c r="AF32" s="8">
        <f t="shared" si="19"/>
        <v>-1.9984014443252818E-15</v>
      </c>
    </row>
    <row r="33" spans="1:32" x14ac:dyDescent="0.2">
      <c r="A33" s="28">
        <v>38624</v>
      </c>
      <c r="B33" s="7">
        <f>'[11]Sep Prod'!I32</f>
        <v>10399999.999997817</v>
      </c>
      <c r="C33" s="8">
        <f t="shared" si="1"/>
        <v>10.399999999997817</v>
      </c>
      <c r="D33" s="10">
        <f t="shared" si="2"/>
        <v>31.927999999993297</v>
      </c>
      <c r="E33" s="7">
        <f>'[11]Sep Prod'!E32</f>
        <v>10000000</v>
      </c>
      <c r="F33" s="8">
        <f t="shared" si="3"/>
        <v>10</v>
      </c>
      <c r="G33" s="10">
        <f t="shared" si="4"/>
        <v>30.7</v>
      </c>
      <c r="H33" s="7">
        <f>'[11]Sep Prod'!F32</f>
        <v>0</v>
      </c>
      <c r="I33" s="8">
        <f t="shared" si="18"/>
        <v>0</v>
      </c>
      <c r="J33" s="10">
        <f t="shared" si="5"/>
        <v>0</v>
      </c>
      <c r="K33" s="7">
        <f>'[11]Sep Prod'!H280</f>
        <v>824901</v>
      </c>
      <c r="L33" s="8">
        <f t="shared" si="6"/>
        <v>0.824901</v>
      </c>
      <c r="M33" s="10">
        <f t="shared" si="7"/>
        <v>2.5324460699999998</v>
      </c>
      <c r="N33" s="21"/>
      <c r="O33" s="7">
        <f>'[11]Sep Prod'!H32</f>
        <v>10684000</v>
      </c>
      <c r="P33" s="8">
        <f t="shared" si="8"/>
        <v>10.683999999999999</v>
      </c>
      <c r="Q33" s="10">
        <f t="shared" si="9"/>
        <v>32.799879999999995</v>
      </c>
      <c r="R33" s="7">
        <f>'[11]Sep Prod'!C32</f>
        <v>10815000</v>
      </c>
      <c r="S33" s="8">
        <f t="shared" si="10"/>
        <v>10.815</v>
      </c>
      <c r="T33" s="10">
        <f t="shared" si="11"/>
        <v>33.20205</v>
      </c>
      <c r="U33" s="7">
        <f>'[11]Sep Prod'!D32</f>
        <v>0</v>
      </c>
      <c r="V33" s="8">
        <f t="shared" si="12"/>
        <v>0</v>
      </c>
      <c r="W33" s="10">
        <f t="shared" si="13"/>
        <v>0</v>
      </c>
      <c r="X33" s="7">
        <f>'[11]Sep Prod'!D280</f>
        <v>131000.00000000023</v>
      </c>
      <c r="Y33" s="8">
        <f t="shared" si="14"/>
        <v>0.13100000000000023</v>
      </c>
      <c r="Z33" s="10">
        <f t="shared" si="15"/>
        <v>0.40217000000000069</v>
      </c>
      <c r="AA33" s="15"/>
      <c r="AB33" s="7">
        <f t="shared" si="16"/>
        <v>21083999.999997817</v>
      </c>
      <c r="AC33" s="8">
        <f t="shared" si="16"/>
        <v>21.083999999997815</v>
      </c>
      <c r="AD33" s="8">
        <f t="shared" si="16"/>
        <v>64.727879999993291</v>
      </c>
      <c r="AF33" s="8">
        <f t="shared" si="19"/>
        <v>4.5519144009631418E-15</v>
      </c>
    </row>
    <row r="34" spans="1:32" ht="13.5" thickBot="1" x14ac:dyDescent="0.25">
      <c r="A34" s="28">
        <v>38625</v>
      </c>
      <c r="B34" s="7">
        <f>'[11]Sep Prod'!I33</f>
        <v>8700000.0000007283</v>
      </c>
      <c r="C34" s="8">
        <f>B34/1000000</f>
        <v>8.7000000000007276</v>
      </c>
      <c r="D34" s="10">
        <f t="shared" si="2"/>
        <v>26.709000000002231</v>
      </c>
      <c r="E34" s="7">
        <f>'[11]Sep Prod'!E33</f>
        <v>9000000</v>
      </c>
      <c r="F34" s="8">
        <f t="shared" si="3"/>
        <v>9</v>
      </c>
      <c r="G34" s="10">
        <f t="shared" si="4"/>
        <v>27.63</v>
      </c>
      <c r="H34" s="7">
        <f>'[11]Sep Prod'!F33</f>
        <v>0</v>
      </c>
      <c r="I34" s="8">
        <f t="shared" si="18"/>
        <v>0</v>
      </c>
      <c r="J34" s="10">
        <f t="shared" si="5"/>
        <v>0</v>
      </c>
      <c r="K34" s="7">
        <f>'[11]Sep Prod'!H281</f>
        <v>696958</v>
      </c>
      <c r="L34" s="8">
        <f t="shared" si="6"/>
        <v>0.69695799999999997</v>
      </c>
      <c r="M34" s="10">
        <f t="shared" si="7"/>
        <v>2.1396610599999999</v>
      </c>
      <c r="N34" s="21"/>
      <c r="O34" s="7">
        <f>'[11]Sep Prod'!H33</f>
        <v>10896000.000000006</v>
      </c>
      <c r="P34" s="8">
        <f t="shared" si="8"/>
        <v>10.896000000000006</v>
      </c>
      <c r="Q34" s="10">
        <f t="shared" si="9"/>
        <v>33.450720000000018</v>
      </c>
      <c r="R34" s="7">
        <f>'[11]Sep Prod'!C33</f>
        <v>11023000</v>
      </c>
      <c r="S34" s="8">
        <f t="shared" si="10"/>
        <v>11.023</v>
      </c>
      <c r="T34" s="10">
        <f t="shared" si="11"/>
        <v>33.840609999999998</v>
      </c>
      <c r="U34" s="7">
        <f>'[11]Sep Prod'!D33</f>
        <v>0</v>
      </c>
      <c r="V34" s="8">
        <f t="shared" si="12"/>
        <v>0</v>
      </c>
      <c r="W34" s="10">
        <f t="shared" si="13"/>
        <v>0</v>
      </c>
      <c r="X34" s="7">
        <f>'[11]Sep Prod'!D281</f>
        <v>126999.99999999534</v>
      </c>
      <c r="Y34" s="8">
        <f t="shared" si="14"/>
        <v>0.12699999999999534</v>
      </c>
      <c r="Z34" s="10">
        <f t="shared" si="15"/>
        <v>0.38988999999998569</v>
      </c>
      <c r="AA34" s="15"/>
      <c r="AB34" s="7">
        <f t="shared" si="16"/>
        <v>19596000.000000734</v>
      </c>
      <c r="AC34" s="8">
        <f t="shared" si="16"/>
        <v>19.596000000000735</v>
      </c>
      <c r="AD34" s="8">
        <f t="shared" si="16"/>
        <v>60.159720000002253</v>
      </c>
      <c r="AF34" s="8">
        <f t="shared" si="19"/>
        <v>-5.8286708792820718E-15</v>
      </c>
    </row>
    <row r="35" spans="1:32" ht="13.5" thickBot="1" x14ac:dyDescent="0.25">
      <c r="A35" s="3"/>
      <c r="B35" s="39">
        <f t="shared" ref="B35:I35" si="20">SUM(B5:B34)</f>
        <v>522600000.00000209</v>
      </c>
      <c r="C35" s="40">
        <f t="shared" si="20"/>
        <v>522.60000000000218</v>
      </c>
      <c r="D35" s="40">
        <f t="shared" si="20"/>
        <v>1604.3820000000064</v>
      </c>
      <c r="E35" s="39">
        <f t="shared" si="20"/>
        <v>395000000</v>
      </c>
      <c r="F35" s="40">
        <f t="shared" si="20"/>
        <v>395</v>
      </c>
      <c r="G35" s="40">
        <f t="shared" si="20"/>
        <v>1212.6500000000001</v>
      </c>
      <c r="H35" s="39">
        <f t="shared" si="20"/>
        <v>160970000</v>
      </c>
      <c r="I35" s="40">
        <f t="shared" si="20"/>
        <v>160.97</v>
      </c>
      <c r="J35" s="40">
        <f t="shared" si="5"/>
        <v>494.17789999999997</v>
      </c>
      <c r="K35" s="39">
        <f>SUM(K5:K34)</f>
        <v>51942201</v>
      </c>
      <c r="L35" s="40">
        <f>SUM(L5:L34)</f>
        <v>39.793177499999999</v>
      </c>
      <c r="M35" s="40">
        <f t="shared" si="7"/>
        <v>122.16505492499999</v>
      </c>
      <c r="N35" s="14"/>
      <c r="O35" s="39">
        <f>SUM(O5:O34)</f>
        <v>250846000</v>
      </c>
      <c r="P35" s="40">
        <f>SUM(P5:P34)</f>
        <v>250.84600000000006</v>
      </c>
      <c r="Q35" s="40">
        <f t="shared" si="9"/>
        <v>770.09722000000011</v>
      </c>
      <c r="R35" s="39"/>
      <c r="S35" s="40">
        <f>SUM(S5:S34)</f>
        <v>253.37800000000001</v>
      </c>
      <c r="T35" s="40">
        <f t="shared" si="11"/>
        <v>777.87045999999998</v>
      </c>
      <c r="U35" s="39">
        <f>SUM(U5:U34)</f>
        <v>1000</v>
      </c>
      <c r="V35" s="40">
        <f>SUM(V5:V34)</f>
        <v>1E-3</v>
      </c>
      <c r="W35" s="40">
        <f t="shared" si="13"/>
        <v>3.0699999999999998E-3</v>
      </c>
      <c r="X35" s="39"/>
      <c r="Y35" s="40">
        <f>SUM(Y5:Y34)</f>
        <v>2.5330000000000013</v>
      </c>
      <c r="Z35" s="40">
        <f t="shared" si="15"/>
        <v>7.7763100000000032</v>
      </c>
      <c r="AA35" s="14"/>
      <c r="AB35" s="39">
        <f>B35+O35</f>
        <v>773446000.00000215</v>
      </c>
      <c r="AC35" s="40">
        <f t="shared" si="16"/>
        <v>773.44600000000219</v>
      </c>
      <c r="AD35" s="40">
        <f t="shared" si="16"/>
        <v>2374.4792200000065</v>
      </c>
      <c r="AF35" s="8">
        <f t="shared" si="19"/>
        <v>-3.0700000001298022E-3</v>
      </c>
    </row>
    <row r="36" spans="1:32" x14ac:dyDescent="0.2">
      <c r="C36" s="18"/>
      <c r="E36" s="3"/>
      <c r="F36" s="3"/>
      <c r="G36" s="3"/>
      <c r="H36" s="3"/>
      <c r="I36" s="3"/>
      <c r="J36" s="3"/>
      <c r="K36" s="14"/>
      <c r="L36" s="3"/>
      <c r="M36" s="3"/>
      <c r="N36" s="3"/>
      <c r="O36" s="3"/>
      <c r="P36" s="3"/>
      <c r="Q36" s="3"/>
      <c r="R36" s="3"/>
      <c r="S36" s="3"/>
      <c r="T36" s="3"/>
      <c r="U36" s="14"/>
      <c r="AB36" s="31"/>
      <c r="AC36" s="31"/>
      <c r="AD36" s="23"/>
      <c r="AF36" s="31"/>
    </row>
    <row r="37" spans="1:32" x14ac:dyDescent="0.2">
      <c r="Q37" s="18"/>
    </row>
    <row r="38" spans="1:32" x14ac:dyDescent="0.2">
      <c r="Q38" s="18"/>
    </row>
  </sheetData>
  <mergeCells count="9">
    <mergeCell ref="AB3:AD3"/>
    <mergeCell ref="R3:T3"/>
    <mergeCell ref="U3:W3"/>
    <mergeCell ref="X3:Z3"/>
    <mergeCell ref="B3:D3"/>
    <mergeCell ref="E3:G3"/>
    <mergeCell ref="H3:J3"/>
    <mergeCell ref="O3:Q3"/>
    <mergeCell ref="K3:M3"/>
  </mergeCells>
  <phoneticPr fontId="1" type="noConversion"/>
  <pageMargins left="0.75" right="0.75" top="1" bottom="1" header="0.5" footer="0.5"/>
  <pageSetup scale="37" orientation="landscape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F37"/>
  <sheetViews>
    <sheetView workbookViewId="0">
      <pane xSplit="1" ySplit="4" topLeftCell="B19" activePane="bottomRight" state="frozen"/>
      <selection pane="topRight" activeCell="B1" sqref="B1"/>
      <selection pane="bottomLeft" activeCell="A5" sqref="A5"/>
      <selection pane="bottomRight" activeCell="K28" sqref="K28"/>
    </sheetView>
  </sheetViews>
  <sheetFormatPr defaultRowHeight="12.75" x14ac:dyDescent="0.2"/>
  <cols>
    <col min="2" max="2" width="11" customWidth="1"/>
    <col min="5" max="5" width="11.28515625" customWidth="1"/>
    <col min="8" max="8" width="19" customWidth="1"/>
    <col min="11" max="11" width="15.42578125" customWidth="1"/>
    <col min="12" max="12" width="10.7109375" customWidth="1"/>
    <col min="13" max="13" width="12.140625" customWidth="1"/>
    <col min="15" max="15" width="11" customWidth="1"/>
    <col min="18" max="18" width="10.7109375" customWidth="1"/>
    <col min="22" max="22" width="10.7109375" customWidth="1"/>
    <col min="28" max="28" width="13.42578125" customWidth="1"/>
  </cols>
  <sheetData>
    <row r="1" spans="1:32" x14ac:dyDescent="0.2">
      <c r="A1" s="25"/>
      <c r="B1" s="42"/>
      <c r="C1" s="43"/>
      <c r="D1" s="43"/>
      <c r="E1" s="26"/>
      <c r="F1" s="26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2" ht="13.5" thickBot="1" x14ac:dyDescent="0.25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2" ht="60.75" customHeight="1" thickBot="1" x14ac:dyDescent="0.25">
      <c r="A3" s="3"/>
      <c r="B3" s="51" t="s">
        <v>10</v>
      </c>
      <c r="C3" s="52"/>
      <c r="D3" s="53"/>
      <c r="E3" s="51" t="s">
        <v>11</v>
      </c>
      <c r="F3" s="52"/>
      <c r="G3" s="53"/>
      <c r="H3" s="51" t="s">
        <v>12</v>
      </c>
      <c r="I3" s="52"/>
      <c r="J3" s="53"/>
      <c r="K3" s="51" t="s">
        <v>13</v>
      </c>
      <c r="L3" s="52"/>
      <c r="M3" s="53"/>
      <c r="N3" s="19"/>
      <c r="O3" s="51" t="s">
        <v>4</v>
      </c>
      <c r="P3" s="52"/>
      <c r="Q3" s="53"/>
      <c r="R3" s="51" t="s">
        <v>3</v>
      </c>
      <c r="S3" s="52"/>
      <c r="T3" s="53"/>
      <c r="U3" s="51" t="s">
        <v>6</v>
      </c>
      <c r="V3" s="52"/>
      <c r="W3" s="53"/>
      <c r="X3" s="51" t="s">
        <v>7</v>
      </c>
      <c r="Y3" s="52"/>
      <c r="Z3" s="53"/>
      <c r="AA3" s="19"/>
      <c r="AB3" s="48" t="s">
        <v>8</v>
      </c>
      <c r="AC3" s="49"/>
      <c r="AD3" s="50"/>
      <c r="AF3" s="35" t="s">
        <v>9</v>
      </c>
    </row>
    <row r="4" spans="1:32" x14ac:dyDescent="0.2">
      <c r="A4" s="27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2" t="s">
        <v>0</v>
      </c>
      <c r="AC4" s="33" t="s">
        <v>1</v>
      </c>
      <c r="AD4" s="34" t="s">
        <v>2</v>
      </c>
      <c r="AF4" s="5" t="s">
        <v>2</v>
      </c>
    </row>
    <row r="5" spans="1:32" x14ac:dyDescent="0.2">
      <c r="A5" s="28">
        <v>38626</v>
      </c>
      <c r="B5" s="7">
        <f>'[12]Oct Prod'!I4</f>
        <v>8100000.000002183</v>
      </c>
      <c r="C5" s="8">
        <f>B5/1000000</f>
        <v>8.1000000000021828</v>
      </c>
      <c r="D5" s="10">
        <f>C5*3.07</f>
        <v>24.867000000006701</v>
      </c>
      <c r="E5" s="7">
        <f>'[12]Oct Prod'!E4</f>
        <v>9000000</v>
      </c>
      <c r="F5" s="8">
        <f>E5/1000000</f>
        <v>9</v>
      </c>
      <c r="G5" s="10">
        <f>F5*3.07</f>
        <v>27.63</v>
      </c>
      <c r="H5" s="7">
        <f>'[12]Oct Prod'!F4</f>
        <v>0</v>
      </c>
      <c r="I5" s="9">
        <f t="shared" ref="I5:I23" si="0">H5/100000000</f>
        <v>0</v>
      </c>
      <c r="J5" s="10">
        <f>I5*3.07</f>
        <v>0</v>
      </c>
      <c r="K5" s="7">
        <f>'[12]Oct Prod'!H259</f>
        <v>762806</v>
      </c>
      <c r="L5" s="8">
        <f>K5/1000000</f>
        <v>0.76280599999999998</v>
      </c>
      <c r="M5" s="10">
        <f>L5*3.07</f>
        <v>2.34181442</v>
      </c>
      <c r="N5" s="21"/>
      <c r="O5" s="7">
        <f>'[12]Oct Prod'!H4</f>
        <v>10588999.999999996</v>
      </c>
      <c r="P5" s="8">
        <f>O5/1000000</f>
        <v>10.588999999999997</v>
      </c>
      <c r="Q5" s="10">
        <f>P5*3.07</f>
        <v>32.50822999999999</v>
      </c>
      <c r="R5" s="7">
        <f>'[12]Oct Prod'!C4</f>
        <v>10697000</v>
      </c>
      <c r="S5" s="8">
        <f>R5/1000000</f>
        <v>10.696999999999999</v>
      </c>
      <c r="T5" s="10">
        <f>S5*3.07</f>
        <v>32.839789999999994</v>
      </c>
      <c r="U5" s="7">
        <f>'[12]Oct Prod'!D4</f>
        <v>0</v>
      </c>
      <c r="V5" s="8">
        <f>U5/1000000</f>
        <v>0</v>
      </c>
      <c r="W5" s="10">
        <f>V5*3.07</f>
        <v>0</v>
      </c>
      <c r="X5" s="7">
        <f>'[12]Oct Prod'!D259</f>
        <v>108000.00000000409</v>
      </c>
      <c r="Y5" s="8">
        <f>X5/1000000</f>
        <v>0.10800000000000409</v>
      </c>
      <c r="Z5" s="10">
        <f>Y5*3.07</f>
        <v>0.33156000000001257</v>
      </c>
      <c r="AA5" s="15"/>
      <c r="AB5" s="7">
        <f>B5+O5</f>
        <v>18689000.000002179</v>
      </c>
      <c r="AC5" s="8">
        <f>C5+P5</f>
        <v>18.689000000002181</v>
      </c>
      <c r="AD5" s="8">
        <f>D5+Q5</f>
        <v>57.375230000006695</v>
      </c>
      <c r="AF5" s="8">
        <f>T5-Q5-Z5</f>
        <v>-9.3813845580825728E-15</v>
      </c>
    </row>
    <row r="6" spans="1:32" x14ac:dyDescent="0.2">
      <c r="A6" s="28">
        <v>38627</v>
      </c>
      <c r="B6" s="7">
        <f>'[12]Oct Prod'!I5</f>
        <v>7199999.9999970896</v>
      </c>
      <c r="C6" s="8">
        <f t="shared" ref="C6:C35" si="1">B6/1000000</f>
        <v>7.1999999999970896</v>
      </c>
      <c r="D6" s="10">
        <f t="shared" ref="D6:D35" si="2">C6*3.07</f>
        <v>22.103999999991064</v>
      </c>
      <c r="E6" s="7">
        <f>'[12]Oct Prod'!E5</f>
        <v>8000000</v>
      </c>
      <c r="F6" s="8">
        <f t="shared" ref="F6:F35" si="3">E6/1000000</f>
        <v>8</v>
      </c>
      <c r="G6" s="10">
        <f t="shared" ref="G6:G35" si="4">F6*3.07</f>
        <v>24.56</v>
      </c>
      <c r="H6" s="7">
        <f>'[12]Oct Prod'!F5</f>
        <v>0</v>
      </c>
      <c r="I6" s="9">
        <f t="shared" si="0"/>
        <v>0</v>
      </c>
      <c r="J6" s="10">
        <f t="shared" ref="J6:J35" si="5">I6*3.07</f>
        <v>0</v>
      </c>
      <c r="K6" s="7">
        <f>'[12]Oct Prod'!H260</f>
        <v>750755</v>
      </c>
      <c r="L6" s="8">
        <f t="shared" ref="L6:L35" si="6">K6/1000000</f>
        <v>0.75075499999999995</v>
      </c>
      <c r="M6" s="10">
        <f t="shared" ref="M6:M35" si="7">L6*3.07</f>
        <v>2.3048178499999996</v>
      </c>
      <c r="N6" s="21"/>
      <c r="O6" s="7">
        <f>'[12]Oct Prod'!H5</f>
        <v>10154999.999999996</v>
      </c>
      <c r="P6" s="8">
        <f t="shared" ref="P6:P35" si="8">O6/1000000</f>
        <v>10.154999999999996</v>
      </c>
      <c r="Q6" s="10">
        <f t="shared" ref="Q6:Q35" si="9">P6*3.07</f>
        <v>31.175849999999986</v>
      </c>
      <c r="R6" s="7">
        <f>'[12]Oct Prod'!C5</f>
        <v>10239000</v>
      </c>
      <c r="S6" s="8">
        <f t="shared" ref="S6:S35" si="10">R6/1000000</f>
        <v>10.239000000000001</v>
      </c>
      <c r="T6" s="10">
        <f t="shared" ref="T6:T35" si="11">S6*3.07</f>
        <v>31.433730000000001</v>
      </c>
      <c r="U6" s="7">
        <f>'[12]Oct Prod'!D5</f>
        <v>0</v>
      </c>
      <c r="V6" s="8">
        <f t="shared" ref="V6:V35" si="12">U6/1000000</f>
        <v>0</v>
      </c>
      <c r="W6" s="10">
        <f t="shared" ref="W6:W35" si="13">V6*3.07</f>
        <v>0</v>
      </c>
      <c r="X6" s="7">
        <f>'[12]Oct Prod'!D260</f>
        <v>84000.000000003187</v>
      </c>
      <c r="Y6" s="8">
        <f t="shared" ref="Y6:Y35" si="14">X6/1000000</f>
        <v>8.4000000000003183E-2</v>
      </c>
      <c r="Z6" s="10">
        <f t="shared" ref="Z6:Z35" si="15">Y6*3.07</f>
        <v>0.25788000000000977</v>
      </c>
      <c r="AA6" s="15"/>
      <c r="AB6" s="7">
        <f t="shared" ref="AB6:AD35" si="16">B6+O6</f>
        <v>17354999.999997087</v>
      </c>
      <c r="AC6" s="8">
        <f t="shared" si="16"/>
        <v>17.354999999997084</v>
      </c>
      <c r="AD6" s="8">
        <f t="shared" si="16"/>
        <v>53.27984999999105</v>
      </c>
      <c r="AF6" s="8">
        <f>T6-Q6-Z6</f>
        <v>4.5519144009631418E-15</v>
      </c>
    </row>
    <row r="7" spans="1:32" x14ac:dyDescent="0.2">
      <c r="A7" s="28">
        <v>38628</v>
      </c>
      <c r="B7" s="7">
        <f>'[12]Oct Prod'!I6</f>
        <v>7400000.0000014547</v>
      </c>
      <c r="C7" s="8">
        <f t="shared" si="1"/>
        <v>7.4000000000014543</v>
      </c>
      <c r="D7" s="10">
        <f t="shared" si="2"/>
        <v>22.718000000004462</v>
      </c>
      <c r="E7" s="7">
        <f>'[12]Oct Prod'!E6</f>
        <v>8000000</v>
      </c>
      <c r="F7" s="8">
        <f t="shared" si="3"/>
        <v>8</v>
      </c>
      <c r="G7" s="10">
        <f t="shared" si="4"/>
        <v>24.56</v>
      </c>
      <c r="H7" s="7">
        <f>'[12]Oct Prod'!F6</f>
        <v>0</v>
      </c>
      <c r="I7" s="9">
        <f t="shared" si="0"/>
        <v>0</v>
      </c>
      <c r="J7" s="10">
        <f t="shared" si="5"/>
        <v>0</v>
      </c>
      <c r="K7" s="7">
        <f>'[12]Oct Prod'!H261</f>
        <v>733970</v>
      </c>
      <c r="L7" s="8">
        <f t="shared" si="6"/>
        <v>0.73397000000000001</v>
      </c>
      <c r="M7" s="10">
        <f t="shared" si="7"/>
        <v>2.2532879000000001</v>
      </c>
      <c r="N7" s="21"/>
      <c r="O7" s="7">
        <f>'[12]Oct Prod'!H6</f>
        <v>12937000</v>
      </c>
      <c r="P7" s="8">
        <f t="shared" si="8"/>
        <v>12.936999999999999</v>
      </c>
      <c r="Q7" s="10">
        <f t="shared" si="9"/>
        <v>39.716589999999997</v>
      </c>
      <c r="R7" s="7">
        <f>'[12]Oct Prod'!C6</f>
        <v>13065000</v>
      </c>
      <c r="S7" s="8">
        <f t="shared" si="10"/>
        <v>13.065</v>
      </c>
      <c r="T7" s="10">
        <f t="shared" si="11"/>
        <v>40.109549999999999</v>
      </c>
      <c r="U7" s="7">
        <f>'[12]Oct Prod'!D6</f>
        <v>0</v>
      </c>
      <c r="V7" s="8">
        <f t="shared" si="12"/>
        <v>0</v>
      </c>
      <c r="W7" s="10">
        <f t="shared" si="13"/>
        <v>0</v>
      </c>
      <c r="X7" s="7">
        <f>'[12]Oct Prod'!D261</f>
        <v>128000.00000000012</v>
      </c>
      <c r="Y7" s="8">
        <f t="shared" si="14"/>
        <v>0.12800000000000011</v>
      </c>
      <c r="Z7" s="10">
        <f t="shared" si="15"/>
        <v>0.39296000000000031</v>
      </c>
      <c r="AA7" s="15"/>
      <c r="AB7" s="7">
        <f t="shared" si="16"/>
        <v>20337000.000001453</v>
      </c>
      <c r="AC7" s="8">
        <f t="shared" si="16"/>
        <v>20.337000000001453</v>
      </c>
      <c r="AD7" s="8">
        <f t="shared" si="16"/>
        <v>62.434590000004462</v>
      </c>
      <c r="AF7" s="8">
        <f t="shared" ref="AF7:AF14" si="17">T7-Q7-Z7</f>
        <v>1.8873791418627661E-15</v>
      </c>
    </row>
    <row r="8" spans="1:32" x14ac:dyDescent="0.2">
      <c r="A8" s="28">
        <v>38629</v>
      </c>
      <c r="B8" s="7">
        <f>'[12]Oct Prod'!I7</f>
        <v>6400000.0000014547</v>
      </c>
      <c r="C8" s="8">
        <f t="shared" si="1"/>
        <v>6.4000000000014543</v>
      </c>
      <c r="D8" s="10">
        <f t="shared" si="2"/>
        <v>19.648000000004465</v>
      </c>
      <c r="E8" s="7">
        <f>'[12]Oct Prod'!E7</f>
        <v>7000000</v>
      </c>
      <c r="F8" s="8">
        <f t="shared" si="3"/>
        <v>7</v>
      </c>
      <c r="G8" s="10">
        <f t="shared" si="4"/>
        <v>21.49</v>
      </c>
      <c r="H8" s="7">
        <f>'[12]Oct Prod'!F7</f>
        <v>0</v>
      </c>
      <c r="I8" s="9">
        <f t="shared" si="0"/>
        <v>0</v>
      </c>
      <c r="J8" s="10">
        <f t="shared" si="5"/>
        <v>0</v>
      </c>
      <c r="K8" s="7">
        <f>'[12]Oct Prod'!H262</f>
        <v>785518</v>
      </c>
      <c r="L8" s="8">
        <f t="shared" si="6"/>
        <v>0.78551800000000005</v>
      </c>
      <c r="M8" s="10">
        <f t="shared" si="7"/>
        <v>2.4115402600000002</v>
      </c>
      <c r="N8" s="21"/>
      <c r="O8" s="7">
        <f>'[12]Oct Prod'!H7</f>
        <v>11933000.000000002</v>
      </c>
      <c r="P8" s="8">
        <f t="shared" si="8"/>
        <v>11.933000000000002</v>
      </c>
      <c r="Q8" s="10">
        <f t="shared" si="9"/>
        <v>36.634310000000006</v>
      </c>
      <c r="R8" s="7">
        <f>'[12]Oct Prod'!C7</f>
        <v>12022000</v>
      </c>
      <c r="S8" s="8">
        <f t="shared" si="10"/>
        <v>12.022</v>
      </c>
      <c r="T8" s="10">
        <f t="shared" si="11"/>
        <v>36.907539999999997</v>
      </c>
      <c r="U8" s="7">
        <f>'[12]Oct Prod'!D7</f>
        <v>0</v>
      </c>
      <c r="V8" s="8">
        <f t="shared" si="12"/>
        <v>0</v>
      </c>
      <c r="W8" s="10">
        <f t="shared" si="13"/>
        <v>0</v>
      </c>
      <c r="X8" s="7">
        <f>'[12]Oct Prod'!D262</f>
        <v>88999.999999998632</v>
      </c>
      <c r="Y8" s="8">
        <f t="shared" si="14"/>
        <v>8.8999999999998636E-2</v>
      </c>
      <c r="Z8" s="10">
        <f t="shared" si="15"/>
        <v>0.27322999999999581</v>
      </c>
      <c r="AA8" s="15"/>
      <c r="AB8" s="7">
        <f t="shared" si="16"/>
        <v>18333000.000001457</v>
      </c>
      <c r="AC8" s="8">
        <f t="shared" si="16"/>
        <v>18.333000000001455</v>
      </c>
      <c r="AD8" s="8">
        <f>D8+Q8</f>
        <v>56.282310000004472</v>
      </c>
      <c r="AF8" s="8">
        <f t="shared" si="17"/>
        <v>-4.829470157119431E-15</v>
      </c>
    </row>
    <row r="9" spans="1:32" x14ac:dyDescent="0.2">
      <c r="A9" s="28">
        <v>38630</v>
      </c>
      <c r="B9" s="7">
        <f>'[12]Oct Prod'!I8</f>
        <v>4199999.9999970896</v>
      </c>
      <c r="C9" s="8">
        <f t="shared" si="1"/>
        <v>4.1999999999970896</v>
      </c>
      <c r="D9" s="10">
        <f t="shared" si="2"/>
        <v>12.893999999991065</v>
      </c>
      <c r="E9" s="7">
        <f>'[12]Oct Prod'!E8</f>
        <v>4000000</v>
      </c>
      <c r="F9" s="8">
        <f t="shared" si="3"/>
        <v>4</v>
      </c>
      <c r="G9" s="10">
        <f t="shared" si="4"/>
        <v>12.28</v>
      </c>
      <c r="H9" s="7">
        <f>'[12]Oct Prod'!F8</f>
        <v>0</v>
      </c>
      <c r="I9" s="9">
        <f t="shared" si="0"/>
        <v>0</v>
      </c>
      <c r="J9" s="10">
        <f t="shared" si="5"/>
        <v>0</v>
      </c>
      <c r="K9" s="7">
        <f>'[12]Oct Prod'!H263</f>
        <v>439935</v>
      </c>
      <c r="L9" s="8">
        <f t="shared" si="6"/>
        <v>0.43993500000000002</v>
      </c>
      <c r="M9" s="10">
        <f t="shared" si="7"/>
        <v>1.35060045</v>
      </c>
      <c r="N9" s="21"/>
      <c r="O9" s="7">
        <f>'[12]Oct Prod'!H8</f>
        <v>9912000.0000000019</v>
      </c>
      <c r="P9" s="8">
        <f t="shared" si="8"/>
        <v>9.9120000000000026</v>
      </c>
      <c r="Q9" s="10">
        <f t="shared" si="9"/>
        <v>30.429840000000006</v>
      </c>
      <c r="R9" s="7">
        <f>'[12]Oct Prod'!C8</f>
        <v>9998000</v>
      </c>
      <c r="S9" s="8">
        <f t="shared" si="10"/>
        <v>9.9979999999999993</v>
      </c>
      <c r="T9" s="10">
        <f t="shared" si="11"/>
        <v>30.693859999999997</v>
      </c>
      <c r="U9" s="7">
        <f>'[12]Oct Prod'!D8</f>
        <v>0</v>
      </c>
      <c r="V9" s="8">
        <f t="shared" si="12"/>
        <v>0</v>
      </c>
      <c r="W9" s="10">
        <f t="shared" si="13"/>
        <v>0</v>
      </c>
      <c r="X9" s="7">
        <f>'[12]Oct Prod'!D263</f>
        <v>85999.999999998516</v>
      </c>
      <c r="Y9" s="8">
        <f t="shared" si="14"/>
        <v>8.5999999999998522E-2</v>
      </c>
      <c r="Z9" s="10">
        <f t="shared" si="15"/>
        <v>0.26401999999999543</v>
      </c>
      <c r="AA9" s="15"/>
      <c r="AB9" s="7">
        <f t="shared" si="16"/>
        <v>14111999.999997091</v>
      </c>
      <c r="AC9" s="8">
        <f t="shared" si="16"/>
        <v>14.111999999997092</v>
      </c>
      <c r="AD9" s="8">
        <f t="shared" si="16"/>
        <v>43.323839999991073</v>
      </c>
      <c r="AF9" s="8">
        <f t="shared" si="17"/>
        <v>-3.9412917374193057E-15</v>
      </c>
    </row>
    <row r="10" spans="1:32" x14ac:dyDescent="0.2">
      <c r="A10" s="28">
        <v>38631</v>
      </c>
      <c r="B10" s="7">
        <f>'[12]Oct Prod'!I9</f>
        <v>3600000.000002183</v>
      </c>
      <c r="C10" s="8">
        <f t="shared" si="1"/>
        <v>3.6000000000021832</v>
      </c>
      <c r="D10" s="10">
        <f t="shared" si="2"/>
        <v>11.052000000006702</v>
      </c>
      <c r="E10" s="7">
        <f>'[12]Oct Prod'!E9</f>
        <v>4000000</v>
      </c>
      <c r="F10" s="8">
        <f t="shared" si="3"/>
        <v>4</v>
      </c>
      <c r="G10" s="10">
        <f t="shared" si="4"/>
        <v>12.28</v>
      </c>
      <c r="H10" s="7">
        <f>'[12]Oct Prod'!F9</f>
        <v>0</v>
      </c>
      <c r="I10" s="9">
        <f t="shared" si="0"/>
        <v>0</v>
      </c>
      <c r="J10" s="10">
        <f t="shared" si="5"/>
        <v>0</v>
      </c>
      <c r="K10" s="7">
        <f>'[12]Oct Prod'!H264</f>
        <v>235366</v>
      </c>
      <c r="L10" s="8">
        <f t="shared" si="6"/>
        <v>0.23536599999999999</v>
      </c>
      <c r="M10" s="10">
        <f t="shared" si="7"/>
        <v>0.72257361999999992</v>
      </c>
      <c r="N10" s="21"/>
      <c r="O10" s="7">
        <f>'[12]Oct Prod'!H9</f>
        <v>12511000</v>
      </c>
      <c r="P10" s="8">
        <f t="shared" si="8"/>
        <v>12.510999999999999</v>
      </c>
      <c r="Q10" s="10">
        <f t="shared" si="9"/>
        <v>38.408769999999997</v>
      </c>
      <c r="R10" s="7">
        <f>'[12]Oct Prod'!C9</f>
        <v>12642000</v>
      </c>
      <c r="S10" s="8">
        <f t="shared" si="10"/>
        <v>12.641999999999999</v>
      </c>
      <c r="T10" s="10">
        <f t="shared" si="11"/>
        <v>38.810939999999995</v>
      </c>
      <c r="U10" s="7">
        <f>'[12]Oct Prod'!D9</f>
        <v>0</v>
      </c>
      <c r="V10" s="8">
        <f t="shared" si="12"/>
        <v>0</v>
      </c>
      <c r="W10" s="10">
        <f t="shared" si="13"/>
        <v>0</v>
      </c>
      <c r="X10" s="7">
        <f>'[12]Oct Prod'!D264</f>
        <v>131000.00000000023</v>
      </c>
      <c r="Y10" s="8">
        <f t="shared" si="14"/>
        <v>0.13100000000000023</v>
      </c>
      <c r="Z10" s="10">
        <f t="shared" si="15"/>
        <v>0.40217000000000069</v>
      </c>
      <c r="AA10" s="15"/>
      <c r="AB10" s="7">
        <f t="shared" si="16"/>
        <v>16111000.000002183</v>
      </c>
      <c r="AC10" s="8">
        <f t="shared" si="16"/>
        <v>16.111000000002182</v>
      </c>
      <c r="AD10" s="8">
        <f t="shared" si="16"/>
        <v>49.460770000006697</v>
      </c>
      <c r="AF10" s="8">
        <f t="shared" si="17"/>
        <v>-2.55351295663786E-15</v>
      </c>
    </row>
    <row r="11" spans="1:32" x14ac:dyDescent="0.2">
      <c r="A11" s="28">
        <v>38632</v>
      </c>
      <c r="B11" s="7">
        <f>'[12]Oct Prod'!I10</f>
        <v>700000.0000007276</v>
      </c>
      <c r="C11" s="8">
        <f t="shared" si="1"/>
        <v>0.7000000000007276</v>
      </c>
      <c r="D11" s="10">
        <f t="shared" si="2"/>
        <v>2.1490000000022338</v>
      </c>
      <c r="E11" s="7">
        <f>'[12]Oct Prod'!E10</f>
        <v>2000000</v>
      </c>
      <c r="F11" s="8">
        <f t="shared" si="3"/>
        <v>2</v>
      </c>
      <c r="G11" s="10">
        <f t="shared" si="4"/>
        <v>6.14</v>
      </c>
      <c r="H11" s="7">
        <f>'[12]Oct Prod'!F10</f>
        <v>0</v>
      </c>
      <c r="I11" s="9">
        <f t="shared" si="0"/>
        <v>0</v>
      </c>
      <c r="J11" s="10">
        <f t="shared" si="5"/>
        <v>0</v>
      </c>
      <c r="K11" s="7">
        <f>'[12]Oct Prod'!H265</f>
        <v>137621</v>
      </c>
      <c r="L11" s="8">
        <f t="shared" si="6"/>
        <v>0.13762099999999999</v>
      </c>
      <c r="M11" s="10">
        <f t="shared" si="7"/>
        <v>0.42249646999999996</v>
      </c>
      <c r="N11" s="21"/>
      <c r="O11" s="7">
        <f>'[12]Oct Prod'!H10</f>
        <v>12399000</v>
      </c>
      <c r="P11" s="8">
        <f t="shared" si="8"/>
        <v>12.398999999999999</v>
      </c>
      <c r="Q11" s="10">
        <f t="shared" si="9"/>
        <v>38.064929999999997</v>
      </c>
      <c r="R11" s="7">
        <f>'[12]Oct Prod'!C10</f>
        <v>12530000</v>
      </c>
      <c r="S11" s="8">
        <f t="shared" si="10"/>
        <v>12.53</v>
      </c>
      <c r="T11" s="10">
        <f t="shared" si="11"/>
        <v>38.467099999999995</v>
      </c>
      <c r="U11" s="7">
        <f>'[12]Oct Prod'!D10</f>
        <v>0</v>
      </c>
      <c r="V11" s="8">
        <f t="shared" si="12"/>
        <v>0</v>
      </c>
      <c r="W11" s="10">
        <f t="shared" si="13"/>
        <v>0</v>
      </c>
      <c r="X11" s="7">
        <f>'[12]Oct Prod'!D265</f>
        <v>131000.00000000023</v>
      </c>
      <c r="Y11" s="8">
        <f t="shared" si="14"/>
        <v>0.13100000000000023</v>
      </c>
      <c r="Z11" s="10">
        <f t="shared" si="15"/>
        <v>0.40217000000000069</v>
      </c>
      <c r="AA11" s="15"/>
      <c r="AB11" s="7">
        <f t="shared" si="16"/>
        <v>13099000.000000728</v>
      </c>
      <c r="AC11" s="8">
        <f t="shared" si="16"/>
        <v>13.099000000000727</v>
      </c>
      <c r="AD11" s="8">
        <f t="shared" si="16"/>
        <v>40.213930000002229</v>
      </c>
      <c r="AF11" s="8">
        <f t="shared" si="17"/>
        <v>-2.55351295663786E-15</v>
      </c>
    </row>
    <row r="12" spans="1:32" x14ac:dyDescent="0.2">
      <c r="A12" s="28">
        <v>38633</v>
      </c>
      <c r="B12" s="7">
        <f>'[12]Oct Prod'!I11</f>
        <v>0</v>
      </c>
      <c r="C12" s="8">
        <f t="shared" si="1"/>
        <v>0</v>
      </c>
      <c r="D12" s="10">
        <f t="shared" si="2"/>
        <v>0</v>
      </c>
      <c r="E12" s="7">
        <f>'[12]Oct Prod'!E11</f>
        <v>3000000</v>
      </c>
      <c r="F12" s="8">
        <f t="shared" si="3"/>
        <v>3</v>
      </c>
      <c r="G12" s="10">
        <f t="shared" si="4"/>
        <v>9.2099999999999991</v>
      </c>
      <c r="H12" s="7">
        <f>'[12]Oct Prod'!F11</f>
        <v>0</v>
      </c>
      <c r="I12" s="9">
        <f t="shared" si="0"/>
        <v>0</v>
      </c>
      <c r="J12" s="10">
        <f t="shared" si="5"/>
        <v>0</v>
      </c>
      <c r="K12" s="7">
        <f>'[12]Oct Prod'!H266</f>
        <v>270774</v>
      </c>
      <c r="L12" s="8">
        <f t="shared" si="6"/>
        <v>0.27077400000000001</v>
      </c>
      <c r="M12" s="10">
        <f t="shared" si="7"/>
        <v>0.83127618000000003</v>
      </c>
      <c r="N12" s="21"/>
      <c r="O12" s="7">
        <f>'[12]Oct Prod'!H11</f>
        <v>13656000.000000006</v>
      </c>
      <c r="P12" s="8">
        <f t="shared" si="8"/>
        <v>13.656000000000006</v>
      </c>
      <c r="Q12" s="10">
        <f t="shared" si="9"/>
        <v>41.923920000000017</v>
      </c>
      <c r="R12" s="7">
        <f>'[12]Oct Prod'!C11</f>
        <v>13762000</v>
      </c>
      <c r="S12" s="8">
        <f t="shared" si="10"/>
        <v>13.762</v>
      </c>
      <c r="T12" s="10">
        <f t="shared" si="11"/>
        <v>42.249339999999997</v>
      </c>
      <c r="U12" s="7">
        <f>'[12]Oct Prod'!D11</f>
        <v>0</v>
      </c>
      <c r="V12" s="8">
        <f t="shared" si="12"/>
        <v>0</v>
      </c>
      <c r="W12" s="10">
        <f t="shared" si="13"/>
        <v>0</v>
      </c>
      <c r="X12" s="7">
        <f>'[12]Oct Prod'!D266</f>
        <v>105999.99999999454</v>
      </c>
      <c r="Y12" s="8">
        <f t="shared" si="14"/>
        <v>0.10599999999999454</v>
      </c>
      <c r="Z12" s="10">
        <f t="shared" si="15"/>
        <v>0.32541999999998322</v>
      </c>
      <c r="AA12" s="15"/>
      <c r="AB12" s="7">
        <f t="shared" si="16"/>
        <v>13656000.000000006</v>
      </c>
      <c r="AC12" s="8">
        <f t="shared" si="16"/>
        <v>13.656000000000006</v>
      </c>
      <c r="AD12" s="8">
        <f t="shared" si="16"/>
        <v>41.923920000000017</v>
      </c>
      <c r="AF12" s="8">
        <f t="shared" si="17"/>
        <v>-3.3861802251067274E-15</v>
      </c>
    </row>
    <row r="13" spans="1:32" x14ac:dyDescent="0.2">
      <c r="A13" s="28">
        <v>38634</v>
      </c>
      <c r="B13" s="7">
        <f>'[12]Oct Prod'!I12</f>
        <v>0</v>
      </c>
      <c r="C13" s="8">
        <f t="shared" si="1"/>
        <v>0</v>
      </c>
      <c r="D13" s="10">
        <f t="shared" si="2"/>
        <v>0</v>
      </c>
      <c r="E13" s="7">
        <f>'[12]Oct Prod'!E12</f>
        <v>2000000</v>
      </c>
      <c r="F13" s="8">
        <f t="shared" si="3"/>
        <v>2</v>
      </c>
      <c r="G13" s="10">
        <f t="shared" si="4"/>
        <v>6.14</v>
      </c>
      <c r="H13" s="7">
        <f>'[12]Oct Prod'!F12</f>
        <v>0</v>
      </c>
      <c r="I13" s="9">
        <f t="shared" si="0"/>
        <v>0</v>
      </c>
      <c r="J13" s="10">
        <f t="shared" si="5"/>
        <v>0</v>
      </c>
      <c r="K13" s="7">
        <f>'[12]Oct Prod'!H267</f>
        <v>163464</v>
      </c>
      <c r="L13" s="8">
        <f t="shared" si="6"/>
        <v>0.163464</v>
      </c>
      <c r="M13" s="10">
        <f t="shared" si="7"/>
        <v>0.50183447999999997</v>
      </c>
      <c r="N13" s="21"/>
      <c r="O13" s="7">
        <f>'[12]Oct Prod'!H12</f>
        <v>15762999.999999996</v>
      </c>
      <c r="P13" s="8">
        <f t="shared" si="8"/>
        <v>15.762999999999996</v>
      </c>
      <c r="Q13" s="10">
        <f t="shared" si="9"/>
        <v>48.392409999999984</v>
      </c>
      <c r="R13" s="7">
        <f>'[12]Oct Prod'!C12</f>
        <v>15865000</v>
      </c>
      <c r="S13" s="8">
        <f t="shared" si="10"/>
        <v>15.865</v>
      </c>
      <c r="T13" s="10">
        <f t="shared" si="11"/>
        <v>48.705549999999995</v>
      </c>
      <c r="U13" s="7">
        <f>'[12]Oct Prod'!D12</f>
        <v>0</v>
      </c>
      <c r="V13" s="8">
        <f t="shared" si="12"/>
        <v>0</v>
      </c>
      <c r="W13" s="10">
        <f t="shared" si="13"/>
        <v>0</v>
      </c>
      <c r="X13" s="7">
        <f>'[12]Oct Prod'!D267</f>
        <v>102000.00000000387</v>
      </c>
      <c r="Y13" s="8">
        <f t="shared" si="14"/>
        <v>0.10200000000000387</v>
      </c>
      <c r="Z13" s="10">
        <f t="shared" si="15"/>
        <v>0.31314000000001185</v>
      </c>
      <c r="AA13" s="15"/>
      <c r="AB13" s="7">
        <f t="shared" si="16"/>
        <v>15762999.999999996</v>
      </c>
      <c r="AC13" s="8">
        <f t="shared" si="16"/>
        <v>15.762999999999996</v>
      </c>
      <c r="AD13" s="8">
        <f t="shared" si="16"/>
        <v>48.392409999999984</v>
      </c>
      <c r="AF13" s="8">
        <f t="shared" si="17"/>
        <v>-5.5511151231257827E-16</v>
      </c>
    </row>
    <row r="14" spans="1:32" x14ac:dyDescent="0.2">
      <c r="A14" s="28">
        <v>38635</v>
      </c>
      <c r="B14" s="7">
        <f>'[12]Oct Prod'!I13</f>
        <v>1840000</v>
      </c>
      <c r="C14" s="8">
        <f t="shared" si="1"/>
        <v>1.84</v>
      </c>
      <c r="D14" s="10">
        <f t="shared" si="2"/>
        <v>5.6487999999999996</v>
      </c>
      <c r="E14" s="7">
        <f>'[12]Oct Prod'!E13</f>
        <v>3000000</v>
      </c>
      <c r="F14" s="8">
        <f t="shared" si="3"/>
        <v>3</v>
      </c>
      <c r="G14" s="10">
        <f t="shared" si="4"/>
        <v>9.2099999999999991</v>
      </c>
      <c r="H14" s="7">
        <f>'[12]Oct Prod'!F13</f>
        <v>0</v>
      </c>
      <c r="I14" s="9">
        <f t="shared" si="0"/>
        <v>0</v>
      </c>
      <c r="J14" s="10">
        <f t="shared" si="5"/>
        <v>0</v>
      </c>
      <c r="K14" s="7">
        <f>'[12]Oct Prod'!H268</f>
        <v>224090</v>
      </c>
      <c r="L14" s="8">
        <f t="shared" si="6"/>
        <v>0.22409000000000001</v>
      </c>
      <c r="M14" s="10">
        <f t="shared" si="7"/>
        <v>0.68795629999999997</v>
      </c>
      <c r="N14" s="21"/>
      <c r="O14" s="7">
        <f>'[12]Oct Prod'!H13</f>
        <v>14035999.999999994</v>
      </c>
      <c r="P14" s="8">
        <f t="shared" si="8"/>
        <v>14.035999999999994</v>
      </c>
      <c r="Q14" s="10">
        <f t="shared" si="9"/>
        <v>43.090519999999977</v>
      </c>
      <c r="R14" s="7">
        <f>'[12]Oct Prod'!C13</f>
        <v>14165000</v>
      </c>
      <c r="S14" s="8">
        <f t="shared" si="10"/>
        <v>14.164999999999999</v>
      </c>
      <c r="T14" s="10">
        <f t="shared" si="11"/>
        <v>43.486549999999994</v>
      </c>
      <c r="U14" s="7">
        <f>'[12]Oct Prod'!D13</f>
        <v>-1000</v>
      </c>
      <c r="V14" s="8">
        <f t="shared" ref="V14:V16" si="18">U14/1000000</f>
        <v>-1E-3</v>
      </c>
      <c r="W14" s="10">
        <f t="shared" ref="W14:W16" si="19">V14*3.07</f>
        <v>-3.0699999999999998E-3</v>
      </c>
      <c r="X14" s="7">
        <f>'[12]Oct Prod'!D268</f>
        <v>129000.00000000489</v>
      </c>
      <c r="Y14" s="8">
        <f t="shared" si="14"/>
        <v>0.12900000000000489</v>
      </c>
      <c r="Z14" s="10">
        <f t="shared" si="15"/>
        <v>0.39603000000001498</v>
      </c>
      <c r="AA14" s="15"/>
      <c r="AB14" s="7">
        <f t="shared" si="16"/>
        <v>15875999.999999994</v>
      </c>
      <c r="AC14" s="8">
        <f t="shared" si="16"/>
        <v>15.875999999999994</v>
      </c>
      <c r="AD14" s="8">
        <f t="shared" si="16"/>
        <v>48.739319999999978</v>
      </c>
      <c r="AF14" s="8">
        <f t="shared" si="17"/>
        <v>2.4424906541753444E-15</v>
      </c>
    </row>
    <row r="15" spans="1:32" x14ac:dyDescent="0.2">
      <c r="A15" s="28">
        <v>38636</v>
      </c>
      <c r="B15" s="7">
        <f>'[12]Oct Prod'!I14</f>
        <v>5580000</v>
      </c>
      <c r="C15" s="8">
        <f t="shared" si="1"/>
        <v>5.58</v>
      </c>
      <c r="D15" s="10">
        <f t="shared" si="2"/>
        <v>17.130599999999998</v>
      </c>
      <c r="E15" s="7">
        <f>'[12]Oct Prod'!E14</f>
        <v>6000000</v>
      </c>
      <c r="F15" s="8">
        <f t="shared" si="3"/>
        <v>6</v>
      </c>
      <c r="G15" s="10">
        <f t="shared" si="4"/>
        <v>18.419999999999998</v>
      </c>
      <c r="H15" s="7">
        <f>'[12]Oct Prod'!F14</f>
        <v>0</v>
      </c>
      <c r="I15" s="9">
        <f t="shared" si="0"/>
        <v>0</v>
      </c>
      <c r="J15" s="10">
        <f t="shared" si="5"/>
        <v>0</v>
      </c>
      <c r="K15" s="7">
        <f>'[12]Oct Prod'!H269</f>
        <v>542170</v>
      </c>
      <c r="L15" s="8">
        <f t="shared" si="6"/>
        <v>0.54217000000000004</v>
      </c>
      <c r="M15" s="10">
        <f t="shared" si="7"/>
        <v>1.6644619</v>
      </c>
      <c r="N15" s="21"/>
      <c r="O15" s="7">
        <f>'[12]Oct Prod'!H14</f>
        <v>8203000</v>
      </c>
      <c r="P15" s="8">
        <f t="shared" si="8"/>
        <v>8.2029999999999994</v>
      </c>
      <c r="Q15" s="10">
        <f t="shared" si="9"/>
        <v>25.183209999999995</v>
      </c>
      <c r="R15" s="7">
        <f>'[12]Oct Prod'!C14</f>
        <v>8322000</v>
      </c>
      <c r="S15" s="8">
        <f t="shared" si="10"/>
        <v>8.3219999999999992</v>
      </c>
      <c r="T15" s="10">
        <f t="shared" si="11"/>
        <v>25.548539999999996</v>
      </c>
      <c r="U15" s="7">
        <f>'[12]Oct Prod'!D14</f>
        <v>0</v>
      </c>
      <c r="V15" s="8">
        <f t="shared" si="18"/>
        <v>0</v>
      </c>
      <c r="W15" s="10">
        <f t="shared" si="19"/>
        <v>0</v>
      </c>
      <c r="X15" s="7">
        <f>'[12]Oct Prod'!D269</f>
        <v>118999.99999999977</v>
      </c>
      <c r="Y15" s="8">
        <f t="shared" si="14"/>
        <v>0.11899999999999977</v>
      </c>
      <c r="Z15" s="10">
        <f t="shared" si="15"/>
        <v>0.36532999999999927</v>
      </c>
      <c r="AA15" s="15"/>
      <c r="AB15" s="7">
        <f t="shared" si="16"/>
        <v>13783000</v>
      </c>
      <c r="AC15" s="8">
        <f t="shared" si="16"/>
        <v>13.782999999999999</v>
      </c>
      <c r="AD15" s="8">
        <f t="shared" si="16"/>
        <v>42.313809999999989</v>
      </c>
      <c r="AF15" s="8">
        <f>T15-Q15-Z15</f>
        <v>8.8817841970012523E-16</v>
      </c>
    </row>
    <row r="16" spans="1:32" x14ac:dyDescent="0.2">
      <c r="A16" s="28">
        <v>38637</v>
      </c>
      <c r="B16" s="7">
        <f>'[12]Oct Prod'!I15</f>
        <v>5580000</v>
      </c>
      <c r="C16" s="8">
        <f t="shared" si="1"/>
        <v>5.58</v>
      </c>
      <c r="D16" s="10">
        <f t="shared" si="2"/>
        <v>17.130599999999998</v>
      </c>
      <c r="E16" s="7">
        <f>'[12]Oct Prod'!E15</f>
        <v>6000000</v>
      </c>
      <c r="F16" s="8">
        <f t="shared" si="3"/>
        <v>6</v>
      </c>
      <c r="G16" s="10">
        <f t="shared" si="4"/>
        <v>18.419999999999998</v>
      </c>
      <c r="H16" s="7">
        <f>'[12]Oct Prod'!F15</f>
        <v>0</v>
      </c>
      <c r="I16" s="9">
        <f t="shared" si="0"/>
        <v>0</v>
      </c>
      <c r="J16" s="10">
        <f t="shared" si="5"/>
        <v>0</v>
      </c>
      <c r="K16" s="7">
        <f>'[12]Oct Prod'!H270</f>
        <v>637395</v>
      </c>
      <c r="L16" s="8">
        <f t="shared" ref="L16:L20" si="20">K16/1000000</f>
        <v>0.63739500000000004</v>
      </c>
      <c r="M16" s="10">
        <f t="shared" ref="M16:M20" si="21">L16*3.07</f>
        <v>1.95680265</v>
      </c>
      <c r="N16" s="21"/>
      <c r="O16" s="7">
        <f>'[12]Oct Prod'!H15</f>
        <v>8014000.0000000065</v>
      </c>
      <c r="P16" s="8">
        <f t="shared" si="8"/>
        <v>8.0140000000000065</v>
      </c>
      <c r="Q16" s="10">
        <f t="shared" si="9"/>
        <v>24.60298000000002</v>
      </c>
      <c r="R16" s="7">
        <f>'[12]Oct Prod'!C15</f>
        <v>8090000</v>
      </c>
      <c r="S16" s="8">
        <f t="shared" si="10"/>
        <v>8.09</v>
      </c>
      <c r="T16" s="10">
        <f t="shared" si="11"/>
        <v>24.836299999999998</v>
      </c>
      <c r="U16" s="7">
        <f>'[12]Oct Prod'!D15</f>
        <v>0</v>
      </c>
      <c r="V16" s="8">
        <f t="shared" si="18"/>
        <v>0</v>
      </c>
      <c r="W16" s="10">
        <f t="shared" si="19"/>
        <v>0</v>
      </c>
      <c r="X16" s="7">
        <f>'[12]Oct Prod'!D270</f>
        <v>75999.999999993408</v>
      </c>
      <c r="Y16" s="8">
        <f t="shared" si="14"/>
        <v>7.5999999999993406E-2</v>
      </c>
      <c r="Z16" s="10">
        <f t="shared" si="15"/>
        <v>0.23331999999997974</v>
      </c>
      <c r="AA16" s="15"/>
      <c r="AB16" s="7">
        <f t="shared" si="16"/>
        <v>13594000.000000007</v>
      </c>
      <c r="AC16" s="8">
        <f t="shared" si="16"/>
        <v>13.594000000000007</v>
      </c>
      <c r="AD16" s="8">
        <f t="shared" si="16"/>
        <v>41.733580000000018</v>
      </c>
      <c r="AF16" s="8">
        <f>T16-Q16-Z16</f>
        <v>-1.9706458687096529E-15</v>
      </c>
    </row>
    <row r="17" spans="1:32" x14ac:dyDescent="0.2">
      <c r="A17" s="28">
        <v>38638</v>
      </c>
      <c r="B17" s="7">
        <f>'[12]Oct Prod'!I16</f>
        <v>5580000</v>
      </c>
      <c r="C17" s="8">
        <f t="shared" si="1"/>
        <v>5.58</v>
      </c>
      <c r="D17" s="10">
        <f t="shared" si="2"/>
        <v>17.130599999999998</v>
      </c>
      <c r="E17" s="7">
        <f>'[12]Oct Prod'!E16</f>
        <v>6000000</v>
      </c>
      <c r="F17" s="8">
        <f t="shared" si="3"/>
        <v>6</v>
      </c>
      <c r="G17" s="10">
        <f t="shared" si="4"/>
        <v>18.419999999999998</v>
      </c>
      <c r="H17" s="7">
        <f>'[12]Oct Prod'!F16</f>
        <v>0</v>
      </c>
      <c r="I17" s="9">
        <f t="shared" si="0"/>
        <v>0</v>
      </c>
      <c r="J17" s="10">
        <f t="shared" si="5"/>
        <v>0</v>
      </c>
      <c r="K17" s="7">
        <f>'[12]Oct Prod'!H271</f>
        <v>531899</v>
      </c>
      <c r="L17" s="8">
        <f t="shared" si="20"/>
        <v>0.53189900000000001</v>
      </c>
      <c r="M17" s="10">
        <f t="shared" si="21"/>
        <v>1.63292993</v>
      </c>
      <c r="N17" s="21"/>
      <c r="O17" s="7">
        <f>'[12]Oct Prod'!H16</f>
        <v>8077999.9999999972</v>
      </c>
      <c r="P17" s="8">
        <f t="shared" si="8"/>
        <v>8.0779999999999976</v>
      </c>
      <c r="Q17" s="10">
        <f t="shared" si="9"/>
        <v>24.799459999999993</v>
      </c>
      <c r="R17" s="7">
        <f>'[12]Oct Prod'!C16</f>
        <v>8141000</v>
      </c>
      <c r="S17" s="8">
        <f t="shared" si="10"/>
        <v>8.141</v>
      </c>
      <c r="T17" s="10">
        <f t="shared" si="11"/>
        <v>24.99287</v>
      </c>
      <c r="U17" s="7">
        <f>'[12]Oct Prod'!D16</f>
        <v>0</v>
      </c>
      <c r="V17" s="8">
        <f t="shared" si="12"/>
        <v>0</v>
      </c>
      <c r="W17" s="10">
        <f t="shared" si="13"/>
        <v>0</v>
      </c>
      <c r="X17" s="7">
        <f>'[12]Oct Prod'!D271</f>
        <v>63000.000000002387</v>
      </c>
      <c r="Y17" s="8">
        <f t="shared" si="14"/>
        <v>6.3000000000002387E-2</v>
      </c>
      <c r="Z17" s="10">
        <f t="shared" si="15"/>
        <v>0.19341000000000733</v>
      </c>
      <c r="AA17" s="15"/>
      <c r="AB17" s="7">
        <f t="shared" si="16"/>
        <v>13657999.999999996</v>
      </c>
      <c r="AC17" s="8">
        <f t="shared" si="16"/>
        <v>13.657999999999998</v>
      </c>
      <c r="AD17" s="8">
        <f t="shared" si="16"/>
        <v>41.93005999999999</v>
      </c>
      <c r="AF17" s="8">
        <f>T17-Q17-Z17</f>
        <v>0</v>
      </c>
    </row>
    <row r="18" spans="1:32" x14ac:dyDescent="0.2">
      <c r="A18" s="28">
        <v>38639</v>
      </c>
      <c r="B18" s="7">
        <f>'[12]Oct Prod'!I17</f>
        <v>5580000</v>
      </c>
      <c r="C18" s="8">
        <f t="shared" si="1"/>
        <v>5.58</v>
      </c>
      <c r="D18" s="10">
        <f t="shared" si="2"/>
        <v>17.130599999999998</v>
      </c>
      <c r="E18" s="7">
        <f>'[12]Oct Prod'!E17</f>
        <v>6000000</v>
      </c>
      <c r="F18" s="8">
        <f t="shared" si="3"/>
        <v>6</v>
      </c>
      <c r="G18" s="10">
        <f t="shared" si="4"/>
        <v>18.419999999999998</v>
      </c>
      <c r="H18" s="7">
        <f>'[12]Oct Prod'!F17</f>
        <v>0</v>
      </c>
      <c r="I18" s="9">
        <f t="shared" si="0"/>
        <v>0</v>
      </c>
      <c r="J18" s="10">
        <f t="shared" si="5"/>
        <v>0</v>
      </c>
      <c r="K18" s="7">
        <f>'[12]Oct Prod'!H272</f>
        <v>820609</v>
      </c>
      <c r="L18" s="8">
        <f t="shared" si="20"/>
        <v>0.82060900000000003</v>
      </c>
      <c r="M18" s="10">
        <f t="shared" si="21"/>
        <v>2.5192696300000001</v>
      </c>
      <c r="N18" s="21"/>
      <c r="O18" s="7">
        <f>'[12]Oct Prod'!H17</f>
        <v>8964000.0000000019</v>
      </c>
      <c r="P18" s="8">
        <f t="shared" si="8"/>
        <v>8.9640000000000022</v>
      </c>
      <c r="Q18" s="10">
        <f t="shared" si="9"/>
        <v>27.519480000000005</v>
      </c>
      <c r="R18" s="7">
        <f>'[12]Oct Prod'!C17</f>
        <v>9050000</v>
      </c>
      <c r="S18" s="8">
        <f t="shared" si="10"/>
        <v>9.0500000000000007</v>
      </c>
      <c r="T18" s="10">
        <f t="shared" si="11"/>
        <v>27.7835</v>
      </c>
      <c r="U18" s="7">
        <f>'[12]Oct Prod'!D17</f>
        <v>0</v>
      </c>
      <c r="V18" s="8">
        <f t="shared" si="12"/>
        <v>0</v>
      </c>
      <c r="W18" s="10">
        <f t="shared" si="13"/>
        <v>0</v>
      </c>
      <c r="X18" s="7">
        <f>'[12]Oct Prod'!D272</f>
        <v>85999.999999998516</v>
      </c>
      <c r="Y18" s="8">
        <f t="shared" si="14"/>
        <v>8.5999999999998522E-2</v>
      </c>
      <c r="Z18" s="10">
        <f t="shared" si="15"/>
        <v>0.26401999999999543</v>
      </c>
      <c r="AA18" s="15"/>
      <c r="AB18" s="7">
        <f t="shared" si="16"/>
        <v>14544000.000000002</v>
      </c>
      <c r="AC18" s="8">
        <f t="shared" si="16"/>
        <v>14.544000000000002</v>
      </c>
      <c r="AD18" s="8">
        <f t="shared" si="16"/>
        <v>44.650080000000003</v>
      </c>
      <c r="AF18" s="8">
        <f>T18-Q18-Z18</f>
        <v>0</v>
      </c>
    </row>
    <row r="19" spans="1:32" x14ac:dyDescent="0.2">
      <c r="A19" s="28">
        <v>38640</v>
      </c>
      <c r="B19" s="7">
        <f>'[12]Oct Prod'!I18</f>
        <v>5400000.0000014547</v>
      </c>
      <c r="C19" s="8">
        <f t="shared" si="1"/>
        <v>5.4000000000014543</v>
      </c>
      <c r="D19" s="10">
        <f t="shared" si="2"/>
        <v>16.578000000004465</v>
      </c>
      <c r="E19" s="7">
        <f>'[12]Oct Prod'!E18</f>
        <v>6000000</v>
      </c>
      <c r="F19" s="8">
        <f t="shared" si="3"/>
        <v>6</v>
      </c>
      <c r="G19" s="10">
        <f t="shared" si="4"/>
        <v>18.419999999999998</v>
      </c>
      <c r="H19" s="7">
        <f>'[12]Oct Prod'!F18</f>
        <v>0</v>
      </c>
      <c r="I19" s="9">
        <f t="shared" si="0"/>
        <v>0</v>
      </c>
      <c r="J19" s="10">
        <f t="shared" si="5"/>
        <v>0</v>
      </c>
      <c r="K19" s="7">
        <f>'[12]Oct Prod'!H273</f>
        <v>650109</v>
      </c>
      <c r="L19" s="8">
        <f t="shared" si="20"/>
        <v>0.65010900000000005</v>
      </c>
      <c r="M19" s="10">
        <f t="shared" si="21"/>
        <v>1.9958346300000001</v>
      </c>
      <c r="N19" s="21"/>
      <c r="O19" s="7">
        <f>'[12]Oct Prod'!H18</f>
        <v>10440000.000000006</v>
      </c>
      <c r="P19" s="8">
        <f t="shared" si="8"/>
        <v>10.440000000000005</v>
      </c>
      <c r="Q19" s="10">
        <f t="shared" si="9"/>
        <v>32.050800000000017</v>
      </c>
      <c r="R19" s="7">
        <f>'[12]Oct Prod'!C18</f>
        <v>10528000</v>
      </c>
      <c r="S19" s="8">
        <f t="shared" si="10"/>
        <v>10.528</v>
      </c>
      <c r="T19" s="10">
        <f t="shared" si="11"/>
        <v>32.320959999999999</v>
      </c>
      <c r="U19" s="7">
        <f>'[12]Oct Prod'!D18</f>
        <v>0</v>
      </c>
      <c r="V19" s="8">
        <f t="shared" si="12"/>
        <v>0</v>
      </c>
      <c r="W19" s="10">
        <f t="shared" si="13"/>
        <v>0</v>
      </c>
      <c r="X19" s="7">
        <f>'[12]Oct Prod'!D273</f>
        <v>87999.999999993859</v>
      </c>
      <c r="Y19" s="8">
        <f t="shared" si="14"/>
        <v>8.7999999999993861E-2</v>
      </c>
      <c r="Z19" s="10">
        <f t="shared" si="15"/>
        <v>0.27015999999998114</v>
      </c>
      <c r="AA19" s="15"/>
      <c r="AB19" s="7">
        <f t="shared" si="16"/>
        <v>15840000.00000146</v>
      </c>
      <c r="AC19" s="8">
        <f t="shared" si="16"/>
        <v>15.84000000000146</v>
      </c>
      <c r="AD19" s="8">
        <f>D19+Q19</f>
        <v>48.628800000004482</v>
      </c>
      <c r="AF19" s="8">
        <f>T19-Q19-Z19</f>
        <v>1.7208456881689926E-15</v>
      </c>
    </row>
    <row r="20" spans="1:32" x14ac:dyDescent="0.2">
      <c r="A20" s="28">
        <v>38641</v>
      </c>
      <c r="B20" s="7">
        <f>'[12]Oct Prod'!I19</f>
        <v>5500000</v>
      </c>
      <c r="C20" s="8">
        <f t="shared" si="1"/>
        <v>5.5</v>
      </c>
      <c r="D20" s="10">
        <f t="shared" si="2"/>
        <v>16.884999999999998</v>
      </c>
      <c r="E20" s="7">
        <f>'[12]Oct Prod'!E19</f>
        <v>3000000</v>
      </c>
      <c r="F20" s="8">
        <f t="shared" si="3"/>
        <v>3</v>
      </c>
      <c r="G20" s="10">
        <f t="shared" si="4"/>
        <v>9.2099999999999991</v>
      </c>
      <c r="H20" s="7">
        <f>'[12]Oct Prod'!F19</f>
        <v>1890150000000</v>
      </c>
      <c r="I20" s="9">
        <f t="shared" si="0"/>
        <v>18901.5</v>
      </c>
      <c r="J20" s="10">
        <f t="shared" si="5"/>
        <v>58027.604999999996</v>
      </c>
      <c r="K20" s="7">
        <f>'[12]Oct Prod'!H274</f>
        <v>515607</v>
      </c>
      <c r="L20" s="8">
        <f t="shared" si="20"/>
        <v>0.51560700000000004</v>
      </c>
      <c r="M20" s="10">
        <f t="shared" si="21"/>
        <v>1.5829134899999999</v>
      </c>
      <c r="N20" s="21"/>
      <c r="O20" s="7">
        <f>'[12]Oct Prod'!H19</f>
        <v>10725999.999999991</v>
      </c>
      <c r="P20" s="8">
        <f t="shared" si="8"/>
        <v>10.72599999999999</v>
      </c>
      <c r="Q20" s="10">
        <f t="shared" si="9"/>
        <v>32.928819999999966</v>
      </c>
      <c r="R20" s="7">
        <f>'[12]Oct Prod'!C19</f>
        <v>10835000</v>
      </c>
      <c r="S20" s="8">
        <f t="shared" si="10"/>
        <v>10.835000000000001</v>
      </c>
      <c r="T20" s="10">
        <f t="shared" si="11"/>
        <v>33.263449999999999</v>
      </c>
      <c r="U20" s="7">
        <f>'[12]Oct Prod'!D19</f>
        <v>0</v>
      </c>
      <c r="V20" s="8">
        <f t="shared" si="12"/>
        <v>0</v>
      </c>
      <c r="W20" s="10">
        <f t="shared" si="13"/>
        <v>0</v>
      </c>
      <c r="X20" s="7">
        <f>'[12]Oct Prod'!D274</f>
        <v>109000.00000000886</v>
      </c>
      <c r="Y20" s="8">
        <f t="shared" si="14"/>
        <v>0.10900000000000887</v>
      </c>
      <c r="Z20" s="10">
        <f t="shared" si="15"/>
        <v>0.33463000000002718</v>
      </c>
      <c r="AA20" s="15"/>
      <c r="AB20" s="7">
        <f t="shared" si="16"/>
        <v>16225999.999999991</v>
      </c>
      <c r="AC20" s="8">
        <f t="shared" si="16"/>
        <v>16.225999999999992</v>
      </c>
      <c r="AD20" s="8">
        <f t="shared" si="16"/>
        <v>49.813819999999964</v>
      </c>
      <c r="AF20" s="8">
        <f t="shared" ref="AF20:AF35" si="22">T20-Q20-Z20</f>
        <v>5.440092820663267E-15</v>
      </c>
    </row>
    <row r="21" spans="1:32" x14ac:dyDescent="0.2">
      <c r="A21" s="28">
        <v>38642</v>
      </c>
      <c r="B21" s="7">
        <f>'[12]Oct Prod'!I20</f>
        <v>3000000</v>
      </c>
      <c r="C21" s="8">
        <f t="shared" si="1"/>
        <v>3</v>
      </c>
      <c r="D21" s="10">
        <f t="shared" si="2"/>
        <v>9.2099999999999991</v>
      </c>
      <c r="E21" s="7">
        <f>'[12]Oct Prod'!E20</f>
        <v>0</v>
      </c>
      <c r="F21" s="8">
        <f t="shared" si="3"/>
        <v>0</v>
      </c>
      <c r="G21" s="10">
        <f t="shared" si="4"/>
        <v>0</v>
      </c>
      <c r="H21" s="7">
        <f>'[12]Oct Prod'!F20</f>
        <v>-1890000000000</v>
      </c>
      <c r="I21" s="9">
        <f t="shared" si="0"/>
        <v>-18900</v>
      </c>
      <c r="J21" s="10">
        <f t="shared" si="5"/>
        <v>-58023</v>
      </c>
      <c r="K21" s="7">
        <f>'[12]Oct Prod'!H275</f>
        <v>153199</v>
      </c>
      <c r="L21" s="8">
        <f t="shared" si="6"/>
        <v>0.153199</v>
      </c>
      <c r="M21" s="10">
        <f t="shared" si="7"/>
        <v>0.47032092999999997</v>
      </c>
      <c r="N21" s="21"/>
      <c r="O21" s="7">
        <f>'[12]Oct Prod'!H20</f>
        <v>13619000.000000009</v>
      </c>
      <c r="P21" s="8">
        <f t="shared" si="8"/>
        <v>13.619000000000009</v>
      </c>
      <c r="Q21" s="10">
        <f t="shared" si="9"/>
        <v>41.810330000000022</v>
      </c>
      <c r="R21" s="7">
        <f>'[12]Oct Prod'!C20</f>
        <v>13742000</v>
      </c>
      <c r="S21" s="8">
        <f t="shared" si="10"/>
        <v>13.742000000000001</v>
      </c>
      <c r="T21" s="10">
        <f t="shared" si="11"/>
        <v>42.187939999999998</v>
      </c>
      <c r="U21" s="7">
        <f>'[12]Oct Prod'!D20</f>
        <v>0</v>
      </c>
      <c r="V21" s="8">
        <f t="shared" si="12"/>
        <v>0</v>
      </c>
      <c r="W21" s="10">
        <f t="shared" si="13"/>
        <v>0</v>
      </c>
      <c r="X21" s="7">
        <f>'[12]Oct Prod'!D275</f>
        <v>122999.99999999045</v>
      </c>
      <c r="Y21" s="8">
        <f t="shared" si="14"/>
        <v>0.12299999999999045</v>
      </c>
      <c r="Z21" s="10">
        <f t="shared" si="15"/>
        <v>0.37760999999997064</v>
      </c>
      <c r="AA21" s="15"/>
      <c r="AB21" s="7">
        <f t="shared" si="16"/>
        <v>16619000.000000009</v>
      </c>
      <c r="AC21" s="8">
        <f t="shared" si="16"/>
        <v>16.619000000000007</v>
      </c>
      <c r="AD21" s="8">
        <f t="shared" si="16"/>
        <v>51.020330000000023</v>
      </c>
      <c r="AF21" s="8">
        <f t="shared" si="22"/>
        <v>5.1625370645069779E-15</v>
      </c>
    </row>
    <row r="22" spans="1:32" x14ac:dyDescent="0.2">
      <c r="A22" s="28">
        <v>38643</v>
      </c>
      <c r="B22" s="7">
        <f>'[12]Oct Prod'!I21</f>
        <v>2799999.9999992726</v>
      </c>
      <c r="C22" s="8">
        <f t="shared" si="1"/>
        <v>2.7999999999992728</v>
      </c>
      <c r="D22" s="10">
        <f t="shared" si="2"/>
        <v>8.5959999999977672</v>
      </c>
      <c r="E22" s="7">
        <f>'[12]Oct Prod'!E21</f>
        <v>0</v>
      </c>
      <c r="F22" s="8">
        <f t="shared" si="3"/>
        <v>0</v>
      </c>
      <c r="G22" s="10">
        <f t="shared" si="4"/>
        <v>0</v>
      </c>
      <c r="H22" s="7">
        <f>'[12]Oct Prod'!F21</f>
        <v>0</v>
      </c>
      <c r="I22" s="9">
        <f t="shared" si="0"/>
        <v>0</v>
      </c>
      <c r="J22" s="10">
        <f t="shared" si="5"/>
        <v>0</v>
      </c>
      <c r="K22" s="7">
        <f>'[12]Oct Prod'!H276</f>
        <v>0</v>
      </c>
      <c r="L22" s="8">
        <f t="shared" si="6"/>
        <v>0</v>
      </c>
      <c r="M22" s="10">
        <f t="shared" si="7"/>
        <v>0</v>
      </c>
      <c r="N22" s="21"/>
      <c r="O22" s="7">
        <f>'[12]Oct Prod'!H21</f>
        <v>14085999.999999989</v>
      </c>
      <c r="P22" s="8">
        <f t="shared" si="8"/>
        <v>14.08599999999999</v>
      </c>
      <c r="Q22" s="10">
        <f t="shared" si="9"/>
        <v>43.244019999999963</v>
      </c>
      <c r="R22" s="7">
        <f>'[12]Oct Prod'!C21</f>
        <v>14261000</v>
      </c>
      <c r="S22" s="8">
        <f t="shared" si="10"/>
        <v>14.260999999999999</v>
      </c>
      <c r="T22" s="10">
        <f t="shared" si="11"/>
        <v>43.781269999999992</v>
      </c>
      <c r="U22" s="7">
        <f>'[12]Oct Prod'!D21</f>
        <v>0</v>
      </c>
      <c r="V22" s="8">
        <f t="shared" si="12"/>
        <v>0</v>
      </c>
      <c r="W22" s="10">
        <f t="shared" si="13"/>
        <v>0</v>
      </c>
      <c r="X22" s="7">
        <f>'[12]Oct Prod'!D276</f>
        <v>175000.00000001138</v>
      </c>
      <c r="Y22" s="8">
        <f t="shared" si="14"/>
        <v>0.17500000000001137</v>
      </c>
      <c r="Z22" s="10">
        <f t="shared" si="15"/>
        <v>0.53725000000003487</v>
      </c>
      <c r="AA22" s="15"/>
      <c r="AB22" s="7">
        <f t="shared" si="16"/>
        <v>16885999.999999262</v>
      </c>
      <c r="AC22" s="8">
        <f t="shared" si="16"/>
        <v>16.885999999999264</v>
      </c>
      <c r="AD22" s="8">
        <f t="shared" si="16"/>
        <v>51.840019999997729</v>
      </c>
      <c r="AF22" s="8">
        <f t="shared" si="22"/>
        <v>-6.2172489379008766E-15</v>
      </c>
    </row>
    <row r="23" spans="1:32" x14ac:dyDescent="0.2">
      <c r="A23" s="28">
        <v>38644</v>
      </c>
      <c r="B23" s="7">
        <f>'[12]Oct Prod'!I22</f>
        <v>1399999.9999978172</v>
      </c>
      <c r="C23" s="8">
        <f t="shared" si="1"/>
        <v>1.3999999999978172</v>
      </c>
      <c r="D23" s="10">
        <f t="shared" si="2"/>
        <v>4.2979999999932987</v>
      </c>
      <c r="E23" s="7">
        <f>'[12]Oct Prod'!E22</f>
        <v>0</v>
      </c>
      <c r="F23" s="8">
        <f t="shared" si="3"/>
        <v>0</v>
      </c>
      <c r="G23" s="10">
        <f t="shared" si="4"/>
        <v>0</v>
      </c>
      <c r="H23" s="7">
        <f>'[12]Oct Prod'!F22</f>
        <v>0</v>
      </c>
      <c r="I23" s="9">
        <f t="shared" si="0"/>
        <v>0</v>
      </c>
      <c r="J23" s="10">
        <f t="shared" si="5"/>
        <v>0</v>
      </c>
      <c r="K23" s="7">
        <f>'[12]Oct Prod'!H277</f>
        <v>79694</v>
      </c>
      <c r="L23" s="8">
        <f t="shared" si="6"/>
        <v>7.9694000000000001E-2</v>
      </c>
      <c r="M23" s="10">
        <f t="shared" si="7"/>
        <v>0.24466057999999999</v>
      </c>
      <c r="N23" s="21"/>
      <c r="O23" s="7">
        <f>'[12]Oct Prod'!H22</f>
        <v>13899000</v>
      </c>
      <c r="P23" s="8">
        <f t="shared" si="8"/>
        <v>13.898999999999999</v>
      </c>
      <c r="Q23" s="10">
        <f t="shared" si="9"/>
        <v>42.669929999999994</v>
      </c>
      <c r="R23" s="7">
        <f>'[12]Oct Prod'!C22</f>
        <v>14039000</v>
      </c>
      <c r="S23" s="8">
        <f t="shared" si="10"/>
        <v>14.039</v>
      </c>
      <c r="T23" s="10">
        <f t="shared" si="11"/>
        <v>43.099729999999994</v>
      </c>
      <c r="U23" s="7">
        <f>'[12]Oct Prod'!D22</f>
        <v>0</v>
      </c>
      <c r="V23" s="8">
        <f t="shared" si="12"/>
        <v>0</v>
      </c>
      <c r="W23" s="10">
        <f t="shared" si="13"/>
        <v>0</v>
      </c>
      <c r="X23" s="7">
        <f>'[12]Oct Prod'!D277</f>
        <v>140000.00000000058</v>
      </c>
      <c r="Y23" s="8">
        <f t="shared" si="14"/>
        <v>0.14000000000000057</v>
      </c>
      <c r="Z23" s="10">
        <f t="shared" si="15"/>
        <v>0.42980000000000174</v>
      </c>
      <c r="AA23" s="15"/>
      <c r="AB23" s="7">
        <f t="shared" si="16"/>
        <v>15298999.999997817</v>
      </c>
      <c r="AC23" s="8">
        <f t="shared" si="16"/>
        <v>15.298999999997816</v>
      </c>
      <c r="AD23" s="8">
        <f t="shared" si="16"/>
        <v>46.967929999993295</v>
      </c>
      <c r="AF23" s="8">
        <f t="shared" si="22"/>
        <v>-1.5543122344752192E-15</v>
      </c>
    </row>
    <row r="24" spans="1:32" x14ac:dyDescent="0.2">
      <c r="A24" s="28">
        <v>38645</v>
      </c>
      <c r="B24" s="7">
        <f>'[12]Oct Prod'!I23</f>
        <v>0</v>
      </c>
      <c r="C24" s="8">
        <f t="shared" si="1"/>
        <v>0</v>
      </c>
      <c r="D24" s="10">
        <f t="shared" si="2"/>
        <v>0</v>
      </c>
      <c r="E24" s="7">
        <f>'[12]Oct Prod'!E23</f>
        <v>0</v>
      </c>
      <c r="F24" s="8">
        <f t="shared" si="3"/>
        <v>0</v>
      </c>
      <c r="G24" s="10">
        <f t="shared" si="4"/>
        <v>0</v>
      </c>
      <c r="H24" s="7">
        <f>'[12]Oct Prod'!F23</f>
        <v>0</v>
      </c>
      <c r="I24" s="9">
        <f t="shared" ref="I24:I34" si="23">H24/100000000</f>
        <v>0</v>
      </c>
      <c r="J24" s="10">
        <f t="shared" si="5"/>
        <v>0</v>
      </c>
      <c r="K24" s="7">
        <f>'[12]Oct Prod'!H278</f>
        <v>0</v>
      </c>
      <c r="L24" s="8">
        <f t="shared" si="6"/>
        <v>0</v>
      </c>
      <c r="M24" s="10">
        <f t="shared" si="7"/>
        <v>0</v>
      </c>
      <c r="N24" s="21"/>
      <c r="O24" s="7">
        <f>'[12]Oct Prod'!H23</f>
        <v>14120000.000000004</v>
      </c>
      <c r="P24" s="8">
        <f t="shared" si="8"/>
        <v>14.120000000000005</v>
      </c>
      <c r="Q24" s="10">
        <f t="shared" si="9"/>
        <v>43.348400000000012</v>
      </c>
      <c r="R24" s="7">
        <f>'[12]Oct Prod'!C23</f>
        <v>14286000</v>
      </c>
      <c r="S24" s="8">
        <f t="shared" si="10"/>
        <v>14.286</v>
      </c>
      <c r="T24" s="10">
        <f t="shared" si="11"/>
        <v>43.858019999999996</v>
      </c>
      <c r="U24" s="7">
        <f>'[12]Oct Prod'!D23</f>
        <v>0</v>
      </c>
      <c r="V24" s="8">
        <f t="shared" si="12"/>
        <v>0</v>
      </c>
      <c r="W24" s="10">
        <f t="shared" si="13"/>
        <v>0</v>
      </c>
      <c r="X24" s="7">
        <f>'[12]Oct Prod'!D278</f>
        <v>165999.99999999683</v>
      </c>
      <c r="Y24" s="8">
        <f t="shared" si="14"/>
        <v>0.16599999999999682</v>
      </c>
      <c r="Z24" s="10">
        <f t="shared" si="15"/>
        <v>0.50961999999999019</v>
      </c>
      <c r="AA24" s="15"/>
      <c r="AB24" s="7">
        <f t="shared" si="16"/>
        <v>14120000.000000004</v>
      </c>
      <c r="AC24" s="8">
        <f t="shared" si="16"/>
        <v>14.120000000000005</v>
      </c>
      <c r="AD24" s="8">
        <f>D24+Q24</f>
        <v>43.348400000000012</v>
      </c>
      <c r="AF24" s="8">
        <f t="shared" si="22"/>
        <v>-6.2172489379008766E-15</v>
      </c>
    </row>
    <row r="25" spans="1:32" x14ac:dyDescent="0.2">
      <c r="A25" s="28">
        <v>38646</v>
      </c>
      <c r="B25" s="7">
        <f>'[12]Oct Prod'!I24</f>
        <v>0</v>
      </c>
      <c r="C25" s="8">
        <f t="shared" si="1"/>
        <v>0</v>
      </c>
      <c r="D25" s="10">
        <f t="shared" si="2"/>
        <v>0</v>
      </c>
      <c r="E25" s="7">
        <f>'[12]Oct Prod'!E24</f>
        <v>0</v>
      </c>
      <c r="F25" s="8">
        <f t="shared" si="3"/>
        <v>0</v>
      </c>
      <c r="G25" s="10">
        <f t="shared" si="4"/>
        <v>0</v>
      </c>
      <c r="H25" s="7">
        <f>'[12]Oct Prod'!F24</f>
        <v>173000000</v>
      </c>
      <c r="I25" s="9">
        <f t="shared" si="23"/>
        <v>1.73</v>
      </c>
      <c r="J25" s="10">
        <f t="shared" si="5"/>
        <v>5.3110999999999997</v>
      </c>
      <c r="K25" s="7">
        <f>'[12]Oct Prod'!H279</f>
        <v>0</v>
      </c>
      <c r="L25" s="8">
        <f t="shared" si="6"/>
        <v>0</v>
      </c>
      <c r="M25" s="10">
        <f t="shared" si="7"/>
        <v>0</v>
      </c>
      <c r="N25" s="21"/>
      <c r="O25" s="7">
        <f>'[12]Oct Prod'!H24</f>
        <v>14421000.000000009</v>
      </c>
      <c r="P25" s="8">
        <f t="shared" si="8"/>
        <v>14.42100000000001</v>
      </c>
      <c r="Q25" s="10">
        <f t="shared" si="9"/>
        <v>44.272470000000027</v>
      </c>
      <c r="R25" s="7">
        <f>'[12]Oct Prod'!C24</f>
        <v>14562000</v>
      </c>
      <c r="S25" s="8">
        <f t="shared" si="10"/>
        <v>14.561999999999999</v>
      </c>
      <c r="T25" s="10">
        <f t="shared" si="11"/>
        <v>44.705339999999993</v>
      </c>
      <c r="U25" s="7">
        <f>'[12]Oct Prod'!D24</f>
        <v>0</v>
      </c>
      <c r="V25" s="8">
        <f t="shared" si="12"/>
        <v>0</v>
      </c>
      <c r="W25" s="10">
        <f t="shared" si="13"/>
        <v>0</v>
      </c>
      <c r="X25" s="7">
        <f>'[12]Oct Prod'!D279</f>
        <v>140999.99999999112</v>
      </c>
      <c r="Y25" s="8">
        <f t="shared" si="14"/>
        <v>0.14099999999999113</v>
      </c>
      <c r="Z25" s="10">
        <f t="shared" si="15"/>
        <v>0.43286999999997278</v>
      </c>
      <c r="AA25" s="15"/>
      <c r="AB25" s="7">
        <f t="shared" si="16"/>
        <v>14421000.000000009</v>
      </c>
      <c r="AC25" s="8">
        <f t="shared" si="16"/>
        <v>14.42100000000001</v>
      </c>
      <c r="AD25" s="8">
        <f t="shared" si="16"/>
        <v>44.272470000000027</v>
      </c>
      <c r="AF25" s="8">
        <f t="shared" si="22"/>
        <v>-7.1054273576010019E-15</v>
      </c>
    </row>
    <row r="26" spans="1:32" x14ac:dyDescent="0.2">
      <c r="A26" s="28">
        <v>38647</v>
      </c>
      <c r="B26" s="7">
        <f>'[12]Oct Prod'!I25</f>
        <v>0</v>
      </c>
      <c r="C26" s="8">
        <f t="shared" si="1"/>
        <v>0</v>
      </c>
      <c r="D26" s="10">
        <f t="shared" si="2"/>
        <v>0</v>
      </c>
      <c r="E26" s="7">
        <f>'[12]Oct Prod'!E25</f>
        <v>0</v>
      </c>
      <c r="F26" s="8">
        <f t="shared" si="3"/>
        <v>0</v>
      </c>
      <c r="G26" s="10">
        <f t="shared" si="4"/>
        <v>0</v>
      </c>
      <c r="H26" s="7">
        <f>'[12]Oct Prod'!F25</f>
        <v>826000000</v>
      </c>
      <c r="I26" s="9">
        <f t="shared" si="23"/>
        <v>8.26</v>
      </c>
      <c r="J26" s="10">
        <f t="shared" si="5"/>
        <v>25.358199999999997</v>
      </c>
      <c r="K26" s="7">
        <f>'[12]Oct Prod'!H280</f>
        <v>0</v>
      </c>
      <c r="L26" s="8">
        <f t="shared" si="6"/>
        <v>0</v>
      </c>
      <c r="M26" s="10">
        <f t="shared" si="7"/>
        <v>0</v>
      </c>
      <c r="N26" s="21"/>
      <c r="O26" s="7">
        <f>'[12]Oct Prod'!H25</f>
        <v>16291999.999999989</v>
      </c>
      <c r="P26" s="8">
        <f t="shared" si="8"/>
        <v>16.291999999999987</v>
      </c>
      <c r="Q26" s="10">
        <f t="shared" si="9"/>
        <v>50.01643999999996</v>
      </c>
      <c r="R26" s="7">
        <f>'[12]Oct Prod'!C25</f>
        <v>16455000</v>
      </c>
      <c r="S26" s="8">
        <f t="shared" si="10"/>
        <v>16.454999999999998</v>
      </c>
      <c r="T26" s="10">
        <f t="shared" si="11"/>
        <v>50.516849999999991</v>
      </c>
      <c r="U26" s="7">
        <f>'[12]Oct Prod'!D25</f>
        <v>0</v>
      </c>
      <c r="V26" s="8">
        <f t="shared" si="12"/>
        <v>0</v>
      </c>
      <c r="W26" s="10">
        <f t="shared" si="13"/>
        <v>0</v>
      </c>
      <c r="X26" s="7">
        <f>'[12]Oct Prod'!D280</f>
        <v>163000.00000001091</v>
      </c>
      <c r="Y26" s="8">
        <f t="shared" si="14"/>
        <v>0.16300000000001091</v>
      </c>
      <c r="Z26" s="10">
        <f t="shared" si="15"/>
        <v>0.50041000000003344</v>
      </c>
      <c r="AA26" s="15"/>
      <c r="AB26" s="7">
        <f t="shared" si="16"/>
        <v>16291999.999999989</v>
      </c>
      <c r="AC26" s="8">
        <f t="shared" si="16"/>
        <v>16.291999999999987</v>
      </c>
      <c r="AD26" s="8">
        <f t="shared" si="16"/>
        <v>50.01643999999996</v>
      </c>
      <c r="AF26" s="8">
        <f t="shared" si="22"/>
        <v>-2.7755575615628914E-15</v>
      </c>
    </row>
    <row r="27" spans="1:32" x14ac:dyDescent="0.2">
      <c r="A27" s="28">
        <v>38648</v>
      </c>
      <c r="B27" s="7">
        <f>'[12]Oct Prod'!I26</f>
        <v>0</v>
      </c>
      <c r="C27" s="8">
        <f t="shared" si="1"/>
        <v>0</v>
      </c>
      <c r="D27" s="10">
        <f t="shared" si="2"/>
        <v>0</v>
      </c>
      <c r="E27" s="7">
        <f>'[12]Oct Prod'!E26</f>
        <v>0</v>
      </c>
      <c r="F27" s="8">
        <f t="shared" si="3"/>
        <v>0</v>
      </c>
      <c r="G27" s="10">
        <f t="shared" si="4"/>
        <v>0</v>
      </c>
      <c r="H27" s="7">
        <f>'[12]Oct Prod'!F26</f>
        <v>0</v>
      </c>
      <c r="I27" s="9">
        <f t="shared" si="23"/>
        <v>0</v>
      </c>
      <c r="J27" s="10">
        <f t="shared" si="5"/>
        <v>0</v>
      </c>
      <c r="K27" s="7">
        <f>'[12]Oct Prod'!H281</f>
        <v>0</v>
      </c>
      <c r="L27" s="8">
        <f t="shared" si="6"/>
        <v>0</v>
      </c>
      <c r="M27" s="10">
        <f t="shared" si="7"/>
        <v>0</v>
      </c>
      <c r="N27" s="21"/>
      <c r="O27" s="7">
        <f>'[12]Oct Prod'!H26</f>
        <v>15459000.000000009</v>
      </c>
      <c r="P27" s="8">
        <f t="shared" si="8"/>
        <v>15.459000000000009</v>
      </c>
      <c r="Q27" s="10">
        <f t="shared" si="9"/>
        <v>47.459130000000023</v>
      </c>
      <c r="R27" s="7">
        <f>'[12]Oct Prod'!C26</f>
        <v>15600000</v>
      </c>
      <c r="S27" s="8">
        <f t="shared" si="10"/>
        <v>15.6</v>
      </c>
      <c r="T27" s="10">
        <f t="shared" si="11"/>
        <v>47.891999999999996</v>
      </c>
      <c r="U27" s="7">
        <f>'[12]Oct Prod'!D26</f>
        <v>0</v>
      </c>
      <c r="V27" s="8">
        <f t="shared" si="12"/>
        <v>0</v>
      </c>
      <c r="W27" s="10">
        <f t="shared" si="13"/>
        <v>0</v>
      </c>
      <c r="X27" s="7">
        <f>'[12]Oct Prod'!D281</f>
        <v>140999.99999999112</v>
      </c>
      <c r="Y27" s="8">
        <f t="shared" si="14"/>
        <v>0.14099999999999113</v>
      </c>
      <c r="Z27" s="10">
        <f t="shared" si="15"/>
        <v>0.43286999999997278</v>
      </c>
      <c r="AA27" s="15"/>
      <c r="AB27" s="7">
        <f t="shared" si="16"/>
        <v>15459000.000000009</v>
      </c>
      <c r="AC27" s="8">
        <f t="shared" si="16"/>
        <v>15.459000000000009</v>
      </c>
      <c r="AD27" s="8">
        <f t="shared" si="16"/>
        <v>47.459130000000023</v>
      </c>
      <c r="AF27" s="8">
        <f t="shared" si="22"/>
        <v>0</v>
      </c>
    </row>
    <row r="28" spans="1:32" x14ac:dyDescent="0.2">
      <c r="A28" s="28">
        <v>38649</v>
      </c>
      <c r="B28" s="7">
        <f>'[12]Oct Prod'!I27</f>
        <v>800000.00000291038</v>
      </c>
      <c r="C28" s="8">
        <f t="shared" si="1"/>
        <v>0.80000000000291038</v>
      </c>
      <c r="D28" s="10">
        <f t="shared" si="2"/>
        <v>2.4560000000089346</v>
      </c>
      <c r="E28" s="7">
        <f>'[12]Oct Prod'!E27</f>
        <v>0</v>
      </c>
      <c r="F28" s="8">
        <f t="shared" si="3"/>
        <v>0</v>
      </c>
      <c r="G28" s="10">
        <f t="shared" si="4"/>
        <v>0</v>
      </c>
      <c r="H28" s="7">
        <f>'[12]Oct Prod'!F27</f>
        <v>2321000000</v>
      </c>
      <c r="I28" s="9">
        <f t="shared" si="23"/>
        <v>23.21</v>
      </c>
      <c r="J28" s="10">
        <f t="shared" si="5"/>
        <v>71.2547</v>
      </c>
      <c r="K28" s="44">
        <f>'[12]Oct Prod'!H282</f>
        <v>-42360433</v>
      </c>
      <c r="L28" s="45">
        <v>0.42359999999999998</v>
      </c>
      <c r="M28" s="46">
        <f t="shared" si="7"/>
        <v>1.3004519999999999</v>
      </c>
      <c r="N28" s="21"/>
      <c r="O28" s="7">
        <f>'[12]Oct Prod'!H27</f>
        <v>12038999.999999989</v>
      </c>
      <c r="P28" s="8">
        <f t="shared" si="8"/>
        <v>12.038999999999989</v>
      </c>
      <c r="Q28" s="10">
        <f t="shared" si="9"/>
        <v>36.959729999999965</v>
      </c>
      <c r="R28" s="7">
        <f>'[12]Oct Prod'!C27</f>
        <v>12178000</v>
      </c>
      <c r="S28" s="8">
        <f t="shared" si="10"/>
        <v>12.178000000000001</v>
      </c>
      <c r="T28" s="10">
        <f t="shared" si="11"/>
        <v>37.38646</v>
      </c>
      <c r="U28" s="7">
        <f>'[12]Oct Prod'!D27</f>
        <v>0</v>
      </c>
      <c r="V28" s="8">
        <f t="shared" si="12"/>
        <v>0</v>
      </c>
      <c r="W28" s="10">
        <f t="shared" si="13"/>
        <v>0</v>
      </c>
      <c r="X28" s="7">
        <f>'[12]Oct Prod'!D282</f>
        <v>139000.00000001001</v>
      </c>
      <c r="Y28" s="8">
        <f t="shared" si="14"/>
        <v>0.13900000000001</v>
      </c>
      <c r="Z28" s="10">
        <f t="shared" si="15"/>
        <v>0.4267300000000307</v>
      </c>
      <c r="AA28" s="15"/>
      <c r="AB28" s="7">
        <f t="shared" si="16"/>
        <v>12839000.000002898</v>
      </c>
      <c r="AC28" s="8">
        <f t="shared" si="16"/>
        <v>12.839000000002899</v>
      </c>
      <c r="AD28" s="8">
        <f t="shared" si="16"/>
        <v>39.415730000008899</v>
      </c>
      <c r="AF28" s="8">
        <f t="shared" si="22"/>
        <v>3.9968028886505635E-15</v>
      </c>
    </row>
    <row r="29" spans="1:32" x14ac:dyDescent="0.2">
      <c r="A29" s="28">
        <v>38650</v>
      </c>
      <c r="B29" s="7">
        <f>'[12]Oct Prod'!I28</f>
        <v>0</v>
      </c>
      <c r="C29" s="8">
        <f t="shared" si="1"/>
        <v>0</v>
      </c>
      <c r="D29" s="10">
        <f t="shared" si="2"/>
        <v>0</v>
      </c>
      <c r="E29" s="7">
        <f>'[12]Oct Prod'!E28</f>
        <v>0</v>
      </c>
      <c r="F29" s="8">
        <f t="shared" si="3"/>
        <v>0</v>
      </c>
      <c r="G29" s="10">
        <f t="shared" si="4"/>
        <v>0</v>
      </c>
      <c r="H29" s="7">
        <f>'[12]Oct Prod'!F28</f>
        <v>845000000</v>
      </c>
      <c r="I29" s="9">
        <f t="shared" si="23"/>
        <v>8.4499999999999993</v>
      </c>
      <c r="J29" s="10">
        <f t="shared" si="5"/>
        <v>25.941499999999998</v>
      </c>
      <c r="K29" s="7">
        <f>'[12]Oct Prod'!H283</f>
        <v>0</v>
      </c>
      <c r="L29" s="8">
        <f t="shared" si="6"/>
        <v>0</v>
      </c>
      <c r="M29" s="10">
        <f t="shared" si="7"/>
        <v>0</v>
      </c>
      <c r="N29" s="21"/>
      <c r="O29" s="7">
        <f>'[12]Oct Prod'!H28</f>
        <v>10975000.000000009</v>
      </c>
      <c r="P29" s="8">
        <f t="shared" si="8"/>
        <v>10.975000000000009</v>
      </c>
      <c r="Q29" s="10">
        <f t="shared" si="9"/>
        <v>33.693250000000027</v>
      </c>
      <c r="R29" s="7">
        <f>'[12]Oct Prod'!C28</f>
        <v>11113000</v>
      </c>
      <c r="S29" s="8">
        <f t="shared" si="10"/>
        <v>11.113</v>
      </c>
      <c r="T29" s="10">
        <f t="shared" si="11"/>
        <v>34.116909999999997</v>
      </c>
      <c r="U29" s="7">
        <f>'[12]Oct Prod'!D28</f>
        <v>0</v>
      </c>
      <c r="V29" s="8">
        <f t="shared" si="12"/>
        <v>0</v>
      </c>
      <c r="W29" s="10">
        <f t="shared" si="13"/>
        <v>0</v>
      </c>
      <c r="X29" s="7">
        <f>'[12]Oct Prod'!D283</f>
        <v>137999.99999999101</v>
      </c>
      <c r="Y29" s="8">
        <f t="shared" si="14"/>
        <v>0.13799999999999102</v>
      </c>
      <c r="Z29" s="10">
        <f t="shared" si="15"/>
        <v>0.42365999999997239</v>
      </c>
      <c r="AA29" s="15"/>
      <c r="AB29" s="7">
        <f t="shared" si="16"/>
        <v>10975000.000000009</v>
      </c>
      <c r="AC29" s="8">
        <f t="shared" si="16"/>
        <v>10.975000000000009</v>
      </c>
      <c r="AD29" s="8">
        <f t="shared" si="16"/>
        <v>33.693250000000027</v>
      </c>
      <c r="AF29" s="8">
        <f t="shared" si="22"/>
        <v>-2.6645352591003757E-15</v>
      </c>
    </row>
    <row r="30" spans="1:32" x14ac:dyDescent="0.2">
      <c r="A30" s="28">
        <v>38651</v>
      </c>
      <c r="B30" s="7">
        <f>'[12]Oct Prod'!I29</f>
        <v>0</v>
      </c>
      <c r="C30" s="8">
        <f t="shared" si="1"/>
        <v>0</v>
      </c>
      <c r="D30" s="10">
        <f t="shared" si="2"/>
        <v>0</v>
      </c>
      <c r="E30" s="7">
        <f>'[12]Oct Prod'!E29</f>
        <v>0</v>
      </c>
      <c r="F30" s="8">
        <f t="shared" si="3"/>
        <v>0</v>
      </c>
      <c r="G30" s="10">
        <f t="shared" si="4"/>
        <v>0</v>
      </c>
      <c r="H30" s="7">
        <f>'[12]Oct Prod'!F29</f>
        <v>1185000000</v>
      </c>
      <c r="I30" s="9">
        <f t="shared" si="23"/>
        <v>11.85</v>
      </c>
      <c r="J30" s="10">
        <f t="shared" si="5"/>
        <v>36.3795</v>
      </c>
      <c r="K30" s="7">
        <f>'[12]Oct Prod'!H284</f>
        <v>0</v>
      </c>
      <c r="L30" s="8">
        <f t="shared" si="6"/>
        <v>0</v>
      </c>
      <c r="M30" s="10">
        <f t="shared" si="7"/>
        <v>0</v>
      </c>
      <c r="N30" s="21"/>
      <c r="O30" s="7">
        <f>'[12]Oct Prod'!H29</f>
        <v>11799000</v>
      </c>
      <c r="P30" s="8">
        <f t="shared" si="8"/>
        <v>11.798999999999999</v>
      </c>
      <c r="Q30" s="10">
        <f t="shared" si="9"/>
        <v>36.222929999999998</v>
      </c>
      <c r="R30" s="7">
        <f>'[12]Oct Prod'!C29</f>
        <v>11939000</v>
      </c>
      <c r="S30" s="8">
        <f t="shared" si="10"/>
        <v>11.939</v>
      </c>
      <c r="T30" s="10">
        <f t="shared" si="11"/>
        <v>36.652729999999998</v>
      </c>
      <c r="U30" s="7">
        <f>'[12]Oct Prod'!D29</f>
        <v>0</v>
      </c>
      <c r="V30" s="8">
        <f t="shared" si="12"/>
        <v>0</v>
      </c>
      <c r="W30" s="10">
        <f t="shared" si="13"/>
        <v>0</v>
      </c>
      <c r="X30" s="7">
        <f>'[12]Oct Prod'!D284</f>
        <v>140000.00000000058</v>
      </c>
      <c r="Y30" s="8">
        <f t="shared" si="14"/>
        <v>0.14000000000000057</v>
      </c>
      <c r="Z30" s="10">
        <f t="shared" si="15"/>
        <v>0.42980000000000174</v>
      </c>
      <c r="AA30" s="15"/>
      <c r="AB30" s="7">
        <f t="shared" si="16"/>
        <v>11799000</v>
      </c>
      <c r="AC30" s="8">
        <f t="shared" si="16"/>
        <v>11.798999999999999</v>
      </c>
      <c r="AD30" s="8">
        <f>D30+Q30</f>
        <v>36.222929999999998</v>
      </c>
      <c r="AF30" s="8">
        <f t="shared" si="22"/>
        <v>-1.5543122344752192E-15</v>
      </c>
    </row>
    <row r="31" spans="1:32" x14ac:dyDescent="0.2">
      <c r="A31" s="28">
        <v>38652</v>
      </c>
      <c r="B31" s="7">
        <f>'[12]Oct Prod'!I30</f>
        <v>0</v>
      </c>
      <c r="C31" s="8">
        <f t="shared" si="1"/>
        <v>0</v>
      </c>
      <c r="D31" s="10">
        <f t="shared" si="2"/>
        <v>0</v>
      </c>
      <c r="E31" s="7">
        <f>'[12]Oct Prod'!E30</f>
        <v>0</v>
      </c>
      <c r="F31" s="8">
        <f t="shared" si="3"/>
        <v>0</v>
      </c>
      <c r="G31" s="10">
        <f t="shared" si="4"/>
        <v>0</v>
      </c>
      <c r="H31" s="7">
        <f>'[12]Oct Prod'!F30</f>
        <v>1147000000</v>
      </c>
      <c r="I31" s="9">
        <f t="shared" si="23"/>
        <v>11.47</v>
      </c>
      <c r="J31" s="10">
        <f t="shared" si="5"/>
        <v>35.212899999999998</v>
      </c>
      <c r="K31" s="7">
        <f>'[12]Oct Prod'!H285</f>
        <v>0</v>
      </c>
      <c r="L31" s="8">
        <f t="shared" si="6"/>
        <v>0</v>
      </c>
      <c r="M31" s="10">
        <f t="shared" si="7"/>
        <v>0</v>
      </c>
      <c r="N31" s="21"/>
      <c r="O31" s="7">
        <f>'[12]Oct Prod'!H30</f>
        <v>12793999.999999993</v>
      </c>
      <c r="P31" s="8">
        <f t="shared" si="8"/>
        <v>12.793999999999993</v>
      </c>
      <c r="Q31" s="10">
        <f t="shared" si="9"/>
        <v>39.277579999999979</v>
      </c>
      <c r="R31" s="7">
        <f>'[12]Oct Prod'!C30</f>
        <v>12965000</v>
      </c>
      <c r="S31" s="8">
        <f t="shared" si="10"/>
        <v>12.965</v>
      </c>
      <c r="T31" s="10">
        <f t="shared" si="11"/>
        <v>39.802549999999997</v>
      </c>
      <c r="U31" s="7">
        <f>'[12]Oct Prod'!D30</f>
        <v>0</v>
      </c>
      <c r="V31" s="8">
        <f t="shared" si="12"/>
        <v>0</v>
      </c>
      <c r="W31" s="10">
        <f t="shared" si="13"/>
        <v>0</v>
      </c>
      <c r="X31" s="7">
        <f>'[12]Oct Prod'!D285</f>
        <v>171000.00000000649</v>
      </c>
      <c r="Y31" s="8">
        <f t="shared" si="14"/>
        <v>0.17100000000000648</v>
      </c>
      <c r="Z31" s="10">
        <f t="shared" si="15"/>
        <v>0.52497000000001992</v>
      </c>
      <c r="AA31" s="15"/>
      <c r="AB31" s="7">
        <f t="shared" si="16"/>
        <v>12793999.999999993</v>
      </c>
      <c r="AC31" s="8">
        <f t="shared" si="16"/>
        <v>12.793999999999993</v>
      </c>
      <c r="AD31" s="8">
        <f t="shared" si="16"/>
        <v>39.277579999999979</v>
      </c>
      <c r="AF31" s="8">
        <f>T31-Q31-Z31</f>
        <v>-2.4424906541753444E-15</v>
      </c>
    </row>
    <row r="32" spans="1:32" x14ac:dyDescent="0.2">
      <c r="A32" s="28">
        <v>38653</v>
      </c>
      <c r="B32" s="7">
        <f>'[12]Oct Prod'!I31</f>
        <v>0</v>
      </c>
      <c r="C32" s="8">
        <f t="shared" si="1"/>
        <v>0</v>
      </c>
      <c r="D32" s="10">
        <f t="shared" si="2"/>
        <v>0</v>
      </c>
      <c r="E32" s="7">
        <f>'[12]Oct Prod'!E31</f>
        <v>0</v>
      </c>
      <c r="F32" s="8">
        <f t="shared" si="3"/>
        <v>0</v>
      </c>
      <c r="G32" s="10">
        <f t="shared" si="4"/>
        <v>0</v>
      </c>
      <c r="H32" s="7">
        <f>'[12]Oct Prod'!F31</f>
        <v>1147000000</v>
      </c>
      <c r="I32" s="9">
        <f t="shared" si="23"/>
        <v>11.47</v>
      </c>
      <c r="J32" s="10">
        <f t="shared" si="5"/>
        <v>35.212899999999998</v>
      </c>
      <c r="K32" s="7">
        <f>'[12]Oct Prod'!H286</f>
        <v>0</v>
      </c>
      <c r="L32" s="8">
        <f t="shared" si="6"/>
        <v>0</v>
      </c>
      <c r="M32" s="10">
        <f t="shared" si="7"/>
        <v>0</v>
      </c>
      <c r="N32" s="21"/>
      <c r="O32" s="7">
        <f>'[12]Oct Prod'!H31</f>
        <v>14054000.000000004</v>
      </c>
      <c r="P32" s="8">
        <f t="shared" si="8"/>
        <v>14.054000000000004</v>
      </c>
      <c r="Q32" s="10">
        <f t="shared" si="9"/>
        <v>43.145780000000009</v>
      </c>
      <c r="R32" s="7">
        <f>'[12]Oct Prod'!C31</f>
        <v>14226000</v>
      </c>
      <c r="S32" s="8">
        <f t="shared" si="10"/>
        <v>14.226000000000001</v>
      </c>
      <c r="T32" s="10">
        <f t="shared" si="11"/>
        <v>43.673819999999999</v>
      </c>
      <c r="U32" s="7">
        <f>'[12]Oct Prod'!D31</f>
        <v>0</v>
      </c>
      <c r="V32" s="8">
        <f t="shared" si="12"/>
        <v>0</v>
      </c>
      <c r="W32" s="10">
        <f t="shared" si="13"/>
        <v>0</v>
      </c>
      <c r="X32" s="7">
        <f>'[12]Oct Prod'!D286</f>
        <v>171999.99999999703</v>
      </c>
      <c r="Y32" s="8">
        <f t="shared" si="14"/>
        <v>0.17199999999999704</v>
      </c>
      <c r="Z32" s="10">
        <f t="shared" si="15"/>
        <v>0.52803999999999085</v>
      </c>
      <c r="AA32" s="15"/>
      <c r="AB32" s="7">
        <f t="shared" si="16"/>
        <v>14054000.000000004</v>
      </c>
      <c r="AC32" s="8">
        <f t="shared" si="16"/>
        <v>14.054000000000004</v>
      </c>
      <c r="AD32" s="8">
        <f t="shared" si="16"/>
        <v>43.145780000000009</v>
      </c>
      <c r="AF32" s="8">
        <f t="shared" si="22"/>
        <v>0</v>
      </c>
    </row>
    <row r="33" spans="1:32" x14ac:dyDescent="0.2">
      <c r="A33" s="28">
        <v>38654</v>
      </c>
      <c r="B33" s="7">
        <f>'[12]Oct Prod'!I32</f>
        <v>0</v>
      </c>
      <c r="C33" s="8">
        <f t="shared" si="1"/>
        <v>0</v>
      </c>
      <c r="D33" s="10">
        <f t="shared" si="2"/>
        <v>0</v>
      </c>
      <c r="E33" s="7">
        <f>'[12]Oct Prod'!E32</f>
        <v>0</v>
      </c>
      <c r="F33" s="8">
        <f t="shared" si="3"/>
        <v>0</v>
      </c>
      <c r="G33" s="10">
        <f t="shared" si="4"/>
        <v>0</v>
      </c>
      <c r="H33" s="7">
        <f>'[12]Oct Prod'!F32</f>
        <v>600000000</v>
      </c>
      <c r="I33" s="9">
        <f t="shared" si="23"/>
        <v>6</v>
      </c>
      <c r="J33" s="10">
        <f t="shared" si="5"/>
        <v>18.419999999999998</v>
      </c>
      <c r="K33" s="7">
        <f>'[12]Oct Prod'!H287</f>
        <v>0</v>
      </c>
      <c r="L33" s="8">
        <f t="shared" si="6"/>
        <v>0</v>
      </c>
      <c r="M33" s="10">
        <f t="shared" si="7"/>
        <v>0</v>
      </c>
      <c r="N33" s="21"/>
      <c r="O33" s="7">
        <f>'[12]Oct Prod'!H32</f>
        <v>13404000.000000004</v>
      </c>
      <c r="P33" s="8">
        <f t="shared" si="8"/>
        <v>13.404000000000003</v>
      </c>
      <c r="Q33" s="10">
        <f t="shared" si="9"/>
        <v>41.150280000000009</v>
      </c>
      <c r="R33" s="7">
        <f>'[12]Oct Prod'!C32</f>
        <v>13546000</v>
      </c>
      <c r="S33" s="8">
        <f t="shared" si="10"/>
        <v>13.545999999999999</v>
      </c>
      <c r="T33" s="10">
        <f t="shared" si="11"/>
        <v>41.586219999999997</v>
      </c>
      <c r="U33" s="7">
        <f>'[12]Oct Prod'!D32</f>
        <v>0</v>
      </c>
      <c r="V33" s="8">
        <f t="shared" si="12"/>
        <v>0</v>
      </c>
      <c r="W33" s="10">
        <f t="shared" si="13"/>
        <v>0</v>
      </c>
      <c r="X33" s="7">
        <f>'[12]Oct Prod'!D287</f>
        <v>141999.9999999959</v>
      </c>
      <c r="Y33" s="8">
        <f t="shared" si="14"/>
        <v>0.14199999999999591</v>
      </c>
      <c r="Z33" s="10">
        <f t="shared" si="15"/>
        <v>0.43593999999998739</v>
      </c>
      <c r="AA33" s="15"/>
      <c r="AB33" s="7">
        <f t="shared" si="16"/>
        <v>13404000.000000004</v>
      </c>
      <c r="AC33" s="8">
        <f t="shared" si="16"/>
        <v>13.404000000000003</v>
      </c>
      <c r="AD33" s="8">
        <f t="shared" si="16"/>
        <v>41.150280000000009</v>
      </c>
      <c r="AF33" s="8">
        <f t="shared" si="22"/>
        <v>6.106226635438361E-16</v>
      </c>
    </row>
    <row r="34" spans="1:32" x14ac:dyDescent="0.2">
      <c r="A34" s="28">
        <v>38655</v>
      </c>
      <c r="B34" s="7">
        <f>'[12]Oct Prod'!I33</f>
        <v>0</v>
      </c>
      <c r="C34" s="8">
        <f t="shared" si="1"/>
        <v>0</v>
      </c>
      <c r="D34" s="10">
        <f t="shared" si="2"/>
        <v>0</v>
      </c>
      <c r="E34" s="7">
        <f>'[12]Oct Prod'!E33</f>
        <v>0</v>
      </c>
      <c r="F34" s="8">
        <f t="shared" si="3"/>
        <v>0</v>
      </c>
      <c r="G34" s="10">
        <f t="shared" si="4"/>
        <v>0</v>
      </c>
      <c r="H34" s="7">
        <f>'[12]Oct Prod'!F33</f>
        <v>0</v>
      </c>
      <c r="I34" s="9">
        <f t="shared" si="23"/>
        <v>0</v>
      </c>
      <c r="J34" s="10">
        <f t="shared" si="5"/>
        <v>0</v>
      </c>
      <c r="K34" s="7">
        <f>'[12]Oct Prod'!H288</f>
        <v>168482</v>
      </c>
      <c r="L34" s="8">
        <f t="shared" si="6"/>
        <v>0.16848199999999999</v>
      </c>
      <c r="M34" s="10">
        <f t="shared" si="7"/>
        <v>0.51723973999999995</v>
      </c>
      <c r="N34" s="21"/>
      <c r="O34" s="7">
        <f>'[12]Oct Prod'!H33</f>
        <v>12825000.000000004</v>
      </c>
      <c r="P34" s="8">
        <f t="shared" si="8"/>
        <v>12.825000000000003</v>
      </c>
      <c r="Q34" s="10">
        <f t="shared" si="9"/>
        <v>39.372750000000003</v>
      </c>
      <c r="R34" s="7">
        <f>'[12]Oct Prod'!C33</f>
        <v>12997000</v>
      </c>
      <c r="S34" s="8">
        <f t="shared" si="10"/>
        <v>12.997</v>
      </c>
      <c r="T34" s="10">
        <f t="shared" si="11"/>
        <v>39.900790000000001</v>
      </c>
      <c r="U34" s="7">
        <f>'[12]Oct Prod'!D33</f>
        <v>0</v>
      </c>
      <c r="V34" s="8">
        <f t="shared" si="12"/>
        <v>0</v>
      </c>
      <c r="W34" s="10">
        <f t="shared" si="13"/>
        <v>0</v>
      </c>
      <c r="X34" s="7">
        <f>'[12]Oct Prod'!D288</f>
        <v>171999.99999999703</v>
      </c>
      <c r="Y34" s="8">
        <f t="shared" si="14"/>
        <v>0.17199999999999704</v>
      </c>
      <c r="Z34" s="10">
        <f t="shared" si="15"/>
        <v>0.52803999999999085</v>
      </c>
      <c r="AA34" s="15"/>
      <c r="AB34" s="7">
        <f t="shared" si="16"/>
        <v>12825000.000000004</v>
      </c>
      <c r="AC34" s="8">
        <f t="shared" si="16"/>
        <v>12.825000000000003</v>
      </c>
      <c r="AD34" s="8">
        <f t="shared" si="16"/>
        <v>39.372750000000003</v>
      </c>
      <c r="AF34" s="8">
        <f t="shared" si="22"/>
        <v>6.3282712403633923E-15</v>
      </c>
    </row>
    <row r="35" spans="1:32" ht="13.5" thickBot="1" x14ac:dyDescent="0.25">
      <c r="A35" s="28">
        <v>38656</v>
      </c>
      <c r="B35" s="30">
        <f>'[12]Oct Prod'!I34</f>
        <v>0</v>
      </c>
      <c r="C35" s="9">
        <f t="shared" si="1"/>
        <v>0</v>
      </c>
      <c r="D35" s="11">
        <f t="shared" si="2"/>
        <v>0</v>
      </c>
      <c r="E35" s="30">
        <f>'[12]Oct Prod'!E34</f>
        <v>0</v>
      </c>
      <c r="F35" s="9">
        <f t="shared" si="3"/>
        <v>0</v>
      </c>
      <c r="G35" s="11">
        <f t="shared" si="4"/>
        <v>0</v>
      </c>
      <c r="H35" s="30">
        <f>'[12]Oct Prod'!F34</f>
        <v>0</v>
      </c>
      <c r="I35" s="9">
        <f>H35/100000000</f>
        <v>0</v>
      </c>
      <c r="J35" s="11">
        <f t="shared" si="5"/>
        <v>0</v>
      </c>
      <c r="K35" s="7">
        <f>'[12]Oct Prod'!H289</f>
        <v>155520</v>
      </c>
      <c r="L35" s="9">
        <f t="shared" si="6"/>
        <v>0.15551999999999999</v>
      </c>
      <c r="M35" s="11">
        <f t="shared" si="7"/>
        <v>0.47744639999999994</v>
      </c>
      <c r="N35" s="21"/>
      <c r="O35" s="30">
        <f>'[12]Oct Prod'!H34</f>
        <v>13730999.999999989</v>
      </c>
      <c r="P35" s="9">
        <f t="shared" si="8"/>
        <v>13.730999999999989</v>
      </c>
      <c r="Q35" s="11">
        <f t="shared" si="9"/>
        <v>42.154169999999965</v>
      </c>
      <c r="R35" s="30">
        <f>'[12]Oct Prod'!C34</f>
        <v>13873000</v>
      </c>
      <c r="S35" s="9">
        <f t="shared" si="10"/>
        <v>13.872999999999999</v>
      </c>
      <c r="T35" s="11">
        <f t="shared" si="11"/>
        <v>42.590109999999996</v>
      </c>
      <c r="U35" s="30">
        <f>'[12]Oct Prod'!D34</f>
        <v>0</v>
      </c>
      <c r="V35" s="9">
        <f t="shared" si="12"/>
        <v>0</v>
      </c>
      <c r="W35" s="11">
        <f t="shared" si="13"/>
        <v>0</v>
      </c>
      <c r="X35" s="7">
        <f>'[12]Oct Prod'!D289</f>
        <v>142000.00000001013</v>
      </c>
      <c r="Y35" s="9">
        <f t="shared" si="14"/>
        <v>0.14200000000001012</v>
      </c>
      <c r="Z35" s="11">
        <f t="shared" si="15"/>
        <v>0.43594000000003102</v>
      </c>
      <c r="AA35" s="15"/>
      <c r="AB35" s="7">
        <f t="shared" si="16"/>
        <v>13730999.999999989</v>
      </c>
      <c r="AC35" s="8">
        <f t="shared" si="16"/>
        <v>13.730999999999989</v>
      </c>
      <c r="AD35" s="8">
        <f t="shared" si="16"/>
        <v>42.154169999999965</v>
      </c>
      <c r="AF35" s="8">
        <f t="shared" si="22"/>
        <v>0</v>
      </c>
    </row>
    <row r="36" spans="1:32" ht="13.5" thickBot="1" x14ac:dyDescent="0.25">
      <c r="A36" s="14"/>
      <c r="B36" s="39"/>
      <c r="C36" s="40">
        <f>SUM(C5:C35)</f>
        <v>80.660000000003635</v>
      </c>
      <c r="D36" s="40">
        <f>SUM(D5:D35)</f>
        <v>247.6262000000111</v>
      </c>
      <c r="E36" s="39"/>
      <c r="F36" s="40">
        <f>SUM(F5:F35)</f>
        <v>83</v>
      </c>
      <c r="G36" s="40">
        <f>SUM(G5:G35)</f>
        <v>254.80999999999995</v>
      </c>
      <c r="H36" s="39"/>
      <c r="I36" s="40">
        <f>SUM(I5:I35)</f>
        <v>83.940000000000012</v>
      </c>
      <c r="J36" s="40">
        <f>SUM(J5:J35)</f>
        <v>257.69579999999593</v>
      </c>
      <c r="K36" s="39"/>
      <c r="L36" s="40">
        <f>SUM(L5:L35)</f>
        <v>9.1825830000000011</v>
      </c>
      <c r="M36" s="40">
        <f>SUM(M5:M35)</f>
        <v>28.190529810000005</v>
      </c>
      <c r="N36" s="14"/>
      <c r="O36" s="39"/>
      <c r="P36" s="40">
        <f>SUM(P5:P35)</f>
        <v>381.83299999999997</v>
      </c>
      <c r="Q36" s="40">
        <f>SUM(Q5:Q35)</f>
        <v>1172.22731</v>
      </c>
      <c r="R36" s="39"/>
      <c r="S36" s="40">
        <f>SUM(S5:S35)</f>
        <v>385.733</v>
      </c>
      <c r="T36" s="40">
        <f>SUM(T5:T35)</f>
        <v>1184.2003099999999</v>
      </c>
      <c r="U36" s="39"/>
      <c r="V36" s="40">
        <f>SUM(V5:V35)</f>
        <v>-1E-3</v>
      </c>
      <c r="W36" s="40">
        <f>SUM(W5:W35)</f>
        <v>-3.0699999999999998E-3</v>
      </c>
      <c r="X36" s="39"/>
      <c r="Y36" s="40">
        <f>SUM(Y5:Y35)</f>
        <v>3.9000000000000057</v>
      </c>
      <c r="Z36" s="40">
        <f>SUM(Z5:Z35)</f>
        <v>11.973000000000017</v>
      </c>
      <c r="AA36" s="14"/>
      <c r="AB36" s="39"/>
      <c r="AC36" s="40">
        <f>SUM(AC5:AC35)</f>
        <v>462.49300000000358</v>
      </c>
      <c r="AD36" s="40">
        <f>AC36*3.07</f>
        <v>1419.8535100000108</v>
      </c>
      <c r="AF36" s="40">
        <f>SUM(AF5:AF35)</f>
        <v>-2.6673108166619386E-14</v>
      </c>
    </row>
    <row r="37" spans="1:32" x14ac:dyDescent="0.2">
      <c r="A37" s="3"/>
      <c r="B37" s="3"/>
      <c r="C37" s="24"/>
      <c r="D37" s="3"/>
      <c r="E37" s="3"/>
      <c r="F37" s="3"/>
      <c r="G37" s="3"/>
      <c r="H37" s="3"/>
      <c r="I37" s="3"/>
      <c r="J37" s="3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  <c r="V37" s="3"/>
      <c r="W37" s="3"/>
      <c r="X37" s="3"/>
    </row>
  </sheetData>
  <mergeCells count="9">
    <mergeCell ref="AB3:AD3"/>
    <mergeCell ref="R3:T3"/>
    <mergeCell ref="U3:W3"/>
    <mergeCell ref="X3:Z3"/>
    <mergeCell ref="B3:D3"/>
    <mergeCell ref="E3:G3"/>
    <mergeCell ref="H3:J3"/>
    <mergeCell ref="O3:Q3"/>
    <mergeCell ref="K3:M3"/>
  </mergeCells>
  <phoneticPr fontId="1" type="noConversion"/>
  <pageMargins left="0.75" right="0.75" top="1" bottom="1" header="0.5" footer="0.5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69E3D5A97D13E42A3FA97F9F6490356" ma:contentTypeVersion="7" ma:contentTypeDescription="Create a new document." ma:contentTypeScope="" ma:versionID="28c826bd0c557c42625fe5e73ffe2532">
  <xsd:schema xmlns:xsd="http://www.w3.org/2001/XMLSchema" xmlns:xs="http://www.w3.org/2001/XMLSchema" xmlns:p="http://schemas.microsoft.com/office/2006/metadata/properties" xmlns:ns2="c3ceea8c-8d7b-4050-a6dd-ca802b319f33" targetNamespace="http://schemas.microsoft.com/office/2006/metadata/properties" ma:root="true" ma:fieldsID="11134dd55bc57a9ac07ab25088c1a3a5" ns2:_="">
    <xsd:import namespace="c3ceea8c-8d7b-4050-a6dd-ca802b319f3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ceea8c-8d7b-4050-a6dd-ca802b319f3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B90EC1E-22A0-4C23-9749-A52468729E8F}"/>
</file>

<file path=customXml/itemProps2.xml><?xml version="1.0" encoding="utf-8"?>
<ds:datastoreItem xmlns:ds="http://schemas.openxmlformats.org/officeDocument/2006/customXml" ds:itemID="{0F71D662-DC1C-4735-AF77-1CF0DD4BB2F7}"/>
</file>

<file path=customXml/itemProps3.xml><?xml version="1.0" encoding="utf-8"?>
<ds:datastoreItem xmlns:ds="http://schemas.openxmlformats.org/officeDocument/2006/customXml" ds:itemID="{BC61B8DF-5FBB-49E7-99BC-C2567070A3B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12</vt:i4>
      </vt:variant>
    </vt:vector>
  </HeadingPairs>
  <TitlesOfParts>
    <vt:vector size="25" baseType="lpstr">
      <vt:lpstr>Summary</vt:lpstr>
      <vt:lpstr>November</vt:lpstr>
      <vt:lpstr>December</vt:lpstr>
      <vt:lpstr>January</vt:lpstr>
      <vt:lpstr>February</vt:lpstr>
      <vt:lpstr>March</vt:lpstr>
      <vt:lpstr>April</vt:lpstr>
      <vt:lpstr>May</vt:lpstr>
      <vt:lpstr>June</vt:lpstr>
      <vt:lpstr>July</vt:lpstr>
      <vt:lpstr>August</vt:lpstr>
      <vt:lpstr>September</vt:lpstr>
      <vt:lpstr>October</vt:lpstr>
      <vt:lpstr>February!Print_Area</vt:lpstr>
      <vt:lpstr>May!Print_Area</vt:lpstr>
      <vt:lpstr>November!Print_Area</vt:lpstr>
      <vt:lpstr>April!Print_Titles</vt:lpstr>
      <vt:lpstr>August!Print_Titles</vt:lpstr>
      <vt:lpstr>February!Print_Titles</vt:lpstr>
      <vt:lpstr>January!Print_Titles</vt:lpstr>
      <vt:lpstr>July!Print_Titles</vt:lpstr>
      <vt:lpstr>June!Print_Titles</vt:lpstr>
      <vt:lpstr>March!Print_Titles</vt:lpstr>
      <vt:lpstr>May!Print_Titles</vt:lpstr>
      <vt:lpstr>September!Print_Titles</vt:lpstr>
    </vt:vector>
  </TitlesOfParts>
  <Company>City of Thornton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mpacheco</dc:creator>
  <cp:lastModifiedBy>Elena Acker</cp:lastModifiedBy>
  <cp:lastPrinted>2012-07-11T20:09:08Z</cp:lastPrinted>
  <dcterms:created xsi:type="dcterms:W3CDTF">2004-01-27T20:05:57Z</dcterms:created>
  <dcterms:modified xsi:type="dcterms:W3CDTF">2013-02-27T20:57:36Z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0x010100C69E3D5A97D13E42A3FA97F9F6490356</vt:lpwstr>
  </property>
</Properties>
</file>