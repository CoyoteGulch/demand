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1011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coyotegulch/Documents/Demand Management /"/>
    </mc:Choice>
  </mc:AlternateContent>
  <xr:revisionPtr revIDLastSave="0" documentId="13_ncr:1_{7815A951-5778-F24E-A2B7-01C8333F89DD}" xr6:coauthVersionLast="45" xr6:coauthVersionMax="45" xr10:uidLastSave="{00000000-0000-0000-0000-000000000000}"/>
  <bookViews>
    <workbookView xWindow="29060" yWindow="3260" windowWidth="19500" windowHeight="16280" tabRatio="706" firstSheet="3" activeTab="3" xr2:uid="{00000000-000D-0000-FFFF-FFFF00000000}"/>
  </bookViews>
  <sheets>
    <sheet name="November" sheetId="14" r:id="rId1"/>
    <sheet name="December" sheetId="13" r:id="rId2"/>
    <sheet name="January" sheetId="1" r:id="rId3"/>
    <sheet name="February" sheetId="4" r:id="rId4"/>
    <sheet name="March" sheetId="6" r:id="rId5"/>
    <sheet name="April" sheetId="7" r:id="rId6"/>
    <sheet name="May" sheetId="8" r:id="rId7"/>
    <sheet name="June" sheetId="9" r:id="rId8"/>
    <sheet name="July" sheetId="16" r:id="rId9"/>
    <sheet name="August" sheetId="11" r:id="rId10"/>
    <sheet name="September" sheetId="12" r:id="rId11"/>
    <sheet name="October" sheetId="5" r:id="rId12"/>
    <sheet name="Summary" sheetId="15" r:id="rId13"/>
  </sheets>
  <externalReferences>
    <externalReference r:id="rId14"/>
    <externalReference r:id="rId15"/>
    <externalReference r:id="rId16"/>
    <externalReference r:id="rId17"/>
    <externalReference r:id="rId18"/>
    <externalReference r:id="rId19"/>
    <externalReference r:id="rId20"/>
    <externalReference r:id="rId21"/>
    <externalReference r:id="rId22"/>
    <externalReference r:id="rId23"/>
  </externalReferences>
  <definedNames>
    <definedName name="_xlnm._FilterDatabase" localSheetId="10" hidden="1">September!$AC$1:$AC$38</definedName>
    <definedName name="_xlnm.Print_Area" localSheetId="3">February!$A$1:$M$34</definedName>
    <definedName name="_xlnm.Print_Area" localSheetId="6">May!$A$1:$Z$36</definedName>
    <definedName name="_xlnm.Print_Area" localSheetId="0">November!$O$1:$AD$36</definedName>
    <definedName name="_xlnm.Print_Titles" localSheetId="5">April!$A:$A</definedName>
    <definedName name="_xlnm.Print_Titles" localSheetId="9">August!$A:$A</definedName>
    <definedName name="_xlnm.Print_Titles" localSheetId="3">February!$A:$A</definedName>
    <definedName name="_xlnm.Print_Titles" localSheetId="2">January!$A:$A</definedName>
    <definedName name="_xlnm.Print_Titles" localSheetId="8">July!$A:$A</definedName>
    <definedName name="_xlnm.Print_Titles" localSheetId="7">June!$A:$A</definedName>
    <definedName name="_xlnm.Print_Titles" localSheetId="4">March!$A:$A</definedName>
    <definedName name="_xlnm.Print_Titles" localSheetId="6">May!$A:$A</definedName>
    <definedName name="_xlnm.Print_Titles" localSheetId="10">September!$A:$A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X6" i="5" l="1"/>
  <c r="X7" i="5"/>
  <c r="X8" i="5"/>
  <c r="X9" i="5"/>
  <c r="X10" i="5"/>
  <c r="X11" i="5"/>
  <c r="X12" i="5"/>
  <c r="X13" i="5"/>
  <c r="X14" i="5"/>
  <c r="X15" i="5"/>
  <c r="X16" i="5"/>
  <c r="X17" i="5"/>
  <c r="X18" i="5"/>
  <c r="X19" i="5"/>
  <c r="X20" i="5"/>
  <c r="X21" i="5"/>
  <c r="X22" i="5"/>
  <c r="X23" i="5"/>
  <c r="X24" i="5"/>
  <c r="X25" i="5"/>
  <c r="X26" i="5"/>
  <c r="X27" i="5"/>
  <c r="X28" i="5"/>
  <c r="X29" i="5"/>
  <c r="X30" i="5"/>
  <c r="X31" i="5"/>
  <c r="X32" i="5"/>
  <c r="X33" i="5"/>
  <c r="X34" i="5"/>
  <c r="X35" i="5"/>
  <c r="X5" i="5"/>
  <c r="U6" i="5"/>
  <c r="U7" i="5"/>
  <c r="U8" i="5"/>
  <c r="U9" i="5"/>
  <c r="U10" i="5"/>
  <c r="U11" i="5"/>
  <c r="U12" i="5"/>
  <c r="U13" i="5"/>
  <c r="U14" i="5"/>
  <c r="U15" i="5"/>
  <c r="U16" i="5"/>
  <c r="U17" i="5"/>
  <c r="U18" i="5"/>
  <c r="U19" i="5"/>
  <c r="U20" i="5"/>
  <c r="U21" i="5"/>
  <c r="U22" i="5"/>
  <c r="U23" i="5"/>
  <c r="U24" i="5"/>
  <c r="U25" i="5"/>
  <c r="U26" i="5"/>
  <c r="U27" i="5"/>
  <c r="U28" i="5"/>
  <c r="U29" i="5"/>
  <c r="U30" i="5"/>
  <c r="U31" i="5"/>
  <c r="U32" i="5"/>
  <c r="U33" i="5"/>
  <c r="U34" i="5"/>
  <c r="U35" i="5"/>
  <c r="U5" i="5"/>
  <c r="R6" i="5"/>
  <c r="R7" i="5"/>
  <c r="R8" i="5"/>
  <c r="R9" i="5"/>
  <c r="R10" i="5"/>
  <c r="R11" i="5"/>
  <c r="R12" i="5"/>
  <c r="R13" i="5"/>
  <c r="R14" i="5"/>
  <c r="R15" i="5"/>
  <c r="R16" i="5"/>
  <c r="R17" i="5"/>
  <c r="R18" i="5"/>
  <c r="R19" i="5"/>
  <c r="R20" i="5"/>
  <c r="R21" i="5"/>
  <c r="R22" i="5"/>
  <c r="R23" i="5"/>
  <c r="R24" i="5"/>
  <c r="R25" i="5"/>
  <c r="R26" i="5"/>
  <c r="R27" i="5"/>
  <c r="R28" i="5"/>
  <c r="R29" i="5"/>
  <c r="R30" i="5"/>
  <c r="R31" i="5"/>
  <c r="R32" i="5"/>
  <c r="R33" i="5"/>
  <c r="R34" i="5"/>
  <c r="R35" i="5"/>
  <c r="R5" i="5"/>
  <c r="O6" i="5"/>
  <c r="O7" i="5"/>
  <c r="O8" i="5"/>
  <c r="O9" i="5"/>
  <c r="O10" i="5"/>
  <c r="O11" i="5"/>
  <c r="O12" i="5"/>
  <c r="O13" i="5"/>
  <c r="O14" i="5"/>
  <c r="O15" i="5"/>
  <c r="O16" i="5"/>
  <c r="O17" i="5"/>
  <c r="O18" i="5"/>
  <c r="O19" i="5"/>
  <c r="O20" i="5"/>
  <c r="O21" i="5"/>
  <c r="O22" i="5"/>
  <c r="O23" i="5"/>
  <c r="O24" i="5"/>
  <c r="O25" i="5"/>
  <c r="O26" i="5"/>
  <c r="O27" i="5"/>
  <c r="O28" i="5"/>
  <c r="O29" i="5"/>
  <c r="O30" i="5"/>
  <c r="O31" i="5"/>
  <c r="O32" i="5"/>
  <c r="O33" i="5"/>
  <c r="O34" i="5"/>
  <c r="O35" i="5"/>
  <c r="O5" i="5"/>
  <c r="K6" i="5"/>
  <c r="K7" i="5"/>
  <c r="K8" i="5"/>
  <c r="K9" i="5"/>
  <c r="K10" i="5"/>
  <c r="K11" i="5"/>
  <c r="K12" i="5"/>
  <c r="K13" i="5"/>
  <c r="K14" i="5"/>
  <c r="K15" i="5"/>
  <c r="K16" i="5"/>
  <c r="K17" i="5"/>
  <c r="K18" i="5"/>
  <c r="K19" i="5"/>
  <c r="K20" i="5"/>
  <c r="K21" i="5"/>
  <c r="K22" i="5"/>
  <c r="K23" i="5"/>
  <c r="K24" i="5"/>
  <c r="K25" i="5"/>
  <c r="K26" i="5"/>
  <c r="K27" i="5"/>
  <c r="K28" i="5"/>
  <c r="K29" i="5"/>
  <c r="K30" i="5"/>
  <c r="K31" i="5"/>
  <c r="K32" i="5"/>
  <c r="K33" i="5"/>
  <c r="K34" i="5"/>
  <c r="K35" i="5"/>
  <c r="K5" i="5"/>
  <c r="H6" i="5"/>
  <c r="H7" i="5"/>
  <c r="H8" i="5"/>
  <c r="H9" i="5"/>
  <c r="H10" i="5"/>
  <c r="H11" i="5"/>
  <c r="H12" i="5"/>
  <c r="H13" i="5"/>
  <c r="H14" i="5"/>
  <c r="H15" i="5"/>
  <c r="H16" i="5"/>
  <c r="H17" i="5"/>
  <c r="H18" i="5"/>
  <c r="H19" i="5"/>
  <c r="H20" i="5"/>
  <c r="H21" i="5"/>
  <c r="H22" i="5"/>
  <c r="H23" i="5"/>
  <c r="H24" i="5"/>
  <c r="H25" i="5"/>
  <c r="H26" i="5"/>
  <c r="H27" i="5"/>
  <c r="H28" i="5"/>
  <c r="H29" i="5"/>
  <c r="H30" i="5"/>
  <c r="H31" i="5"/>
  <c r="H32" i="5"/>
  <c r="H33" i="5"/>
  <c r="H34" i="5"/>
  <c r="H35" i="5"/>
  <c r="H5" i="5"/>
  <c r="E6" i="5"/>
  <c r="E7" i="5"/>
  <c r="E8" i="5"/>
  <c r="E9" i="5"/>
  <c r="E10" i="5"/>
  <c r="E11" i="5"/>
  <c r="E12" i="5"/>
  <c r="E13" i="5"/>
  <c r="E14" i="5"/>
  <c r="E15" i="5"/>
  <c r="E16" i="5"/>
  <c r="E17" i="5"/>
  <c r="E18" i="5"/>
  <c r="E19" i="5"/>
  <c r="E20" i="5"/>
  <c r="E21" i="5"/>
  <c r="E22" i="5"/>
  <c r="E23" i="5"/>
  <c r="E24" i="5"/>
  <c r="E25" i="5"/>
  <c r="E26" i="5"/>
  <c r="E27" i="5"/>
  <c r="E28" i="5"/>
  <c r="E29" i="5"/>
  <c r="E30" i="5"/>
  <c r="E31" i="5"/>
  <c r="E32" i="5"/>
  <c r="E33" i="5"/>
  <c r="E34" i="5"/>
  <c r="E35" i="5"/>
  <c r="E5" i="5"/>
  <c r="B6" i="5"/>
  <c r="B7" i="5"/>
  <c r="B8" i="5"/>
  <c r="B9" i="5"/>
  <c r="B10" i="5"/>
  <c r="B11" i="5"/>
  <c r="B12" i="5"/>
  <c r="B13" i="5"/>
  <c r="B14" i="5"/>
  <c r="B15" i="5"/>
  <c r="B16" i="5"/>
  <c r="B17" i="5"/>
  <c r="B18" i="5"/>
  <c r="B19" i="5"/>
  <c r="B20" i="5"/>
  <c r="B21" i="5"/>
  <c r="B22" i="5"/>
  <c r="B23" i="5"/>
  <c r="B24" i="5"/>
  <c r="B25" i="5"/>
  <c r="B26" i="5"/>
  <c r="B27" i="5"/>
  <c r="B28" i="5"/>
  <c r="B29" i="5"/>
  <c r="B30" i="5"/>
  <c r="B31" i="5"/>
  <c r="B32" i="5"/>
  <c r="B33" i="5"/>
  <c r="B34" i="5"/>
  <c r="B35" i="5"/>
  <c r="B5" i="5"/>
  <c r="H6" i="16" l="1"/>
  <c r="I6" i="16" s="1"/>
  <c r="J6" i="16" s="1"/>
  <c r="H7" i="16"/>
  <c r="I7" i="16" s="1"/>
  <c r="J7" i="16" s="1"/>
  <c r="H8" i="16"/>
  <c r="I8" i="16" s="1"/>
  <c r="J8" i="16" s="1"/>
  <c r="H9" i="16"/>
  <c r="I9" i="16" s="1"/>
  <c r="J9" i="16" s="1"/>
  <c r="H10" i="16"/>
  <c r="I10" i="16" s="1"/>
  <c r="J10" i="16" s="1"/>
  <c r="H11" i="16"/>
  <c r="I11" i="16" s="1"/>
  <c r="J11" i="16" s="1"/>
  <c r="H12" i="16"/>
  <c r="I12" i="16" s="1"/>
  <c r="J12" i="16" s="1"/>
  <c r="H13" i="16"/>
  <c r="I13" i="16" s="1"/>
  <c r="J13" i="16" s="1"/>
  <c r="H14" i="16"/>
  <c r="I14" i="16" s="1"/>
  <c r="J14" i="16" s="1"/>
  <c r="H15" i="16"/>
  <c r="H16" i="16"/>
  <c r="I16" i="16" s="1"/>
  <c r="J16" i="16" s="1"/>
  <c r="H17" i="16"/>
  <c r="I17" i="16" s="1"/>
  <c r="J17" i="16" s="1"/>
  <c r="H18" i="16"/>
  <c r="I18" i="16" s="1"/>
  <c r="J18" i="16" s="1"/>
  <c r="H19" i="16"/>
  <c r="I19" i="16" s="1"/>
  <c r="J19" i="16" s="1"/>
  <c r="H20" i="16"/>
  <c r="I20" i="16" s="1"/>
  <c r="J20" i="16" s="1"/>
  <c r="H21" i="16"/>
  <c r="I21" i="16" s="1"/>
  <c r="J21" i="16" s="1"/>
  <c r="H22" i="16"/>
  <c r="I22" i="16" s="1"/>
  <c r="J22" i="16" s="1"/>
  <c r="H23" i="16"/>
  <c r="I23" i="16" s="1"/>
  <c r="J23" i="16" s="1"/>
  <c r="H24" i="16"/>
  <c r="I24" i="16" s="1"/>
  <c r="J24" i="16" s="1"/>
  <c r="H25" i="16"/>
  <c r="I25" i="16" s="1"/>
  <c r="J25" i="16" s="1"/>
  <c r="H26" i="16"/>
  <c r="I26" i="16" s="1"/>
  <c r="J26" i="16" s="1"/>
  <c r="H27" i="16"/>
  <c r="I27" i="16" s="1"/>
  <c r="J27" i="16" s="1"/>
  <c r="H28" i="16"/>
  <c r="I28" i="16" s="1"/>
  <c r="J28" i="16" s="1"/>
  <c r="H29" i="16"/>
  <c r="I29" i="16" s="1"/>
  <c r="J29" i="16" s="1"/>
  <c r="H30" i="16"/>
  <c r="I30" i="16" s="1"/>
  <c r="J30" i="16" s="1"/>
  <c r="H31" i="16"/>
  <c r="H32" i="16"/>
  <c r="I32" i="16" s="1"/>
  <c r="J32" i="16" s="1"/>
  <c r="H33" i="16"/>
  <c r="I33" i="16" s="1"/>
  <c r="J33" i="16" s="1"/>
  <c r="H34" i="16"/>
  <c r="I34" i="16" s="1"/>
  <c r="J34" i="16" s="1"/>
  <c r="H35" i="16"/>
  <c r="I35" i="16" s="1"/>
  <c r="J35" i="16" s="1"/>
  <c r="H5" i="16"/>
  <c r="I5" i="16" s="1"/>
  <c r="U23" i="11"/>
  <c r="V23" i="11" s="1"/>
  <c r="W23" i="11" s="1"/>
  <c r="U6" i="12"/>
  <c r="V6" i="12" s="1"/>
  <c r="W6" i="12" s="1"/>
  <c r="U7" i="12"/>
  <c r="V7" i="12" s="1"/>
  <c r="W7" i="12" s="1"/>
  <c r="U8" i="12"/>
  <c r="V8" i="12" s="1"/>
  <c r="W8" i="12" s="1"/>
  <c r="U9" i="12"/>
  <c r="U10" i="12"/>
  <c r="V10" i="12" s="1"/>
  <c r="W10" i="12" s="1"/>
  <c r="U11" i="12"/>
  <c r="V11" i="12" s="1"/>
  <c r="W11" i="12" s="1"/>
  <c r="U12" i="12"/>
  <c r="V12" i="12" s="1"/>
  <c r="W12" i="12" s="1"/>
  <c r="U13" i="12"/>
  <c r="V13" i="12" s="1"/>
  <c r="W13" i="12" s="1"/>
  <c r="U14" i="12"/>
  <c r="V14" i="12" s="1"/>
  <c r="W14" i="12" s="1"/>
  <c r="U15" i="12"/>
  <c r="U16" i="12"/>
  <c r="V16" i="12" s="1"/>
  <c r="W16" i="12" s="1"/>
  <c r="U17" i="12"/>
  <c r="V17" i="12" s="1"/>
  <c r="W17" i="12" s="1"/>
  <c r="U18" i="12"/>
  <c r="V18" i="12" s="1"/>
  <c r="W18" i="12" s="1"/>
  <c r="U19" i="12"/>
  <c r="V19" i="12" s="1"/>
  <c r="W19" i="12" s="1"/>
  <c r="U20" i="12"/>
  <c r="V20" i="12" s="1"/>
  <c r="W20" i="12" s="1"/>
  <c r="U21" i="12"/>
  <c r="V21" i="12" s="1"/>
  <c r="W21" i="12" s="1"/>
  <c r="U22" i="12"/>
  <c r="V22" i="12" s="1"/>
  <c r="W22" i="12" s="1"/>
  <c r="U23" i="12"/>
  <c r="V23" i="12" s="1"/>
  <c r="W23" i="12" s="1"/>
  <c r="U24" i="12"/>
  <c r="V24" i="12" s="1"/>
  <c r="W24" i="12" s="1"/>
  <c r="U25" i="12"/>
  <c r="V25" i="12" s="1"/>
  <c r="W25" i="12" s="1"/>
  <c r="U26" i="12"/>
  <c r="V26" i="12" s="1"/>
  <c r="W26" i="12" s="1"/>
  <c r="U27" i="12"/>
  <c r="U28" i="12"/>
  <c r="V28" i="12" s="1"/>
  <c r="W28" i="12" s="1"/>
  <c r="U29" i="12"/>
  <c r="V29" i="12" s="1"/>
  <c r="W29" i="12" s="1"/>
  <c r="U30" i="12"/>
  <c r="V30" i="12" s="1"/>
  <c r="W30" i="12" s="1"/>
  <c r="U31" i="12"/>
  <c r="V31" i="12" s="1"/>
  <c r="W31" i="12" s="1"/>
  <c r="U32" i="12"/>
  <c r="V32" i="12" s="1"/>
  <c r="W32" i="12" s="1"/>
  <c r="U33" i="12"/>
  <c r="V33" i="12" s="1"/>
  <c r="W33" i="12" s="1"/>
  <c r="U34" i="12"/>
  <c r="V34" i="12" s="1"/>
  <c r="W34" i="12" s="1"/>
  <c r="U5" i="12"/>
  <c r="V5" i="12" s="1"/>
  <c r="W5" i="12" s="1"/>
  <c r="U6" i="11"/>
  <c r="V6" i="11" s="1"/>
  <c r="W6" i="11" s="1"/>
  <c r="U7" i="11"/>
  <c r="V7" i="11" s="1"/>
  <c r="W7" i="11" s="1"/>
  <c r="U8" i="11"/>
  <c r="V8" i="11" s="1"/>
  <c r="W8" i="11" s="1"/>
  <c r="U9" i="11"/>
  <c r="V9" i="11" s="1"/>
  <c r="W9" i="11" s="1"/>
  <c r="U10" i="11"/>
  <c r="V10" i="11" s="1"/>
  <c r="W10" i="11" s="1"/>
  <c r="U11" i="11"/>
  <c r="V11" i="11" s="1"/>
  <c r="W11" i="11" s="1"/>
  <c r="U12" i="11"/>
  <c r="V12" i="11" s="1"/>
  <c r="W12" i="11" s="1"/>
  <c r="U13" i="11"/>
  <c r="U14" i="11"/>
  <c r="V14" i="11" s="1"/>
  <c r="W14" i="11" s="1"/>
  <c r="U15" i="11"/>
  <c r="V15" i="11" s="1"/>
  <c r="W15" i="11" s="1"/>
  <c r="U16" i="11"/>
  <c r="V16" i="11" s="1"/>
  <c r="W16" i="11" s="1"/>
  <c r="U17" i="11"/>
  <c r="V17" i="11" s="1"/>
  <c r="W17" i="11" s="1"/>
  <c r="U18" i="11"/>
  <c r="V18" i="11" s="1"/>
  <c r="W18" i="11" s="1"/>
  <c r="U19" i="11"/>
  <c r="V19" i="11" s="1"/>
  <c r="W19" i="11" s="1"/>
  <c r="U20" i="11"/>
  <c r="V20" i="11" s="1"/>
  <c r="W20" i="11" s="1"/>
  <c r="U21" i="11"/>
  <c r="V21" i="11" s="1"/>
  <c r="W21" i="11" s="1"/>
  <c r="U22" i="11"/>
  <c r="V22" i="11" s="1"/>
  <c r="W22" i="11" s="1"/>
  <c r="U24" i="11"/>
  <c r="V24" i="11" s="1"/>
  <c r="W24" i="11" s="1"/>
  <c r="U25" i="11"/>
  <c r="V25" i="11" s="1"/>
  <c r="W25" i="11" s="1"/>
  <c r="U26" i="11"/>
  <c r="V26" i="11" s="1"/>
  <c r="W26" i="11" s="1"/>
  <c r="U27" i="11"/>
  <c r="V27" i="11" s="1"/>
  <c r="W27" i="11" s="1"/>
  <c r="U28" i="11"/>
  <c r="V28" i="11" s="1"/>
  <c r="W28" i="11" s="1"/>
  <c r="U29" i="11"/>
  <c r="V29" i="11" s="1"/>
  <c r="W29" i="11" s="1"/>
  <c r="U30" i="11"/>
  <c r="V30" i="11" s="1"/>
  <c r="W30" i="11" s="1"/>
  <c r="U31" i="11"/>
  <c r="V31" i="11" s="1"/>
  <c r="W31" i="11" s="1"/>
  <c r="U32" i="11"/>
  <c r="V32" i="11" s="1"/>
  <c r="W32" i="11" s="1"/>
  <c r="U33" i="11"/>
  <c r="V33" i="11" s="1"/>
  <c r="W33" i="11" s="1"/>
  <c r="U34" i="11"/>
  <c r="U35" i="11"/>
  <c r="V35" i="11" s="1"/>
  <c r="W35" i="11" s="1"/>
  <c r="U5" i="11"/>
  <c r="V5" i="11" s="1"/>
  <c r="W5" i="11" s="1"/>
  <c r="U6" i="16"/>
  <c r="V6" i="16" s="1"/>
  <c r="W6" i="16" s="1"/>
  <c r="U7" i="16"/>
  <c r="V7" i="16" s="1"/>
  <c r="W7" i="16" s="1"/>
  <c r="U8" i="16"/>
  <c r="V8" i="16" s="1"/>
  <c r="W8" i="16" s="1"/>
  <c r="U9" i="16"/>
  <c r="V9" i="16" s="1"/>
  <c r="W9" i="16" s="1"/>
  <c r="U10" i="16"/>
  <c r="V10" i="16" s="1"/>
  <c r="W10" i="16" s="1"/>
  <c r="U11" i="16"/>
  <c r="U12" i="16"/>
  <c r="V12" i="16" s="1"/>
  <c r="W12" i="16" s="1"/>
  <c r="U13" i="16"/>
  <c r="V13" i="16" s="1"/>
  <c r="W13" i="16" s="1"/>
  <c r="U14" i="16"/>
  <c r="V14" i="16" s="1"/>
  <c r="W14" i="16" s="1"/>
  <c r="U15" i="16"/>
  <c r="V15" i="16" s="1"/>
  <c r="W15" i="16" s="1"/>
  <c r="U16" i="16"/>
  <c r="V16" i="16" s="1"/>
  <c r="W16" i="16" s="1"/>
  <c r="U17" i="16"/>
  <c r="V17" i="16" s="1"/>
  <c r="W17" i="16" s="1"/>
  <c r="U18" i="16"/>
  <c r="V18" i="16" s="1"/>
  <c r="W18" i="16" s="1"/>
  <c r="U19" i="16"/>
  <c r="V19" i="16" s="1"/>
  <c r="W19" i="16" s="1"/>
  <c r="U20" i="16"/>
  <c r="V20" i="16" s="1"/>
  <c r="W20" i="16" s="1"/>
  <c r="U21" i="16"/>
  <c r="V21" i="16" s="1"/>
  <c r="W21" i="16" s="1"/>
  <c r="U22" i="16"/>
  <c r="V22" i="16" s="1"/>
  <c r="W22" i="16" s="1"/>
  <c r="U23" i="16"/>
  <c r="V23" i="16" s="1"/>
  <c r="W23" i="16" s="1"/>
  <c r="U24" i="16"/>
  <c r="V24" i="16" s="1"/>
  <c r="W24" i="16" s="1"/>
  <c r="U25" i="16"/>
  <c r="V25" i="16" s="1"/>
  <c r="W25" i="16" s="1"/>
  <c r="U26" i="16"/>
  <c r="V26" i="16" s="1"/>
  <c r="W26" i="16" s="1"/>
  <c r="U27" i="16"/>
  <c r="U28" i="16"/>
  <c r="V28" i="16" s="1"/>
  <c r="W28" i="16" s="1"/>
  <c r="U29" i="16"/>
  <c r="V29" i="16" s="1"/>
  <c r="W29" i="16" s="1"/>
  <c r="U30" i="16"/>
  <c r="V30" i="16" s="1"/>
  <c r="W30" i="16" s="1"/>
  <c r="U31" i="16"/>
  <c r="V31" i="16" s="1"/>
  <c r="W31" i="16" s="1"/>
  <c r="U32" i="16"/>
  <c r="V32" i="16" s="1"/>
  <c r="W32" i="16" s="1"/>
  <c r="U33" i="16"/>
  <c r="V33" i="16" s="1"/>
  <c r="W33" i="16" s="1"/>
  <c r="U34" i="16"/>
  <c r="V34" i="16" s="1"/>
  <c r="W34" i="16" s="1"/>
  <c r="U35" i="16"/>
  <c r="V35" i="16" s="1"/>
  <c r="W35" i="16" s="1"/>
  <c r="U5" i="16"/>
  <c r="V5" i="16" s="1"/>
  <c r="K6" i="16"/>
  <c r="L6" i="16" s="1"/>
  <c r="M6" i="16" s="1"/>
  <c r="K7" i="16"/>
  <c r="L7" i="16" s="1"/>
  <c r="M7" i="16" s="1"/>
  <c r="K8" i="16"/>
  <c r="K9" i="16"/>
  <c r="L9" i="16" s="1"/>
  <c r="K10" i="16"/>
  <c r="L10" i="16" s="1"/>
  <c r="M10" i="16" s="1"/>
  <c r="K11" i="16"/>
  <c r="L11" i="16" s="1"/>
  <c r="M11" i="16" s="1"/>
  <c r="K12" i="16"/>
  <c r="L12" i="16" s="1"/>
  <c r="M12" i="16" s="1"/>
  <c r="K13" i="16"/>
  <c r="L13" i="16" s="1"/>
  <c r="M13" i="16" s="1"/>
  <c r="K14" i="16"/>
  <c r="L14" i="16" s="1"/>
  <c r="M14" i="16" s="1"/>
  <c r="K15" i="16"/>
  <c r="L15" i="16" s="1"/>
  <c r="M15" i="16" s="1"/>
  <c r="K16" i="16"/>
  <c r="L16" i="16" s="1"/>
  <c r="M16" i="16" s="1"/>
  <c r="K17" i="16"/>
  <c r="L17" i="16" s="1"/>
  <c r="M17" i="16" s="1"/>
  <c r="K18" i="16"/>
  <c r="L18" i="16" s="1"/>
  <c r="M18" i="16" s="1"/>
  <c r="K19" i="16"/>
  <c r="L19" i="16" s="1"/>
  <c r="M19" i="16" s="1"/>
  <c r="K20" i="16"/>
  <c r="L20" i="16" s="1"/>
  <c r="M20" i="16" s="1"/>
  <c r="K21" i="16"/>
  <c r="L21" i="16" s="1"/>
  <c r="M21" i="16" s="1"/>
  <c r="K22" i="16"/>
  <c r="L22" i="16" s="1"/>
  <c r="M22" i="16" s="1"/>
  <c r="K23" i="16"/>
  <c r="L23" i="16" s="1"/>
  <c r="M23" i="16" s="1"/>
  <c r="K24" i="16"/>
  <c r="K25" i="16"/>
  <c r="L25" i="16" s="1"/>
  <c r="M25" i="16" s="1"/>
  <c r="K26" i="16"/>
  <c r="L26" i="16" s="1"/>
  <c r="M26" i="16" s="1"/>
  <c r="K27" i="16"/>
  <c r="L27" i="16" s="1"/>
  <c r="M27" i="16" s="1"/>
  <c r="K28" i="16"/>
  <c r="L28" i="16" s="1"/>
  <c r="M28" i="16" s="1"/>
  <c r="K29" i="16"/>
  <c r="L29" i="16" s="1"/>
  <c r="M29" i="16" s="1"/>
  <c r="K30" i="16"/>
  <c r="L30" i="16" s="1"/>
  <c r="M30" i="16" s="1"/>
  <c r="K31" i="16"/>
  <c r="L31" i="16" s="1"/>
  <c r="M31" i="16" s="1"/>
  <c r="K32" i="16"/>
  <c r="L32" i="16" s="1"/>
  <c r="M32" i="16" s="1"/>
  <c r="K33" i="16"/>
  <c r="L33" i="16" s="1"/>
  <c r="M33" i="16" s="1"/>
  <c r="K34" i="16"/>
  <c r="L34" i="16" s="1"/>
  <c r="M34" i="16" s="1"/>
  <c r="K35" i="16"/>
  <c r="L35" i="16" s="1"/>
  <c r="M35" i="16" s="1"/>
  <c r="K5" i="16"/>
  <c r="B6" i="12"/>
  <c r="C6" i="12" s="1"/>
  <c r="D6" i="12" s="1"/>
  <c r="E6" i="12"/>
  <c r="F6" i="12" s="1"/>
  <c r="G6" i="12" s="1"/>
  <c r="H6" i="12"/>
  <c r="I6" i="12" s="1"/>
  <c r="J6" i="12" s="1"/>
  <c r="K6" i="12"/>
  <c r="L6" i="12" s="1"/>
  <c r="M6" i="12" s="1"/>
  <c r="O6" i="12"/>
  <c r="P6" i="12" s="1"/>
  <c r="Q6" i="12" s="1"/>
  <c r="R6" i="12"/>
  <c r="S6" i="12" s="1"/>
  <c r="T6" i="12" s="1"/>
  <c r="X6" i="12"/>
  <c r="Y6" i="12" s="1"/>
  <c r="Z6" i="12" s="1"/>
  <c r="B7" i="12"/>
  <c r="C7" i="12" s="1"/>
  <c r="D7" i="12" s="1"/>
  <c r="E7" i="12"/>
  <c r="F7" i="12" s="1"/>
  <c r="G7" i="12" s="1"/>
  <c r="H7" i="12"/>
  <c r="I7" i="12" s="1"/>
  <c r="K7" i="12"/>
  <c r="L7" i="12" s="1"/>
  <c r="M7" i="12" s="1"/>
  <c r="O7" i="12"/>
  <c r="P7" i="12" s="1"/>
  <c r="Q7" i="12" s="1"/>
  <c r="R7" i="12"/>
  <c r="S7" i="12" s="1"/>
  <c r="T7" i="12" s="1"/>
  <c r="X7" i="12"/>
  <c r="Y7" i="12" s="1"/>
  <c r="Z7" i="12" s="1"/>
  <c r="B8" i="12"/>
  <c r="C8" i="12" s="1"/>
  <c r="D8" i="12" s="1"/>
  <c r="E8" i="12"/>
  <c r="F8" i="12" s="1"/>
  <c r="G8" i="12" s="1"/>
  <c r="H8" i="12"/>
  <c r="I8" i="12" s="1"/>
  <c r="J8" i="12" s="1"/>
  <c r="K8" i="12"/>
  <c r="L8" i="12" s="1"/>
  <c r="M8" i="12" s="1"/>
  <c r="O8" i="12"/>
  <c r="P8" i="12" s="1"/>
  <c r="Q8" i="12" s="1"/>
  <c r="AD8" i="12" s="1"/>
  <c r="R8" i="12"/>
  <c r="S8" i="12" s="1"/>
  <c r="T8" i="12" s="1"/>
  <c r="X8" i="12"/>
  <c r="Y8" i="12" s="1"/>
  <c r="Z8" i="12" s="1"/>
  <c r="B9" i="12"/>
  <c r="C9" i="12" s="1"/>
  <c r="D9" i="12" s="1"/>
  <c r="E9" i="12"/>
  <c r="F9" i="12" s="1"/>
  <c r="G9" i="12" s="1"/>
  <c r="H9" i="12"/>
  <c r="I9" i="12" s="1"/>
  <c r="J9" i="12" s="1"/>
  <c r="K9" i="12"/>
  <c r="L9" i="12" s="1"/>
  <c r="M9" i="12" s="1"/>
  <c r="O9" i="12"/>
  <c r="P9" i="12" s="1"/>
  <c r="R9" i="12"/>
  <c r="S9" i="12" s="1"/>
  <c r="T9" i="12" s="1"/>
  <c r="X9" i="12"/>
  <c r="Y9" i="12" s="1"/>
  <c r="Z9" i="12" s="1"/>
  <c r="B10" i="12"/>
  <c r="C10" i="12" s="1"/>
  <c r="D10" i="12" s="1"/>
  <c r="E10" i="12"/>
  <c r="F10" i="12" s="1"/>
  <c r="G10" i="12" s="1"/>
  <c r="H10" i="12"/>
  <c r="I10" i="12" s="1"/>
  <c r="J10" i="12" s="1"/>
  <c r="K10" i="12"/>
  <c r="L10" i="12" s="1"/>
  <c r="M10" i="12" s="1"/>
  <c r="O10" i="12"/>
  <c r="R10" i="12"/>
  <c r="S10" i="12" s="1"/>
  <c r="T10" i="12" s="1"/>
  <c r="X10" i="12"/>
  <c r="Y10" i="12" s="1"/>
  <c r="Z10" i="12" s="1"/>
  <c r="B11" i="12"/>
  <c r="C11" i="12" s="1"/>
  <c r="E11" i="12"/>
  <c r="F11" i="12" s="1"/>
  <c r="G11" i="12" s="1"/>
  <c r="H11" i="12"/>
  <c r="I11" i="12" s="1"/>
  <c r="J11" i="12" s="1"/>
  <c r="K11" i="12"/>
  <c r="L11" i="12" s="1"/>
  <c r="M11" i="12" s="1"/>
  <c r="O11" i="12"/>
  <c r="P11" i="12" s="1"/>
  <c r="Q11" i="12" s="1"/>
  <c r="R11" i="12"/>
  <c r="S11" i="12" s="1"/>
  <c r="T11" i="12" s="1"/>
  <c r="X11" i="12"/>
  <c r="Y11" i="12" s="1"/>
  <c r="Z11" i="12" s="1"/>
  <c r="B12" i="12"/>
  <c r="C12" i="12" s="1"/>
  <c r="D12" i="12" s="1"/>
  <c r="E12" i="12"/>
  <c r="F12" i="12" s="1"/>
  <c r="G12" i="12" s="1"/>
  <c r="H12" i="12"/>
  <c r="I12" i="12" s="1"/>
  <c r="J12" i="12" s="1"/>
  <c r="K12" i="12"/>
  <c r="L12" i="12" s="1"/>
  <c r="M12" i="12" s="1"/>
  <c r="O12" i="12"/>
  <c r="P12" i="12" s="1"/>
  <c r="R12" i="12"/>
  <c r="S12" i="12" s="1"/>
  <c r="T12" i="12" s="1"/>
  <c r="X12" i="12"/>
  <c r="Y12" i="12" s="1"/>
  <c r="Z12" i="12" s="1"/>
  <c r="B13" i="12"/>
  <c r="C13" i="12" s="1"/>
  <c r="D13" i="12" s="1"/>
  <c r="E13" i="12"/>
  <c r="F13" i="12" s="1"/>
  <c r="G13" i="12" s="1"/>
  <c r="H13" i="12"/>
  <c r="I13" i="12" s="1"/>
  <c r="J13" i="12" s="1"/>
  <c r="K13" i="12"/>
  <c r="L13" i="12" s="1"/>
  <c r="M13" i="12" s="1"/>
  <c r="O13" i="12"/>
  <c r="P13" i="12" s="1"/>
  <c r="Q13" i="12" s="1"/>
  <c r="R13" i="12"/>
  <c r="S13" i="12" s="1"/>
  <c r="T13" i="12" s="1"/>
  <c r="X13" i="12"/>
  <c r="Y13" i="12" s="1"/>
  <c r="Z13" i="12" s="1"/>
  <c r="B14" i="12"/>
  <c r="C14" i="12" s="1"/>
  <c r="D14" i="12" s="1"/>
  <c r="E14" i="12"/>
  <c r="F14" i="12" s="1"/>
  <c r="G14" i="12" s="1"/>
  <c r="H14" i="12"/>
  <c r="I14" i="12" s="1"/>
  <c r="J14" i="12" s="1"/>
  <c r="K14" i="12"/>
  <c r="L14" i="12" s="1"/>
  <c r="M14" i="12" s="1"/>
  <c r="O14" i="12"/>
  <c r="P14" i="12" s="1"/>
  <c r="Q14" i="12" s="1"/>
  <c r="R14" i="12"/>
  <c r="S14" i="12" s="1"/>
  <c r="T14" i="12" s="1"/>
  <c r="X14" i="12"/>
  <c r="Y14" i="12" s="1"/>
  <c r="Z14" i="12" s="1"/>
  <c r="B15" i="12"/>
  <c r="C15" i="12" s="1"/>
  <c r="D15" i="12" s="1"/>
  <c r="E15" i="12"/>
  <c r="F15" i="12" s="1"/>
  <c r="G15" i="12" s="1"/>
  <c r="H15" i="12"/>
  <c r="I15" i="12" s="1"/>
  <c r="J15" i="12" s="1"/>
  <c r="K15" i="12"/>
  <c r="L15" i="12" s="1"/>
  <c r="M15" i="12" s="1"/>
  <c r="O15" i="12"/>
  <c r="P15" i="12" s="1"/>
  <c r="R15" i="12"/>
  <c r="S15" i="12" s="1"/>
  <c r="T15" i="12" s="1"/>
  <c r="V15" i="12"/>
  <c r="W15" i="12" s="1"/>
  <c r="X15" i="12"/>
  <c r="Y15" i="12" s="1"/>
  <c r="Z15" i="12" s="1"/>
  <c r="B16" i="12"/>
  <c r="C16" i="12" s="1"/>
  <c r="E16" i="12"/>
  <c r="F16" i="12" s="1"/>
  <c r="G16" i="12" s="1"/>
  <c r="H16" i="12"/>
  <c r="I16" i="12" s="1"/>
  <c r="J16" i="12" s="1"/>
  <c r="K16" i="12"/>
  <c r="L16" i="12" s="1"/>
  <c r="M16" i="12" s="1"/>
  <c r="O16" i="12"/>
  <c r="P16" i="12" s="1"/>
  <c r="Q16" i="12" s="1"/>
  <c r="R16" i="12"/>
  <c r="S16" i="12" s="1"/>
  <c r="T16" i="12" s="1"/>
  <c r="X16" i="12"/>
  <c r="Y16" i="12" s="1"/>
  <c r="Z16" i="12" s="1"/>
  <c r="B17" i="12"/>
  <c r="C17" i="12" s="1"/>
  <c r="E17" i="12"/>
  <c r="F17" i="12" s="1"/>
  <c r="G17" i="12" s="1"/>
  <c r="H17" i="12"/>
  <c r="I17" i="12" s="1"/>
  <c r="J17" i="12" s="1"/>
  <c r="K17" i="12"/>
  <c r="L17" i="12" s="1"/>
  <c r="M17" i="12" s="1"/>
  <c r="O17" i="12"/>
  <c r="P17" i="12" s="1"/>
  <c r="Q17" i="12" s="1"/>
  <c r="R17" i="12"/>
  <c r="S17" i="12" s="1"/>
  <c r="T17" i="12" s="1"/>
  <c r="X17" i="12"/>
  <c r="Y17" i="12" s="1"/>
  <c r="Z17" i="12" s="1"/>
  <c r="B18" i="12"/>
  <c r="C18" i="12" s="1"/>
  <c r="D18" i="12" s="1"/>
  <c r="E18" i="12"/>
  <c r="F18" i="12" s="1"/>
  <c r="G18" i="12" s="1"/>
  <c r="H18" i="12"/>
  <c r="I18" i="12" s="1"/>
  <c r="J18" i="12" s="1"/>
  <c r="K18" i="12"/>
  <c r="L18" i="12" s="1"/>
  <c r="M18" i="12" s="1"/>
  <c r="O18" i="12"/>
  <c r="P18" i="12" s="1"/>
  <c r="Q18" i="12" s="1"/>
  <c r="R18" i="12"/>
  <c r="S18" i="12" s="1"/>
  <c r="T18" i="12" s="1"/>
  <c r="X18" i="12"/>
  <c r="Y18" i="12" s="1"/>
  <c r="Z18" i="12" s="1"/>
  <c r="B19" i="12"/>
  <c r="C19" i="12" s="1"/>
  <c r="D19" i="12" s="1"/>
  <c r="E19" i="12"/>
  <c r="F19" i="12" s="1"/>
  <c r="G19" i="12" s="1"/>
  <c r="H19" i="12"/>
  <c r="I19" i="12" s="1"/>
  <c r="J19" i="12" s="1"/>
  <c r="K19" i="12"/>
  <c r="L19" i="12" s="1"/>
  <c r="M19" i="12" s="1"/>
  <c r="O19" i="12"/>
  <c r="P19" i="12" s="1"/>
  <c r="Q19" i="12" s="1"/>
  <c r="R19" i="12"/>
  <c r="S19" i="12" s="1"/>
  <c r="T19" i="12" s="1"/>
  <c r="X19" i="12"/>
  <c r="Y19" i="12" s="1"/>
  <c r="Z19" i="12" s="1"/>
  <c r="B20" i="12"/>
  <c r="E20" i="12"/>
  <c r="F20" i="12" s="1"/>
  <c r="G20" i="12" s="1"/>
  <c r="H20" i="12"/>
  <c r="I20" i="12" s="1"/>
  <c r="J20" i="12" s="1"/>
  <c r="K20" i="12"/>
  <c r="L20" i="12" s="1"/>
  <c r="M20" i="12" s="1"/>
  <c r="O20" i="12"/>
  <c r="P20" i="12" s="1"/>
  <c r="Q20" i="12" s="1"/>
  <c r="R20" i="12"/>
  <c r="S20" i="12" s="1"/>
  <c r="T20" i="12" s="1"/>
  <c r="X20" i="12"/>
  <c r="Y20" i="12" s="1"/>
  <c r="Z20" i="12" s="1"/>
  <c r="B21" i="12"/>
  <c r="C21" i="12" s="1"/>
  <c r="D21" i="12" s="1"/>
  <c r="E21" i="12"/>
  <c r="F21" i="12" s="1"/>
  <c r="G21" i="12" s="1"/>
  <c r="H21" i="12"/>
  <c r="I21" i="12" s="1"/>
  <c r="J21" i="12" s="1"/>
  <c r="K21" i="12"/>
  <c r="L21" i="12" s="1"/>
  <c r="M21" i="12" s="1"/>
  <c r="O21" i="12"/>
  <c r="P21" i="12" s="1"/>
  <c r="R21" i="12"/>
  <c r="S21" i="12" s="1"/>
  <c r="T21" i="12" s="1"/>
  <c r="X21" i="12"/>
  <c r="Y21" i="12" s="1"/>
  <c r="Z21" i="12" s="1"/>
  <c r="B22" i="12"/>
  <c r="C22" i="12" s="1"/>
  <c r="D22" i="12" s="1"/>
  <c r="E22" i="12"/>
  <c r="F22" i="12" s="1"/>
  <c r="G22" i="12" s="1"/>
  <c r="H22" i="12"/>
  <c r="I22" i="12" s="1"/>
  <c r="J22" i="12" s="1"/>
  <c r="K22" i="12"/>
  <c r="L22" i="12" s="1"/>
  <c r="M22" i="12" s="1"/>
  <c r="O22" i="12"/>
  <c r="P22" i="12" s="1"/>
  <c r="Q22" i="12" s="1"/>
  <c r="AD22" i="12" s="1"/>
  <c r="R22" i="12"/>
  <c r="S22" i="12" s="1"/>
  <c r="T22" i="12" s="1"/>
  <c r="X22" i="12"/>
  <c r="Y22" i="12" s="1"/>
  <c r="Z22" i="12" s="1"/>
  <c r="B23" i="12"/>
  <c r="C23" i="12" s="1"/>
  <c r="D23" i="12" s="1"/>
  <c r="E23" i="12"/>
  <c r="F23" i="12" s="1"/>
  <c r="G23" i="12" s="1"/>
  <c r="H23" i="12"/>
  <c r="I23" i="12" s="1"/>
  <c r="J23" i="12" s="1"/>
  <c r="K23" i="12"/>
  <c r="L23" i="12" s="1"/>
  <c r="M23" i="12" s="1"/>
  <c r="O23" i="12"/>
  <c r="P23" i="12" s="1"/>
  <c r="Q23" i="12" s="1"/>
  <c r="R23" i="12"/>
  <c r="S23" i="12" s="1"/>
  <c r="T23" i="12" s="1"/>
  <c r="X23" i="12"/>
  <c r="Y23" i="12" s="1"/>
  <c r="Z23" i="12" s="1"/>
  <c r="B24" i="12"/>
  <c r="C24" i="12" s="1"/>
  <c r="D24" i="12" s="1"/>
  <c r="E24" i="12"/>
  <c r="F24" i="12" s="1"/>
  <c r="G24" i="12" s="1"/>
  <c r="H24" i="12"/>
  <c r="I24" i="12" s="1"/>
  <c r="J24" i="12" s="1"/>
  <c r="K24" i="12"/>
  <c r="L24" i="12" s="1"/>
  <c r="M24" i="12" s="1"/>
  <c r="O24" i="12"/>
  <c r="P24" i="12" s="1"/>
  <c r="Q24" i="12" s="1"/>
  <c r="R24" i="12"/>
  <c r="S24" i="12" s="1"/>
  <c r="T24" i="12" s="1"/>
  <c r="X24" i="12"/>
  <c r="Y24" i="12" s="1"/>
  <c r="Z24" i="12" s="1"/>
  <c r="B25" i="12"/>
  <c r="C25" i="12" s="1"/>
  <c r="E25" i="12"/>
  <c r="F25" i="12" s="1"/>
  <c r="G25" i="12" s="1"/>
  <c r="H25" i="12"/>
  <c r="I25" i="12" s="1"/>
  <c r="J25" i="12" s="1"/>
  <c r="K25" i="12"/>
  <c r="L25" i="12" s="1"/>
  <c r="M25" i="12" s="1"/>
  <c r="O25" i="12"/>
  <c r="P25" i="12" s="1"/>
  <c r="Q25" i="12" s="1"/>
  <c r="R25" i="12"/>
  <c r="S25" i="12" s="1"/>
  <c r="T25" i="12" s="1"/>
  <c r="X25" i="12"/>
  <c r="Y25" i="12" s="1"/>
  <c r="Z25" i="12" s="1"/>
  <c r="B26" i="12"/>
  <c r="C26" i="12" s="1"/>
  <c r="D26" i="12" s="1"/>
  <c r="E26" i="12"/>
  <c r="F26" i="12" s="1"/>
  <c r="G26" i="12" s="1"/>
  <c r="H26" i="12"/>
  <c r="I26" i="12" s="1"/>
  <c r="J26" i="12" s="1"/>
  <c r="K26" i="12"/>
  <c r="L26" i="12" s="1"/>
  <c r="M26" i="12" s="1"/>
  <c r="O26" i="12"/>
  <c r="P26" i="12" s="1"/>
  <c r="Q26" i="12" s="1"/>
  <c r="R26" i="12"/>
  <c r="S26" i="12" s="1"/>
  <c r="T26" i="12" s="1"/>
  <c r="X26" i="12"/>
  <c r="Y26" i="12" s="1"/>
  <c r="Z26" i="12" s="1"/>
  <c r="B27" i="12"/>
  <c r="C27" i="12" s="1"/>
  <c r="D27" i="12" s="1"/>
  <c r="E27" i="12"/>
  <c r="F27" i="12" s="1"/>
  <c r="G27" i="12" s="1"/>
  <c r="H27" i="12"/>
  <c r="I27" i="12" s="1"/>
  <c r="J27" i="12" s="1"/>
  <c r="K27" i="12"/>
  <c r="L27" i="12" s="1"/>
  <c r="M27" i="12" s="1"/>
  <c r="O27" i="12"/>
  <c r="P27" i="12" s="1"/>
  <c r="Q27" i="12" s="1"/>
  <c r="R27" i="12"/>
  <c r="S27" i="12" s="1"/>
  <c r="T27" i="12" s="1"/>
  <c r="V27" i="12"/>
  <c r="W27" i="12" s="1"/>
  <c r="X27" i="12"/>
  <c r="Y27" i="12" s="1"/>
  <c r="Z27" i="12" s="1"/>
  <c r="B28" i="12"/>
  <c r="C28" i="12" s="1"/>
  <c r="D28" i="12" s="1"/>
  <c r="E28" i="12"/>
  <c r="F28" i="12" s="1"/>
  <c r="G28" i="12" s="1"/>
  <c r="H28" i="12"/>
  <c r="I28" i="12" s="1"/>
  <c r="J28" i="12" s="1"/>
  <c r="K28" i="12"/>
  <c r="L28" i="12" s="1"/>
  <c r="M28" i="12" s="1"/>
  <c r="O28" i="12"/>
  <c r="P28" i="12" s="1"/>
  <c r="Q28" i="12" s="1"/>
  <c r="R28" i="12"/>
  <c r="S28" i="12" s="1"/>
  <c r="T28" i="12" s="1"/>
  <c r="X28" i="12"/>
  <c r="Y28" i="12" s="1"/>
  <c r="Z28" i="12" s="1"/>
  <c r="B29" i="12"/>
  <c r="C29" i="12" s="1"/>
  <c r="D29" i="12" s="1"/>
  <c r="E29" i="12"/>
  <c r="F29" i="12" s="1"/>
  <c r="G29" i="12" s="1"/>
  <c r="H29" i="12"/>
  <c r="I29" i="12" s="1"/>
  <c r="J29" i="12" s="1"/>
  <c r="K29" i="12"/>
  <c r="L29" i="12" s="1"/>
  <c r="M29" i="12" s="1"/>
  <c r="O29" i="12"/>
  <c r="P29" i="12" s="1"/>
  <c r="Q29" i="12" s="1"/>
  <c r="AD29" i="12" s="1"/>
  <c r="R29" i="12"/>
  <c r="S29" i="12" s="1"/>
  <c r="T29" i="12" s="1"/>
  <c r="X29" i="12"/>
  <c r="Y29" i="12" s="1"/>
  <c r="Z29" i="12" s="1"/>
  <c r="B30" i="12"/>
  <c r="C30" i="12" s="1"/>
  <c r="D30" i="12" s="1"/>
  <c r="E30" i="12"/>
  <c r="F30" i="12" s="1"/>
  <c r="G30" i="12" s="1"/>
  <c r="H30" i="12"/>
  <c r="I30" i="12" s="1"/>
  <c r="J30" i="12" s="1"/>
  <c r="K30" i="12"/>
  <c r="L30" i="12" s="1"/>
  <c r="M30" i="12" s="1"/>
  <c r="O30" i="12"/>
  <c r="P30" i="12" s="1"/>
  <c r="Q30" i="12" s="1"/>
  <c r="R30" i="12"/>
  <c r="S30" i="12" s="1"/>
  <c r="T30" i="12" s="1"/>
  <c r="X30" i="12"/>
  <c r="Y30" i="12" s="1"/>
  <c r="Z30" i="12" s="1"/>
  <c r="B31" i="12"/>
  <c r="C31" i="12" s="1"/>
  <c r="D31" i="12" s="1"/>
  <c r="E31" i="12"/>
  <c r="F31" i="12" s="1"/>
  <c r="G31" i="12" s="1"/>
  <c r="H31" i="12"/>
  <c r="I31" i="12" s="1"/>
  <c r="J31" i="12" s="1"/>
  <c r="K31" i="12"/>
  <c r="L31" i="12" s="1"/>
  <c r="M31" i="12" s="1"/>
  <c r="O31" i="12"/>
  <c r="P31" i="12" s="1"/>
  <c r="Q31" i="12" s="1"/>
  <c r="R31" i="12"/>
  <c r="S31" i="12" s="1"/>
  <c r="T31" i="12" s="1"/>
  <c r="X31" i="12"/>
  <c r="Y31" i="12" s="1"/>
  <c r="Z31" i="12" s="1"/>
  <c r="B32" i="12"/>
  <c r="C32" i="12" s="1"/>
  <c r="D32" i="12" s="1"/>
  <c r="E32" i="12"/>
  <c r="F32" i="12" s="1"/>
  <c r="G32" i="12" s="1"/>
  <c r="H32" i="12"/>
  <c r="I32" i="12" s="1"/>
  <c r="J32" i="12" s="1"/>
  <c r="K32" i="12"/>
  <c r="L32" i="12" s="1"/>
  <c r="M32" i="12" s="1"/>
  <c r="O32" i="12"/>
  <c r="P32" i="12" s="1"/>
  <c r="Q32" i="12" s="1"/>
  <c r="R32" i="12"/>
  <c r="S32" i="12" s="1"/>
  <c r="T32" i="12" s="1"/>
  <c r="X32" i="12"/>
  <c r="Y32" i="12" s="1"/>
  <c r="Z32" i="12" s="1"/>
  <c r="B33" i="12"/>
  <c r="C33" i="12" s="1"/>
  <c r="E33" i="12"/>
  <c r="F33" i="12" s="1"/>
  <c r="G33" i="12" s="1"/>
  <c r="H33" i="12"/>
  <c r="I33" i="12" s="1"/>
  <c r="J33" i="12" s="1"/>
  <c r="K33" i="12"/>
  <c r="L33" i="12" s="1"/>
  <c r="M33" i="12" s="1"/>
  <c r="O33" i="12"/>
  <c r="P33" i="12" s="1"/>
  <c r="Q33" i="12" s="1"/>
  <c r="R33" i="12"/>
  <c r="S33" i="12" s="1"/>
  <c r="T33" i="12" s="1"/>
  <c r="X33" i="12"/>
  <c r="Y33" i="12" s="1"/>
  <c r="Z33" i="12" s="1"/>
  <c r="B34" i="12"/>
  <c r="C34" i="12" s="1"/>
  <c r="D34" i="12" s="1"/>
  <c r="E34" i="12"/>
  <c r="F34" i="12" s="1"/>
  <c r="G34" i="12" s="1"/>
  <c r="H34" i="12"/>
  <c r="I34" i="12" s="1"/>
  <c r="J34" i="12" s="1"/>
  <c r="K34" i="12"/>
  <c r="L34" i="12" s="1"/>
  <c r="M34" i="12" s="1"/>
  <c r="O34" i="12"/>
  <c r="P34" i="12" s="1"/>
  <c r="Q34" i="12" s="1"/>
  <c r="R34" i="12"/>
  <c r="S34" i="12" s="1"/>
  <c r="T34" i="12" s="1"/>
  <c r="X34" i="12"/>
  <c r="Y34" i="12" s="1"/>
  <c r="Z34" i="12" s="1"/>
  <c r="X5" i="12"/>
  <c r="Y5" i="12" s="1"/>
  <c r="Z5" i="12" s="1"/>
  <c r="R5" i="12"/>
  <c r="S5" i="12" s="1"/>
  <c r="T5" i="12" s="1"/>
  <c r="O5" i="12"/>
  <c r="P5" i="12" s="1"/>
  <c r="Q5" i="12" s="1"/>
  <c r="K5" i="12"/>
  <c r="L5" i="12" s="1"/>
  <c r="M5" i="12" s="1"/>
  <c r="H5" i="12"/>
  <c r="I5" i="12" s="1"/>
  <c r="J5" i="12" s="1"/>
  <c r="E5" i="12"/>
  <c r="F5" i="12" s="1"/>
  <c r="G5" i="12" s="1"/>
  <c r="B5" i="12"/>
  <c r="C5" i="12" s="1"/>
  <c r="D5" i="12" s="1"/>
  <c r="B6" i="11"/>
  <c r="C6" i="11" s="1"/>
  <c r="D6" i="11" s="1"/>
  <c r="E6" i="11"/>
  <c r="F6" i="11" s="1"/>
  <c r="G6" i="11" s="1"/>
  <c r="H6" i="11"/>
  <c r="I6" i="11" s="1"/>
  <c r="J6" i="11" s="1"/>
  <c r="K6" i="11"/>
  <c r="L6" i="11" s="1"/>
  <c r="M6" i="11" s="1"/>
  <c r="O6" i="11"/>
  <c r="P6" i="11" s="1"/>
  <c r="Q6" i="11" s="1"/>
  <c r="R6" i="11"/>
  <c r="S6" i="11" s="1"/>
  <c r="T6" i="11" s="1"/>
  <c r="X6" i="11"/>
  <c r="Y6" i="11" s="1"/>
  <c r="Z6" i="11" s="1"/>
  <c r="B7" i="11"/>
  <c r="C7" i="11" s="1"/>
  <c r="D7" i="11" s="1"/>
  <c r="E7" i="11"/>
  <c r="F7" i="11" s="1"/>
  <c r="G7" i="11" s="1"/>
  <c r="H7" i="11"/>
  <c r="I7" i="11" s="1"/>
  <c r="J7" i="11" s="1"/>
  <c r="K7" i="11"/>
  <c r="L7" i="11" s="1"/>
  <c r="M7" i="11" s="1"/>
  <c r="O7" i="11"/>
  <c r="P7" i="11" s="1"/>
  <c r="Q7" i="11" s="1"/>
  <c r="R7" i="11"/>
  <c r="S7" i="11" s="1"/>
  <c r="T7" i="11" s="1"/>
  <c r="X7" i="11"/>
  <c r="Y7" i="11" s="1"/>
  <c r="Z7" i="11" s="1"/>
  <c r="B8" i="11"/>
  <c r="C8" i="11" s="1"/>
  <c r="D8" i="11" s="1"/>
  <c r="E8" i="11"/>
  <c r="F8" i="11" s="1"/>
  <c r="G8" i="11" s="1"/>
  <c r="H8" i="11"/>
  <c r="I8" i="11" s="1"/>
  <c r="J8" i="11" s="1"/>
  <c r="K8" i="11"/>
  <c r="L8" i="11" s="1"/>
  <c r="M8" i="11" s="1"/>
  <c r="O8" i="11"/>
  <c r="P8" i="11" s="1"/>
  <c r="Q8" i="11" s="1"/>
  <c r="R8" i="11"/>
  <c r="S8" i="11" s="1"/>
  <c r="T8" i="11" s="1"/>
  <c r="X8" i="11"/>
  <c r="Y8" i="11" s="1"/>
  <c r="Z8" i="11" s="1"/>
  <c r="B9" i="11"/>
  <c r="C9" i="11" s="1"/>
  <c r="D9" i="11" s="1"/>
  <c r="E9" i="11"/>
  <c r="F9" i="11" s="1"/>
  <c r="G9" i="11" s="1"/>
  <c r="H9" i="11"/>
  <c r="I9" i="11" s="1"/>
  <c r="J9" i="11" s="1"/>
  <c r="K9" i="11"/>
  <c r="L9" i="11" s="1"/>
  <c r="M9" i="11" s="1"/>
  <c r="O9" i="11"/>
  <c r="P9" i="11" s="1"/>
  <c r="Q9" i="11" s="1"/>
  <c r="R9" i="11"/>
  <c r="S9" i="11" s="1"/>
  <c r="T9" i="11" s="1"/>
  <c r="X9" i="11"/>
  <c r="Y9" i="11" s="1"/>
  <c r="Z9" i="11" s="1"/>
  <c r="B10" i="11"/>
  <c r="C10" i="11" s="1"/>
  <c r="D10" i="11" s="1"/>
  <c r="E10" i="11"/>
  <c r="F10" i="11" s="1"/>
  <c r="G10" i="11" s="1"/>
  <c r="H10" i="11"/>
  <c r="I10" i="11" s="1"/>
  <c r="J10" i="11" s="1"/>
  <c r="K10" i="11"/>
  <c r="L10" i="11" s="1"/>
  <c r="M10" i="11" s="1"/>
  <c r="O10" i="11"/>
  <c r="P10" i="11" s="1"/>
  <c r="Q10" i="11" s="1"/>
  <c r="R10" i="11"/>
  <c r="S10" i="11" s="1"/>
  <c r="T10" i="11" s="1"/>
  <c r="X10" i="11"/>
  <c r="Y10" i="11" s="1"/>
  <c r="Z10" i="11" s="1"/>
  <c r="B11" i="11"/>
  <c r="C11" i="11" s="1"/>
  <c r="D11" i="11" s="1"/>
  <c r="E11" i="11"/>
  <c r="F11" i="11" s="1"/>
  <c r="G11" i="11" s="1"/>
  <c r="H11" i="11"/>
  <c r="I11" i="11" s="1"/>
  <c r="J11" i="11" s="1"/>
  <c r="K11" i="11"/>
  <c r="L11" i="11" s="1"/>
  <c r="M11" i="11" s="1"/>
  <c r="O11" i="11"/>
  <c r="R11" i="11"/>
  <c r="S11" i="11" s="1"/>
  <c r="T11" i="11" s="1"/>
  <c r="X11" i="11"/>
  <c r="Y11" i="11" s="1"/>
  <c r="Z11" i="11" s="1"/>
  <c r="B12" i="11"/>
  <c r="C12" i="11" s="1"/>
  <c r="D12" i="11" s="1"/>
  <c r="E12" i="11"/>
  <c r="F12" i="11" s="1"/>
  <c r="G12" i="11" s="1"/>
  <c r="H12" i="11"/>
  <c r="I12" i="11" s="1"/>
  <c r="J12" i="11" s="1"/>
  <c r="K12" i="11"/>
  <c r="L12" i="11" s="1"/>
  <c r="M12" i="11" s="1"/>
  <c r="O12" i="11"/>
  <c r="P12" i="11" s="1"/>
  <c r="Q12" i="11" s="1"/>
  <c r="R12" i="11"/>
  <c r="S12" i="11" s="1"/>
  <c r="T12" i="11" s="1"/>
  <c r="X12" i="11"/>
  <c r="Y12" i="11" s="1"/>
  <c r="Z12" i="11" s="1"/>
  <c r="B13" i="11"/>
  <c r="C13" i="11" s="1"/>
  <c r="D13" i="11" s="1"/>
  <c r="E13" i="11"/>
  <c r="F13" i="11" s="1"/>
  <c r="G13" i="11" s="1"/>
  <c r="H13" i="11"/>
  <c r="I13" i="11" s="1"/>
  <c r="K13" i="11"/>
  <c r="L13" i="11" s="1"/>
  <c r="M13" i="11" s="1"/>
  <c r="O13" i="11"/>
  <c r="P13" i="11" s="1"/>
  <c r="Q13" i="11" s="1"/>
  <c r="R13" i="11"/>
  <c r="S13" i="11" s="1"/>
  <c r="T13" i="11" s="1"/>
  <c r="V13" i="11"/>
  <c r="W13" i="11" s="1"/>
  <c r="X13" i="11"/>
  <c r="Y13" i="11" s="1"/>
  <c r="Z13" i="11" s="1"/>
  <c r="B14" i="11"/>
  <c r="C14" i="11" s="1"/>
  <c r="E14" i="11"/>
  <c r="F14" i="11" s="1"/>
  <c r="G14" i="11" s="1"/>
  <c r="H14" i="11"/>
  <c r="I14" i="11" s="1"/>
  <c r="J14" i="11" s="1"/>
  <c r="K14" i="11"/>
  <c r="L14" i="11" s="1"/>
  <c r="M14" i="11" s="1"/>
  <c r="O14" i="11"/>
  <c r="P14" i="11" s="1"/>
  <c r="Q14" i="11" s="1"/>
  <c r="R14" i="11"/>
  <c r="S14" i="11" s="1"/>
  <c r="T14" i="11" s="1"/>
  <c r="X14" i="11"/>
  <c r="Y14" i="11" s="1"/>
  <c r="Z14" i="11" s="1"/>
  <c r="B15" i="11"/>
  <c r="C15" i="11" s="1"/>
  <c r="D15" i="11" s="1"/>
  <c r="E15" i="11"/>
  <c r="F15" i="11" s="1"/>
  <c r="G15" i="11" s="1"/>
  <c r="H15" i="11"/>
  <c r="I15" i="11" s="1"/>
  <c r="J15" i="11" s="1"/>
  <c r="K15" i="11"/>
  <c r="L15" i="11" s="1"/>
  <c r="M15" i="11" s="1"/>
  <c r="O15" i="11"/>
  <c r="P15" i="11" s="1"/>
  <c r="Q15" i="11" s="1"/>
  <c r="R15" i="11"/>
  <c r="S15" i="11" s="1"/>
  <c r="T15" i="11" s="1"/>
  <c r="X15" i="11"/>
  <c r="Y15" i="11" s="1"/>
  <c r="Z15" i="11" s="1"/>
  <c r="B16" i="11"/>
  <c r="C16" i="11" s="1"/>
  <c r="E16" i="11"/>
  <c r="F16" i="11" s="1"/>
  <c r="G16" i="11" s="1"/>
  <c r="H16" i="11"/>
  <c r="I16" i="11" s="1"/>
  <c r="J16" i="11" s="1"/>
  <c r="K16" i="11"/>
  <c r="L16" i="11" s="1"/>
  <c r="M16" i="11" s="1"/>
  <c r="O16" i="11"/>
  <c r="P16" i="11" s="1"/>
  <c r="Q16" i="11" s="1"/>
  <c r="R16" i="11"/>
  <c r="S16" i="11" s="1"/>
  <c r="T16" i="11" s="1"/>
  <c r="X16" i="11"/>
  <c r="Y16" i="11" s="1"/>
  <c r="Z16" i="11" s="1"/>
  <c r="B17" i="11"/>
  <c r="C17" i="11" s="1"/>
  <c r="D17" i="11" s="1"/>
  <c r="E17" i="11"/>
  <c r="F17" i="11" s="1"/>
  <c r="G17" i="11" s="1"/>
  <c r="H17" i="11"/>
  <c r="I17" i="11" s="1"/>
  <c r="J17" i="11" s="1"/>
  <c r="K17" i="11"/>
  <c r="L17" i="11" s="1"/>
  <c r="M17" i="11" s="1"/>
  <c r="O17" i="11"/>
  <c r="P17" i="11" s="1"/>
  <c r="Q17" i="11" s="1"/>
  <c r="AD17" i="11" s="1"/>
  <c r="R17" i="11"/>
  <c r="S17" i="11" s="1"/>
  <c r="T17" i="11" s="1"/>
  <c r="X17" i="11"/>
  <c r="Y17" i="11" s="1"/>
  <c r="Z17" i="11" s="1"/>
  <c r="B18" i="11"/>
  <c r="C18" i="11" s="1"/>
  <c r="D18" i="11" s="1"/>
  <c r="E18" i="11"/>
  <c r="F18" i="11" s="1"/>
  <c r="G18" i="11" s="1"/>
  <c r="H18" i="11"/>
  <c r="I18" i="11" s="1"/>
  <c r="J18" i="11" s="1"/>
  <c r="K18" i="11"/>
  <c r="L18" i="11" s="1"/>
  <c r="M18" i="11" s="1"/>
  <c r="O18" i="11"/>
  <c r="P18" i="11" s="1"/>
  <c r="Q18" i="11" s="1"/>
  <c r="R18" i="11"/>
  <c r="S18" i="11" s="1"/>
  <c r="T18" i="11" s="1"/>
  <c r="X18" i="11"/>
  <c r="Y18" i="11" s="1"/>
  <c r="Z18" i="11" s="1"/>
  <c r="B19" i="11"/>
  <c r="C19" i="11" s="1"/>
  <c r="D19" i="11" s="1"/>
  <c r="E19" i="11"/>
  <c r="F19" i="11" s="1"/>
  <c r="G19" i="11" s="1"/>
  <c r="H19" i="11"/>
  <c r="I19" i="11" s="1"/>
  <c r="J19" i="11" s="1"/>
  <c r="K19" i="11"/>
  <c r="L19" i="11" s="1"/>
  <c r="M19" i="11" s="1"/>
  <c r="O19" i="11"/>
  <c r="P19" i="11" s="1"/>
  <c r="Q19" i="11" s="1"/>
  <c r="R19" i="11"/>
  <c r="S19" i="11" s="1"/>
  <c r="T19" i="11" s="1"/>
  <c r="X19" i="11"/>
  <c r="Y19" i="11" s="1"/>
  <c r="Z19" i="11" s="1"/>
  <c r="B20" i="11"/>
  <c r="C20" i="11" s="1"/>
  <c r="D20" i="11" s="1"/>
  <c r="E20" i="11"/>
  <c r="F20" i="11" s="1"/>
  <c r="G20" i="11" s="1"/>
  <c r="H20" i="11"/>
  <c r="I20" i="11" s="1"/>
  <c r="J20" i="11" s="1"/>
  <c r="K20" i="11"/>
  <c r="L20" i="11" s="1"/>
  <c r="M20" i="11" s="1"/>
  <c r="O20" i="11"/>
  <c r="P20" i="11" s="1"/>
  <c r="Q20" i="11" s="1"/>
  <c r="R20" i="11"/>
  <c r="S20" i="11" s="1"/>
  <c r="T20" i="11" s="1"/>
  <c r="X20" i="11"/>
  <c r="Y20" i="11" s="1"/>
  <c r="Z20" i="11" s="1"/>
  <c r="B21" i="11"/>
  <c r="C21" i="11" s="1"/>
  <c r="D21" i="11" s="1"/>
  <c r="E21" i="11"/>
  <c r="F21" i="11" s="1"/>
  <c r="G21" i="11" s="1"/>
  <c r="H21" i="11"/>
  <c r="I21" i="11" s="1"/>
  <c r="J21" i="11" s="1"/>
  <c r="K21" i="11"/>
  <c r="L21" i="11" s="1"/>
  <c r="M21" i="11" s="1"/>
  <c r="O21" i="11"/>
  <c r="P21" i="11" s="1"/>
  <c r="Q21" i="11" s="1"/>
  <c r="R21" i="11"/>
  <c r="S21" i="11" s="1"/>
  <c r="T21" i="11" s="1"/>
  <c r="X21" i="11"/>
  <c r="Y21" i="11" s="1"/>
  <c r="Z21" i="11" s="1"/>
  <c r="B22" i="11"/>
  <c r="C22" i="11" s="1"/>
  <c r="D22" i="11" s="1"/>
  <c r="E22" i="11"/>
  <c r="F22" i="11" s="1"/>
  <c r="G22" i="11" s="1"/>
  <c r="H22" i="11"/>
  <c r="I22" i="11" s="1"/>
  <c r="J22" i="11" s="1"/>
  <c r="K22" i="11"/>
  <c r="L22" i="11" s="1"/>
  <c r="M22" i="11" s="1"/>
  <c r="O22" i="11"/>
  <c r="P22" i="11" s="1"/>
  <c r="Q22" i="11" s="1"/>
  <c r="R22" i="11"/>
  <c r="S22" i="11" s="1"/>
  <c r="T22" i="11" s="1"/>
  <c r="X22" i="11"/>
  <c r="Y22" i="11" s="1"/>
  <c r="Z22" i="11" s="1"/>
  <c r="B23" i="11"/>
  <c r="C23" i="11" s="1"/>
  <c r="D23" i="11" s="1"/>
  <c r="E23" i="11"/>
  <c r="F23" i="11" s="1"/>
  <c r="G23" i="11" s="1"/>
  <c r="H23" i="11"/>
  <c r="I23" i="11" s="1"/>
  <c r="J23" i="11" s="1"/>
  <c r="K23" i="11"/>
  <c r="L23" i="11" s="1"/>
  <c r="M23" i="11" s="1"/>
  <c r="O23" i="11"/>
  <c r="P23" i="11" s="1"/>
  <c r="Q23" i="11" s="1"/>
  <c r="R23" i="11"/>
  <c r="S23" i="11" s="1"/>
  <c r="T23" i="11" s="1"/>
  <c r="X23" i="11"/>
  <c r="Y23" i="11" s="1"/>
  <c r="Z23" i="11" s="1"/>
  <c r="B24" i="11"/>
  <c r="C24" i="11" s="1"/>
  <c r="D24" i="11" s="1"/>
  <c r="E24" i="11"/>
  <c r="F24" i="11" s="1"/>
  <c r="G24" i="11" s="1"/>
  <c r="H24" i="11"/>
  <c r="I24" i="11" s="1"/>
  <c r="J24" i="11" s="1"/>
  <c r="K24" i="11"/>
  <c r="L24" i="11" s="1"/>
  <c r="M24" i="11" s="1"/>
  <c r="O24" i="11"/>
  <c r="P24" i="11" s="1"/>
  <c r="Q24" i="11" s="1"/>
  <c r="R24" i="11"/>
  <c r="S24" i="11" s="1"/>
  <c r="T24" i="11" s="1"/>
  <c r="X24" i="11"/>
  <c r="Y24" i="11" s="1"/>
  <c r="Z24" i="11" s="1"/>
  <c r="B25" i="11"/>
  <c r="C25" i="11" s="1"/>
  <c r="D25" i="11" s="1"/>
  <c r="E25" i="11"/>
  <c r="F25" i="11" s="1"/>
  <c r="G25" i="11" s="1"/>
  <c r="H25" i="11"/>
  <c r="I25" i="11" s="1"/>
  <c r="J25" i="11" s="1"/>
  <c r="K25" i="11"/>
  <c r="L25" i="11" s="1"/>
  <c r="M25" i="11" s="1"/>
  <c r="O25" i="11"/>
  <c r="P25" i="11" s="1"/>
  <c r="Q25" i="11" s="1"/>
  <c r="R25" i="11"/>
  <c r="S25" i="11" s="1"/>
  <c r="T25" i="11" s="1"/>
  <c r="X25" i="11"/>
  <c r="Y25" i="11" s="1"/>
  <c r="Z25" i="11" s="1"/>
  <c r="B26" i="11"/>
  <c r="C26" i="11" s="1"/>
  <c r="D26" i="11" s="1"/>
  <c r="E26" i="11"/>
  <c r="F26" i="11" s="1"/>
  <c r="G26" i="11" s="1"/>
  <c r="H26" i="11"/>
  <c r="I26" i="11" s="1"/>
  <c r="J26" i="11" s="1"/>
  <c r="K26" i="11"/>
  <c r="L26" i="11" s="1"/>
  <c r="M26" i="11" s="1"/>
  <c r="O26" i="11"/>
  <c r="P26" i="11" s="1"/>
  <c r="Q26" i="11" s="1"/>
  <c r="R26" i="11"/>
  <c r="S26" i="11" s="1"/>
  <c r="T26" i="11" s="1"/>
  <c r="X26" i="11"/>
  <c r="Y26" i="11" s="1"/>
  <c r="Z26" i="11" s="1"/>
  <c r="B27" i="11"/>
  <c r="E27" i="11"/>
  <c r="F27" i="11" s="1"/>
  <c r="G27" i="11" s="1"/>
  <c r="H27" i="11"/>
  <c r="I27" i="11" s="1"/>
  <c r="J27" i="11" s="1"/>
  <c r="K27" i="11"/>
  <c r="L27" i="11" s="1"/>
  <c r="M27" i="11" s="1"/>
  <c r="O27" i="11"/>
  <c r="P27" i="11" s="1"/>
  <c r="Q27" i="11" s="1"/>
  <c r="R27" i="11"/>
  <c r="S27" i="11" s="1"/>
  <c r="T27" i="11" s="1"/>
  <c r="X27" i="11"/>
  <c r="Y27" i="11" s="1"/>
  <c r="Z27" i="11" s="1"/>
  <c r="B28" i="11"/>
  <c r="C28" i="11" s="1"/>
  <c r="D28" i="11" s="1"/>
  <c r="E28" i="11"/>
  <c r="F28" i="11" s="1"/>
  <c r="G28" i="11" s="1"/>
  <c r="H28" i="11"/>
  <c r="I28" i="11" s="1"/>
  <c r="J28" i="11" s="1"/>
  <c r="K28" i="11"/>
  <c r="L28" i="11" s="1"/>
  <c r="M28" i="11" s="1"/>
  <c r="O28" i="11"/>
  <c r="P28" i="11" s="1"/>
  <c r="Q28" i="11" s="1"/>
  <c r="R28" i="11"/>
  <c r="S28" i="11" s="1"/>
  <c r="T28" i="11" s="1"/>
  <c r="X28" i="11"/>
  <c r="Y28" i="11" s="1"/>
  <c r="Z28" i="11" s="1"/>
  <c r="B29" i="11"/>
  <c r="C29" i="11" s="1"/>
  <c r="D29" i="11" s="1"/>
  <c r="E29" i="11"/>
  <c r="F29" i="11" s="1"/>
  <c r="G29" i="11" s="1"/>
  <c r="H29" i="11"/>
  <c r="I29" i="11" s="1"/>
  <c r="J29" i="11" s="1"/>
  <c r="K29" i="11"/>
  <c r="L29" i="11" s="1"/>
  <c r="M29" i="11" s="1"/>
  <c r="O29" i="11"/>
  <c r="P29" i="11" s="1"/>
  <c r="Q29" i="11" s="1"/>
  <c r="R29" i="11"/>
  <c r="S29" i="11" s="1"/>
  <c r="T29" i="11" s="1"/>
  <c r="X29" i="11"/>
  <c r="Y29" i="11" s="1"/>
  <c r="Z29" i="11" s="1"/>
  <c r="B30" i="11"/>
  <c r="C30" i="11" s="1"/>
  <c r="D30" i="11" s="1"/>
  <c r="E30" i="11"/>
  <c r="F30" i="11" s="1"/>
  <c r="G30" i="11" s="1"/>
  <c r="H30" i="11"/>
  <c r="I30" i="11" s="1"/>
  <c r="J30" i="11" s="1"/>
  <c r="K30" i="11"/>
  <c r="L30" i="11" s="1"/>
  <c r="M30" i="11" s="1"/>
  <c r="O30" i="11"/>
  <c r="P30" i="11" s="1"/>
  <c r="Q30" i="11" s="1"/>
  <c r="R30" i="11"/>
  <c r="S30" i="11" s="1"/>
  <c r="T30" i="11" s="1"/>
  <c r="X30" i="11"/>
  <c r="Y30" i="11" s="1"/>
  <c r="Z30" i="11" s="1"/>
  <c r="B31" i="11"/>
  <c r="C31" i="11" s="1"/>
  <c r="D31" i="11" s="1"/>
  <c r="E31" i="11"/>
  <c r="F31" i="11" s="1"/>
  <c r="G31" i="11" s="1"/>
  <c r="H31" i="11"/>
  <c r="I31" i="11" s="1"/>
  <c r="J31" i="11" s="1"/>
  <c r="K31" i="11"/>
  <c r="L31" i="11" s="1"/>
  <c r="M31" i="11" s="1"/>
  <c r="O31" i="11"/>
  <c r="P31" i="11" s="1"/>
  <c r="Q31" i="11" s="1"/>
  <c r="R31" i="11"/>
  <c r="S31" i="11" s="1"/>
  <c r="T31" i="11" s="1"/>
  <c r="X31" i="11"/>
  <c r="Y31" i="11" s="1"/>
  <c r="Z31" i="11" s="1"/>
  <c r="B32" i="11"/>
  <c r="E32" i="11"/>
  <c r="F32" i="11" s="1"/>
  <c r="G32" i="11" s="1"/>
  <c r="H32" i="11"/>
  <c r="I32" i="11" s="1"/>
  <c r="J32" i="11" s="1"/>
  <c r="K32" i="11"/>
  <c r="L32" i="11" s="1"/>
  <c r="M32" i="11" s="1"/>
  <c r="O32" i="11"/>
  <c r="P32" i="11" s="1"/>
  <c r="Q32" i="11" s="1"/>
  <c r="R32" i="11"/>
  <c r="S32" i="11" s="1"/>
  <c r="T32" i="11" s="1"/>
  <c r="X32" i="11"/>
  <c r="Y32" i="11" s="1"/>
  <c r="Z32" i="11" s="1"/>
  <c r="B33" i="11"/>
  <c r="C33" i="11" s="1"/>
  <c r="D33" i="11" s="1"/>
  <c r="E33" i="11"/>
  <c r="F33" i="11" s="1"/>
  <c r="G33" i="11" s="1"/>
  <c r="H33" i="11"/>
  <c r="I33" i="11" s="1"/>
  <c r="J33" i="11" s="1"/>
  <c r="K33" i="11"/>
  <c r="L33" i="11" s="1"/>
  <c r="M33" i="11" s="1"/>
  <c r="O33" i="11"/>
  <c r="P33" i="11" s="1"/>
  <c r="Q33" i="11" s="1"/>
  <c r="R33" i="11"/>
  <c r="S33" i="11" s="1"/>
  <c r="T33" i="11" s="1"/>
  <c r="X33" i="11"/>
  <c r="Y33" i="11" s="1"/>
  <c r="Z33" i="11" s="1"/>
  <c r="B34" i="11"/>
  <c r="C34" i="11" s="1"/>
  <c r="D34" i="11" s="1"/>
  <c r="E34" i="11"/>
  <c r="F34" i="11" s="1"/>
  <c r="G34" i="11" s="1"/>
  <c r="H34" i="11"/>
  <c r="I34" i="11" s="1"/>
  <c r="J34" i="11" s="1"/>
  <c r="K34" i="11"/>
  <c r="L34" i="11" s="1"/>
  <c r="M34" i="11" s="1"/>
  <c r="O34" i="11"/>
  <c r="P34" i="11" s="1"/>
  <c r="R34" i="11"/>
  <c r="S34" i="11" s="1"/>
  <c r="T34" i="11" s="1"/>
  <c r="V34" i="11"/>
  <c r="W34" i="11" s="1"/>
  <c r="X34" i="11"/>
  <c r="Y34" i="11" s="1"/>
  <c r="Z34" i="11" s="1"/>
  <c r="B35" i="11"/>
  <c r="C35" i="11" s="1"/>
  <c r="D35" i="11" s="1"/>
  <c r="E35" i="11"/>
  <c r="F35" i="11" s="1"/>
  <c r="G35" i="11" s="1"/>
  <c r="H35" i="11"/>
  <c r="I35" i="11" s="1"/>
  <c r="J35" i="11" s="1"/>
  <c r="K35" i="11"/>
  <c r="L35" i="11" s="1"/>
  <c r="M35" i="11" s="1"/>
  <c r="O35" i="11"/>
  <c r="P35" i="11" s="1"/>
  <c r="Q35" i="11" s="1"/>
  <c r="AD35" i="11" s="1"/>
  <c r="R35" i="11"/>
  <c r="S35" i="11" s="1"/>
  <c r="T35" i="11" s="1"/>
  <c r="X35" i="11"/>
  <c r="Y35" i="11" s="1"/>
  <c r="Z35" i="11" s="1"/>
  <c r="X5" i="11"/>
  <c r="Y5" i="11" s="1"/>
  <c r="R5" i="11"/>
  <c r="S5" i="11" s="1"/>
  <c r="T5" i="11" s="1"/>
  <c r="O5" i="11"/>
  <c r="P5" i="11" s="1"/>
  <c r="Q5" i="11" s="1"/>
  <c r="K5" i="11"/>
  <c r="L5" i="11" s="1"/>
  <c r="M5" i="11" s="1"/>
  <c r="H5" i="11"/>
  <c r="I5" i="11" s="1"/>
  <c r="J5" i="11" s="1"/>
  <c r="E5" i="11"/>
  <c r="F5" i="11" s="1"/>
  <c r="G5" i="11" s="1"/>
  <c r="B5" i="11"/>
  <c r="C5" i="11" s="1"/>
  <c r="D5" i="11" s="1"/>
  <c r="H34" i="9"/>
  <c r="X6" i="16"/>
  <c r="Y6" i="16" s="1"/>
  <c r="Z6" i="16" s="1"/>
  <c r="X7" i="16"/>
  <c r="Y7" i="16" s="1"/>
  <c r="Z7" i="16" s="1"/>
  <c r="X8" i="16"/>
  <c r="Y8" i="16" s="1"/>
  <c r="Z8" i="16" s="1"/>
  <c r="X9" i="16"/>
  <c r="Y9" i="16" s="1"/>
  <c r="Z9" i="16" s="1"/>
  <c r="X10" i="16"/>
  <c r="Y10" i="16" s="1"/>
  <c r="Z10" i="16" s="1"/>
  <c r="X11" i="16"/>
  <c r="Y11" i="16" s="1"/>
  <c r="Z11" i="16" s="1"/>
  <c r="X12" i="16"/>
  <c r="Y12" i="16" s="1"/>
  <c r="Z12" i="16" s="1"/>
  <c r="X13" i="16"/>
  <c r="Y13" i="16" s="1"/>
  <c r="Z13" i="16" s="1"/>
  <c r="X14" i="16"/>
  <c r="Y14" i="16" s="1"/>
  <c r="Z14" i="16" s="1"/>
  <c r="X15" i="16"/>
  <c r="Y15" i="16" s="1"/>
  <c r="Z15" i="16" s="1"/>
  <c r="X16" i="16"/>
  <c r="Y16" i="16" s="1"/>
  <c r="Z16" i="16" s="1"/>
  <c r="X17" i="16"/>
  <c r="Y17" i="16" s="1"/>
  <c r="Z17" i="16" s="1"/>
  <c r="X18" i="16"/>
  <c r="Y18" i="16" s="1"/>
  <c r="Z18" i="16" s="1"/>
  <c r="X19" i="16"/>
  <c r="Y19" i="16" s="1"/>
  <c r="Z19" i="16" s="1"/>
  <c r="X20" i="16"/>
  <c r="Y20" i="16" s="1"/>
  <c r="Z20" i="16" s="1"/>
  <c r="X21" i="16"/>
  <c r="Y21" i="16" s="1"/>
  <c r="Z21" i="16" s="1"/>
  <c r="X22" i="16"/>
  <c r="Y22" i="16" s="1"/>
  <c r="Z22" i="16" s="1"/>
  <c r="X23" i="16"/>
  <c r="Y23" i="16" s="1"/>
  <c r="Z23" i="16" s="1"/>
  <c r="X24" i="16"/>
  <c r="Y24" i="16" s="1"/>
  <c r="Z24" i="16" s="1"/>
  <c r="X25" i="16"/>
  <c r="Y25" i="16" s="1"/>
  <c r="Z25" i="16" s="1"/>
  <c r="X26" i="16"/>
  <c r="Y26" i="16" s="1"/>
  <c r="Z26" i="16" s="1"/>
  <c r="X27" i="16"/>
  <c r="Y27" i="16" s="1"/>
  <c r="Z27" i="16" s="1"/>
  <c r="X28" i="16"/>
  <c r="Y28" i="16" s="1"/>
  <c r="Z28" i="16" s="1"/>
  <c r="X29" i="16"/>
  <c r="Y29" i="16" s="1"/>
  <c r="Z29" i="16" s="1"/>
  <c r="X30" i="16"/>
  <c r="Y30" i="16" s="1"/>
  <c r="Z30" i="16" s="1"/>
  <c r="X31" i="16"/>
  <c r="Y31" i="16" s="1"/>
  <c r="Z31" i="16" s="1"/>
  <c r="X32" i="16"/>
  <c r="Y32" i="16" s="1"/>
  <c r="Z32" i="16" s="1"/>
  <c r="X33" i="16"/>
  <c r="Y33" i="16" s="1"/>
  <c r="Z33" i="16" s="1"/>
  <c r="X34" i="16"/>
  <c r="Y34" i="16" s="1"/>
  <c r="Z34" i="16" s="1"/>
  <c r="X35" i="16"/>
  <c r="Y35" i="16" s="1"/>
  <c r="Z35" i="16" s="1"/>
  <c r="X5" i="16"/>
  <c r="Y5" i="16" s="1"/>
  <c r="B6" i="16"/>
  <c r="E6" i="16"/>
  <c r="F6" i="16" s="1"/>
  <c r="G6" i="16" s="1"/>
  <c r="O6" i="16"/>
  <c r="P6" i="16" s="1"/>
  <c r="Q6" i="16" s="1"/>
  <c r="R6" i="16"/>
  <c r="S6" i="16" s="1"/>
  <c r="T6" i="16" s="1"/>
  <c r="B7" i="16"/>
  <c r="C7" i="16" s="1"/>
  <c r="D7" i="16" s="1"/>
  <c r="E7" i="16"/>
  <c r="F7" i="16" s="1"/>
  <c r="G7" i="16" s="1"/>
  <c r="O7" i="16"/>
  <c r="P7" i="16" s="1"/>
  <c r="Q7" i="16" s="1"/>
  <c r="R7" i="16"/>
  <c r="S7" i="16" s="1"/>
  <c r="T7" i="16" s="1"/>
  <c r="B8" i="16"/>
  <c r="C8" i="16" s="1"/>
  <c r="D8" i="16" s="1"/>
  <c r="E8" i="16"/>
  <c r="F8" i="16" s="1"/>
  <c r="G8" i="16" s="1"/>
  <c r="L8" i="16"/>
  <c r="M8" i="16" s="1"/>
  <c r="O8" i="16"/>
  <c r="P8" i="16" s="1"/>
  <c r="Q8" i="16" s="1"/>
  <c r="R8" i="16"/>
  <c r="S8" i="16" s="1"/>
  <c r="T8" i="16" s="1"/>
  <c r="B9" i="16"/>
  <c r="C9" i="16" s="1"/>
  <c r="D9" i="16" s="1"/>
  <c r="E9" i="16"/>
  <c r="F9" i="16" s="1"/>
  <c r="O9" i="16"/>
  <c r="P9" i="16" s="1"/>
  <c r="Q9" i="16" s="1"/>
  <c r="R9" i="16"/>
  <c r="S9" i="16" s="1"/>
  <c r="T9" i="16" s="1"/>
  <c r="B10" i="16"/>
  <c r="C10" i="16" s="1"/>
  <c r="D10" i="16" s="1"/>
  <c r="E10" i="16"/>
  <c r="F10" i="16" s="1"/>
  <c r="G10" i="16" s="1"/>
  <c r="O10" i="16"/>
  <c r="P10" i="16" s="1"/>
  <c r="Q10" i="16" s="1"/>
  <c r="R10" i="16"/>
  <c r="S10" i="16" s="1"/>
  <c r="T10" i="16" s="1"/>
  <c r="B11" i="16"/>
  <c r="C11" i="16" s="1"/>
  <c r="E11" i="16"/>
  <c r="F11" i="16" s="1"/>
  <c r="G11" i="16" s="1"/>
  <c r="O11" i="16"/>
  <c r="P11" i="16" s="1"/>
  <c r="Q11" i="16" s="1"/>
  <c r="R11" i="16"/>
  <c r="S11" i="16" s="1"/>
  <c r="T11" i="16" s="1"/>
  <c r="V11" i="16"/>
  <c r="W11" i="16" s="1"/>
  <c r="B12" i="16"/>
  <c r="C12" i="16" s="1"/>
  <c r="D12" i="16" s="1"/>
  <c r="E12" i="16"/>
  <c r="F12" i="16" s="1"/>
  <c r="G12" i="16" s="1"/>
  <c r="O12" i="16"/>
  <c r="P12" i="16" s="1"/>
  <c r="R12" i="16"/>
  <c r="S12" i="16" s="1"/>
  <c r="B13" i="16"/>
  <c r="C13" i="16" s="1"/>
  <c r="D13" i="16" s="1"/>
  <c r="E13" i="16"/>
  <c r="F13" i="16" s="1"/>
  <c r="G13" i="16" s="1"/>
  <c r="O13" i="16"/>
  <c r="P13" i="16" s="1"/>
  <c r="Q13" i="16" s="1"/>
  <c r="R13" i="16"/>
  <c r="S13" i="16" s="1"/>
  <c r="T13" i="16" s="1"/>
  <c r="B14" i="16"/>
  <c r="C14" i="16" s="1"/>
  <c r="D14" i="16" s="1"/>
  <c r="E14" i="16"/>
  <c r="F14" i="16" s="1"/>
  <c r="G14" i="16" s="1"/>
  <c r="O14" i="16"/>
  <c r="P14" i="16" s="1"/>
  <c r="Q14" i="16" s="1"/>
  <c r="R14" i="16"/>
  <c r="S14" i="16" s="1"/>
  <c r="T14" i="16" s="1"/>
  <c r="B15" i="16"/>
  <c r="C15" i="16" s="1"/>
  <c r="D15" i="16" s="1"/>
  <c r="E15" i="16"/>
  <c r="F15" i="16" s="1"/>
  <c r="G15" i="16" s="1"/>
  <c r="I15" i="16"/>
  <c r="J15" i="16" s="1"/>
  <c r="O15" i="16"/>
  <c r="P15" i="16" s="1"/>
  <c r="Q15" i="16" s="1"/>
  <c r="R15" i="16"/>
  <c r="S15" i="16" s="1"/>
  <c r="T15" i="16" s="1"/>
  <c r="B16" i="16"/>
  <c r="C16" i="16" s="1"/>
  <c r="D16" i="16" s="1"/>
  <c r="E16" i="16"/>
  <c r="F16" i="16" s="1"/>
  <c r="G16" i="16" s="1"/>
  <c r="O16" i="16"/>
  <c r="R16" i="16"/>
  <c r="S16" i="16" s="1"/>
  <c r="T16" i="16" s="1"/>
  <c r="B17" i="16"/>
  <c r="E17" i="16"/>
  <c r="F17" i="16" s="1"/>
  <c r="G17" i="16" s="1"/>
  <c r="O17" i="16"/>
  <c r="P17" i="16" s="1"/>
  <c r="Q17" i="16" s="1"/>
  <c r="R17" i="16"/>
  <c r="S17" i="16" s="1"/>
  <c r="T17" i="16" s="1"/>
  <c r="B18" i="16"/>
  <c r="C18" i="16" s="1"/>
  <c r="D18" i="16" s="1"/>
  <c r="E18" i="16"/>
  <c r="F18" i="16" s="1"/>
  <c r="G18" i="16" s="1"/>
  <c r="O18" i="16"/>
  <c r="P18" i="16" s="1"/>
  <c r="Q18" i="16" s="1"/>
  <c r="R18" i="16"/>
  <c r="S18" i="16" s="1"/>
  <c r="T18" i="16" s="1"/>
  <c r="B19" i="16"/>
  <c r="C19" i="16" s="1"/>
  <c r="D19" i="16" s="1"/>
  <c r="E19" i="16"/>
  <c r="F19" i="16" s="1"/>
  <c r="G19" i="16" s="1"/>
  <c r="O19" i="16"/>
  <c r="P19" i="16" s="1"/>
  <c r="Q19" i="16" s="1"/>
  <c r="R19" i="16"/>
  <c r="S19" i="16" s="1"/>
  <c r="T19" i="16" s="1"/>
  <c r="B20" i="16"/>
  <c r="C20" i="16" s="1"/>
  <c r="D20" i="16" s="1"/>
  <c r="E20" i="16"/>
  <c r="F20" i="16" s="1"/>
  <c r="G20" i="16" s="1"/>
  <c r="O20" i="16"/>
  <c r="P20" i="16" s="1"/>
  <c r="Q20" i="16" s="1"/>
  <c r="R20" i="16"/>
  <c r="S20" i="16" s="1"/>
  <c r="T20" i="16" s="1"/>
  <c r="B21" i="16"/>
  <c r="C21" i="16" s="1"/>
  <c r="D21" i="16" s="1"/>
  <c r="E21" i="16"/>
  <c r="F21" i="16" s="1"/>
  <c r="G21" i="16" s="1"/>
  <c r="O21" i="16"/>
  <c r="P21" i="16" s="1"/>
  <c r="Q21" i="16" s="1"/>
  <c r="R21" i="16"/>
  <c r="S21" i="16" s="1"/>
  <c r="T21" i="16" s="1"/>
  <c r="B22" i="16"/>
  <c r="C22" i="16" s="1"/>
  <c r="D22" i="16" s="1"/>
  <c r="E22" i="16"/>
  <c r="F22" i="16" s="1"/>
  <c r="G22" i="16" s="1"/>
  <c r="O22" i="16"/>
  <c r="R22" i="16"/>
  <c r="S22" i="16" s="1"/>
  <c r="T22" i="16" s="1"/>
  <c r="B23" i="16"/>
  <c r="C23" i="16" s="1"/>
  <c r="E23" i="16"/>
  <c r="F23" i="16" s="1"/>
  <c r="G23" i="16" s="1"/>
  <c r="O23" i="16"/>
  <c r="P23" i="16" s="1"/>
  <c r="Q23" i="16" s="1"/>
  <c r="R23" i="16"/>
  <c r="S23" i="16" s="1"/>
  <c r="T23" i="16" s="1"/>
  <c r="B24" i="16"/>
  <c r="C24" i="16" s="1"/>
  <c r="D24" i="16" s="1"/>
  <c r="E24" i="16"/>
  <c r="F24" i="16" s="1"/>
  <c r="G24" i="16" s="1"/>
  <c r="L24" i="16"/>
  <c r="M24" i="16" s="1"/>
  <c r="O24" i="16"/>
  <c r="P24" i="16" s="1"/>
  <c r="R24" i="16"/>
  <c r="S24" i="16" s="1"/>
  <c r="T24" i="16" s="1"/>
  <c r="B25" i="16"/>
  <c r="C25" i="16" s="1"/>
  <c r="D25" i="16" s="1"/>
  <c r="E25" i="16"/>
  <c r="F25" i="16" s="1"/>
  <c r="G25" i="16" s="1"/>
  <c r="O25" i="16"/>
  <c r="P25" i="16" s="1"/>
  <c r="Q25" i="16" s="1"/>
  <c r="R25" i="16"/>
  <c r="S25" i="16" s="1"/>
  <c r="T25" i="16" s="1"/>
  <c r="B26" i="16"/>
  <c r="C26" i="16" s="1"/>
  <c r="D26" i="16" s="1"/>
  <c r="E26" i="16"/>
  <c r="F26" i="16" s="1"/>
  <c r="G26" i="16" s="1"/>
  <c r="O26" i="16"/>
  <c r="P26" i="16" s="1"/>
  <c r="R26" i="16"/>
  <c r="S26" i="16" s="1"/>
  <c r="T26" i="16" s="1"/>
  <c r="B27" i="16"/>
  <c r="E27" i="16"/>
  <c r="F27" i="16" s="1"/>
  <c r="G27" i="16" s="1"/>
  <c r="O27" i="16"/>
  <c r="P27" i="16" s="1"/>
  <c r="Q27" i="16" s="1"/>
  <c r="R27" i="16"/>
  <c r="S27" i="16" s="1"/>
  <c r="T27" i="16" s="1"/>
  <c r="V27" i="16"/>
  <c r="W27" i="16" s="1"/>
  <c r="B28" i="16"/>
  <c r="C28" i="16" s="1"/>
  <c r="D28" i="16" s="1"/>
  <c r="E28" i="16"/>
  <c r="F28" i="16" s="1"/>
  <c r="G28" i="16" s="1"/>
  <c r="O28" i="16"/>
  <c r="R28" i="16"/>
  <c r="S28" i="16" s="1"/>
  <c r="T28" i="16" s="1"/>
  <c r="B29" i="16"/>
  <c r="C29" i="16" s="1"/>
  <c r="E29" i="16"/>
  <c r="F29" i="16" s="1"/>
  <c r="G29" i="16" s="1"/>
  <c r="O29" i="16"/>
  <c r="P29" i="16" s="1"/>
  <c r="Q29" i="16" s="1"/>
  <c r="R29" i="16"/>
  <c r="S29" i="16" s="1"/>
  <c r="T29" i="16" s="1"/>
  <c r="B30" i="16"/>
  <c r="C30" i="16" s="1"/>
  <c r="D30" i="16" s="1"/>
  <c r="E30" i="16"/>
  <c r="F30" i="16" s="1"/>
  <c r="G30" i="16" s="1"/>
  <c r="O30" i="16"/>
  <c r="P30" i="16" s="1"/>
  <c r="R30" i="16"/>
  <c r="S30" i="16" s="1"/>
  <c r="T30" i="16" s="1"/>
  <c r="B31" i="16"/>
  <c r="E31" i="16"/>
  <c r="F31" i="16" s="1"/>
  <c r="G31" i="16" s="1"/>
  <c r="I31" i="16"/>
  <c r="J31" i="16" s="1"/>
  <c r="O31" i="16"/>
  <c r="P31" i="16" s="1"/>
  <c r="Q31" i="16" s="1"/>
  <c r="R31" i="16"/>
  <c r="S31" i="16" s="1"/>
  <c r="T31" i="16" s="1"/>
  <c r="B32" i="16"/>
  <c r="C32" i="16" s="1"/>
  <c r="D32" i="16" s="1"/>
  <c r="E32" i="16"/>
  <c r="F32" i="16" s="1"/>
  <c r="G32" i="16" s="1"/>
  <c r="O32" i="16"/>
  <c r="P32" i="16" s="1"/>
  <c r="R32" i="16"/>
  <c r="S32" i="16" s="1"/>
  <c r="T32" i="16" s="1"/>
  <c r="B33" i="16"/>
  <c r="C33" i="16" s="1"/>
  <c r="D33" i="16" s="1"/>
  <c r="E33" i="16"/>
  <c r="F33" i="16" s="1"/>
  <c r="G33" i="16" s="1"/>
  <c r="O33" i="16"/>
  <c r="R33" i="16"/>
  <c r="S33" i="16" s="1"/>
  <c r="T33" i="16" s="1"/>
  <c r="B34" i="16"/>
  <c r="E34" i="16"/>
  <c r="F34" i="16" s="1"/>
  <c r="G34" i="16" s="1"/>
  <c r="O34" i="16"/>
  <c r="P34" i="16" s="1"/>
  <c r="Q34" i="16" s="1"/>
  <c r="R34" i="16"/>
  <c r="S34" i="16" s="1"/>
  <c r="T34" i="16" s="1"/>
  <c r="B35" i="16"/>
  <c r="C35" i="16" s="1"/>
  <c r="E35" i="16"/>
  <c r="F35" i="16" s="1"/>
  <c r="G35" i="16" s="1"/>
  <c r="O35" i="16"/>
  <c r="P35" i="16" s="1"/>
  <c r="Q35" i="16" s="1"/>
  <c r="R35" i="16"/>
  <c r="S35" i="16" s="1"/>
  <c r="T35" i="16" s="1"/>
  <c r="R5" i="16"/>
  <c r="S5" i="16" s="1"/>
  <c r="T5" i="16" s="1"/>
  <c r="O5" i="16"/>
  <c r="E5" i="16"/>
  <c r="F5" i="16" s="1"/>
  <c r="G5" i="16" s="1"/>
  <c r="B5" i="16"/>
  <c r="C5" i="16" s="1"/>
  <c r="D5" i="16" s="1"/>
  <c r="B6" i="9"/>
  <c r="E6" i="9"/>
  <c r="F6" i="9" s="1"/>
  <c r="G6" i="9" s="1"/>
  <c r="H6" i="9"/>
  <c r="I6" i="9"/>
  <c r="J6" i="9"/>
  <c r="K6" i="9"/>
  <c r="L6" i="9" s="1"/>
  <c r="M6" i="9" s="1"/>
  <c r="O6" i="9"/>
  <c r="P6" i="9" s="1"/>
  <c r="Q6" i="9" s="1"/>
  <c r="R6" i="9"/>
  <c r="S6" i="9" s="1"/>
  <c r="T6" i="9" s="1"/>
  <c r="U6" i="9"/>
  <c r="V6" i="9" s="1"/>
  <c r="W6" i="9" s="1"/>
  <c r="X6" i="9"/>
  <c r="Y6" i="9" s="1"/>
  <c r="Z6" i="9" s="1"/>
  <c r="B7" i="9"/>
  <c r="C7" i="9" s="1"/>
  <c r="D7" i="9" s="1"/>
  <c r="E7" i="9"/>
  <c r="F7" i="9" s="1"/>
  <c r="G7" i="9" s="1"/>
  <c r="H7" i="9"/>
  <c r="I7" i="9" s="1"/>
  <c r="J7" i="9" s="1"/>
  <c r="K7" i="9"/>
  <c r="L7" i="9" s="1"/>
  <c r="O7" i="9"/>
  <c r="P7" i="9" s="1"/>
  <c r="R7" i="9"/>
  <c r="S7" i="9" s="1"/>
  <c r="T7" i="9" s="1"/>
  <c r="U7" i="9"/>
  <c r="V7" i="9" s="1"/>
  <c r="W7" i="9" s="1"/>
  <c r="X7" i="9"/>
  <c r="Y7" i="9" s="1"/>
  <c r="Z7" i="9" s="1"/>
  <c r="B8" i="9"/>
  <c r="C8" i="9" s="1"/>
  <c r="D8" i="9" s="1"/>
  <c r="E8" i="9"/>
  <c r="F8" i="9" s="1"/>
  <c r="G8" i="9" s="1"/>
  <c r="H8" i="9"/>
  <c r="I8" i="9"/>
  <c r="J8" i="9"/>
  <c r="K8" i="9"/>
  <c r="L8" i="9" s="1"/>
  <c r="M8" i="9" s="1"/>
  <c r="O8" i="9"/>
  <c r="P8" i="9" s="1"/>
  <c r="Q8" i="9" s="1"/>
  <c r="R8" i="9"/>
  <c r="S8" i="9" s="1"/>
  <c r="T8" i="9" s="1"/>
  <c r="U8" i="9"/>
  <c r="V8" i="9" s="1"/>
  <c r="W8" i="9" s="1"/>
  <c r="X8" i="9"/>
  <c r="Y8" i="9" s="1"/>
  <c r="Z8" i="9" s="1"/>
  <c r="B9" i="9"/>
  <c r="C9" i="9" s="1"/>
  <c r="D9" i="9" s="1"/>
  <c r="E9" i="9"/>
  <c r="F9" i="9" s="1"/>
  <c r="G9" i="9" s="1"/>
  <c r="H9" i="9"/>
  <c r="I9" i="9" s="1"/>
  <c r="J9" i="9" s="1"/>
  <c r="K9" i="9"/>
  <c r="L9" i="9" s="1"/>
  <c r="M9" i="9" s="1"/>
  <c r="O9" i="9"/>
  <c r="P9" i="9" s="1"/>
  <c r="Q9" i="9" s="1"/>
  <c r="R9" i="9"/>
  <c r="S9" i="9" s="1"/>
  <c r="T9" i="9" s="1"/>
  <c r="U9" i="9"/>
  <c r="V9" i="9" s="1"/>
  <c r="W9" i="9" s="1"/>
  <c r="X9" i="9"/>
  <c r="Y9" i="9" s="1"/>
  <c r="Z9" i="9" s="1"/>
  <c r="B10" i="9"/>
  <c r="C10" i="9" s="1"/>
  <c r="E10" i="9"/>
  <c r="F10" i="9" s="1"/>
  <c r="G10" i="9" s="1"/>
  <c r="H10" i="9"/>
  <c r="I10" i="9"/>
  <c r="J10" i="9"/>
  <c r="K10" i="9"/>
  <c r="L10" i="9" s="1"/>
  <c r="M10" i="9" s="1"/>
  <c r="O10" i="9"/>
  <c r="P10" i="9" s="1"/>
  <c r="Q10" i="9" s="1"/>
  <c r="R10" i="9"/>
  <c r="S10" i="9" s="1"/>
  <c r="T10" i="9" s="1"/>
  <c r="U10" i="9"/>
  <c r="V10" i="9" s="1"/>
  <c r="W10" i="9" s="1"/>
  <c r="X10" i="9"/>
  <c r="Y10" i="9" s="1"/>
  <c r="B11" i="9"/>
  <c r="C11" i="9" s="1"/>
  <c r="E11" i="9"/>
  <c r="F11" i="9" s="1"/>
  <c r="G11" i="9" s="1"/>
  <c r="H11" i="9"/>
  <c r="I11" i="9" s="1"/>
  <c r="J11" i="9" s="1"/>
  <c r="K11" i="9"/>
  <c r="L11" i="9" s="1"/>
  <c r="M11" i="9" s="1"/>
  <c r="O11" i="9"/>
  <c r="P11" i="9" s="1"/>
  <c r="Q11" i="9" s="1"/>
  <c r="R11" i="9"/>
  <c r="S11" i="9" s="1"/>
  <c r="T11" i="9" s="1"/>
  <c r="U11" i="9"/>
  <c r="V11" i="9" s="1"/>
  <c r="W11" i="9" s="1"/>
  <c r="X11" i="9"/>
  <c r="Y11" i="9" s="1"/>
  <c r="Z11" i="9" s="1"/>
  <c r="B12" i="9"/>
  <c r="E12" i="9"/>
  <c r="F12" i="9" s="1"/>
  <c r="G12" i="9" s="1"/>
  <c r="H12" i="9"/>
  <c r="I12" i="9"/>
  <c r="J12" i="9"/>
  <c r="K12" i="9"/>
  <c r="L12" i="9" s="1"/>
  <c r="M12" i="9" s="1"/>
  <c r="O12" i="9"/>
  <c r="P12" i="9" s="1"/>
  <c r="Q12" i="9" s="1"/>
  <c r="R12" i="9"/>
  <c r="S12" i="9" s="1"/>
  <c r="T12" i="9" s="1"/>
  <c r="U12" i="9"/>
  <c r="V12" i="9" s="1"/>
  <c r="W12" i="9" s="1"/>
  <c r="X12" i="9"/>
  <c r="Y12" i="9" s="1"/>
  <c r="Z12" i="9" s="1"/>
  <c r="B13" i="9"/>
  <c r="C13" i="9" s="1"/>
  <c r="D13" i="9" s="1"/>
  <c r="E13" i="9"/>
  <c r="F13" i="9" s="1"/>
  <c r="G13" i="9" s="1"/>
  <c r="H13" i="9"/>
  <c r="I13" i="9" s="1"/>
  <c r="J13" i="9" s="1"/>
  <c r="K13" i="9"/>
  <c r="L13" i="9" s="1"/>
  <c r="M13" i="9" s="1"/>
  <c r="O13" i="9"/>
  <c r="P13" i="9" s="1"/>
  <c r="Q13" i="9" s="1"/>
  <c r="R13" i="9"/>
  <c r="S13" i="9" s="1"/>
  <c r="T13" i="9" s="1"/>
  <c r="U13" i="9"/>
  <c r="V13" i="9" s="1"/>
  <c r="W13" i="9" s="1"/>
  <c r="X13" i="9"/>
  <c r="Y13" i="9" s="1"/>
  <c r="Z13" i="9" s="1"/>
  <c r="B14" i="9"/>
  <c r="C14" i="9" s="1"/>
  <c r="E14" i="9"/>
  <c r="F14" i="9" s="1"/>
  <c r="G14" i="9" s="1"/>
  <c r="H14" i="9"/>
  <c r="I14" i="9"/>
  <c r="J14" i="9"/>
  <c r="K14" i="9"/>
  <c r="L14" i="9" s="1"/>
  <c r="M14" i="9" s="1"/>
  <c r="O14" i="9"/>
  <c r="P14" i="9" s="1"/>
  <c r="Q14" i="9" s="1"/>
  <c r="R14" i="9"/>
  <c r="S14" i="9" s="1"/>
  <c r="T14" i="9" s="1"/>
  <c r="U14" i="9"/>
  <c r="V14" i="9" s="1"/>
  <c r="W14" i="9" s="1"/>
  <c r="X14" i="9"/>
  <c r="Y14" i="9" s="1"/>
  <c r="Z14" i="9" s="1"/>
  <c r="B15" i="9"/>
  <c r="E15" i="9"/>
  <c r="F15" i="9" s="1"/>
  <c r="G15" i="9" s="1"/>
  <c r="H15" i="9"/>
  <c r="I15" i="9" s="1"/>
  <c r="J15" i="9" s="1"/>
  <c r="K15" i="9"/>
  <c r="L15" i="9" s="1"/>
  <c r="M15" i="9" s="1"/>
  <c r="O15" i="9"/>
  <c r="P15" i="9" s="1"/>
  <c r="Q15" i="9" s="1"/>
  <c r="R15" i="9"/>
  <c r="S15" i="9" s="1"/>
  <c r="T15" i="9" s="1"/>
  <c r="U15" i="9"/>
  <c r="V15" i="9" s="1"/>
  <c r="W15" i="9" s="1"/>
  <c r="X15" i="9"/>
  <c r="Y15" i="9" s="1"/>
  <c r="Z15" i="9" s="1"/>
  <c r="B16" i="9"/>
  <c r="C16" i="9" s="1"/>
  <c r="D16" i="9" s="1"/>
  <c r="E16" i="9"/>
  <c r="F16" i="9" s="1"/>
  <c r="G16" i="9" s="1"/>
  <c r="H16" i="9"/>
  <c r="I16" i="9"/>
  <c r="J16" i="9"/>
  <c r="K16" i="9"/>
  <c r="L16" i="9" s="1"/>
  <c r="M16" i="9" s="1"/>
  <c r="O16" i="9"/>
  <c r="P16" i="9" s="1"/>
  <c r="Q16" i="9" s="1"/>
  <c r="R16" i="9"/>
  <c r="S16" i="9" s="1"/>
  <c r="T16" i="9" s="1"/>
  <c r="U16" i="9"/>
  <c r="V16" i="9" s="1"/>
  <c r="W16" i="9" s="1"/>
  <c r="X16" i="9"/>
  <c r="Y16" i="9" s="1"/>
  <c r="Z16" i="9" s="1"/>
  <c r="B17" i="9"/>
  <c r="C17" i="9" s="1"/>
  <c r="D17" i="9" s="1"/>
  <c r="E17" i="9"/>
  <c r="F17" i="9" s="1"/>
  <c r="G17" i="9" s="1"/>
  <c r="H17" i="9"/>
  <c r="I17" i="9" s="1"/>
  <c r="J17" i="9" s="1"/>
  <c r="K17" i="9"/>
  <c r="L17" i="9" s="1"/>
  <c r="M17" i="9" s="1"/>
  <c r="O17" i="9"/>
  <c r="P17" i="9" s="1"/>
  <c r="R17" i="9"/>
  <c r="S17" i="9" s="1"/>
  <c r="T17" i="9" s="1"/>
  <c r="U17" i="9"/>
  <c r="V17" i="9" s="1"/>
  <c r="W17" i="9" s="1"/>
  <c r="X17" i="9"/>
  <c r="Y17" i="9" s="1"/>
  <c r="Z17" i="9" s="1"/>
  <c r="B18" i="9"/>
  <c r="E18" i="9"/>
  <c r="F18" i="9" s="1"/>
  <c r="G18" i="9" s="1"/>
  <c r="H18" i="9"/>
  <c r="I18" i="9"/>
  <c r="J18" i="9"/>
  <c r="K18" i="9"/>
  <c r="L18" i="9" s="1"/>
  <c r="M18" i="9" s="1"/>
  <c r="O18" i="9"/>
  <c r="P18" i="9" s="1"/>
  <c r="Q18" i="9" s="1"/>
  <c r="R18" i="9"/>
  <c r="S18" i="9" s="1"/>
  <c r="T18" i="9" s="1"/>
  <c r="U18" i="9"/>
  <c r="V18" i="9" s="1"/>
  <c r="W18" i="9" s="1"/>
  <c r="X18" i="9"/>
  <c r="Y18" i="9" s="1"/>
  <c r="Z18" i="9" s="1"/>
  <c r="B19" i="9"/>
  <c r="C19" i="9" s="1"/>
  <c r="D19" i="9" s="1"/>
  <c r="E19" i="9"/>
  <c r="F19" i="9" s="1"/>
  <c r="G19" i="9" s="1"/>
  <c r="H19" i="9"/>
  <c r="I19" i="9" s="1"/>
  <c r="J19" i="9" s="1"/>
  <c r="K19" i="9"/>
  <c r="L19" i="9" s="1"/>
  <c r="M19" i="9" s="1"/>
  <c r="O19" i="9"/>
  <c r="P19" i="9" s="1"/>
  <c r="Q19" i="9" s="1"/>
  <c r="R19" i="9"/>
  <c r="S19" i="9" s="1"/>
  <c r="T19" i="9" s="1"/>
  <c r="U19" i="9"/>
  <c r="V19" i="9" s="1"/>
  <c r="W19" i="9" s="1"/>
  <c r="X19" i="9"/>
  <c r="Y19" i="9" s="1"/>
  <c r="Z19" i="9" s="1"/>
  <c r="B20" i="9"/>
  <c r="E20" i="9"/>
  <c r="F20" i="9" s="1"/>
  <c r="G20" i="9" s="1"/>
  <c r="H20" i="9"/>
  <c r="I20" i="9"/>
  <c r="J20" i="9"/>
  <c r="K20" i="9"/>
  <c r="L20" i="9" s="1"/>
  <c r="M20" i="9" s="1"/>
  <c r="O20" i="9"/>
  <c r="P20" i="9" s="1"/>
  <c r="Q20" i="9" s="1"/>
  <c r="R20" i="9"/>
  <c r="S20" i="9" s="1"/>
  <c r="T20" i="9" s="1"/>
  <c r="U20" i="9"/>
  <c r="V20" i="9" s="1"/>
  <c r="W20" i="9" s="1"/>
  <c r="X20" i="9"/>
  <c r="Y20" i="9" s="1"/>
  <c r="Z20" i="9" s="1"/>
  <c r="B21" i="9"/>
  <c r="C21" i="9" s="1"/>
  <c r="E21" i="9"/>
  <c r="F21" i="9" s="1"/>
  <c r="G21" i="9" s="1"/>
  <c r="H21" i="9"/>
  <c r="I21" i="9" s="1"/>
  <c r="J21" i="9" s="1"/>
  <c r="K21" i="9"/>
  <c r="L21" i="9" s="1"/>
  <c r="M21" i="9" s="1"/>
  <c r="O21" i="9"/>
  <c r="P21" i="9" s="1"/>
  <c r="Q21" i="9" s="1"/>
  <c r="R21" i="9"/>
  <c r="S21" i="9" s="1"/>
  <c r="T21" i="9" s="1"/>
  <c r="U21" i="9"/>
  <c r="V21" i="9" s="1"/>
  <c r="W21" i="9" s="1"/>
  <c r="X21" i="9"/>
  <c r="Y21" i="9" s="1"/>
  <c r="Z21" i="9" s="1"/>
  <c r="B22" i="9"/>
  <c r="C22" i="9" s="1"/>
  <c r="E22" i="9"/>
  <c r="F22" i="9" s="1"/>
  <c r="G22" i="9" s="1"/>
  <c r="H22" i="9"/>
  <c r="I22" i="9"/>
  <c r="J22" i="9"/>
  <c r="K22" i="9"/>
  <c r="L22" i="9" s="1"/>
  <c r="M22" i="9" s="1"/>
  <c r="O22" i="9"/>
  <c r="P22" i="9" s="1"/>
  <c r="Q22" i="9" s="1"/>
  <c r="R22" i="9"/>
  <c r="S22" i="9" s="1"/>
  <c r="T22" i="9" s="1"/>
  <c r="U22" i="9"/>
  <c r="V22" i="9" s="1"/>
  <c r="W22" i="9" s="1"/>
  <c r="X22" i="9"/>
  <c r="Y22" i="9" s="1"/>
  <c r="Z22" i="9" s="1"/>
  <c r="B23" i="9"/>
  <c r="E23" i="9"/>
  <c r="F23" i="9" s="1"/>
  <c r="G23" i="9" s="1"/>
  <c r="H23" i="9"/>
  <c r="I23" i="9" s="1"/>
  <c r="J23" i="9" s="1"/>
  <c r="K23" i="9"/>
  <c r="L23" i="9" s="1"/>
  <c r="M23" i="9" s="1"/>
  <c r="O23" i="9"/>
  <c r="P23" i="9" s="1"/>
  <c r="Q23" i="9" s="1"/>
  <c r="R23" i="9"/>
  <c r="S23" i="9" s="1"/>
  <c r="T23" i="9" s="1"/>
  <c r="U23" i="9"/>
  <c r="V23" i="9" s="1"/>
  <c r="W23" i="9" s="1"/>
  <c r="X23" i="9"/>
  <c r="Y23" i="9" s="1"/>
  <c r="Z23" i="9" s="1"/>
  <c r="B24" i="9"/>
  <c r="C24" i="9" s="1"/>
  <c r="D24" i="9" s="1"/>
  <c r="E24" i="9"/>
  <c r="F24" i="9" s="1"/>
  <c r="G24" i="9" s="1"/>
  <c r="H24" i="9"/>
  <c r="I24" i="9"/>
  <c r="J24" i="9" s="1"/>
  <c r="K24" i="9"/>
  <c r="L24" i="9" s="1"/>
  <c r="M24" i="9" s="1"/>
  <c r="O24" i="9"/>
  <c r="P24" i="9" s="1"/>
  <c r="Q24" i="9" s="1"/>
  <c r="R24" i="9"/>
  <c r="S24" i="9" s="1"/>
  <c r="T24" i="9" s="1"/>
  <c r="U24" i="9"/>
  <c r="V24" i="9" s="1"/>
  <c r="W24" i="9" s="1"/>
  <c r="X24" i="9"/>
  <c r="Y24" i="9" s="1"/>
  <c r="Z24" i="9" s="1"/>
  <c r="B25" i="9"/>
  <c r="C25" i="9" s="1"/>
  <c r="E25" i="9"/>
  <c r="F25" i="9" s="1"/>
  <c r="G25" i="9" s="1"/>
  <c r="H25" i="9"/>
  <c r="I25" i="9" s="1"/>
  <c r="J25" i="9" s="1"/>
  <c r="K25" i="9"/>
  <c r="L25" i="9" s="1"/>
  <c r="M25" i="9" s="1"/>
  <c r="O25" i="9"/>
  <c r="P25" i="9" s="1"/>
  <c r="Q25" i="9" s="1"/>
  <c r="R25" i="9"/>
  <c r="S25" i="9" s="1"/>
  <c r="T25" i="9" s="1"/>
  <c r="U25" i="9"/>
  <c r="V25" i="9" s="1"/>
  <c r="W25" i="9" s="1"/>
  <c r="X25" i="9"/>
  <c r="Y25" i="9" s="1"/>
  <c r="Z25" i="9" s="1"/>
  <c r="B26" i="9"/>
  <c r="C26" i="9" s="1"/>
  <c r="D26" i="9" s="1"/>
  <c r="E26" i="9"/>
  <c r="F26" i="9" s="1"/>
  <c r="G26" i="9" s="1"/>
  <c r="H26" i="9"/>
  <c r="I26" i="9"/>
  <c r="J26" i="9"/>
  <c r="K26" i="9"/>
  <c r="L26" i="9" s="1"/>
  <c r="M26" i="9" s="1"/>
  <c r="O26" i="9"/>
  <c r="R26" i="9"/>
  <c r="S26" i="9" s="1"/>
  <c r="T26" i="9" s="1"/>
  <c r="U26" i="9"/>
  <c r="V26" i="9" s="1"/>
  <c r="W26" i="9" s="1"/>
  <c r="X26" i="9"/>
  <c r="Y26" i="9" s="1"/>
  <c r="Z26" i="9" s="1"/>
  <c r="B27" i="9"/>
  <c r="E27" i="9"/>
  <c r="F27" i="9" s="1"/>
  <c r="G27" i="9" s="1"/>
  <c r="H27" i="9"/>
  <c r="I27" i="9" s="1"/>
  <c r="J27" i="9" s="1"/>
  <c r="K27" i="9"/>
  <c r="L27" i="9" s="1"/>
  <c r="M27" i="9" s="1"/>
  <c r="O27" i="9"/>
  <c r="P27" i="9" s="1"/>
  <c r="Q27" i="9" s="1"/>
  <c r="R27" i="9"/>
  <c r="S27" i="9" s="1"/>
  <c r="T27" i="9" s="1"/>
  <c r="U27" i="9"/>
  <c r="V27" i="9" s="1"/>
  <c r="W27" i="9" s="1"/>
  <c r="X27" i="9"/>
  <c r="Y27" i="9" s="1"/>
  <c r="Z27" i="9" s="1"/>
  <c r="B28" i="9"/>
  <c r="C28" i="9" s="1"/>
  <c r="E28" i="9"/>
  <c r="F28" i="9" s="1"/>
  <c r="G28" i="9" s="1"/>
  <c r="H28" i="9"/>
  <c r="I28" i="9"/>
  <c r="J28" i="9"/>
  <c r="K28" i="9"/>
  <c r="L28" i="9" s="1"/>
  <c r="M28" i="9" s="1"/>
  <c r="O28" i="9"/>
  <c r="P28" i="9" s="1"/>
  <c r="Q28" i="9" s="1"/>
  <c r="R28" i="9"/>
  <c r="S28" i="9" s="1"/>
  <c r="T28" i="9" s="1"/>
  <c r="U28" i="9"/>
  <c r="V28" i="9" s="1"/>
  <c r="W28" i="9" s="1"/>
  <c r="X28" i="9"/>
  <c r="Y28" i="9" s="1"/>
  <c r="Z28" i="9" s="1"/>
  <c r="B29" i="9"/>
  <c r="E29" i="9"/>
  <c r="F29" i="9" s="1"/>
  <c r="G29" i="9" s="1"/>
  <c r="H29" i="9"/>
  <c r="I29" i="9" s="1"/>
  <c r="J29" i="9" s="1"/>
  <c r="K29" i="9"/>
  <c r="L29" i="9" s="1"/>
  <c r="M29" i="9" s="1"/>
  <c r="O29" i="9"/>
  <c r="P29" i="9" s="1"/>
  <c r="Q29" i="9" s="1"/>
  <c r="R29" i="9"/>
  <c r="S29" i="9" s="1"/>
  <c r="T29" i="9" s="1"/>
  <c r="U29" i="9"/>
  <c r="V29" i="9" s="1"/>
  <c r="W29" i="9" s="1"/>
  <c r="X29" i="9"/>
  <c r="Y29" i="9" s="1"/>
  <c r="Z29" i="9" s="1"/>
  <c r="B30" i="9"/>
  <c r="E30" i="9"/>
  <c r="F30" i="9" s="1"/>
  <c r="G30" i="9" s="1"/>
  <c r="H30" i="9"/>
  <c r="I30" i="9"/>
  <c r="J30" i="9" s="1"/>
  <c r="K30" i="9"/>
  <c r="L30" i="9" s="1"/>
  <c r="M30" i="9" s="1"/>
  <c r="O30" i="9"/>
  <c r="P30" i="9" s="1"/>
  <c r="Q30" i="9" s="1"/>
  <c r="R30" i="9"/>
  <c r="S30" i="9" s="1"/>
  <c r="T30" i="9" s="1"/>
  <c r="U30" i="9"/>
  <c r="V30" i="9" s="1"/>
  <c r="W30" i="9" s="1"/>
  <c r="X30" i="9"/>
  <c r="Y30" i="9" s="1"/>
  <c r="Z30" i="9" s="1"/>
  <c r="B31" i="9"/>
  <c r="C31" i="9" s="1"/>
  <c r="E31" i="9"/>
  <c r="F31" i="9" s="1"/>
  <c r="G31" i="9" s="1"/>
  <c r="H31" i="9"/>
  <c r="I31" i="9" s="1"/>
  <c r="J31" i="9" s="1"/>
  <c r="K31" i="9"/>
  <c r="L31" i="9" s="1"/>
  <c r="M31" i="9" s="1"/>
  <c r="O31" i="9"/>
  <c r="P31" i="9" s="1"/>
  <c r="Q31" i="9" s="1"/>
  <c r="R31" i="9"/>
  <c r="S31" i="9" s="1"/>
  <c r="T31" i="9" s="1"/>
  <c r="U31" i="9"/>
  <c r="V31" i="9" s="1"/>
  <c r="W31" i="9" s="1"/>
  <c r="X31" i="9"/>
  <c r="Y31" i="9" s="1"/>
  <c r="Z31" i="9" s="1"/>
  <c r="B32" i="9"/>
  <c r="C32" i="9" s="1"/>
  <c r="E32" i="9"/>
  <c r="F32" i="9" s="1"/>
  <c r="G32" i="9" s="1"/>
  <c r="H32" i="9"/>
  <c r="I32" i="9"/>
  <c r="J32" i="9" s="1"/>
  <c r="K32" i="9"/>
  <c r="L32" i="9" s="1"/>
  <c r="M32" i="9" s="1"/>
  <c r="O32" i="9"/>
  <c r="R32" i="9"/>
  <c r="S32" i="9" s="1"/>
  <c r="T32" i="9" s="1"/>
  <c r="U32" i="9"/>
  <c r="V32" i="9" s="1"/>
  <c r="W32" i="9" s="1"/>
  <c r="X32" i="9"/>
  <c r="Y32" i="9" s="1"/>
  <c r="Z32" i="9" s="1"/>
  <c r="B33" i="9"/>
  <c r="E33" i="9"/>
  <c r="F33" i="9" s="1"/>
  <c r="G33" i="9" s="1"/>
  <c r="H33" i="9"/>
  <c r="I33" i="9" s="1"/>
  <c r="J33" i="9" s="1"/>
  <c r="K33" i="9"/>
  <c r="L33" i="9" s="1"/>
  <c r="M33" i="9" s="1"/>
  <c r="O33" i="9"/>
  <c r="P33" i="9" s="1"/>
  <c r="Q33" i="9" s="1"/>
  <c r="R33" i="9"/>
  <c r="S33" i="9" s="1"/>
  <c r="T33" i="9" s="1"/>
  <c r="U33" i="9"/>
  <c r="V33" i="9" s="1"/>
  <c r="W33" i="9" s="1"/>
  <c r="X33" i="9"/>
  <c r="Y33" i="9" s="1"/>
  <c r="Z33" i="9" s="1"/>
  <c r="B34" i="9"/>
  <c r="C34" i="9" s="1"/>
  <c r="E34" i="9"/>
  <c r="F34" i="9" s="1"/>
  <c r="G34" i="9" s="1"/>
  <c r="I34" i="9"/>
  <c r="J34" i="9"/>
  <c r="K34" i="9"/>
  <c r="L34" i="9" s="1"/>
  <c r="M34" i="9" s="1"/>
  <c r="O34" i="9"/>
  <c r="P34" i="9" s="1"/>
  <c r="Q34" i="9" s="1"/>
  <c r="R34" i="9"/>
  <c r="S34" i="9" s="1"/>
  <c r="T34" i="9" s="1"/>
  <c r="U34" i="9"/>
  <c r="V34" i="9" s="1"/>
  <c r="W34" i="9" s="1"/>
  <c r="X34" i="9"/>
  <c r="Y34" i="9" s="1"/>
  <c r="Z34" i="9" s="1"/>
  <c r="K5" i="9"/>
  <c r="L5" i="9" s="1"/>
  <c r="M5" i="9" s="1"/>
  <c r="E5" i="9"/>
  <c r="F5" i="9" s="1"/>
  <c r="B5" i="9"/>
  <c r="C5" i="9" s="1"/>
  <c r="D5" i="9" s="1"/>
  <c r="X5" i="9"/>
  <c r="Y5" i="9" s="1"/>
  <c r="Z5" i="9" s="1"/>
  <c r="U5" i="9"/>
  <c r="V5" i="9" s="1"/>
  <c r="W5" i="9" s="1"/>
  <c r="R5" i="9"/>
  <c r="S5" i="9" s="1"/>
  <c r="O5" i="9"/>
  <c r="P5" i="9" s="1"/>
  <c r="Q5" i="9" s="1"/>
  <c r="B5" i="1"/>
  <c r="X6" i="7"/>
  <c r="X7" i="7"/>
  <c r="X8" i="7"/>
  <c r="X9" i="7"/>
  <c r="X10" i="7"/>
  <c r="X11" i="7"/>
  <c r="X12" i="7"/>
  <c r="X13" i="7"/>
  <c r="X14" i="7"/>
  <c r="X15" i="7"/>
  <c r="X16" i="7"/>
  <c r="X17" i="7"/>
  <c r="X18" i="7"/>
  <c r="X19" i="7"/>
  <c r="X20" i="7"/>
  <c r="X21" i="7"/>
  <c r="X22" i="7"/>
  <c r="X23" i="7"/>
  <c r="X24" i="7"/>
  <c r="X25" i="7"/>
  <c r="X26" i="7"/>
  <c r="X27" i="7"/>
  <c r="X28" i="7"/>
  <c r="X29" i="7"/>
  <c r="X30" i="7"/>
  <c r="X31" i="7"/>
  <c r="X32" i="7"/>
  <c r="X33" i="7"/>
  <c r="X34" i="7"/>
  <c r="X5" i="7"/>
  <c r="U6" i="7"/>
  <c r="U7" i="7"/>
  <c r="U8" i="7"/>
  <c r="U9" i="7"/>
  <c r="U10" i="7"/>
  <c r="U11" i="7"/>
  <c r="U12" i="7"/>
  <c r="U13" i="7"/>
  <c r="U14" i="7"/>
  <c r="U15" i="7"/>
  <c r="U16" i="7"/>
  <c r="U17" i="7"/>
  <c r="U18" i="7"/>
  <c r="U19" i="7"/>
  <c r="U20" i="7"/>
  <c r="U21" i="7"/>
  <c r="U22" i="7"/>
  <c r="U23" i="7"/>
  <c r="U24" i="7"/>
  <c r="U25" i="7"/>
  <c r="U26" i="7"/>
  <c r="U27" i="7"/>
  <c r="U28" i="7"/>
  <c r="U29" i="7"/>
  <c r="U30" i="7"/>
  <c r="U31" i="7"/>
  <c r="U32" i="7"/>
  <c r="U33" i="7"/>
  <c r="U34" i="7"/>
  <c r="U5" i="7"/>
  <c r="O6" i="7"/>
  <c r="O7" i="7"/>
  <c r="O8" i="7"/>
  <c r="O9" i="7"/>
  <c r="O10" i="7"/>
  <c r="O11" i="7"/>
  <c r="O12" i="7"/>
  <c r="O13" i="7"/>
  <c r="O14" i="7"/>
  <c r="O15" i="7"/>
  <c r="O16" i="7"/>
  <c r="O17" i="7"/>
  <c r="O18" i="7"/>
  <c r="O19" i="7"/>
  <c r="O20" i="7"/>
  <c r="O21" i="7"/>
  <c r="O22" i="7"/>
  <c r="O23" i="7"/>
  <c r="O24" i="7"/>
  <c r="O25" i="7"/>
  <c r="O26" i="7"/>
  <c r="O27" i="7"/>
  <c r="O28" i="7"/>
  <c r="O29" i="7"/>
  <c r="O30" i="7"/>
  <c r="O31" i="7"/>
  <c r="O32" i="7"/>
  <c r="O33" i="7"/>
  <c r="O34" i="7"/>
  <c r="O5" i="7"/>
  <c r="K6" i="7"/>
  <c r="K7" i="7"/>
  <c r="K8" i="7"/>
  <c r="K9" i="7"/>
  <c r="K10" i="7"/>
  <c r="K11" i="7"/>
  <c r="K12" i="7"/>
  <c r="K13" i="7"/>
  <c r="K14" i="7"/>
  <c r="K15" i="7"/>
  <c r="K16" i="7"/>
  <c r="K17" i="7"/>
  <c r="K18" i="7"/>
  <c r="K19" i="7"/>
  <c r="K20" i="7"/>
  <c r="K21" i="7"/>
  <c r="K22" i="7"/>
  <c r="K23" i="7"/>
  <c r="K24" i="7"/>
  <c r="K25" i="7"/>
  <c r="K26" i="7"/>
  <c r="K27" i="7"/>
  <c r="K28" i="7"/>
  <c r="K29" i="7"/>
  <c r="K30" i="7"/>
  <c r="K31" i="7"/>
  <c r="K32" i="7"/>
  <c r="K33" i="7"/>
  <c r="K34" i="7"/>
  <c r="K5" i="7"/>
  <c r="H6" i="7"/>
  <c r="H7" i="7"/>
  <c r="H8" i="7"/>
  <c r="H9" i="7"/>
  <c r="H10" i="7"/>
  <c r="H11" i="7"/>
  <c r="H12" i="7"/>
  <c r="H13" i="7"/>
  <c r="H14" i="7"/>
  <c r="H15" i="7"/>
  <c r="H16" i="7"/>
  <c r="H17" i="7"/>
  <c r="H18" i="7"/>
  <c r="H19" i="7"/>
  <c r="H20" i="7"/>
  <c r="H21" i="7"/>
  <c r="H22" i="7"/>
  <c r="H23" i="7"/>
  <c r="H24" i="7"/>
  <c r="H25" i="7"/>
  <c r="H26" i="7"/>
  <c r="H27" i="7"/>
  <c r="H28" i="7"/>
  <c r="H29" i="7"/>
  <c r="H30" i="7"/>
  <c r="H31" i="7"/>
  <c r="H32" i="7"/>
  <c r="H33" i="7"/>
  <c r="H34" i="7"/>
  <c r="H5" i="7"/>
  <c r="B6" i="7"/>
  <c r="B7" i="7"/>
  <c r="B8" i="7"/>
  <c r="B9" i="7"/>
  <c r="B10" i="7"/>
  <c r="B11" i="7"/>
  <c r="B12" i="7"/>
  <c r="B13" i="7"/>
  <c r="B14" i="7"/>
  <c r="B15" i="7"/>
  <c r="B16" i="7"/>
  <c r="B17" i="7"/>
  <c r="B18" i="7"/>
  <c r="B19" i="7"/>
  <c r="B20" i="7"/>
  <c r="B21" i="7"/>
  <c r="B22" i="7"/>
  <c r="B23" i="7"/>
  <c r="B24" i="7"/>
  <c r="B25" i="7"/>
  <c r="B26" i="7"/>
  <c r="B27" i="7"/>
  <c r="B28" i="7"/>
  <c r="B29" i="7"/>
  <c r="B30" i="7"/>
  <c r="B31" i="7"/>
  <c r="B32" i="7"/>
  <c r="B33" i="7"/>
  <c r="B34" i="7"/>
  <c r="B5" i="7"/>
  <c r="X6" i="8"/>
  <c r="X7" i="8"/>
  <c r="X8" i="8"/>
  <c r="X9" i="8"/>
  <c r="X10" i="8"/>
  <c r="X11" i="8"/>
  <c r="X12" i="8"/>
  <c r="X13" i="8"/>
  <c r="X14" i="8"/>
  <c r="X15" i="8"/>
  <c r="X16" i="8"/>
  <c r="X17" i="8"/>
  <c r="X18" i="8"/>
  <c r="X19" i="8"/>
  <c r="X20" i="8"/>
  <c r="X21" i="8"/>
  <c r="X22" i="8"/>
  <c r="X23" i="8"/>
  <c r="X24" i="8"/>
  <c r="X25" i="8"/>
  <c r="X26" i="8"/>
  <c r="X27" i="8"/>
  <c r="X28" i="8"/>
  <c r="X29" i="8"/>
  <c r="X30" i="8"/>
  <c r="X31" i="8"/>
  <c r="X32" i="8"/>
  <c r="X33" i="8"/>
  <c r="X34" i="8"/>
  <c r="X35" i="8"/>
  <c r="X5" i="8"/>
  <c r="U6" i="8"/>
  <c r="U7" i="8"/>
  <c r="U8" i="8"/>
  <c r="U9" i="8"/>
  <c r="U10" i="8"/>
  <c r="U11" i="8"/>
  <c r="U12" i="8"/>
  <c r="U13" i="8"/>
  <c r="U14" i="8"/>
  <c r="U15" i="8"/>
  <c r="U16" i="8"/>
  <c r="U17" i="8"/>
  <c r="U18" i="8"/>
  <c r="U19" i="8"/>
  <c r="U20" i="8"/>
  <c r="U21" i="8"/>
  <c r="U22" i="8"/>
  <c r="U23" i="8"/>
  <c r="U24" i="8"/>
  <c r="U25" i="8"/>
  <c r="U26" i="8"/>
  <c r="U27" i="8"/>
  <c r="U28" i="8"/>
  <c r="U29" i="8"/>
  <c r="U30" i="8"/>
  <c r="U31" i="8"/>
  <c r="U32" i="8"/>
  <c r="U33" i="8"/>
  <c r="U34" i="8"/>
  <c r="U35" i="8"/>
  <c r="U5" i="8"/>
  <c r="O6" i="8"/>
  <c r="O7" i="8"/>
  <c r="O8" i="8"/>
  <c r="O9" i="8"/>
  <c r="O10" i="8"/>
  <c r="O11" i="8"/>
  <c r="O12" i="8"/>
  <c r="O13" i="8"/>
  <c r="O14" i="8"/>
  <c r="O15" i="8"/>
  <c r="O16" i="8"/>
  <c r="O17" i="8"/>
  <c r="O18" i="8"/>
  <c r="O19" i="8"/>
  <c r="O20" i="8"/>
  <c r="O21" i="8"/>
  <c r="O22" i="8"/>
  <c r="O23" i="8"/>
  <c r="O24" i="8"/>
  <c r="O25" i="8"/>
  <c r="O26" i="8"/>
  <c r="O27" i="8"/>
  <c r="O28" i="8"/>
  <c r="O29" i="8"/>
  <c r="O30" i="8"/>
  <c r="O31" i="8"/>
  <c r="O32" i="8"/>
  <c r="O33" i="8"/>
  <c r="O34" i="8"/>
  <c r="O35" i="8"/>
  <c r="O5" i="8"/>
  <c r="K6" i="8"/>
  <c r="K7" i="8"/>
  <c r="K8" i="8"/>
  <c r="K9" i="8"/>
  <c r="K10" i="8"/>
  <c r="K11" i="8"/>
  <c r="K12" i="8"/>
  <c r="K13" i="8"/>
  <c r="K14" i="8"/>
  <c r="K15" i="8"/>
  <c r="K16" i="8"/>
  <c r="K17" i="8"/>
  <c r="K18" i="8"/>
  <c r="K19" i="8"/>
  <c r="K20" i="8"/>
  <c r="K21" i="8"/>
  <c r="K22" i="8"/>
  <c r="K23" i="8"/>
  <c r="K24" i="8"/>
  <c r="K25" i="8"/>
  <c r="K26" i="8"/>
  <c r="K27" i="8"/>
  <c r="K28" i="8"/>
  <c r="K29" i="8"/>
  <c r="K30" i="8"/>
  <c r="K31" i="8"/>
  <c r="K32" i="8"/>
  <c r="K33" i="8"/>
  <c r="K34" i="8"/>
  <c r="K35" i="8"/>
  <c r="K5" i="8"/>
  <c r="H6" i="8"/>
  <c r="H7" i="8"/>
  <c r="H8" i="8"/>
  <c r="H9" i="8"/>
  <c r="H10" i="8"/>
  <c r="H11" i="8"/>
  <c r="H12" i="8"/>
  <c r="H13" i="8"/>
  <c r="H14" i="8"/>
  <c r="H15" i="8"/>
  <c r="H16" i="8"/>
  <c r="H17" i="8"/>
  <c r="H18" i="8"/>
  <c r="H19" i="8"/>
  <c r="H20" i="8"/>
  <c r="H21" i="8"/>
  <c r="H22" i="8"/>
  <c r="H23" i="8"/>
  <c r="H24" i="8"/>
  <c r="H25" i="8"/>
  <c r="H26" i="8"/>
  <c r="H27" i="8"/>
  <c r="H28" i="8"/>
  <c r="H29" i="8"/>
  <c r="H30" i="8"/>
  <c r="H31" i="8"/>
  <c r="H32" i="8"/>
  <c r="H33" i="8"/>
  <c r="H34" i="8"/>
  <c r="H35" i="8"/>
  <c r="H5" i="8"/>
  <c r="B6" i="8"/>
  <c r="B7" i="8"/>
  <c r="B8" i="8"/>
  <c r="B9" i="8"/>
  <c r="B10" i="8"/>
  <c r="B11" i="8"/>
  <c r="B12" i="8"/>
  <c r="B13" i="8"/>
  <c r="B14" i="8"/>
  <c r="B15" i="8"/>
  <c r="B16" i="8"/>
  <c r="B17" i="8"/>
  <c r="B18" i="8"/>
  <c r="B19" i="8"/>
  <c r="B20" i="8"/>
  <c r="B21" i="8"/>
  <c r="B22" i="8"/>
  <c r="B23" i="8"/>
  <c r="B24" i="8"/>
  <c r="B25" i="8"/>
  <c r="B26" i="8"/>
  <c r="B27" i="8"/>
  <c r="B28" i="8"/>
  <c r="B29" i="8"/>
  <c r="B30" i="8"/>
  <c r="B31" i="8"/>
  <c r="B32" i="8"/>
  <c r="B33" i="8"/>
  <c r="B34" i="8"/>
  <c r="B35" i="8"/>
  <c r="B5" i="8"/>
  <c r="H5" i="9"/>
  <c r="C6" i="5"/>
  <c r="D6" i="5" s="1"/>
  <c r="F6" i="5"/>
  <c r="G6" i="5" s="1"/>
  <c r="I6" i="5"/>
  <c r="J6" i="5" s="1"/>
  <c r="L6" i="5"/>
  <c r="M6" i="5" s="1"/>
  <c r="P6" i="5"/>
  <c r="Q6" i="5" s="1"/>
  <c r="S6" i="5"/>
  <c r="T6" i="5" s="1"/>
  <c r="V6" i="5"/>
  <c r="W6" i="5" s="1"/>
  <c r="Y6" i="5"/>
  <c r="Z6" i="5" s="1"/>
  <c r="C7" i="5"/>
  <c r="D7" i="5" s="1"/>
  <c r="F7" i="5"/>
  <c r="G7" i="5" s="1"/>
  <c r="I7" i="5"/>
  <c r="J7" i="5" s="1"/>
  <c r="L7" i="5"/>
  <c r="M7" i="5" s="1"/>
  <c r="P7" i="5"/>
  <c r="Q7" i="5" s="1"/>
  <c r="S7" i="5"/>
  <c r="T7" i="5" s="1"/>
  <c r="V7" i="5"/>
  <c r="W7" i="5" s="1"/>
  <c r="Y7" i="5"/>
  <c r="Z7" i="5" s="1"/>
  <c r="C8" i="5"/>
  <c r="D8" i="5" s="1"/>
  <c r="F8" i="5"/>
  <c r="G8" i="5" s="1"/>
  <c r="I8" i="5"/>
  <c r="J8" i="5" s="1"/>
  <c r="L8" i="5"/>
  <c r="M8" i="5" s="1"/>
  <c r="P8" i="5"/>
  <c r="Q8" i="5" s="1"/>
  <c r="S8" i="5"/>
  <c r="T8" i="5" s="1"/>
  <c r="V8" i="5"/>
  <c r="W8" i="5" s="1"/>
  <c r="Y8" i="5"/>
  <c r="Z8" i="5" s="1"/>
  <c r="C9" i="5"/>
  <c r="D9" i="5" s="1"/>
  <c r="F9" i="5"/>
  <c r="G9" i="5" s="1"/>
  <c r="I9" i="5"/>
  <c r="J9" i="5" s="1"/>
  <c r="L9" i="5"/>
  <c r="M9" i="5" s="1"/>
  <c r="P9" i="5"/>
  <c r="Q9" i="5" s="1"/>
  <c r="S9" i="5"/>
  <c r="T9" i="5" s="1"/>
  <c r="V9" i="5"/>
  <c r="W9" i="5" s="1"/>
  <c r="Y9" i="5"/>
  <c r="Z9" i="5" s="1"/>
  <c r="C10" i="5"/>
  <c r="D10" i="5" s="1"/>
  <c r="F10" i="5"/>
  <c r="G10" i="5" s="1"/>
  <c r="I10" i="5"/>
  <c r="J10" i="5" s="1"/>
  <c r="L10" i="5"/>
  <c r="M10" i="5" s="1"/>
  <c r="P10" i="5"/>
  <c r="Q10" i="5" s="1"/>
  <c r="S10" i="5"/>
  <c r="T10" i="5" s="1"/>
  <c r="V10" i="5"/>
  <c r="W10" i="5" s="1"/>
  <c r="Y10" i="5"/>
  <c r="Z10" i="5" s="1"/>
  <c r="C11" i="5"/>
  <c r="D11" i="5" s="1"/>
  <c r="F11" i="5"/>
  <c r="G11" i="5" s="1"/>
  <c r="I11" i="5"/>
  <c r="J11" i="5" s="1"/>
  <c r="L11" i="5"/>
  <c r="M11" i="5" s="1"/>
  <c r="P11" i="5"/>
  <c r="Q11" i="5" s="1"/>
  <c r="S11" i="5"/>
  <c r="T11" i="5" s="1"/>
  <c r="V11" i="5"/>
  <c r="W11" i="5" s="1"/>
  <c r="Y11" i="5"/>
  <c r="Z11" i="5" s="1"/>
  <c r="C12" i="5"/>
  <c r="D12" i="5" s="1"/>
  <c r="F12" i="5"/>
  <c r="G12" i="5" s="1"/>
  <c r="I12" i="5"/>
  <c r="J12" i="5" s="1"/>
  <c r="L12" i="5"/>
  <c r="M12" i="5" s="1"/>
  <c r="P12" i="5"/>
  <c r="Q12" i="5" s="1"/>
  <c r="S12" i="5"/>
  <c r="T12" i="5" s="1"/>
  <c r="V12" i="5"/>
  <c r="W12" i="5" s="1"/>
  <c r="Y12" i="5"/>
  <c r="Z12" i="5" s="1"/>
  <c r="C13" i="5"/>
  <c r="D13" i="5" s="1"/>
  <c r="F13" i="5"/>
  <c r="G13" i="5" s="1"/>
  <c r="I13" i="5"/>
  <c r="J13" i="5" s="1"/>
  <c r="L13" i="5"/>
  <c r="M13" i="5" s="1"/>
  <c r="P13" i="5"/>
  <c r="Q13" i="5" s="1"/>
  <c r="S13" i="5"/>
  <c r="T13" i="5" s="1"/>
  <c r="V13" i="5"/>
  <c r="W13" i="5" s="1"/>
  <c r="Y13" i="5"/>
  <c r="Z13" i="5" s="1"/>
  <c r="C14" i="5"/>
  <c r="D14" i="5" s="1"/>
  <c r="F14" i="5"/>
  <c r="G14" i="5" s="1"/>
  <c r="I14" i="5"/>
  <c r="J14" i="5" s="1"/>
  <c r="L14" i="5"/>
  <c r="M14" i="5" s="1"/>
  <c r="P14" i="5"/>
  <c r="Q14" i="5" s="1"/>
  <c r="S14" i="5"/>
  <c r="T14" i="5" s="1"/>
  <c r="V14" i="5"/>
  <c r="W14" i="5" s="1"/>
  <c r="Y14" i="5"/>
  <c r="Z14" i="5" s="1"/>
  <c r="C15" i="5"/>
  <c r="D15" i="5" s="1"/>
  <c r="F15" i="5"/>
  <c r="G15" i="5" s="1"/>
  <c r="I15" i="5"/>
  <c r="J15" i="5" s="1"/>
  <c r="L15" i="5"/>
  <c r="M15" i="5" s="1"/>
  <c r="P15" i="5"/>
  <c r="Q15" i="5" s="1"/>
  <c r="S15" i="5"/>
  <c r="T15" i="5" s="1"/>
  <c r="V15" i="5"/>
  <c r="W15" i="5" s="1"/>
  <c r="Y15" i="5"/>
  <c r="Z15" i="5" s="1"/>
  <c r="C16" i="5"/>
  <c r="D16" i="5" s="1"/>
  <c r="F16" i="5"/>
  <c r="G16" i="5" s="1"/>
  <c r="I16" i="5"/>
  <c r="J16" i="5" s="1"/>
  <c r="L16" i="5"/>
  <c r="M16" i="5" s="1"/>
  <c r="P16" i="5"/>
  <c r="Q16" i="5" s="1"/>
  <c r="S16" i="5"/>
  <c r="T16" i="5" s="1"/>
  <c r="V16" i="5"/>
  <c r="W16" i="5" s="1"/>
  <c r="Y16" i="5"/>
  <c r="Z16" i="5" s="1"/>
  <c r="C17" i="5"/>
  <c r="D17" i="5" s="1"/>
  <c r="F17" i="5"/>
  <c r="G17" i="5" s="1"/>
  <c r="I17" i="5"/>
  <c r="J17" i="5" s="1"/>
  <c r="L17" i="5"/>
  <c r="M17" i="5" s="1"/>
  <c r="P17" i="5"/>
  <c r="Q17" i="5" s="1"/>
  <c r="S17" i="5"/>
  <c r="T17" i="5" s="1"/>
  <c r="V17" i="5"/>
  <c r="W17" i="5" s="1"/>
  <c r="Y17" i="5"/>
  <c r="Z17" i="5" s="1"/>
  <c r="C18" i="5"/>
  <c r="D18" i="5" s="1"/>
  <c r="F18" i="5"/>
  <c r="G18" i="5" s="1"/>
  <c r="I18" i="5"/>
  <c r="J18" i="5" s="1"/>
  <c r="L18" i="5"/>
  <c r="M18" i="5" s="1"/>
  <c r="P18" i="5"/>
  <c r="Q18" i="5" s="1"/>
  <c r="S18" i="5"/>
  <c r="T18" i="5" s="1"/>
  <c r="V18" i="5"/>
  <c r="W18" i="5" s="1"/>
  <c r="Y18" i="5"/>
  <c r="Z18" i="5" s="1"/>
  <c r="C19" i="5"/>
  <c r="D19" i="5" s="1"/>
  <c r="F19" i="5"/>
  <c r="G19" i="5" s="1"/>
  <c r="I19" i="5"/>
  <c r="J19" i="5" s="1"/>
  <c r="L19" i="5"/>
  <c r="M19" i="5" s="1"/>
  <c r="P19" i="5"/>
  <c r="Q19" i="5" s="1"/>
  <c r="S19" i="5"/>
  <c r="T19" i="5" s="1"/>
  <c r="V19" i="5"/>
  <c r="W19" i="5" s="1"/>
  <c r="Y19" i="5"/>
  <c r="Z19" i="5" s="1"/>
  <c r="C20" i="5"/>
  <c r="D20" i="5" s="1"/>
  <c r="F20" i="5"/>
  <c r="G20" i="5" s="1"/>
  <c r="I20" i="5"/>
  <c r="J20" i="5" s="1"/>
  <c r="L20" i="5"/>
  <c r="M20" i="5" s="1"/>
  <c r="P20" i="5"/>
  <c r="Q20" i="5" s="1"/>
  <c r="S20" i="5"/>
  <c r="T20" i="5" s="1"/>
  <c r="V20" i="5"/>
  <c r="W20" i="5" s="1"/>
  <c r="Y20" i="5"/>
  <c r="Z20" i="5" s="1"/>
  <c r="C21" i="5"/>
  <c r="D21" i="5" s="1"/>
  <c r="F21" i="5"/>
  <c r="G21" i="5" s="1"/>
  <c r="I21" i="5"/>
  <c r="J21" i="5" s="1"/>
  <c r="L21" i="5"/>
  <c r="M21" i="5" s="1"/>
  <c r="P21" i="5"/>
  <c r="Q21" i="5" s="1"/>
  <c r="S21" i="5"/>
  <c r="T21" i="5" s="1"/>
  <c r="V21" i="5"/>
  <c r="W21" i="5" s="1"/>
  <c r="Y21" i="5"/>
  <c r="Z21" i="5" s="1"/>
  <c r="C22" i="5"/>
  <c r="D22" i="5" s="1"/>
  <c r="F22" i="5"/>
  <c r="G22" i="5" s="1"/>
  <c r="I22" i="5"/>
  <c r="J22" i="5" s="1"/>
  <c r="L22" i="5"/>
  <c r="M22" i="5" s="1"/>
  <c r="P22" i="5"/>
  <c r="Q22" i="5" s="1"/>
  <c r="S22" i="5"/>
  <c r="T22" i="5" s="1"/>
  <c r="V22" i="5"/>
  <c r="W22" i="5" s="1"/>
  <c r="Y22" i="5"/>
  <c r="Z22" i="5" s="1"/>
  <c r="C23" i="5"/>
  <c r="D23" i="5" s="1"/>
  <c r="F23" i="5"/>
  <c r="G23" i="5" s="1"/>
  <c r="I23" i="5"/>
  <c r="J23" i="5" s="1"/>
  <c r="L23" i="5"/>
  <c r="M23" i="5" s="1"/>
  <c r="P23" i="5"/>
  <c r="Q23" i="5" s="1"/>
  <c r="S23" i="5"/>
  <c r="T23" i="5" s="1"/>
  <c r="V23" i="5"/>
  <c r="W23" i="5" s="1"/>
  <c r="Y23" i="5"/>
  <c r="Z23" i="5" s="1"/>
  <c r="C24" i="5"/>
  <c r="D24" i="5" s="1"/>
  <c r="F24" i="5"/>
  <c r="G24" i="5" s="1"/>
  <c r="I24" i="5"/>
  <c r="J24" i="5" s="1"/>
  <c r="L24" i="5"/>
  <c r="M24" i="5" s="1"/>
  <c r="P24" i="5"/>
  <c r="Q24" i="5" s="1"/>
  <c r="S24" i="5"/>
  <c r="T24" i="5" s="1"/>
  <c r="V24" i="5"/>
  <c r="W24" i="5" s="1"/>
  <c r="Y24" i="5"/>
  <c r="Z24" i="5" s="1"/>
  <c r="C25" i="5"/>
  <c r="D25" i="5" s="1"/>
  <c r="F25" i="5"/>
  <c r="G25" i="5" s="1"/>
  <c r="I25" i="5"/>
  <c r="J25" i="5" s="1"/>
  <c r="L25" i="5"/>
  <c r="M25" i="5" s="1"/>
  <c r="P25" i="5"/>
  <c r="Q25" i="5" s="1"/>
  <c r="S25" i="5"/>
  <c r="T25" i="5" s="1"/>
  <c r="V25" i="5"/>
  <c r="W25" i="5" s="1"/>
  <c r="Y25" i="5"/>
  <c r="Z25" i="5" s="1"/>
  <c r="C26" i="5"/>
  <c r="D26" i="5" s="1"/>
  <c r="F26" i="5"/>
  <c r="G26" i="5" s="1"/>
  <c r="I26" i="5"/>
  <c r="J26" i="5" s="1"/>
  <c r="L26" i="5"/>
  <c r="M26" i="5" s="1"/>
  <c r="P26" i="5"/>
  <c r="Q26" i="5" s="1"/>
  <c r="S26" i="5"/>
  <c r="T26" i="5" s="1"/>
  <c r="V26" i="5"/>
  <c r="W26" i="5" s="1"/>
  <c r="Y26" i="5"/>
  <c r="Z26" i="5" s="1"/>
  <c r="C27" i="5"/>
  <c r="D27" i="5" s="1"/>
  <c r="F27" i="5"/>
  <c r="G27" i="5" s="1"/>
  <c r="I27" i="5"/>
  <c r="J27" i="5" s="1"/>
  <c r="L27" i="5"/>
  <c r="M27" i="5" s="1"/>
  <c r="P27" i="5"/>
  <c r="Q27" i="5" s="1"/>
  <c r="S27" i="5"/>
  <c r="T27" i="5" s="1"/>
  <c r="V27" i="5"/>
  <c r="W27" i="5" s="1"/>
  <c r="Y27" i="5"/>
  <c r="Z27" i="5" s="1"/>
  <c r="C28" i="5"/>
  <c r="D28" i="5" s="1"/>
  <c r="F28" i="5"/>
  <c r="G28" i="5" s="1"/>
  <c r="I28" i="5"/>
  <c r="J28" i="5" s="1"/>
  <c r="L28" i="5"/>
  <c r="M28" i="5" s="1"/>
  <c r="P28" i="5"/>
  <c r="Q28" i="5" s="1"/>
  <c r="S28" i="5"/>
  <c r="T28" i="5" s="1"/>
  <c r="V28" i="5"/>
  <c r="W28" i="5" s="1"/>
  <c r="Y28" i="5"/>
  <c r="Z28" i="5" s="1"/>
  <c r="C29" i="5"/>
  <c r="D29" i="5" s="1"/>
  <c r="F29" i="5"/>
  <c r="G29" i="5" s="1"/>
  <c r="I29" i="5"/>
  <c r="J29" i="5" s="1"/>
  <c r="L29" i="5"/>
  <c r="M29" i="5" s="1"/>
  <c r="P29" i="5"/>
  <c r="Q29" i="5" s="1"/>
  <c r="S29" i="5"/>
  <c r="T29" i="5" s="1"/>
  <c r="V29" i="5"/>
  <c r="W29" i="5" s="1"/>
  <c r="Y29" i="5"/>
  <c r="Z29" i="5" s="1"/>
  <c r="C30" i="5"/>
  <c r="D30" i="5" s="1"/>
  <c r="F30" i="5"/>
  <c r="G30" i="5" s="1"/>
  <c r="I30" i="5"/>
  <c r="J30" i="5" s="1"/>
  <c r="L30" i="5"/>
  <c r="M30" i="5" s="1"/>
  <c r="P30" i="5"/>
  <c r="Q30" i="5" s="1"/>
  <c r="S30" i="5"/>
  <c r="T30" i="5" s="1"/>
  <c r="V30" i="5"/>
  <c r="W30" i="5" s="1"/>
  <c r="Y30" i="5"/>
  <c r="Z30" i="5" s="1"/>
  <c r="C31" i="5"/>
  <c r="D31" i="5" s="1"/>
  <c r="F31" i="5"/>
  <c r="G31" i="5" s="1"/>
  <c r="I31" i="5"/>
  <c r="J31" i="5" s="1"/>
  <c r="L31" i="5"/>
  <c r="M31" i="5" s="1"/>
  <c r="P31" i="5"/>
  <c r="Q31" i="5" s="1"/>
  <c r="S31" i="5"/>
  <c r="T31" i="5" s="1"/>
  <c r="V31" i="5"/>
  <c r="W31" i="5" s="1"/>
  <c r="Y31" i="5"/>
  <c r="Z31" i="5" s="1"/>
  <c r="C32" i="5"/>
  <c r="D32" i="5" s="1"/>
  <c r="F32" i="5"/>
  <c r="G32" i="5" s="1"/>
  <c r="I32" i="5"/>
  <c r="J32" i="5" s="1"/>
  <c r="L32" i="5"/>
  <c r="M32" i="5" s="1"/>
  <c r="P32" i="5"/>
  <c r="Q32" i="5" s="1"/>
  <c r="S32" i="5"/>
  <c r="T32" i="5" s="1"/>
  <c r="V32" i="5"/>
  <c r="W32" i="5" s="1"/>
  <c r="Y32" i="5"/>
  <c r="Z32" i="5" s="1"/>
  <c r="C33" i="5"/>
  <c r="D33" i="5" s="1"/>
  <c r="F33" i="5"/>
  <c r="G33" i="5" s="1"/>
  <c r="I33" i="5"/>
  <c r="J33" i="5" s="1"/>
  <c r="L33" i="5"/>
  <c r="M33" i="5" s="1"/>
  <c r="P33" i="5"/>
  <c r="Q33" i="5" s="1"/>
  <c r="S33" i="5"/>
  <c r="T33" i="5" s="1"/>
  <c r="V33" i="5"/>
  <c r="W33" i="5" s="1"/>
  <c r="Y33" i="5"/>
  <c r="Z33" i="5" s="1"/>
  <c r="C34" i="5"/>
  <c r="D34" i="5" s="1"/>
  <c r="F34" i="5"/>
  <c r="G34" i="5" s="1"/>
  <c r="I34" i="5"/>
  <c r="J34" i="5" s="1"/>
  <c r="L34" i="5"/>
  <c r="M34" i="5" s="1"/>
  <c r="P34" i="5"/>
  <c r="Q34" i="5" s="1"/>
  <c r="S34" i="5"/>
  <c r="T34" i="5" s="1"/>
  <c r="V34" i="5"/>
  <c r="W34" i="5" s="1"/>
  <c r="Y34" i="5"/>
  <c r="Z34" i="5" s="1"/>
  <c r="C35" i="5"/>
  <c r="D35" i="5" s="1"/>
  <c r="F35" i="5"/>
  <c r="G35" i="5" s="1"/>
  <c r="I35" i="5"/>
  <c r="J35" i="5" s="1"/>
  <c r="L35" i="5"/>
  <c r="M35" i="5" s="1"/>
  <c r="P35" i="5"/>
  <c r="Q35" i="5" s="1"/>
  <c r="S35" i="5"/>
  <c r="T35" i="5" s="1"/>
  <c r="V35" i="5"/>
  <c r="W35" i="5" s="1"/>
  <c r="Y35" i="5"/>
  <c r="Z35" i="5" s="1"/>
  <c r="Y5" i="5"/>
  <c r="Z5" i="5" s="1"/>
  <c r="V5" i="5"/>
  <c r="W5" i="5" s="1"/>
  <c r="S5" i="5"/>
  <c r="T5" i="5" s="1"/>
  <c r="P5" i="5"/>
  <c r="Q5" i="5" s="1"/>
  <c r="L5" i="5"/>
  <c r="M5" i="5" s="1"/>
  <c r="I5" i="5"/>
  <c r="J5" i="5" s="1"/>
  <c r="F5" i="5"/>
  <c r="G5" i="5" s="1"/>
  <c r="C5" i="5"/>
  <c r="D5" i="5" s="1"/>
  <c r="I5" i="9"/>
  <c r="J5" i="9" s="1"/>
  <c r="L5" i="16"/>
  <c r="M5" i="16" s="1"/>
  <c r="C6" i="8"/>
  <c r="D6" i="8" s="1"/>
  <c r="E6" i="8"/>
  <c r="F6" i="8"/>
  <c r="G6" i="8" s="1"/>
  <c r="I6" i="8"/>
  <c r="J6" i="8" s="1"/>
  <c r="L6" i="8"/>
  <c r="M6" i="8" s="1"/>
  <c r="P6" i="8"/>
  <c r="Q6" i="8" s="1"/>
  <c r="R6" i="8"/>
  <c r="S6" i="8" s="1"/>
  <c r="T6" i="8" s="1"/>
  <c r="V6" i="8"/>
  <c r="W6" i="8"/>
  <c r="Y6" i="8"/>
  <c r="Z6" i="8" s="1"/>
  <c r="C7" i="8"/>
  <c r="D7" i="8"/>
  <c r="E7" i="8"/>
  <c r="F7" i="8" s="1"/>
  <c r="G7" i="8" s="1"/>
  <c r="I7" i="8"/>
  <c r="J7" i="8" s="1"/>
  <c r="L7" i="8"/>
  <c r="M7" i="8" s="1"/>
  <c r="P7" i="8"/>
  <c r="Q7" i="8" s="1"/>
  <c r="R7" i="8"/>
  <c r="S7" i="8" s="1"/>
  <c r="T7" i="8" s="1"/>
  <c r="V7" i="8"/>
  <c r="W7" i="8" s="1"/>
  <c r="Y7" i="8"/>
  <c r="Z7" i="8"/>
  <c r="C8" i="8"/>
  <c r="D8" i="8" s="1"/>
  <c r="E8" i="8"/>
  <c r="F8" i="8"/>
  <c r="G8" i="8" s="1"/>
  <c r="I8" i="8"/>
  <c r="J8" i="8" s="1"/>
  <c r="L8" i="8"/>
  <c r="M8" i="8" s="1"/>
  <c r="P8" i="8"/>
  <c r="Q8" i="8" s="1"/>
  <c r="R8" i="8"/>
  <c r="S8" i="8" s="1"/>
  <c r="T8" i="8" s="1"/>
  <c r="V8" i="8"/>
  <c r="W8" i="8"/>
  <c r="Y8" i="8"/>
  <c r="Z8" i="8" s="1"/>
  <c r="C9" i="8"/>
  <c r="D9" i="8"/>
  <c r="E9" i="8"/>
  <c r="F9" i="8" s="1"/>
  <c r="G9" i="8" s="1"/>
  <c r="I9" i="8"/>
  <c r="J9" i="8" s="1"/>
  <c r="L9" i="8"/>
  <c r="M9" i="8" s="1"/>
  <c r="P9" i="8"/>
  <c r="Q9" i="8" s="1"/>
  <c r="R9" i="8"/>
  <c r="S9" i="8" s="1"/>
  <c r="T9" i="8" s="1"/>
  <c r="V9" i="8"/>
  <c r="W9" i="8" s="1"/>
  <c r="Y9" i="8"/>
  <c r="Z9" i="8"/>
  <c r="C10" i="8"/>
  <c r="D10" i="8" s="1"/>
  <c r="E10" i="8"/>
  <c r="F10" i="8"/>
  <c r="G10" i="8" s="1"/>
  <c r="I10" i="8"/>
  <c r="J10" i="8" s="1"/>
  <c r="L10" i="8"/>
  <c r="M10" i="8" s="1"/>
  <c r="P10" i="8"/>
  <c r="Q10" i="8" s="1"/>
  <c r="R10" i="8"/>
  <c r="S10" i="8" s="1"/>
  <c r="T10" i="8" s="1"/>
  <c r="V10" i="8"/>
  <c r="W10" i="8"/>
  <c r="Y10" i="8"/>
  <c r="Z10" i="8" s="1"/>
  <c r="C11" i="8"/>
  <c r="D11" i="8"/>
  <c r="E11" i="8"/>
  <c r="F11" i="8" s="1"/>
  <c r="G11" i="8" s="1"/>
  <c r="I11" i="8"/>
  <c r="J11" i="8" s="1"/>
  <c r="L11" i="8"/>
  <c r="M11" i="8" s="1"/>
  <c r="P11" i="8"/>
  <c r="Q11" i="8" s="1"/>
  <c r="R11" i="8"/>
  <c r="S11" i="8" s="1"/>
  <c r="T11" i="8"/>
  <c r="V11" i="8"/>
  <c r="W11" i="8" s="1"/>
  <c r="Y11" i="8"/>
  <c r="Z11" i="8"/>
  <c r="C12" i="8"/>
  <c r="D12" i="8" s="1"/>
  <c r="E12" i="8"/>
  <c r="F12" i="8"/>
  <c r="G12" i="8" s="1"/>
  <c r="I12" i="8"/>
  <c r="J12" i="8" s="1"/>
  <c r="L12" i="8"/>
  <c r="M12" i="8" s="1"/>
  <c r="P12" i="8"/>
  <c r="Q12" i="8" s="1"/>
  <c r="R12" i="8"/>
  <c r="S12" i="8" s="1"/>
  <c r="T12" i="8" s="1"/>
  <c r="V12" i="8"/>
  <c r="W12" i="8"/>
  <c r="Y12" i="8"/>
  <c r="Z12" i="8" s="1"/>
  <c r="C13" i="8"/>
  <c r="D13" i="8"/>
  <c r="E13" i="8"/>
  <c r="F13" i="8" s="1"/>
  <c r="G13" i="8" s="1"/>
  <c r="I13" i="8"/>
  <c r="J13" i="8" s="1"/>
  <c r="L13" i="8"/>
  <c r="M13" i="8" s="1"/>
  <c r="P13" i="8"/>
  <c r="Q13" i="8" s="1"/>
  <c r="R13" i="8"/>
  <c r="S13" i="8" s="1"/>
  <c r="T13" i="8"/>
  <c r="V13" i="8"/>
  <c r="W13" i="8" s="1"/>
  <c r="Y13" i="8"/>
  <c r="Z13" i="8"/>
  <c r="C14" i="8"/>
  <c r="D14" i="8" s="1"/>
  <c r="E14" i="8"/>
  <c r="F14" i="8"/>
  <c r="G14" i="8" s="1"/>
  <c r="I14" i="8"/>
  <c r="J14" i="8" s="1"/>
  <c r="L14" i="8"/>
  <c r="M14" i="8" s="1"/>
  <c r="P14" i="8"/>
  <c r="Q14" i="8" s="1"/>
  <c r="R14" i="8"/>
  <c r="S14" i="8" s="1"/>
  <c r="T14" i="8" s="1"/>
  <c r="V14" i="8"/>
  <c r="W14" i="8"/>
  <c r="Y14" i="8"/>
  <c r="Z14" i="8" s="1"/>
  <c r="C15" i="8"/>
  <c r="D15" i="8"/>
  <c r="E15" i="8"/>
  <c r="F15" i="8" s="1"/>
  <c r="G15" i="8" s="1"/>
  <c r="I15" i="8"/>
  <c r="J15" i="8" s="1"/>
  <c r="L15" i="8"/>
  <c r="M15" i="8" s="1"/>
  <c r="P15" i="8"/>
  <c r="Q15" i="8" s="1"/>
  <c r="R15" i="8"/>
  <c r="S15" i="8" s="1"/>
  <c r="T15" i="8" s="1"/>
  <c r="V15" i="8"/>
  <c r="W15" i="8" s="1"/>
  <c r="Y15" i="8"/>
  <c r="Z15" i="8"/>
  <c r="C16" i="8"/>
  <c r="D16" i="8" s="1"/>
  <c r="E16" i="8"/>
  <c r="F16" i="8"/>
  <c r="G16" i="8" s="1"/>
  <c r="I16" i="8"/>
  <c r="J16" i="8" s="1"/>
  <c r="L16" i="8"/>
  <c r="M16" i="8" s="1"/>
  <c r="P16" i="8"/>
  <c r="Q16" i="8" s="1"/>
  <c r="R16" i="8"/>
  <c r="S16" i="8" s="1"/>
  <c r="T16" i="8" s="1"/>
  <c r="V16" i="8"/>
  <c r="W16" i="8"/>
  <c r="Y16" i="8"/>
  <c r="Z16" i="8" s="1"/>
  <c r="C17" i="8"/>
  <c r="D17" i="8"/>
  <c r="E17" i="8"/>
  <c r="F17" i="8" s="1"/>
  <c r="G17" i="8" s="1"/>
  <c r="I17" i="8"/>
  <c r="J17" i="8" s="1"/>
  <c r="L17" i="8"/>
  <c r="M17" i="8" s="1"/>
  <c r="P17" i="8"/>
  <c r="Q17" i="8" s="1"/>
  <c r="R17" i="8"/>
  <c r="S17" i="8" s="1"/>
  <c r="T17" i="8" s="1"/>
  <c r="V17" i="8"/>
  <c r="W17" i="8" s="1"/>
  <c r="Y17" i="8"/>
  <c r="Z17" i="8"/>
  <c r="C18" i="8"/>
  <c r="D18" i="8" s="1"/>
  <c r="E18" i="8"/>
  <c r="F18" i="8"/>
  <c r="G18" i="8" s="1"/>
  <c r="I18" i="8"/>
  <c r="J18" i="8" s="1"/>
  <c r="L18" i="8"/>
  <c r="M18" i="8" s="1"/>
  <c r="P18" i="8"/>
  <c r="Q18" i="8" s="1"/>
  <c r="R18" i="8"/>
  <c r="S18" i="8" s="1"/>
  <c r="T18" i="8" s="1"/>
  <c r="V18" i="8"/>
  <c r="W18" i="8"/>
  <c r="Y18" i="8"/>
  <c r="Z18" i="8" s="1"/>
  <c r="C19" i="8"/>
  <c r="D19" i="8"/>
  <c r="E19" i="8"/>
  <c r="F19" i="8"/>
  <c r="G19" i="8" s="1"/>
  <c r="I19" i="8"/>
  <c r="J19" i="8" s="1"/>
  <c r="L19" i="8"/>
  <c r="M19" i="8" s="1"/>
  <c r="P19" i="8"/>
  <c r="Q19" i="8"/>
  <c r="R19" i="8"/>
  <c r="S19" i="8" s="1"/>
  <c r="T19" i="8" s="1"/>
  <c r="V19" i="8"/>
  <c r="W19" i="8"/>
  <c r="Y19" i="8"/>
  <c r="Z19" i="8"/>
  <c r="C20" i="8"/>
  <c r="D20" i="8"/>
  <c r="E20" i="8"/>
  <c r="F20" i="8"/>
  <c r="G20" i="8"/>
  <c r="I20" i="8"/>
  <c r="J20" i="8" s="1"/>
  <c r="L20" i="8"/>
  <c r="M20" i="8" s="1"/>
  <c r="P20" i="8"/>
  <c r="Q20" i="8" s="1"/>
  <c r="R20" i="8"/>
  <c r="S20" i="8" s="1"/>
  <c r="T20" i="8" s="1"/>
  <c r="V20" i="8"/>
  <c r="W20" i="8"/>
  <c r="Y20" i="8"/>
  <c r="Z20" i="8" s="1"/>
  <c r="C21" i="8"/>
  <c r="D21" i="8"/>
  <c r="E21" i="8"/>
  <c r="F21" i="8" s="1"/>
  <c r="G21" i="8" s="1"/>
  <c r="I21" i="8"/>
  <c r="J21" i="8"/>
  <c r="L21" i="8"/>
  <c r="M21" i="8" s="1"/>
  <c r="P21" i="8"/>
  <c r="Q21" i="8"/>
  <c r="R21" i="8"/>
  <c r="S21" i="8" s="1"/>
  <c r="T21" i="8" s="1"/>
  <c r="V21" i="8"/>
  <c r="W21" i="8"/>
  <c r="Y21" i="8"/>
  <c r="Z21" i="8"/>
  <c r="C22" i="8"/>
  <c r="D22" i="8"/>
  <c r="E22" i="8"/>
  <c r="F22" i="8"/>
  <c r="G22" i="8" s="1"/>
  <c r="I22" i="8"/>
  <c r="J22" i="8" s="1"/>
  <c r="L22" i="8"/>
  <c r="M22" i="8" s="1"/>
  <c r="P22" i="8"/>
  <c r="Q22" i="8" s="1"/>
  <c r="R22" i="8"/>
  <c r="S22" i="8"/>
  <c r="T22" i="8" s="1"/>
  <c r="V22" i="8"/>
  <c r="W22" i="8"/>
  <c r="Y22" i="8"/>
  <c r="Z22" i="8" s="1"/>
  <c r="C23" i="8"/>
  <c r="D23" i="8"/>
  <c r="E23" i="8"/>
  <c r="F23" i="8" s="1"/>
  <c r="G23" i="8" s="1"/>
  <c r="I23" i="8"/>
  <c r="J23" i="8"/>
  <c r="L23" i="8"/>
  <c r="M23" i="8" s="1"/>
  <c r="P23" i="8"/>
  <c r="Q23" i="8" s="1"/>
  <c r="R23" i="8"/>
  <c r="S23" i="8" s="1"/>
  <c r="T23" i="8"/>
  <c r="V23" i="8"/>
  <c r="W23" i="8" s="1"/>
  <c r="Y23" i="8"/>
  <c r="Z23" i="8"/>
  <c r="C24" i="8"/>
  <c r="D24" i="8" s="1"/>
  <c r="E24" i="8"/>
  <c r="F24" i="8"/>
  <c r="G24" i="8" s="1"/>
  <c r="I24" i="8"/>
  <c r="J24" i="8" s="1"/>
  <c r="L24" i="8"/>
  <c r="M24" i="8"/>
  <c r="P24" i="8"/>
  <c r="Q24" i="8" s="1"/>
  <c r="R24" i="8"/>
  <c r="S24" i="8"/>
  <c r="T24" i="8"/>
  <c r="V24" i="8"/>
  <c r="W24" i="8"/>
  <c r="Y24" i="8"/>
  <c r="Z24" i="8"/>
  <c r="C25" i="8"/>
  <c r="D25" i="8"/>
  <c r="E25" i="8"/>
  <c r="F25" i="8"/>
  <c r="G25" i="8" s="1"/>
  <c r="I25" i="8"/>
  <c r="J25" i="8" s="1"/>
  <c r="L25" i="8"/>
  <c r="M25" i="8" s="1"/>
  <c r="P25" i="8"/>
  <c r="Q25" i="8" s="1"/>
  <c r="R25" i="8"/>
  <c r="S25" i="8" s="1"/>
  <c r="T25" i="8"/>
  <c r="V25" i="8"/>
  <c r="W25" i="8" s="1"/>
  <c r="Y25" i="8"/>
  <c r="Z25" i="8"/>
  <c r="C26" i="8"/>
  <c r="D26" i="8" s="1"/>
  <c r="E26" i="8"/>
  <c r="F26" i="8"/>
  <c r="G26" i="8"/>
  <c r="I26" i="8"/>
  <c r="J26" i="8" s="1"/>
  <c r="L26" i="8"/>
  <c r="M26" i="8"/>
  <c r="P26" i="8"/>
  <c r="Q26" i="8" s="1"/>
  <c r="R26" i="8"/>
  <c r="S26" i="8" s="1"/>
  <c r="T26" i="8" s="1"/>
  <c r="V26" i="8"/>
  <c r="W26" i="8"/>
  <c r="Y26" i="8"/>
  <c r="Z26" i="8"/>
  <c r="C27" i="8"/>
  <c r="D27" i="8"/>
  <c r="E27" i="8"/>
  <c r="F27" i="8"/>
  <c r="G27" i="8" s="1"/>
  <c r="I27" i="8"/>
  <c r="J27" i="8" s="1"/>
  <c r="L27" i="8"/>
  <c r="M27" i="8" s="1"/>
  <c r="P27" i="8"/>
  <c r="Q27" i="8"/>
  <c r="R27" i="8"/>
  <c r="S27" i="8" s="1"/>
  <c r="T27" i="8" s="1"/>
  <c r="V27" i="8"/>
  <c r="W27" i="8"/>
  <c r="Y27" i="8"/>
  <c r="Z27" i="8"/>
  <c r="C28" i="8"/>
  <c r="D28" i="8"/>
  <c r="E28" i="8"/>
  <c r="F28" i="8"/>
  <c r="G28" i="8"/>
  <c r="I28" i="8"/>
  <c r="J28" i="8" s="1"/>
  <c r="L28" i="8"/>
  <c r="M28" i="8" s="1"/>
  <c r="P28" i="8"/>
  <c r="Q28" i="8" s="1"/>
  <c r="R28" i="8"/>
  <c r="S28" i="8" s="1"/>
  <c r="T28" i="8" s="1"/>
  <c r="V28" i="8"/>
  <c r="W28" i="8"/>
  <c r="Y28" i="8"/>
  <c r="Z28" i="8" s="1"/>
  <c r="C29" i="8"/>
  <c r="D29" i="8"/>
  <c r="E29" i="8"/>
  <c r="F29" i="8" s="1"/>
  <c r="G29" i="8" s="1"/>
  <c r="I29" i="8"/>
  <c r="J29" i="8"/>
  <c r="L29" i="8"/>
  <c r="M29" i="8" s="1"/>
  <c r="P29" i="8"/>
  <c r="Q29" i="8"/>
  <c r="R29" i="8"/>
  <c r="S29" i="8" s="1"/>
  <c r="T29" i="8" s="1"/>
  <c r="V29" i="8"/>
  <c r="W29" i="8"/>
  <c r="Y29" i="8"/>
  <c r="Z29" i="8"/>
  <c r="C30" i="8"/>
  <c r="D30" i="8"/>
  <c r="E30" i="8"/>
  <c r="F30" i="8"/>
  <c r="G30" i="8" s="1"/>
  <c r="I30" i="8"/>
  <c r="J30" i="8" s="1"/>
  <c r="L30" i="8"/>
  <c r="M30" i="8" s="1"/>
  <c r="P30" i="8"/>
  <c r="Q30" i="8" s="1"/>
  <c r="R30" i="8"/>
  <c r="S30" i="8"/>
  <c r="T30" i="8" s="1"/>
  <c r="V30" i="8"/>
  <c r="W30" i="8"/>
  <c r="Y30" i="8"/>
  <c r="Z30" i="8" s="1"/>
  <c r="C31" i="8"/>
  <c r="D31" i="8"/>
  <c r="E31" i="8"/>
  <c r="F31" i="8" s="1"/>
  <c r="G31" i="8" s="1"/>
  <c r="I31" i="8"/>
  <c r="J31" i="8"/>
  <c r="L31" i="8"/>
  <c r="M31" i="8" s="1"/>
  <c r="P31" i="8"/>
  <c r="Q31" i="8" s="1"/>
  <c r="R31" i="8"/>
  <c r="S31" i="8" s="1"/>
  <c r="T31" i="8"/>
  <c r="V31" i="8"/>
  <c r="W31" i="8" s="1"/>
  <c r="Y31" i="8"/>
  <c r="Z31" i="8"/>
  <c r="C32" i="8"/>
  <c r="D32" i="8" s="1"/>
  <c r="E32" i="8"/>
  <c r="F32" i="8"/>
  <c r="G32" i="8" s="1"/>
  <c r="I32" i="8"/>
  <c r="J32" i="8" s="1"/>
  <c r="L32" i="8"/>
  <c r="M32" i="8"/>
  <c r="P32" i="8"/>
  <c r="Q32" i="8" s="1"/>
  <c r="R32" i="8"/>
  <c r="S32" i="8"/>
  <c r="T32" i="8"/>
  <c r="V32" i="8"/>
  <c r="W32" i="8"/>
  <c r="Y32" i="8"/>
  <c r="Z32" i="8"/>
  <c r="C33" i="8"/>
  <c r="D33" i="8"/>
  <c r="E33" i="8"/>
  <c r="F33" i="8"/>
  <c r="G33" i="8" s="1"/>
  <c r="I33" i="8"/>
  <c r="J33" i="8" s="1"/>
  <c r="L33" i="8"/>
  <c r="M33" i="8" s="1"/>
  <c r="P33" i="8"/>
  <c r="Q33" i="8" s="1"/>
  <c r="R33" i="8"/>
  <c r="S33" i="8" s="1"/>
  <c r="T33" i="8"/>
  <c r="V33" i="8"/>
  <c r="W33" i="8" s="1"/>
  <c r="Y33" i="8"/>
  <c r="Z33" i="8"/>
  <c r="C34" i="8"/>
  <c r="D34" i="8" s="1"/>
  <c r="E34" i="8"/>
  <c r="F34" i="8"/>
  <c r="G34" i="8"/>
  <c r="I34" i="8"/>
  <c r="J34" i="8" s="1"/>
  <c r="L34" i="8"/>
  <c r="M34" i="8"/>
  <c r="P34" i="8"/>
  <c r="Q34" i="8" s="1"/>
  <c r="R34" i="8"/>
  <c r="S34" i="8"/>
  <c r="T34" i="8" s="1"/>
  <c r="V34" i="8"/>
  <c r="W34" i="8"/>
  <c r="Y34" i="8"/>
  <c r="Z34" i="8" s="1"/>
  <c r="C35" i="8"/>
  <c r="D35" i="8"/>
  <c r="E35" i="8"/>
  <c r="F35" i="8" s="1"/>
  <c r="G35" i="8" s="1"/>
  <c r="I35" i="8"/>
  <c r="J35" i="8"/>
  <c r="L35" i="8"/>
  <c r="M35" i="8" s="1"/>
  <c r="P35" i="8"/>
  <c r="Q35" i="8"/>
  <c r="R35" i="8"/>
  <c r="S35" i="8" s="1"/>
  <c r="T35" i="8" s="1"/>
  <c r="V35" i="8"/>
  <c r="W35" i="8" s="1"/>
  <c r="Y35" i="8"/>
  <c r="Z35" i="8"/>
  <c r="V5" i="8"/>
  <c r="W5" i="8" s="1"/>
  <c r="R5" i="8"/>
  <c r="S5" i="8"/>
  <c r="T5" i="8"/>
  <c r="P5" i="8"/>
  <c r="Q5" i="8" s="1"/>
  <c r="L5" i="8"/>
  <c r="M5" i="8"/>
  <c r="I5" i="8"/>
  <c r="J5" i="8" s="1"/>
  <c r="E5" i="8"/>
  <c r="F5" i="8"/>
  <c r="G5" i="8" s="1"/>
  <c r="Y5" i="8"/>
  <c r="Z5" i="8"/>
  <c r="AB5" i="8"/>
  <c r="C5" i="8"/>
  <c r="D5" i="8" s="1"/>
  <c r="AD5" i="8" s="1"/>
  <c r="AC5" i="8"/>
  <c r="R6" i="7"/>
  <c r="R7" i="7"/>
  <c r="R8" i="7"/>
  <c r="R9" i="7"/>
  <c r="R10" i="7"/>
  <c r="R11" i="7"/>
  <c r="R12" i="7"/>
  <c r="R13" i="7"/>
  <c r="R14" i="7"/>
  <c r="R15" i="7"/>
  <c r="R16" i="7"/>
  <c r="R17" i="7"/>
  <c r="R18" i="7"/>
  <c r="R19" i="7"/>
  <c r="R20" i="7"/>
  <c r="R21" i="7"/>
  <c r="R22" i="7"/>
  <c r="R23" i="7"/>
  <c r="R24" i="7"/>
  <c r="R25" i="7"/>
  <c r="R26" i="7"/>
  <c r="R27" i="7"/>
  <c r="R28" i="7"/>
  <c r="R29" i="7"/>
  <c r="R30" i="7"/>
  <c r="R31" i="7"/>
  <c r="R32" i="7"/>
  <c r="R33" i="7"/>
  <c r="R34" i="7"/>
  <c r="R5" i="7"/>
  <c r="E6" i="7"/>
  <c r="E7" i="7"/>
  <c r="E8" i="7"/>
  <c r="E9" i="7"/>
  <c r="E10" i="7"/>
  <c r="E11" i="7"/>
  <c r="E12" i="7"/>
  <c r="E13" i="7"/>
  <c r="E14" i="7"/>
  <c r="E15" i="7"/>
  <c r="E16" i="7"/>
  <c r="E17" i="7"/>
  <c r="E18" i="7"/>
  <c r="E19" i="7"/>
  <c r="E20" i="7"/>
  <c r="E21" i="7"/>
  <c r="E22" i="7"/>
  <c r="E23" i="7"/>
  <c r="E24" i="7"/>
  <c r="E25" i="7"/>
  <c r="E26" i="7"/>
  <c r="E27" i="7"/>
  <c r="E28" i="7"/>
  <c r="E29" i="7"/>
  <c r="E30" i="7"/>
  <c r="E31" i="7"/>
  <c r="E32" i="7"/>
  <c r="E33" i="7"/>
  <c r="E34" i="7"/>
  <c r="E5" i="7"/>
  <c r="AB35" i="16"/>
  <c r="AB34" i="16"/>
  <c r="AB33" i="16"/>
  <c r="AB32" i="16"/>
  <c r="AB31" i="16"/>
  <c r="AB30" i="16"/>
  <c r="AB29" i="16"/>
  <c r="AB28" i="16"/>
  <c r="AB27" i="16"/>
  <c r="AB26" i="16"/>
  <c r="AB25" i="16"/>
  <c r="AB24" i="16"/>
  <c r="AB23" i="16"/>
  <c r="AB22" i="16"/>
  <c r="AB21" i="16"/>
  <c r="AB20" i="16"/>
  <c r="AB19" i="16"/>
  <c r="AB18" i="16"/>
  <c r="AB17" i="16"/>
  <c r="AB16" i="16"/>
  <c r="AB15" i="16"/>
  <c r="AB14" i="16"/>
  <c r="AB13" i="16"/>
  <c r="AB12" i="16"/>
  <c r="AB11" i="16"/>
  <c r="AB10" i="16"/>
  <c r="AB9" i="16"/>
  <c r="AB8" i="16"/>
  <c r="AB7" i="16"/>
  <c r="AB6" i="16"/>
  <c r="AB5" i="5"/>
  <c r="X33" i="4"/>
  <c r="U33" i="4"/>
  <c r="R33" i="4"/>
  <c r="O33" i="4"/>
  <c r="X32" i="4"/>
  <c r="U32" i="4"/>
  <c r="R32" i="4"/>
  <c r="O32" i="4"/>
  <c r="X31" i="4"/>
  <c r="U31" i="4"/>
  <c r="R31" i="4"/>
  <c r="O31" i="4"/>
  <c r="X30" i="4"/>
  <c r="U30" i="4"/>
  <c r="R30" i="4"/>
  <c r="O30" i="4"/>
  <c r="X29" i="4"/>
  <c r="U29" i="4"/>
  <c r="R29" i="4"/>
  <c r="O29" i="4"/>
  <c r="X28" i="4"/>
  <c r="U28" i="4"/>
  <c r="R28" i="4"/>
  <c r="O28" i="4"/>
  <c r="X27" i="4"/>
  <c r="U27" i="4"/>
  <c r="R27" i="4"/>
  <c r="O27" i="4"/>
  <c r="X26" i="4"/>
  <c r="U26" i="4"/>
  <c r="R26" i="4"/>
  <c r="O26" i="4"/>
  <c r="X25" i="4"/>
  <c r="U25" i="4"/>
  <c r="R25" i="4"/>
  <c r="O25" i="4"/>
  <c r="X24" i="4"/>
  <c r="U24" i="4"/>
  <c r="R24" i="4"/>
  <c r="O24" i="4"/>
  <c r="X23" i="4"/>
  <c r="U23" i="4"/>
  <c r="R23" i="4"/>
  <c r="O23" i="4"/>
  <c r="X22" i="4"/>
  <c r="U22" i="4"/>
  <c r="R22" i="4"/>
  <c r="O22" i="4"/>
  <c r="X21" i="4"/>
  <c r="U21" i="4"/>
  <c r="R21" i="4"/>
  <c r="O21" i="4"/>
  <c r="X20" i="4"/>
  <c r="U20" i="4"/>
  <c r="R20" i="4"/>
  <c r="O20" i="4"/>
  <c r="X19" i="4"/>
  <c r="U19" i="4"/>
  <c r="R19" i="4"/>
  <c r="O19" i="4"/>
  <c r="X18" i="4"/>
  <c r="U18" i="4"/>
  <c r="R18" i="4"/>
  <c r="O18" i="4"/>
  <c r="X17" i="4"/>
  <c r="U17" i="4"/>
  <c r="R17" i="4"/>
  <c r="O17" i="4"/>
  <c r="X16" i="4"/>
  <c r="U16" i="4"/>
  <c r="R16" i="4"/>
  <c r="O16" i="4"/>
  <c r="X15" i="4"/>
  <c r="U15" i="4"/>
  <c r="R15" i="4"/>
  <c r="O15" i="4"/>
  <c r="X14" i="4"/>
  <c r="U14" i="4"/>
  <c r="R14" i="4"/>
  <c r="O14" i="4"/>
  <c r="X13" i="4"/>
  <c r="U13" i="4"/>
  <c r="R13" i="4"/>
  <c r="O13" i="4"/>
  <c r="X12" i="4"/>
  <c r="U12" i="4"/>
  <c r="R12" i="4"/>
  <c r="O12" i="4"/>
  <c r="X11" i="4"/>
  <c r="U11" i="4"/>
  <c r="R11" i="4"/>
  <c r="O11" i="4"/>
  <c r="X10" i="4"/>
  <c r="U10" i="4"/>
  <c r="R10" i="4"/>
  <c r="O10" i="4"/>
  <c r="X9" i="4"/>
  <c r="U9" i="4"/>
  <c r="R9" i="4"/>
  <c r="O9" i="4"/>
  <c r="X8" i="4"/>
  <c r="U8" i="4"/>
  <c r="R8" i="4"/>
  <c r="O8" i="4"/>
  <c r="X7" i="4"/>
  <c r="U7" i="4"/>
  <c r="R7" i="4"/>
  <c r="O7" i="4"/>
  <c r="X6" i="4"/>
  <c r="U6" i="4"/>
  <c r="R6" i="4"/>
  <c r="O6" i="4"/>
  <c r="X5" i="4"/>
  <c r="U5" i="4"/>
  <c r="R5" i="4"/>
  <c r="O5" i="4"/>
  <c r="K33" i="4"/>
  <c r="H33" i="4"/>
  <c r="E33" i="4"/>
  <c r="B33" i="4"/>
  <c r="K32" i="4"/>
  <c r="H32" i="4"/>
  <c r="E32" i="4"/>
  <c r="B32" i="4"/>
  <c r="K31" i="4"/>
  <c r="H31" i="4"/>
  <c r="E31" i="4"/>
  <c r="B31" i="4"/>
  <c r="K30" i="4"/>
  <c r="H30" i="4"/>
  <c r="E30" i="4"/>
  <c r="B30" i="4"/>
  <c r="K29" i="4"/>
  <c r="H29" i="4"/>
  <c r="E29" i="4"/>
  <c r="B29" i="4"/>
  <c r="K28" i="4"/>
  <c r="H28" i="4"/>
  <c r="E28" i="4"/>
  <c r="B28" i="4"/>
  <c r="K27" i="4"/>
  <c r="H27" i="4"/>
  <c r="E27" i="4"/>
  <c r="B27" i="4"/>
  <c r="K26" i="4"/>
  <c r="H26" i="4"/>
  <c r="E26" i="4"/>
  <c r="B26" i="4"/>
  <c r="K25" i="4"/>
  <c r="H25" i="4"/>
  <c r="E25" i="4"/>
  <c r="B25" i="4"/>
  <c r="K24" i="4"/>
  <c r="H24" i="4"/>
  <c r="E24" i="4"/>
  <c r="B24" i="4"/>
  <c r="K23" i="4"/>
  <c r="H23" i="4"/>
  <c r="E23" i="4"/>
  <c r="B23" i="4"/>
  <c r="K22" i="4"/>
  <c r="H22" i="4"/>
  <c r="E22" i="4"/>
  <c r="B22" i="4"/>
  <c r="K21" i="4"/>
  <c r="H21" i="4"/>
  <c r="E21" i="4"/>
  <c r="B21" i="4"/>
  <c r="K20" i="4"/>
  <c r="H20" i="4"/>
  <c r="E20" i="4"/>
  <c r="B20" i="4"/>
  <c r="K19" i="4"/>
  <c r="H19" i="4"/>
  <c r="E19" i="4"/>
  <c r="B19" i="4"/>
  <c r="K18" i="4"/>
  <c r="H18" i="4"/>
  <c r="E18" i="4"/>
  <c r="B18" i="4"/>
  <c r="K17" i="4"/>
  <c r="H17" i="4"/>
  <c r="E17" i="4"/>
  <c r="B17" i="4"/>
  <c r="K16" i="4"/>
  <c r="H16" i="4"/>
  <c r="E16" i="4"/>
  <c r="B16" i="4"/>
  <c r="K15" i="4"/>
  <c r="H15" i="4"/>
  <c r="E15" i="4"/>
  <c r="B15" i="4"/>
  <c r="K14" i="4"/>
  <c r="H14" i="4"/>
  <c r="E14" i="4"/>
  <c r="B14" i="4"/>
  <c r="K13" i="4"/>
  <c r="H13" i="4"/>
  <c r="E13" i="4"/>
  <c r="B13" i="4"/>
  <c r="K12" i="4"/>
  <c r="H12" i="4"/>
  <c r="E12" i="4"/>
  <c r="B12" i="4"/>
  <c r="K11" i="4"/>
  <c r="H11" i="4"/>
  <c r="E11" i="4"/>
  <c r="B11" i="4"/>
  <c r="K10" i="4"/>
  <c r="H10" i="4"/>
  <c r="E10" i="4"/>
  <c r="B10" i="4"/>
  <c r="K9" i="4"/>
  <c r="H9" i="4"/>
  <c r="E9" i="4"/>
  <c r="B9" i="4"/>
  <c r="K8" i="4"/>
  <c r="H8" i="4"/>
  <c r="E8" i="4"/>
  <c r="B8" i="4"/>
  <c r="K7" i="4"/>
  <c r="H7" i="4"/>
  <c r="E7" i="4"/>
  <c r="B7" i="4"/>
  <c r="K6" i="4"/>
  <c r="H6" i="4"/>
  <c r="E6" i="4"/>
  <c r="B6" i="4"/>
  <c r="K5" i="4"/>
  <c r="H5" i="4"/>
  <c r="E5" i="4"/>
  <c r="B5" i="4"/>
  <c r="X35" i="13"/>
  <c r="U35" i="13"/>
  <c r="R35" i="13"/>
  <c r="O35" i="13"/>
  <c r="X34" i="13"/>
  <c r="U34" i="13"/>
  <c r="R34" i="13"/>
  <c r="O34" i="13"/>
  <c r="X33" i="13"/>
  <c r="U33" i="13"/>
  <c r="R33" i="13"/>
  <c r="O33" i="13"/>
  <c r="X32" i="13"/>
  <c r="U32" i="13"/>
  <c r="R32" i="13"/>
  <c r="O32" i="13"/>
  <c r="X31" i="13"/>
  <c r="U31" i="13"/>
  <c r="R31" i="13"/>
  <c r="O31" i="13"/>
  <c r="X30" i="13"/>
  <c r="U30" i="13"/>
  <c r="R30" i="13"/>
  <c r="O30" i="13"/>
  <c r="X29" i="13"/>
  <c r="U29" i="13"/>
  <c r="R29" i="13"/>
  <c r="O29" i="13"/>
  <c r="X28" i="13"/>
  <c r="U28" i="13"/>
  <c r="R28" i="13"/>
  <c r="O28" i="13"/>
  <c r="X27" i="13"/>
  <c r="U27" i="13"/>
  <c r="R27" i="13"/>
  <c r="O27" i="13"/>
  <c r="X26" i="13"/>
  <c r="U26" i="13"/>
  <c r="R26" i="13"/>
  <c r="O26" i="13"/>
  <c r="X25" i="13"/>
  <c r="U25" i="13"/>
  <c r="R25" i="13"/>
  <c r="O25" i="13"/>
  <c r="X24" i="13"/>
  <c r="U24" i="13"/>
  <c r="R24" i="13"/>
  <c r="O24" i="13"/>
  <c r="X23" i="13"/>
  <c r="U23" i="13"/>
  <c r="R23" i="13"/>
  <c r="O23" i="13"/>
  <c r="X22" i="13"/>
  <c r="U22" i="13"/>
  <c r="R22" i="13"/>
  <c r="O22" i="13"/>
  <c r="X21" i="13"/>
  <c r="U21" i="13"/>
  <c r="R21" i="13"/>
  <c r="O21" i="13"/>
  <c r="X20" i="13"/>
  <c r="U20" i="13"/>
  <c r="R20" i="13"/>
  <c r="O20" i="13"/>
  <c r="X19" i="13"/>
  <c r="U19" i="13"/>
  <c r="R19" i="13"/>
  <c r="O19" i="13"/>
  <c r="X18" i="13"/>
  <c r="U18" i="13"/>
  <c r="R18" i="13"/>
  <c r="O18" i="13"/>
  <c r="X17" i="13"/>
  <c r="U17" i="13"/>
  <c r="R17" i="13"/>
  <c r="O17" i="13"/>
  <c r="X16" i="13"/>
  <c r="U16" i="13"/>
  <c r="R16" i="13"/>
  <c r="O16" i="13"/>
  <c r="X15" i="13"/>
  <c r="U15" i="13"/>
  <c r="R15" i="13"/>
  <c r="O15" i="13"/>
  <c r="X14" i="13"/>
  <c r="U14" i="13"/>
  <c r="R14" i="13"/>
  <c r="O14" i="13"/>
  <c r="X13" i="13"/>
  <c r="U13" i="13"/>
  <c r="R13" i="13"/>
  <c r="O13" i="13"/>
  <c r="X12" i="13"/>
  <c r="U12" i="13"/>
  <c r="R12" i="13"/>
  <c r="O12" i="13"/>
  <c r="X11" i="13"/>
  <c r="U11" i="13"/>
  <c r="R11" i="13"/>
  <c r="O11" i="13"/>
  <c r="X10" i="13"/>
  <c r="U10" i="13"/>
  <c r="R10" i="13"/>
  <c r="O10" i="13"/>
  <c r="X9" i="13"/>
  <c r="U9" i="13"/>
  <c r="R9" i="13"/>
  <c r="O9" i="13"/>
  <c r="X8" i="13"/>
  <c r="U8" i="13"/>
  <c r="R8" i="13"/>
  <c r="O8" i="13"/>
  <c r="X7" i="13"/>
  <c r="U7" i="13"/>
  <c r="R7" i="13"/>
  <c r="O7" i="13"/>
  <c r="X6" i="13"/>
  <c r="U6" i="13"/>
  <c r="R6" i="13"/>
  <c r="O6" i="13"/>
  <c r="X5" i="13"/>
  <c r="U5" i="13"/>
  <c r="R5" i="13"/>
  <c r="O5" i="13"/>
  <c r="K35" i="13"/>
  <c r="H35" i="13"/>
  <c r="E35" i="13"/>
  <c r="B35" i="13"/>
  <c r="K34" i="13"/>
  <c r="H34" i="13"/>
  <c r="E34" i="13"/>
  <c r="B34" i="13"/>
  <c r="K33" i="13"/>
  <c r="H33" i="13"/>
  <c r="E33" i="13"/>
  <c r="B33" i="13"/>
  <c r="K32" i="13"/>
  <c r="H32" i="13"/>
  <c r="E32" i="13"/>
  <c r="B32" i="13"/>
  <c r="K31" i="13"/>
  <c r="H31" i="13"/>
  <c r="E31" i="13"/>
  <c r="B31" i="13"/>
  <c r="K30" i="13"/>
  <c r="H30" i="13"/>
  <c r="E30" i="13"/>
  <c r="B30" i="13"/>
  <c r="K29" i="13"/>
  <c r="H29" i="13"/>
  <c r="E29" i="13"/>
  <c r="B29" i="13"/>
  <c r="K28" i="13"/>
  <c r="H28" i="13"/>
  <c r="E28" i="13"/>
  <c r="B28" i="13"/>
  <c r="K27" i="13"/>
  <c r="H27" i="13"/>
  <c r="E27" i="13"/>
  <c r="B27" i="13"/>
  <c r="K26" i="13"/>
  <c r="H26" i="13"/>
  <c r="E26" i="13"/>
  <c r="B26" i="13"/>
  <c r="K25" i="13"/>
  <c r="H25" i="13"/>
  <c r="E25" i="13"/>
  <c r="B25" i="13"/>
  <c r="K24" i="13"/>
  <c r="H24" i="13"/>
  <c r="E24" i="13"/>
  <c r="B24" i="13"/>
  <c r="K23" i="13"/>
  <c r="H23" i="13"/>
  <c r="E23" i="13"/>
  <c r="B23" i="13"/>
  <c r="K22" i="13"/>
  <c r="H22" i="13"/>
  <c r="E22" i="13"/>
  <c r="B22" i="13"/>
  <c r="K21" i="13"/>
  <c r="H21" i="13"/>
  <c r="E21" i="13"/>
  <c r="B21" i="13"/>
  <c r="K20" i="13"/>
  <c r="H20" i="13"/>
  <c r="E20" i="13"/>
  <c r="B20" i="13"/>
  <c r="K19" i="13"/>
  <c r="H19" i="13"/>
  <c r="E19" i="13"/>
  <c r="B19" i="13"/>
  <c r="K18" i="13"/>
  <c r="H18" i="13"/>
  <c r="E18" i="13"/>
  <c r="B18" i="13"/>
  <c r="K17" i="13"/>
  <c r="H17" i="13"/>
  <c r="E17" i="13"/>
  <c r="B17" i="13"/>
  <c r="K16" i="13"/>
  <c r="H16" i="13"/>
  <c r="E16" i="13"/>
  <c r="B16" i="13"/>
  <c r="K15" i="13"/>
  <c r="H15" i="13"/>
  <c r="E15" i="13"/>
  <c r="B15" i="13"/>
  <c r="K14" i="13"/>
  <c r="H14" i="13"/>
  <c r="E14" i="13"/>
  <c r="B14" i="13"/>
  <c r="K13" i="13"/>
  <c r="H13" i="13"/>
  <c r="E13" i="13"/>
  <c r="B13" i="13"/>
  <c r="K12" i="13"/>
  <c r="H12" i="13"/>
  <c r="E12" i="13"/>
  <c r="B12" i="13"/>
  <c r="K11" i="13"/>
  <c r="H11" i="13"/>
  <c r="E11" i="13"/>
  <c r="B11" i="13"/>
  <c r="K10" i="13"/>
  <c r="H10" i="13"/>
  <c r="E10" i="13"/>
  <c r="B10" i="13"/>
  <c r="K9" i="13"/>
  <c r="H9" i="13"/>
  <c r="E9" i="13"/>
  <c r="B9" i="13"/>
  <c r="K8" i="13"/>
  <c r="H8" i="13"/>
  <c r="E8" i="13"/>
  <c r="B8" i="13"/>
  <c r="K7" i="13"/>
  <c r="H7" i="13"/>
  <c r="E7" i="13"/>
  <c r="B7" i="13"/>
  <c r="K6" i="13"/>
  <c r="H6" i="13"/>
  <c r="E6" i="13"/>
  <c r="B6" i="13"/>
  <c r="K5" i="13"/>
  <c r="H5" i="13"/>
  <c r="E5" i="13"/>
  <c r="B5" i="13"/>
  <c r="X34" i="14"/>
  <c r="U34" i="14"/>
  <c r="R34" i="14"/>
  <c r="O34" i="14"/>
  <c r="X33" i="14"/>
  <c r="U33" i="14"/>
  <c r="R33" i="14"/>
  <c r="O33" i="14"/>
  <c r="X32" i="14"/>
  <c r="U32" i="14"/>
  <c r="R32" i="14"/>
  <c r="O32" i="14"/>
  <c r="X31" i="14"/>
  <c r="U31" i="14"/>
  <c r="R31" i="14"/>
  <c r="O31" i="14"/>
  <c r="X30" i="14"/>
  <c r="U30" i="14"/>
  <c r="R30" i="14"/>
  <c r="O30" i="14"/>
  <c r="X29" i="14"/>
  <c r="U29" i="14"/>
  <c r="R29" i="14"/>
  <c r="O29" i="14"/>
  <c r="X28" i="14"/>
  <c r="U28" i="14"/>
  <c r="R28" i="14"/>
  <c r="O28" i="14"/>
  <c r="X27" i="14"/>
  <c r="U27" i="14"/>
  <c r="R27" i="14"/>
  <c r="O27" i="14"/>
  <c r="X26" i="14"/>
  <c r="U26" i="14"/>
  <c r="R26" i="14"/>
  <c r="O26" i="14"/>
  <c r="X25" i="14"/>
  <c r="U25" i="14"/>
  <c r="R25" i="14"/>
  <c r="O25" i="14"/>
  <c r="X24" i="14"/>
  <c r="U24" i="14"/>
  <c r="R24" i="14"/>
  <c r="O24" i="14"/>
  <c r="X23" i="14"/>
  <c r="U23" i="14"/>
  <c r="R23" i="14"/>
  <c r="O23" i="14"/>
  <c r="X22" i="14"/>
  <c r="U22" i="14"/>
  <c r="R22" i="14"/>
  <c r="O22" i="14"/>
  <c r="X21" i="14"/>
  <c r="U21" i="14"/>
  <c r="R21" i="14"/>
  <c r="O21" i="14"/>
  <c r="X20" i="14"/>
  <c r="U20" i="14"/>
  <c r="R20" i="14"/>
  <c r="O20" i="14"/>
  <c r="X19" i="14"/>
  <c r="U19" i="14"/>
  <c r="R19" i="14"/>
  <c r="O19" i="14"/>
  <c r="X18" i="14"/>
  <c r="U18" i="14"/>
  <c r="R18" i="14"/>
  <c r="O18" i="14"/>
  <c r="X17" i="14"/>
  <c r="U17" i="14"/>
  <c r="R17" i="14"/>
  <c r="O17" i="14"/>
  <c r="X16" i="14"/>
  <c r="U16" i="14"/>
  <c r="R16" i="14"/>
  <c r="O16" i="14"/>
  <c r="X15" i="14"/>
  <c r="U15" i="14"/>
  <c r="R15" i="14"/>
  <c r="O15" i="14"/>
  <c r="X14" i="14"/>
  <c r="U14" i="14"/>
  <c r="R14" i="14"/>
  <c r="O14" i="14"/>
  <c r="X13" i="14"/>
  <c r="U13" i="14"/>
  <c r="R13" i="14"/>
  <c r="O13" i="14"/>
  <c r="X12" i="14"/>
  <c r="U12" i="14"/>
  <c r="R12" i="14"/>
  <c r="O12" i="14"/>
  <c r="X11" i="14"/>
  <c r="U11" i="14"/>
  <c r="R11" i="14"/>
  <c r="O11" i="14"/>
  <c r="X10" i="14"/>
  <c r="U10" i="14"/>
  <c r="R10" i="14"/>
  <c r="O10" i="14"/>
  <c r="X9" i="14"/>
  <c r="U9" i="14"/>
  <c r="R9" i="14"/>
  <c r="O9" i="14"/>
  <c r="X8" i="14"/>
  <c r="U8" i="14"/>
  <c r="R8" i="14"/>
  <c r="O8" i="14"/>
  <c r="X7" i="14"/>
  <c r="U7" i="14"/>
  <c r="R7" i="14"/>
  <c r="O7" i="14"/>
  <c r="X6" i="14"/>
  <c r="U6" i="14"/>
  <c r="R6" i="14"/>
  <c r="O6" i="14"/>
  <c r="X5" i="14"/>
  <c r="U5" i="14"/>
  <c r="R5" i="14"/>
  <c r="O5" i="14"/>
  <c r="K34" i="14"/>
  <c r="H34" i="14"/>
  <c r="E34" i="14"/>
  <c r="B34" i="14"/>
  <c r="K33" i="14"/>
  <c r="H33" i="14"/>
  <c r="E33" i="14"/>
  <c r="B33" i="14"/>
  <c r="K32" i="14"/>
  <c r="H32" i="14"/>
  <c r="E32" i="14"/>
  <c r="B32" i="14"/>
  <c r="K31" i="14"/>
  <c r="H31" i="14"/>
  <c r="E31" i="14"/>
  <c r="B31" i="14"/>
  <c r="K30" i="14"/>
  <c r="H30" i="14"/>
  <c r="E30" i="14"/>
  <c r="B30" i="14"/>
  <c r="K29" i="14"/>
  <c r="H29" i="14"/>
  <c r="E29" i="14"/>
  <c r="B29" i="14"/>
  <c r="K28" i="14"/>
  <c r="H28" i="14"/>
  <c r="E28" i="14"/>
  <c r="B28" i="14"/>
  <c r="K27" i="14"/>
  <c r="H27" i="14"/>
  <c r="E27" i="14"/>
  <c r="B27" i="14"/>
  <c r="K26" i="14"/>
  <c r="H26" i="14"/>
  <c r="E26" i="14"/>
  <c r="B26" i="14"/>
  <c r="K25" i="14"/>
  <c r="H25" i="14"/>
  <c r="E25" i="14"/>
  <c r="B25" i="14"/>
  <c r="K24" i="14"/>
  <c r="H24" i="14"/>
  <c r="E24" i="14"/>
  <c r="B24" i="14"/>
  <c r="K23" i="14"/>
  <c r="H23" i="14"/>
  <c r="E23" i="14"/>
  <c r="B23" i="14"/>
  <c r="K22" i="14"/>
  <c r="H22" i="14"/>
  <c r="E22" i="14"/>
  <c r="B22" i="14"/>
  <c r="K21" i="14"/>
  <c r="H21" i="14"/>
  <c r="E21" i="14"/>
  <c r="B21" i="14"/>
  <c r="K20" i="14"/>
  <c r="H20" i="14"/>
  <c r="E20" i="14"/>
  <c r="B20" i="14"/>
  <c r="K19" i="14"/>
  <c r="H19" i="14"/>
  <c r="E19" i="14"/>
  <c r="B19" i="14"/>
  <c r="K18" i="14"/>
  <c r="H18" i="14"/>
  <c r="E18" i="14"/>
  <c r="B18" i="14"/>
  <c r="K17" i="14"/>
  <c r="H17" i="14"/>
  <c r="E17" i="14"/>
  <c r="B17" i="14"/>
  <c r="K16" i="14"/>
  <c r="H16" i="14"/>
  <c r="E16" i="14"/>
  <c r="B16" i="14"/>
  <c r="K15" i="14"/>
  <c r="H15" i="14"/>
  <c r="E15" i="14"/>
  <c r="B15" i="14"/>
  <c r="K14" i="14"/>
  <c r="H14" i="14"/>
  <c r="E14" i="14"/>
  <c r="B14" i="14"/>
  <c r="K13" i="14"/>
  <c r="H13" i="14"/>
  <c r="E13" i="14"/>
  <c r="B13" i="14"/>
  <c r="K12" i="14"/>
  <c r="H12" i="14"/>
  <c r="E12" i="14"/>
  <c r="B12" i="14"/>
  <c r="K11" i="14"/>
  <c r="H11" i="14"/>
  <c r="E11" i="14"/>
  <c r="B11" i="14"/>
  <c r="K10" i="14"/>
  <c r="H10" i="14"/>
  <c r="E10" i="14"/>
  <c r="B10" i="14"/>
  <c r="K9" i="14"/>
  <c r="H9" i="14"/>
  <c r="E9" i="14"/>
  <c r="B9" i="14"/>
  <c r="K8" i="14"/>
  <c r="H8" i="14"/>
  <c r="E8" i="14"/>
  <c r="B8" i="14"/>
  <c r="K7" i="14"/>
  <c r="H7" i="14"/>
  <c r="E7" i="14"/>
  <c r="B7" i="14"/>
  <c r="K6" i="14"/>
  <c r="H6" i="14"/>
  <c r="E6" i="14"/>
  <c r="B6" i="14"/>
  <c r="K5" i="14"/>
  <c r="H5" i="14"/>
  <c r="E5" i="14"/>
  <c r="B5" i="14"/>
  <c r="X35" i="6"/>
  <c r="U35" i="6"/>
  <c r="R35" i="6"/>
  <c r="O35" i="6"/>
  <c r="X34" i="6"/>
  <c r="U34" i="6"/>
  <c r="R34" i="6"/>
  <c r="O34" i="6"/>
  <c r="X33" i="6"/>
  <c r="U33" i="6"/>
  <c r="R33" i="6"/>
  <c r="O33" i="6"/>
  <c r="X32" i="6"/>
  <c r="U32" i="6"/>
  <c r="R32" i="6"/>
  <c r="O32" i="6"/>
  <c r="X31" i="6"/>
  <c r="U31" i="6"/>
  <c r="R31" i="6"/>
  <c r="O31" i="6"/>
  <c r="X30" i="6"/>
  <c r="U30" i="6"/>
  <c r="R30" i="6"/>
  <c r="O30" i="6"/>
  <c r="X29" i="6"/>
  <c r="U29" i="6"/>
  <c r="R29" i="6"/>
  <c r="O29" i="6"/>
  <c r="X28" i="6"/>
  <c r="U28" i="6"/>
  <c r="R28" i="6"/>
  <c r="O28" i="6"/>
  <c r="X27" i="6"/>
  <c r="U27" i="6"/>
  <c r="R27" i="6"/>
  <c r="O27" i="6"/>
  <c r="X26" i="6"/>
  <c r="U26" i="6"/>
  <c r="R26" i="6"/>
  <c r="O26" i="6"/>
  <c r="X25" i="6"/>
  <c r="U25" i="6"/>
  <c r="R25" i="6"/>
  <c r="O25" i="6"/>
  <c r="X24" i="6"/>
  <c r="U24" i="6"/>
  <c r="R24" i="6"/>
  <c r="O24" i="6"/>
  <c r="X23" i="6"/>
  <c r="U23" i="6"/>
  <c r="R23" i="6"/>
  <c r="O23" i="6"/>
  <c r="X22" i="6"/>
  <c r="U22" i="6"/>
  <c r="R22" i="6"/>
  <c r="O22" i="6"/>
  <c r="X21" i="6"/>
  <c r="U21" i="6"/>
  <c r="R21" i="6"/>
  <c r="O21" i="6"/>
  <c r="X20" i="6"/>
  <c r="U20" i="6"/>
  <c r="R20" i="6"/>
  <c r="O20" i="6"/>
  <c r="X19" i="6"/>
  <c r="U19" i="6"/>
  <c r="R19" i="6"/>
  <c r="O19" i="6"/>
  <c r="X18" i="6"/>
  <c r="U18" i="6"/>
  <c r="R18" i="6"/>
  <c r="O18" i="6"/>
  <c r="X17" i="6"/>
  <c r="U17" i="6"/>
  <c r="R17" i="6"/>
  <c r="O17" i="6"/>
  <c r="X16" i="6"/>
  <c r="U16" i="6"/>
  <c r="R16" i="6"/>
  <c r="O16" i="6"/>
  <c r="X15" i="6"/>
  <c r="U15" i="6"/>
  <c r="R15" i="6"/>
  <c r="O15" i="6"/>
  <c r="X14" i="6"/>
  <c r="U14" i="6"/>
  <c r="R14" i="6"/>
  <c r="O14" i="6"/>
  <c r="X13" i="6"/>
  <c r="U13" i="6"/>
  <c r="R13" i="6"/>
  <c r="O13" i="6"/>
  <c r="X12" i="6"/>
  <c r="U12" i="6"/>
  <c r="R12" i="6"/>
  <c r="O12" i="6"/>
  <c r="X11" i="6"/>
  <c r="U11" i="6"/>
  <c r="R11" i="6"/>
  <c r="O11" i="6"/>
  <c r="X10" i="6"/>
  <c r="U10" i="6"/>
  <c r="R10" i="6"/>
  <c r="O10" i="6"/>
  <c r="X9" i="6"/>
  <c r="U9" i="6"/>
  <c r="R9" i="6"/>
  <c r="O9" i="6"/>
  <c r="X8" i="6"/>
  <c r="U8" i="6"/>
  <c r="R8" i="6"/>
  <c r="O8" i="6"/>
  <c r="X7" i="6"/>
  <c r="U7" i="6"/>
  <c r="R7" i="6"/>
  <c r="O7" i="6"/>
  <c r="X6" i="6"/>
  <c r="U6" i="6"/>
  <c r="R6" i="6"/>
  <c r="O6" i="6"/>
  <c r="X5" i="6"/>
  <c r="U5" i="6"/>
  <c r="R5" i="6"/>
  <c r="O5" i="6"/>
  <c r="K35" i="6"/>
  <c r="H35" i="6"/>
  <c r="E35" i="6"/>
  <c r="B35" i="6"/>
  <c r="K34" i="6"/>
  <c r="H34" i="6"/>
  <c r="E34" i="6"/>
  <c r="B34" i="6"/>
  <c r="K33" i="6"/>
  <c r="H33" i="6"/>
  <c r="E33" i="6"/>
  <c r="B33" i="6"/>
  <c r="K32" i="6"/>
  <c r="H32" i="6"/>
  <c r="E32" i="6"/>
  <c r="B32" i="6"/>
  <c r="K31" i="6"/>
  <c r="H31" i="6"/>
  <c r="E31" i="6"/>
  <c r="B31" i="6"/>
  <c r="K30" i="6"/>
  <c r="H30" i="6"/>
  <c r="E30" i="6"/>
  <c r="B30" i="6"/>
  <c r="K29" i="6"/>
  <c r="H29" i="6"/>
  <c r="E29" i="6"/>
  <c r="B29" i="6"/>
  <c r="K28" i="6"/>
  <c r="H28" i="6"/>
  <c r="E28" i="6"/>
  <c r="B28" i="6"/>
  <c r="K27" i="6"/>
  <c r="H27" i="6"/>
  <c r="E27" i="6"/>
  <c r="B27" i="6"/>
  <c r="K26" i="6"/>
  <c r="H26" i="6"/>
  <c r="E26" i="6"/>
  <c r="B26" i="6"/>
  <c r="K25" i="6"/>
  <c r="H25" i="6"/>
  <c r="E25" i="6"/>
  <c r="B25" i="6"/>
  <c r="K24" i="6"/>
  <c r="H24" i="6"/>
  <c r="E24" i="6"/>
  <c r="B24" i="6"/>
  <c r="K23" i="6"/>
  <c r="H23" i="6"/>
  <c r="E23" i="6"/>
  <c r="B23" i="6"/>
  <c r="K22" i="6"/>
  <c r="H22" i="6"/>
  <c r="E22" i="6"/>
  <c r="B22" i="6"/>
  <c r="K21" i="6"/>
  <c r="H21" i="6"/>
  <c r="E21" i="6"/>
  <c r="B21" i="6"/>
  <c r="K20" i="6"/>
  <c r="H20" i="6"/>
  <c r="E20" i="6"/>
  <c r="B20" i="6"/>
  <c r="K19" i="6"/>
  <c r="H19" i="6"/>
  <c r="E19" i="6"/>
  <c r="B19" i="6"/>
  <c r="K18" i="6"/>
  <c r="H18" i="6"/>
  <c r="E18" i="6"/>
  <c r="B18" i="6"/>
  <c r="K17" i="6"/>
  <c r="H17" i="6"/>
  <c r="E17" i="6"/>
  <c r="B17" i="6"/>
  <c r="K16" i="6"/>
  <c r="H16" i="6"/>
  <c r="E16" i="6"/>
  <c r="B16" i="6"/>
  <c r="K15" i="6"/>
  <c r="H15" i="6"/>
  <c r="E15" i="6"/>
  <c r="B15" i="6"/>
  <c r="K14" i="6"/>
  <c r="H14" i="6"/>
  <c r="E14" i="6"/>
  <c r="B14" i="6"/>
  <c r="K13" i="6"/>
  <c r="H13" i="6"/>
  <c r="E13" i="6"/>
  <c r="B13" i="6"/>
  <c r="K12" i="6"/>
  <c r="H12" i="6"/>
  <c r="E12" i="6"/>
  <c r="B12" i="6"/>
  <c r="K11" i="6"/>
  <c r="H11" i="6"/>
  <c r="E11" i="6"/>
  <c r="B11" i="6"/>
  <c r="K10" i="6"/>
  <c r="H10" i="6"/>
  <c r="E10" i="6"/>
  <c r="B10" i="6"/>
  <c r="K9" i="6"/>
  <c r="H9" i="6"/>
  <c r="E9" i="6"/>
  <c r="B9" i="6"/>
  <c r="K8" i="6"/>
  <c r="H8" i="6"/>
  <c r="E8" i="6"/>
  <c r="B8" i="6"/>
  <c r="K7" i="6"/>
  <c r="H7" i="6"/>
  <c r="E7" i="6"/>
  <c r="B7" i="6"/>
  <c r="K6" i="6"/>
  <c r="H6" i="6"/>
  <c r="E6" i="6"/>
  <c r="B6" i="6"/>
  <c r="K5" i="6"/>
  <c r="H5" i="6"/>
  <c r="E5" i="6"/>
  <c r="B5" i="6"/>
  <c r="X35" i="1"/>
  <c r="U35" i="1"/>
  <c r="R35" i="1"/>
  <c r="O35" i="1"/>
  <c r="X34" i="1"/>
  <c r="U34" i="1"/>
  <c r="R34" i="1"/>
  <c r="O34" i="1"/>
  <c r="X33" i="1"/>
  <c r="U33" i="1"/>
  <c r="R33" i="1"/>
  <c r="O33" i="1"/>
  <c r="X32" i="1"/>
  <c r="U32" i="1"/>
  <c r="R32" i="1"/>
  <c r="O32" i="1"/>
  <c r="X31" i="1"/>
  <c r="U31" i="1"/>
  <c r="R31" i="1"/>
  <c r="O31" i="1"/>
  <c r="X30" i="1"/>
  <c r="U30" i="1"/>
  <c r="R30" i="1"/>
  <c r="O30" i="1"/>
  <c r="X29" i="1"/>
  <c r="U29" i="1"/>
  <c r="R29" i="1"/>
  <c r="O29" i="1"/>
  <c r="X28" i="1"/>
  <c r="U28" i="1"/>
  <c r="R28" i="1"/>
  <c r="O28" i="1"/>
  <c r="X27" i="1"/>
  <c r="U27" i="1"/>
  <c r="R27" i="1"/>
  <c r="O27" i="1"/>
  <c r="X26" i="1"/>
  <c r="U26" i="1"/>
  <c r="R26" i="1"/>
  <c r="O26" i="1"/>
  <c r="X25" i="1"/>
  <c r="U25" i="1"/>
  <c r="R25" i="1"/>
  <c r="O25" i="1"/>
  <c r="X24" i="1"/>
  <c r="U24" i="1"/>
  <c r="R24" i="1"/>
  <c r="O24" i="1"/>
  <c r="X23" i="1"/>
  <c r="U23" i="1"/>
  <c r="R23" i="1"/>
  <c r="O23" i="1"/>
  <c r="X22" i="1"/>
  <c r="U22" i="1"/>
  <c r="R22" i="1"/>
  <c r="O22" i="1"/>
  <c r="X21" i="1"/>
  <c r="U21" i="1"/>
  <c r="R21" i="1"/>
  <c r="O21" i="1"/>
  <c r="X20" i="1"/>
  <c r="U20" i="1"/>
  <c r="R20" i="1"/>
  <c r="O20" i="1"/>
  <c r="X19" i="1"/>
  <c r="U19" i="1"/>
  <c r="R19" i="1"/>
  <c r="O19" i="1"/>
  <c r="X18" i="1"/>
  <c r="U18" i="1"/>
  <c r="R18" i="1"/>
  <c r="O18" i="1"/>
  <c r="X17" i="1"/>
  <c r="U17" i="1"/>
  <c r="R17" i="1"/>
  <c r="O17" i="1"/>
  <c r="X16" i="1"/>
  <c r="U16" i="1"/>
  <c r="R16" i="1"/>
  <c r="O16" i="1"/>
  <c r="X15" i="1"/>
  <c r="U15" i="1"/>
  <c r="R15" i="1"/>
  <c r="O15" i="1"/>
  <c r="X14" i="1"/>
  <c r="U14" i="1"/>
  <c r="R14" i="1"/>
  <c r="O14" i="1"/>
  <c r="X13" i="1"/>
  <c r="U13" i="1"/>
  <c r="R13" i="1"/>
  <c r="O13" i="1"/>
  <c r="X12" i="1"/>
  <c r="U12" i="1"/>
  <c r="R12" i="1"/>
  <c r="O12" i="1"/>
  <c r="X11" i="1"/>
  <c r="U11" i="1"/>
  <c r="R11" i="1"/>
  <c r="O11" i="1"/>
  <c r="X10" i="1"/>
  <c r="U10" i="1"/>
  <c r="R10" i="1"/>
  <c r="O10" i="1"/>
  <c r="X9" i="1"/>
  <c r="U9" i="1"/>
  <c r="R9" i="1"/>
  <c r="O9" i="1"/>
  <c r="X8" i="1"/>
  <c r="U8" i="1"/>
  <c r="R8" i="1"/>
  <c r="O8" i="1"/>
  <c r="X7" i="1"/>
  <c r="U7" i="1"/>
  <c r="R7" i="1"/>
  <c r="O7" i="1"/>
  <c r="X6" i="1"/>
  <c r="U6" i="1"/>
  <c r="R6" i="1"/>
  <c r="O6" i="1"/>
  <c r="X5" i="1"/>
  <c r="U5" i="1"/>
  <c r="R5" i="1"/>
  <c r="O5" i="1"/>
  <c r="K35" i="1"/>
  <c r="H35" i="1"/>
  <c r="E35" i="1"/>
  <c r="B35" i="1"/>
  <c r="K34" i="1"/>
  <c r="H34" i="1"/>
  <c r="B34" i="1"/>
  <c r="K33" i="1"/>
  <c r="H33" i="1"/>
  <c r="E33" i="1"/>
  <c r="B33" i="1"/>
  <c r="K32" i="1"/>
  <c r="H32" i="1"/>
  <c r="E32" i="1"/>
  <c r="B32" i="1"/>
  <c r="K31" i="1"/>
  <c r="H31" i="1"/>
  <c r="E31" i="1"/>
  <c r="B31" i="1"/>
  <c r="K30" i="1"/>
  <c r="H30" i="1"/>
  <c r="E30" i="1"/>
  <c r="B30" i="1"/>
  <c r="K29" i="1"/>
  <c r="H29" i="1"/>
  <c r="E29" i="1"/>
  <c r="B29" i="1"/>
  <c r="K28" i="1"/>
  <c r="H28" i="1"/>
  <c r="E28" i="1"/>
  <c r="B28" i="1"/>
  <c r="K27" i="1"/>
  <c r="H27" i="1"/>
  <c r="E27" i="1"/>
  <c r="B27" i="1"/>
  <c r="K26" i="1"/>
  <c r="H26" i="1"/>
  <c r="E26" i="1"/>
  <c r="B26" i="1"/>
  <c r="K25" i="1"/>
  <c r="H25" i="1"/>
  <c r="E25" i="1"/>
  <c r="B25" i="1"/>
  <c r="K24" i="1"/>
  <c r="H24" i="1"/>
  <c r="E24" i="1"/>
  <c r="B24" i="1"/>
  <c r="K23" i="1"/>
  <c r="H23" i="1"/>
  <c r="E23" i="1"/>
  <c r="B23" i="1"/>
  <c r="K22" i="1"/>
  <c r="H22" i="1"/>
  <c r="E22" i="1"/>
  <c r="B22" i="1"/>
  <c r="K21" i="1"/>
  <c r="H21" i="1"/>
  <c r="E21" i="1"/>
  <c r="B21" i="1"/>
  <c r="K20" i="1"/>
  <c r="H20" i="1"/>
  <c r="E20" i="1"/>
  <c r="B20" i="1"/>
  <c r="K19" i="1"/>
  <c r="H19" i="1"/>
  <c r="E19" i="1"/>
  <c r="B19" i="1"/>
  <c r="K18" i="1"/>
  <c r="H18" i="1"/>
  <c r="E18" i="1"/>
  <c r="B18" i="1"/>
  <c r="K17" i="1"/>
  <c r="H17" i="1"/>
  <c r="E17" i="1"/>
  <c r="B17" i="1"/>
  <c r="K16" i="1"/>
  <c r="H16" i="1"/>
  <c r="E16" i="1"/>
  <c r="B16" i="1"/>
  <c r="K15" i="1"/>
  <c r="H15" i="1"/>
  <c r="E15" i="1"/>
  <c r="B15" i="1"/>
  <c r="K14" i="1"/>
  <c r="H14" i="1"/>
  <c r="E14" i="1"/>
  <c r="B14" i="1"/>
  <c r="K13" i="1"/>
  <c r="H13" i="1"/>
  <c r="E13" i="1"/>
  <c r="B13" i="1"/>
  <c r="K12" i="1"/>
  <c r="H12" i="1"/>
  <c r="E12" i="1"/>
  <c r="B12" i="1"/>
  <c r="K11" i="1"/>
  <c r="H11" i="1"/>
  <c r="E11" i="1"/>
  <c r="B11" i="1"/>
  <c r="K10" i="1"/>
  <c r="H10" i="1"/>
  <c r="E10" i="1"/>
  <c r="B10" i="1"/>
  <c r="K9" i="1"/>
  <c r="H9" i="1"/>
  <c r="E9" i="1"/>
  <c r="B9" i="1"/>
  <c r="K8" i="1"/>
  <c r="H8" i="1"/>
  <c r="E8" i="1"/>
  <c r="B8" i="1"/>
  <c r="K7" i="1"/>
  <c r="H7" i="1"/>
  <c r="E7" i="1"/>
  <c r="B7" i="1"/>
  <c r="K6" i="1"/>
  <c r="H6" i="1"/>
  <c r="E6" i="1"/>
  <c r="B6" i="1"/>
  <c r="K5" i="1"/>
  <c r="H5" i="1"/>
  <c r="E5" i="1"/>
  <c r="P33" i="4"/>
  <c r="Q33" i="4"/>
  <c r="S33" i="4"/>
  <c r="T33" i="4" s="1"/>
  <c r="V33" i="4"/>
  <c r="W33" i="4"/>
  <c r="Y33" i="4"/>
  <c r="Z33" i="4" s="1"/>
  <c r="C33" i="4"/>
  <c r="D33" i="4"/>
  <c r="F33" i="4"/>
  <c r="G33" i="4" s="1"/>
  <c r="I33" i="4"/>
  <c r="J33" i="4"/>
  <c r="L33" i="4"/>
  <c r="M33" i="4" s="1"/>
  <c r="AC33" i="4"/>
  <c r="AB33" i="4"/>
  <c r="AC6" i="16"/>
  <c r="AD6" i="16" s="1"/>
  <c r="AC7" i="16"/>
  <c r="AD7" i="16"/>
  <c r="AC8" i="16"/>
  <c r="AD8" i="16" s="1"/>
  <c r="AC9" i="16"/>
  <c r="AD9" i="16"/>
  <c r="AC10" i="16"/>
  <c r="AD10" i="16" s="1"/>
  <c r="AC11" i="16"/>
  <c r="AD11" i="16"/>
  <c r="AC12" i="16"/>
  <c r="AD12" i="16" s="1"/>
  <c r="AC13" i="16"/>
  <c r="AD13" i="16"/>
  <c r="AC14" i="16"/>
  <c r="AD14" i="16" s="1"/>
  <c r="AC15" i="16"/>
  <c r="AD15" i="16"/>
  <c r="AC16" i="16"/>
  <c r="AD16" i="16" s="1"/>
  <c r="AC17" i="16"/>
  <c r="AD17" i="16"/>
  <c r="AC18" i="16"/>
  <c r="AD18" i="16" s="1"/>
  <c r="AC19" i="16"/>
  <c r="AD19" i="16"/>
  <c r="AC20" i="16"/>
  <c r="AD20" i="16" s="1"/>
  <c r="AC21" i="16"/>
  <c r="AD21" i="16"/>
  <c r="AC22" i="16"/>
  <c r="AD22" i="16" s="1"/>
  <c r="AC23" i="16"/>
  <c r="AD23" i="16"/>
  <c r="AC24" i="16"/>
  <c r="AD24" i="16" s="1"/>
  <c r="AC25" i="16"/>
  <c r="AD25" i="16"/>
  <c r="AC26" i="16"/>
  <c r="AD26" i="16" s="1"/>
  <c r="AC27" i="16"/>
  <c r="AD27" i="16"/>
  <c r="AC28" i="16"/>
  <c r="AD28" i="16" s="1"/>
  <c r="AC29" i="16"/>
  <c r="AD29" i="16"/>
  <c r="AC30" i="16"/>
  <c r="AD30" i="16" s="1"/>
  <c r="AC31" i="16"/>
  <c r="AD31" i="16"/>
  <c r="AC32" i="16"/>
  <c r="AD32" i="16" s="1"/>
  <c r="AC33" i="16"/>
  <c r="AD33" i="16"/>
  <c r="AC34" i="16"/>
  <c r="AD34" i="16" s="1"/>
  <c r="AC35" i="16"/>
  <c r="AD35" i="16"/>
  <c r="L18" i="4"/>
  <c r="M18" i="4" s="1"/>
  <c r="L19" i="4"/>
  <c r="M19" i="4"/>
  <c r="L20" i="4"/>
  <c r="M20" i="4" s="1"/>
  <c r="I5" i="14"/>
  <c r="I6" i="14"/>
  <c r="I7" i="14"/>
  <c r="I8" i="14"/>
  <c r="I9" i="14"/>
  <c r="I10" i="14"/>
  <c r="I11" i="14"/>
  <c r="I12" i="14"/>
  <c r="I13" i="14"/>
  <c r="I14" i="14"/>
  <c r="I15" i="14"/>
  <c r="I16" i="14"/>
  <c r="I17" i="14"/>
  <c r="I18" i="14"/>
  <c r="I19" i="14"/>
  <c r="I34" i="14"/>
  <c r="I33" i="14"/>
  <c r="I32" i="14"/>
  <c r="I31" i="14"/>
  <c r="I30" i="14"/>
  <c r="I29" i="14"/>
  <c r="I28" i="14"/>
  <c r="I27" i="14"/>
  <c r="I26" i="14"/>
  <c r="I25" i="14"/>
  <c r="I24" i="14"/>
  <c r="I23" i="14"/>
  <c r="I22" i="14"/>
  <c r="I21" i="14"/>
  <c r="I20" i="14"/>
  <c r="L11" i="7"/>
  <c r="L12" i="7"/>
  <c r="M12" i="7"/>
  <c r="M11" i="7"/>
  <c r="S8" i="7"/>
  <c r="T8" i="7" s="1"/>
  <c r="S9" i="7"/>
  <c r="T9" i="7"/>
  <c r="S10" i="7"/>
  <c r="T10" i="7" s="1"/>
  <c r="S11" i="7"/>
  <c r="T11" i="7"/>
  <c r="S12" i="7"/>
  <c r="T12" i="7" s="1"/>
  <c r="S13" i="7"/>
  <c r="T13" i="7"/>
  <c r="S14" i="7"/>
  <c r="T14" i="7" s="1"/>
  <c r="S15" i="7"/>
  <c r="T15" i="7"/>
  <c r="S16" i="7"/>
  <c r="T16" i="7" s="1"/>
  <c r="P9" i="7"/>
  <c r="Q9" i="7" s="1"/>
  <c r="P10" i="7"/>
  <c r="P11" i="7"/>
  <c r="P12" i="7"/>
  <c r="P13" i="7"/>
  <c r="Q13" i="7"/>
  <c r="Q11" i="7"/>
  <c r="Q12" i="7"/>
  <c r="Q10" i="7"/>
  <c r="I34" i="7"/>
  <c r="I33" i="7"/>
  <c r="I32" i="7"/>
  <c r="I31" i="7"/>
  <c r="I30" i="7"/>
  <c r="I29" i="7"/>
  <c r="I28" i="7"/>
  <c r="I27" i="7"/>
  <c r="I26" i="7"/>
  <c r="I25" i="7"/>
  <c r="I24" i="7"/>
  <c r="I23" i="7"/>
  <c r="I22" i="7"/>
  <c r="I21" i="7"/>
  <c r="I20" i="7"/>
  <c r="I19" i="7"/>
  <c r="I18" i="7"/>
  <c r="I17" i="7"/>
  <c r="I16" i="7"/>
  <c r="I15" i="7"/>
  <c r="J15" i="7" s="1"/>
  <c r="I14" i="7"/>
  <c r="J14" i="7" s="1"/>
  <c r="I13" i="7"/>
  <c r="I12" i="7"/>
  <c r="I11" i="7"/>
  <c r="I10" i="7"/>
  <c r="I9" i="7"/>
  <c r="I8" i="7"/>
  <c r="I30" i="6"/>
  <c r="I31" i="6"/>
  <c r="I32" i="6"/>
  <c r="I33" i="6"/>
  <c r="I34" i="6"/>
  <c r="I35" i="6"/>
  <c r="AB7" i="4"/>
  <c r="AB9" i="4"/>
  <c r="AB11" i="4"/>
  <c r="AB13" i="4"/>
  <c r="AB15" i="4"/>
  <c r="AB17" i="4"/>
  <c r="AB16" i="4"/>
  <c r="AB14" i="4"/>
  <c r="AB12" i="4"/>
  <c r="AB10" i="4"/>
  <c r="AB8" i="4"/>
  <c r="AB6" i="4"/>
  <c r="L21" i="1"/>
  <c r="M21" i="1"/>
  <c r="I35" i="13"/>
  <c r="I34" i="13"/>
  <c r="I30" i="13"/>
  <c r="I24" i="13"/>
  <c r="I23" i="13"/>
  <c r="I22" i="13"/>
  <c r="I21" i="13"/>
  <c r="I18" i="13"/>
  <c r="I17" i="13"/>
  <c r="I16" i="13"/>
  <c r="I15" i="13"/>
  <c r="I14" i="13"/>
  <c r="I13" i="13"/>
  <c r="I12" i="13"/>
  <c r="I11" i="13"/>
  <c r="I10" i="13"/>
  <c r="I9" i="13"/>
  <c r="I8" i="13"/>
  <c r="I7" i="13"/>
  <c r="J17" i="7"/>
  <c r="J16" i="7"/>
  <c r="I5" i="7"/>
  <c r="L34" i="14"/>
  <c r="L33" i="14"/>
  <c r="L32" i="14"/>
  <c r="L31" i="14"/>
  <c r="L30" i="14"/>
  <c r="L29" i="14"/>
  <c r="L28" i="14"/>
  <c r="L27" i="14"/>
  <c r="L26" i="14"/>
  <c r="L25" i="14"/>
  <c r="L24" i="14"/>
  <c r="L23" i="14"/>
  <c r="L22" i="14"/>
  <c r="L21" i="14"/>
  <c r="L20" i="14"/>
  <c r="L19" i="14"/>
  <c r="L18" i="14"/>
  <c r="L17" i="14"/>
  <c r="L16" i="14"/>
  <c r="L15" i="14"/>
  <c r="L14" i="14"/>
  <c r="L13" i="14"/>
  <c r="L12" i="14"/>
  <c r="L11" i="14"/>
  <c r="L10" i="14"/>
  <c r="L9" i="14"/>
  <c r="L8" i="14"/>
  <c r="L7" i="14"/>
  <c r="L6" i="14"/>
  <c r="L5" i="14"/>
  <c r="AB33" i="7"/>
  <c r="AB31" i="7"/>
  <c r="AB29" i="7"/>
  <c r="AB27" i="7"/>
  <c r="AB25" i="7"/>
  <c r="AB23" i="7"/>
  <c r="AB21" i="7"/>
  <c r="AB19" i="7"/>
  <c r="AB17" i="7"/>
  <c r="AB15" i="7"/>
  <c r="AB13" i="7"/>
  <c r="AB11" i="7"/>
  <c r="AB9" i="7"/>
  <c r="AB7" i="7"/>
  <c r="AB5" i="7"/>
  <c r="AB31" i="4"/>
  <c r="AB29" i="4"/>
  <c r="AB27" i="4"/>
  <c r="AB25" i="4"/>
  <c r="AB23" i="4"/>
  <c r="AB21" i="4"/>
  <c r="AB19" i="4"/>
  <c r="AB5" i="4"/>
  <c r="AB34" i="1"/>
  <c r="AB32" i="1"/>
  <c r="AB30" i="1"/>
  <c r="AB28" i="1"/>
  <c r="AB26" i="1"/>
  <c r="AB24" i="1"/>
  <c r="AB22" i="1"/>
  <c r="AB20" i="1"/>
  <c r="AB18" i="1"/>
  <c r="AB16" i="1"/>
  <c r="AB14" i="1"/>
  <c r="AB12" i="1"/>
  <c r="AB10" i="1"/>
  <c r="AB8" i="1"/>
  <c r="AB6" i="1"/>
  <c r="AB35" i="7"/>
  <c r="AB34" i="7"/>
  <c r="AB32" i="7"/>
  <c r="AB30" i="7"/>
  <c r="AB28" i="7"/>
  <c r="AB26" i="7"/>
  <c r="AB24" i="7"/>
  <c r="AB22" i="7"/>
  <c r="AB20" i="7"/>
  <c r="AB18" i="7"/>
  <c r="AB16" i="7"/>
  <c r="AB14" i="7"/>
  <c r="AB12" i="7"/>
  <c r="AB10" i="7"/>
  <c r="AB8" i="7"/>
  <c r="AB6" i="7"/>
  <c r="AB34" i="4"/>
  <c r="AB32" i="4"/>
  <c r="AB30" i="4"/>
  <c r="AB28" i="4"/>
  <c r="AB26" i="4"/>
  <c r="AB24" i="4"/>
  <c r="AB22" i="4"/>
  <c r="AB20" i="4"/>
  <c r="AB18" i="4"/>
  <c r="AB35" i="1"/>
  <c r="AB33" i="1"/>
  <c r="AB31" i="1"/>
  <c r="AB29" i="1"/>
  <c r="AB27" i="1"/>
  <c r="AB25" i="1"/>
  <c r="AB23" i="1"/>
  <c r="AB21" i="1"/>
  <c r="AB19" i="1"/>
  <c r="AB17" i="1"/>
  <c r="AB15" i="1"/>
  <c r="AB13" i="1"/>
  <c r="AB11" i="1"/>
  <c r="AB9" i="1"/>
  <c r="AB7" i="1"/>
  <c r="AB5" i="1"/>
  <c r="AB35" i="14"/>
  <c r="S16" i="14"/>
  <c r="P16" i="14"/>
  <c r="S14" i="14"/>
  <c r="P14" i="14"/>
  <c r="S12" i="14"/>
  <c r="P12" i="14"/>
  <c r="S10" i="14"/>
  <c r="P10" i="14"/>
  <c r="S8" i="14"/>
  <c r="P8" i="14"/>
  <c r="S6" i="14"/>
  <c r="P6" i="14"/>
  <c r="AB34" i="14"/>
  <c r="AB33" i="14"/>
  <c r="AB32" i="14"/>
  <c r="AB31" i="14"/>
  <c r="AB30" i="14"/>
  <c r="AB29" i="14"/>
  <c r="AB28" i="14"/>
  <c r="AB27" i="14"/>
  <c r="AB26" i="14"/>
  <c r="AB25" i="14"/>
  <c r="AB24" i="14"/>
  <c r="AB23" i="14"/>
  <c r="AB22" i="14"/>
  <c r="AB21" i="14"/>
  <c r="AB20" i="14"/>
  <c r="AB19" i="14"/>
  <c r="AB18" i="14"/>
  <c r="AB17" i="14"/>
  <c r="AB16" i="14"/>
  <c r="AB15" i="14"/>
  <c r="AB14" i="14"/>
  <c r="AB13" i="14"/>
  <c r="AB12" i="14"/>
  <c r="AB11" i="14"/>
  <c r="AB10" i="14"/>
  <c r="AB9" i="14"/>
  <c r="AB8" i="14"/>
  <c r="AB7" i="14"/>
  <c r="AB6" i="14"/>
  <c r="AB5" i="14"/>
  <c r="S5" i="14"/>
  <c r="S7" i="14"/>
  <c r="S9" i="14"/>
  <c r="S11" i="14"/>
  <c r="S13" i="14"/>
  <c r="S15" i="14"/>
  <c r="S17" i="14"/>
  <c r="P5" i="14"/>
  <c r="P7" i="14"/>
  <c r="P9" i="14"/>
  <c r="P11" i="14"/>
  <c r="P13" i="14"/>
  <c r="P15" i="14"/>
  <c r="AB6" i="5"/>
  <c r="AB7" i="5"/>
  <c r="AB8" i="5"/>
  <c r="AB9" i="5"/>
  <c r="AB10" i="5"/>
  <c r="AB11" i="5"/>
  <c r="AB12" i="5"/>
  <c r="AB13" i="5"/>
  <c r="AB14" i="5"/>
  <c r="AB15" i="5"/>
  <c r="AB16" i="5"/>
  <c r="AB17" i="5"/>
  <c r="AB18" i="5"/>
  <c r="AB19" i="5"/>
  <c r="AB20" i="5"/>
  <c r="AB22" i="5"/>
  <c r="AB24" i="5"/>
  <c r="AB26" i="5"/>
  <c r="AB28" i="5"/>
  <c r="AB29" i="5"/>
  <c r="AB30" i="5"/>
  <c r="AB31" i="5"/>
  <c r="AB32" i="5"/>
  <c r="AB33" i="5"/>
  <c r="AB34" i="5"/>
  <c r="AB35" i="5"/>
  <c r="AB7" i="12"/>
  <c r="AB8" i="12"/>
  <c r="C5" i="7"/>
  <c r="F5" i="7"/>
  <c r="G5" i="7"/>
  <c r="L5" i="7"/>
  <c r="P5" i="7"/>
  <c r="S5" i="7"/>
  <c r="T5" i="7"/>
  <c r="V5" i="7"/>
  <c r="Y5" i="7"/>
  <c r="C6" i="7"/>
  <c r="F6" i="7"/>
  <c r="I6" i="7"/>
  <c r="J6" i="7" s="1"/>
  <c r="L6" i="7"/>
  <c r="P6" i="7"/>
  <c r="S6" i="7"/>
  <c r="V6" i="7"/>
  <c r="W6" i="7" s="1"/>
  <c r="Y6" i="7"/>
  <c r="C7" i="7"/>
  <c r="F7" i="7"/>
  <c r="G7" i="7" s="1"/>
  <c r="I7" i="7"/>
  <c r="J7" i="7"/>
  <c r="L7" i="7"/>
  <c r="P7" i="7"/>
  <c r="S7" i="7"/>
  <c r="T7" i="7"/>
  <c r="V7" i="7"/>
  <c r="W7" i="7" s="1"/>
  <c r="Y7" i="7"/>
  <c r="C8" i="7"/>
  <c r="F8" i="7"/>
  <c r="G8" i="7" s="1"/>
  <c r="J8" i="7"/>
  <c r="L8" i="7"/>
  <c r="P8" i="7"/>
  <c r="V8" i="7"/>
  <c r="W8" i="7"/>
  <c r="Y8" i="7"/>
  <c r="C9" i="7"/>
  <c r="F9" i="7"/>
  <c r="G9" i="7"/>
  <c r="J9" i="7"/>
  <c r="L9" i="7"/>
  <c r="V9" i="7"/>
  <c r="W9" i="7"/>
  <c r="Y9" i="7"/>
  <c r="C10" i="7"/>
  <c r="F10" i="7"/>
  <c r="G10" i="7"/>
  <c r="J10" i="7"/>
  <c r="L10" i="7"/>
  <c r="V10" i="7"/>
  <c r="W10" i="7"/>
  <c r="Y10" i="7"/>
  <c r="C11" i="7"/>
  <c r="F11" i="7"/>
  <c r="G11" i="7"/>
  <c r="J11" i="7"/>
  <c r="V11" i="7"/>
  <c r="W11" i="7" s="1"/>
  <c r="Y11" i="7"/>
  <c r="C12" i="7"/>
  <c r="F12" i="7"/>
  <c r="G12" i="7" s="1"/>
  <c r="J12" i="7"/>
  <c r="V12" i="7"/>
  <c r="W12" i="7" s="1"/>
  <c r="Y12" i="7"/>
  <c r="C13" i="7"/>
  <c r="F13" i="7"/>
  <c r="G13" i="7" s="1"/>
  <c r="J13" i="7"/>
  <c r="L13" i="7"/>
  <c r="V13" i="7"/>
  <c r="W13" i="7" s="1"/>
  <c r="Y13" i="7"/>
  <c r="C14" i="7"/>
  <c r="F14" i="7"/>
  <c r="G14" i="7" s="1"/>
  <c r="L14" i="7"/>
  <c r="P14" i="7"/>
  <c r="V14" i="7"/>
  <c r="W14" i="7" s="1"/>
  <c r="Y14" i="7"/>
  <c r="C15" i="7"/>
  <c r="F15" i="7"/>
  <c r="G15" i="7" s="1"/>
  <c r="L15" i="7"/>
  <c r="P15" i="7"/>
  <c r="V15" i="7"/>
  <c r="W15" i="7" s="1"/>
  <c r="Y15" i="7"/>
  <c r="C16" i="7"/>
  <c r="F16" i="7"/>
  <c r="G16" i="7" s="1"/>
  <c r="L16" i="7"/>
  <c r="P16" i="7"/>
  <c r="V16" i="7"/>
  <c r="W16" i="7" s="1"/>
  <c r="Y16" i="7"/>
  <c r="C17" i="7"/>
  <c r="F17" i="7"/>
  <c r="G17" i="7" s="1"/>
  <c r="L17" i="7"/>
  <c r="P17" i="7"/>
  <c r="S17" i="7"/>
  <c r="T17" i="7" s="1"/>
  <c r="V17" i="7"/>
  <c r="W17" i="7"/>
  <c r="Y17" i="7"/>
  <c r="C18" i="7"/>
  <c r="F18" i="7"/>
  <c r="G18" i="7"/>
  <c r="J18" i="7"/>
  <c r="L18" i="7"/>
  <c r="P18" i="7"/>
  <c r="S18" i="7"/>
  <c r="T18" i="7"/>
  <c r="V18" i="7"/>
  <c r="W18" i="7" s="1"/>
  <c r="Y18" i="7"/>
  <c r="C19" i="7"/>
  <c r="F19" i="7"/>
  <c r="G19" i="7" s="1"/>
  <c r="J19" i="7"/>
  <c r="L19" i="7"/>
  <c r="P19" i="7"/>
  <c r="S19" i="7"/>
  <c r="T19" i="7"/>
  <c r="V19" i="7"/>
  <c r="W19" i="7" s="1"/>
  <c r="Y19" i="7"/>
  <c r="C20" i="7"/>
  <c r="F20" i="7"/>
  <c r="G20" i="7" s="1"/>
  <c r="J20" i="7"/>
  <c r="L20" i="7"/>
  <c r="P20" i="7"/>
  <c r="S20" i="7"/>
  <c r="T20" i="7" s="1"/>
  <c r="V20" i="7"/>
  <c r="W20" i="7"/>
  <c r="Y20" i="7"/>
  <c r="C21" i="7"/>
  <c r="F21" i="7"/>
  <c r="G21" i="7"/>
  <c r="J21" i="7"/>
  <c r="L21" i="7"/>
  <c r="P21" i="7"/>
  <c r="S21" i="7"/>
  <c r="T21" i="7" s="1"/>
  <c r="V21" i="7"/>
  <c r="W21" i="7"/>
  <c r="Y21" i="7"/>
  <c r="C22" i="7"/>
  <c r="F22" i="7"/>
  <c r="G22" i="7"/>
  <c r="J22" i="7"/>
  <c r="L22" i="7"/>
  <c r="P22" i="7"/>
  <c r="S22" i="7"/>
  <c r="T22" i="7"/>
  <c r="V22" i="7"/>
  <c r="W22" i="7" s="1"/>
  <c r="Y22" i="7"/>
  <c r="C23" i="7"/>
  <c r="F23" i="7"/>
  <c r="G23" i="7" s="1"/>
  <c r="J23" i="7"/>
  <c r="L23" i="7"/>
  <c r="P23" i="7"/>
  <c r="S23" i="7"/>
  <c r="T23" i="7"/>
  <c r="V23" i="7"/>
  <c r="W23" i="7" s="1"/>
  <c r="Y23" i="7"/>
  <c r="C24" i="7"/>
  <c r="F24" i="7"/>
  <c r="G24" i="7" s="1"/>
  <c r="J24" i="7"/>
  <c r="L24" i="7"/>
  <c r="P24" i="7"/>
  <c r="S24" i="7"/>
  <c r="T24" i="7" s="1"/>
  <c r="V24" i="7"/>
  <c r="W24" i="7"/>
  <c r="Y24" i="7"/>
  <c r="C25" i="7"/>
  <c r="F25" i="7"/>
  <c r="G25" i="7"/>
  <c r="J25" i="7"/>
  <c r="L25" i="7"/>
  <c r="P25" i="7"/>
  <c r="S25" i="7"/>
  <c r="T25" i="7" s="1"/>
  <c r="V25" i="7"/>
  <c r="W25" i="7"/>
  <c r="Y25" i="7"/>
  <c r="C26" i="7"/>
  <c r="F26" i="7"/>
  <c r="G26" i="7"/>
  <c r="J26" i="7"/>
  <c r="L26" i="7"/>
  <c r="P26" i="7"/>
  <c r="S26" i="7"/>
  <c r="T26" i="7"/>
  <c r="V26" i="7"/>
  <c r="W26" i="7" s="1"/>
  <c r="Y26" i="7"/>
  <c r="C27" i="7"/>
  <c r="F27" i="7"/>
  <c r="G27" i="7" s="1"/>
  <c r="J27" i="7"/>
  <c r="L27" i="7"/>
  <c r="P27" i="7"/>
  <c r="S27" i="7"/>
  <c r="T27" i="7"/>
  <c r="V27" i="7"/>
  <c r="W27" i="7" s="1"/>
  <c r="Y27" i="7"/>
  <c r="C28" i="7"/>
  <c r="F28" i="7"/>
  <c r="G28" i="7" s="1"/>
  <c r="J28" i="7"/>
  <c r="L28" i="7"/>
  <c r="P28" i="7"/>
  <c r="S28" i="7"/>
  <c r="T28" i="7" s="1"/>
  <c r="V28" i="7"/>
  <c r="W28" i="7"/>
  <c r="Y28" i="7"/>
  <c r="C29" i="7"/>
  <c r="F29" i="7"/>
  <c r="G29" i="7"/>
  <c r="J29" i="7"/>
  <c r="L29" i="7"/>
  <c r="P29" i="7"/>
  <c r="S29" i="7"/>
  <c r="T29" i="7" s="1"/>
  <c r="V29" i="7"/>
  <c r="W29" i="7"/>
  <c r="Y29" i="7"/>
  <c r="C30" i="7"/>
  <c r="F30" i="7"/>
  <c r="G30" i="7"/>
  <c r="J30" i="7"/>
  <c r="L30" i="7"/>
  <c r="P30" i="7"/>
  <c r="S30" i="7"/>
  <c r="T30" i="7"/>
  <c r="V30" i="7"/>
  <c r="W30" i="7" s="1"/>
  <c r="Y30" i="7"/>
  <c r="C31" i="7"/>
  <c r="F31" i="7"/>
  <c r="G31" i="7" s="1"/>
  <c r="J31" i="7"/>
  <c r="L31" i="7"/>
  <c r="P31" i="7"/>
  <c r="S31" i="7"/>
  <c r="T31" i="7"/>
  <c r="V31" i="7"/>
  <c r="W31" i="7" s="1"/>
  <c r="Y31" i="7"/>
  <c r="C32" i="7"/>
  <c r="F32" i="7"/>
  <c r="G32" i="7" s="1"/>
  <c r="J32" i="7"/>
  <c r="L32" i="7"/>
  <c r="P32" i="7"/>
  <c r="S32" i="7"/>
  <c r="T32" i="7" s="1"/>
  <c r="V32" i="7"/>
  <c r="W32" i="7"/>
  <c r="Y32" i="7"/>
  <c r="C33" i="7"/>
  <c r="F33" i="7"/>
  <c r="G33" i="7"/>
  <c r="J33" i="7"/>
  <c r="L33" i="7"/>
  <c r="P33" i="7"/>
  <c r="S33" i="7"/>
  <c r="T33" i="7" s="1"/>
  <c r="V33" i="7"/>
  <c r="W33" i="7"/>
  <c r="Y33" i="7"/>
  <c r="C34" i="7"/>
  <c r="F34" i="7"/>
  <c r="G34" i="7"/>
  <c r="J34" i="7"/>
  <c r="L34" i="7"/>
  <c r="P34" i="7"/>
  <c r="S34" i="7"/>
  <c r="T34" i="7"/>
  <c r="V34" i="7"/>
  <c r="W34" i="7" s="1"/>
  <c r="Y34" i="7"/>
  <c r="C5" i="6"/>
  <c r="F5" i="6"/>
  <c r="G5" i="6" s="1"/>
  <c r="I5" i="6"/>
  <c r="J5" i="6"/>
  <c r="L5" i="6"/>
  <c r="P5" i="6"/>
  <c r="S5" i="6"/>
  <c r="T5" i="6"/>
  <c r="V5" i="6"/>
  <c r="W5" i="6" s="1"/>
  <c r="Y5" i="6"/>
  <c r="AB5" i="6"/>
  <c r="C6" i="6"/>
  <c r="F6" i="6"/>
  <c r="G6" i="6"/>
  <c r="I6" i="6"/>
  <c r="J6" i="6" s="1"/>
  <c r="L6" i="6"/>
  <c r="P6" i="6"/>
  <c r="S6" i="6"/>
  <c r="T6" i="6" s="1"/>
  <c r="V6" i="6"/>
  <c r="W6" i="6"/>
  <c r="Y6" i="6"/>
  <c r="C7" i="6"/>
  <c r="F7" i="6"/>
  <c r="G7" i="6"/>
  <c r="I7" i="6"/>
  <c r="J7" i="6" s="1"/>
  <c r="L7" i="6"/>
  <c r="P7" i="6"/>
  <c r="S7" i="6"/>
  <c r="T7" i="6" s="1"/>
  <c r="V7" i="6"/>
  <c r="W7" i="6"/>
  <c r="Y7" i="6"/>
  <c r="AB7" i="6"/>
  <c r="C8" i="6"/>
  <c r="F8" i="6"/>
  <c r="G8" i="6"/>
  <c r="I8" i="6"/>
  <c r="J8" i="6" s="1"/>
  <c r="L8" i="6"/>
  <c r="P8" i="6"/>
  <c r="S8" i="6"/>
  <c r="T8" i="6" s="1"/>
  <c r="V8" i="6"/>
  <c r="W8" i="6"/>
  <c r="Y8" i="6"/>
  <c r="C9" i="6"/>
  <c r="F9" i="6"/>
  <c r="G9" i="6"/>
  <c r="I9" i="6"/>
  <c r="J9" i="6" s="1"/>
  <c r="L9" i="6"/>
  <c r="P9" i="6"/>
  <c r="S9" i="6"/>
  <c r="T9" i="6" s="1"/>
  <c r="V9" i="6"/>
  <c r="W9" i="6"/>
  <c r="Y9" i="6"/>
  <c r="AB9" i="6"/>
  <c r="C10" i="6"/>
  <c r="F10" i="6"/>
  <c r="G10" i="6" s="1"/>
  <c r="I10" i="6"/>
  <c r="J10" i="6"/>
  <c r="L10" i="6"/>
  <c r="P10" i="6"/>
  <c r="S10" i="6"/>
  <c r="T10" i="6"/>
  <c r="V10" i="6"/>
  <c r="W10" i="6" s="1"/>
  <c r="Y10" i="6"/>
  <c r="C11" i="6"/>
  <c r="F11" i="6"/>
  <c r="G11" i="6"/>
  <c r="I11" i="6"/>
  <c r="J11" i="6"/>
  <c r="L11" i="6"/>
  <c r="P11" i="6"/>
  <c r="S11" i="6"/>
  <c r="T11" i="6"/>
  <c r="V11" i="6"/>
  <c r="W11" i="6"/>
  <c r="Y11" i="6"/>
  <c r="AB11" i="6"/>
  <c r="C12" i="6"/>
  <c r="F12" i="6"/>
  <c r="G12" i="6" s="1"/>
  <c r="I12" i="6"/>
  <c r="J12" i="6"/>
  <c r="L12" i="6"/>
  <c r="P12" i="6"/>
  <c r="S12" i="6"/>
  <c r="T12" i="6"/>
  <c r="V12" i="6"/>
  <c r="W12" i="6" s="1"/>
  <c r="Y12" i="6"/>
  <c r="C13" i="6"/>
  <c r="F13" i="6"/>
  <c r="G13" i="6" s="1"/>
  <c r="I13" i="6"/>
  <c r="J13" i="6"/>
  <c r="L13" i="6"/>
  <c r="P13" i="6"/>
  <c r="S13" i="6"/>
  <c r="T13" i="6"/>
  <c r="V13" i="6"/>
  <c r="W13" i="6" s="1"/>
  <c r="Y13" i="6"/>
  <c r="AB13" i="6"/>
  <c r="C14" i="6"/>
  <c r="F14" i="6"/>
  <c r="G14" i="6"/>
  <c r="I14" i="6"/>
  <c r="J14" i="6"/>
  <c r="L14" i="6"/>
  <c r="P14" i="6"/>
  <c r="S14" i="6"/>
  <c r="T14" i="6"/>
  <c r="V14" i="6"/>
  <c r="W14" i="6"/>
  <c r="Y14" i="6"/>
  <c r="C15" i="6"/>
  <c r="F15" i="6"/>
  <c r="G15" i="6"/>
  <c r="I15" i="6"/>
  <c r="J15" i="6"/>
  <c r="L15" i="6"/>
  <c r="P15" i="6"/>
  <c r="S15" i="6"/>
  <c r="T15" i="6"/>
  <c r="V15" i="6"/>
  <c r="W15" i="6"/>
  <c r="Y15" i="6"/>
  <c r="AB15" i="6"/>
  <c r="C16" i="6"/>
  <c r="F16" i="6"/>
  <c r="G16" i="6"/>
  <c r="I16" i="6"/>
  <c r="J16" i="6" s="1"/>
  <c r="L16" i="6"/>
  <c r="P16" i="6"/>
  <c r="S16" i="6"/>
  <c r="T16" i="6" s="1"/>
  <c r="V16" i="6"/>
  <c r="W16" i="6"/>
  <c r="Y16" i="6"/>
  <c r="C17" i="6"/>
  <c r="F17" i="6"/>
  <c r="G17" i="6"/>
  <c r="I17" i="6"/>
  <c r="J17" i="6" s="1"/>
  <c r="L17" i="6"/>
  <c r="P17" i="6"/>
  <c r="S17" i="6"/>
  <c r="T17" i="6" s="1"/>
  <c r="V17" i="6"/>
  <c r="W17" i="6"/>
  <c r="Y17" i="6"/>
  <c r="AB17" i="6"/>
  <c r="F18" i="6"/>
  <c r="G18" i="6"/>
  <c r="I18" i="6"/>
  <c r="J18" i="6" s="1"/>
  <c r="L18" i="6"/>
  <c r="P18" i="6"/>
  <c r="S18" i="6"/>
  <c r="T18" i="6" s="1"/>
  <c r="V18" i="6"/>
  <c r="W18" i="6"/>
  <c r="Y18" i="6"/>
  <c r="C19" i="6"/>
  <c r="F19" i="6"/>
  <c r="G19" i="6"/>
  <c r="I19" i="6"/>
  <c r="J19" i="6" s="1"/>
  <c r="L19" i="6"/>
  <c r="P19" i="6"/>
  <c r="S19" i="6"/>
  <c r="T19" i="6" s="1"/>
  <c r="V19" i="6"/>
  <c r="W19" i="6"/>
  <c r="Y19" i="6"/>
  <c r="AB19" i="6"/>
  <c r="C20" i="6"/>
  <c r="F20" i="6"/>
  <c r="G20" i="6"/>
  <c r="I20" i="6"/>
  <c r="J20" i="6"/>
  <c r="L20" i="6"/>
  <c r="P20" i="6"/>
  <c r="S20" i="6"/>
  <c r="T20" i="6"/>
  <c r="V20" i="6"/>
  <c r="W20" i="6"/>
  <c r="Y20" i="6"/>
  <c r="AB20" i="6"/>
  <c r="C21" i="6"/>
  <c r="F21" i="6"/>
  <c r="G21" i="6" s="1"/>
  <c r="I21" i="6"/>
  <c r="L21" i="6"/>
  <c r="P21" i="6"/>
  <c r="S21" i="6"/>
  <c r="T21" i="6"/>
  <c r="V21" i="6"/>
  <c r="Y21" i="6"/>
  <c r="C22" i="6"/>
  <c r="F22" i="6"/>
  <c r="I22" i="6"/>
  <c r="J22" i="6"/>
  <c r="L22" i="6"/>
  <c r="P22" i="6"/>
  <c r="S22" i="6"/>
  <c r="V22" i="6"/>
  <c r="W22" i="6" s="1"/>
  <c r="Y22" i="6"/>
  <c r="AB22" i="6"/>
  <c r="C23" i="6"/>
  <c r="F23" i="6"/>
  <c r="G23" i="6"/>
  <c r="I23" i="6"/>
  <c r="J23" i="6"/>
  <c r="L23" i="6"/>
  <c r="P23" i="6"/>
  <c r="S23" i="6"/>
  <c r="T23" i="6"/>
  <c r="V23" i="6"/>
  <c r="W23" i="6"/>
  <c r="Y23" i="6"/>
  <c r="C24" i="6"/>
  <c r="F24" i="6"/>
  <c r="G24" i="6"/>
  <c r="I24" i="6"/>
  <c r="J24" i="6"/>
  <c r="L24" i="6"/>
  <c r="P24" i="6"/>
  <c r="S24" i="6"/>
  <c r="T24" i="6"/>
  <c r="V24" i="6"/>
  <c r="W24" i="6"/>
  <c r="Y24" i="6"/>
  <c r="AB24" i="6"/>
  <c r="C25" i="6"/>
  <c r="F25" i="6"/>
  <c r="G25" i="6"/>
  <c r="I25" i="6"/>
  <c r="J25" i="6" s="1"/>
  <c r="L25" i="6"/>
  <c r="P25" i="6"/>
  <c r="S25" i="6"/>
  <c r="T25" i="6" s="1"/>
  <c r="V25" i="6"/>
  <c r="W25" i="6"/>
  <c r="Y25" i="6"/>
  <c r="C26" i="6"/>
  <c r="F26" i="6"/>
  <c r="G26" i="6"/>
  <c r="I26" i="6"/>
  <c r="J26" i="6" s="1"/>
  <c r="L26" i="6"/>
  <c r="P26" i="6"/>
  <c r="S26" i="6"/>
  <c r="T26" i="6" s="1"/>
  <c r="V26" i="6"/>
  <c r="W26" i="6"/>
  <c r="Y26" i="6"/>
  <c r="AB26" i="6"/>
  <c r="C27" i="6"/>
  <c r="F27" i="6"/>
  <c r="G27" i="6"/>
  <c r="I27" i="6"/>
  <c r="J27" i="6"/>
  <c r="L27" i="6"/>
  <c r="P27" i="6"/>
  <c r="S27" i="6"/>
  <c r="T27" i="6"/>
  <c r="V27" i="6"/>
  <c r="W27" i="6"/>
  <c r="Y27" i="6"/>
  <c r="C28" i="6"/>
  <c r="F28" i="6"/>
  <c r="G28" i="6"/>
  <c r="I28" i="6"/>
  <c r="J28" i="6"/>
  <c r="L28" i="6"/>
  <c r="P28" i="6"/>
  <c r="S28" i="6"/>
  <c r="T28" i="6"/>
  <c r="V28" i="6"/>
  <c r="W28" i="6"/>
  <c r="Y28" i="6"/>
  <c r="AB28" i="6"/>
  <c r="C29" i="6"/>
  <c r="F29" i="6"/>
  <c r="G29" i="6" s="1"/>
  <c r="I29" i="6"/>
  <c r="J29" i="6"/>
  <c r="L29" i="6"/>
  <c r="P29" i="6"/>
  <c r="S29" i="6"/>
  <c r="T29" i="6"/>
  <c r="V29" i="6"/>
  <c r="W29" i="6" s="1"/>
  <c r="Y29" i="6"/>
  <c r="C30" i="6"/>
  <c r="F30" i="6"/>
  <c r="G30" i="6" s="1"/>
  <c r="J30" i="6"/>
  <c r="L30" i="6"/>
  <c r="P30" i="6"/>
  <c r="S30" i="6"/>
  <c r="T30" i="6"/>
  <c r="V30" i="6"/>
  <c r="W30" i="6"/>
  <c r="Y30" i="6"/>
  <c r="AB30" i="6"/>
  <c r="C31" i="6"/>
  <c r="F31" i="6"/>
  <c r="G31" i="6" s="1"/>
  <c r="J31" i="6"/>
  <c r="L31" i="6"/>
  <c r="P31" i="6"/>
  <c r="S31" i="6"/>
  <c r="T31" i="6"/>
  <c r="V31" i="6"/>
  <c r="W31" i="6"/>
  <c r="Y31" i="6"/>
  <c r="C32" i="6"/>
  <c r="F32" i="6"/>
  <c r="G32" i="6"/>
  <c r="J32" i="6"/>
  <c r="L32" i="6"/>
  <c r="P32" i="6"/>
  <c r="S32" i="6"/>
  <c r="T32" i="6" s="1"/>
  <c r="V32" i="6"/>
  <c r="W32" i="6"/>
  <c r="Y32" i="6"/>
  <c r="AB32" i="6"/>
  <c r="C33" i="6"/>
  <c r="F33" i="6"/>
  <c r="G33" i="6"/>
  <c r="J33" i="6"/>
  <c r="L33" i="6"/>
  <c r="P33" i="6"/>
  <c r="S33" i="6"/>
  <c r="T33" i="6" s="1"/>
  <c r="V33" i="6"/>
  <c r="W33" i="6"/>
  <c r="Y33" i="6"/>
  <c r="C34" i="6"/>
  <c r="F34" i="6"/>
  <c r="G34" i="6"/>
  <c r="J34" i="6"/>
  <c r="L34" i="6"/>
  <c r="P34" i="6"/>
  <c r="S34" i="6"/>
  <c r="T34" i="6"/>
  <c r="V34" i="6"/>
  <c r="W34" i="6"/>
  <c r="Y34" i="6"/>
  <c r="AB34" i="6"/>
  <c r="C35" i="6"/>
  <c r="F35" i="6"/>
  <c r="G35" i="6"/>
  <c r="J35" i="6"/>
  <c r="L35" i="6"/>
  <c r="P35" i="6"/>
  <c r="S35" i="6"/>
  <c r="T35" i="6"/>
  <c r="V35" i="6"/>
  <c r="W35" i="6"/>
  <c r="Y35" i="6"/>
  <c r="C5" i="4"/>
  <c r="F5" i="4"/>
  <c r="I5" i="4"/>
  <c r="J5" i="4"/>
  <c r="L5" i="4"/>
  <c r="P5" i="4"/>
  <c r="Q5" i="4"/>
  <c r="S5" i="4"/>
  <c r="V5" i="4"/>
  <c r="W5" i="4" s="1"/>
  <c r="Y5" i="4"/>
  <c r="C6" i="4"/>
  <c r="F6" i="4"/>
  <c r="G6" i="4" s="1"/>
  <c r="I6" i="4"/>
  <c r="L6" i="4"/>
  <c r="M6" i="4"/>
  <c r="P6" i="4"/>
  <c r="S6" i="4"/>
  <c r="T6" i="4"/>
  <c r="V6" i="4"/>
  <c r="Y6" i="4"/>
  <c r="Z6" i="4"/>
  <c r="C7" i="4"/>
  <c r="F7" i="4"/>
  <c r="G7" i="4" s="1"/>
  <c r="I7" i="4"/>
  <c r="J7" i="4"/>
  <c r="L7" i="4"/>
  <c r="M7" i="4" s="1"/>
  <c r="P7" i="4"/>
  <c r="Q7" i="4"/>
  <c r="S7" i="4"/>
  <c r="T7" i="4" s="1"/>
  <c r="V7" i="4"/>
  <c r="W7" i="4"/>
  <c r="Y7" i="4"/>
  <c r="Z7" i="4" s="1"/>
  <c r="C8" i="4"/>
  <c r="F8" i="4"/>
  <c r="G8" i="4"/>
  <c r="I8" i="4"/>
  <c r="J8" i="4"/>
  <c r="L8" i="4"/>
  <c r="M8" i="4"/>
  <c r="P8" i="4"/>
  <c r="Q8" i="4"/>
  <c r="S8" i="4"/>
  <c r="T8" i="4" s="1"/>
  <c r="V8" i="4"/>
  <c r="W8" i="4"/>
  <c r="Y8" i="4"/>
  <c r="Z8" i="4" s="1"/>
  <c r="C9" i="4"/>
  <c r="F9" i="4"/>
  <c r="G9" i="4"/>
  <c r="I9" i="4"/>
  <c r="J9" i="4" s="1"/>
  <c r="L9" i="4"/>
  <c r="M9" i="4"/>
  <c r="P9" i="4"/>
  <c r="Q9" i="4" s="1"/>
  <c r="S9" i="4"/>
  <c r="T9" i="4"/>
  <c r="V9" i="4"/>
  <c r="W9" i="4" s="1"/>
  <c r="Y9" i="4"/>
  <c r="Z9" i="4"/>
  <c r="C10" i="4"/>
  <c r="F10" i="4"/>
  <c r="G10" i="4"/>
  <c r="I10" i="4"/>
  <c r="J10" i="4"/>
  <c r="L10" i="4"/>
  <c r="M10" i="4"/>
  <c r="P10" i="4"/>
  <c r="Q10" i="4"/>
  <c r="S10" i="4"/>
  <c r="T10" i="4"/>
  <c r="V10" i="4"/>
  <c r="W10" i="4"/>
  <c r="Y10" i="4"/>
  <c r="Z10" i="4"/>
  <c r="C11" i="4"/>
  <c r="F11" i="4"/>
  <c r="G11" i="4" s="1"/>
  <c r="I11" i="4"/>
  <c r="J11" i="4"/>
  <c r="L11" i="4"/>
  <c r="M11" i="4" s="1"/>
  <c r="P11" i="4"/>
  <c r="Q11" i="4"/>
  <c r="S11" i="4"/>
  <c r="T11" i="4" s="1"/>
  <c r="V11" i="4"/>
  <c r="W11" i="4"/>
  <c r="Y11" i="4"/>
  <c r="Z11" i="4" s="1"/>
  <c r="C12" i="4"/>
  <c r="F12" i="4"/>
  <c r="G12" i="4"/>
  <c r="I12" i="4"/>
  <c r="J12" i="4"/>
  <c r="L12" i="4"/>
  <c r="M12" i="4"/>
  <c r="P12" i="4"/>
  <c r="Q12" i="4"/>
  <c r="S12" i="4"/>
  <c r="T12" i="4"/>
  <c r="V12" i="4"/>
  <c r="W12" i="4"/>
  <c r="Y12" i="4"/>
  <c r="Z12" i="4"/>
  <c r="C13" i="4"/>
  <c r="F13" i="4"/>
  <c r="G13" i="4"/>
  <c r="I13" i="4"/>
  <c r="J13" i="4" s="1"/>
  <c r="L13" i="4"/>
  <c r="M13" i="4"/>
  <c r="P13" i="4"/>
  <c r="Q13" i="4" s="1"/>
  <c r="S13" i="4"/>
  <c r="T13" i="4"/>
  <c r="V13" i="4"/>
  <c r="W13" i="4" s="1"/>
  <c r="Y13" i="4"/>
  <c r="Z13" i="4"/>
  <c r="C14" i="4"/>
  <c r="F14" i="4"/>
  <c r="G14" i="4"/>
  <c r="I14" i="4"/>
  <c r="J14" i="4" s="1"/>
  <c r="L14" i="4"/>
  <c r="M14" i="4"/>
  <c r="P14" i="4"/>
  <c r="Q14" i="4" s="1"/>
  <c r="S14" i="4"/>
  <c r="T14" i="4"/>
  <c r="V14" i="4"/>
  <c r="W14" i="4" s="1"/>
  <c r="Y14" i="4"/>
  <c r="Z14" i="4"/>
  <c r="C15" i="4"/>
  <c r="F15" i="4"/>
  <c r="G15" i="4" s="1"/>
  <c r="I15" i="4"/>
  <c r="J15" i="4"/>
  <c r="L15" i="4"/>
  <c r="M15" i="4" s="1"/>
  <c r="P15" i="4"/>
  <c r="Q15" i="4"/>
  <c r="S15" i="4"/>
  <c r="T15" i="4" s="1"/>
  <c r="V15" i="4"/>
  <c r="W15" i="4"/>
  <c r="Y15" i="4"/>
  <c r="Z15" i="4" s="1"/>
  <c r="C16" i="4"/>
  <c r="F16" i="4"/>
  <c r="G16" i="4" s="1"/>
  <c r="I16" i="4"/>
  <c r="J16" i="4"/>
  <c r="L16" i="4"/>
  <c r="M16" i="4" s="1"/>
  <c r="P16" i="4"/>
  <c r="Q16" i="4"/>
  <c r="S16" i="4"/>
  <c r="T16" i="4" s="1"/>
  <c r="V16" i="4"/>
  <c r="W16" i="4"/>
  <c r="Y16" i="4"/>
  <c r="Z16" i="4" s="1"/>
  <c r="C17" i="4"/>
  <c r="F17" i="4"/>
  <c r="G17" i="4"/>
  <c r="I17" i="4"/>
  <c r="J17" i="4" s="1"/>
  <c r="L17" i="4"/>
  <c r="M17" i="4"/>
  <c r="P17" i="4"/>
  <c r="Q17" i="4" s="1"/>
  <c r="S17" i="4"/>
  <c r="T17" i="4"/>
  <c r="V17" i="4"/>
  <c r="W17" i="4" s="1"/>
  <c r="Y17" i="4"/>
  <c r="Z17" i="4"/>
  <c r="C18" i="4"/>
  <c r="F18" i="4"/>
  <c r="G18" i="4"/>
  <c r="I18" i="4"/>
  <c r="J18" i="4" s="1"/>
  <c r="P18" i="4"/>
  <c r="Q18" i="4"/>
  <c r="S18" i="4"/>
  <c r="T18" i="4" s="1"/>
  <c r="V18" i="4"/>
  <c r="W18" i="4"/>
  <c r="Y18" i="4"/>
  <c r="Z18" i="4" s="1"/>
  <c r="C19" i="4"/>
  <c r="F19" i="4"/>
  <c r="G19" i="4"/>
  <c r="I19" i="4"/>
  <c r="J19" i="4" s="1"/>
  <c r="P19" i="4"/>
  <c r="Q19" i="4"/>
  <c r="S19" i="4"/>
  <c r="T19" i="4" s="1"/>
  <c r="V19" i="4"/>
  <c r="W19" i="4"/>
  <c r="Y19" i="4"/>
  <c r="Z19" i="4" s="1"/>
  <c r="C20" i="4"/>
  <c r="F20" i="4"/>
  <c r="G20" i="4" s="1"/>
  <c r="I20" i="4"/>
  <c r="J20" i="4"/>
  <c r="P20" i="4"/>
  <c r="Q20" i="4" s="1"/>
  <c r="S20" i="4"/>
  <c r="T20" i="4"/>
  <c r="V20" i="4"/>
  <c r="W20" i="4" s="1"/>
  <c r="Y20" i="4"/>
  <c r="Z20" i="4"/>
  <c r="C21" i="4"/>
  <c r="F21" i="4"/>
  <c r="G21" i="4" s="1"/>
  <c r="I21" i="4"/>
  <c r="J21" i="4" s="1"/>
  <c r="L21" i="4"/>
  <c r="M21" i="4" s="1"/>
  <c r="P21" i="4"/>
  <c r="Q21" i="4"/>
  <c r="S21" i="4"/>
  <c r="T21" i="4" s="1"/>
  <c r="V21" i="4"/>
  <c r="W21" i="4" s="1"/>
  <c r="Y21" i="4"/>
  <c r="Z21" i="4" s="1"/>
  <c r="C22" i="4"/>
  <c r="F22" i="4"/>
  <c r="G22" i="4" s="1"/>
  <c r="I22" i="4"/>
  <c r="J22" i="4"/>
  <c r="L22" i="4"/>
  <c r="M22" i="4" s="1"/>
  <c r="P22" i="4"/>
  <c r="Q22" i="4"/>
  <c r="S22" i="4"/>
  <c r="T22" i="4" s="1"/>
  <c r="V22" i="4"/>
  <c r="W22" i="4"/>
  <c r="Y22" i="4"/>
  <c r="Z22" i="4" s="1"/>
  <c r="C23" i="4"/>
  <c r="F23" i="4"/>
  <c r="G23" i="4" s="1"/>
  <c r="I23" i="4"/>
  <c r="J23" i="4" s="1"/>
  <c r="L23" i="4"/>
  <c r="M23" i="4"/>
  <c r="P23" i="4"/>
  <c r="Q23" i="4" s="1"/>
  <c r="S23" i="4"/>
  <c r="T23" i="4"/>
  <c r="V23" i="4"/>
  <c r="W23" i="4" s="1"/>
  <c r="Y23" i="4"/>
  <c r="Z23" i="4" s="1"/>
  <c r="C24" i="4"/>
  <c r="F24" i="4"/>
  <c r="G24" i="4"/>
  <c r="I24" i="4"/>
  <c r="J24" i="4"/>
  <c r="L24" i="4"/>
  <c r="M24" i="4"/>
  <c r="P24" i="4"/>
  <c r="Q24" i="4"/>
  <c r="S24" i="4"/>
  <c r="T24" i="4"/>
  <c r="V24" i="4"/>
  <c r="W24" i="4"/>
  <c r="Y24" i="4"/>
  <c r="Z24" i="4"/>
  <c r="C25" i="4"/>
  <c r="F25" i="4"/>
  <c r="G25" i="4" s="1"/>
  <c r="I25" i="4"/>
  <c r="J25" i="4" s="1"/>
  <c r="L25" i="4"/>
  <c r="M25" i="4" s="1"/>
  <c r="P25" i="4"/>
  <c r="Q25" i="4" s="1"/>
  <c r="S25" i="4"/>
  <c r="T25" i="4" s="1"/>
  <c r="V25" i="4"/>
  <c r="W25" i="4"/>
  <c r="Y25" i="4"/>
  <c r="Z25" i="4" s="1"/>
  <c r="C26" i="4"/>
  <c r="F26" i="4"/>
  <c r="G26" i="4"/>
  <c r="I26" i="4"/>
  <c r="J26" i="4"/>
  <c r="L26" i="4"/>
  <c r="M26" i="4"/>
  <c r="P26" i="4"/>
  <c r="Q26" i="4"/>
  <c r="S26" i="4"/>
  <c r="T26" i="4"/>
  <c r="V26" i="4"/>
  <c r="W26" i="4"/>
  <c r="Y26" i="4"/>
  <c r="Z26" i="4"/>
  <c r="C27" i="4"/>
  <c r="F27" i="4"/>
  <c r="G27" i="4" s="1"/>
  <c r="I27" i="4"/>
  <c r="J27" i="4" s="1"/>
  <c r="L27" i="4"/>
  <c r="M27" i="4" s="1"/>
  <c r="P27" i="4"/>
  <c r="Q27" i="4" s="1"/>
  <c r="S27" i="4"/>
  <c r="T27" i="4" s="1"/>
  <c r="V27" i="4"/>
  <c r="W27" i="4" s="1"/>
  <c r="Y27" i="4"/>
  <c r="Z27" i="4"/>
  <c r="C28" i="4"/>
  <c r="F28" i="4"/>
  <c r="G28" i="4"/>
  <c r="I28" i="4"/>
  <c r="J28" i="4" s="1"/>
  <c r="L28" i="4"/>
  <c r="M28" i="4"/>
  <c r="P28" i="4"/>
  <c r="Q28" i="4" s="1"/>
  <c r="S28" i="4"/>
  <c r="T28" i="4"/>
  <c r="V28" i="4"/>
  <c r="W28" i="4" s="1"/>
  <c r="Y28" i="4"/>
  <c r="Z28" i="4"/>
  <c r="C29" i="4"/>
  <c r="F29" i="4"/>
  <c r="G29" i="4" s="1"/>
  <c r="I29" i="4"/>
  <c r="J29" i="4" s="1"/>
  <c r="L29" i="4"/>
  <c r="M29" i="4" s="1"/>
  <c r="P29" i="4"/>
  <c r="Q29" i="4" s="1"/>
  <c r="S29" i="4"/>
  <c r="T29" i="4" s="1"/>
  <c r="V29" i="4"/>
  <c r="W29" i="4" s="1"/>
  <c r="Y29" i="4"/>
  <c r="Z29" i="4" s="1"/>
  <c r="C30" i="4"/>
  <c r="F30" i="4"/>
  <c r="G30" i="4" s="1"/>
  <c r="I30" i="4"/>
  <c r="J30" i="4"/>
  <c r="L30" i="4"/>
  <c r="M30" i="4" s="1"/>
  <c r="P30" i="4"/>
  <c r="Q30" i="4"/>
  <c r="S30" i="4"/>
  <c r="T30" i="4" s="1"/>
  <c r="V30" i="4"/>
  <c r="W30" i="4"/>
  <c r="Y30" i="4"/>
  <c r="Z30" i="4" s="1"/>
  <c r="C31" i="4"/>
  <c r="F31" i="4"/>
  <c r="G31" i="4"/>
  <c r="I31" i="4"/>
  <c r="J31" i="4" s="1"/>
  <c r="L31" i="4"/>
  <c r="M31" i="4" s="1"/>
  <c r="P31" i="4"/>
  <c r="Q31" i="4" s="1"/>
  <c r="S31" i="4"/>
  <c r="T31" i="4" s="1"/>
  <c r="V31" i="4"/>
  <c r="W31" i="4" s="1"/>
  <c r="Y31" i="4"/>
  <c r="Z31" i="4" s="1"/>
  <c r="C32" i="4"/>
  <c r="F32" i="4"/>
  <c r="G32" i="4"/>
  <c r="I32" i="4"/>
  <c r="J32" i="4" s="1"/>
  <c r="L32" i="4"/>
  <c r="M32" i="4"/>
  <c r="P32" i="4"/>
  <c r="Q32" i="4" s="1"/>
  <c r="S32" i="4"/>
  <c r="T32" i="4"/>
  <c r="V32" i="4"/>
  <c r="W32" i="4" s="1"/>
  <c r="Y32" i="4"/>
  <c r="Z32" i="4"/>
  <c r="C5" i="1"/>
  <c r="F5" i="1"/>
  <c r="I5" i="1"/>
  <c r="J5" i="1"/>
  <c r="L5" i="1"/>
  <c r="P5" i="1"/>
  <c r="Q5" i="1" s="1"/>
  <c r="S5" i="1"/>
  <c r="V5" i="1"/>
  <c r="W5" i="1" s="1"/>
  <c r="Y5" i="1"/>
  <c r="C6" i="1"/>
  <c r="F6" i="1"/>
  <c r="G6" i="1" s="1"/>
  <c r="I6" i="1"/>
  <c r="L6" i="1"/>
  <c r="P6" i="1"/>
  <c r="S6" i="1"/>
  <c r="T6" i="1" s="1"/>
  <c r="V6" i="1"/>
  <c r="Y6" i="1"/>
  <c r="C7" i="1"/>
  <c r="F7" i="1"/>
  <c r="G7" i="1" s="1"/>
  <c r="I7" i="1"/>
  <c r="J7" i="1"/>
  <c r="L7" i="1"/>
  <c r="P7" i="1"/>
  <c r="S7" i="1"/>
  <c r="T7" i="1"/>
  <c r="V7" i="1"/>
  <c r="W7" i="1" s="1"/>
  <c r="Y7" i="1"/>
  <c r="Z7" i="1" s="1"/>
  <c r="C8" i="1"/>
  <c r="F8" i="1"/>
  <c r="G8" i="1" s="1"/>
  <c r="I8" i="1"/>
  <c r="J8" i="1" s="1"/>
  <c r="L8" i="1"/>
  <c r="P8" i="1"/>
  <c r="S8" i="1"/>
  <c r="T8" i="1" s="1"/>
  <c r="V8" i="1"/>
  <c r="W8" i="1" s="1"/>
  <c r="Y8" i="1"/>
  <c r="C9" i="1"/>
  <c r="F9" i="1"/>
  <c r="G9" i="1" s="1"/>
  <c r="I9" i="1"/>
  <c r="J9" i="1"/>
  <c r="L9" i="1"/>
  <c r="P9" i="1"/>
  <c r="S9" i="1"/>
  <c r="T9" i="1"/>
  <c r="V9" i="1"/>
  <c r="W9" i="1" s="1"/>
  <c r="Y9" i="1"/>
  <c r="Z9" i="1" s="1"/>
  <c r="C10" i="1"/>
  <c r="F10" i="1"/>
  <c r="G10" i="1" s="1"/>
  <c r="I10" i="1"/>
  <c r="J10" i="1" s="1"/>
  <c r="L10" i="1"/>
  <c r="P10" i="1"/>
  <c r="S10" i="1"/>
  <c r="T10" i="1" s="1"/>
  <c r="V10" i="1"/>
  <c r="W10" i="1" s="1"/>
  <c r="Y10" i="1"/>
  <c r="C11" i="1"/>
  <c r="F11" i="1"/>
  <c r="G11" i="1" s="1"/>
  <c r="I11" i="1"/>
  <c r="J11" i="1"/>
  <c r="L11" i="1"/>
  <c r="P11" i="1"/>
  <c r="S11" i="1"/>
  <c r="T11" i="1"/>
  <c r="V11" i="1"/>
  <c r="W11" i="1" s="1"/>
  <c r="Y11" i="1"/>
  <c r="Z11" i="1" s="1"/>
  <c r="C12" i="1"/>
  <c r="F12" i="1"/>
  <c r="G12" i="1" s="1"/>
  <c r="I12" i="1"/>
  <c r="J12" i="1" s="1"/>
  <c r="L12" i="1"/>
  <c r="P12" i="1"/>
  <c r="S12" i="1"/>
  <c r="T12" i="1" s="1"/>
  <c r="V12" i="1"/>
  <c r="W12" i="1" s="1"/>
  <c r="Y12" i="1"/>
  <c r="C13" i="1"/>
  <c r="F13" i="1"/>
  <c r="G13" i="1" s="1"/>
  <c r="I13" i="1"/>
  <c r="J13" i="1"/>
  <c r="L13" i="1"/>
  <c r="P13" i="1"/>
  <c r="S13" i="1"/>
  <c r="T13" i="1"/>
  <c r="V13" i="1"/>
  <c r="W13" i="1" s="1"/>
  <c r="Y13" i="1"/>
  <c r="Z13" i="1" s="1"/>
  <c r="C14" i="1"/>
  <c r="F14" i="1"/>
  <c r="G14" i="1" s="1"/>
  <c r="I14" i="1"/>
  <c r="J14" i="1" s="1"/>
  <c r="L14" i="1"/>
  <c r="P14" i="1"/>
  <c r="S14" i="1"/>
  <c r="T14" i="1" s="1"/>
  <c r="V14" i="1"/>
  <c r="W14" i="1" s="1"/>
  <c r="Y14" i="1"/>
  <c r="C15" i="1"/>
  <c r="F15" i="1"/>
  <c r="G15" i="1" s="1"/>
  <c r="I15" i="1"/>
  <c r="J15" i="1"/>
  <c r="L15" i="1"/>
  <c r="P15" i="1"/>
  <c r="S15" i="1"/>
  <c r="T15" i="1"/>
  <c r="V15" i="1"/>
  <c r="W15" i="1" s="1"/>
  <c r="Y15" i="1"/>
  <c r="Z15" i="1" s="1"/>
  <c r="C16" i="1"/>
  <c r="F16" i="1"/>
  <c r="G16" i="1"/>
  <c r="I16" i="1"/>
  <c r="J16" i="1" s="1"/>
  <c r="L16" i="1"/>
  <c r="P16" i="1"/>
  <c r="S16" i="1"/>
  <c r="T16" i="1" s="1"/>
  <c r="V16" i="1"/>
  <c r="W16" i="1"/>
  <c r="Y16" i="1"/>
  <c r="C17" i="1"/>
  <c r="F17" i="1"/>
  <c r="G17" i="1"/>
  <c r="I17" i="1"/>
  <c r="J17" i="1" s="1"/>
  <c r="L17" i="1"/>
  <c r="P17" i="1"/>
  <c r="S17" i="1"/>
  <c r="T17" i="1" s="1"/>
  <c r="V17" i="1"/>
  <c r="W17" i="1"/>
  <c r="Y17" i="1"/>
  <c r="Z17" i="1" s="1"/>
  <c r="C18" i="1"/>
  <c r="F18" i="1"/>
  <c r="G18" i="1"/>
  <c r="I18" i="1"/>
  <c r="J18" i="1" s="1"/>
  <c r="L18" i="1"/>
  <c r="P18" i="1"/>
  <c r="Q18" i="1" s="1"/>
  <c r="S18" i="1"/>
  <c r="T18" i="1" s="1"/>
  <c r="V18" i="1"/>
  <c r="W18" i="1"/>
  <c r="Y18" i="1"/>
  <c r="C19" i="1"/>
  <c r="F19" i="1"/>
  <c r="G19" i="1"/>
  <c r="I19" i="1"/>
  <c r="J19" i="1" s="1"/>
  <c r="L19" i="1"/>
  <c r="P19" i="1"/>
  <c r="S19" i="1"/>
  <c r="T19" i="1" s="1"/>
  <c r="V19" i="1"/>
  <c r="W19" i="1"/>
  <c r="Y19" i="1"/>
  <c r="Z19" i="1" s="1"/>
  <c r="C20" i="1"/>
  <c r="F20" i="1"/>
  <c r="G20" i="1"/>
  <c r="I20" i="1"/>
  <c r="J20" i="1" s="1"/>
  <c r="L20" i="1"/>
  <c r="P20" i="1"/>
  <c r="S20" i="1"/>
  <c r="T20" i="1" s="1"/>
  <c r="V20" i="1"/>
  <c r="W20" i="1"/>
  <c r="Y20" i="1"/>
  <c r="C21" i="1"/>
  <c r="F21" i="1"/>
  <c r="G21" i="1"/>
  <c r="I21" i="1"/>
  <c r="J21" i="1" s="1"/>
  <c r="P21" i="1"/>
  <c r="S21" i="1"/>
  <c r="T21" i="1" s="1"/>
  <c r="V21" i="1"/>
  <c r="W21" i="1"/>
  <c r="Y21" i="1"/>
  <c r="C22" i="1"/>
  <c r="F22" i="1"/>
  <c r="G22" i="1"/>
  <c r="I22" i="1"/>
  <c r="J22" i="1" s="1"/>
  <c r="L22" i="1"/>
  <c r="P22" i="1"/>
  <c r="Q22" i="1" s="1"/>
  <c r="S22" i="1"/>
  <c r="T22" i="1" s="1"/>
  <c r="V22" i="1"/>
  <c r="W22" i="1"/>
  <c r="Y22" i="1"/>
  <c r="C23" i="1"/>
  <c r="F23" i="1"/>
  <c r="G23" i="1"/>
  <c r="I23" i="1"/>
  <c r="J23" i="1" s="1"/>
  <c r="L23" i="1"/>
  <c r="P23" i="1"/>
  <c r="S23" i="1"/>
  <c r="T23" i="1" s="1"/>
  <c r="V23" i="1"/>
  <c r="W23" i="1"/>
  <c r="Y23" i="1"/>
  <c r="C24" i="1"/>
  <c r="F24" i="1"/>
  <c r="G24" i="1"/>
  <c r="I24" i="1"/>
  <c r="J24" i="1" s="1"/>
  <c r="L24" i="1"/>
  <c r="P24" i="1"/>
  <c r="S24" i="1"/>
  <c r="T24" i="1" s="1"/>
  <c r="V24" i="1"/>
  <c r="W24" i="1"/>
  <c r="Y24" i="1"/>
  <c r="C25" i="1"/>
  <c r="F25" i="1"/>
  <c r="G25" i="1"/>
  <c r="I25" i="1"/>
  <c r="J25" i="1" s="1"/>
  <c r="L25" i="1"/>
  <c r="P25" i="1"/>
  <c r="S25" i="1"/>
  <c r="T25" i="1" s="1"/>
  <c r="V25" i="1"/>
  <c r="W25" i="1"/>
  <c r="Y25" i="1"/>
  <c r="C26" i="1"/>
  <c r="F26" i="1"/>
  <c r="G26" i="1"/>
  <c r="I26" i="1"/>
  <c r="J26" i="1" s="1"/>
  <c r="L26" i="1"/>
  <c r="P26" i="1"/>
  <c r="Q26" i="1" s="1"/>
  <c r="S26" i="1"/>
  <c r="T26" i="1" s="1"/>
  <c r="V26" i="1"/>
  <c r="W26" i="1"/>
  <c r="Y26" i="1"/>
  <c r="C27" i="1"/>
  <c r="F27" i="1"/>
  <c r="G27" i="1"/>
  <c r="I27" i="1"/>
  <c r="J27" i="1" s="1"/>
  <c r="L27" i="1"/>
  <c r="P27" i="1"/>
  <c r="S27" i="1"/>
  <c r="T27" i="1" s="1"/>
  <c r="V27" i="1"/>
  <c r="W27" i="1"/>
  <c r="Y27" i="1"/>
  <c r="C28" i="1"/>
  <c r="F28" i="1"/>
  <c r="G28" i="1"/>
  <c r="I28" i="1"/>
  <c r="J28" i="1" s="1"/>
  <c r="L28" i="1"/>
  <c r="P28" i="1"/>
  <c r="S28" i="1"/>
  <c r="T28" i="1" s="1"/>
  <c r="V28" i="1"/>
  <c r="W28" i="1"/>
  <c r="Y28" i="1"/>
  <c r="C29" i="1"/>
  <c r="F29" i="1"/>
  <c r="G29" i="1"/>
  <c r="I29" i="1"/>
  <c r="J29" i="1" s="1"/>
  <c r="L29" i="1"/>
  <c r="P29" i="1"/>
  <c r="S29" i="1"/>
  <c r="T29" i="1" s="1"/>
  <c r="V29" i="1"/>
  <c r="W29" i="1"/>
  <c r="Y29" i="1"/>
  <c r="C30" i="1"/>
  <c r="F30" i="1"/>
  <c r="G30" i="1"/>
  <c r="I30" i="1"/>
  <c r="J30" i="1" s="1"/>
  <c r="L30" i="1"/>
  <c r="P30" i="1"/>
  <c r="Q30" i="1" s="1"/>
  <c r="S30" i="1"/>
  <c r="T30" i="1" s="1"/>
  <c r="V30" i="1"/>
  <c r="W30" i="1"/>
  <c r="Y30" i="1"/>
  <c r="C31" i="1"/>
  <c r="F31" i="1"/>
  <c r="G31" i="1"/>
  <c r="I31" i="1"/>
  <c r="J31" i="1" s="1"/>
  <c r="L31" i="1"/>
  <c r="P31" i="1"/>
  <c r="S31" i="1"/>
  <c r="T31" i="1" s="1"/>
  <c r="V31" i="1"/>
  <c r="W31" i="1"/>
  <c r="Y31" i="1"/>
  <c r="C32" i="1"/>
  <c r="F32" i="1"/>
  <c r="G32" i="1"/>
  <c r="I32" i="1"/>
  <c r="J32" i="1" s="1"/>
  <c r="L32" i="1"/>
  <c r="P32" i="1"/>
  <c r="S32" i="1"/>
  <c r="T32" i="1" s="1"/>
  <c r="V32" i="1"/>
  <c r="W32" i="1"/>
  <c r="Y32" i="1"/>
  <c r="C33" i="1"/>
  <c r="F33" i="1"/>
  <c r="G33" i="1"/>
  <c r="I33" i="1"/>
  <c r="J33" i="1" s="1"/>
  <c r="L33" i="1"/>
  <c r="P33" i="1"/>
  <c r="S33" i="1"/>
  <c r="T33" i="1" s="1"/>
  <c r="V33" i="1"/>
  <c r="W33" i="1"/>
  <c r="Y33" i="1"/>
  <c r="C34" i="1"/>
  <c r="F34" i="1"/>
  <c r="G34" i="1"/>
  <c r="I34" i="1"/>
  <c r="J34" i="1" s="1"/>
  <c r="L34" i="1"/>
  <c r="P34" i="1"/>
  <c r="Q34" i="1" s="1"/>
  <c r="S34" i="1"/>
  <c r="T34" i="1" s="1"/>
  <c r="V34" i="1"/>
  <c r="W34" i="1"/>
  <c r="Y34" i="1"/>
  <c r="C35" i="1"/>
  <c r="F35" i="1"/>
  <c r="G35" i="1"/>
  <c r="I35" i="1"/>
  <c r="J35" i="1" s="1"/>
  <c r="L35" i="1"/>
  <c r="P35" i="1"/>
  <c r="AC35" i="1" s="1"/>
  <c r="S35" i="1"/>
  <c r="T35" i="1" s="1"/>
  <c r="V35" i="1"/>
  <c r="W35" i="1"/>
  <c r="Y35" i="1"/>
  <c r="F5" i="13"/>
  <c r="I5" i="13"/>
  <c r="L5" i="13"/>
  <c r="P5" i="13"/>
  <c r="S5" i="13"/>
  <c r="V5" i="13"/>
  <c r="Y5" i="13"/>
  <c r="F6" i="13"/>
  <c r="G6" i="13" s="1"/>
  <c r="I6" i="13"/>
  <c r="L6" i="13"/>
  <c r="M6" i="13" s="1"/>
  <c r="P6" i="13"/>
  <c r="S6" i="13"/>
  <c r="T6" i="13" s="1"/>
  <c r="V6" i="13"/>
  <c r="Y6" i="13"/>
  <c r="F7" i="13"/>
  <c r="J7" i="13"/>
  <c r="L7" i="13"/>
  <c r="P7" i="13"/>
  <c r="S7" i="13"/>
  <c r="V7" i="13"/>
  <c r="W7" i="13"/>
  <c r="Y7" i="13"/>
  <c r="Z7" i="13" s="1"/>
  <c r="F8" i="13"/>
  <c r="G8" i="13" s="1"/>
  <c r="J8" i="13"/>
  <c r="L8" i="13"/>
  <c r="P8" i="13"/>
  <c r="S8" i="13"/>
  <c r="T8" i="13"/>
  <c r="V8" i="13"/>
  <c r="W8" i="13" s="1"/>
  <c r="Y8" i="13"/>
  <c r="F9" i="13"/>
  <c r="G9" i="13"/>
  <c r="J9" i="13"/>
  <c r="L9" i="13"/>
  <c r="P9" i="13"/>
  <c r="S9" i="13"/>
  <c r="T9" i="13" s="1"/>
  <c r="V9" i="13"/>
  <c r="W9" i="13"/>
  <c r="Y9" i="13"/>
  <c r="F10" i="13"/>
  <c r="G10" i="13" s="1"/>
  <c r="J10" i="13"/>
  <c r="L10" i="13"/>
  <c r="P10" i="13"/>
  <c r="S10" i="13"/>
  <c r="T10" i="13"/>
  <c r="V10" i="13"/>
  <c r="W10" i="13" s="1"/>
  <c r="Y10" i="13"/>
  <c r="F11" i="13"/>
  <c r="G11" i="13"/>
  <c r="J11" i="13"/>
  <c r="L11" i="13"/>
  <c r="P11" i="13"/>
  <c r="Q11" i="13" s="1"/>
  <c r="S11" i="13"/>
  <c r="T11" i="13" s="1"/>
  <c r="V11" i="13"/>
  <c r="W11" i="13"/>
  <c r="Y11" i="13"/>
  <c r="F12" i="13"/>
  <c r="G12" i="13" s="1"/>
  <c r="J12" i="13"/>
  <c r="L12" i="13"/>
  <c r="P12" i="13"/>
  <c r="S12" i="13"/>
  <c r="T12" i="13"/>
  <c r="V12" i="13"/>
  <c r="W12" i="13" s="1"/>
  <c r="Y12" i="13"/>
  <c r="F13" i="13"/>
  <c r="G13" i="13"/>
  <c r="J13" i="13"/>
  <c r="L13" i="13"/>
  <c r="P13" i="13"/>
  <c r="S13" i="13"/>
  <c r="T13" i="13" s="1"/>
  <c r="V13" i="13"/>
  <c r="W13" i="13"/>
  <c r="Y13" i="13"/>
  <c r="Z13" i="13" s="1"/>
  <c r="F14" i="13"/>
  <c r="G14" i="13" s="1"/>
  <c r="J14" i="13"/>
  <c r="L14" i="13"/>
  <c r="M14" i="13" s="1"/>
  <c r="P14" i="13"/>
  <c r="S14" i="13"/>
  <c r="T14" i="13"/>
  <c r="V14" i="13"/>
  <c r="W14" i="13" s="1"/>
  <c r="Y14" i="13"/>
  <c r="F15" i="13"/>
  <c r="G15" i="13" s="1"/>
  <c r="J15" i="13"/>
  <c r="L15" i="13"/>
  <c r="P15" i="13"/>
  <c r="S15" i="13"/>
  <c r="T15" i="13" s="1"/>
  <c r="V15" i="13"/>
  <c r="W15" i="13"/>
  <c r="Y15" i="13"/>
  <c r="F16" i="13"/>
  <c r="G16" i="13" s="1"/>
  <c r="J16" i="13"/>
  <c r="L16" i="13"/>
  <c r="P16" i="13"/>
  <c r="Q16" i="13" s="1"/>
  <c r="S16" i="13"/>
  <c r="T16" i="13"/>
  <c r="V16" i="13"/>
  <c r="W16" i="13" s="1"/>
  <c r="Y16" i="13"/>
  <c r="F17" i="13"/>
  <c r="G17" i="13" s="1"/>
  <c r="J17" i="13"/>
  <c r="L17" i="13"/>
  <c r="P17" i="13"/>
  <c r="S17" i="13"/>
  <c r="T17" i="13" s="1"/>
  <c r="V17" i="13"/>
  <c r="W17" i="13"/>
  <c r="Y17" i="13"/>
  <c r="F18" i="13"/>
  <c r="G18" i="13" s="1"/>
  <c r="J18" i="13"/>
  <c r="L18" i="13"/>
  <c r="P18" i="13"/>
  <c r="S18" i="13"/>
  <c r="T18" i="13"/>
  <c r="V18" i="13"/>
  <c r="W18" i="13" s="1"/>
  <c r="Y18" i="13"/>
  <c r="F19" i="13"/>
  <c r="G19" i="13" s="1"/>
  <c r="I19" i="13"/>
  <c r="J19" i="13" s="1"/>
  <c r="L19" i="13"/>
  <c r="M19" i="13" s="1"/>
  <c r="P19" i="13"/>
  <c r="Q19" i="13" s="1"/>
  <c r="S19" i="13"/>
  <c r="T19" i="13" s="1"/>
  <c r="V19" i="13"/>
  <c r="W19" i="13" s="1"/>
  <c r="Y19" i="13"/>
  <c r="F20" i="13"/>
  <c r="G20" i="13"/>
  <c r="I20" i="13"/>
  <c r="J20" i="13" s="1"/>
  <c r="L20" i="13"/>
  <c r="P20" i="13"/>
  <c r="S20" i="13"/>
  <c r="T20" i="13" s="1"/>
  <c r="V20" i="13"/>
  <c r="W20" i="13"/>
  <c r="Y20" i="13"/>
  <c r="F21" i="13"/>
  <c r="G21" i="13" s="1"/>
  <c r="J21" i="13"/>
  <c r="L21" i="13"/>
  <c r="P21" i="13"/>
  <c r="S21" i="13"/>
  <c r="T21" i="13"/>
  <c r="V21" i="13"/>
  <c r="W21" i="13" s="1"/>
  <c r="Y21" i="13"/>
  <c r="F22" i="13"/>
  <c r="G22" i="13" s="1"/>
  <c r="J22" i="13"/>
  <c r="L22" i="13"/>
  <c r="P22" i="13"/>
  <c r="S22" i="13"/>
  <c r="T22" i="13" s="1"/>
  <c r="V22" i="13"/>
  <c r="W22" i="13"/>
  <c r="Y22" i="13"/>
  <c r="F23" i="13"/>
  <c r="G23" i="13" s="1"/>
  <c r="J23" i="13"/>
  <c r="L23" i="13"/>
  <c r="P23" i="13"/>
  <c r="S23" i="13"/>
  <c r="T23" i="13"/>
  <c r="V23" i="13"/>
  <c r="W23" i="13" s="1"/>
  <c r="Y23" i="13"/>
  <c r="F24" i="13"/>
  <c r="G24" i="13" s="1"/>
  <c r="J24" i="13"/>
  <c r="L24" i="13"/>
  <c r="P24" i="13"/>
  <c r="Q24" i="13" s="1"/>
  <c r="S24" i="13"/>
  <c r="T24" i="13" s="1"/>
  <c r="V24" i="13"/>
  <c r="W24" i="13"/>
  <c r="Y24" i="13"/>
  <c r="Z24" i="13" s="1"/>
  <c r="F25" i="13"/>
  <c r="G25" i="13" s="1"/>
  <c r="I25" i="13"/>
  <c r="J25" i="13" s="1"/>
  <c r="L25" i="13"/>
  <c r="P25" i="13"/>
  <c r="S25" i="13"/>
  <c r="T25" i="13" s="1"/>
  <c r="V25" i="13"/>
  <c r="W25" i="13" s="1"/>
  <c r="Y25" i="13"/>
  <c r="F26" i="13"/>
  <c r="G26" i="13" s="1"/>
  <c r="I26" i="13"/>
  <c r="J26" i="13"/>
  <c r="L26" i="13"/>
  <c r="P26" i="13"/>
  <c r="S26" i="13"/>
  <c r="T26" i="13"/>
  <c r="V26" i="13"/>
  <c r="W26" i="13" s="1"/>
  <c r="Y26" i="13"/>
  <c r="F27" i="13"/>
  <c r="G27" i="13" s="1"/>
  <c r="I27" i="13"/>
  <c r="J27" i="13" s="1"/>
  <c r="L27" i="13"/>
  <c r="M27" i="13" s="1"/>
  <c r="P27" i="13"/>
  <c r="Q27" i="13" s="1"/>
  <c r="S27" i="13"/>
  <c r="T27" i="13" s="1"/>
  <c r="V27" i="13"/>
  <c r="W27" i="13" s="1"/>
  <c r="Y27" i="13"/>
  <c r="F28" i="13"/>
  <c r="G28" i="13"/>
  <c r="I28" i="13"/>
  <c r="J28" i="13" s="1"/>
  <c r="L28" i="13"/>
  <c r="P28" i="13"/>
  <c r="S28" i="13"/>
  <c r="T28" i="13" s="1"/>
  <c r="V28" i="13"/>
  <c r="W28" i="13"/>
  <c r="Y28" i="13"/>
  <c r="F29" i="13"/>
  <c r="G29" i="13" s="1"/>
  <c r="I29" i="13"/>
  <c r="J29" i="13" s="1"/>
  <c r="L29" i="13"/>
  <c r="P29" i="13"/>
  <c r="S29" i="13"/>
  <c r="T29" i="13" s="1"/>
  <c r="V29" i="13"/>
  <c r="W29" i="13" s="1"/>
  <c r="Y29" i="13"/>
  <c r="Z29" i="13" s="1"/>
  <c r="F30" i="13"/>
  <c r="G30" i="13" s="1"/>
  <c r="J30" i="13"/>
  <c r="L30" i="13"/>
  <c r="M30" i="13" s="1"/>
  <c r="P30" i="13"/>
  <c r="S30" i="13"/>
  <c r="T30" i="13" s="1"/>
  <c r="V30" i="13"/>
  <c r="W30" i="13" s="1"/>
  <c r="Y30" i="13"/>
  <c r="F31" i="13"/>
  <c r="G31" i="13"/>
  <c r="I31" i="13"/>
  <c r="J31" i="13" s="1"/>
  <c r="L31" i="13"/>
  <c r="P31" i="13"/>
  <c r="S31" i="13"/>
  <c r="T31" i="13" s="1"/>
  <c r="V31" i="13"/>
  <c r="W31" i="13"/>
  <c r="Y31" i="13"/>
  <c r="F32" i="13"/>
  <c r="G32" i="13" s="1"/>
  <c r="I32" i="13"/>
  <c r="J32" i="13" s="1"/>
  <c r="J36" i="13" s="1"/>
  <c r="D4" i="15" s="1"/>
  <c r="L32" i="13"/>
  <c r="P32" i="13"/>
  <c r="S32" i="13"/>
  <c r="T32" i="13" s="1"/>
  <c r="T36" i="13" s="1"/>
  <c r="G4" i="15" s="1"/>
  <c r="V32" i="13"/>
  <c r="W32" i="13" s="1"/>
  <c r="Y32" i="13"/>
  <c r="Z32" i="13" s="1"/>
  <c r="F33" i="13"/>
  <c r="G33" i="13" s="1"/>
  <c r="I33" i="13"/>
  <c r="J33" i="13"/>
  <c r="L33" i="13"/>
  <c r="P33" i="13"/>
  <c r="S33" i="13"/>
  <c r="T33" i="13"/>
  <c r="V33" i="13"/>
  <c r="W33" i="13" s="1"/>
  <c r="Y33" i="13"/>
  <c r="F34" i="13"/>
  <c r="G34" i="13"/>
  <c r="J34" i="13"/>
  <c r="L34" i="13"/>
  <c r="P34" i="13"/>
  <c r="S34" i="13"/>
  <c r="T34" i="13" s="1"/>
  <c r="V34" i="13"/>
  <c r="W34" i="13"/>
  <c r="Y34" i="13"/>
  <c r="F35" i="13"/>
  <c r="G35" i="13" s="1"/>
  <c r="J35" i="13"/>
  <c r="L35" i="13"/>
  <c r="M35" i="13" s="1"/>
  <c r="P35" i="13"/>
  <c r="Q35" i="13" s="1"/>
  <c r="S35" i="13"/>
  <c r="T35" i="13"/>
  <c r="V35" i="13"/>
  <c r="W35" i="13" s="1"/>
  <c r="Y35" i="13"/>
  <c r="C5" i="14"/>
  <c r="D5" i="14" s="1"/>
  <c r="F5" i="14"/>
  <c r="G5" i="14" s="1"/>
  <c r="M5" i="14"/>
  <c r="M35" i="14" s="1"/>
  <c r="E3" i="15" s="1"/>
  <c r="Q5" i="14"/>
  <c r="T5" i="14"/>
  <c r="V5" i="14"/>
  <c r="Y5" i="14"/>
  <c r="Z5" i="14"/>
  <c r="C6" i="14"/>
  <c r="AC6" i="14" s="1"/>
  <c r="F6" i="14"/>
  <c r="J6" i="14"/>
  <c r="Q6" i="14"/>
  <c r="T6" i="14"/>
  <c r="V6" i="14"/>
  <c r="W6" i="14"/>
  <c r="Y6" i="14"/>
  <c r="Z6" i="14" s="1"/>
  <c r="C7" i="14"/>
  <c r="F7" i="14"/>
  <c r="G7" i="14"/>
  <c r="J7" i="14"/>
  <c r="M7" i="14"/>
  <c r="Q7" i="14"/>
  <c r="T7" i="14"/>
  <c r="V7" i="14"/>
  <c r="W7" i="14" s="1"/>
  <c r="Y7" i="14"/>
  <c r="Z7" i="14"/>
  <c r="C8" i="14"/>
  <c r="D8" i="14" s="1"/>
  <c r="F8" i="14"/>
  <c r="G8" i="14" s="1"/>
  <c r="J8" i="14"/>
  <c r="M8" i="14"/>
  <c r="Q8" i="14"/>
  <c r="T8" i="14"/>
  <c r="V8" i="14"/>
  <c r="W8" i="14"/>
  <c r="Y8" i="14"/>
  <c r="Z8" i="14" s="1"/>
  <c r="C9" i="14"/>
  <c r="AC9" i="14" s="1"/>
  <c r="F9" i="14"/>
  <c r="G9" i="14" s="1"/>
  <c r="J9" i="14"/>
  <c r="M9" i="14"/>
  <c r="Q9" i="14"/>
  <c r="T9" i="14"/>
  <c r="V9" i="14"/>
  <c r="W9" i="14"/>
  <c r="Y9" i="14"/>
  <c r="Z9" i="14" s="1"/>
  <c r="C10" i="14"/>
  <c r="F10" i="14"/>
  <c r="F35" i="14" s="1"/>
  <c r="J10" i="14"/>
  <c r="M10" i="14"/>
  <c r="Q10" i="14"/>
  <c r="T10" i="14"/>
  <c r="V10" i="14"/>
  <c r="W10" i="14" s="1"/>
  <c r="Y10" i="14"/>
  <c r="Z10" i="14"/>
  <c r="C11" i="14"/>
  <c r="F11" i="14"/>
  <c r="G11" i="14"/>
  <c r="J11" i="14"/>
  <c r="M11" i="14"/>
  <c r="Q11" i="14"/>
  <c r="T11" i="14"/>
  <c r="V11" i="14"/>
  <c r="W11" i="14" s="1"/>
  <c r="Y11" i="14"/>
  <c r="Z11" i="14"/>
  <c r="C12" i="14"/>
  <c r="D12" i="14" s="1"/>
  <c r="F12" i="14"/>
  <c r="G12" i="14" s="1"/>
  <c r="J12" i="14"/>
  <c r="M12" i="14"/>
  <c r="Q12" i="14"/>
  <c r="T12" i="14"/>
  <c r="V12" i="14"/>
  <c r="W12" i="14"/>
  <c r="Y12" i="14"/>
  <c r="Z12" i="14" s="1"/>
  <c r="C13" i="14"/>
  <c r="D13" i="14" s="1"/>
  <c r="F13" i="14"/>
  <c r="G13" i="14" s="1"/>
  <c r="J13" i="14"/>
  <c r="M13" i="14"/>
  <c r="Q13" i="14"/>
  <c r="T13" i="14"/>
  <c r="V13" i="14"/>
  <c r="W13" i="14"/>
  <c r="Y13" i="14"/>
  <c r="Z13" i="14" s="1"/>
  <c r="C14" i="14"/>
  <c r="F14" i="14"/>
  <c r="G14" i="14" s="1"/>
  <c r="J14" i="14"/>
  <c r="M14" i="14"/>
  <c r="Q14" i="14"/>
  <c r="T14" i="14"/>
  <c r="V14" i="14"/>
  <c r="W14" i="14" s="1"/>
  <c r="Y14" i="14"/>
  <c r="Z14" i="14"/>
  <c r="C15" i="14"/>
  <c r="F15" i="14"/>
  <c r="G15" i="14"/>
  <c r="J15" i="14"/>
  <c r="M15" i="14"/>
  <c r="Q15" i="14"/>
  <c r="T15" i="14"/>
  <c r="V15" i="14"/>
  <c r="W15" i="14" s="1"/>
  <c r="Y15" i="14"/>
  <c r="Z15" i="14"/>
  <c r="C16" i="14"/>
  <c r="D16" i="14" s="1"/>
  <c r="F16" i="14"/>
  <c r="G16" i="14" s="1"/>
  <c r="J16" i="14"/>
  <c r="M16" i="14"/>
  <c r="Q16" i="14"/>
  <c r="T16" i="14"/>
  <c r="V16" i="14"/>
  <c r="W16" i="14"/>
  <c r="Y16" i="14"/>
  <c r="Z16" i="14" s="1"/>
  <c r="C17" i="14"/>
  <c r="AC17" i="14" s="1"/>
  <c r="F17" i="14"/>
  <c r="G17" i="14"/>
  <c r="J17" i="14"/>
  <c r="M17" i="14"/>
  <c r="P17" i="14"/>
  <c r="T17" i="14"/>
  <c r="V17" i="14"/>
  <c r="W17" i="14"/>
  <c r="Y17" i="14"/>
  <c r="Z17" i="14"/>
  <c r="C18" i="14"/>
  <c r="F18" i="14"/>
  <c r="G18" i="14" s="1"/>
  <c r="J18" i="14"/>
  <c r="M18" i="14"/>
  <c r="P18" i="14"/>
  <c r="Q18" i="14" s="1"/>
  <c r="S18" i="14"/>
  <c r="T18" i="14" s="1"/>
  <c r="V18" i="14"/>
  <c r="W18" i="14"/>
  <c r="Y18" i="14"/>
  <c r="Z18" i="14"/>
  <c r="C19" i="14"/>
  <c r="F19" i="14"/>
  <c r="G19" i="14" s="1"/>
  <c r="J19" i="14"/>
  <c r="M19" i="14"/>
  <c r="P19" i="14"/>
  <c r="Q19" i="14" s="1"/>
  <c r="AD19" i="14" s="1"/>
  <c r="S19" i="14"/>
  <c r="T19" i="14" s="1"/>
  <c r="V19" i="14"/>
  <c r="W19" i="14"/>
  <c r="Y19" i="14"/>
  <c r="Z19" i="14" s="1"/>
  <c r="C20" i="14"/>
  <c r="F20" i="14"/>
  <c r="G20" i="14"/>
  <c r="J20" i="14"/>
  <c r="M20" i="14"/>
  <c r="P20" i="14"/>
  <c r="Q20" i="14"/>
  <c r="S20" i="14"/>
  <c r="T20" i="14"/>
  <c r="V20" i="14"/>
  <c r="W20" i="14"/>
  <c r="Y20" i="14"/>
  <c r="Z20" i="14"/>
  <c r="C21" i="14"/>
  <c r="F21" i="14"/>
  <c r="G21" i="14" s="1"/>
  <c r="J21" i="14"/>
  <c r="M21" i="14"/>
  <c r="P21" i="14"/>
  <c r="Q21" i="14" s="1"/>
  <c r="S21" i="14"/>
  <c r="T21" i="14" s="1"/>
  <c r="V21" i="14"/>
  <c r="W21" i="14" s="1"/>
  <c r="Y21" i="14"/>
  <c r="Z21" i="14"/>
  <c r="C22" i="14"/>
  <c r="F22" i="14"/>
  <c r="G22" i="14"/>
  <c r="J22" i="14"/>
  <c r="M22" i="14"/>
  <c r="P22" i="14"/>
  <c r="Q22" i="14"/>
  <c r="S22" i="14"/>
  <c r="T22" i="14" s="1"/>
  <c r="V22" i="14"/>
  <c r="W22" i="14"/>
  <c r="Y22" i="14"/>
  <c r="Z22" i="14" s="1"/>
  <c r="C23" i="14"/>
  <c r="F23" i="14"/>
  <c r="G23" i="14"/>
  <c r="J23" i="14"/>
  <c r="M23" i="14"/>
  <c r="P23" i="14"/>
  <c r="Q23" i="14"/>
  <c r="S23" i="14"/>
  <c r="T23" i="14" s="1"/>
  <c r="V23" i="14"/>
  <c r="W23" i="14" s="1"/>
  <c r="Y23" i="14"/>
  <c r="Z23" i="14" s="1"/>
  <c r="C24" i="14"/>
  <c r="F24" i="14"/>
  <c r="G24" i="14" s="1"/>
  <c r="J24" i="14"/>
  <c r="M24" i="14"/>
  <c r="P24" i="14"/>
  <c r="Q24" i="14" s="1"/>
  <c r="S24" i="14"/>
  <c r="T24" i="14"/>
  <c r="V24" i="14"/>
  <c r="W24" i="14" s="1"/>
  <c r="Y24" i="14"/>
  <c r="Z24" i="14"/>
  <c r="C25" i="14"/>
  <c r="F25" i="14"/>
  <c r="G25" i="14" s="1"/>
  <c r="J25" i="14"/>
  <c r="M25" i="14"/>
  <c r="P25" i="14"/>
  <c r="Q25" i="14" s="1"/>
  <c r="S25" i="14"/>
  <c r="T25" i="14"/>
  <c r="V25" i="14"/>
  <c r="W25" i="14" s="1"/>
  <c r="Y25" i="14"/>
  <c r="Z25" i="14" s="1"/>
  <c r="C26" i="14"/>
  <c r="F26" i="14"/>
  <c r="G26" i="14"/>
  <c r="J26" i="14"/>
  <c r="M26" i="14"/>
  <c r="P26" i="14"/>
  <c r="Q26" i="14"/>
  <c r="S26" i="14"/>
  <c r="T26" i="14"/>
  <c r="V26" i="14"/>
  <c r="W26" i="14"/>
  <c r="Y26" i="14"/>
  <c r="Z26" i="14"/>
  <c r="C27" i="14"/>
  <c r="F27" i="14"/>
  <c r="G27" i="14" s="1"/>
  <c r="J27" i="14"/>
  <c r="M27" i="14"/>
  <c r="P27" i="14"/>
  <c r="AC27" i="14" s="1"/>
  <c r="S27" i="14"/>
  <c r="T27" i="14" s="1"/>
  <c r="V27" i="14"/>
  <c r="W27" i="14"/>
  <c r="Y27" i="14"/>
  <c r="Z27" i="14" s="1"/>
  <c r="C28" i="14"/>
  <c r="F28" i="14"/>
  <c r="G28" i="14"/>
  <c r="J28" i="14"/>
  <c r="M28" i="14"/>
  <c r="P28" i="14"/>
  <c r="Q28" i="14"/>
  <c r="S28" i="14"/>
  <c r="T28" i="14"/>
  <c r="V28" i="14"/>
  <c r="W28" i="14"/>
  <c r="Y28" i="14"/>
  <c r="Z28" i="14"/>
  <c r="C29" i="14"/>
  <c r="F29" i="14"/>
  <c r="G29" i="14" s="1"/>
  <c r="J29" i="14"/>
  <c r="M29" i="14"/>
  <c r="P29" i="14"/>
  <c r="Q29" i="14" s="1"/>
  <c r="S29" i="14"/>
  <c r="T29" i="14" s="1"/>
  <c r="V29" i="14"/>
  <c r="W29" i="14" s="1"/>
  <c r="Y29" i="14"/>
  <c r="Z29" i="14"/>
  <c r="C30" i="14"/>
  <c r="AC30" i="14" s="1"/>
  <c r="F30" i="14"/>
  <c r="G30" i="14"/>
  <c r="J30" i="14"/>
  <c r="M30" i="14"/>
  <c r="P30" i="14"/>
  <c r="Q30" i="14"/>
  <c r="S30" i="14"/>
  <c r="T30" i="14" s="1"/>
  <c r="V30" i="14"/>
  <c r="W30" i="14"/>
  <c r="Y30" i="14"/>
  <c r="Z30" i="14" s="1"/>
  <c r="C31" i="14"/>
  <c r="F31" i="14"/>
  <c r="G31" i="14"/>
  <c r="J31" i="14"/>
  <c r="M31" i="14"/>
  <c r="P31" i="14"/>
  <c r="Q31" i="14"/>
  <c r="S31" i="14"/>
  <c r="T31" i="14" s="1"/>
  <c r="V31" i="14"/>
  <c r="W31" i="14" s="1"/>
  <c r="Y31" i="14"/>
  <c r="Z31" i="14" s="1"/>
  <c r="C32" i="14"/>
  <c r="F32" i="14"/>
  <c r="G32" i="14" s="1"/>
  <c r="J32" i="14"/>
  <c r="M32" i="14"/>
  <c r="P32" i="14"/>
  <c r="Q32" i="14" s="1"/>
  <c r="S32" i="14"/>
  <c r="T32" i="14"/>
  <c r="V32" i="14"/>
  <c r="W32" i="14" s="1"/>
  <c r="Y32" i="14"/>
  <c r="Z32" i="14"/>
  <c r="C33" i="14"/>
  <c r="F33" i="14"/>
  <c r="G33" i="14" s="1"/>
  <c r="J33" i="14"/>
  <c r="M33" i="14"/>
  <c r="P33" i="14"/>
  <c r="Q33" i="14" s="1"/>
  <c r="S33" i="14"/>
  <c r="T33" i="14"/>
  <c r="V33" i="14"/>
  <c r="W33" i="14" s="1"/>
  <c r="Y33" i="14"/>
  <c r="Z33" i="14" s="1"/>
  <c r="C34" i="14"/>
  <c r="F34" i="14"/>
  <c r="G34" i="14"/>
  <c r="J34" i="14"/>
  <c r="M34" i="14"/>
  <c r="P34" i="14"/>
  <c r="Q34" i="14"/>
  <c r="S34" i="14"/>
  <c r="T34" i="14"/>
  <c r="V34" i="14"/>
  <c r="W34" i="14"/>
  <c r="Y34" i="14"/>
  <c r="Z34" i="14"/>
  <c r="Q35" i="6"/>
  <c r="Z34" i="6"/>
  <c r="M34" i="6"/>
  <c r="Z33" i="6"/>
  <c r="M33" i="6"/>
  <c r="Q32" i="6"/>
  <c r="D32" i="6"/>
  <c r="Q31" i="6"/>
  <c r="Z30" i="6"/>
  <c r="M30" i="6"/>
  <c r="Z29" i="6"/>
  <c r="M29" i="6"/>
  <c r="Q28" i="6"/>
  <c r="D28" i="6"/>
  <c r="Q27" i="6"/>
  <c r="Z26" i="6"/>
  <c r="M26" i="6"/>
  <c r="Z25" i="6"/>
  <c r="M25" i="6"/>
  <c r="Q24" i="6"/>
  <c r="D24" i="6"/>
  <c r="Q23" i="6"/>
  <c r="Z21" i="6"/>
  <c r="M21" i="6"/>
  <c r="Q20" i="6"/>
  <c r="D20" i="6"/>
  <c r="Z19" i="6"/>
  <c r="M19" i="6"/>
  <c r="Z18" i="6"/>
  <c r="M18" i="6"/>
  <c r="Z17" i="6"/>
  <c r="M17" i="6"/>
  <c r="Z16" i="6"/>
  <c r="M16" i="6"/>
  <c r="Q15" i="6"/>
  <c r="D15" i="6"/>
  <c r="Q14" i="6"/>
  <c r="Z13" i="6"/>
  <c r="M13" i="6"/>
  <c r="Z12" i="6"/>
  <c r="M12" i="6"/>
  <c r="Q11" i="6"/>
  <c r="D11" i="6"/>
  <c r="Q10" i="6"/>
  <c r="Z9" i="6"/>
  <c r="M9" i="6"/>
  <c r="Z8" i="6"/>
  <c r="M8" i="6"/>
  <c r="Q7" i="6"/>
  <c r="D7" i="6"/>
  <c r="Q6" i="6"/>
  <c r="Z5" i="6"/>
  <c r="AF5" i="6" s="1"/>
  <c r="M5" i="6"/>
  <c r="Z35" i="6"/>
  <c r="M35" i="6"/>
  <c r="Q34" i="6"/>
  <c r="D34" i="6"/>
  <c r="Q33" i="6"/>
  <c r="AD33" i="6" s="1"/>
  <c r="Z32" i="6"/>
  <c r="M32" i="6"/>
  <c r="Z31" i="6"/>
  <c r="M31" i="6"/>
  <c r="Q30" i="6"/>
  <c r="D30" i="6"/>
  <c r="Q29" i="6"/>
  <c r="Z28" i="6"/>
  <c r="M28" i="6"/>
  <c r="Z27" i="6"/>
  <c r="M27" i="6"/>
  <c r="Q26" i="6"/>
  <c r="D26" i="6"/>
  <c r="Q25" i="6"/>
  <c r="AF25" i="6" s="1"/>
  <c r="Z24" i="6"/>
  <c r="M24" i="6"/>
  <c r="Z23" i="6"/>
  <c r="M23" i="6"/>
  <c r="Q22" i="6"/>
  <c r="D22" i="6"/>
  <c r="AD22" i="6" s="1"/>
  <c r="Z20" i="6"/>
  <c r="M20" i="6"/>
  <c r="Q19" i="6"/>
  <c r="Q18" i="6"/>
  <c r="Q17" i="6"/>
  <c r="AF17" i="6"/>
  <c r="Q16" i="6"/>
  <c r="D16" i="6"/>
  <c r="Z15" i="6"/>
  <c r="M15" i="6"/>
  <c r="Z14" i="6"/>
  <c r="M14" i="6"/>
  <c r="Q13" i="6"/>
  <c r="AF13" i="6"/>
  <c r="D13" i="6"/>
  <c r="Q12" i="6"/>
  <c r="AF12" i="6" s="1"/>
  <c r="Z11" i="6"/>
  <c r="M11" i="6"/>
  <c r="Z10" i="6"/>
  <c r="AF10" i="6" s="1"/>
  <c r="M10" i="6"/>
  <c r="Q9" i="6"/>
  <c r="AF9" i="6" s="1"/>
  <c r="D9" i="6"/>
  <c r="Q8" i="6"/>
  <c r="AF8" i="6" s="1"/>
  <c r="Z7" i="6"/>
  <c r="M7" i="6"/>
  <c r="Z6" i="6"/>
  <c r="AF6" i="6" s="1"/>
  <c r="M6" i="6"/>
  <c r="Q5" i="6"/>
  <c r="D5" i="6"/>
  <c r="Z35" i="13"/>
  <c r="Q34" i="13"/>
  <c r="Z33" i="13"/>
  <c r="M33" i="13"/>
  <c r="Q32" i="13"/>
  <c r="Z31" i="13"/>
  <c r="M31" i="13"/>
  <c r="Q30" i="13"/>
  <c r="M29" i="13"/>
  <c r="Q28" i="13"/>
  <c r="Z27" i="13"/>
  <c r="Q26" i="13"/>
  <c r="Z25" i="13"/>
  <c r="M25" i="13"/>
  <c r="Z23" i="13"/>
  <c r="M23" i="13"/>
  <c r="Q22" i="13"/>
  <c r="Z21" i="13"/>
  <c r="M21" i="13"/>
  <c r="Q20" i="13"/>
  <c r="Z19" i="13"/>
  <c r="Q18" i="13"/>
  <c r="Z17" i="13"/>
  <c r="M17" i="13"/>
  <c r="Z15" i="13"/>
  <c r="M15" i="13"/>
  <c r="Q14" i="13"/>
  <c r="M13" i="13"/>
  <c r="Q12" i="13"/>
  <c r="Z11" i="13"/>
  <c r="M11" i="13"/>
  <c r="Q10" i="13"/>
  <c r="Z9" i="13"/>
  <c r="M9" i="13"/>
  <c r="M7" i="13"/>
  <c r="Q6" i="13"/>
  <c r="Q35" i="1"/>
  <c r="Q33" i="1"/>
  <c r="Q32" i="1"/>
  <c r="Q31" i="1"/>
  <c r="Q29" i="1"/>
  <c r="Q28" i="1"/>
  <c r="Q27" i="1"/>
  <c r="Q25" i="1"/>
  <c r="Q24" i="1"/>
  <c r="Q23" i="1"/>
  <c r="Q21" i="1"/>
  <c r="Z20" i="1"/>
  <c r="M20" i="1"/>
  <c r="M19" i="1"/>
  <c r="Z18" i="1"/>
  <c r="M18" i="1"/>
  <c r="M17" i="1"/>
  <c r="Z16" i="1"/>
  <c r="M16" i="1"/>
  <c r="M15" i="1"/>
  <c r="Z14" i="1"/>
  <c r="M14" i="1"/>
  <c r="M13" i="1"/>
  <c r="Z12" i="1"/>
  <c r="M12" i="1"/>
  <c r="M11" i="1"/>
  <c r="Z10" i="1"/>
  <c r="M10" i="1"/>
  <c r="M9" i="1"/>
  <c r="Z8" i="1"/>
  <c r="M8" i="1"/>
  <c r="M7" i="1"/>
  <c r="Z6" i="1"/>
  <c r="M6" i="1"/>
  <c r="Z34" i="13"/>
  <c r="M34" i="13"/>
  <c r="Q33" i="13"/>
  <c r="M32" i="13"/>
  <c r="Q31" i="13"/>
  <c r="Z30" i="13"/>
  <c r="Q29" i="13"/>
  <c r="Z28" i="13"/>
  <c r="M28" i="13"/>
  <c r="Z26" i="13"/>
  <c r="M26" i="13"/>
  <c r="Q25" i="13"/>
  <c r="M24" i="13"/>
  <c r="Q23" i="13"/>
  <c r="Z22" i="13"/>
  <c r="M22" i="13"/>
  <c r="Q21" i="13"/>
  <c r="Z20" i="13"/>
  <c r="M20" i="13"/>
  <c r="Z18" i="13"/>
  <c r="M18" i="13"/>
  <c r="Q17" i="13"/>
  <c r="Z16" i="13"/>
  <c r="M16" i="13"/>
  <c r="Q15" i="13"/>
  <c r="Z14" i="13"/>
  <c r="Q13" i="13"/>
  <c r="Z12" i="13"/>
  <c r="M12" i="13"/>
  <c r="Z10" i="13"/>
  <c r="M10" i="13"/>
  <c r="Q9" i="13"/>
  <c r="Z8" i="13"/>
  <c r="M8" i="13"/>
  <c r="Q7" i="13"/>
  <c r="Z6" i="13"/>
  <c r="Z35" i="1"/>
  <c r="M35" i="1"/>
  <c r="Z34" i="1"/>
  <c r="M34" i="1"/>
  <c r="Z33" i="1"/>
  <c r="M33" i="1"/>
  <c r="Z32" i="1"/>
  <c r="M32" i="1"/>
  <c r="Z31" i="1"/>
  <c r="M31" i="1"/>
  <c r="Z30" i="1"/>
  <c r="M30" i="1"/>
  <c r="Z29" i="1"/>
  <c r="M29" i="1"/>
  <c r="Z28" i="1"/>
  <c r="M28" i="1"/>
  <c r="Z27" i="1"/>
  <c r="M27" i="1"/>
  <c r="Z26" i="1"/>
  <c r="M26" i="1"/>
  <c r="Z25" i="1"/>
  <c r="M25" i="1"/>
  <c r="Z24" i="1"/>
  <c r="M24" i="1"/>
  <c r="Z23" i="1"/>
  <c r="M23" i="1"/>
  <c r="Z22" i="1"/>
  <c r="M22" i="1"/>
  <c r="Z21" i="1"/>
  <c r="Q20" i="1"/>
  <c r="Q19" i="1"/>
  <c r="Q17" i="1"/>
  <c r="Q16" i="1"/>
  <c r="Q15" i="1"/>
  <c r="Q14" i="1"/>
  <c r="Q13" i="1"/>
  <c r="Q12" i="1"/>
  <c r="Q11" i="1"/>
  <c r="Q10" i="1"/>
  <c r="Q9" i="1"/>
  <c r="Q8" i="1"/>
  <c r="Q7" i="1"/>
  <c r="Z34" i="7"/>
  <c r="M34" i="7"/>
  <c r="Z33" i="7"/>
  <c r="M33" i="7"/>
  <c r="Z32" i="7"/>
  <c r="M32" i="7"/>
  <c r="Z31" i="7"/>
  <c r="M31" i="7"/>
  <c r="Z30" i="7"/>
  <c r="M30" i="7"/>
  <c r="Z29" i="7"/>
  <c r="M29" i="7"/>
  <c r="Z28" i="7"/>
  <c r="M28" i="7"/>
  <c r="Z27" i="7"/>
  <c r="M27" i="7"/>
  <c r="Z26" i="7"/>
  <c r="M26" i="7"/>
  <c r="Z25" i="7"/>
  <c r="M25" i="7"/>
  <c r="Z24" i="7"/>
  <c r="M24" i="7"/>
  <c r="Z23" i="7"/>
  <c r="M23" i="7"/>
  <c r="Z22" i="7"/>
  <c r="M22" i="7"/>
  <c r="Z21" i="7"/>
  <c r="M21" i="7"/>
  <c r="Z20" i="7"/>
  <c r="M20" i="7"/>
  <c r="Z19" i="7"/>
  <c r="M19" i="7"/>
  <c r="Z18" i="7"/>
  <c r="M18" i="7"/>
  <c r="Z17" i="7"/>
  <c r="M17" i="7"/>
  <c r="Q16" i="7"/>
  <c r="Z15" i="7"/>
  <c r="M15" i="7"/>
  <c r="M14" i="7"/>
  <c r="Q8" i="7"/>
  <c r="Q7" i="7"/>
  <c r="Q6" i="7"/>
  <c r="Q34" i="7"/>
  <c r="Q33" i="7"/>
  <c r="Q32" i="7"/>
  <c r="Q31" i="7"/>
  <c r="Q30" i="7"/>
  <c r="Q29" i="7"/>
  <c r="Q28" i="7"/>
  <c r="Q27" i="7"/>
  <c r="Q26" i="7"/>
  <c r="Q25" i="7"/>
  <c r="Q24" i="7"/>
  <c r="Q23" i="7"/>
  <c r="AD23" i="7" s="1"/>
  <c r="Q22" i="7"/>
  <c r="Q21" i="7"/>
  <c r="Q20" i="7"/>
  <c r="Q19" i="7"/>
  <c r="Q18" i="7"/>
  <c r="Q17" i="7"/>
  <c r="Z16" i="7"/>
  <c r="M16" i="7"/>
  <c r="Q15" i="7"/>
  <c r="Z14" i="7"/>
  <c r="Q14" i="7"/>
  <c r="Z13" i="7"/>
  <c r="M13" i="7"/>
  <c r="Z12" i="7"/>
  <c r="Z11" i="7"/>
  <c r="Z10" i="7"/>
  <c r="M10" i="7"/>
  <c r="Z9" i="7"/>
  <c r="M9" i="7"/>
  <c r="Z8" i="7"/>
  <c r="M8" i="7"/>
  <c r="Z7" i="7"/>
  <c r="M7" i="7"/>
  <c r="Z5" i="7"/>
  <c r="M5" i="7"/>
  <c r="T5" i="13"/>
  <c r="S36" i="13"/>
  <c r="G5" i="13"/>
  <c r="Y36" i="13"/>
  <c r="D34" i="14"/>
  <c r="AD34" i="14" s="1"/>
  <c r="AC34" i="14"/>
  <c r="D33" i="14"/>
  <c r="AD33" i="14" s="1"/>
  <c r="D32" i="14"/>
  <c r="AC32" i="14"/>
  <c r="D31" i="14"/>
  <c r="AD31" i="14"/>
  <c r="AC31" i="14"/>
  <c r="D30" i="14"/>
  <c r="AD30" i="14" s="1"/>
  <c r="D29" i="14"/>
  <c r="AD29" i="14" s="1"/>
  <c r="D28" i="14"/>
  <c r="AD28" i="14" s="1"/>
  <c r="AC28" i="14"/>
  <c r="D27" i="14"/>
  <c r="D26" i="14"/>
  <c r="AD26" i="14" s="1"/>
  <c r="AC26" i="14"/>
  <c r="D25" i="14"/>
  <c r="AD25" i="14" s="1"/>
  <c r="D24" i="14"/>
  <c r="AD24" i="14" s="1"/>
  <c r="AC24" i="14"/>
  <c r="D23" i="14"/>
  <c r="AD23" i="14"/>
  <c r="AC23" i="14"/>
  <c r="D22" i="14"/>
  <c r="AD22" i="14" s="1"/>
  <c r="AC22" i="14"/>
  <c r="D21" i="14"/>
  <c r="AD21" i="14" s="1"/>
  <c r="D20" i="14"/>
  <c r="AD20" i="14" s="1"/>
  <c r="AC20" i="14"/>
  <c r="D19" i="14"/>
  <c r="D18" i="14"/>
  <c r="AC18" i="14"/>
  <c r="D17" i="14"/>
  <c r="AD16" i="14"/>
  <c r="AC16" i="14"/>
  <c r="D15" i="14"/>
  <c r="AD15" i="14" s="1"/>
  <c r="AC15" i="14"/>
  <c r="D14" i="14"/>
  <c r="AD14" i="14" s="1"/>
  <c r="AC14" i="14"/>
  <c r="AC13" i="14"/>
  <c r="AD12" i="14"/>
  <c r="AC12" i="14"/>
  <c r="D11" i="14"/>
  <c r="AD11" i="14" s="1"/>
  <c r="AC11" i="14"/>
  <c r="D10" i="14"/>
  <c r="AD10" i="14" s="1"/>
  <c r="AC10" i="14"/>
  <c r="D9" i="14"/>
  <c r="AD9" i="14"/>
  <c r="AD8" i="14"/>
  <c r="AC8" i="14"/>
  <c r="D7" i="14"/>
  <c r="AD7" i="14" s="1"/>
  <c r="AC7" i="14"/>
  <c r="D6" i="14"/>
  <c r="AD6" i="14" s="1"/>
  <c r="C35" i="13"/>
  <c r="AC35" i="13" s="1"/>
  <c r="AB35" i="13"/>
  <c r="C34" i="13"/>
  <c r="AB34" i="13"/>
  <c r="C33" i="13"/>
  <c r="D33" i="13" s="1"/>
  <c r="AD33" i="13" s="1"/>
  <c r="AB33" i="13"/>
  <c r="C32" i="13"/>
  <c r="AB32" i="13"/>
  <c r="C31" i="13"/>
  <c r="AC31" i="13" s="1"/>
  <c r="AB31" i="13"/>
  <c r="C30" i="13"/>
  <c r="AB30" i="13"/>
  <c r="C29" i="13"/>
  <c r="D29" i="13" s="1"/>
  <c r="AD29" i="13" s="1"/>
  <c r="AB29" i="13"/>
  <c r="C28" i="13"/>
  <c r="AB28" i="13"/>
  <c r="C27" i="13"/>
  <c r="AC27" i="13" s="1"/>
  <c r="AB27" i="13"/>
  <c r="C26" i="13"/>
  <c r="AB26" i="13"/>
  <c r="C25" i="13"/>
  <c r="D25" i="13" s="1"/>
  <c r="AD25" i="13" s="1"/>
  <c r="AB25" i="13"/>
  <c r="C24" i="13"/>
  <c r="AB24" i="13"/>
  <c r="C23" i="13"/>
  <c r="AC23" i="13" s="1"/>
  <c r="AB23" i="13"/>
  <c r="C22" i="13"/>
  <c r="AB22" i="13"/>
  <c r="C21" i="13"/>
  <c r="D21" i="13" s="1"/>
  <c r="AD21" i="13" s="1"/>
  <c r="AB21" i="13"/>
  <c r="C20" i="13"/>
  <c r="AB20" i="13"/>
  <c r="C19" i="13"/>
  <c r="AC19" i="13" s="1"/>
  <c r="AB19" i="13"/>
  <c r="C18" i="13"/>
  <c r="AB18" i="13"/>
  <c r="C17" i="13"/>
  <c r="D17" i="13" s="1"/>
  <c r="AD17" i="13" s="1"/>
  <c r="AB17" i="13"/>
  <c r="C16" i="13"/>
  <c r="AB16" i="13"/>
  <c r="C15" i="13"/>
  <c r="AC15" i="13" s="1"/>
  <c r="AB15" i="13"/>
  <c r="C14" i="13"/>
  <c r="AB14" i="13"/>
  <c r="C13" i="13"/>
  <c r="D13" i="13" s="1"/>
  <c r="AD13" i="13" s="1"/>
  <c r="AB13" i="13"/>
  <c r="C12" i="13"/>
  <c r="AB12" i="13"/>
  <c r="C11" i="13"/>
  <c r="AC11" i="13" s="1"/>
  <c r="AB11" i="13"/>
  <c r="C10" i="13"/>
  <c r="AB10" i="13"/>
  <c r="C9" i="13"/>
  <c r="D9" i="13" s="1"/>
  <c r="AD9" i="13" s="1"/>
  <c r="AB9" i="13"/>
  <c r="C8" i="13"/>
  <c r="D8" i="13" s="1"/>
  <c r="AB8" i="13"/>
  <c r="C7" i="13"/>
  <c r="AB7" i="13"/>
  <c r="C6" i="13"/>
  <c r="C36" i="13" s="1"/>
  <c r="AB6" i="13"/>
  <c r="W5" i="13"/>
  <c r="Q5" i="13"/>
  <c r="AD5" i="13" s="1"/>
  <c r="J5" i="13"/>
  <c r="I36" i="13"/>
  <c r="C5" i="13"/>
  <c r="AB5" i="13"/>
  <c r="D34" i="7"/>
  <c r="AC34" i="7"/>
  <c r="D33" i="7"/>
  <c r="AC33" i="7"/>
  <c r="D32" i="7"/>
  <c r="AD32" i="7" s="1"/>
  <c r="AC32" i="7"/>
  <c r="D31" i="7"/>
  <c r="AC31" i="7"/>
  <c r="D30" i="7"/>
  <c r="AC30" i="7"/>
  <c r="D29" i="7"/>
  <c r="AC29" i="7"/>
  <c r="D28" i="7"/>
  <c r="AC28" i="7"/>
  <c r="D27" i="7"/>
  <c r="AC27" i="7"/>
  <c r="D26" i="7"/>
  <c r="AC26" i="7"/>
  <c r="D25" i="7"/>
  <c r="AC25" i="7"/>
  <c r="D24" i="7"/>
  <c r="AD24" i="7" s="1"/>
  <c r="AC24" i="7"/>
  <c r="D23" i="7"/>
  <c r="AC23" i="7"/>
  <c r="D22" i="7"/>
  <c r="AC22" i="7"/>
  <c r="D21" i="7"/>
  <c r="AC21" i="7"/>
  <c r="D20" i="7"/>
  <c r="AC20" i="7"/>
  <c r="D19" i="7"/>
  <c r="AC19" i="7"/>
  <c r="D18" i="7"/>
  <c r="AC18" i="7"/>
  <c r="D17" i="7"/>
  <c r="AC17" i="7"/>
  <c r="D16" i="7"/>
  <c r="AC16" i="7"/>
  <c r="D15" i="7"/>
  <c r="AC15" i="7"/>
  <c r="D14" i="7"/>
  <c r="AC14" i="7"/>
  <c r="D13" i="7"/>
  <c r="AD13" i="7" s="1"/>
  <c r="AC13" i="7"/>
  <c r="D12" i="7"/>
  <c r="AD12" i="7"/>
  <c r="AC12" i="7"/>
  <c r="D11" i="7"/>
  <c r="AD11" i="7" s="1"/>
  <c r="AC11" i="7"/>
  <c r="D10" i="7"/>
  <c r="AD10" i="7"/>
  <c r="AC10" i="7"/>
  <c r="D9" i="7"/>
  <c r="AD9" i="7" s="1"/>
  <c r="AC9" i="7"/>
  <c r="D8" i="7"/>
  <c r="AC8" i="7"/>
  <c r="D7" i="7"/>
  <c r="AC7" i="7"/>
  <c r="D6" i="7"/>
  <c r="AC6" i="7"/>
  <c r="AC5" i="7"/>
  <c r="D32" i="4"/>
  <c r="AD32" i="4"/>
  <c r="AC32" i="4"/>
  <c r="D31" i="4"/>
  <c r="AD31" i="4"/>
  <c r="AC31" i="4"/>
  <c r="D30" i="4"/>
  <c r="AD30" i="4" s="1"/>
  <c r="AC30" i="4"/>
  <c r="D29" i="4"/>
  <c r="AD29" i="4"/>
  <c r="AC29" i="4"/>
  <c r="D28" i="4"/>
  <c r="AD28" i="4" s="1"/>
  <c r="AC28" i="4"/>
  <c r="D27" i="4"/>
  <c r="AD27" i="4"/>
  <c r="AC27" i="4"/>
  <c r="D26" i="4"/>
  <c r="AD26" i="4" s="1"/>
  <c r="AC26" i="4"/>
  <c r="D25" i="4"/>
  <c r="AD25" i="4" s="1"/>
  <c r="AC25" i="4"/>
  <c r="D24" i="4"/>
  <c r="AD24" i="4"/>
  <c r="AC24" i="4"/>
  <c r="D23" i="4"/>
  <c r="AD23" i="4"/>
  <c r="AC23" i="4"/>
  <c r="D22" i="4"/>
  <c r="AD22" i="4" s="1"/>
  <c r="AC22" i="4"/>
  <c r="D21" i="4"/>
  <c r="AD21" i="4"/>
  <c r="AC21" i="4"/>
  <c r="D20" i="4"/>
  <c r="AD20" i="4" s="1"/>
  <c r="AC20" i="4"/>
  <c r="D19" i="4"/>
  <c r="AD19" i="4"/>
  <c r="AC19" i="4"/>
  <c r="D18" i="4"/>
  <c r="AD18" i="4" s="1"/>
  <c r="AC18" i="4"/>
  <c r="D17" i="4"/>
  <c r="AD17" i="4" s="1"/>
  <c r="AC17" i="4"/>
  <c r="D16" i="4"/>
  <c r="AD16" i="4"/>
  <c r="AC16" i="4"/>
  <c r="D15" i="4"/>
  <c r="AD15" i="4"/>
  <c r="AC15" i="4"/>
  <c r="D14" i="4"/>
  <c r="AD14" i="4" s="1"/>
  <c r="AC14" i="4"/>
  <c r="D13" i="4"/>
  <c r="AD13" i="4"/>
  <c r="AC13" i="4"/>
  <c r="D12" i="4"/>
  <c r="AD12" i="4" s="1"/>
  <c r="AC12" i="4"/>
  <c r="D11" i="4"/>
  <c r="AD11" i="4"/>
  <c r="AC11" i="4"/>
  <c r="D10" i="4"/>
  <c r="AD10" i="4" s="1"/>
  <c r="AC10" i="4"/>
  <c r="D9" i="4"/>
  <c r="AD9" i="4" s="1"/>
  <c r="AC9" i="4"/>
  <c r="D8" i="4"/>
  <c r="D34" i="4" s="1"/>
  <c r="AD8" i="4"/>
  <c r="AC8" i="4"/>
  <c r="D7" i="4"/>
  <c r="AD7" i="4"/>
  <c r="AC7" i="4"/>
  <c r="D5" i="4"/>
  <c r="AD5" i="4" s="1"/>
  <c r="AC5" i="4"/>
  <c r="AC6" i="4"/>
  <c r="D35" i="1"/>
  <c r="AD35" i="1" s="1"/>
  <c r="D34" i="1"/>
  <c r="AC34" i="1"/>
  <c r="D33" i="1"/>
  <c r="AC33" i="1"/>
  <c r="D32" i="1"/>
  <c r="AC32" i="1"/>
  <c r="D31" i="1"/>
  <c r="AC31" i="1"/>
  <c r="D30" i="1"/>
  <c r="AC30" i="1"/>
  <c r="D29" i="1"/>
  <c r="AC29" i="1"/>
  <c r="D28" i="1"/>
  <c r="AC28" i="1"/>
  <c r="D27" i="1"/>
  <c r="AC27" i="1"/>
  <c r="D26" i="1"/>
  <c r="AC26" i="1"/>
  <c r="D25" i="1"/>
  <c r="AD25" i="1" s="1"/>
  <c r="AC25" i="1"/>
  <c r="D24" i="1"/>
  <c r="AC24" i="1"/>
  <c r="D23" i="1"/>
  <c r="AC23" i="1"/>
  <c r="D22" i="1"/>
  <c r="AC22" i="1"/>
  <c r="D21" i="1"/>
  <c r="AC21" i="1"/>
  <c r="D20" i="1"/>
  <c r="AC20" i="1"/>
  <c r="D19" i="1"/>
  <c r="AC19" i="1"/>
  <c r="D18" i="1"/>
  <c r="AC18" i="1"/>
  <c r="D17" i="1"/>
  <c r="AC17" i="1"/>
  <c r="D16" i="1"/>
  <c r="AC16" i="1"/>
  <c r="D15" i="1"/>
  <c r="AD15" i="1" s="1"/>
  <c r="AC15" i="1"/>
  <c r="D14" i="1"/>
  <c r="AC14" i="1"/>
  <c r="D13" i="1"/>
  <c r="AC13" i="1"/>
  <c r="D12" i="1"/>
  <c r="AC12" i="1"/>
  <c r="D11" i="1"/>
  <c r="AC11" i="1"/>
  <c r="D10" i="1"/>
  <c r="AC10" i="1"/>
  <c r="D9" i="1"/>
  <c r="AD9" i="1" s="1"/>
  <c r="AC9" i="1"/>
  <c r="D8" i="1"/>
  <c r="AC8" i="1"/>
  <c r="D7" i="1"/>
  <c r="AC7" i="1"/>
  <c r="D5" i="1"/>
  <c r="AC5" i="1"/>
  <c r="AC36" i="1" s="1"/>
  <c r="AD36" i="1" s="1"/>
  <c r="AC6" i="1"/>
  <c r="S36" i="8"/>
  <c r="T36" i="8"/>
  <c r="G9" i="15"/>
  <c r="F36" i="8"/>
  <c r="G36" i="8" s="1"/>
  <c r="C9" i="15"/>
  <c r="AC20" i="6"/>
  <c r="Y36" i="8"/>
  <c r="Z36" i="8" s="1"/>
  <c r="I9" i="15" s="1"/>
  <c r="L36" i="8"/>
  <c r="M36" i="8" s="1"/>
  <c r="E9" i="15" s="1"/>
  <c r="Q8" i="13"/>
  <c r="T7" i="13"/>
  <c r="W6" i="13"/>
  <c r="Z5" i="13"/>
  <c r="G7" i="13"/>
  <c r="G36" i="13" s="1"/>
  <c r="C4" i="15" s="1"/>
  <c r="J6" i="13"/>
  <c r="M5" i="13"/>
  <c r="S35" i="14"/>
  <c r="M6" i="14"/>
  <c r="L35" i="14"/>
  <c r="J5" i="14"/>
  <c r="I35" i="14"/>
  <c r="Q17" i="14"/>
  <c r="P35" i="14"/>
  <c r="Y35" i="14"/>
  <c r="G6" i="14"/>
  <c r="W5" i="14"/>
  <c r="C35" i="14"/>
  <c r="W6" i="1"/>
  <c r="V36" i="1"/>
  <c r="J6" i="1"/>
  <c r="I36" i="1"/>
  <c r="Z5" i="1"/>
  <c r="Z36" i="1" s="1"/>
  <c r="I5" i="15" s="1"/>
  <c r="Y36" i="1"/>
  <c r="M5" i="1"/>
  <c r="L36" i="1"/>
  <c r="W6" i="4"/>
  <c r="W34" i="4"/>
  <c r="H6" i="15" s="1"/>
  <c r="V34" i="4"/>
  <c r="J6" i="4"/>
  <c r="J34" i="4" s="1"/>
  <c r="D6" i="15" s="1"/>
  <c r="I34" i="4"/>
  <c r="Z5" i="4"/>
  <c r="Z34" i="4"/>
  <c r="I6" i="15" s="1"/>
  <c r="Y34" i="4"/>
  <c r="M5" i="4"/>
  <c r="M34" i="4" s="1"/>
  <c r="E6" i="15" s="1"/>
  <c r="L34" i="4"/>
  <c r="D35" i="6"/>
  <c r="AC35" i="6"/>
  <c r="D33" i="6"/>
  <c r="AC33" i="6"/>
  <c r="D31" i="6"/>
  <c r="AD31" i="6" s="1"/>
  <c r="AC31" i="6"/>
  <c r="D29" i="6"/>
  <c r="AC29" i="6"/>
  <c r="D27" i="6"/>
  <c r="AC27" i="6"/>
  <c r="D25" i="6"/>
  <c r="AC25" i="6"/>
  <c r="D23" i="6"/>
  <c r="AC23" i="6"/>
  <c r="Z22" i="6"/>
  <c r="Y36" i="6"/>
  <c r="M22" i="6"/>
  <c r="L36" i="6"/>
  <c r="Q21" i="6"/>
  <c r="P36" i="6"/>
  <c r="D21" i="6"/>
  <c r="AC21" i="6"/>
  <c r="Q6" i="1"/>
  <c r="P36" i="1"/>
  <c r="D6" i="1"/>
  <c r="C36" i="1"/>
  <c r="T5" i="1"/>
  <c r="S36" i="1"/>
  <c r="G5" i="1"/>
  <c r="G36" i="1"/>
  <c r="C5" i="15" s="1"/>
  <c r="F36" i="1"/>
  <c r="Q6" i="4"/>
  <c r="Q34" i="4" s="1"/>
  <c r="F6" i="15" s="1"/>
  <c r="P34" i="4"/>
  <c r="D6" i="4"/>
  <c r="C34" i="4"/>
  <c r="T5" i="4"/>
  <c r="T34" i="4"/>
  <c r="G6" i="15" s="1"/>
  <c r="S34" i="4"/>
  <c r="G5" i="4"/>
  <c r="G34" i="4"/>
  <c r="C6" i="15" s="1"/>
  <c r="F34" i="4"/>
  <c r="T22" i="6"/>
  <c r="S36" i="6"/>
  <c r="G22" i="6"/>
  <c r="F36" i="6"/>
  <c r="W21" i="6"/>
  <c r="V36" i="6"/>
  <c r="J21" i="6"/>
  <c r="I36" i="6"/>
  <c r="C18" i="6"/>
  <c r="AB18" i="6"/>
  <c r="T6" i="7"/>
  <c r="S35" i="7"/>
  <c r="G6" i="7"/>
  <c r="F35" i="7"/>
  <c r="W5" i="7"/>
  <c r="V35" i="7"/>
  <c r="J5" i="7"/>
  <c r="I35" i="7"/>
  <c r="AD35" i="8"/>
  <c r="AC35" i="8"/>
  <c r="AD33" i="8"/>
  <c r="AC33" i="8"/>
  <c r="AD31" i="8"/>
  <c r="AC31" i="8"/>
  <c r="AD29" i="8"/>
  <c r="AC29" i="8"/>
  <c r="AD27" i="8"/>
  <c r="AC27" i="8"/>
  <c r="AD25" i="8"/>
  <c r="AC25" i="8"/>
  <c r="AD23" i="8"/>
  <c r="AC23" i="8"/>
  <c r="AD21" i="8"/>
  <c r="AC21" i="8"/>
  <c r="AD19" i="8"/>
  <c r="AC19" i="8"/>
  <c r="AD17" i="8"/>
  <c r="AC17" i="8"/>
  <c r="AD15" i="8"/>
  <c r="AC15" i="8"/>
  <c r="AD13" i="8"/>
  <c r="AC13" i="8"/>
  <c r="AD11" i="8"/>
  <c r="AC11" i="8"/>
  <c r="AD9" i="8"/>
  <c r="AC9" i="8"/>
  <c r="AD7" i="8"/>
  <c r="AC7" i="8"/>
  <c r="P36" i="8"/>
  <c r="Q36" i="8"/>
  <c r="F9" i="15" s="1"/>
  <c r="C36" i="8"/>
  <c r="D36" i="8" s="1"/>
  <c r="B9" i="15" s="1"/>
  <c r="I35" i="9"/>
  <c r="J35" i="9"/>
  <c r="D10" i="15" s="1"/>
  <c r="AB35" i="6"/>
  <c r="AC34" i="6"/>
  <c r="AB33" i="6"/>
  <c r="AC32" i="6"/>
  <c r="AB31" i="6"/>
  <c r="AC30" i="6"/>
  <c r="AB29" i="6"/>
  <c r="AC28" i="6"/>
  <c r="AB27" i="6"/>
  <c r="AC26" i="6"/>
  <c r="AB25" i="6"/>
  <c r="AC24" i="6"/>
  <c r="AB23" i="6"/>
  <c r="AC22" i="6"/>
  <c r="AB21" i="6"/>
  <c r="AC16" i="6"/>
  <c r="D19" i="6"/>
  <c r="AD19" i="6" s="1"/>
  <c r="AC19" i="6"/>
  <c r="D17" i="6"/>
  <c r="AC17" i="6"/>
  <c r="D14" i="6"/>
  <c r="AD14" i="6" s="1"/>
  <c r="AC14" i="6"/>
  <c r="D12" i="6"/>
  <c r="AC12" i="6"/>
  <c r="D10" i="6"/>
  <c r="AD10" i="6" s="1"/>
  <c r="AC10" i="6"/>
  <c r="D8" i="6"/>
  <c r="AC8" i="6"/>
  <c r="D6" i="6"/>
  <c r="D36" i="6" s="1"/>
  <c r="B7" i="15" s="1"/>
  <c r="AC6" i="6"/>
  <c r="Z6" i="7"/>
  <c r="Z35" i="7" s="1"/>
  <c r="I8" i="15" s="1"/>
  <c r="Y35" i="7"/>
  <c r="M6" i="7"/>
  <c r="L35" i="7"/>
  <c r="Q5" i="7"/>
  <c r="P35" i="7"/>
  <c r="D5" i="7"/>
  <c r="C35" i="7"/>
  <c r="AD34" i="8"/>
  <c r="AC34" i="8"/>
  <c r="AD32" i="8"/>
  <c r="AC32" i="8"/>
  <c r="AD30" i="8"/>
  <c r="AC30" i="8"/>
  <c r="AD28" i="8"/>
  <c r="AC28" i="8"/>
  <c r="AD26" i="8"/>
  <c r="AC26" i="8"/>
  <c r="AD24" i="8"/>
  <c r="AC24" i="8"/>
  <c r="AD22" i="8"/>
  <c r="AC22" i="8"/>
  <c r="AD20" i="8"/>
  <c r="AC20" i="8"/>
  <c r="AD18" i="8"/>
  <c r="AC18" i="8"/>
  <c r="AD16" i="8"/>
  <c r="AC16" i="8"/>
  <c r="AD14" i="8"/>
  <c r="AC14" i="8"/>
  <c r="AD12" i="8"/>
  <c r="AC12" i="8"/>
  <c r="AD10" i="8"/>
  <c r="AC10" i="8"/>
  <c r="AD8" i="8"/>
  <c r="AC8" i="8"/>
  <c r="AD6" i="8"/>
  <c r="AC6" i="8"/>
  <c r="V36" i="8"/>
  <c r="W36" i="8" s="1"/>
  <c r="H9" i="15" s="1"/>
  <c r="I36" i="8"/>
  <c r="J36" i="8"/>
  <c r="D9" i="15" s="1"/>
  <c r="AB16" i="6"/>
  <c r="AC15" i="6"/>
  <c r="AB14" i="6"/>
  <c r="AC13" i="6"/>
  <c r="AB12" i="6"/>
  <c r="AC11" i="6"/>
  <c r="AB10" i="6"/>
  <c r="AC9" i="6"/>
  <c r="AB8" i="6"/>
  <c r="AC7" i="6"/>
  <c r="AB6" i="6"/>
  <c r="AC5" i="6"/>
  <c r="AB35" i="8"/>
  <c r="AB34" i="8"/>
  <c r="AB33" i="8"/>
  <c r="AB32" i="8"/>
  <c r="AB31" i="8"/>
  <c r="AB30" i="8"/>
  <c r="AB29" i="8"/>
  <c r="AB28" i="8"/>
  <c r="AB27" i="8"/>
  <c r="AB26" i="8"/>
  <c r="AB25" i="8"/>
  <c r="AB24" i="8"/>
  <c r="AB23" i="8"/>
  <c r="AB22" i="8"/>
  <c r="AB21" i="8"/>
  <c r="AB20" i="8"/>
  <c r="AB19" i="8"/>
  <c r="AB18" i="8"/>
  <c r="AB17" i="8"/>
  <c r="AB16" i="8"/>
  <c r="AB15" i="8"/>
  <c r="AB14" i="8"/>
  <c r="AB13" i="8"/>
  <c r="AB12" i="8"/>
  <c r="AB11" i="8"/>
  <c r="AB10" i="8"/>
  <c r="AB9" i="8"/>
  <c r="AB8" i="8"/>
  <c r="AB7" i="8"/>
  <c r="AB6" i="8"/>
  <c r="AC8" i="12"/>
  <c r="AC17" i="11"/>
  <c r="AD7" i="12"/>
  <c r="AB27" i="5"/>
  <c r="AB25" i="5"/>
  <c r="AB23" i="5"/>
  <c r="AB21" i="5"/>
  <c r="AC35" i="14"/>
  <c r="AD19" i="7"/>
  <c r="AD27" i="7"/>
  <c r="AD31" i="7"/>
  <c r="AF35" i="6"/>
  <c r="AF20" i="6"/>
  <c r="AD8" i="7"/>
  <c r="AD16" i="7"/>
  <c r="AF28" i="6"/>
  <c r="AD7" i="6"/>
  <c r="AD28" i="6"/>
  <c r="AD23" i="6"/>
  <c r="AD23" i="1"/>
  <c r="AD27" i="1"/>
  <c r="AD31" i="1"/>
  <c r="AF11" i="6"/>
  <c r="AF32" i="6"/>
  <c r="AD11" i="6"/>
  <c r="AF34" i="6"/>
  <c r="AF19" i="6"/>
  <c r="AF29" i="6"/>
  <c r="AF26" i="6"/>
  <c r="AF23" i="6"/>
  <c r="AF30" i="6"/>
  <c r="AD9" i="6"/>
  <c r="AD26" i="6"/>
  <c r="AD20" i="6"/>
  <c r="AF15" i="6"/>
  <c r="AF18" i="6"/>
  <c r="AF27" i="6"/>
  <c r="AD32" i="6"/>
  <c r="AD8" i="6"/>
  <c r="AD17" i="6"/>
  <c r="AD27" i="6"/>
  <c r="AD29" i="6"/>
  <c r="AD35" i="6"/>
  <c r="AD17" i="7"/>
  <c r="AD21" i="7"/>
  <c r="AD25" i="7"/>
  <c r="AD29" i="7"/>
  <c r="AD33" i="7"/>
  <c r="AD5" i="6"/>
  <c r="AF7" i="6"/>
  <c r="AF14" i="6"/>
  <c r="AF16" i="6"/>
  <c r="AD30" i="6"/>
  <c r="AD34" i="6"/>
  <c r="AD15" i="6"/>
  <c r="AD24" i="6"/>
  <c r="AF31" i="6"/>
  <c r="AF33" i="6"/>
  <c r="Q36" i="6"/>
  <c r="F7" i="15" s="1"/>
  <c r="Z36" i="6"/>
  <c r="I7" i="15" s="1"/>
  <c r="AD25" i="6"/>
  <c r="AD13" i="1"/>
  <c r="AD17" i="1"/>
  <c r="AD21" i="1"/>
  <c r="AD29" i="1"/>
  <c r="AD33" i="1"/>
  <c r="AD12" i="6"/>
  <c r="AD16" i="6"/>
  <c r="AF24" i="6"/>
  <c r="M36" i="6"/>
  <c r="E7" i="15"/>
  <c r="AD13" i="6"/>
  <c r="AD7" i="1"/>
  <c r="AD11" i="1"/>
  <c r="AC34" i="4"/>
  <c r="AD19" i="1"/>
  <c r="J35" i="7"/>
  <c r="D8" i="15" s="1"/>
  <c r="W35" i="7"/>
  <c r="H8" i="15" s="1"/>
  <c r="G35" i="7"/>
  <c r="C8" i="15" s="1"/>
  <c r="T35" i="7"/>
  <c r="G8" i="15" s="1"/>
  <c r="J36" i="6"/>
  <c r="D7" i="15" s="1"/>
  <c r="W36" i="6"/>
  <c r="H7" i="15" s="1"/>
  <c r="G36" i="6"/>
  <c r="C7" i="15" s="1"/>
  <c r="Q36" i="1"/>
  <c r="F5" i="15" s="1"/>
  <c r="Q35" i="7"/>
  <c r="F8" i="15" s="1"/>
  <c r="M36" i="13"/>
  <c r="E4" i="15" s="1"/>
  <c r="Z36" i="13"/>
  <c r="I4" i="15" s="1"/>
  <c r="AD21" i="6"/>
  <c r="M36" i="1"/>
  <c r="E5" i="15"/>
  <c r="AD5" i="1"/>
  <c r="AD8" i="1"/>
  <c r="AD10" i="1"/>
  <c r="AD12" i="1"/>
  <c r="AD14" i="1"/>
  <c r="AD16" i="1"/>
  <c r="AD18" i="1"/>
  <c r="AD20" i="1"/>
  <c r="AD22" i="1"/>
  <c r="AD24" i="1"/>
  <c r="AD26" i="1"/>
  <c r="AD28" i="1"/>
  <c r="AD30" i="1"/>
  <c r="AD32" i="1"/>
  <c r="AD34" i="1"/>
  <c r="AD6" i="7"/>
  <c r="T36" i="1"/>
  <c r="G5" i="15"/>
  <c r="J36" i="1"/>
  <c r="D5" i="15"/>
  <c r="W36" i="1"/>
  <c r="H5" i="15"/>
  <c r="AC8" i="13"/>
  <c r="AD7" i="7"/>
  <c r="AD14" i="7"/>
  <c r="AD15" i="7"/>
  <c r="AD18" i="7"/>
  <c r="AD20" i="7"/>
  <c r="AD22" i="7"/>
  <c r="AD26" i="7"/>
  <c r="AD28" i="7"/>
  <c r="AD30" i="7"/>
  <c r="AD34" i="7"/>
  <c r="J35" i="14"/>
  <c r="D3" i="15"/>
  <c r="M35" i="7"/>
  <c r="E8" i="15"/>
  <c r="AC35" i="7"/>
  <c r="AF22" i="6"/>
  <c r="AD5" i="14"/>
  <c r="D5" i="13"/>
  <c r="AC5" i="13"/>
  <c r="D6" i="13"/>
  <c r="AD6" i="13"/>
  <c r="D7" i="13"/>
  <c r="AD7" i="13"/>
  <c r="AC7" i="13"/>
  <c r="AC9" i="13"/>
  <c r="D10" i="13"/>
  <c r="AD10" i="13" s="1"/>
  <c r="AC10" i="13"/>
  <c r="D11" i="13"/>
  <c r="AD11" i="13"/>
  <c r="D12" i="13"/>
  <c r="AD12" i="13"/>
  <c r="AC12" i="13"/>
  <c r="AC13" i="13"/>
  <c r="D14" i="13"/>
  <c r="AD14" i="13" s="1"/>
  <c r="AC14" i="13"/>
  <c r="D15" i="13"/>
  <c r="AD15" i="13"/>
  <c r="D16" i="13"/>
  <c r="AD16" i="13"/>
  <c r="AC16" i="13"/>
  <c r="AC17" i="13"/>
  <c r="D18" i="13"/>
  <c r="AD18" i="13" s="1"/>
  <c r="AC18" i="13"/>
  <c r="D19" i="13"/>
  <c r="AD19" i="13"/>
  <c r="D20" i="13"/>
  <c r="AD20" i="13"/>
  <c r="AC20" i="13"/>
  <c r="AC21" i="13"/>
  <c r="D22" i="13"/>
  <c r="AD22" i="13" s="1"/>
  <c r="AC22" i="13"/>
  <c r="D23" i="13"/>
  <c r="AD23" i="13"/>
  <c r="D24" i="13"/>
  <c r="AD24" i="13"/>
  <c r="AC24" i="13"/>
  <c r="AC25" i="13"/>
  <c r="D26" i="13"/>
  <c r="AD26" i="13" s="1"/>
  <c r="AC26" i="13"/>
  <c r="D27" i="13"/>
  <c r="AD27" i="13"/>
  <c r="D28" i="13"/>
  <c r="AD28" i="13"/>
  <c r="AC28" i="13"/>
  <c r="AC29" i="13"/>
  <c r="D30" i="13"/>
  <c r="AD30" i="13" s="1"/>
  <c r="AC30" i="13"/>
  <c r="D31" i="13"/>
  <c r="AD31" i="13"/>
  <c r="D32" i="13"/>
  <c r="AD32" i="13"/>
  <c r="AC32" i="13"/>
  <c r="AC33" i="13"/>
  <c r="D34" i="13"/>
  <c r="AD34" i="13" s="1"/>
  <c r="AC34" i="13"/>
  <c r="D35" i="13"/>
  <c r="AD35" i="13"/>
  <c r="Q36" i="13"/>
  <c r="F4" i="15" s="1"/>
  <c r="W36" i="13"/>
  <c r="H4" i="15"/>
  <c r="AD17" i="14"/>
  <c r="D35" i="7"/>
  <c r="AD5" i="7"/>
  <c r="AD6" i="4"/>
  <c r="D36" i="1"/>
  <c r="B5" i="15" s="1"/>
  <c r="AD6" i="1"/>
  <c r="D18" i="6"/>
  <c r="AD18" i="6"/>
  <c r="AC18" i="6"/>
  <c r="AC36" i="6"/>
  <c r="AD36" i="6"/>
  <c r="C36" i="6"/>
  <c r="T36" i="6"/>
  <c r="G7" i="15"/>
  <c r="AD6" i="6"/>
  <c r="AC36" i="8"/>
  <c r="AD36" i="8" s="1"/>
  <c r="AF21" i="6"/>
  <c r="B8" i="15"/>
  <c r="B6" i="15" l="1"/>
  <c r="AD34" i="4"/>
  <c r="T35" i="14"/>
  <c r="G3" i="15" s="1"/>
  <c r="AD8" i="13"/>
  <c r="D36" i="13"/>
  <c r="B4" i="15" s="1"/>
  <c r="AF36" i="6"/>
  <c r="AD36" i="13"/>
  <c r="W35" i="14"/>
  <c r="H3" i="15" s="1"/>
  <c r="AD13" i="14"/>
  <c r="D35" i="14"/>
  <c r="AD32" i="14"/>
  <c r="Q35" i="14"/>
  <c r="F3" i="15" s="1"/>
  <c r="Z35" i="14"/>
  <c r="I3" i="15" s="1"/>
  <c r="AC33" i="14"/>
  <c r="P36" i="13"/>
  <c r="Q27" i="14"/>
  <c r="AD27" i="14" s="1"/>
  <c r="AC21" i="14"/>
  <c r="G10" i="14"/>
  <c r="G35" i="14" s="1"/>
  <c r="C3" i="15" s="1"/>
  <c r="AD18" i="14"/>
  <c r="AC25" i="14"/>
  <c r="AD35" i="7"/>
  <c r="AC6" i="13"/>
  <c r="AC36" i="13" s="1"/>
  <c r="V35" i="14"/>
  <c r="V36" i="13"/>
  <c r="AC19" i="14"/>
  <c r="L36" i="13"/>
  <c r="AC29" i="14"/>
  <c r="AC5" i="14"/>
  <c r="F36" i="13"/>
  <c r="AD26" i="12"/>
  <c r="AC7" i="5"/>
  <c r="AC20" i="5"/>
  <c r="AC9" i="5"/>
  <c r="AC31" i="12"/>
  <c r="AC33" i="5"/>
  <c r="AC22" i="11"/>
  <c r="AC35" i="5"/>
  <c r="AC34" i="5"/>
  <c r="AB8" i="9"/>
  <c r="AB9" i="12"/>
  <c r="AC29" i="5"/>
  <c r="AC25" i="5"/>
  <c r="AC30" i="5"/>
  <c r="AC28" i="5"/>
  <c r="AC27" i="5"/>
  <c r="AC32" i="5"/>
  <c r="AC31" i="5"/>
  <c r="AF16" i="5"/>
  <c r="AD9" i="9"/>
  <c r="AD31" i="11"/>
  <c r="Z36" i="5"/>
  <c r="I14" i="15" s="1"/>
  <c r="AC21" i="5"/>
  <c r="AC13" i="5"/>
  <c r="AF9" i="5"/>
  <c r="AB23" i="12"/>
  <c r="AC26" i="5"/>
  <c r="AC22" i="5"/>
  <c r="AC11" i="5"/>
  <c r="V36" i="5"/>
  <c r="AD30" i="11"/>
  <c r="AC5" i="9"/>
  <c r="AC24" i="5"/>
  <c r="AB17" i="11"/>
  <c r="AF18" i="16"/>
  <c r="G36" i="5"/>
  <c r="C14" i="15" s="1"/>
  <c r="AF30" i="11"/>
  <c r="AD22" i="11"/>
  <c r="AC15" i="5"/>
  <c r="AB5" i="9"/>
  <c r="AC26" i="12"/>
  <c r="AB26" i="12"/>
  <c r="AF8" i="5"/>
  <c r="AD20" i="5"/>
  <c r="AF20" i="5"/>
  <c r="AF31" i="11"/>
  <c r="AF19" i="5"/>
  <c r="AC5" i="5"/>
  <c r="AB20" i="11"/>
  <c r="C36" i="5"/>
  <c r="AC12" i="5"/>
  <c r="AB8" i="11"/>
  <c r="AB17" i="12"/>
  <c r="AC19" i="5"/>
  <c r="AB22" i="11"/>
  <c r="AC5" i="11"/>
  <c r="AC16" i="5"/>
  <c r="AB5" i="11"/>
  <c r="AB7" i="9"/>
  <c r="AD18" i="11"/>
  <c r="AC17" i="5"/>
  <c r="AC13" i="11"/>
  <c r="I36" i="5"/>
  <c r="AB29" i="12"/>
  <c r="AC8" i="5"/>
  <c r="AF19" i="16"/>
  <c r="AB10" i="9"/>
  <c r="AF30" i="12"/>
  <c r="AF17" i="12"/>
  <c r="AF17" i="5"/>
  <c r="AF23" i="5"/>
  <c r="AF22" i="5"/>
  <c r="AF6" i="5"/>
  <c r="AF14" i="5"/>
  <c r="AF12" i="5"/>
  <c r="AF26" i="5"/>
  <c r="AF15" i="5"/>
  <c r="AF10" i="5"/>
  <c r="AF7" i="5"/>
  <c r="AF25" i="5"/>
  <c r="AF21" i="5"/>
  <c r="AF13" i="5"/>
  <c r="AF11" i="5"/>
  <c r="AF24" i="5"/>
  <c r="AD18" i="5"/>
  <c r="AF18" i="5"/>
  <c r="AC23" i="5"/>
  <c r="P36" i="5"/>
  <c r="AC6" i="5"/>
  <c r="AF35" i="5"/>
  <c r="AF34" i="5"/>
  <c r="AF33" i="5"/>
  <c r="AF32" i="5"/>
  <c r="AF31" i="5"/>
  <c r="AF30" i="5"/>
  <c r="AF29" i="5"/>
  <c r="AF28" i="5"/>
  <c r="AF27" i="5"/>
  <c r="AD25" i="5"/>
  <c r="AD19" i="5"/>
  <c r="AD15" i="5"/>
  <c r="AD11" i="5"/>
  <c r="AD7" i="5"/>
  <c r="AD23" i="5"/>
  <c r="AD21" i="5"/>
  <c r="AC18" i="5"/>
  <c r="AC10" i="5"/>
  <c r="AD24" i="5"/>
  <c r="AD16" i="5"/>
  <c r="AD12" i="5"/>
  <c r="AD8" i="5"/>
  <c r="AD14" i="5"/>
  <c r="AD10" i="5"/>
  <c r="AD6" i="5"/>
  <c r="AD22" i="5"/>
  <c r="AC14" i="5"/>
  <c r="AD26" i="5"/>
  <c r="AD17" i="5"/>
  <c r="AD13" i="5"/>
  <c r="AD9" i="5"/>
  <c r="AF5" i="5"/>
  <c r="AD5" i="5"/>
  <c r="M36" i="5"/>
  <c r="E14" i="15" s="1"/>
  <c r="F36" i="5"/>
  <c r="J36" i="5"/>
  <c r="D14" i="15" s="1"/>
  <c r="W36" i="5"/>
  <c r="H14" i="15" s="1"/>
  <c r="AD35" i="5"/>
  <c r="AD34" i="5"/>
  <c r="AD33" i="5"/>
  <c r="AD32" i="5"/>
  <c r="AD31" i="5"/>
  <c r="AD30" i="5"/>
  <c r="AD29" i="5"/>
  <c r="AD28" i="5"/>
  <c r="Q36" i="5"/>
  <c r="F14" i="15" s="1"/>
  <c r="AD27" i="5"/>
  <c r="T36" i="5"/>
  <c r="G14" i="15" s="1"/>
  <c r="D36" i="5"/>
  <c r="B14" i="15" s="1"/>
  <c r="Y36" i="5"/>
  <c r="L36" i="5"/>
  <c r="S36" i="5"/>
  <c r="AF24" i="12"/>
  <c r="AD19" i="11"/>
  <c r="AF11" i="12"/>
  <c r="AB12" i="11"/>
  <c r="AB33" i="11"/>
  <c r="AB12" i="12"/>
  <c r="AB25" i="9"/>
  <c r="AD6" i="11"/>
  <c r="AD32" i="12"/>
  <c r="AB13" i="9"/>
  <c r="AB5" i="16"/>
  <c r="AD23" i="11"/>
  <c r="AF21" i="11"/>
  <c r="AD33" i="11"/>
  <c r="AB34" i="11"/>
  <c r="AC13" i="12"/>
  <c r="AB24" i="12"/>
  <c r="AC18" i="11"/>
  <c r="AF24" i="16"/>
  <c r="AH25" i="16"/>
  <c r="AD26" i="11"/>
  <c r="AD24" i="11"/>
  <c r="AD14" i="12"/>
  <c r="AF7" i="12"/>
  <c r="AH20" i="16"/>
  <c r="D23" i="16"/>
  <c r="AH23" i="16" s="1"/>
  <c r="AG23" i="16"/>
  <c r="AC6" i="11"/>
  <c r="AB23" i="11"/>
  <c r="AB6" i="11"/>
  <c r="AB22" i="9"/>
  <c r="AH21" i="16"/>
  <c r="AH8" i="16"/>
  <c r="AD8" i="9"/>
  <c r="AB14" i="11"/>
  <c r="AB24" i="11"/>
  <c r="AF20" i="16"/>
  <c r="AF33" i="11"/>
  <c r="AF26" i="11"/>
  <c r="AF26" i="12"/>
  <c r="AD19" i="12"/>
  <c r="AB33" i="12"/>
  <c r="AC33" i="11"/>
  <c r="AB9" i="11"/>
  <c r="AB34" i="12"/>
  <c r="AF23" i="16"/>
  <c r="AF5" i="16"/>
  <c r="AB21" i="9"/>
  <c r="AB11" i="9"/>
  <c r="AF29" i="11"/>
  <c r="AF14" i="11"/>
  <c r="AF10" i="11"/>
  <c r="AD23" i="12"/>
  <c r="D16" i="12"/>
  <c r="AD16" i="12" s="1"/>
  <c r="AC16" i="12"/>
  <c r="Q24" i="16"/>
  <c r="AH24" i="16" s="1"/>
  <c r="AG24" i="16"/>
  <c r="AD20" i="11"/>
  <c r="AC34" i="12"/>
  <c r="AC21" i="11"/>
  <c r="AB26" i="11"/>
  <c r="AC20" i="11"/>
  <c r="AC24" i="11"/>
  <c r="AC28" i="11"/>
  <c r="AB21" i="11"/>
  <c r="AB32" i="12"/>
  <c r="AB22" i="12"/>
  <c r="AB16" i="12"/>
  <c r="AG21" i="16"/>
  <c r="AB16" i="9"/>
  <c r="AB9" i="9"/>
  <c r="AF6" i="11"/>
  <c r="AF31" i="12"/>
  <c r="AD31" i="12"/>
  <c r="AF25" i="12"/>
  <c r="AF20" i="12"/>
  <c r="AB18" i="11"/>
  <c r="AC29" i="11"/>
  <c r="AC14" i="12"/>
  <c r="AC22" i="12"/>
  <c r="AC19" i="12"/>
  <c r="AB31" i="11"/>
  <c r="AB19" i="11"/>
  <c r="AB21" i="12"/>
  <c r="AB14" i="12"/>
  <c r="AF10" i="16"/>
  <c r="AF21" i="16"/>
  <c r="AC8" i="9"/>
  <c r="AB14" i="9"/>
  <c r="AH15" i="16"/>
  <c r="AH14" i="16"/>
  <c r="AH13" i="16"/>
  <c r="AH7" i="16"/>
  <c r="AF24" i="11"/>
  <c r="AF23" i="11"/>
  <c r="AF22" i="11"/>
  <c r="AD8" i="11"/>
  <c r="AF7" i="11"/>
  <c r="AD7" i="11"/>
  <c r="AF22" i="12"/>
  <c r="AC32" i="12"/>
  <c r="AC19" i="11"/>
  <c r="AC23" i="11"/>
  <c r="AC31" i="11"/>
  <c r="AC26" i="11"/>
  <c r="AC8" i="11"/>
  <c r="AB29" i="11"/>
  <c r="AB19" i="12"/>
  <c r="AF9" i="16"/>
  <c r="AF32" i="16"/>
  <c r="AF13" i="16"/>
  <c r="AF8" i="16"/>
  <c r="AC9" i="9"/>
  <c r="AB26" i="9"/>
  <c r="AF32" i="11"/>
  <c r="AF25" i="11"/>
  <c r="AF16" i="11"/>
  <c r="AF12" i="11"/>
  <c r="AF23" i="12"/>
  <c r="AF13" i="12"/>
  <c r="AF15" i="11"/>
  <c r="AD15" i="11"/>
  <c r="Q32" i="16"/>
  <c r="AH32" i="16" s="1"/>
  <c r="AG32" i="16"/>
  <c r="D25" i="12"/>
  <c r="AD25" i="12" s="1"/>
  <c r="AC25" i="12"/>
  <c r="Q15" i="12"/>
  <c r="AC15" i="12"/>
  <c r="D11" i="12"/>
  <c r="AD11" i="12" s="1"/>
  <c r="AC11" i="12"/>
  <c r="AD13" i="12"/>
  <c r="AB35" i="11"/>
  <c r="AB25" i="11"/>
  <c r="AB25" i="12"/>
  <c r="AB15" i="12"/>
  <c r="AB11" i="12"/>
  <c r="AG15" i="16"/>
  <c r="AF35" i="16"/>
  <c r="AF7" i="16"/>
  <c r="AF15" i="16"/>
  <c r="AB17" i="9"/>
  <c r="P5" i="16"/>
  <c r="Q5" i="16" s="1"/>
  <c r="AD5" i="16" s="1"/>
  <c r="AD28" i="11"/>
  <c r="AF20" i="11"/>
  <c r="AF19" i="11"/>
  <c r="AF18" i="11"/>
  <c r="AF8" i="11"/>
  <c r="AD5" i="12"/>
  <c r="AF32" i="12"/>
  <c r="AF27" i="12"/>
  <c r="AF14" i="12"/>
  <c r="AF6" i="12"/>
  <c r="AB31" i="12"/>
  <c r="AC9" i="11"/>
  <c r="AB16" i="11"/>
  <c r="AB30" i="11"/>
  <c r="AC35" i="11"/>
  <c r="AC29" i="12"/>
  <c r="AC10" i="11"/>
  <c r="AC30" i="12"/>
  <c r="AB15" i="11"/>
  <c r="AB7" i="11"/>
  <c r="AF11" i="16"/>
  <c r="AG20" i="16"/>
  <c r="AF35" i="11"/>
  <c r="AD24" i="12"/>
  <c r="AC25" i="11"/>
  <c r="AD29" i="11"/>
  <c r="AC12" i="11"/>
  <c r="AC30" i="11"/>
  <c r="AC7" i="11"/>
  <c r="AB13" i="11"/>
  <c r="AB30" i="12"/>
  <c r="AB13" i="12"/>
  <c r="AF12" i="16"/>
  <c r="AF26" i="16"/>
  <c r="AC13" i="9"/>
  <c r="AB34" i="9"/>
  <c r="AB19" i="9"/>
  <c r="AF29" i="12"/>
  <c r="Q30" i="16"/>
  <c r="AH30" i="16" s="1"/>
  <c r="AG30" i="16"/>
  <c r="Q17" i="9"/>
  <c r="AD17" i="9" s="1"/>
  <c r="AC17" i="9"/>
  <c r="AF17" i="11"/>
  <c r="AG25" i="16"/>
  <c r="AF25" i="16"/>
  <c r="AD16" i="9"/>
  <c r="AC23" i="12"/>
  <c r="AC27" i="12"/>
  <c r="AC5" i="12"/>
  <c r="AB5" i="12"/>
  <c r="AC19" i="9"/>
  <c r="AD24" i="9"/>
  <c r="AB28" i="11"/>
  <c r="AF5" i="12"/>
  <c r="AD27" i="12"/>
  <c r="AB27" i="12"/>
  <c r="AF30" i="16"/>
  <c r="AD19" i="9"/>
  <c r="AD34" i="12"/>
  <c r="AF33" i="12"/>
  <c r="AF27" i="11"/>
  <c r="AD25" i="11"/>
  <c r="Q9" i="12"/>
  <c r="AC9" i="12"/>
  <c r="J7" i="12"/>
  <c r="I35" i="12"/>
  <c r="J35" i="12" s="1"/>
  <c r="D13" i="15" s="1"/>
  <c r="AC16" i="9"/>
  <c r="C23" i="9"/>
  <c r="D23" i="9" s="1"/>
  <c r="AD23" i="9" s="1"/>
  <c r="AB23" i="9"/>
  <c r="C20" i="9"/>
  <c r="AB20" i="9"/>
  <c r="P33" i="16"/>
  <c r="Q33" i="16" s="1"/>
  <c r="AH33" i="16" s="1"/>
  <c r="AF33" i="16"/>
  <c r="D29" i="16"/>
  <c r="AH29" i="16" s="1"/>
  <c r="AG29" i="16"/>
  <c r="C27" i="16"/>
  <c r="AF27" i="16"/>
  <c r="Q26" i="16"/>
  <c r="AH26" i="16" s="1"/>
  <c r="AG26" i="16"/>
  <c r="Q34" i="11"/>
  <c r="AC34" i="11"/>
  <c r="Q21" i="12"/>
  <c r="AC21" i="12"/>
  <c r="C20" i="12"/>
  <c r="C35" i="12" s="1"/>
  <c r="AB20" i="12"/>
  <c r="D17" i="12"/>
  <c r="AD17" i="12" s="1"/>
  <c r="AC17" i="12"/>
  <c r="Q12" i="12"/>
  <c r="AC12" i="12"/>
  <c r="P10" i="12"/>
  <c r="P35" i="12" s="1"/>
  <c r="Q35" i="12" s="1"/>
  <c r="F13" i="15" s="1"/>
  <c r="AB10" i="12"/>
  <c r="D25" i="9"/>
  <c r="AD25" i="9" s="1"/>
  <c r="AC25" i="9"/>
  <c r="P28" i="16"/>
  <c r="AF28" i="16"/>
  <c r="U35" i="12"/>
  <c r="V9" i="12"/>
  <c r="W9" i="12" s="1"/>
  <c r="AF14" i="16"/>
  <c r="AB24" i="9"/>
  <c r="P32" i="9"/>
  <c r="Q32" i="9" s="1"/>
  <c r="AB32" i="9"/>
  <c r="D14" i="9"/>
  <c r="AD14" i="9" s="1"/>
  <c r="AC14" i="9"/>
  <c r="AD13" i="9"/>
  <c r="D11" i="9"/>
  <c r="AD11" i="9" s="1"/>
  <c r="AC11" i="9"/>
  <c r="D10" i="9"/>
  <c r="AD10" i="9" s="1"/>
  <c r="AC10" i="9"/>
  <c r="P16" i="16"/>
  <c r="AF16" i="16"/>
  <c r="D22" i="9"/>
  <c r="AD22" i="9" s="1"/>
  <c r="AC22" i="9"/>
  <c r="D21" i="9"/>
  <c r="AD21" i="9" s="1"/>
  <c r="AC21" i="9"/>
  <c r="C31" i="16"/>
  <c r="AF31" i="16"/>
  <c r="E35" i="12"/>
  <c r="AF29" i="16"/>
  <c r="C18" i="9"/>
  <c r="AB18" i="9"/>
  <c r="C15" i="9"/>
  <c r="AB15" i="9"/>
  <c r="C12" i="9"/>
  <c r="AB12" i="9"/>
  <c r="Q7" i="9"/>
  <c r="AD7" i="9" s="1"/>
  <c r="AC7" i="9"/>
  <c r="C6" i="9"/>
  <c r="AB6" i="9"/>
  <c r="D35" i="16"/>
  <c r="AH35" i="16" s="1"/>
  <c r="AG35" i="16"/>
  <c r="C34" i="16"/>
  <c r="D34" i="16" s="1"/>
  <c r="AF34" i="16"/>
  <c r="P22" i="16"/>
  <c r="AF22" i="16"/>
  <c r="C17" i="16"/>
  <c r="D17" i="16" s="1"/>
  <c r="AH17" i="16" s="1"/>
  <c r="AF17" i="16"/>
  <c r="Q12" i="16"/>
  <c r="AH12" i="16" s="1"/>
  <c r="AG12" i="16"/>
  <c r="D11" i="16"/>
  <c r="AH11" i="16" s="1"/>
  <c r="AG11" i="16"/>
  <c r="G9" i="16"/>
  <c r="F36" i="16"/>
  <c r="G36" i="16" s="1"/>
  <c r="C6" i="16"/>
  <c r="AF6" i="16"/>
  <c r="C32" i="11"/>
  <c r="AB32" i="11"/>
  <c r="C27" i="11"/>
  <c r="AB27" i="11"/>
  <c r="D16" i="11"/>
  <c r="AD16" i="11" s="1"/>
  <c r="AC16" i="11"/>
  <c r="D14" i="11"/>
  <c r="AD14" i="11" s="1"/>
  <c r="AC14" i="11"/>
  <c r="J13" i="11"/>
  <c r="I36" i="11"/>
  <c r="J36" i="11" s="1"/>
  <c r="D12" i="15" s="1"/>
  <c r="P11" i="11"/>
  <c r="AC11" i="11" s="1"/>
  <c r="AB11" i="11"/>
  <c r="AF34" i="12"/>
  <c r="D33" i="12"/>
  <c r="AD33" i="12" s="1"/>
  <c r="AC33" i="12"/>
  <c r="AB30" i="9"/>
  <c r="Y36" i="11"/>
  <c r="Z36" i="11" s="1"/>
  <c r="I12" i="15" s="1"/>
  <c r="L35" i="9"/>
  <c r="M35" i="9" s="1"/>
  <c r="E10" i="15" s="1"/>
  <c r="E17" i="15" s="1"/>
  <c r="AH34" i="16"/>
  <c r="AH19" i="16"/>
  <c r="AH18" i="16"/>
  <c r="AF28" i="11"/>
  <c r="AB33" i="9"/>
  <c r="AB29" i="9"/>
  <c r="AB27" i="9"/>
  <c r="AD21" i="11"/>
  <c r="AF13" i="11"/>
  <c r="AD12" i="11"/>
  <c r="AD10" i="11"/>
  <c r="AF9" i="11"/>
  <c r="AD30" i="12"/>
  <c r="AF28" i="12"/>
  <c r="G35" i="12"/>
  <c r="C13" i="15" s="1"/>
  <c r="AF19" i="12"/>
  <c r="AF18" i="12"/>
  <c r="AF16" i="12"/>
  <c r="AF8" i="12"/>
  <c r="L36" i="16"/>
  <c r="M36" i="16" s="1"/>
  <c r="E11" i="15" s="1"/>
  <c r="AD5" i="11"/>
  <c r="S36" i="16"/>
  <c r="T36" i="16" s="1"/>
  <c r="G11" i="15" s="1"/>
  <c r="AH10" i="16"/>
  <c r="AH9" i="16"/>
  <c r="T5" i="9"/>
  <c r="S35" i="9"/>
  <c r="T35" i="9" s="1"/>
  <c r="G10" i="15" s="1"/>
  <c r="G5" i="9"/>
  <c r="F35" i="9"/>
  <c r="G35" i="9" s="1"/>
  <c r="D34" i="9"/>
  <c r="AD34" i="9" s="1"/>
  <c r="AC34" i="9"/>
  <c r="D32" i="9"/>
  <c r="D28" i="9"/>
  <c r="AD28" i="9" s="1"/>
  <c r="AC28" i="9"/>
  <c r="AD5" i="9"/>
  <c r="Y36" i="16"/>
  <c r="Z36" i="16" s="1"/>
  <c r="I11" i="15" s="1"/>
  <c r="Z5" i="16"/>
  <c r="W5" i="16"/>
  <c r="V36" i="16"/>
  <c r="W36" i="16" s="1"/>
  <c r="H11" i="15" s="1"/>
  <c r="J5" i="16"/>
  <c r="I36" i="16"/>
  <c r="J36" i="16" s="1"/>
  <c r="D11" i="15" s="1"/>
  <c r="D17" i="15" s="1"/>
  <c r="D31" i="9"/>
  <c r="AD31" i="9" s="1"/>
  <c r="AC31" i="9"/>
  <c r="Y35" i="9"/>
  <c r="Z35" i="9" s="1"/>
  <c r="I10" i="15" s="1"/>
  <c r="I17" i="15" s="1"/>
  <c r="AD6" i="12"/>
  <c r="AC6" i="12"/>
  <c r="AD18" i="12"/>
  <c r="AD13" i="11"/>
  <c r="AD28" i="12"/>
  <c r="H35" i="12"/>
  <c r="AG18" i="16"/>
  <c r="AG14" i="16"/>
  <c r="AG19" i="16"/>
  <c r="AG13" i="16"/>
  <c r="AB28" i="9"/>
  <c r="AB31" i="9"/>
  <c r="C33" i="9"/>
  <c r="C30" i="9"/>
  <c r="C29" i="9"/>
  <c r="C27" i="9"/>
  <c r="P26" i="9"/>
  <c r="Z10" i="9"/>
  <c r="M7" i="9"/>
  <c r="T12" i="16"/>
  <c r="Z5" i="11"/>
  <c r="AF5" i="11" s="1"/>
  <c r="AB10" i="11"/>
  <c r="AD9" i="11"/>
  <c r="Y35" i="12"/>
  <c r="Z35" i="12" s="1"/>
  <c r="I13" i="15" s="1"/>
  <c r="F35" i="12"/>
  <c r="S35" i="12"/>
  <c r="T35" i="12" s="1"/>
  <c r="L36" i="11"/>
  <c r="M36" i="11" s="1"/>
  <c r="E12" i="15" s="1"/>
  <c r="S36" i="11"/>
  <c r="T36" i="11" s="1"/>
  <c r="G12" i="15" s="1"/>
  <c r="F36" i="11"/>
  <c r="G36" i="11" s="1"/>
  <c r="C12" i="15" s="1"/>
  <c r="AC7" i="12"/>
  <c r="AC28" i="12"/>
  <c r="O35" i="12"/>
  <c r="B35" i="12"/>
  <c r="AB28" i="12"/>
  <c r="AG9" i="16"/>
  <c r="AG8" i="16"/>
  <c r="AG10" i="16"/>
  <c r="M9" i="16"/>
  <c r="AC15" i="11"/>
  <c r="AC18" i="12"/>
  <c r="AC24" i="12"/>
  <c r="L35" i="12"/>
  <c r="M35" i="12" s="1"/>
  <c r="E13" i="15" s="1"/>
  <c r="V36" i="11"/>
  <c r="W36" i="11" s="1"/>
  <c r="H12" i="15" s="1"/>
  <c r="V35" i="9"/>
  <c r="W35" i="9" s="1"/>
  <c r="H10" i="15" s="1"/>
  <c r="K35" i="12"/>
  <c r="AB18" i="12"/>
  <c r="AB6" i="12"/>
  <c r="AG7" i="16"/>
  <c r="AC24" i="9"/>
  <c r="B3" i="15" l="1"/>
  <c r="AD35" i="14"/>
  <c r="AG5" i="16"/>
  <c r="AH5" i="16"/>
  <c r="AC36" i="5"/>
  <c r="AD36" i="5" s="1"/>
  <c r="AC23" i="9"/>
  <c r="AF36" i="5"/>
  <c r="AG17" i="16"/>
  <c r="AG34" i="16"/>
  <c r="V35" i="12"/>
  <c r="W35" i="12" s="1"/>
  <c r="H13" i="15" s="1"/>
  <c r="H17" i="15" s="1"/>
  <c r="AG33" i="16"/>
  <c r="AC32" i="9"/>
  <c r="AC5" i="16"/>
  <c r="AC36" i="16" s="1"/>
  <c r="AD36" i="16" s="1"/>
  <c r="AF15" i="12"/>
  <c r="AD15" i="12"/>
  <c r="C36" i="11"/>
  <c r="D36" i="11" s="1"/>
  <c r="B12" i="15" s="1"/>
  <c r="AD32" i="9"/>
  <c r="Q22" i="16"/>
  <c r="AH22" i="16" s="1"/>
  <c r="AG22" i="16"/>
  <c r="D15" i="9"/>
  <c r="AD15" i="9" s="1"/>
  <c r="AC15" i="9"/>
  <c r="Q28" i="16"/>
  <c r="AH28" i="16" s="1"/>
  <c r="AG28" i="16"/>
  <c r="D20" i="9"/>
  <c r="AD20" i="9" s="1"/>
  <c r="AC20" i="9"/>
  <c r="AC35" i="12"/>
  <c r="Q16" i="16"/>
  <c r="AH16" i="16" s="1"/>
  <c r="AG16" i="16"/>
  <c r="Q10" i="12"/>
  <c r="AC10" i="12"/>
  <c r="AD21" i="12"/>
  <c r="AF21" i="12"/>
  <c r="Q11" i="11"/>
  <c r="P36" i="11"/>
  <c r="Q36" i="11" s="1"/>
  <c r="F12" i="15" s="1"/>
  <c r="D27" i="11"/>
  <c r="AD27" i="11" s="1"/>
  <c r="AC27" i="11"/>
  <c r="D6" i="16"/>
  <c r="AH6" i="16" s="1"/>
  <c r="C36" i="16"/>
  <c r="D36" i="16" s="1"/>
  <c r="B11" i="15" s="1"/>
  <c r="AG6" i="16"/>
  <c r="D6" i="9"/>
  <c r="AD6" i="9" s="1"/>
  <c r="AC6" i="9"/>
  <c r="D12" i="9"/>
  <c r="AD12" i="9" s="1"/>
  <c r="AC12" i="9"/>
  <c r="D18" i="9"/>
  <c r="AD18" i="9" s="1"/>
  <c r="AC18" i="9"/>
  <c r="AD12" i="12"/>
  <c r="AF12" i="12"/>
  <c r="D20" i="12"/>
  <c r="AC20" i="12"/>
  <c r="AF34" i="11"/>
  <c r="AD34" i="11"/>
  <c r="D27" i="16"/>
  <c r="AH27" i="16" s="1"/>
  <c r="AG27" i="16"/>
  <c r="D32" i="11"/>
  <c r="AD32" i="11" s="1"/>
  <c r="AC32" i="11"/>
  <c r="P36" i="16"/>
  <c r="Q36" i="16" s="1"/>
  <c r="F11" i="15" s="1"/>
  <c r="AB35" i="12"/>
  <c r="D31" i="16"/>
  <c r="AH31" i="16" s="1"/>
  <c r="AG31" i="16"/>
  <c r="AD9" i="12"/>
  <c r="AF9" i="12"/>
  <c r="D27" i="9"/>
  <c r="AD27" i="9" s="1"/>
  <c r="AC27" i="9"/>
  <c r="C35" i="9"/>
  <c r="D35" i="9" s="1"/>
  <c r="B10" i="15" s="1"/>
  <c r="D30" i="9"/>
  <c r="AD30" i="9" s="1"/>
  <c r="AC30" i="9"/>
  <c r="C11" i="15"/>
  <c r="C10" i="15"/>
  <c r="C17" i="15" s="1"/>
  <c r="AF35" i="12"/>
  <c r="G13" i="15"/>
  <c r="G17" i="15" s="1"/>
  <c r="D29" i="9"/>
  <c r="AD29" i="9" s="1"/>
  <c r="AC29" i="9"/>
  <c r="Q26" i="9"/>
  <c r="AD26" i="9" s="1"/>
  <c r="AC26" i="9"/>
  <c r="D33" i="9"/>
  <c r="AD33" i="9" s="1"/>
  <c r="AC33" i="9"/>
  <c r="P35" i="9"/>
  <c r="Q35" i="9" s="1"/>
  <c r="F10" i="15" s="1"/>
  <c r="F17" i="15" l="1"/>
  <c r="AC36" i="11"/>
  <c r="AD36" i="11" s="1"/>
  <c r="AC35" i="9"/>
  <c r="AD35" i="9" s="1"/>
  <c r="AG36" i="16"/>
  <c r="AH36" i="16" s="1"/>
  <c r="AF11" i="11"/>
  <c r="AF36" i="11" s="1"/>
  <c r="AD11" i="11"/>
  <c r="AF10" i="12"/>
  <c r="AD10" i="12"/>
  <c r="AD20" i="12"/>
  <c r="D35" i="12"/>
  <c r="B13" i="15" l="1"/>
  <c r="B17" i="15" s="1"/>
  <c r="AD35" i="12"/>
</calcChain>
</file>

<file path=xl/sharedStrings.xml><?xml version="1.0" encoding="utf-8"?>
<sst xmlns="http://schemas.openxmlformats.org/spreadsheetml/2006/main" count="463" uniqueCount="18">
  <si>
    <t>gallons</t>
  </si>
  <si>
    <t>MGD</t>
  </si>
  <si>
    <t>AF</t>
  </si>
  <si>
    <t>Standley Pipeline to TTP</t>
  </si>
  <si>
    <t>TTP Production</t>
  </si>
  <si>
    <t>Denver Treated Lease</t>
  </si>
  <si>
    <t>ERWPS to TTP</t>
  </si>
  <si>
    <t>TTP Backwash</t>
  </si>
  <si>
    <t>TOTAL PRODUCTION</t>
  </si>
  <si>
    <t>Water From Standley to EGL #4</t>
  </si>
  <si>
    <t>WBTP Production</t>
  </si>
  <si>
    <t>ERWPS to WBTP</t>
  </si>
  <si>
    <t>WRWPS to WBTP</t>
  </si>
  <si>
    <t>WBTP Backwash</t>
  </si>
  <si>
    <t>TOTAL</t>
  </si>
  <si>
    <t>Standley to EGL #4</t>
  </si>
  <si>
    <t>New Report Link April 2017, will need to relink in 2018</t>
  </si>
  <si>
    <t xml:space="preserve">UPDATE LINK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</si>
</sst>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d\-mmm;@"/>
  </numFmts>
  <fonts count="5" x14ac:knownFonts="1">
    <font>
      <sz val="10"/>
      <name val="Arial"/>
    </font>
    <font>
      <sz val="8"/>
      <name val="Arial"/>
      <family val="2"/>
    </font>
    <font>
      <b/>
      <sz val="10"/>
      <color indexed="10"/>
      <name val="Arial"/>
      <family val="2"/>
    </font>
    <font>
      <sz val="10"/>
      <name val="Arial"/>
      <family val="2"/>
    </font>
    <font>
      <b/>
      <sz val="10"/>
      <color rgb="FFFF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0" borderId="0"/>
  </cellStyleXfs>
  <cellXfs count="61">
    <xf numFmtId="0" fontId="0" fillId="0" borderId="0" xfId="0"/>
    <xf numFmtId="16" fontId="0" fillId="0" borderId="0" xfId="0" applyNumberFormat="1"/>
    <xf numFmtId="0" fontId="0" fillId="0" borderId="0" xfId="0" applyAlignment="1">
      <alignment horizontal="center"/>
    </xf>
    <xf numFmtId="0" fontId="0" fillId="0" borderId="0" xfId="0" applyFill="1"/>
    <xf numFmtId="0" fontId="0" fillId="0" borderId="1" xfId="0" applyFill="1" applyBorder="1" applyAlignment="1">
      <alignment horizontal="center"/>
    </xf>
    <xf numFmtId="0" fontId="0" fillId="0" borderId="2" xfId="0" applyFill="1" applyBorder="1" applyAlignment="1">
      <alignment horizontal="center"/>
    </xf>
    <xf numFmtId="0" fontId="0" fillId="0" borderId="3" xfId="0" applyFill="1" applyBorder="1" applyAlignment="1">
      <alignment horizontal="center"/>
    </xf>
    <xf numFmtId="3" fontId="0" fillId="0" borderId="1" xfId="0" applyNumberFormat="1" applyFill="1" applyBorder="1"/>
    <xf numFmtId="2" fontId="0" fillId="0" borderId="2" xfId="0" applyNumberFormat="1" applyFill="1" applyBorder="1"/>
    <xf numFmtId="2" fontId="0" fillId="0" borderId="4" xfId="0" applyNumberFormat="1" applyFill="1" applyBorder="1"/>
    <xf numFmtId="2" fontId="0" fillId="0" borderId="3" xfId="0" applyNumberFormat="1" applyFill="1" applyBorder="1"/>
    <xf numFmtId="2" fontId="0" fillId="0" borderId="5" xfId="0" applyNumberFormat="1" applyFill="1" applyBorder="1"/>
    <xf numFmtId="16" fontId="0" fillId="0" borderId="0" xfId="0" applyNumberFormat="1" applyBorder="1"/>
    <xf numFmtId="3" fontId="0" fillId="0" borderId="0" xfId="0" applyNumberFormat="1" applyFill="1" applyBorder="1"/>
    <xf numFmtId="0" fontId="0" fillId="0" borderId="0" xfId="0" applyFill="1" applyBorder="1"/>
    <xf numFmtId="2" fontId="0" fillId="0" borderId="0" xfId="0" applyNumberFormat="1" applyFill="1" applyBorder="1"/>
    <xf numFmtId="2" fontId="0" fillId="0" borderId="0" xfId="0" applyNumberFormat="1" applyBorder="1"/>
    <xf numFmtId="2" fontId="0" fillId="0" borderId="2" xfId="0" applyNumberFormat="1" applyFill="1" applyBorder="1" applyAlignment="1">
      <alignment horizontal="center"/>
    </xf>
    <xf numFmtId="2" fontId="0" fillId="0" borderId="0" xfId="0" applyNumberFormat="1"/>
    <xf numFmtId="0" fontId="0" fillId="0" borderId="0" xfId="0" applyFill="1" applyBorder="1" applyAlignment="1">
      <alignment horizontal="center"/>
    </xf>
    <xf numFmtId="0" fontId="0" fillId="0" borderId="0" xfId="0" applyBorder="1"/>
    <xf numFmtId="164" fontId="0" fillId="0" borderId="0" xfId="0" applyNumberFormat="1" applyFill="1" applyBorder="1"/>
    <xf numFmtId="0" fontId="0" fillId="0" borderId="0" xfId="0" applyAlignment="1"/>
    <xf numFmtId="0" fontId="0" fillId="0" borderId="6" xfId="0" applyFill="1" applyBorder="1"/>
    <xf numFmtId="2" fontId="0" fillId="0" borderId="0" xfId="0" applyNumberFormat="1" applyFill="1"/>
    <xf numFmtId="0" fontId="0" fillId="0" borderId="0" xfId="0" applyFill="1" applyAlignment="1"/>
    <xf numFmtId="0" fontId="0" fillId="0" borderId="0" xfId="0" applyFill="1" applyAlignment="1">
      <alignment horizontal="center"/>
    </xf>
    <xf numFmtId="16" fontId="0" fillId="0" borderId="0" xfId="0" applyNumberFormat="1" applyFill="1"/>
    <xf numFmtId="16" fontId="0" fillId="0" borderId="0" xfId="0" applyNumberFormat="1" applyFill="1" applyBorder="1"/>
    <xf numFmtId="3" fontId="0" fillId="0" borderId="7" xfId="0" applyNumberFormat="1" applyFill="1" applyBorder="1"/>
    <xf numFmtId="2" fontId="0" fillId="0" borderId="6" xfId="0" applyNumberFormat="1" applyFill="1" applyBorder="1"/>
    <xf numFmtId="0" fontId="0" fillId="0" borderId="8" xfId="0" applyFill="1" applyBorder="1" applyAlignment="1">
      <alignment horizontal="center"/>
    </xf>
    <xf numFmtId="0" fontId="0" fillId="0" borderId="9" xfId="0" applyFill="1" applyBorder="1" applyAlignment="1">
      <alignment horizontal="center"/>
    </xf>
    <xf numFmtId="0" fontId="0" fillId="0" borderId="10" xfId="0" applyFill="1" applyBorder="1" applyAlignment="1">
      <alignment horizontal="center"/>
    </xf>
    <xf numFmtId="0" fontId="0" fillId="0" borderId="11" xfId="0" applyBorder="1" applyAlignment="1">
      <alignment horizontal="center" wrapText="1"/>
    </xf>
    <xf numFmtId="0" fontId="0" fillId="0" borderId="8" xfId="0" applyFill="1" applyBorder="1" applyAlignment="1">
      <alignment horizontal="center"/>
    </xf>
    <xf numFmtId="0" fontId="0" fillId="0" borderId="9" xfId="0" applyFill="1" applyBorder="1" applyAlignment="1">
      <alignment horizontal="center"/>
    </xf>
    <xf numFmtId="0" fontId="0" fillId="0" borderId="10" xfId="0" applyFill="1" applyBorder="1" applyAlignment="1">
      <alignment horizontal="center"/>
    </xf>
    <xf numFmtId="0" fontId="0" fillId="0" borderId="11" xfId="0" applyBorder="1"/>
    <xf numFmtId="2" fontId="0" fillId="0" borderId="11" xfId="0" applyNumberFormat="1" applyBorder="1"/>
    <xf numFmtId="0" fontId="3" fillId="0" borderId="0" xfId="0" applyFont="1" applyFill="1" applyAlignment="1"/>
    <xf numFmtId="0" fontId="0" fillId="2" borderId="0" xfId="0" applyFill="1" applyAlignment="1"/>
    <xf numFmtId="0" fontId="2" fillId="0" borderId="0" xfId="0" applyFont="1" applyFill="1"/>
    <xf numFmtId="0" fontId="3" fillId="0" borderId="0" xfId="1" applyAlignment="1">
      <alignment horizontal="left"/>
    </xf>
    <xf numFmtId="0" fontId="3" fillId="0" borderId="0" xfId="1" applyFill="1" applyBorder="1" applyAlignment="1">
      <alignment horizontal="left"/>
    </xf>
    <xf numFmtId="0" fontId="3" fillId="0" borderId="0" xfId="1" applyAlignment="1">
      <alignment horizontal="center"/>
    </xf>
    <xf numFmtId="0" fontId="3" fillId="0" borderId="0" xfId="1" applyFont="1" applyFill="1" applyBorder="1" applyAlignment="1">
      <alignment horizontal="center"/>
    </xf>
    <xf numFmtId="0" fontId="3" fillId="0" borderId="0" xfId="1" applyFill="1" applyBorder="1" applyAlignment="1">
      <alignment horizontal="center"/>
    </xf>
    <xf numFmtId="17" fontId="3" fillId="0" borderId="0" xfId="1" applyNumberFormat="1"/>
    <xf numFmtId="2" fontId="3" fillId="0" borderId="0" xfId="1" applyNumberFormat="1"/>
    <xf numFmtId="0" fontId="3" fillId="0" borderId="0" xfId="1"/>
    <xf numFmtId="0" fontId="3" fillId="0" borderId="0" xfId="1" applyFont="1"/>
    <xf numFmtId="0" fontId="0" fillId="0" borderId="11" xfId="0" applyFill="1" applyBorder="1" applyAlignment="1">
      <alignment horizontal="center" wrapText="1"/>
    </xf>
    <xf numFmtId="0" fontId="4" fillId="0" borderId="0" xfId="0" applyFont="1" applyFill="1" applyAlignment="1"/>
    <xf numFmtId="0" fontId="4" fillId="2" borderId="0" xfId="0" applyFont="1" applyFill="1" applyAlignment="1"/>
    <xf numFmtId="0" fontId="0" fillId="0" borderId="12" xfId="0" applyFill="1" applyBorder="1" applyAlignment="1">
      <alignment horizontal="center"/>
    </xf>
    <xf numFmtId="0" fontId="0" fillId="0" borderId="13" xfId="0" applyFill="1" applyBorder="1" applyAlignment="1">
      <alignment horizontal="center"/>
    </xf>
    <xf numFmtId="0" fontId="0" fillId="0" borderId="14" xfId="0" applyFill="1" applyBorder="1" applyAlignment="1">
      <alignment horizontal="center"/>
    </xf>
    <xf numFmtId="0" fontId="0" fillId="0" borderId="15" xfId="0" applyFill="1" applyBorder="1" applyAlignment="1">
      <alignment horizontal="center"/>
    </xf>
    <xf numFmtId="0" fontId="0" fillId="0" borderId="16" xfId="0" applyFill="1" applyBorder="1" applyAlignment="1">
      <alignment horizontal="center"/>
    </xf>
    <xf numFmtId="0" fontId="0" fillId="0" borderId="17" xfId="0" applyFill="1" applyBorder="1" applyAlignment="1">
      <alignment horizontal="center"/>
    </xf>
  </cellXfs>
  <cellStyles count="2">
    <cellStyle name="Normal" xfId="0" builtinId="0"/>
    <cellStyle name="Normal 2" xfId="1" xr:uid="{00000000-0005-0000-0000-000001000000}"/>
  </cellStyles>
  <dxfs count="0"/>
  <tableStyles count="0" defaultTableStyle="TableStyleMedium9" defaultPivotStyle="PivotStyleLight16"/>
  <colors>
    <mruColors>
      <color rgb="FFFDFD6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5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8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4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3.xml"/><Relationship Id="rId20" Type="http://schemas.openxmlformats.org/officeDocument/2006/relationships/externalLink" Target="externalLinks/externalLink7.xml"/><Relationship Id="rId29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2.xml"/><Relationship Id="rId23" Type="http://schemas.openxmlformats.org/officeDocument/2006/relationships/externalLink" Target="externalLinks/externalLink10.xml"/><Relationship Id="rId28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6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Relationship Id="rId22" Type="http://schemas.openxmlformats.org/officeDocument/2006/relationships/externalLink" Target="externalLinks/externalLink9.xml"/><Relationship Id="rId27" Type="http://schemas.openxmlformats.org/officeDocument/2006/relationships/calcChain" Target="calcChain.xml"/><Relationship Id="rId30" Type="http://schemas.openxmlformats.org/officeDocument/2006/relationships/customXml" Target="../customXml/item3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S:/ID/CWTP/Production%202016/November%202016%20Shift%20Sheet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S:/ID/CWTP/Production%202016/December%202016%20Shift%20Sheet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S:/ID/CWTP/Production%202017/January%202017%20Shift%20Sheet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S:/ID/CWTP/Production%202017/February%202017%20Shift%20Sheet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S:/ID/CWTP/Production%202017/March%202017%20Shift%20Sheet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/it-filesrv/Shared/ID/CWTP/Operations/2017/2017%20Shift%20Sheet.xlsx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S:/ID/CWTP/Operations/2017/2017%20Shift%20Sheet%202Q.xlsx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S:/ID/CWTP/Operations/2017/2017%20Shift%20Sheet%203Q.xlsx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S:/ID/CWTP/Production%202017/July%202017%20Shift%20Sheet.xlsm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/it-filesrv/Shared/ID/CWTP/Operations/2017/2017%20Shift%20Sheet%204Q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1"/>
      <sheetName val="2"/>
      <sheetName val="3"/>
      <sheetName val="4"/>
      <sheetName val="5"/>
      <sheetName val="6"/>
      <sheetName val="7"/>
      <sheetName val="8"/>
      <sheetName val="9"/>
      <sheetName val="10"/>
      <sheetName val="11"/>
      <sheetName val="12"/>
      <sheetName val="13"/>
      <sheetName val="14"/>
      <sheetName val="15"/>
      <sheetName val="16"/>
      <sheetName val="17"/>
      <sheetName val="18"/>
      <sheetName val="19"/>
      <sheetName val="20"/>
      <sheetName val="21"/>
      <sheetName val="22"/>
      <sheetName val="23"/>
      <sheetName val="24"/>
      <sheetName val="25"/>
      <sheetName val="26"/>
      <sheetName val="27"/>
      <sheetName val="28"/>
      <sheetName val="29"/>
      <sheetName val="30"/>
      <sheetName val="Nov Pro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>
        <row r="4">
          <cell r="C4">
            <v>0</v>
          </cell>
          <cell r="D4">
            <v>0</v>
          </cell>
          <cell r="E4">
            <v>0</v>
          </cell>
          <cell r="F4">
            <v>13390000</v>
          </cell>
          <cell r="H4">
            <v>0</v>
          </cell>
          <cell r="I4">
            <v>12500000</v>
          </cell>
        </row>
        <row r="5">
          <cell r="C5">
            <v>0</v>
          </cell>
          <cell r="D5">
            <v>0</v>
          </cell>
          <cell r="E5">
            <v>0</v>
          </cell>
          <cell r="F5">
            <v>16040000</v>
          </cell>
          <cell r="H5">
            <v>0</v>
          </cell>
          <cell r="I5">
            <v>14299999.999999955</v>
          </cell>
        </row>
        <row r="6">
          <cell r="C6">
            <v>0</v>
          </cell>
          <cell r="D6">
            <v>0</v>
          </cell>
          <cell r="E6">
            <v>0</v>
          </cell>
          <cell r="F6">
            <v>14200000</v>
          </cell>
          <cell r="H6">
            <v>0</v>
          </cell>
          <cell r="I6">
            <v>12500000</v>
          </cell>
        </row>
        <row r="7">
          <cell r="C7">
            <v>0</v>
          </cell>
          <cell r="D7">
            <v>0</v>
          </cell>
          <cell r="E7">
            <v>0</v>
          </cell>
          <cell r="F7">
            <v>15490000</v>
          </cell>
          <cell r="H7">
            <v>0</v>
          </cell>
          <cell r="I7">
            <v>13600000.000000136</v>
          </cell>
        </row>
        <row r="8">
          <cell r="C8">
            <v>0</v>
          </cell>
          <cell r="D8">
            <v>0</v>
          </cell>
          <cell r="E8">
            <v>0</v>
          </cell>
          <cell r="F8">
            <v>15010000</v>
          </cell>
          <cell r="H8">
            <v>0</v>
          </cell>
          <cell r="I8">
            <v>14200000.000000045</v>
          </cell>
        </row>
        <row r="9">
          <cell r="C9">
            <v>0</v>
          </cell>
          <cell r="D9">
            <v>0</v>
          </cell>
          <cell r="E9">
            <v>0</v>
          </cell>
          <cell r="F9">
            <v>17770000</v>
          </cell>
          <cell r="H9">
            <v>0</v>
          </cell>
          <cell r="I9">
            <v>15399999.999999864</v>
          </cell>
        </row>
        <row r="10">
          <cell r="C10">
            <v>0</v>
          </cell>
          <cell r="D10">
            <v>0</v>
          </cell>
          <cell r="E10">
            <v>0</v>
          </cell>
          <cell r="F10">
            <v>17700000</v>
          </cell>
          <cell r="H10">
            <v>0</v>
          </cell>
          <cell r="I10">
            <v>16100000.000000136</v>
          </cell>
        </row>
        <row r="11">
          <cell r="C11">
            <v>0</v>
          </cell>
          <cell r="D11">
            <v>0</v>
          </cell>
          <cell r="E11">
            <v>0</v>
          </cell>
          <cell r="F11">
            <v>13980000</v>
          </cell>
          <cell r="H11">
            <v>0</v>
          </cell>
          <cell r="I11">
            <v>12299999.999999728</v>
          </cell>
        </row>
        <row r="12">
          <cell r="C12">
            <v>0</v>
          </cell>
          <cell r="D12">
            <v>0</v>
          </cell>
          <cell r="E12">
            <v>0</v>
          </cell>
          <cell r="F12">
            <v>14200000</v>
          </cell>
          <cell r="H12">
            <v>0</v>
          </cell>
          <cell r="I12">
            <v>13200000.000000272</v>
          </cell>
        </row>
        <row r="13">
          <cell r="C13">
            <v>0</v>
          </cell>
          <cell r="D13">
            <v>0</v>
          </cell>
          <cell r="E13">
            <v>0</v>
          </cell>
          <cell r="F13">
            <v>14520000</v>
          </cell>
          <cell r="H13">
            <v>0</v>
          </cell>
          <cell r="I13">
            <v>13000000</v>
          </cell>
        </row>
        <row r="14">
          <cell r="C14">
            <v>0</v>
          </cell>
          <cell r="D14">
            <v>0</v>
          </cell>
          <cell r="E14">
            <v>0</v>
          </cell>
          <cell r="F14">
            <v>18180000</v>
          </cell>
          <cell r="H14">
            <v>0</v>
          </cell>
          <cell r="I14">
            <v>16199999.999999817</v>
          </cell>
        </row>
        <row r="15">
          <cell r="C15">
            <v>0</v>
          </cell>
          <cell r="D15">
            <v>0</v>
          </cell>
          <cell r="E15">
            <v>0</v>
          </cell>
          <cell r="F15">
            <v>16870000</v>
          </cell>
          <cell r="H15">
            <v>0</v>
          </cell>
          <cell r="I15">
            <v>14800000.000000183</v>
          </cell>
        </row>
        <row r="16">
          <cell r="C16">
            <v>0</v>
          </cell>
          <cell r="D16">
            <v>0</v>
          </cell>
          <cell r="E16">
            <v>0</v>
          </cell>
          <cell r="F16">
            <v>15700000</v>
          </cell>
          <cell r="H16">
            <v>0</v>
          </cell>
          <cell r="I16">
            <v>14400000.000000091</v>
          </cell>
        </row>
        <row r="17">
          <cell r="C17">
            <v>3995000</v>
          </cell>
          <cell r="D17">
            <v>0</v>
          </cell>
          <cell r="E17">
            <v>0</v>
          </cell>
          <cell r="F17">
            <v>12010000</v>
          </cell>
          <cell r="H17">
            <v>3995000</v>
          </cell>
          <cell r="I17">
            <v>10899999.999999637</v>
          </cell>
        </row>
        <row r="18">
          <cell r="C18">
            <v>5988000</v>
          </cell>
          <cell r="D18">
            <v>0</v>
          </cell>
          <cell r="E18">
            <v>0</v>
          </cell>
          <cell r="F18">
            <v>8460000</v>
          </cell>
          <cell r="H18">
            <v>5597000.0000000019</v>
          </cell>
          <cell r="I18">
            <v>7500000</v>
          </cell>
        </row>
        <row r="19">
          <cell r="C19">
            <v>6655000</v>
          </cell>
          <cell r="D19">
            <v>0</v>
          </cell>
          <cell r="E19">
            <v>0</v>
          </cell>
          <cell r="F19">
            <v>7560000</v>
          </cell>
          <cell r="H19">
            <v>6588999.9999999972</v>
          </cell>
          <cell r="I19">
            <v>7000000</v>
          </cell>
        </row>
        <row r="20">
          <cell r="C20">
            <v>7321000</v>
          </cell>
          <cell r="D20">
            <v>0</v>
          </cell>
          <cell r="E20">
            <v>3000000</v>
          </cell>
          <cell r="F20">
            <v>3730000</v>
          </cell>
          <cell r="H20">
            <v>7127000.0000000047</v>
          </cell>
          <cell r="I20">
            <v>6500000</v>
          </cell>
        </row>
        <row r="21">
          <cell r="C21">
            <v>6029000</v>
          </cell>
          <cell r="D21">
            <v>0</v>
          </cell>
          <cell r="E21">
            <v>7000000</v>
          </cell>
          <cell r="F21">
            <v>0</v>
          </cell>
          <cell r="H21">
            <v>5702999.9999999991</v>
          </cell>
          <cell r="I21">
            <v>5900000.0000000913</v>
          </cell>
        </row>
        <row r="22">
          <cell r="C22">
            <v>5942000</v>
          </cell>
          <cell r="D22">
            <v>0</v>
          </cell>
          <cell r="E22">
            <v>7000000</v>
          </cell>
          <cell r="F22">
            <v>0</v>
          </cell>
          <cell r="H22">
            <v>5812999.9999999953</v>
          </cell>
          <cell r="I22">
            <v>5300000.0000001816</v>
          </cell>
        </row>
        <row r="23">
          <cell r="C23">
            <v>7832000</v>
          </cell>
          <cell r="D23">
            <v>0</v>
          </cell>
          <cell r="E23">
            <v>7000000</v>
          </cell>
          <cell r="F23">
            <v>0</v>
          </cell>
          <cell r="H23">
            <v>7702000.0000000047</v>
          </cell>
          <cell r="I23">
            <v>6199999.9999998184</v>
          </cell>
        </row>
        <row r="24">
          <cell r="C24">
            <v>10310000</v>
          </cell>
          <cell r="D24">
            <v>0</v>
          </cell>
          <cell r="E24">
            <v>5000000</v>
          </cell>
          <cell r="F24">
            <v>0</v>
          </cell>
          <cell r="H24">
            <v>10115999.999999998</v>
          </cell>
          <cell r="I24">
            <v>4500000</v>
          </cell>
        </row>
        <row r="25">
          <cell r="C25">
            <v>11017000</v>
          </cell>
          <cell r="D25">
            <v>0</v>
          </cell>
          <cell r="E25">
            <v>6000000</v>
          </cell>
          <cell r="F25">
            <v>0</v>
          </cell>
          <cell r="H25">
            <v>10697000</v>
          </cell>
          <cell r="I25">
            <v>0</v>
          </cell>
        </row>
        <row r="26">
          <cell r="C26">
            <v>11150000</v>
          </cell>
          <cell r="D26">
            <v>0</v>
          </cell>
          <cell r="E26">
            <v>5000000</v>
          </cell>
          <cell r="F26">
            <v>0</v>
          </cell>
          <cell r="H26">
            <v>10955000</v>
          </cell>
          <cell r="I26">
            <v>0</v>
          </cell>
        </row>
        <row r="27">
          <cell r="C27">
            <v>12441000</v>
          </cell>
          <cell r="D27">
            <v>0</v>
          </cell>
          <cell r="E27">
            <v>6000000</v>
          </cell>
          <cell r="F27">
            <v>0</v>
          </cell>
          <cell r="H27">
            <v>12246999.999999998</v>
          </cell>
          <cell r="I27">
            <v>0</v>
          </cell>
        </row>
        <row r="28">
          <cell r="C28">
            <v>12782000</v>
          </cell>
          <cell r="D28">
            <v>0</v>
          </cell>
          <cell r="E28">
            <v>5000000</v>
          </cell>
          <cell r="F28">
            <v>0</v>
          </cell>
          <cell r="H28">
            <v>12456000.000000007</v>
          </cell>
          <cell r="I28">
            <v>0</v>
          </cell>
        </row>
        <row r="29">
          <cell r="C29">
            <v>11814000</v>
          </cell>
          <cell r="D29">
            <v>0</v>
          </cell>
          <cell r="E29">
            <v>5000000</v>
          </cell>
          <cell r="F29">
            <v>0</v>
          </cell>
          <cell r="H29">
            <v>11552000</v>
          </cell>
          <cell r="I29">
            <v>0</v>
          </cell>
        </row>
        <row r="30">
          <cell r="C30">
            <v>13036000</v>
          </cell>
          <cell r="D30">
            <v>0</v>
          </cell>
          <cell r="E30">
            <v>6000000</v>
          </cell>
          <cell r="F30">
            <v>0</v>
          </cell>
          <cell r="H30">
            <v>12775999.999999994</v>
          </cell>
          <cell r="I30">
            <v>0</v>
          </cell>
        </row>
        <row r="31">
          <cell r="C31">
            <v>12879000</v>
          </cell>
          <cell r="D31">
            <v>0</v>
          </cell>
          <cell r="E31">
            <v>5000000</v>
          </cell>
          <cell r="F31">
            <v>0</v>
          </cell>
          <cell r="H31">
            <v>12673000.000000004</v>
          </cell>
          <cell r="I31">
            <v>0</v>
          </cell>
        </row>
        <row r="32">
          <cell r="C32">
            <v>11249000</v>
          </cell>
          <cell r="D32">
            <v>0</v>
          </cell>
          <cell r="E32">
            <v>6000000</v>
          </cell>
          <cell r="F32">
            <v>0</v>
          </cell>
          <cell r="H32">
            <v>10938999.999999998</v>
          </cell>
          <cell r="I32">
            <v>0</v>
          </cell>
        </row>
        <row r="33">
          <cell r="C33">
            <v>9040000</v>
          </cell>
          <cell r="D33">
            <v>0</v>
          </cell>
          <cell r="E33">
            <v>5000000</v>
          </cell>
          <cell r="F33">
            <v>0</v>
          </cell>
          <cell r="H33">
            <v>8848999.9999999981</v>
          </cell>
          <cell r="I33">
            <v>0</v>
          </cell>
        </row>
        <row r="252">
          <cell r="D252">
            <v>0</v>
          </cell>
          <cell r="H252">
            <v>1485471</v>
          </cell>
        </row>
        <row r="253">
          <cell r="D253">
            <v>0</v>
          </cell>
          <cell r="H253">
            <v>1313700</v>
          </cell>
        </row>
        <row r="254">
          <cell r="D254">
            <v>154000.00000000346</v>
          </cell>
          <cell r="H254">
            <v>1205800</v>
          </cell>
        </row>
        <row r="255">
          <cell r="D255">
            <v>133000.00000000268</v>
          </cell>
          <cell r="H255">
            <v>1381525</v>
          </cell>
        </row>
        <row r="256">
          <cell r="D256">
            <v>0</v>
          </cell>
          <cell r="H256">
            <v>1369481</v>
          </cell>
        </row>
        <row r="257">
          <cell r="D257">
            <v>0</v>
          </cell>
          <cell r="H257">
            <v>44248</v>
          </cell>
        </row>
        <row r="258">
          <cell r="D258">
            <v>0</v>
          </cell>
          <cell r="H258">
            <v>45557</v>
          </cell>
        </row>
        <row r="259">
          <cell r="D259">
            <v>0</v>
          </cell>
          <cell r="H259">
            <v>1310431</v>
          </cell>
        </row>
        <row r="260">
          <cell r="D260">
            <v>0</v>
          </cell>
          <cell r="H260">
            <v>1185819</v>
          </cell>
        </row>
        <row r="261">
          <cell r="D261">
            <v>0</v>
          </cell>
          <cell r="H261">
            <v>1309212</v>
          </cell>
        </row>
        <row r="262">
          <cell r="D262">
            <v>262999.99999999814</v>
          </cell>
          <cell r="H262">
            <v>1524766</v>
          </cell>
        </row>
        <row r="263">
          <cell r="D263">
            <v>274999.9999999986</v>
          </cell>
          <cell r="H263">
            <v>1488537</v>
          </cell>
        </row>
        <row r="264">
          <cell r="D264">
            <v>0</v>
          </cell>
          <cell r="H264">
            <v>1376227</v>
          </cell>
        </row>
        <row r="265">
          <cell r="D265">
            <v>0</v>
          </cell>
          <cell r="H265">
            <v>1022654</v>
          </cell>
        </row>
        <row r="266">
          <cell r="D266">
            <v>390999.99999999825</v>
          </cell>
          <cell r="H266">
            <v>779585</v>
          </cell>
        </row>
        <row r="267">
          <cell r="D267">
            <v>66000.000000002503</v>
          </cell>
          <cell r="H267">
            <v>669496</v>
          </cell>
        </row>
        <row r="268">
          <cell r="D268">
            <v>193999.99999999552</v>
          </cell>
          <cell r="H268">
            <v>691342</v>
          </cell>
        </row>
        <row r="269">
          <cell r="D269">
            <v>326000.00000000052</v>
          </cell>
          <cell r="H269">
            <v>652441</v>
          </cell>
        </row>
        <row r="270">
          <cell r="D270">
            <v>129000.00000000489</v>
          </cell>
          <cell r="H270">
            <v>599729</v>
          </cell>
        </row>
        <row r="271">
          <cell r="D271">
            <v>129999.99999999546</v>
          </cell>
          <cell r="H271">
            <v>635202</v>
          </cell>
        </row>
        <row r="272">
          <cell r="D272">
            <v>194000.00000000262</v>
          </cell>
          <cell r="H272">
            <v>2698369</v>
          </cell>
        </row>
        <row r="273">
          <cell r="D273">
            <v>320000.00000000029</v>
          </cell>
          <cell r="H273">
            <v>5099147</v>
          </cell>
        </row>
        <row r="274">
          <cell r="D274">
            <v>195000.00000000029</v>
          </cell>
          <cell r="H274">
            <v>4959193</v>
          </cell>
        </row>
        <row r="275">
          <cell r="D275">
            <v>194000.00000000262</v>
          </cell>
          <cell r="H275">
            <v>4965118</v>
          </cell>
        </row>
        <row r="276">
          <cell r="D276">
            <v>325999.99999999342</v>
          </cell>
          <cell r="H276">
            <v>4911882</v>
          </cell>
        </row>
        <row r="277">
          <cell r="D277">
            <v>262000.00000000047</v>
          </cell>
          <cell r="H277">
            <v>4682915</v>
          </cell>
        </row>
        <row r="278">
          <cell r="D278">
            <v>260000.00000000512</v>
          </cell>
          <cell r="H278">
            <v>4879453</v>
          </cell>
        </row>
        <row r="279">
          <cell r="D279">
            <v>205999.99999999595</v>
          </cell>
          <cell r="H279">
            <v>4911449</v>
          </cell>
        </row>
        <row r="280">
          <cell r="D280">
            <v>310000.00000000227</v>
          </cell>
          <cell r="H280">
            <v>4887315</v>
          </cell>
        </row>
        <row r="281">
          <cell r="D281">
            <v>191000.0000000025</v>
          </cell>
          <cell r="H281">
            <v>4873821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1"/>
      <sheetName val="2"/>
      <sheetName val="3"/>
      <sheetName val="4"/>
      <sheetName val="5"/>
      <sheetName val="6"/>
      <sheetName val="7"/>
      <sheetName val="8"/>
      <sheetName val="9"/>
      <sheetName val="10"/>
      <sheetName val="11"/>
      <sheetName val="12"/>
      <sheetName val="13"/>
      <sheetName val="14"/>
      <sheetName val="15"/>
      <sheetName val="16"/>
      <sheetName val="17"/>
      <sheetName val="18"/>
      <sheetName val="19"/>
      <sheetName val="20"/>
      <sheetName val="21"/>
      <sheetName val="22"/>
      <sheetName val="23"/>
      <sheetName val="24"/>
      <sheetName val="25"/>
      <sheetName val="26"/>
      <sheetName val="27"/>
      <sheetName val="28"/>
      <sheetName val="29"/>
      <sheetName val="30"/>
      <sheetName val="31"/>
      <sheetName val="Dec Pro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>
        <row r="4">
          <cell r="C4">
            <v>12916000</v>
          </cell>
          <cell r="D4">
            <v>0</v>
          </cell>
          <cell r="E4">
            <v>3000000</v>
          </cell>
          <cell r="F4">
            <v>0</v>
          </cell>
          <cell r="H4">
            <v>12616000</v>
          </cell>
          <cell r="I4">
            <v>0</v>
          </cell>
        </row>
        <row r="5">
          <cell r="C5">
            <v>12818000</v>
          </cell>
          <cell r="D5">
            <v>0</v>
          </cell>
          <cell r="E5">
            <v>0</v>
          </cell>
          <cell r="F5">
            <v>0</v>
          </cell>
          <cell r="H5">
            <v>12376000</v>
          </cell>
          <cell r="I5">
            <v>0</v>
          </cell>
        </row>
        <row r="6">
          <cell r="C6">
            <v>11729000</v>
          </cell>
          <cell r="D6">
            <v>0</v>
          </cell>
          <cell r="E6">
            <v>0</v>
          </cell>
          <cell r="F6">
            <v>0</v>
          </cell>
          <cell r="H6">
            <v>11352000</v>
          </cell>
          <cell r="I6">
            <v>0</v>
          </cell>
        </row>
        <row r="7">
          <cell r="C7">
            <v>12969000</v>
          </cell>
          <cell r="D7">
            <v>0</v>
          </cell>
          <cell r="E7">
            <v>0</v>
          </cell>
          <cell r="F7">
            <v>0</v>
          </cell>
          <cell r="H7">
            <v>12672000</v>
          </cell>
          <cell r="I7">
            <v>0</v>
          </cell>
        </row>
        <row r="8">
          <cell r="C8">
            <v>13853000</v>
          </cell>
          <cell r="D8">
            <v>0</v>
          </cell>
          <cell r="E8">
            <v>0</v>
          </cell>
          <cell r="F8">
            <v>0</v>
          </cell>
          <cell r="H8">
            <v>13399000</v>
          </cell>
          <cell r="I8">
            <v>0</v>
          </cell>
        </row>
        <row r="9">
          <cell r="C9">
            <v>12946000</v>
          </cell>
          <cell r="D9">
            <v>0</v>
          </cell>
          <cell r="E9">
            <v>0</v>
          </cell>
          <cell r="F9">
            <v>0</v>
          </cell>
          <cell r="H9">
            <v>12430000</v>
          </cell>
          <cell r="I9">
            <v>0</v>
          </cell>
        </row>
        <row r="10">
          <cell r="C10">
            <v>11426000</v>
          </cell>
          <cell r="D10">
            <v>0</v>
          </cell>
          <cell r="E10">
            <v>0</v>
          </cell>
          <cell r="F10">
            <v>0</v>
          </cell>
          <cell r="H10">
            <v>11039000</v>
          </cell>
          <cell r="I10">
            <v>0</v>
          </cell>
        </row>
        <row r="11">
          <cell r="C11">
            <v>12780000</v>
          </cell>
          <cell r="D11">
            <v>0</v>
          </cell>
          <cell r="E11">
            <v>0</v>
          </cell>
          <cell r="F11">
            <v>0</v>
          </cell>
          <cell r="H11">
            <v>12422000</v>
          </cell>
          <cell r="I11">
            <v>0</v>
          </cell>
        </row>
        <row r="12">
          <cell r="C12">
            <v>13124000</v>
          </cell>
          <cell r="D12">
            <v>0</v>
          </cell>
          <cell r="E12">
            <v>0</v>
          </cell>
          <cell r="F12">
            <v>0</v>
          </cell>
          <cell r="H12">
            <v>12553000</v>
          </cell>
          <cell r="I12">
            <v>0</v>
          </cell>
        </row>
        <row r="13">
          <cell r="C13">
            <v>12097000</v>
          </cell>
          <cell r="D13">
            <v>0</v>
          </cell>
          <cell r="E13">
            <v>0</v>
          </cell>
          <cell r="F13">
            <v>0</v>
          </cell>
          <cell r="H13">
            <v>11746000</v>
          </cell>
          <cell r="I13">
            <v>0</v>
          </cell>
        </row>
        <row r="14">
          <cell r="C14">
            <v>13600000</v>
          </cell>
          <cell r="D14">
            <v>0</v>
          </cell>
          <cell r="E14">
            <v>0</v>
          </cell>
          <cell r="F14">
            <v>0</v>
          </cell>
          <cell r="H14">
            <v>13314000</v>
          </cell>
          <cell r="I14">
            <v>0</v>
          </cell>
        </row>
        <row r="15">
          <cell r="C15">
            <v>13596000</v>
          </cell>
          <cell r="D15">
            <v>0</v>
          </cell>
          <cell r="E15">
            <v>0</v>
          </cell>
          <cell r="F15">
            <v>0</v>
          </cell>
          <cell r="H15">
            <v>13288000</v>
          </cell>
          <cell r="I15">
            <v>0</v>
          </cell>
        </row>
        <row r="16">
          <cell r="C16">
            <v>12767000</v>
          </cell>
          <cell r="D16">
            <v>0</v>
          </cell>
          <cell r="E16">
            <v>0</v>
          </cell>
          <cell r="F16">
            <v>0</v>
          </cell>
          <cell r="H16">
            <v>12270000</v>
          </cell>
          <cell r="I16">
            <v>0</v>
          </cell>
        </row>
        <row r="17">
          <cell r="C17">
            <v>12719000</v>
          </cell>
          <cell r="D17">
            <v>0</v>
          </cell>
          <cell r="E17">
            <v>0</v>
          </cell>
          <cell r="F17">
            <v>0</v>
          </cell>
          <cell r="H17">
            <v>12298000</v>
          </cell>
          <cell r="I17">
            <v>0</v>
          </cell>
        </row>
        <row r="18">
          <cell r="C18">
            <v>12426000</v>
          </cell>
          <cell r="D18">
            <v>0</v>
          </cell>
          <cell r="E18">
            <v>0</v>
          </cell>
          <cell r="F18">
            <v>0</v>
          </cell>
          <cell r="H18">
            <v>12066000</v>
          </cell>
          <cell r="I18">
            <v>0</v>
          </cell>
        </row>
        <row r="19">
          <cell r="C19">
            <v>12382000</v>
          </cell>
          <cell r="D19">
            <v>0</v>
          </cell>
          <cell r="E19">
            <v>0</v>
          </cell>
          <cell r="F19">
            <v>0</v>
          </cell>
          <cell r="H19">
            <v>12099000</v>
          </cell>
          <cell r="I19">
            <v>0</v>
          </cell>
        </row>
        <row r="20">
          <cell r="C20">
            <v>11697000</v>
          </cell>
          <cell r="D20">
            <v>0</v>
          </cell>
          <cell r="E20">
            <v>0</v>
          </cell>
          <cell r="F20">
            <v>0</v>
          </cell>
          <cell r="H20">
            <v>11281000</v>
          </cell>
          <cell r="I20">
            <v>0</v>
          </cell>
        </row>
        <row r="21">
          <cell r="C21">
            <v>11833000</v>
          </cell>
          <cell r="D21">
            <v>0</v>
          </cell>
          <cell r="E21">
            <v>0</v>
          </cell>
          <cell r="F21">
            <v>0</v>
          </cell>
          <cell r="H21">
            <v>11323000</v>
          </cell>
          <cell r="I21">
            <v>0</v>
          </cell>
        </row>
        <row r="22">
          <cell r="C22">
            <v>13119000</v>
          </cell>
          <cell r="D22">
            <v>0</v>
          </cell>
          <cell r="E22">
            <v>0</v>
          </cell>
          <cell r="F22">
            <v>0</v>
          </cell>
          <cell r="H22">
            <v>12684000</v>
          </cell>
          <cell r="I22">
            <v>0</v>
          </cell>
        </row>
        <row r="23">
          <cell r="C23">
            <v>12927000</v>
          </cell>
          <cell r="D23">
            <v>0</v>
          </cell>
          <cell r="E23">
            <v>0</v>
          </cell>
          <cell r="F23">
            <v>0</v>
          </cell>
          <cell r="H23">
            <v>12661000</v>
          </cell>
          <cell r="I23">
            <v>0</v>
          </cell>
        </row>
        <row r="24">
          <cell r="C24">
            <v>12105000</v>
          </cell>
          <cell r="D24">
            <v>0</v>
          </cell>
          <cell r="E24">
            <v>0</v>
          </cell>
          <cell r="F24">
            <v>0</v>
          </cell>
          <cell r="H24">
            <v>11667000</v>
          </cell>
          <cell r="I24">
            <v>0</v>
          </cell>
        </row>
        <row r="25">
          <cell r="C25">
            <v>11948000</v>
          </cell>
          <cell r="D25">
            <v>0</v>
          </cell>
          <cell r="E25">
            <v>0</v>
          </cell>
          <cell r="F25">
            <v>0</v>
          </cell>
          <cell r="H25">
            <v>11573000</v>
          </cell>
          <cell r="I25">
            <v>0</v>
          </cell>
        </row>
        <row r="26">
          <cell r="C26">
            <v>12072000</v>
          </cell>
          <cell r="D26">
            <v>0</v>
          </cell>
          <cell r="E26">
            <v>0</v>
          </cell>
          <cell r="F26">
            <v>0</v>
          </cell>
          <cell r="H26">
            <v>11564000</v>
          </cell>
          <cell r="I26">
            <v>0</v>
          </cell>
        </row>
        <row r="27">
          <cell r="C27">
            <v>12358000</v>
          </cell>
          <cell r="D27">
            <v>0</v>
          </cell>
          <cell r="E27">
            <v>0</v>
          </cell>
          <cell r="F27">
            <v>0</v>
          </cell>
          <cell r="H27">
            <v>12010000</v>
          </cell>
          <cell r="I27">
            <v>0</v>
          </cell>
        </row>
        <row r="28">
          <cell r="C28">
            <v>13496000</v>
          </cell>
          <cell r="D28">
            <v>0</v>
          </cell>
          <cell r="E28">
            <v>0</v>
          </cell>
          <cell r="F28">
            <v>0</v>
          </cell>
          <cell r="H28">
            <v>13101000</v>
          </cell>
          <cell r="I28">
            <v>0</v>
          </cell>
        </row>
        <row r="29">
          <cell r="C29">
            <v>12137000</v>
          </cell>
          <cell r="D29">
            <v>0</v>
          </cell>
          <cell r="E29">
            <v>0</v>
          </cell>
          <cell r="F29">
            <v>0</v>
          </cell>
          <cell r="H29">
            <v>11708000</v>
          </cell>
          <cell r="I29">
            <v>0</v>
          </cell>
        </row>
        <row r="30">
          <cell r="C30">
            <v>11947000</v>
          </cell>
          <cell r="D30">
            <v>0</v>
          </cell>
          <cell r="E30">
            <v>0</v>
          </cell>
          <cell r="F30">
            <v>0</v>
          </cell>
          <cell r="H30">
            <v>11594000</v>
          </cell>
          <cell r="I30">
            <v>0</v>
          </cell>
        </row>
        <row r="31">
          <cell r="C31">
            <v>12511000</v>
          </cell>
          <cell r="D31">
            <v>0</v>
          </cell>
          <cell r="E31">
            <v>0</v>
          </cell>
          <cell r="F31">
            <v>0</v>
          </cell>
          <cell r="H31">
            <v>11977000</v>
          </cell>
          <cell r="I31">
            <v>0</v>
          </cell>
        </row>
        <row r="32">
          <cell r="C32">
            <v>12702000</v>
          </cell>
          <cell r="D32">
            <v>0</v>
          </cell>
          <cell r="E32">
            <v>0</v>
          </cell>
          <cell r="F32">
            <v>0</v>
          </cell>
          <cell r="H32">
            <v>12257000</v>
          </cell>
          <cell r="I32">
            <v>0</v>
          </cell>
        </row>
        <row r="33">
          <cell r="C33">
            <v>11921000</v>
          </cell>
          <cell r="D33">
            <v>0</v>
          </cell>
          <cell r="E33">
            <v>0</v>
          </cell>
          <cell r="F33">
            <v>0</v>
          </cell>
          <cell r="H33">
            <v>11612000</v>
          </cell>
          <cell r="I33">
            <v>0</v>
          </cell>
        </row>
        <row r="34">
          <cell r="C34">
            <v>11885000</v>
          </cell>
          <cell r="D34">
            <v>0</v>
          </cell>
          <cell r="E34">
            <v>0</v>
          </cell>
          <cell r="F34">
            <v>0</v>
          </cell>
          <cell r="H34">
            <v>11502000</v>
          </cell>
          <cell r="I34">
            <v>0</v>
          </cell>
        </row>
        <row r="259">
          <cell r="D259">
            <v>300000</v>
          </cell>
          <cell r="H259">
            <v>2811209</v>
          </cell>
        </row>
        <row r="260">
          <cell r="D260">
            <v>441999.99999999994</v>
          </cell>
          <cell r="H260">
            <v>84819</v>
          </cell>
        </row>
        <row r="261">
          <cell r="D261">
            <v>377000</v>
          </cell>
          <cell r="H261">
            <v>0</v>
          </cell>
        </row>
        <row r="262">
          <cell r="D262">
            <v>297000</v>
          </cell>
          <cell r="H262">
            <v>0</v>
          </cell>
        </row>
        <row r="263">
          <cell r="D263">
            <v>454000</v>
          </cell>
          <cell r="H263">
            <v>0</v>
          </cell>
        </row>
        <row r="264">
          <cell r="D264">
            <v>515999.99999999988</v>
          </cell>
          <cell r="H264">
            <v>110685</v>
          </cell>
        </row>
        <row r="265">
          <cell r="D265">
            <v>387000</v>
          </cell>
          <cell r="H265">
            <v>83228</v>
          </cell>
        </row>
        <row r="266">
          <cell r="D266">
            <v>358000.00000000012</v>
          </cell>
          <cell r="H266">
            <v>37760</v>
          </cell>
        </row>
        <row r="267">
          <cell r="D267">
            <v>571000.00000000012</v>
          </cell>
          <cell r="H267">
            <v>0</v>
          </cell>
        </row>
        <row r="268">
          <cell r="D268">
            <v>351000</v>
          </cell>
          <cell r="H268">
            <v>0</v>
          </cell>
        </row>
        <row r="269">
          <cell r="D269">
            <v>330999.99999999994</v>
          </cell>
          <cell r="H269">
            <v>78065</v>
          </cell>
        </row>
        <row r="270">
          <cell r="D270">
            <v>307999.99999999994</v>
          </cell>
          <cell r="H270">
            <v>72624</v>
          </cell>
        </row>
        <row r="271">
          <cell r="D271">
            <v>497000.00000000012</v>
          </cell>
          <cell r="H271">
            <v>0</v>
          </cell>
        </row>
        <row r="272">
          <cell r="D272">
            <v>420999.99999999983</v>
          </cell>
          <cell r="H272">
            <v>54997</v>
          </cell>
        </row>
        <row r="273">
          <cell r="D273">
            <v>360000.00000000029</v>
          </cell>
          <cell r="H273">
            <v>0</v>
          </cell>
        </row>
        <row r="274">
          <cell r="D274">
            <v>282999.99999999994</v>
          </cell>
          <cell r="H274">
            <v>37772</v>
          </cell>
        </row>
        <row r="275">
          <cell r="D275">
            <v>415999.99999999994</v>
          </cell>
          <cell r="H275">
            <v>115905</v>
          </cell>
        </row>
        <row r="276">
          <cell r="D276">
            <v>509999.99999999977</v>
          </cell>
          <cell r="H276">
            <v>0</v>
          </cell>
        </row>
        <row r="277">
          <cell r="D277">
            <v>435000.00000000006</v>
          </cell>
          <cell r="H277">
            <v>0</v>
          </cell>
        </row>
        <row r="278">
          <cell r="D278">
            <v>266000</v>
          </cell>
          <cell r="H278">
            <v>194997</v>
          </cell>
        </row>
        <row r="279">
          <cell r="D279">
            <v>437999.99999999971</v>
          </cell>
          <cell r="H279">
            <v>157766</v>
          </cell>
        </row>
        <row r="280">
          <cell r="D280">
            <v>375000</v>
          </cell>
          <cell r="H280">
            <v>38966</v>
          </cell>
        </row>
        <row r="281">
          <cell r="D281">
            <v>508000</v>
          </cell>
          <cell r="H281">
            <v>14837</v>
          </cell>
        </row>
        <row r="282">
          <cell r="D282">
            <v>348000.00000000076</v>
          </cell>
          <cell r="H282">
            <v>0</v>
          </cell>
        </row>
        <row r="283">
          <cell r="D283">
            <v>394999.99999999959</v>
          </cell>
          <cell r="H283">
            <v>0</v>
          </cell>
        </row>
        <row r="284">
          <cell r="D284">
            <v>429000.00000000029</v>
          </cell>
          <cell r="H284">
            <v>0</v>
          </cell>
        </row>
        <row r="285">
          <cell r="D285">
            <v>352999.99999999977</v>
          </cell>
          <cell r="H285">
            <v>333365</v>
          </cell>
        </row>
        <row r="286">
          <cell r="D286">
            <v>533999.99999999977</v>
          </cell>
          <cell r="H286">
            <v>0</v>
          </cell>
        </row>
        <row r="287">
          <cell r="D287">
            <v>445000.00000000029</v>
          </cell>
          <cell r="H287">
            <v>0</v>
          </cell>
        </row>
        <row r="288">
          <cell r="D288">
            <v>308999.9999999993</v>
          </cell>
          <cell r="H288">
            <v>0</v>
          </cell>
        </row>
        <row r="289">
          <cell r="D289">
            <v>383000.00000000087</v>
          </cell>
          <cell r="H289">
            <v>0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1"/>
      <sheetName val="2"/>
      <sheetName val="3"/>
      <sheetName val="4"/>
      <sheetName val="5"/>
      <sheetName val="6"/>
      <sheetName val="7"/>
      <sheetName val="8"/>
      <sheetName val="9"/>
      <sheetName val="10"/>
      <sheetName val="11"/>
      <sheetName val="12"/>
      <sheetName val="13"/>
      <sheetName val="14"/>
      <sheetName val="15"/>
      <sheetName val="16"/>
      <sheetName val="17"/>
      <sheetName val="18"/>
      <sheetName val="19"/>
      <sheetName val="20"/>
      <sheetName val="21"/>
      <sheetName val="22"/>
      <sheetName val="23"/>
      <sheetName val="24"/>
      <sheetName val="25"/>
      <sheetName val="26"/>
      <sheetName val="27"/>
      <sheetName val="28"/>
      <sheetName val="29"/>
      <sheetName val="30"/>
      <sheetName val="31"/>
      <sheetName val="Jan Prod"/>
      <sheetName val="Sheet1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>
        <row r="4">
          <cell r="C4">
            <v>12226000</v>
          </cell>
          <cell r="D4">
            <v>0</v>
          </cell>
          <cell r="E4">
            <v>0</v>
          </cell>
          <cell r="F4">
            <v>0</v>
          </cell>
          <cell r="H4">
            <v>11872000</v>
          </cell>
          <cell r="I4">
            <v>0</v>
          </cell>
        </row>
        <row r="5">
          <cell r="C5">
            <v>11874000</v>
          </cell>
          <cell r="D5">
            <v>0</v>
          </cell>
          <cell r="E5">
            <v>0</v>
          </cell>
          <cell r="F5">
            <v>0</v>
          </cell>
          <cell r="H5">
            <v>11491000</v>
          </cell>
          <cell r="I5">
            <v>0</v>
          </cell>
        </row>
        <row r="6">
          <cell r="C6">
            <v>11970000</v>
          </cell>
          <cell r="D6">
            <v>0</v>
          </cell>
          <cell r="E6">
            <v>0</v>
          </cell>
          <cell r="F6">
            <v>0</v>
          </cell>
          <cell r="H6">
            <v>11539000</v>
          </cell>
          <cell r="I6">
            <v>0</v>
          </cell>
        </row>
        <row r="7">
          <cell r="C7">
            <v>12096000</v>
          </cell>
          <cell r="D7">
            <v>0</v>
          </cell>
          <cell r="E7">
            <v>0</v>
          </cell>
          <cell r="F7">
            <v>0</v>
          </cell>
          <cell r="H7">
            <v>11692000</v>
          </cell>
          <cell r="I7">
            <v>0</v>
          </cell>
        </row>
        <row r="8">
          <cell r="C8">
            <v>12475000</v>
          </cell>
          <cell r="D8">
            <v>0</v>
          </cell>
          <cell r="E8">
            <v>0</v>
          </cell>
          <cell r="F8">
            <v>0</v>
          </cell>
          <cell r="H8">
            <v>12071000</v>
          </cell>
          <cell r="I8">
            <v>0</v>
          </cell>
        </row>
        <row r="9">
          <cell r="C9">
            <v>12038000</v>
          </cell>
          <cell r="D9">
            <v>0</v>
          </cell>
          <cell r="E9">
            <v>0</v>
          </cell>
          <cell r="F9">
            <v>0</v>
          </cell>
          <cell r="H9">
            <v>11798000</v>
          </cell>
          <cell r="I9">
            <v>0</v>
          </cell>
        </row>
        <row r="10">
          <cell r="C10">
            <v>11839000</v>
          </cell>
          <cell r="D10">
            <v>0</v>
          </cell>
          <cell r="E10">
            <v>0</v>
          </cell>
          <cell r="F10">
            <v>0</v>
          </cell>
          <cell r="H10">
            <v>11436000</v>
          </cell>
          <cell r="I10">
            <v>0</v>
          </cell>
        </row>
        <row r="11">
          <cell r="C11">
            <v>12100000</v>
          </cell>
          <cell r="D11">
            <v>0</v>
          </cell>
          <cell r="E11">
            <v>0</v>
          </cell>
          <cell r="F11">
            <v>0</v>
          </cell>
          <cell r="H11">
            <v>11696000</v>
          </cell>
          <cell r="I11">
            <v>0</v>
          </cell>
        </row>
        <row r="12">
          <cell r="C12">
            <v>12920000</v>
          </cell>
          <cell r="D12">
            <v>0</v>
          </cell>
          <cell r="E12">
            <v>0</v>
          </cell>
          <cell r="F12">
            <v>0</v>
          </cell>
          <cell r="H12">
            <v>12538000</v>
          </cell>
          <cell r="I12">
            <v>0</v>
          </cell>
        </row>
        <row r="13">
          <cell r="C13">
            <v>13170000</v>
          </cell>
          <cell r="D13">
            <v>0</v>
          </cell>
          <cell r="E13">
            <v>0</v>
          </cell>
          <cell r="F13">
            <v>0</v>
          </cell>
          <cell r="H13">
            <v>12789000</v>
          </cell>
          <cell r="I13">
            <v>0</v>
          </cell>
        </row>
        <row r="14">
          <cell r="C14">
            <v>12050000</v>
          </cell>
          <cell r="D14">
            <v>0</v>
          </cell>
          <cell r="E14">
            <v>0</v>
          </cell>
          <cell r="F14">
            <v>0</v>
          </cell>
          <cell r="H14">
            <v>11646000</v>
          </cell>
          <cell r="I14">
            <v>0</v>
          </cell>
        </row>
        <row r="15">
          <cell r="C15">
            <v>11976000</v>
          </cell>
          <cell r="D15">
            <v>0</v>
          </cell>
          <cell r="E15">
            <v>0</v>
          </cell>
          <cell r="F15">
            <v>530000</v>
          </cell>
          <cell r="H15">
            <v>11643000</v>
          </cell>
          <cell r="I15">
            <v>0</v>
          </cell>
        </row>
        <row r="16">
          <cell r="C16">
            <v>11757000</v>
          </cell>
          <cell r="D16">
            <v>0</v>
          </cell>
          <cell r="E16">
            <v>0</v>
          </cell>
          <cell r="F16">
            <v>0</v>
          </cell>
          <cell r="H16">
            <v>11445000</v>
          </cell>
          <cell r="I16">
            <v>0</v>
          </cell>
        </row>
        <row r="17">
          <cell r="C17">
            <v>12292000</v>
          </cell>
          <cell r="D17">
            <v>0</v>
          </cell>
          <cell r="E17">
            <v>0</v>
          </cell>
          <cell r="F17">
            <v>0</v>
          </cell>
          <cell r="H17">
            <v>11889999.999999998</v>
          </cell>
          <cell r="I17">
            <v>0</v>
          </cell>
        </row>
        <row r="18">
          <cell r="C18">
            <v>11841000</v>
          </cell>
          <cell r="D18">
            <v>0</v>
          </cell>
          <cell r="E18">
            <v>0</v>
          </cell>
          <cell r="F18">
            <v>0</v>
          </cell>
          <cell r="H18">
            <v>11436000</v>
          </cell>
          <cell r="I18">
            <v>0</v>
          </cell>
        </row>
        <row r="19">
          <cell r="C19">
            <v>13127000</v>
          </cell>
          <cell r="D19">
            <v>0</v>
          </cell>
          <cell r="E19">
            <v>0</v>
          </cell>
          <cell r="F19">
            <v>0</v>
          </cell>
          <cell r="H19">
            <v>12744000</v>
          </cell>
          <cell r="I19">
            <v>0</v>
          </cell>
        </row>
        <row r="20">
          <cell r="C20">
            <v>12945000</v>
          </cell>
          <cell r="D20">
            <v>0</v>
          </cell>
          <cell r="E20">
            <v>0</v>
          </cell>
          <cell r="F20">
            <v>490000</v>
          </cell>
          <cell r="H20">
            <v>12626000</v>
          </cell>
          <cell r="I20">
            <v>0</v>
          </cell>
        </row>
        <row r="21">
          <cell r="C21">
            <v>11838000</v>
          </cell>
          <cell r="D21">
            <v>0</v>
          </cell>
          <cell r="E21">
            <v>0</v>
          </cell>
          <cell r="F21">
            <v>0</v>
          </cell>
          <cell r="H21">
            <v>11362000</v>
          </cell>
          <cell r="I21">
            <v>0</v>
          </cell>
        </row>
        <row r="22">
          <cell r="C22">
            <v>11503000</v>
          </cell>
          <cell r="D22">
            <v>0</v>
          </cell>
          <cell r="E22">
            <v>0</v>
          </cell>
          <cell r="F22">
            <v>0</v>
          </cell>
          <cell r="H22">
            <v>11165000</v>
          </cell>
          <cell r="I22">
            <v>0</v>
          </cell>
        </row>
        <row r="23">
          <cell r="C23">
            <v>11473000</v>
          </cell>
          <cell r="D23">
            <v>0</v>
          </cell>
          <cell r="E23">
            <v>0</v>
          </cell>
          <cell r="F23">
            <v>0</v>
          </cell>
          <cell r="H23">
            <v>11141000.000000002</v>
          </cell>
          <cell r="I23">
            <v>0</v>
          </cell>
        </row>
        <row r="24">
          <cell r="C24">
            <v>11447000</v>
          </cell>
          <cell r="D24">
            <v>0</v>
          </cell>
          <cell r="E24">
            <v>0</v>
          </cell>
          <cell r="F24">
            <v>0</v>
          </cell>
          <cell r="H24">
            <v>11041999.999999998</v>
          </cell>
          <cell r="I24">
            <v>0</v>
          </cell>
        </row>
        <row r="25">
          <cell r="C25">
            <v>12520000</v>
          </cell>
          <cell r="D25">
            <v>0</v>
          </cell>
          <cell r="E25">
            <v>0</v>
          </cell>
          <cell r="F25">
            <v>0</v>
          </cell>
          <cell r="H25">
            <v>12128999.999999998</v>
          </cell>
          <cell r="I25">
            <v>0</v>
          </cell>
        </row>
        <row r="26">
          <cell r="C26">
            <v>12937000</v>
          </cell>
          <cell r="D26">
            <v>0</v>
          </cell>
          <cell r="E26">
            <v>0</v>
          </cell>
          <cell r="F26">
            <v>490000</v>
          </cell>
          <cell r="H26">
            <v>12540000.000000002</v>
          </cell>
          <cell r="I26">
            <v>0</v>
          </cell>
        </row>
        <row r="27">
          <cell r="C27">
            <v>12690000</v>
          </cell>
          <cell r="D27">
            <v>0</v>
          </cell>
          <cell r="E27">
            <v>0</v>
          </cell>
          <cell r="F27">
            <v>0</v>
          </cell>
          <cell r="H27">
            <v>12219000</v>
          </cell>
          <cell r="I27">
            <v>0</v>
          </cell>
        </row>
        <row r="28">
          <cell r="C28">
            <v>12617000</v>
          </cell>
          <cell r="D28">
            <v>0</v>
          </cell>
          <cell r="E28">
            <v>0</v>
          </cell>
          <cell r="F28">
            <v>470000</v>
          </cell>
          <cell r="H28">
            <v>12146000</v>
          </cell>
          <cell r="I28">
            <v>0</v>
          </cell>
        </row>
        <row r="29">
          <cell r="C29">
            <v>11987000</v>
          </cell>
          <cell r="D29">
            <v>0</v>
          </cell>
          <cell r="E29">
            <v>0</v>
          </cell>
          <cell r="F29">
            <v>0</v>
          </cell>
          <cell r="H29">
            <v>11738000.000000002</v>
          </cell>
          <cell r="I29">
            <v>0</v>
          </cell>
        </row>
        <row r="30">
          <cell r="C30">
            <v>11619000</v>
          </cell>
          <cell r="D30">
            <v>0</v>
          </cell>
          <cell r="E30">
            <v>0</v>
          </cell>
          <cell r="F30">
            <v>0</v>
          </cell>
          <cell r="H30">
            <v>11280999.999999998</v>
          </cell>
          <cell r="I30">
            <v>0</v>
          </cell>
        </row>
        <row r="31">
          <cell r="C31">
            <v>12262000</v>
          </cell>
          <cell r="D31">
            <v>0</v>
          </cell>
          <cell r="E31">
            <v>0</v>
          </cell>
          <cell r="F31">
            <v>0</v>
          </cell>
          <cell r="H31">
            <v>11923999.999999998</v>
          </cell>
          <cell r="I31">
            <v>0</v>
          </cell>
        </row>
        <row r="32">
          <cell r="C32">
            <v>13134000</v>
          </cell>
          <cell r="D32">
            <v>0</v>
          </cell>
          <cell r="E32">
            <v>0</v>
          </cell>
          <cell r="F32">
            <v>0</v>
          </cell>
          <cell r="H32">
            <v>12671000.000000002</v>
          </cell>
          <cell r="I32">
            <v>0</v>
          </cell>
        </row>
        <row r="33">
          <cell r="C33">
            <v>12085000</v>
          </cell>
          <cell r="D33">
            <v>0</v>
          </cell>
          <cell r="F33">
            <v>0</v>
          </cell>
          <cell r="H33">
            <v>11637999.999999996</v>
          </cell>
          <cell r="I33">
            <v>0</v>
          </cell>
        </row>
        <row r="34">
          <cell r="C34">
            <v>11352000</v>
          </cell>
          <cell r="D34">
            <v>0</v>
          </cell>
          <cell r="E34">
            <v>0</v>
          </cell>
          <cell r="F34">
            <v>0</v>
          </cell>
          <cell r="H34">
            <v>10939000</v>
          </cell>
          <cell r="I34">
            <v>0</v>
          </cell>
        </row>
        <row r="259">
          <cell r="D259">
            <v>353999.99999999919</v>
          </cell>
          <cell r="H259">
            <v>0</v>
          </cell>
        </row>
        <row r="260">
          <cell r="D260">
            <v>383000.00000000087</v>
          </cell>
          <cell r="H260">
            <v>0</v>
          </cell>
        </row>
        <row r="261">
          <cell r="D261">
            <v>430999.99999999919</v>
          </cell>
          <cell r="H261">
            <v>0</v>
          </cell>
        </row>
        <row r="262">
          <cell r="D262">
            <v>403999.99999999994</v>
          </cell>
          <cell r="H262">
            <v>0</v>
          </cell>
        </row>
        <row r="263">
          <cell r="D263">
            <v>403999.99999999994</v>
          </cell>
          <cell r="H263">
            <v>0</v>
          </cell>
        </row>
        <row r="264">
          <cell r="D264">
            <v>240000.0000000002</v>
          </cell>
          <cell r="H264">
            <v>0</v>
          </cell>
        </row>
        <row r="265">
          <cell r="D265">
            <v>403000.00000000047</v>
          </cell>
          <cell r="H265">
            <v>0</v>
          </cell>
        </row>
        <row r="266">
          <cell r="D266">
            <v>403999.99999999994</v>
          </cell>
          <cell r="H266">
            <v>0</v>
          </cell>
        </row>
        <row r="267">
          <cell r="D267">
            <v>381999.99999999965</v>
          </cell>
          <cell r="H267">
            <v>0</v>
          </cell>
        </row>
        <row r="268">
          <cell r="D268">
            <v>381000.00000000023</v>
          </cell>
          <cell r="H268">
            <v>0</v>
          </cell>
        </row>
        <row r="269">
          <cell r="D269">
            <v>403999.99999999994</v>
          </cell>
          <cell r="H269">
            <v>0</v>
          </cell>
        </row>
        <row r="270">
          <cell r="D270">
            <v>333000.00000000017</v>
          </cell>
          <cell r="H270">
            <v>10208</v>
          </cell>
        </row>
        <row r="271">
          <cell r="D271">
            <v>311999.99999999942</v>
          </cell>
          <cell r="H271">
            <v>0</v>
          </cell>
        </row>
        <row r="272">
          <cell r="D272">
            <v>402000.00000000105</v>
          </cell>
          <cell r="H272">
            <v>0</v>
          </cell>
        </row>
        <row r="273">
          <cell r="D273">
            <v>404999.99999999936</v>
          </cell>
          <cell r="H273">
            <v>0</v>
          </cell>
        </row>
        <row r="274">
          <cell r="D274">
            <v>383000.00000000087</v>
          </cell>
          <cell r="H274">
            <v>0</v>
          </cell>
        </row>
        <row r="275">
          <cell r="D275">
            <v>318999.99999999907</v>
          </cell>
          <cell r="H275">
            <v>0</v>
          </cell>
        </row>
        <row r="276">
          <cell r="D276">
            <v>476000.00000000087</v>
          </cell>
          <cell r="H276">
            <v>0</v>
          </cell>
        </row>
        <row r="277">
          <cell r="D277">
            <v>337999.99999999919</v>
          </cell>
          <cell r="H277">
            <v>0</v>
          </cell>
        </row>
        <row r="278">
          <cell r="D278">
            <v>331999.99999999895</v>
          </cell>
          <cell r="H278">
            <v>0</v>
          </cell>
        </row>
        <row r="279">
          <cell r="D279">
            <v>405000.00000000116</v>
          </cell>
          <cell r="H279">
            <v>0</v>
          </cell>
        </row>
        <row r="280">
          <cell r="D280">
            <v>391000.0000000018</v>
          </cell>
          <cell r="H280">
            <v>0</v>
          </cell>
        </row>
        <row r="281">
          <cell r="D281">
            <v>396999.99999999849</v>
          </cell>
          <cell r="H281">
            <v>153909</v>
          </cell>
        </row>
        <row r="282">
          <cell r="D282">
            <v>471000.00000000006</v>
          </cell>
          <cell r="H282">
            <v>0</v>
          </cell>
        </row>
        <row r="283">
          <cell r="D283">
            <v>471000.00000000006</v>
          </cell>
          <cell r="H283">
            <v>0</v>
          </cell>
        </row>
        <row r="284">
          <cell r="D284">
            <v>248999.99999999878</v>
          </cell>
          <cell r="H284">
            <v>0</v>
          </cell>
        </row>
        <row r="285">
          <cell r="D285">
            <v>338000.00000000099</v>
          </cell>
          <cell r="H285">
            <v>0</v>
          </cell>
        </row>
        <row r="286">
          <cell r="D286">
            <v>338000.00000000099</v>
          </cell>
          <cell r="H286">
            <v>0</v>
          </cell>
        </row>
        <row r="287">
          <cell r="D287">
            <v>462999.99999999744</v>
          </cell>
          <cell r="H287">
            <v>0</v>
          </cell>
        </row>
        <row r="288">
          <cell r="D288">
            <v>447000.00000000274</v>
          </cell>
          <cell r="H288">
            <v>0</v>
          </cell>
        </row>
        <row r="289">
          <cell r="D289">
            <v>413000.00000000023</v>
          </cell>
          <cell r="H289">
            <v>0</v>
          </cell>
        </row>
      </sheetData>
      <sheetData sheetId="32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1"/>
      <sheetName val="2"/>
      <sheetName val="3"/>
      <sheetName val="4"/>
      <sheetName val="5"/>
      <sheetName val="6"/>
      <sheetName val="7"/>
      <sheetName val="8"/>
      <sheetName val="9"/>
      <sheetName val="10"/>
      <sheetName val="11"/>
      <sheetName val="12"/>
      <sheetName val="13"/>
      <sheetName val="14"/>
      <sheetName val="15"/>
      <sheetName val="16"/>
      <sheetName val="17"/>
      <sheetName val="18"/>
      <sheetName val="19"/>
      <sheetName val="20"/>
      <sheetName val="21"/>
      <sheetName val="22"/>
      <sheetName val="23"/>
      <sheetName val="24"/>
      <sheetName val="25"/>
      <sheetName val="26"/>
      <sheetName val="27"/>
      <sheetName val="28"/>
      <sheetName val="Feb Prod"/>
      <sheetName val="Sheet1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>
        <row r="4">
          <cell r="C4">
            <v>11087000</v>
          </cell>
          <cell r="D4">
            <v>0</v>
          </cell>
          <cell r="E4">
            <v>0</v>
          </cell>
          <cell r="F4">
            <v>0</v>
          </cell>
          <cell r="H4">
            <v>10756000</v>
          </cell>
          <cell r="I4">
            <v>0</v>
          </cell>
        </row>
        <row r="5">
          <cell r="C5">
            <v>11048000</v>
          </cell>
          <cell r="D5">
            <v>0</v>
          </cell>
          <cell r="E5">
            <v>0</v>
          </cell>
          <cell r="F5">
            <v>0</v>
          </cell>
          <cell r="H5">
            <v>10651000.000000002</v>
          </cell>
          <cell r="I5">
            <v>0</v>
          </cell>
        </row>
        <row r="6">
          <cell r="C6">
            <v>11978000</v>
          </cell>
          <cell r="D6">
            <v>0</v>
          </cell>
          <cell r="E6">
            <v>0</v>
          </cell>
          <cell r="F6">
            <v>0</v>
          </cell>
          <cell r="H6">
            <v>11589999.999999998</v>
          </cell>
          <cell r="I6">
            <v>0</v>
          </cell>
        </row>
        <row r="7">
          <cell r="C7">
            <v>13485000</v>
          </cell>
          <cell r="D7">
            <v>0</v>
          </cell>
          <cell r="E7">
            <v>0</v>
          </cell>
          <cell r="F7">
            <v>0</v>
          </cell>
          <cell r="H7">
            <v>13147000.000000002</v>
          </cell>
          <cell r="I7">
            <v>0</v>
          </cell>
        </row>
        <row r="8">
          <cell r="C8">
            <v>14117000</v>
          </cell>
          <cell r="D8">
            <v>0</v>
          </cell>
          <cell r="E8">
            <v>0</v>
          </cell>
          <cell r="F8">
            <v>0</v>
          </cell>
          <cell r="H8">
            <v>13785999.999999996</v>
          </cell>
          <cell r="I8">
            <v>0</v>
          </cell>
        </row>
        <row r="9">
          <cell r="C9">
            <v>13133000</v>
          </cell>
          <cell r="D9">
            <v>0</v>
          </cell>
          <cell r="E9">
            <v>0</v>
          </cell>
          <cell r="F9">
            <v>0</v>
          </cell>
          <cell r="H9">
            <v>12744000</v>
          </cell>
          <cell r="I9">
            <v>0</v>
          </cell>
        </row>
        <row r="10">
          <cell r="C10">
            <v>11457000</v>
          </cell>
          <cell r="D10">
            <v>0</v>
          </cell>
          <cell r="E10">
            <v>0</v>
          </cell>
          <cell r="F10">
            <v>0</v>
          </cell>
          <cell r="H10">
            <v>10986000</v>
          </cell>
          <cell r="I10">
            <v>0</v>
          </cell>
        </row>
        <row r="11">
          <cell r="C11">
            <v>11491000</v>
          </cell>
          <cell r="D11">
            <v>0</v>
          </cell>
          <cell r="E11">
            <v>0</v>
          </cell>
          <cell r="F11">
            <v>0</v>
          </cell>
          <cell r="H11">
            <v>11197000</v>
          </cell>
          <cell r="I11">
            <v>0</v>
          </cell>
        </row>
        <row r="12">
          <cell r="C12">
            <v>12088000</v>
          </cell>
          <cell r="D12">
            <v>0</v>
          </cell>
          <cell r="E12">
            <v>0</v>
          </cell>
          <cell r="F12">
            <v>0</v>
          </cell>
          <cell r="H12">
            <v>11794000.000000004</v>
          </cell>
          <cell r="I12">
            <v>0</v>
          </cell>
        </row>
        <row r="13">
          <cell r="C13">
            <v>12091000</v>
          </cell>
          <cell r="D13">
            <v>0</v>
          </cell>
          <cell r="E13">
            <v>0</v>
          </cell>
          <cell r="F13">
            <v>0</v>
          </cell>
          <cell r="H13">
            <v>11754999.999999998</v>
          </cell>
          <cell r="I13">
            <v>0</v>
          </cell>
        </row>
        <row r="14">
          <cell r="C14">
            <v>12088000</v>
          </cell>
          <cell r="D14">
            <v>0</v>
          </cell>
          <cell r="E14">
            <v>0</v>
          </cell>
          <cell r="F14">
            <v>0</v>
          </cell>
          <cell r="H14">
            <v>11690000</v>
          </cell>
          <cell r="I14">
            <v>0</v>
          </cell>
        </row>
        <row r="15">
          <cell r="C15">
            <v>12315000</v>
          </cell>
          <cell r="D15">
            <v>0</v>
          </cell>
          <cell r="E15">
            <v>0</v>
          </cell>
          <cell r="F15">
            <v>0</v>
          </cell>
          <cell r="H15">
            <v>11895000.000000002</v>
          </cell>
          <cell r="I15">
            <v>0</v>
          </cell>
        </row>
        <row r="16">
          <cell r="C16">
            <v>12295000</v>
          </cell>
          <cell r="D16">
            <v>0</v>
          </cell>
          <cell r="E16">
            <v>0</v>
          </cell>
          <cell r="F16">
            <v>0</v>
          </cell>
          <cell r="H16">
            <v>11838999.999999996</v>
          </cell>
          <cell r="I16">
            <v>0</v>
          </cell>
        </row>
        <row r="17">
          <cell r="C17">
            <v>12851000</v>
          </cell>
          <cell r="D17">
            <v>0</v>
          </cell>
          <cell r="E17">
            <v>0</v>
          </cell>
          <cell r="F17">
            <v>0</v>
          </cell>
          <cell r="H17">
            <v>12653000</v>
          </cell>
          <cell r="I17">
            <v>0</v>
          </cell>
        </row>
        <row r="18">
          <cell r="C18">
            <v>13028000</v>
          </cell>
          <cell r="D18">
            <v>0</v>
          </cell>
          <cell r="E18">
            <v>0</v>
          </cell>
          <cell r="F18">
            <v>0</v>
          </cell>
          <cell r="H18">
            <v>12690000.000000002</v>
          </cell>
          <cell r="I18">
            <v>0</v>
          </cell>
        </row>
        <row r="19">
          <cell r="C19">
            <v>12275000</v>
          </cell>
          <cell r="D19">
            <v>0</v>
          </cell>
          <cell r="E19">
            <v>0</v>
          </cell>
          <cell r="F19">
            <v>0</v>
          </cell>
          <cell r="H19">
            <v>11935000</v>
          </cell>
          <cell r="I19">
            <v>0</v>
          </cell>
        </row>
        <row r="20">
          <cell r="C20">
            <v>12493000</v>
          </cell>
          <cell r="D20">
            <v>0</v>
          </cell>
          <cell r="E20">
            <v>0</v>
          </cell>
          <cell r="F20">
            <v>0</v>
          </cell>
          <cell r="H20">
            <v>12037999.999999998</v>
          </cell>
          <cell r="I20">
            <v>0</v>
          </cell>
        </row>
        <row r="21">
          <cell r="C21">
            <v>12635000</v>
          </cell>
          <cell r="D21">
            <v>0</v>
          </cell>
          <cell r="E21">
            <v>0</v>
          </cell>
          <cell r="F21">
            <v>0</v>
          </cell>
          <cell r="H21">
            <v>12325000.000000002</v>
          </cell>
          <cell r="I21">
            <v>0</v>
          </cell>
        </row>
        <row r="22">
          <cell r="C22">
            <v>12368000</v>
          </cell>
          <cell r="D22">
            <v>0</v>
          </cell>
          <cell r="E22">
            <v>0</v>
          </cell>
          <cell r="F22">
            <v>0</v>
          </cell>
          <cell r="H22">
            <v>12066000</v>
          </cell>
          <cell r="I22">
            <v>0</v>
          </cell>
        </row>
        <row r="23">
          <cell r="C23">
            <v>12285000</v>
          </cell>
          <cell r="D23">
            <v>0</v>
          </cell>
          <cell r="E23">
            <v>0</v>
          </cell>
          <cell r="F23">
            <v>0</v>
          </cell>
          <cell r="H23">
            <v>12012999.999999998</v>
          </cell>
          <cell r="I23">
            <v>0</v>
          </cell>
        </row>
        <row r="24">
          <cell r="C24">
            <v>11893000</v>
          </cell>
          <cell r="D24">
            <v>0</v>
          </cell>
          <cell r="E24">
            <v>0</v>
          </cell>
          <cell r="F24">
            <v>0</v>
          </cell>
          <cell r="H24">
            <v>11450000.000000002</v>
          </cell>
          <cell r="I24">
            <v>0</v>
          </cell>
        </row>
        <row r="25">
          <cell r="C25">
            <v>13137000</v>
          </cell>
          <cell r="D25">
            <v>0</v>
          </cell>
          <cell r="E25">
            <v>0</v>
          </cell>
          <cell r="F25">
            <v>0</v>
          </cell>
          <cell r="H25">
            <v>12709000</v>
          </cell>
          <cell r="I25">
            <v>0</v>
          </cell>
        </row>
        <row r="26">
          <cell r="C26">
            <v>12934000</v>
          </cell>
          <cell r="D26">
            <v>0</v>
          </cell>
          <cell r="E26">
            <v>0</v>
          </cell>
          <cell r="F26">
            <v>0</v>
          </cell>
          <cell r="H26">
            <v>12583000</v>
          </cell>
          <cell r="I26">
            <v>0</v>
          </cell>
        </row>
        <row r="27">
          <cell r="C27">
            <v>11904000</v>
          </cell>
          <cell r="D27">
            <v>0</v>
          </cell>
          <cell r="E27">
            <v>0</v>
          </cell>
          <cell r="F27">
            <v>0</v>
          </cell>
          <cell r="H27">
            <v>11599000</v>
          </cell>
          <cell r="I27">
            <v>0</v>
          </cell>
        </row>
        <row r="28">
          <cell r="C28">
            <v>10705000</v>
          </cell>
          <cell r="D28">
            <v>0</v>
          </cell>
          <cell r="E28">
            <v>0</v>
          </cell>
          <cell r="F28">
            <v>0</v>
          </cell>
          <cell r="H28">
            <v>10402000</v>
          </cell>
          <cell r="I28">
            <v>0</v>
          </cell>
        </row>
        <row r="29">
          <cell r="C29">
            <v>11208000</v>
          </cell>
          <cell r="D29">
            <v>0</v>
          </cell>
          <cell r="E29">
            <v>0</v>
          </cell>
          <cell r="F29">
            <v>0</v>
          </cell>
          <cell r="H29">
            <v>10818000</v>
          </cell>
          <cell r="I29">
            <v>0</v>
          </cell>
        </row>
        <row r="30">
          <cell r="C30">
            <v>11941000</v>
          </cell>
          <cell r="D30">
            <v>0</v>
          </cell>
          <cell r="E30">
            <v>0</v>
          </cell>
          <cell r="F30">
            <v>0</v>
          </cell>
          <cell r="H30">
            <v>11550000.000000002</v>
          </cell>
          <cell r="I30">
            <v>0</v>
          </cell>
        </row>
        <row r="31">
          <cell r="C31">
            <v>12865000</v>
          </cell>
          <cell r="D31">
            <v>0</v>
          </cell>
          <cell r="E31">
            <v>0</v>
          </cell>
          <cell r="F31">
            <v>0</v>
          </cell>
          <cell r="H31">
            <v>12554000</v>
          </cell>
          <cell r="I31">
            <v>0</v>
          </cell>
        </row>
        <row r="32">
          <cell r="C32">
            <v>0</v>
          </cell>
          <cell r="D32">
            <v>0</v>
          </cell>
          <cell r="E32">
            <v>0</v>
          </cell>
          <cell r="F32">
            <v>0</v>
          </cell>
          <cell r="H32">
            <v>0</v>
          </cell>
          <cell r="I32">
            <v>0</v>
          </cell>
        </row>
        <row r="245">
          <cell r="D245">
            <v>330999.99999999953</v>
          </cell>
          <cell r="H245">
            <v>0</v>
          </cell>
        </row>
        <row r="246">
          <cell r="D246">
            <v>396999.99999999849</v>
          </cell>
          <cell r="H246">
            <v>0</v>
          </cell>
        </row>
        <row r="247">
          <cell r="D247">
            <v>388000.00000000169</v>
          </cell>
          <cell r="H247">
            <v>0</v>
          </cell>
        </row>
        <row r="248">
          <cell r="D248">
            <v>337999.99999999744</v>
          </cell>
          <cell r="H248">
            <v>0</v>
          </cell>
        </row>
        <row r="249">
          <cell r="D249">
            <v>331000.00000000309</v>
          </cell>
          <cell r="H249">
            <v>0</v>
          </cell>
        </row>
        <row r="250">
          <cell r="D250">
            <v>388999.99999999936</v>
          </cell>
          <cell r="H250">
            <v>42238</v>
          </cell>
        </row>
        <row r="251">
          <cell r="D251">
            <v>471000.00000000006</v>
          </cell>
          <cell r="H251">
            <v>0</v>
          </cell>
        </row>
        <row r="252">
          <cell r="D252">
            <v>294000.00000000047</v>
          </cell>
          <cell r="H252">
            <v>223020</v>
          </cell>
        </row>
        <row r="253">
          <cell r="D253">
            <v>293999.99999999691</v>
          </cell>
          <cell r="H253">
            <v>0</v>
          </cell>
        </row>
        <row r="254">
          <cell r="D254">
            <v>336000.0000000021</v>
          </cell>
          <cell r="H254">
            <v>0</v>
          </cell>
        </row>
        <row r="255">
          <cell r="D255">
            <v>397999.99999999971</v>
          </cell>
          <cell r="H255">
            <v>0</v>
          </cell>
        </row>
        <row r="256">
          <cell r="D256">
            <v>419999.99999999814</v>
          </cell>
          <cell r="H256">
            <v>0</v>
          </cell>
        </row>
        <row r="257">
          <cell r="D257">
            <v>456000.00000000309</v>
          </cell>
          <cell r="H257">
            <v>0</v>
          </cell>
        </row>
        <row r="258">
          <cell r="D258">
            <v>198000.00000000041</v>
          </cell>
          <cell r="H258">
            <v>166983</v>
          </cell>
        </row>
        <row r="259">
          <cell r="D259">
            <v>337999.99999999744</v>
          </cell>
          <cell r="H259">
            <v>0</v>
          </cell>
        </row>
        <row r="260">
          <cell r="D260">
            <v>339999.99999999988</v>
          </cell>
          <cell r="H260">
            <v>0</v>
          </cell>
        </row>
        <row r="261">
          <cell r="D261">
            <v>455000.00000000186</v>
          </cell>
          <cell r="H261">
            <v>0</v>
          </cell>
        </row>
        <row r="262">
          <cell r="D262">
            <v>309999.99999999872</v>
          </cell>
          <cell r="H262">
            <v>0</v>
          </cell>
        </row>
        <row r="263">
          <cell r="D263">
            <v>301999.99999999959</v>
          </cell>
          <cell r="H263">
            <v>0</v>
          </cell>
        </row>
        <row r="264">
          <cell r="D264">
            <v>272000.00000000204</v>
          </cell>
          <cell r="H264">
            <v>0</v>
          </cell>
        </row>
        <row r="265">
          <cell r="D265">
            <v>442999.99999999785</v>
          </cell>
          <cell r="H265">
            <v>0</v>
          </cell>
        </row>
        <row r="266">
          <cell r="D266">
            <v>428000.00000000081</v>
          </cell>
          <cell r="H266">
            <v>36285</v>
          </cell>
        </row>
        <row r="267">
          <cell r="D267">
            <v>350999.99999999907</v>
          </cell>
          <cell r="H267">
            <v>0</v>
          </cell>
        </row>
        <row r="268">
          <cell r="D268">
            <v>304999.99999999971</v>
          </cell>
          <cell r="H268">
            <v>0</v>
          </cell>
        </row>
        <row r="269">
          <cell r="D269">
            <v>303000.00000000081</v>
          </cell>
          <cell r="H269">
            <v>0</v>
          </cell>
        </row>
        <row r="270">
          <cell r="D270">
            <v>390000.00000000058</v>
          </cell>
          <cell r="H270">
            <v>0</v>
          </cell>
        </row>
        <row r="271">
          <cell r="D271">
            <v>390999.99999999825</v>
          </cell>
          <cell r="H271">
            <v>74069</v>
          </cell>
        </row>
        <row r="272">
          <cell r="D272">
            <v>310999.99999999994</v>
          </cell>
          <cell r="H272">
            <v>73500</v>
          </cell>
        </row>
        <row r="273">
          <cell r="D273">
            <v>73500</v>
          </cell>
          <cell r="H273">
            <v>73500</v>
          </cell>
        </row>
      </sheetData>
      <sheetData sheetId="29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1"/>
      <sheetName val="2"/>
      <sheetName val="3"/>
      <sheetName val="4"/>
      <sheetName val="5"/>
      <sheetName val="6"/>
      <sheetName val="7"/>
      <sheetName val="8"/>
      <sheetName val="9"/>
      <sheetName val="10"/>
      <sheetName val="11"/>
      <sheetName val="12"/>
      <sheetName val="13"/>
      <sheetName val="14"/>
      <sheetName val="15"/>
      <sheetName val="16"/>
      <sheetName val="17"/>
      <sheetName val="18"/>
      <sheetName val="19"/>
      <sheetName val="20"/>
      <sheetName val="21"/>
      <sheetName val="22"/>
      <sheetName val="23"/>
      <sheetName val="24"/>
      <sheetName val="25"/>
      <sheetName val="26"/>
      <sheetName val="27"/>
      <sheetName val="28"/>
      <sheetName val="29"/>
      <sheetName val="30"/>
      <sheetName val="31"/>
      <sheetName val="Mar Pro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>
        <row r="4">
          <cell r="C4">
            <v>12984000</v>
          </cell>
          <cell r="D4">
            <v>0</v>
          </cell>
          <cell r="E4">
            <v>0</v>
          </cell>
          <cell r="F4">
            <v>0</v>
          </cell>
          <cell r="H4">
            <v>12609999.999999998</v>
          </cell>
          <cell r="I4">
            <v>0</v>
          </cell>
        </row>
        <row r="5">
          <cell r="C5">
            <v>13117000</v>
          </cell>
          <cell r="D5">
            <v>0</v>
          </cell>
          <cell r="E5">
            <v>0</v>
          </cell>
          <cell r="F5">
            <v>0</v>
          </cell>
          <cell r="H5">
            <v>12784000.000000002</v>
          </cell>
          <cell r="I5">
            <v>0</v>
          </cell>
        </row>
        <row r="6">
          <cell r="C6">
            <v>10979000</v>
          </cell>
          <cell r="D6">
            <v>0</v>
          </cell>
          <cell r="E6">
            <v>0</v>
          </cell>
          <cell r="F6">
            <v>0</v>
          </cell>
          <cell r="H6">
            <v>10535999.999999998</v>
          </cell>
          <cell r="I6">
            <v>0</v>
          </cell>
        </row>
        <row r="7">
          <cell r="C7">
            <v>12181000</v>
          </cell>
          <cell r="D7">
            <v>0</v>
          </cell>
          <cell r="E7">
            <v>0</v>
          </cell>
          <cell r="F7">
            <v>0</v>
          </cell>
          <cell r="H7">
            <v>11878000</v>
          </cell>
          <cell r="I7">
            <v>0</v>
          </cell>
        </row>
        <row r="8">
          <cell r="C8">
            <v>13096000</v>
          </cell>
          <cell r="D8">
            <v>0</v>
          </cell>
          <cell r="E8">
            <v>0</v>
          </cell>
          <cell r="F8">
            <v>0</v>
          </cell>
          <cell r="H8">
            <v>12866000.000000004</v>
          </cell>
          <cell r="I8">
            <v>0</v>
          </cell>
        </row>
        <row r="9">
          <cell r="C9">
            <v>12806000</v>
          </cell>
          <cell r="D9">
            <v>0</v>
          </cell>
          <cell r="E9">
            <v>0</v>
          </cell>
          <cell r="F9">
            <v>0</v>
          </cell>
          <cell r="H9">
            <v>12490999.999999994</v>
          </cell>
          <cell r="I9">
            <v>0</v>
          </cell>
        </row>
        <row r="10">
          <cell r="C10">
            <v>13272000</v>
          </cell>
          <cell r="D10">
            <v>0</v>
          </cell>
          <cell r="E10">
            <v>0</v>
          </cell>
          <cell r="F10">
            <v>0</v>
          </cell>
          <cell r="H10">
            <v>13024000.000000002</v>
          </cell>
          <cell r="I10">
            <v>0</v>
          </cell>
        </row>
        <row r="11">
          <cell r="C11">
            <v>12063000</v>
          </cell>
          <cell r="D11">
            <v>0</v>
          </cell>
          <cell r="E11">
            <v>0</v>
          </cell>
          <cell r="F11">
            <v>0</v>
          </cell>
          <cell r="H11">
            <v>11746999.999999998</v>
          </cell>
          <cell r="I11">
            <v>0</v>
          </cell>
        </row>
        <row r="12">
          <cell r="C12">
            <v>12527000</v>
          </cell>
          <cell r="D12">
            <v>0</v>
          </cell>
          <cell r="E12">
            <v>0</v>
          </cell>
          <cell r="F12">
            <v>0</v>
          </cell>
          <cell r="H12">
            <v>12328000.000000002</v>
          </cell>
          <cell r="I12">
            <v>0</v>
          </cell>
        </row>
        <row r="13">
          <cell r="C13">
            <v>13047000</v>
          </cell>
          <cell r="D13">
            <v>0</v>
          </cell>
          <cell r="E13">
            <v>0</v>
          </cell>
          <cell r="F13">
            <v>0</v>
          </cell>
          <cell r="H13">
            <v>12732000.000000002</v>
          </cell>
          <cell r="I13">
            <v>0</v>
          </cell>
        </row>
        <row r="14">
          <cell r="C14">
            <v>13685000</v>
          </cell>
          <cell r="D14">
            <v>0</v>
          </cell>
          <cell r="E14">
            <v>0</v>
          </cell>
          <cell r="F14">
            <v>0</v>
          </cell>
          <cell r="H14">
            <v>13490000</v>
          </cell>
          <cell r="I14">
            <v>0</v>
          </cell>
        </row>
        <row r="15">
          <cell r="C15">
            <v>10946000</v>
          </cell>
          <cell r="D15">
            <v>0</v>
          </cell>
          <cell r="E15">
            <v>0</v>
          </cell>
          <cell r="F15">
            <v>0</v>
          </cell>
          <cell r="H15">
            <v>10565000</v>
          </cell>
          <cell r="I15">
            <v>0</v>
          </cell>
        </row>
        <row r="16">
          <cell r="C16">
            <v>13582000</v>
          </cell>
          <cell r="D16">
            <v>0</v>
          </cell>
          <cell r="E16">
            <v>0</v>
          </cell>
          <cell r="F16">
            <v>0</v>
          </cell>
          <cell r="H16">
            <v>13332999.999999998</v>
          </cell>
          <cell r="I16">
            <v>0</v>
          </cell>
        </row>
        <row r="17">
          <cell r="C17">
            <v>13536000</v>
          </cell>
          <cell r="D17">
            <v>0</v>
          </cell>
          <cell r="E17">
            <v>3000000</v>
          </cell>
          <cell r="F17">
            <v>0</v>
          </cell>
          <cell r="H17">
            <v>13353000</v>
          </cell>
          <cell r="I17">
            <v>0</v>
          </cell>
        </row>
        <row r="18">
          <cell r="C18">
            <v>14001000</v>
          </cell>
          <cell r="D18">
            <v>0</v>
          </cell>
          <cell r="E18">
            <v>5000000</v>
          </cell>
          <cell r="F18">
            <v>0</v>
          </cell>
          <cell r="H18">
            <v>13674000.000000002</v>
          </cell>
          <cell r="I18">
            <v>0</v>
          </cell>
        </row>
        <row r="19">
          <cell r="C19">
            <v>14451000</v>
          </cell>
          <cell r="D19">
            <v>0</v>
          </cell>
          <cell r="E19">
            <v>5000000</v>
          </cell>
          <cell r="F19">
            <v>0</v>
          </cell>
          <cell r="H19">
            <v>14201000</v>
          </cell>
          <cell r="I19">
            <v>0</v>
          </cell>
        </row>
        <row r="20">
          <cell r="C20">
            <v>16677000</v>
          </cell>
          <cell r="D20">
            <v>339000</v>
          </cell>
          <cell r="E20">
            <v>5000000</v>
          </cell>
          <cell r="F20">
            <v>10000</v>
          </cell>
          <cell r="H20">
            <v>16640000</v>
          </cell>
          <cell r="I20">
            <v>0</v>
          </cell>
        </row>
        <row r="21">
          <cell r="C21">
            <v>17765000</v>
          </cell>
          <cell r="D21">
            <v>0</v>
          </cell>
          <cell r="E21">
            <v>5000000</v>
          </cell>
          <cell r="F21">
            <v>0</v>
          </cell>
          <cell r="H21">
            <v>17585000</v>
          </cell>
          <cell r="I21">
            <v>0</v>
          </cell>
        </row>
        <row r="22">
          <cell r="C22">
            <v>17002000</v>
          </cell>
          <cell r="D22">
            <v>0</v>
          </cell>
          <cell r="E22">
            <v>5000000</v>
          </cell>
          <cell r="F22">
            <v>0</v>
          </cell>
          <cell r="H22">
            <v>16725999.999999996</v>
          </cell>
          <cell r="I22">
            <v>0</v>
          </cell>
        </row>
        <row r="23">
          <cell r="C23">
            <v>15982000</v>
          </cell>
          <cell r="D23">
            <v>0</v>
          </cell>
          <cell r="E23">
            <v>5000000</v>
          </cell>
          <cell r="F23">
            <v>10000</v>
          </cell>
          <cell r="H23">
            <v>15628000</v>
          </cell>
          <cell r="I23">
            <v>0</v>
          </cell>
        </row>
        <row r="24">
          <cell r="C24">
            <v>14193000</v>
          </cell>
          <cell r="D24">
            <v>0</v>
          </cell>
          <cell r="E24">
            <v>3000000</v>
          </cell>
          <cell r="F24">
            <v>2630000</v>
          </cell>
          <cell r="H24">
            <v>13948000.000000002</v>
          </cell>
          <cell r="I24">
            <v>0</v>
          </cell>
        </row>
        <row r="25">
          <cell r="C25">
            <v>12614000</v>
          </cell>
          <cell r="D25">
            <v>0</v>
          </cell>
          <cell r="E25">
            <v>0</v>
          </cell>
          <cell r="F25">
            <v>5020000</v>
          </cell>
          <cell r="H25">
            <v>12306999.999999998</v>
          </cell>
          <cell r="I25">
            <v>0</v>
          </cell>
        </row>
        <row r="26">
          <cell r="C26">
            <v>11982000</v>
          </cell>
          <cell r="D26">
            <v>0</v>
          </cell>
          <cell r="E26">
            <v>0</v>
          </cell>
          <cell r="F26">
            <v>4990000</v>
          </cell>
          <cell r="H26">
            <v>11853000.000000002</v>
          </cell>
          <cell r="I26">
            <v>0</v>
          </cell>
        </row>
        <row r="27">
          <cell r="C27">
            <v>9855000</v>
          </cell>
          <cell r="D27">
            <v>0</v>
          </cell>
          <cell r="E27">
            <v>0</v>
          </cell>
          <cell r="F27">
            <v>4820000</v>
          </cell>
          <cell r="H27">
            <v>9609999.9999999963</v>
          </cell>
          <cell r="I27">
            <v>2997000.0000002985</v>
          </cell>
        </row>
        <row r="28">
          <cell r="C28">
            <v>7848000</v>
          </cell>
          <cell r="D28">
            <v>0</v>
          </cell>
          <cell r="E28">
            <v>0</v>
          </cell>
          <cell r="F28">
            <v>5090000</v>
          </cell>
          <cell r="H28">
            <v>7593000.0000000047</v>
          </cell>
          <cell r="I28">
            <v>5632999.9999998109</v>
          </cell>
        </row>
        <row r="29">
          <cell r="C29">
            <v>7437000</v>
          </cell>
          <cell r="D29">
            <v>0</v>
          </cell>
          <cell r="E29">
            <v>0</v>
          </cell>
          <cell r="F29">
            <v>4950000</v>
          </cell>
          <cell r="H29">
            <v>7321000</v>
          </cell>
          <cell r="I29">
            <v>6230999.9999997672</v>
          </cell>
        </row>
        <row r="30">
          <cell r="C30">
            <v>6105000</v>
          </cell>
          <cell r="D30">
            <v>0</v>
          </cell>
          <cell r="E30">
            <v>0</v>
          </cell>
          <cell r="F30">
            <v>4980000</v>
          </cell>
          <cell r="H30">
            <v>6041000</v>
          </cell>
          <cell r="I30">
            <v>7335200.0000004405</v>
          </cell>
        </row>
        <row r="31">
          <cell r="C31">
            <v>5994000</v>
          </cell>
          <cell r="D31">
            <v>0</v>
          </cell>
          <cell r="E31">
            <v>0</v>
          </cell>
          <cell r="F31">
            <v>5000000</v>
          </cell>
          <cell r="H31">
            <v>5994000</v>
          </cell>
          <cell r="I31">
            <v>4600000</v>
          </cell>
        </row>
        <row r="32">
          <cell r="C32">
            <v>3228000</v>
          </cell>
          <cell r="D32">
            <v>0</v>
          </cell>
          <cell r="E32">
            <v>2000000</v>
          </cell>
          <cell r="F32">
            <v>6610000</v>
          </cell>
          <cell r="H32">
            <v>3228000</v>
          </cell>
          <cell r="I32">
            <v>8900000</v>
          </cell>
        </row>
        <row r="33">
          <cell r="C33">
            <v>0</v>
          </cell>
          <cell r="D33">
            <v>0</v>
          </cell>
          <cell r="E33">
            <v>6000000</v>
          </cell>
          <cell r="F33">
            <v>8010000</v>
          </cell>
          <cell r="H33">
            <v>0</v>
          </cell>
          <cell r="I33">
            <v>14173000.000000229</v>
          </cell>
        </row>
        <row r="34">
          <cell r="C34">
            <v>0</v>
          </cell>
          <cell r="D34">
            <v>0</v>
          </cell>
          <cell r="E34">
            <v>6000000</v>
          </cell>
          <cell r="F34">
            <v>8000000</v>
          </cell>
          <cell r="H34">
            <v>0</v>
          </cell>
          <cell r="I34">
            <v>15000000</v>
          </cell>
        </row>
        <row r="259">
          <cell r="D259">
            <v>374000.00000000233</v>
          </cell>
          <cell r="H259">
            <v>0</v>
          </cell>
        </row>
        <row r="260">
          <cell r="D260">
            <v>332999.99999999843</v>
          </cell>
          <cell r="H260">
            <v>0</v>
          </cell>
        </row>
        <row r="261">
          <cell r="D261">
            <v>443000.0000000014</v>
          </cell>
          <cell r="H261">
            <v>0</v>
          </cell>
        </row>
        <row r="262">
          <cell r="D262">
            <v>303000.00000000081</v>
          </cell>
          <cell r="H262">
            <v>0</v>
          </cell>
        </row>
        <row r="263">
          <cell r="D263">
            <v>229999.99999999689</v>
          </cell>
          <cell r="H263">
            <v>0</v>
          </cell>
        </row>
        <row r="264">
          <cell r="D264">
            <v>315000.00000000483</v>
          </cell>
          <cell r="H264">
            <v>0</v>
          </cell>
        </row>
        <row r="265">
          <cell r="D265">
            <v>247999.99999999756</v>
          </cell>
          <cell r="H265">
            <v>164238</v>
          </cell>
        </row>
        <row r="266">
          <cell r="D266">
            <v>316000.0000000025</v>
          </cell>
          <cell r="H266">
            <v>35888</v>
          </cell>
        </row>
        <row r="267">
          <cell r="D267">
            <v>198999.99999999808</v>
          </cell>
          <cell r="H267">
            <v>0</v>
          </cell>
        </row>
        <row r="268">
          <cell r="D268">
            <v>314999.99999999773</v>
          </cell>
          <cell r="H268">
            <v>0</v>
          </cell>
        </row>
        <row r="269">
          <cell r="D269">
            <v>195000.00000000029</v>
          </cell>
          <cell r="H269">
            <v>0</v>
          </cell>
        </row>
        <row r="270">
          <cell r="D270">
            <v>381000.00000000023</v>
          </cell>
          <cell r="H270">
            <v>0</v>
          </cell>
        </row>
        <row r="271">
          <cell r="D271">
            <v>249000.00000000233</v>
          </cell>
          <cell r="H271">
            <v>0</v>
          </cell>
        </row>
        <row r="272">
          <cell r="D272">
            <v>182999.99999999983</v>
          </cell>
          <cell r="H272">
            <v>1677430</v>
          </cell>
        </row>
        <row r="273">
          <cell r="D273">
            <v>326999.9999999982</v>
          </cell>
          <cell r="H273">
            <v>4872650</v>
          </cell>
        </row>
        <row r="274">
          <cell r="D274">
            <v>250000</v>
          </cell>
          <cell r="H274">
            <v>5067955</v>
          </cell>
        </row>
        <row r="275">
          <cell r="D275">
            <v>375999.99999999767</v>
          </cell>
          <cell r="H275">
            <v>5008858</v>
          </cell>
        </row>
        <row r="276">
          <cell r="D276">
            <v>179999.99999999971</v>
          </cell>
          <cell r="H276">
            <v>4515406</v>
          </cell>
        </row>
        <row r="277">
          <cell r="D277">
            <v>276000.00000000338</v>
          </cell>
          <cell r="H277">
            <v>4219558</v>
          </cell>
        </row>
        <row r="278">
          <cell r="D278">
            <v>353999.99999999919</v>
          </cell>
          <cell r="H278">
            <v>2533162</v>
          </cell>
        </row>
        <row r="279">
          <cell r="D279">
            <v>244999.99999999744</v>
          </cell>
          <cell r="H279">
            <v>3369772</v>
          </cell>
        </row>
        <row r="280">
          <cell r="D280">
            <v>307000.00000000215</v>
          </cell>
          <cell r="H280">
            <v>2114115</v>
          </cell>
        </row>
        <row r="281">
          <cell r="D281">
            <v>128999.99999999779</v>
          </cell>
          <cell r="H281">
            <v>1633867</v>
          </cell>
        </row>
        <row r="282">
          <cell r="D282">
            <v>245000.00000000454</v>
          </cell>
          <cell r="H282">
            <v>1249855</v>
          </cell>
        </row>
        <row r="283">
          <cell r="D283">
            <v>254999.99999999546</v>
          </cell>
          <cell r="H283">
            <v>396635</v>
          </cell>
        </row>
        <row r="284">
          <cell r="D284">
            <v>115999.99999999967</v>
          </cell>
          <cell r="H284">
            <v>388539</v>
          </cell>
        </row>
        <row r="285">
          <cell r="D285">
            <v>64000.000000000058</v>
          </cell>
          <cell r="H285">
            <v>452066</v>
          </cell>
        </row>
        <row r="286">
          <cell r="D286">
            <v>0</v>
          </cell>
          <cell r="H286">
            <v>430397</v>
          </cell>
        </row>
        <row r="287">
          <cell r="D287">
            <v>0</v>
          </cell>
          <cell r="H287">
            <v>728416</v>
          </cell>
        </row>
        <row r="288">
          <cell r="D288">
            <v>0</v>
          </cell>
          <cell r="H288">
            <v>1167264</v>
          </cell>
        </row>
        <row r="289">
          <cell r="D289">
            <v>0</v>
          </cell>
          <cell r="H289">
            <v>1080271</v>
          </cell>
        </row>
      </sheetData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ven Hour Data"/>
      <sheetName val="WB Clarifiers"/>
      <sheetName val="WB Chem Flow Changes"/>
      <sheetName val="TTP Chem Flow Changes"/>
      <sheetName val="Midnight Numbers"/>
      <sheetName val="Production Summary"/>
      <sheetName val="Chemical Summary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>
        <row r="6">
          <cell r="C6">
            <v>0</v>
          </cell>
          <cell r="E6">
            <v>6000000</v>
          </cell>
          <cell r="F6">
            <v>6000000</v>
          </cell>
          <cell r="G6">
            <v>7610000</v>
          </cell>
          <cell r="I6">
            <v>0</v>
          </cell>
          <cell r="J6">
            <v>11500000</v>
          </cell>
          <cell r="T6">
            <v>1097988</v>
          </cell>
          <cell r="AB6">
            <v>0</v>
          </cell>
        </row>
        <row r="7">
          <cell r="C7">
            <v>0</v>
          </cell>
          <cell r="E7">
            <v>6000000</v>
          </cell>
          <cell r="F7">
            <v>6000000</v>
          </cell>
          <cell r="G7">
            <v>7750000</v>
          </cell>
          <cell r="I7">
            <v>0</v>
          </cell>
          <cell r="J7">
            <v>12199999.999999817</v>
          </cell>
          <cell r="T7">
            <v>1079385</v>
          </cell>
          <cell r="AB7">
            <v>0</v>
          </cell>
        </row>
        <row r="8">
          <cell r="C8">
            <v>0</v>
          </cell>
          <cell r="E8">
            <v>7000000</v>
          </cell>
          <cell r="F8">
            <v>7000000</v>
          </cell>
          <cell r="G8">
            <v>7970000</v>
          </cell>
          <cell r="I8">
            <v>0</v>
          </cell>
          <cell r="J8">
            <v>14000000</v>
          </cell>
          <cell r="T8">
            <v>1293920</v>
          </cell>
          <cell r="AB8">
            <v>0</v>
          </cell>
        </row>
        <row r="9">
          <cell r="C9">
            <v>0</v>
          </cell>
          <cell r="E9">
            <v>5000000</v>
          </cell>
          <cell r="F9">
            <v>5000000</v>
          </cell>
          <cell r="G9">
            <v>7330000</v>
          </cell>
          <cell r="I9">
            <v>0</v>
          </cell>
          <cell r="J9">
            <v>10700000.000000272</v>
          </cell>
          <cell r="T9">
            <v>1030657</v>
          </cell>
          <cell r="AB9">
            <v>0</v>
          </cell>
        </row>
        <row r="10">
          <cell r="C10">
            <v>0</v>
          </cell>
          <cell r="E10">
            <v>4000000</v>
          </cell>
          <cell r="F10">
            <v>4000000</v>
          </cell>
          <cell r="G10">
            <v>7170000</v>
          </cell>
          <cell r="I10">
            <v>0</v>
          </cell>
          <cell r="J10">
            <v>9799999.9999997281</v>
          </cell>
          <cell r="T10">
            <v>873533</v>
          </cell>
          <cell r="AB10">
            <v>0</v>
          </cell>
        </row>
        <row r="11">
          <cell r="C11">
            <v>0</v>
          </cell>
          <cell r="E11">
            <v>4000000</v>
          </cell>
          <cell r="F11">
            <v>4000000</v>
          </cell>
          <cell r="G11">
            <v>9020000</v>
          </cell>
          <cell r="I11">
            <v>0</v>
          </cell>
          <cell r="J11">
            <v>11500000</v>
          </cell>
          <cell r="T11">
            <v>997791</v>
          </cell>
          <cell r="AB11">
            <v>0</v>
          </cell>
        </row>
        <row r="12">
          <cell r="C12">
            <v>0</v>
          </cell>
          <cell r="E12">
            <v>5000000</v>
          </cell>
          <cell r="F12">
            <v>5000000</v>
          </cell>
          <cell r="G12">
            <v>9310000</v>
          </cell>
          <cell r="I12">
            <v>0</v>
          </cell>
          <cell r="J12">
            <v>13000000</v>
          </cell>
          <cell r="T12">
            <v>1156562</v>
          </cell>
          <cell r="AB12">
            <v>0</v>
          </cell>
        </row>
        <row r="13">
          <cell r="C13">
            <v>0</v>
          </cell>
          <cell r="E13">
            <v>7000000</v>
          </cell>
          <cell r="F13">
            <v>7000000</v>
          </cell>
          <cell r="G13">
            <v>7950000</v>
          </cell>
          <cell r="I13">
            <v>0</v>
          </cell>
          <cell r="J13">
            <v>14000000</v>
          </cell>
          <cell r="T13">
            <v>1241460</v>
          </cell>
          <cell r="AB13">
            <v>0</v>
          </cell>
        </row>
        <row r="14">
          <cell r="C14">
            <v>0</v>
          </cell>
          <cell r="E14">
            <v>8000000</v>
          </cell>
          <cell r="F14">
            <v>8000000</v>
          </cell>
          <cell r="G14">
            <v>8030000</v>
          </cell>
          <cell r="I14">
            <v>0</v>
          </cell>
          <cell r="J14">
            <v>13400000.000000091</v>
          </cell>
          <cell r="T14">
            <v>1316718</v>
          </cell>
          <cell r="AB14">
            <v>0</v>
          </cell>
        </row>
        <row r="15">
          <cell r="C15">
            <v>0</v>
          </cell>
          <cell r="E15">
            <v>8000000</v>
          </cell>
          <cell r="F15">
            <v>8000000</v>
          </cell>
          <cell r="G15">
            <v>8030000</v>
          </cell>
          <cell r="I15">
            <v>0</v>
          </cell>
          <cell r="J15">
            <v>15300000.000000183</v>
          </cell>
          <cell r="T15">
            <v>1335128</v>
          </cell>
          <cell r="AB15">
            <v>0</v>
          </cell>
        </row>
        <row r="16">
          <cell r="C16">
            <v>0</v>
          </cell>
          <cell r="E16">
            <v>8000000</v>
          </cell>
          <cell r="F16">
            <v>8000000</v>
          </cell>
          <cell r="G16">
            <v>7990000</v>
          </cell>
          <cell r="I16">
            <v>0</v>
          </cell>
          <cell r="J16">
            <v>13799999.999999728</v>
          </cell>
          <cell r="T16">
            <v>1263607</v>
          </cell>
          <cell r="AB16">
            <v>0</v>
          </cell>
        </row>
        <row r="17">
          <cell r="C17">
            <v>0</v>
          </cell>
          <cell r="E17">
            <v>9000000</v>
          </cell>
          <cell r="F17">
            <v>9000000</v>
          </cell>
          <cell r="G17">
            <v>7970000</v>
          </cell>
          <cell r="I17">
            <v>0</v>
          </cell>
          <cell r="J17">
            <v>15600000.000000363</v>
          </cell>
          <cell r="T17">
            <v>1417245</v>
          </cell>
          <cell r="AB17">
            <v>0</v>
          </cell>
        </row>
        <row r="18">
          <cell r="C18">
            <v>0</v>
          </cell>
          <cell r="E18">
            <v>13000000</v>
          </cell>
          <cell r="F18">
            <v>13000000</v>
          </cell>
          <cell r="G18">
            <v>8570000</v>
          </cell>
          <cell r="I18">
            <v>0</v>
          </cell>
          <cell r="J18">
            <v>18599999.999999911</v>
          </cell>
          <cell r="T18">
            <v>1687425</v>
          </cell>
          <cell r="AB18">
            <v>0</v>
          </cell>
        </row>
        <row r="19">
          <cell r="C19">
            <v>0</v>
          </cell>
          <cell r="E19">
            <v>13000000</v>
          </cell>
          <cell r="F19">
            <v>13000000</v>
          </cell>
          <cell r="G19">
            <v>10040000</v>
          </cell>
          <cell r="I19">
            <v>0</v>
          </cell>
          <cell r="J19">
            <v>21400000.000000089</v>
          </cell>
          <cell r="T19">
            <v>1904805</v>
          </cell>
          <cell r="AB19">
            <v>0</v>
          </cell>
        </row>
        <row r="20">
          <cell r="C20">
            <v>0</v>
          </cell>
          <cell r="E20">
            <v>11000000</v>
          </cell>
          <cell r="F20">
            <v>11000000</v>
          </cell>
          <cell r="G20">
            <v>10060000</v>
          </cell>
          <cell r="I20">
            <v>0</v>
          </cell>
          <cell r="J20">
            <v>18000000</v>
          </cell>
          <cell r="T20">
            <v>1686684</v>
          </cell>
          <cell r="AB20">
            <v>0</v>
          </cell>
        </row>
        <row r="21">
          <cell r="C21">
            <v>0</v>
          </cell>
          <cell r="E21">
            <v>14000000</v>
          </cell>
          <cell r="F21">
            <v>14000000</v>
          </cell>
          <cell r="G21">
            <v>9950000</v>
          </cell>
          <cell r="I21">
            <v>0</v>
          </cell>
          <cell r="J21">
            <v>21599999.999999911</v>
          </cell>
          <cell r="T21">
            <v>1893347</v>
          </cell>
          <cell r="AB21">
            <v>0</v>
          </cell>
        </row>
        <row r="22">
          <cell r="C22">
            <v>0</v>
          </cell>
          <cell r="E22">
            <v>13000000</v>
          </cell>
          <cell r="F22">
            <v>13000000</v>
          </cell>
          <cell r="G22">
            <v>10040000</v>
          </cell>
          <cell r="I22">
            <v>0</v>
          </cell>
          <cell r="J22">
            <v>21000000</v>
          </cell>
          <cell r="T22">
            <v>1855670</v>
          </cell>
          <cell r="AB22">
            <v>0</v>
          </cell>
        </row>
        <row r="23">
          <cell r="C23">
            <v>0</v>
          </cell>
          <cell r="E23">
            <v>14000000</v>
          </cell>
          <cell r="F23">
            <v>14000000</v>
          </cell>
          <cell r="G23">
            <v>9950000</v>
          </cell>
          <cell r="I23">
            <v>0</v>
          </cell>
          <cell r="J23">
            <v>20799999.999999728</v>
          </cell>
          <cell r="T23">
            <v>1821539</v>
          </cell>
          <cell r="AB23">
            <v>0</v>
          </cell>
        </row>
        <row r="24">
          <cell r="C24">
            <v>0</v>
          </cell>
          <cell r="E24">
            <v>11000000</v>
          </cell>
          <cell r="F24">
            <v>11000000</v>
          </cell>
          <cell r="G24">
            <v>10010000</v>
          </cell>
          <cell r="I24">
            <v>0</v>
          </cell>
          <cell r="J24">
            <v>19200000.000000272</v>
          </cell>
          <cell r="T24">
            <v>1757159</v>
          </cell>
          <cell r="AB24">
            <v>0</v>
          </cell>
        </row>
        <row r="25">
          <cell r="C25">
            <v>0</v>
          </cell>
          <cell r="E25">
            <v>13000000</v>
          </cell>
          <cell r="F25">
            <v>13000000</v>
          </cell>
          <cell r="G25">
            <v>9350000</v>
          </cell>
          <cell r="I25">
            <v>0</v>
          </cell>
          <cell r="J25">
            <v>19500000</v>
          </cell>
          <cell r="T25">
            <v>1721999</v>
          </cell>
          <cell r="AB25">
            <v>0</v>
          </cell>
        </row>
        <row r="26">
          <cell r="C26">
            <v>0</v>
          </cell>
          <cell r="E26">
            <v>9000000</v>
          </cell>
          <cell r="F26">
            <v>9000000</v>
          </cell>
          <cell r="G26">
            <v>9040000</v>
          </cell>
          <cell r="I26">
            <v>0</v>
          </cell>
          <cell r="J26">
            <v>15599999.999999909</v>
          </cell>
          <cell r="T26">
            <v>1456255</v>
          </cell>
          <cell r="AB26">
            <v>0</v>
          </cell>
        </row>
        <row r="27">
          <cell r="C27">
            <v>0</v>
          </cell>
          <cell r="E27">
            <v>8000000</v>
          </cell>
          <cell r="F27">
            <v>8000000</v>
          </cell>
          <cell r="G27">
            <v>8260000</v>
          </cell>
          <cell r="I27">
            <v>0</v>
          </cell>
          <cell r="J27">
            <v>14800000.000000183</v>
          </cell>
          <cell r="T27">
            <v>1387255</v>
          </cell>
          <cell r="AB27">
            <v>0</v>
          </cell>
        </row>
        <row r="28">
          <cell r="C28">
            <v>0</v>
          </cell>
          <cell r="E28">
            <v>9000000</v>
          </cell>
          <cell r="F28">
            <v>9000000</v>
          </cell>
          <cell r="G28">
            <v>8550000</v>
          </cell>
          <cell r="I28">
            <v>0</v>
          </cell>
          <cell r="J28">
            <v>15599999.999999909</v>
          </cell>
          <cell r="T28">
            <v>1385378</v>
          </cell>
          <cell r="AB28">
            <v>0</v>
          </cell>
        </row>
        <row r="29">
          <cell r="C29">
            <v>0</v>
          </cell>
          <cell r="E29">
            <v>15000000</v>
          </cell>
          <cell r="F29">
            <v>15000000</v>
          </cell>
          <cell r="G29">
            <v>10110000</v>
          </cell>
          <cell r="I29">
            <v>0</v>
          </cell>
          <cell r="J29">
            <v>22099999.999999911</v>
          </cell>
          <cell r="T29">
            <v>2086848</v>
          </cell>
          <cell r="AB29">
            <v>0</v>
          </cell>
        </row>
        <row r="30">
          <cell r="C30">
            <v>0</v>
          </cell>
          <cell r="E30">
            <v>10000000</v>
          </cell>
          <cell r="F30">
            <v>10000000</v>
          </cell>
          <cell r="G30">
            <v>9210000</v>
          </cell>
          <cell r="I30">
            <v>0</v>
          </cell>
          <cell r="J30">
            <v>17699999.999999817</v>
          </cell>
          <cell r="T30">
            <v>1633363</v>
          </cell>
          <cell r="AB30">
            <v>0</v>
          </cell>
        </row>
        <row r="31">
          <cell r="C31">
            <v>0</v>
          </cell>
          <cell r="E31">
            <v>8000000</v>
          </cell>
          <cell r="F31">
            <v>8000000</v>
          </cell>
          <cell r="G31">
            <v>7640000</v>
          </cell>
          <cell r="I31">
            <v>0</v>
          </cell>
          <cell r="J31">
            <v>13700000.000000272</v>
          </cell>
          <cell r="T31">
            <v>1263060</v>
          </cell>
          <cell r="AB31">
            <v>0</v>
          </cell>
        </row>
        <row r="32">
          <cell r="C32">
            <v>0</v>
          </cell>
          <cell r="E32">
            <v>8000000</v>
          </cell>
          <cell r="F32">
            <v>8000000</v>
          </cell>
          <cell r="G32">
            <v>7490000</v>
          </cell>
          <cell r="I32">
            <v>0</v>
          </cell>
          <cell r="J32">
            <v>13699999.999999817</v>
          </cell>
          <cell r="T32">
            <v>1309645</v>
          </cell>
          <cell r="AB32">
            <v>0</v>
          </cell>
        </row>
        <row r="33">
          <cell r="C33">
            <v>0</v>
          </cell>
          <cell r="E33">
            <v>8000000</v>
          </cell>
          <cell r="F33">
            <v>8000000</v>
          </cell>
          <cell r="G33">
            <v>8040000</v>
          </cell>
          <cell r="I33">
            <v>0</v>
          </cell>
          <cell r="J33">
            <v>14500000</v>
          </cell>
          <cell r="T33">
            <v>1335251</v>
          </cell>
          <cell r="AB33">
            <v>0</v>
          </cell>
        </row>
        <row r="34">
          <cell r="C34">
            <v>0</v>
          </cell>
          <cell r="E34">
            <v>8000000</v>
          </cell>
          <cell r="F34">
            <v>8000000</v>
          </cell>
          <cell r="G34">
            <v>7990000</v>
          </cell>
          <cell r="I34">
            <v>0</v>
          </cell>
          <cell r="J34">
            <v>14500000</v>
          </cell>
          <cell r="T34">
            <v>1342105</v>
          </cell>
          <cell r="AB34">
            <v>0</v>
          </cell>
        </row>
        <row r="35">
          <cell r="C35">
            <v>0</v>
          </cell>
          <cell r="E35">
            <v>8000000</v>
          </cell>
          <cell r="F35">
            <v>8000000</v>
          </cell>
          <cell r="G35">
            <v>7990000</v>
          </cell>
          <cell r="I35">
            <v>0</v>
          </cell>
          <cell r="J35">
            <v>14300000.000000183</v>
          </cell>
          <cell r="T35">
            <v>1340356</v>
          </cell>
          <cell r="AB35">
            <v>0</v>
          </cell>
        </row>
        <row r="36">
          <cell r="C36">
            <v>0</v>
          </cell>
          <cell r="E36">
            <v>8000000</v>
          </cell>
          <cell r="F36">
            <v>8000000</v>
          </cell>
          <cell r="G36">
            <v>7940000</v>
          </cell>
          <cell r="I36">
            <v>0</v>
          </cell>
          <cell r="J36">
            <v>13299999.999999728</v>
          </cell>
          <cell r="T36">
            <v>1295009</v>
          </cell>
          <cell r="AB36">
            <v>0</v>
          </cell>
        </row>
        <row r="37">
          <cell r="C37">
            <v>0</v>
          </cell>
          <cell r="E37">
            <v>8000000</v>
          </cell>
          <cell r="F37">
            <v>8000000</v>
          </cell>
          <cell r="G37">
            <v>8020000</v>
          </cell>
          <cell r="I37">
            <v>0</v>
          </cell>
          <cell r="J37">
            <v>15300000.000000183</v>
          </cell>
          <cell r="T37">
            <v>1270021</v>
          </cell>
          <cell r="AB37">
            <v>0</v>
          </cell>
        </row>
        <row r="38">
          <cell r="C38">
            <v>0</v>
          </cell>
          <cell r="E38">
            <v>10000000</v>
          </cell>
          <cell r="F38">
            <v>10000000</v>
          </cell>
          <cell r="G38">
            <v>8920000</v>
          </cell>
          <cell r="I38">
            <v>0</v>
          </cell>
          <cell r="J38">
            <v>16000000</v>
          </cell>
          <cell r="T38">
            <v>1557308</v>
          </cell>
          <cell r="AB38">
            <v>0</v>
          </cell>
        </row>
        <row r="39">
          <cell r="C39">
            <v>0</v>
          </cell>
          <cell r="E39">
            <v>9000000</v>
          </cell>
          <cell r="F39">
            <v>9000000</v>
          </cell>
          <cell r="G39">
            <v>8190000</v>
          </cell>
          <cell r="I39">
            <v>0</v>
          </cell>
          <cell r="J39">
            <v>16000000</v>
          </cell>
          <cell r="T39">
            <v>1364733</v>
          </cell>
          <cell r="AB39">
            <v>0</v>
          </cell>
        </row>
        <row r="40">
          <cell r="C40">
            <v>0</v>
          </cell>
          <cell r="E40">
            <v>11000000</v>
          </cell>
          <cell r="F40">
            <v>11000000</v>
          </cell>
          <cell r="G40">
            <v>9320000</v>
          </cell>
          <cell r="I40">
            <v>0</v>
          </cell>
          <cell r="J40">
            <v>17900000.000000089</v>
          </cell>
          <cell r="T40">
            <v>1632335</v>
          </cell>
          <cell r="AB40">
            <v>0</v>
          </cell>
        </row>
        <row r="41">
          <cell r="C41">
            <v>0</v>
          </cell>
          <cell r="E41">
            <v>17000000</v>
          </cell>
          <cell r="F41">
            <v>17000000</v>
          </cell>
          <cell r="G41">
            <v>10030000</v>
          </cell>
          <cell r="I41">
            <v>0</v>
          </cell>
          <cell r="J41">
            <v>23699999.999999817</v>
          </cell>
          <cell r="T41">
            <v>2268768</v>
          </cell>
          <cell r="AB41">
            <v>0</v>
          </cell>
        </row>
        <row r="42">
          <cell r="C42">
            <v>0</v>
          </cell>
          <cell r="E42">
            <v>18000000</v>
          </cell>
          <cell r="F42">
            <v>18000000</v>
          </cell>
          <cell r="G42">
            <v>10030000</v>
          </cell>
          <cell r="I42">
            <v>0</v>
          </cell>
          <cell r="J42">
            <v>25300000.000000183</v>
          </cell>
          <cell r="T42">
            <v>2371298</v>
          </cell>
          <cell r="AB42">
            <v>0</v>
          </cell>
        </row>
        <row r="43">
          <cell r="C43">
            <v>0</v>
          </cell>
          <cell r="E43">
            <v>11000000</v>
          </cell>
          <cell r="F43">
            <v>11000000</v>
          </cell>
          <cell r="G43">
            <v>8270000</v>
          </cell>
          <cell r="I43">
            <v>0</v>
          </cell>
          <cell r="J43">
            <v>17299999.999999728</v>
          </cell>
          <cell r="T43">
            <v>1647573</v>
          </cell>
          <cell r="AB43">
            <v>0</v>
          </cell>
        </row>
        <row r="44">
          <cell r="C44">
            <v>0</v>
          </cell>
          <cell r="E44">
            <v>9000000</v>
          </cell>
          <cell r="F44">
            <v>9000000</v>
          </cell>
          <cell r="G44">
            <v>7650000</v>
          </cell>
          <cell r="I44">
            <v>0</v>
          </cell>
          <cell r="J44">
            <v>14900000.000000091</v>
          </cell>
          <cell r="T44">
            <v>1306790</v>
          </cell>
          <cell r="AB44">
            <v>0</v>
          </cell>
        </row>
        <row r="45">
          <cell r="C45">
            <v>0</v>
          </cell>
          <cell r="E45">
            <v>9000000</v>
          </cell>
          <cell r="F45">
            <v>9000000</v>
          </cell>
          <cell r="G45">
            <v>7850000</v>
          </cell>
          <cell r="I45">
            <v>0</v>
          </cell>
          <cell r="J45">
            <v>14400000.000000091</v>
          </cell>
          <cell r="T45">
            <v>1586764</v>
          </cell>
          <cell r="AB45">
            <v>0</v>
          </cell>
        </row>
        <row r="46">
          <cell r="C46">
            <v>150000</v>
          </cell>
          <cell r="E46">
            <v>8000000</v>
          </cell>
          <cell r="F46">
            <v>8000000</v>
          </cell>
          <cell r="G46">
            <v>9320000</v>
          </cell>
          <cell r="I46">
            <v>0</v>
          </cell>
          <cell r="J46">
            <v>16099999.999999909</v>
          </cell>
          <cell r="T46">
            <v>1432766</v>
          </cell>
          <cell r="AB46">
            <v>0</v>
          </cell>
        </row>
        <row r="47">
          <cell r="C47">
            <v>0</v>
          </cell>
          <cell r="E47">
            <v>7000000</v>
          </cell>
          <cell r="F47">
            <v>7000000</v>
          </cell>
          <cell r="G47">
            <v>12950000</v>
          </cell>
          <cell r="I47">
            <v>0</v>
          </cell>
          <cell r="J47">
            <v>18000000</v>
          </cell>
          <cell r="T47">
            <v>1547803</v>
          </cell>
          <cell r="AB47">
            <v>0</v>
          </cell>
        </row>
        <row r="48">
          <cell r="C48">
            <v>0</v>
          </cell>
          <cell r="E48">
            <v>7000000</v>
          </cell>
          <cell r="F48">
            <v>7000000</v>
          </cell>
          <cell r="G48">
            <v>16910000</v>
          </cell>
          <cell r="I48">
            <v>0</v>
          </cell>
          <cell r="J48">
            <v>21599999.999999911</v>
          </cell>
          <cell r="T48">
            <v>1923586</v>
          </cell>
          <cell r="AB48">
            <v>0</v>
          </cell>
        </row>
        <row r="49">
          <cell r="C49">
            <v>0</v>
          </cell>
          <cell r="E49">
            <v>8000000</v>
          </cell>
          <cell r="F49">
            <v>8000000</v>
          </cell>
          <cell r="G49">
            <v>17390000</v>
          </cell>
          <cell r="I49">
            <v>0</v>
          </cell>
          <cell r="J49">
            <v>22200000.000000272</v>
          </cell>
          <cell r="T49">
            <v>2076943</v>
          </cell>
          <cell r="AB49">
            <v>0</v>
          </cell>
        </row>
        <row r="50">
          <cell r="C50">
            <v>0</v>
          </cell>
          <cell r="E50">
            <v>7000000</v>
          </cell>
          <cell r="F50">
            <v>7000000</v>
          </cell>
          <cell r="G50">
            <v>18270000</v>
          </cell>
          <cell r="I50">
            <v>0</v>
          </cell>
          <cell r="J50">
            <v>22699999.999999817</v>
          </cell>
          <cell r="T50">
            <v>2096903</v>
          </cell>
          <cell r="AB50">
            <v>0</v>
          </cell>
        </row>
        <row r="51">
          <cell r="C51">
            <v>2262000</v>
          </cell>
          <cell r="E51">
            <v>3000000</v>
          </cell>
          <cell r="F51">
            <v>3000000</v>
          </cell>
          <cell r="G51">
            <v>22350000</v>
          </cell>
          <cell r="I51">
            <v>115000</v>
          </cell>
          <cell r="J51">
            <v>23200000.000000272</v>
          </cell>
          <cell r="T51">
            <v>2098861</v>
          </cell>
          <cell r="AB51">
            <v>0</v>
          </cell>
        </row>
        <row r="52">
          <cell r="C52">
            <v>54000</v>
          </cell>
          <cell r="E52">
            <v>7000000</v>
          </cell>
          <cell r="F52">
            <v>7000000</v>
          </cell>
          <cell r="G52">
            <v>15230000</v>
          </cell>
          <cell r="I52">
            <v>0</v>
          </cell>
          <cell r="J52">
            <v>20699999.999999817</v>
          </cell>
          <cell r="T52">
            <v>1828435</v>
          </cell>
          <cell r="AB52">
            <v>0</v>
          </cell>
        </row>
        <row r="53">
          <cell r="C53">
            <v>1409000</v>
          </cell>
          <cell r="E53">
            <v>7000000</v>
          </cell>
          <cell r="F53">
            <v>7000000</v>
          </cell>
          <cell r="G53">
            <v>6970000</v>
          </cell>
          <cell r="I53">
            <v>329000</v>
          </cell>
          <cell r="J53">
            <v>12300000.000000183</v>
          </cell>
          <cell r="T53">
            <v>1160653</v>
          </cell>
          <cell r="AB53">
            <v>0</v>
          </cell>
        </row>
        <row r="54">
          <cell r="C54">
            <v>0</v>
          </cell>
          <cell r="E54">
            <v>7000000</v>
          </cell>
          <cell r="F54">
            <v>7000000</v>
          </cell>
          <cell r="G54">
            <v>6570000</v>
          </cell>
          <cell r="I54">
            <v>0</v>
          </cell>
          <cell r="J54">
            <v>12799999.999999728</v>
          </cell>
          <cell r="T54">
            <v>1154866</v>
          </cell>
          <cell r="AB54">
            <v>0</v>
          </cell>
        </row>
        <row r="55">
          <cell r="C55">
            <v>0</v>
          </cell>
          <cell r="E55">
            <v>10000000</v>
          </cell>
          <cell r="F55">
            <v>10000000</v>
          </cell>
          <cell r="G55">
            <v>6490000</v>
          </cell>
          <cell r="I55">
            <v>0</v>
          </cell>
          <cell r="J55">
            <v>15099999.999999909</v>
          </cell>
          <cell r="T55">
            <v>1318268</v>
          </cell>
          <cell r="AB55">
            <v>0</v>
          </cell>
        </row>
        <row r="56">
          <cell r="C56">
            <v>0</v>
          </cell>
          <cell r="E56">
            <v>10000000</v>
          </cell>
          <cell r="F56">
            <v>10000000</v>
          </cell>
          <cell r="G56">
            <v>6980000</v>
          </cell>
          <cell r="I56">
            <v>0</v>
          </cell>
          <cell r="J56">
            <v>15700000.000000272</v>
          </cell>
          <cell r="T56">
            <v>1532926</v>
          </cell>
          <cell r="AB56">
            <v>0</v>
          </cell>
        </row>
        <row r="57">
          <cell r="C57">
            <v>0</v>
          </cell>
          <cell r="E57">
            <v>14000000</v>
          </cell>
          <cell r="F57">
            <v>14000000</v>
          </cell>
          <cell r="G57">
            <v>5790000</v>
          </cell>
          <cell r="I57">
            <v>0</v>
          </cell>
          <cell r="J57">
            <v>17199999.999999817</v>
          </cell>
          <cell r="T57">
            <v>1537346</v>
          </cell>
          <cell r="AB57">
            <v>0</v>
          </cell>
        </row>
        <row r="58">
          <cell r="C58">
            <v>2874000</v>
          </cell>
          <cell r="E58">
            <v>15000000</v>
          </cell>
          <cell r="F58">
            <v>15000000</v>
          </cell>
          <cell r="G58">
            <v>1540000</v>
          </cell>
          <cell r="I58">
            <v>1481000</v>
          </cell>
          <cell r="J58">
            <v>14099999.999999909</v>
          </cell>
          <cell r="T58">
            <v>1379792</v>
          </cell>
          <cell r="AB58">
            <v>14.000000000000012</v>
          </cell>
        </row>
        <row r="59">
          <cell r="C59">
            <v>4604000</v>
          </cell>
          <cell r="E59">
            <v>15000000</v>
          </cell>
          <cell r="F59">
            <v>15000000</v>
          </cell>
          <cell r="G59">
            <v>0</v>
          </cell>
          <cell r="I59">
            <v>4598789</v>
          </cell>
          <cell r="J59">
            <v>14200000.000000272</v>
          </cell>
          <cell r="T59">
            <v>1343257</v>
          </cell>
          <cell r="AB59">
            <v>211.00000000000009</v>
          </cell>
        </row>
        <row r="60">
          <cell r="C60">
            <v>4995000</v>
          </cell>
          <cell r="E60">
            <v>15000000</v>
          </cell>
          <cell r="F60">
            <v>15000000</v>
          </cell>
          <cell r="G60">
            <v>10000</v>
          </cell>
          <cell r="I60">
            <v>4989926</v>
          </cell>
          <cell r="J60">
            <v>13199999.999999817</v>
          </cell>
          <cell r="T60">
            <v>1363062</v>
          </cell>
          <cell r="AB60">
            <v>73.999999999999844</v>
          </cell>
        </row>
        <row r="61">
          <cell r="C61">
            <v>5673000</v>
          </cell>
          <cell r="E61">
            <v>16000000</v>
          </cell>
          <cell r="F61">
            <v>16000000</v>
          </cell>
          <cell r="G61">
            <v>0</v>
          </cell>
          <cell r="I61">
            <v>5667788</v>
          </cell>
          <cell r="J61">
            <v>13400000.000000091</v>
          </cell>
          <cell r="T61">
            <v>1269005</v>
          </cell>
          <cell r="AB61">
            <v>212.0000000000002</v>
          </cell>
        </row>
        <row r="62">
          <cell r="C62">
            <v>5973000</v>
          </cell>
          <cell r="E62">
            <v>14000000</v>
          </cell>
          <cell r="F62">
            <v>14000000</v>
          </cell>
          <cell r="G62">
            <v>0</v>
          </cell>
          <cell r="I62">
            <v>5969793</v>
          </cell>
          <cell r="J62">
            <v>12899999.999999637</v>
          </cell>
          <cell r="T62">
            <v>1277484</v>
          </cell>
          <cell r="AB62">
            <v>206.99999999999986</v>
          </cell>
        </row>
        <row r="63">
          <cell r="C63">
            <v>6030000</v>
          </cell>
          <cell r="E63">
            <v>13000000</v>
          </cell>
          <cell r="F63">
            <v>13000000</v>
          </cell>
          <cell r="G63">
            <v>0</v>
          </cell>
          <cell r="I63">
            <v>5887000</v>
          </cell>
          <cell r="J63">
            <v>12300000.000000183</v>
          </cell>
          <cell r="T63">
            <v>1035940</v>
          </cell>
          <cell r="AB63">
            <v>139000.00000000023</v>
          </cell>
        </row>
        <row r="64">
          <cell r="C64">
            <v>6014000</v>
          </cell>
          <cell r="E64">
            <v>15000000</v>
          </cell>
          <cell r="F64">
            <v>15000000</v>
          </cell>
          <cell r="G64">
            <v>0</v>
          </cell>
          <cell r="I64">
            <v>5863000</v>
          </cell>
          <cell r="J64">
            <v>12300000.000000183</v>
          </cell>
          <cell r="T64">
            <v>1296396</v>
          </cell>
          <cell r="AB64">
            <v>147999.99999999968</v>
          </cell>
        </row>
        <row r="65">
          <cell r="C65">
            <v>6006000</v>
          </cell>
          <cell r="E65">
            <v>19000000</v>
          </cell>
          <cell r="F65">
            <v>19000000</v>
          </cell>
          <cell r="G65">
            <v>10000</v>
          </cell>
          <cell r="I65">
            <v>5787000</v>
          </cell>
          <cell r="J65">
            <v>17500000</v>
          </cell>
          <cell r="T65">
            <v>1589526</v>
          </cell>
          <cell r="AB65">
            <v>213999.99999999997</v>
          </cell>
        </row>
        <row r="66">
          <cell r="C66">
            <v>5986000</v>
          </cell>
          <cell r="E66">
            <v>19000000</v>
          </cell>
          <cell r="F66">
            <v>19000000</v>
          </cell>
          <cell r="G66">
            <v>0</v>
          </cell>
          <cell r="I66">
            <v>5834000</v>
          </cell>
          <cell r="J66">
            <v>16899999.999999635</v>
          </cell>
          <cell r="T66">
            <v>1646561</v>
          </cell>
          <cell r="AB66">
            <v>149000.00000000003</v>
          </cell>
        </row>
        <row r="67">
          <cell r="G67">
            <v>0</v>
          </cell>
        </row>
        <row r="68">
          <cell r="G68">
            <v>0</v>
          </cell>
        </row>
        <row r="69">
          <cell r="G69">
            <v>10000</v>
          </cell>
        </row>
        <row r="70">
          <cell r="G70">
            <v>0</v>
          </cell>
        </row>
        <row r="71">
          <cell r="G71">
            <v>0</v>
          </cell>
        </row>
        <row r="72">
          <cell r="G72">
            <v>10000</v>
          </cell>
        </row>
        <row r="73">
          <cell r="G73">
            <v>0</v>
          </cell>
        </row>
        <row r="74">
          <cell r="G74">
            <v>10000</v>
          </cell>
        </row>
        <row r="75">
          <cell r="G75">
            <v>0</v>
          </cell>
        </row>
        <row r="76">
          <cell r="G76">
            <v>10000</v>
          </cell>
        </row>
        <row r="77">
          <cell r="G77">
            <v>0</v>
          </cell>
        </row>
        <row r="78">
          <cell r="G78">
            <v>10000</v>
          </cell>
        </row>
        <row r="79">
          <cell r="G79">
            <v>3370000</v>
          </cell>
        </row>
        <row r="80">
          <cell r="G80">
            <v>7910000</v>
          </cell>
        </row>
        <row r="81">
          <cell r="G81">
            <v>9970000</v>
          </cell>
        </row>
        <row r="82">
          <cell r="G82">
            <v>13230000</v>
          </cell>
        </row>
        <row r="83">
          <cell r="G83">
            <v>16970000</v>
          </cell>
        </row>
        <row r="84">
          <cell r="G84">
            <v>17040000</v>
          </cell>
        </row>
        <row r="85">
          <cell r="G85">
            <v>16930000</v>
          </cell>
        </row>
        <row r="86">
          <cell r="G86">
            <v>17070000</v>
          </cell>
        </row>
        <row r="87">
          <cell r="G87">
            <v>15230000</v>
          </cell>
        </row>
        <row r="88">
          <cell r="G88">
            <v>7110000</v>
          </cell>
        </row>
        <row r="89">
          <cell r="G89">
            <v>5090000</v>
          </cell>
        </row>
        <row r="90">
          <cell r="G90">
            <v>4950000</v>
          </cell>
        </row>
        <row r="91">
          <cell r="G91">
            <v>4990000</v>
          </cell>
        </row>
        <row r="92">
          <cell r="G92">
            <v>4980000</v>
          </cell>
        </row>
        <row r="93">
          <cell r="G93">
            <v>5060000</v>
          </cell>
        </row>
        <row r="94">
          <cell r="G94">
            <v>4980000</v>
          </cell>
        </row>
        <row r="95">
          <cell r="G95">
            <v>5000000</v>
          </cell>
        </row>
        <row r="96">
          <cell r="G96">
            <v>5000000</v>
          </cell>
        </row>
      </sheetData>
      <sheetData sheetId="6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ven Hour Data"/>
      <sheetName val="WB Clarifiers"/>
      <sheetName val="WB Chem Flow Changes"/>
      <sheetName val="TTP Chem Flow Changes"/>
      <sheetName val="Midnight Numbers"/>
      <sheetName val="Production Summary"/>
      <sheetName val="Sheet1"/>
      <sheetName val="Chemical Summary"/>
      <sheetName val="June Chem"/>
    </sheetNames>
    <sheetDataSet>
      <sheetData sheetId="0"/>
      <sheetData sheetId="1"/>
      <sheetData sheetId="2"/>
      <sheetData sheetId="3"/>
      <sheetData sheetId="4"/>
      <sheetData sheetId="5">
        <row r="67">
          <cell r="C67">
            <v>6028000</v>
          </cell>
          <cell r="E67">
            <v>20000000</v>
          </cell>
          <cell r="F67"/>
          <cell r="I67">
            <v>5818000</v>
          </cell>
          <cell r="J67">
            <v>18300000.000000183</v>
          </cell>
          <cell r="T67">
            <v>1701679</v>
          </cell>
          <cell r="AB67">
            <v>207000.00000000029</v>
          </cell>
        </row>
        <row r="68">
          <cell r="C68">
            <v>6003000</v>
          </cell>
          <cell r="E68">
            <v>20000000</v>
          </cell>
          <cell r="F68"/>
          <cell r="I68">
            <v>5786000</v>
          </cell>
          <cell r="J68">
            <v>17900000.000000544</v>
          </cell>
          <cell r="T68">
            <v>1634580</v>
          </cell>
          <cell r="AB68">
            <v>211999.99999999974</v>
          </cell>
        </row>
        <row r="69">
          <cell r="C69">
            <v>5924000</v>
          </cell>
          <cell r="E69">
            <v>20000000</v>
          </cell>
          <cell r="F69"/>
          <cell r="I69">
            <v>5769000</v>
          </cell>
          <cell r="J69">
            <v>17799999.999999274</v>
          </cell>
          <cell r="T69">
            <v>1676312</v>
          </cell>
          <cell r="AB69">
            <v>152000.00000000015</v>
          </cell>
        </row>
        <row r="70">
          <cell r="C70">
            <v>6058000</v>
          </cell>
          <cell r="E70">
            <v>20000000</v>
          </cell>
          <cell r="F70"/>
          <cell r="I70">
            <v>5860000</v>
          </cell>
          <cell r="J70">
            <v>18100000.000000365</v>
          </cell>
          <cell r="T70">
            <v>1712572</v>
          </cell>
          <cell r="AB70">
            <v>193999.99999999994</v>
          </cell>
        </row>
        <row r="71">
          <cell r="C71">
            <v>6341000</v>
          </cell>
          <cell r="E71">
            <v>23000000</v>
          </cell>
          <cell r="F71"/>
          <cell r="I71">
            <v>6032000</v>
          </cell>
          <cell r="J71">
            <v>21000000</v>
          </cell>
          <cell r="T71">
            <v>1951115</v>
          </cell>
          <cell r="AB71">
            <v>302999.99999999994</v>
          </cell>
        </row>
        <row r="72">
          <cell r="C72">
            <v>6009000</v>
          </cell>
          <cell r="E72">
            <v>27000000</v>
          </cell>
          <cell r="F72"/>
          <cell r="I72">
            <v>5698000</v>
          </cell>
          <cell r="J72">
            <v>24699999.999999817</v>
          </cell>
          <cell r="T72">
            <v>2187790</v>
          </cell>
          <cell r="AB72">
            <v>304000.00000000029</v>
          </cell>
        </row>
        <row r="73">
          <cell r="C73">
            <v>5952000</v>
          </cell>
          <cell r="E73">
            <v>23000000</v>
          </cell>
          <cell r="F73"/>
          <cell r="I73">
            <v>5833000.0000000009</v>
          </cell>
          <cell r="J73">
            <v>20100000.000000365</v>
          </cell>
          <cell r="T73">
            <v>1943274</v>
          </cell>
          <cell r="AB73">
            <v>117999.99999999943</v>
          </cell>
        </row>
        <row r="74">
          <cell r="C74">
            <v>6132000</v>
          </cell>
          <cell r="E74">
            <v>17000000</v>
          </cell>
          <cell r="F74"/>
          <cell r="I74">
            <v>5886999.9999999991</v>
          </cell>
          <cell r="J74">
            <v>16699999.999999817</v>
          </cell>
          <cell r="T74">
            <v>1510137</v>
          </cell>
          <cell r="AB74">
            <v>239000.00000000076</v>
          </cell>
        </row>
        <row r="75">
          <cell r="C75">
            <v>5988000</v>
          </cell>
          <cell r="E75">
            <v>23000000</v>
          </cell>
          <cell r="F75"/>
          <cell r="I75">
            <v>5839000</v>
          </cell>
          <cell r="J75">
            <v>20199999.999999817</v>
          </cell>
          <cell r="T75">
            <v>1788545</v>
          </cell>
          <cell r="AB75">
            <v>144999.99999999956</v>
          </cell>
        </row>
        <row r="76">
          <cell r="C76">
            <v>6013000</v>
          </cell>
          <cell r="E76">
            <v>29000000</v>
          </cell>
          <cell r="F76"/>
          <cell r="I76">
            <v>5796000</v>
          </cell>
          <cell r="J76">
            <v>27000000</v>
          </cell>
          <cell r="T76">
            <v>2366856</v>
          </cell>
          <cell r="AB76">
            <v>214000.00000000041</v>
          </cell>
        </row>
        <row r="77">
          <cell r="C77">
            <v>5986000</v>
          </cell>
          <cell r="E77">
            <v>28000000</v>
          </cell>
          <cell r="F77">
            <v>0</v>
          </cell>
          <cell r="I77">
            <v>5748000</v>
          </cell>
          <cell r="J77">
            <v>25900000.000000544</v>
          </cell>
          <cell r="T77">
            <v>2392071</v>
          </cell>
          <cell r="AB77">
            <v>232999.99999999965</v>
          </cell>
        </row>
        <row r="78">
          <cell r="C78">
            <v>6029000</v>
          </cell>
          <cell r="E78">
            <v>22958000</v>
          </cell>
          <cell r="F78">
            <v>42000</v>
          </cell>
          <cell r="I78">
            <v>5686000</v>
          </cell>
          <cell r="J78">
            <v>21599999.999999456</v>
          </cell>
          <cell r="T78">
            <v>2014309</v>
          </cell>
          <cell r="AB78">
            <v>338000.00000000006</v>
          </cell>
        </row>
        <row r="79">
          <cell r="C79">
            <v>7230000</v>
          </cell>
          <cell r="E79">
            <v>24000000</v>
          </cell>
          <cell r="F79">
            <v>0</v>
          </cell>
          <cell r="I79">
            <v>7039000</v>
          </cell>
          <cell r="J79">
            <v>24400000.000000544</v>
          </cell>
          <cell r="T79">
            <v>2231280</v>
          </cell>
          <cell r="AB79">
            <v>184999.99999999962</v>
          </cell>
        </row>
        <row r="80">
          <cell r="C80">
            <v>8558000</v>
          </cell>
          <cell r="E80">
            <v>17433000</v>
          </cell>
          <cell r="F80">
            <v>567000</v>
          </cell>
          <cell r="I80">
            <v>8152000</v>
          </cell>
          <cell r="J80">
            <v>24000000</v>
          </cell>
          <cell r="T80">
            <v>2160739</v>
          </cell>
          <cell r="AB80">
            <v>399000</v>
          </cell>
        </row>
        <row r="81">
          <cell r="C81">
            <v>8975000</v>
          </cell>
          <cell r="E81">
            <v>15445000</v>
          </cell>
          <cell r="F81">
            <v>1555000</v>
          </cell>
          <cell r="I81">
            <v>8593000</v>
          </cell>
          <cell r="J81">
            <v>24599999.999999456</v>
          </cell>
          <cell r="T81">
            <v>2198347</v>
          </cell>
          <cell r="AB81">
            <v>376000.00000000035</v>
          </cell>
        </row>
        <row r="82">
          <cell r="C82">
            <v>9529000</v>
          </cell>
          <cell r="E82">
            <v>13314000</v>
          </cell>
          <cell r="F82">
            <v>2686000</v>
          </cell>
          <cell r="I82">
            <v>9194000</v>
          </cell>
          <cell r="J82">
            <v>26600000.000000365</v>
          </cell>
          <cell r="T82">
            <v>2304742</v>
          </cell>
          <cell r="AB82">
            <v>330000.00000000006</v>
          </cell>
        </row>
        <row r="83">
          <cell r="C83">
            <v>9986000</v>
          </cell>
          <cell r="E83">
            <v>8954000</v>
          </cell>
          <cell r="F83">
            <v>3046000</v>
          </cell>
          <cell r="I83">
            <v>9607000</v>
          </cell>
          <cell r="J83">
            <v>26000000</v>
          </cell>
          <cell r="T83">
            <v>2387033</v>
          </cell>
          <cell r="AB83">
            <v>373000.00000000023</v>
          </cell>
        </row>
        <row r="84">
          <cell r="C84">
            <v>8844000</v>
          </cell>
          <cell r="E84">
            <v>5943000</v>
          </cell>
          <cell r="F84">
            <v>3057000</v>
          </cell>
          <cell r="I84">
            <v>8571000</v>
          </cell>
          <cell r="J84">
            <v>25000000</v>
          </cell>
          <cell r="T84">
            <v>2217247</v>
          </cell>
          <cell r="AB84">
            <v>267999.99999999977</v>
          </cell>
        </row>
        <row r="85">
          <cell r="C85">
            <v>8104000</v>
          </cell>
          <cell r="E85">
            <v>7410000</v>
          </cell>
          <cell r="F85">
            <v>3590000</v>
          </cell>
          <cell r="I85">
            <v>7812000</v>
          </cell>
          <cell r="J85">
            <v>25000000</v>
          </cell>
          <cell r="T85">
            <v>2242435</v>
          </cell>
          <cell r="AB85">
            <v>286999.99999999994</v>
          </cell>
        </row>
        <row r="86">
          <cell r="C86">
            <v>10048000</v>
          </cell>
          <cell r="E86">
            <v>8346000</v>
          </cell>
          <cell r="F86">
            <v>4654000</v>
          </cell>
          <cell r="I86">
            <v>9742000</v>
          </cell>
          <cell r="J86">
            <v>26699999.999999817</v>
          </cell>
          <cell r="T86">
            <v>2441549</v>
          </cell>
          <cell r="AB86">
            <v>301000.00000000017</v>
          </cell>
        </row>
        <row r="87">
          <cell r="C87">
            <v>10568000</v>
          </cell>
          <cell r="E87">
            <v>10739000</v>
          </cell>
          <cell r="F87">
            <v>3261000</v>
          </cell>
          <cell r="I87">
            <v>10365000</v>
          </cell>
          <cell r="J87">
            <v>27100000.000000365</v>
          </cell>
          <cell r="T87">
            <v>2427365</v>
          </cell>
          <cell r="AB87">
            <v>198000.00000000041</v>
          </cell>
        </row>
        <row r="88">
          <cell r="C88">
            <v>10048000</v>
          </cell>
          <cell r="E88">
            <v>21976000</v>
          </cell>
          <cell r="F88">
            <v>5024000</v>
          </cell>
          <cell r="I88">
            <v>9741000</v>
          </cell>
          <cell r="J88">
            <v>30099999.999999456</v>
          </cell>
          <cell r="T88">
            <v>2702315</v>
          </cell>
          <cell r="AB88">
            <v>301999.99999999959</v>
          </cell>
        </row>
        <row r="89">
          <cell r="C89">
            <v>9251000</v>
          </cell>
          <cell r="E89">
            <v>16878000</v>
          </cell>
          <cell r="F89">
            <v>5122000</v>
          </cell>
          <cell r="I89">
            <v>8955000</v>
          </cell>
          <cell r="J89">
            <v>24699999.999999817</v>
          </cell>
          <cell r="T89">
            <v>2284776</v>
          </cell>
          <cell r="AB89">
            <v>291000.00000000035</v>
          </cell>
        </row>
        <row r="90">
          <cell r="C90">
            <v>8540000</v>
          </cell>
          <cell r="E90">
            <v>16011000</v>
          </cell>
          <cell r="F90">
            <v>4989000</v>
          </cell>
          <cell r="I90">
            <v>8213000</v>
          </cell>
          <cell r="J90">
            <v>23300000.000000183</v>
          </cell>
          <cell r="T90">
            <v>2153007</v>
          </cell>
          <cell r="AB90">
            <v>320999.99999999971</v>
          </cell>
        </row>
        <row r="91">
          <cell r="C91">
            <v>8390000</v>
          </cell>
          <cell r="E91">
            <v>16983000</v>
          </cell>
          <cell r="F91">
            <v>5017000</v>
          </cell>
          <cell r="I91">
            <v>8071000.0000000009</v>
          </cell>
          <cell r="J91">
            <v>24100000.000000365</v>
          </cell>
          <cell r="T91">
            <v>2352242</v>
          </cell>
          <cell r="AB91">
            <v>312999.99999999884</v>
          </cell>
        </row>
        <row r="92">
          <cell r="C92">
            <v>8670000</v>
          </cell>
          <cell r="E92">
            <v>18983000</v>
          </cell>
          <cell r="F92">
            <v>5017000</v>
          </cell>
          <cell r="I92">
            <v>8475999.9999999981</v>
          </cell>
          <cell r="J92">
            <v>26000000</v>
          </cell>
          <cell r="T92">
            <v>2346103</v>
          </cell>
          <cell r="AB92">
            <v>190000.00000000128</v>
          </cell>
        </row>
        <row r="93">
          <cell r="C93">
            <v>10643000</v>
          </cell>
          <cell r="E93">
            <v>20936000</v>
          </cell>
          <cell r="F93">
            <v>5064000</v>
          </cell>
          <cell r="I93">
            <v>10513000.000000002</v>
          </cell>
          <cell r="J93">
            <v>28000000</v>
          </cell>
          <cell r="T93">
            <v>2515831</v>
          </cell>
          <cell r="AB93">
            <v>126999.99999999889</v>
          </cell>
        </row>
        <row r="94">
          <cell r="C94">
            <v>11048000</v>
          </cell>
          <cell r="E94">
            <v>21888000</v>
          </cell>
          <cell r="F94">
            <v>5112000</v>
          </cell>
          <cell r="I94">
            <v>10735000</v>
          </cell>
          <cell r="J94">
            <v>29099999.999999456</v>
          </cell>
          <cell r="T94">
            <v>2522850</v>
          </cell>
          <cell r="AB94">
            <v>307000.00000000041</v>
          </cell>
        </row>
        <row r="95">
          <cell r="C95">
            <v>11029000</v>
          </cell>
          <cell r="E95">
            <v>20893000</v>
          </cell>
          <cell r="F95">
            <v>5107000</v>
          </cell>
          <cell r="I95">
            <v>10694000</v>
          </cell>
          <cell r="J95">
            <v>28300000.000000183</v>
          </cell>
          <cell r="T95">
            <v>2469359</v>
          </cell>
          <cell r="AB95">
            <v>327999.99999999942</v>
          </cell>
        </row>
        <row r="96">
          <cell r="C96">
            <v>9096000</v>
          </cell>
          <cell r="E96">
            <v>15937000</v>
          </cell>
          <cell r="F96">
            <v>5063000</v>
          </cell>
          <cell r="I96">
            <v>8729000</v>
          </cell>
          <cell r="J96">
            <v>22500000</v>
          </cell>
          <cell r="T96">
            <v>2056395</v>
          </cell>
          <cell r="AB96">
            <v>361000.00000000064</v>
          </cell>
        </row>
      </sheetData>
      <sheetData sheetId="6"/>
      <sheetData sheetId="7"/>
      <sheetData sheetId="8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ven Hour Data"/>
      <sheetName val="WB Clarifiers"/>
      <sheetName val="WB Chem Flow Changes"/>
      <sheetName val="TTP Chem Flow Changes"/>
      <sheetName val="Midnight Numbers"/>
      <sheetName val="Production Summary"/>
      <sheetName val="Chemical Summary"/>
      <sheetName val="July Chem"/>
      <sheetName val="Aug Chem"/>
      <sheetName val="Sept Chem"/>
    </sheetNames>
    <sheetDataSet>
      <sheetData sheetId="0"/>
      <sheetData sheetId="1"/>
      <sheetData sheetId="2"/>
      <sheetData sheetId="3"/>
      <sheetData sheetId="4"/>
      <sheetData sheetId="5">
        <row r="6">
          <cell r="C6">
            <v>10196000</v>
          </cell>
          <cell r="E6">
            <v>20911000</v>
          </cell>
          <cell r="F6">
            <v>5089000</v>
          </cell>
          <cell r="G6">
            <v>5000000</v>
          </cell>
          <cell r="I6">
            <v>10011000</v>
          </cell>
          <cell r="J6">
            <v>27800000.000000183</v>
          </cell>
          <cell r="T6">
            <v>2469414</v>
          </cell>
          <cell r="AB6">
            <v>181000.00000000093</v>
          </cell>
        </row>
        <row r="7">
          <cell r="C7">
            <v>10365000</v>
          </cell>
          <cell r="E7">
            <v>19906000</v>
          </cell>
          <cell r="F7">
            <v>5094000</v>
          </cell>
          <cell r="G7">
            <v>5010000</v>
          </cell>
          <cell r="I7">
            <v>10023000</v>
          </cell>
          <cell r="J7">
            <v>26899999.999999635</v>
          </cell>
          <cell r="T7">
            <v>2387127</v>
          </cell>
          <cell r="AB7">
            <v>333999.99999999965</v>
          </cell>
        </row>
        <row r="8">
          <cell r="C8">
            <v>9684000</v>
          </cell>
          <cell r="E8">
            <v>18882000</v>
          </cell>
          <cell r="F8">
            <v>5118000</v>
          </cell>
          <cell r="G8">
            <v>5160000</v>
          </cell>
          <cell r="I8">
            <v>9316000</v>
          </cell>
          <cell r="J8">
            <v>26400000.000000544</v>
          </cell>
          <cell r="T8">
            <v>2407076</v>
          </cell>
          <cell r="AB8">
            <v>362000.00000000012</v>
          </cell>
        </row>
        <row r="9">
          <cell r="C9">
            <v>10967000</v>
          </cell>
          <cell r="E9">
            <v>14905000</v>
          </cell>
          <cell r="F9">
            <v>5095000</v>
          </cell>
          <cell r="G9">
            <v>12440000</v>
          </cell>
          <cell r="I9">
            <v>10705000</v>
          </cell>
          <cell r="J9">
            <v>29300000.000000183</v>
          </cell>
          <cell r="T9">
            <v>2600717</v>
          </cell>
          <cell r="AB9">
            <v>256999.99999999968</v>
          </cell>
        </row>
        <row r="10">
          <cell r="C10">
            <v>9726000</v>
          </cell>
          <cell r="E10">
            <v>8946000</v>
          </cell>
          <cell r="F10">
            <v>5054000</v>
          </cell>
          <cell r="G10">
            <v>14840000</v>
          </cell>
          <cell r="I10">
            <v>9479000</v>
          </cell>
          <cell r="J10">
            <v>26899999.999999635</v>
          </cell>
          <cell r="T10">
            <v>2378835</v>
          </cell>
          <cell r="AB10">
            <v>241999.9999999991</v>
          </cell>
        </row>
        <row r="11">
          <cell r="C11">
            <v>11167000</v>
          </cell>
          <cell r="E11">
            <v>13898000</v>
          </cell>
          <cell r="F11">
            <v>5102000</v>
          </cell>
          <cell r="G11">
            <v>15000000</v>
          </cell>
          <cell r="I11">
            <v>10907000</v>
          </cell>
          <cell r="J11">
            <v>30199999.999999817</v>
          </cell>
          <cell r="T11">
            <v>2753489</v>
          </cell>
          <cell r="AB11">
            <v>255000.00000000079</v>
          </cell>
        </row>
        <row r="12">
          <cell r="C12">
            <v>11491000</v>
          </cell>
          <cell r="E12">
            <v>12866000</v>
          </cell>
          <cell r="F12">
            <v>5134000</v>
          </cell>
          <cell r="G12">
            <v>17320000</v>
          </cell>
          <cell r="I12">
            <v>11197000</v>
          </cell>
          <cell r="J12">
            <v>31000000</v>
          </cell>
          <cell r="T12">
            <v>2914093</v>
          </cell>
          <cell r="AB12">
            <v>288999.99999999971</v>
          </cell>
        </row>
        <row r="13">
          <cell r="C13">
            <v>12955000</v>
          </cell>
          <cell r="E13">
            <v>5918000</v>
          </cell>
          <cell r="F13">
            <v>5082000</v>
          </cell>
          <cell r="G13">
            <v>19580000</v>
          </cell>
          <cell r="I13">
            <v>12449000</v>
          </cell>
          <cell r="J13">
            <v>28400000.000000544</v>
          </cell>
          <cell r="T13">
            <v>2615799</v>
          </cell>
          <cell r="AB13">
            <v>496999.99999999988</v>
          </cell>
        </row>
        <row r="14">
          <cell r="C14">
            <v>12987000</v>
          </cell>
          <cell r="E14">
            <v>4905000</v>
          </cell>
          <cell r="F14">
            <v>5095000</v>
          </cell>
          <cell r="G14">
            <v>21410000</v>
          </cell>
          <cell r="I14">
            <v>12619000</v>
          </cell>
          <cell r="J14">
            <v>27899999.999999635</v>
          </cell>
          <cell r="T14">
            <v>2619854</v>
          </cell>
          <cell r="AB14">
            <v>361000.00000000064</v>
          </cell>
        </row>
        <row r="15">
          <cell r="C15">
            <v>12937000</v>
          </cell>
          <cell r="E15">
            <v>3926000</v>
          </cell>
          <cell r="F15">
            <v>5074000</v>
          </cell>
          <cell r="G15">
            <v>21950000</v>
          </cell>
          <cell r="I15">
            <v>12761000</v>
          </cell>
          <cell r="J15">
            <v>28199999.999999817</v>
          </cell>
          <cell r="T15">
            <v>2557138</v>
          </cell>
          <cell r="AB15">
            <v>170999.99999999939</v>
          </cell>
        </row>
        <row r="16">
          <cell r="C16">
            <v>12615000</v>
          </cell>
          <cell r="E16">
            <v>3943000</v>
          </cell>
          <cell r="F16">
            <v>5057000</v>
          </cell>
          <cell r="G16">
            <v>21810000</v>
          </cell>
          <cell r="I16">
            <v>12271000</v>
          </cell>
          <cell r="J16">
            <v>27300000.000000183</v>
          </cell>
          <cell r="T16">
            <v>2407879</v>
          </cell>
          <cell r="AB16">
            <v>339000.00000000041</v>
          </cell>
        </row>
        <row r="17">
          <cell r="C17">
            <v>12197000</v>
          </cell>
          <cell r="E17">
            <v>4818000</v>
          </cell>
          <cell r="F17">
            <v>5182000</v>
          </cell>
          <cell r="G17">
            <v>22510000</v>
          </cell>
          <cell r="I17">
            <v>11759000</v>
          </cell>
          <cell r="J17">
            <v>29300000.000000183</v>
          </cell>
          <cell r="T17">
            <v>2627631</v>
          </cell>
          <cell r="AB17">
            <v>429999.99999999971</v>
          </cell>
        </row>
        <row r="18">
          <cell r="C18">
            <v>10825000</v>
          </cell>
          <cell r="E18">
            <v>4900000</v>
          </cell>
          <cell r="F18">
            <v>5100000</v>
          </cell>
          <cell r="G18">
            <v>18430000</v>
          </cell>
          <cell r="I18">
            <v>10438000</v>
          </cell>
          <cell r="J18">
            <v>25099999.999999456</v>
          </cell>
          <cell r="T18">
            <v>2363926</v>
          </cell>
          <cell r="AB18">
            <v>378999.99999999953</v>
          </cell>
        </row>
        <row r="19">
          <cell r="C19">
            <v>11240000</v>
          </cell>
          <cell r="E19">
            <v>5781000</v>
          </cell>
          <cell r="F19">
            <v>4219000</v>
          </cell>
          <cell r="G19">
            <v>22020000</v>
          </cell>
          <cell r="I19">
            <v>11084999.999999998</v>
          </cell>
          <cell r="J19">
            <v>28700000.000000726</v>
          </cell>
          <cell r="T19">
            <v>2673465</v>
          </cell>
          <cell r="AB19">
            <v>152000.00000000102</v>
          </cell>
        </row>
        <row r="20">
          <cell r="C20">
            <v>11375000</v>
          </cell>
          <cell r="E20">
            <v>4909000</v>
          </cell>
          <cell r="F20">
            <v>3091000</v>
          </cell>
          <cell r="G20">
            <v>20810000</v>
          </cell>
          <cell r="I20">
            <v>10929000</v>
          </cell>
          <cell r="J20">
            <v>26599999.999999456</v>
          </cell>
          <cell r="T20">
            <v>2321997</v>
          </cell>
          <cell r="AB20">
            <v>439999.99999999948</v>
          </cell>
        </row>
        <row r="21">
          <cell r="C21">
            <v>10988000</v>
          </cell>
          <cell r="E21">
            <v>2912000</v>
          </cell>
          <cell r="F21">
            <v>3088000</v>
          </cell>
          <cell r="G21">
            <v>24250000</v>
          </cell>
          <cell r="I21">
            <v>10821000</v>
          </cell>
          <cell r="J21">
            <v>27100000.000000365</v>
          </cell>
          <cell r="T21">
            <v>2525491</v>
          </cell>
          <cell r="AB21">
            <v>160000.00000000015</v>
          </cell>
        </row>
        <row r="22">
          <cell r="C22">
            <v>10764000</v>
          </cell>
          <cell r="E22">
            <v>3580000</v>
          </cell>
          <cell r="F22">
            <v>2420000</v>
          </cell>
          <cell r="G22">
            <v>26150000</v>
          </cell>
          <cell r="I22">
            <v>10366000</v>
          </cell>
          <cell r="J22">
            <v>29099999.999999456</v>
          </cell>
          <cell r="T22">
            <v>2579253</v>
          </cell>
          <cell r="AB22">
            <v>393000.0000000007</v>
          </cell>
        </row>
        <row r="23">
          <cell r="C23">
            <v>10401000</v>
          </cell>
          <cell r="E23">
            <v>3959000</v>
          </cell>
          <cell r="F23">
            <v>2041000</v>
          </cell>
          <cell r="G23">
            <v>27670000</v>
          </cell>
          <cell r="I23">
            <v>10095000</v>
          </cell>
          <cell r="J23">
            <v>30500000</v>
          </cell>
          <cell r="T23">
            <v>2690222</v>
          </cell>
          <cell r="AB23">
            <v>300000.0000000007</v>
          </cell>
        </row>
        <row r="24">
          <cell r="C24">
            <v>11535000</v>
          </cell>
          <cell r="E24">
            <v>5988000</v>
          </cell>
          <cell r="F24">
            <v>2012000</v>
          </cell>
          <cell r="G24">
            <v>24640000</v>
          </cell>
          <cell r="I24">
            <v>11322000.000000004</v>
          </cell>
          <cell r="J24">
            <v>29100000.000000365</v>
          </cell>
          <cell r="T24">
            <v>2751562</v>
          </cell>
          <cell r="AB24">
            <v>206999.99999999718</v>
          </cell>
        </row>
        <row r="25">
          <cell r="C25">
            <v>11955000</v>
          </cell>
          <cell r="E25">
            <v>5983000</v>
          </cell>
          <cell r="F25">
            <v>2017000</v>
          </cell>
          <cell r="G25">
            <v>23850000</v>
          </cell>
          <cell r="I25">
            <v>11649000</v>
          </cell>
          <cell r="J25">
            <v>29100000.000000365</v>
          </cell>
          <cell r="T25">
            <v>2560821</v>
          </cell>
          <cell r="AB25">
            <v>300000.0000000007</v>
          </cell>
        </row>
        <row r="26">
          <cell r="C26">
            <v>11519000</v>
          </cell>
          <cell r="E26">
            <v>5969000</v>
          </cell>
          <cell r="F26">
            <v>2031000</v>
          </cell>
          <cell r="G26">
            <v>24200000</v>
          </cell>
          <cell r="I26">
            <v>11063000</v>
          </cell>
          <cell r="J26">
            <v>29299999.999999274</v>
          </cell>
          <cell r="T26">
            <v>2581859</v>
          </cell>
          <cell r="AB26">
            <v>448000.00000000041</v>
          </cell>
        </row>
        <row r="27">
          <cell r="C27">
            <v>11074000</v>
          </cell>
          <cell r="E27">
            <v>5965000</v>
          </cell>
          <cell r="F27">
            <v>2035000</v>
          </cell>
          <cell r="G27">
            <v>23250000</v>
          </cell>
          <cell r="I27">
            <v>10709000</v>
          </cell>
          <cell r="J27">
            <v>28100000.000000365</v>
          </cell>
          <cell r="T27">
            <v>2444746</v>
          </cell>
          <cell r="AB27">
            <v>356999.9999999993</v>
          </cell>
        </row>
        <row r="28">
          <cell r="C28">
            <v>11948000</v>
          </cell>
          <cell r="E28">
            <v>5985000</v>
          </cell>
          <cell r="F28">
            <v>2015000</v>
          </cell>
          <cell r="G28">
            <v>23840000</v>
          </cell>
          <cell r="I28">
            <v>11712000</v>
          </cell>
          <cell r="J28">
            <v>28600000.000000365</v>
          </cell>
          <cell r="T28">
            <v>2604203</v>
          </cell>
          <cell r="AB28">
            <v>233000.00000000055</v>
          </cell>
        </row>
        <row r="29">
          <cell r="C29">
            <v>11427000</v>
          </cell>
          <cell r="E29">
            <v>5989000</v>
          </cell>
          <cell r="F29">
            <v>2011000</v>
          </cell>
          <cell r="G29">
            <v>25710000</v>
          </cell>
          <cell r="I29">
            <v>11004000</v>
          </cell>
          <cell r="J29">
            <v>30599999.999999456</v>
          </cell>
          <cell r="T29">
            <v>2775885</v>
          </cell>
          <cell r="AB29">
            <v>414999.99999999913</v>
          </cell>
        </row>
        <row r="30">
          <cell r="C30">
            <v>10388000</v>
          </cell>
          <cell r="E30">
            <v>5996000</v>
          </cell>
          <cell r="F30">
            <v>2004000</v>
          </cell>
          <cell r="G30">
            <v>22900000</v>
          </cell>
          <cell r="I30">
            <v>10136000</v>
          </cell>
          <cell r="J30">
            <v>28100000.000000365</v>
          </cell>
          <cell r="T30">
            <v>2485298</v>
          </cell>
          <cell r="AB30">
            <v>246999.99999999988</v>
          </cell>
        </row>
        <row r="31">
          <cell r="C31">
            <v>9652000</v>
          </cell>
          <cell r="E31">
            <v>5968000</v>
          </cell>
          <cell r="F31">
            <v>2032000</v>
          </cell>
          <cell r="G31">
            <v>20880000</v>
          </cell>
          <cell r="I31">
            <v>9153999.9999999981</v>
          </cell>
          <cell r="J31">
            <v>26199999.999999817</v>
          </cell>
          <cell r="T31">
            <v>2417714</v>
          </cell>
          <cell r="AB31">
            <v>490000.00000000198</v>
          </cell>
        </row>
        <row r="32">
          <cell r="C32">
            <v>8833000</v>
          </cell>
          <cell r="E32">
            <v>5990000</v>
          </cell>
          <cell r="F32">
            <v>2010000</v>
          </cell>
          <cell r="G32">
            <v>18090000</v>
          </cell>
          <cell r="I32">
            <v>8470000</v>
          </cell>
          <cell r="J32">
            <v>23699999.999999817</v>
          </cell>
          <cell r="T32">
            <v>2146983</v>
          </cell>
          <cell r="AB32">
            <v>358000.00000000052</v>
          </cell>
        </row>
        <row r="33">
          <cell r="C33">
            <v>11673000</v>
          </cell>
          <cell r="E33">
            <v>6003000</v>
          </cell>
          <cell r="F33">
            <v>1997000</v>
          </cell>
          <cell r="G33">
            <v>19890000</v>
          </cell>
          <cell r="I33">
            <v>11361000</v>
          </cell>
          <cell r="J33">
            <v>24699999.999999817</v>
          </cell>
          <cell r="T33">
            <v>2279093</v>
          </cell>
          <cell r="AB33">
            <v>304999.99999999971</v>
          </cell>
        </row>
        <row r="34">
          <cell r="C34">
            <v>12587000</v>
          </cell>
          <cell r="E34">
            <v>5977000</v>
          </cell>
          <cell r="F34">
            <v>2023000</v>
          </cell>
          <cell r="G34">
            <v>14030000</v>
          </cell>
          <cell r="I34">
            <v>12146000.000000002</v>
          </cell>
          <cell r="J34">
            <v>20500000</v>
          </cell>
          <cell r="T34">
            <v>1908993</v>
          </cell>
          <cell r="AB34">
            <v>434999.99999999872</v>
          </cell>
        </row>
        <row r="35">
          <cell r="C35">
            <v>13814000</v>
          </cell>
          <cell r="E35">
            <v>5950000</v>
          </cell>
          <cell r="F35">
            <v>2050000</v>
          </cell>
          <cell r="G35">
            <v>13520000</v>
          </cell>
          <cell r="I35">
            <v>13563999.999999998</v>
          </cell>
          <cell r="J35">
            <v>20600000.000000365</v>
          </cell>
          <cell r="T35">
            <v>1780240</v>
          </cell>
          <cell r="AB35">
            <v>246000.00000000221</v>
          </cell>
        </row>
        <row r="36">
          <cell r="C36">
            <v>12130000</v>
          </cell>
          <cell r="E36">
            <v>5988000</v>
          </cell>
          <cell r="F36">
            <v>2012000</v>
          </cell>
          <cell r="G36">
            <v>15480000</v>
          </cell>
          <cell r="I36">
            <v>11599000.000000002</v>
          </cell>
          <cell r="J36">
            <v>22399999.999999635</v>
          </cell>
          <cell r="T36">
            <v>1918563</v>
          </cell>
          <cell r="AB36">
            <v>521999.99999999849</v>
          </cell>
        </row>
        <row r="37">
          <cell r="C37">
            <v>11176000</v>
          </cell>
          <cell r="E37">
            <v>5985000</v>
          </cell>
          <cell r="F37">
            <v>2015000</v>
          </cell>
          <cell r="G37">
            <v>15280000</v>
          </cell>
          <cell r="I37">
            <v>10788000</v>
          </cell>
          <cell r="J37">
            <v>21200000.000000726</v>
          </cell>
          <cell r="T37">
            <v>1908979</v>
          </cell>
          <cell r="AB37">
            <v>381000.00000000023</v>
          </cell>
        </row>
        <row r="38">
          <cell r="C38">
            <v>12025000</v>
          </cell>
          <cell r="E38">
            <v>6026000</v>
          </cell>
          <cell r="F38">
            <v>1974000</v>
          </cell>
          <cell r="G38">
            <v>19520000</v>
          </cell>
          <cell r="I38">
            <v>11692000</v>
          </cell>
          <cell r="J38">
            <v>25000000</v>
          </cell>
          <cell r="T38">
            <v>2316598</v>
          </cell>
          <cell r="AB38">
            <v>327999.99999999942</v>
          </cell>
        </row>
        <row r="39">
          <cell r="C39">
            <v>12101000</v>
          </cell>
          <cell r="E39">
            <v>6072000</v>
          </cell>
          <cell r="F39">
            <v>1928000</v>
          </cell>
          <cell r="G39">
            <v>11770000</v>
          </cell>
          <cell r="I39">
            <v>11731000</v>
          </cell>
          <cell r="J39">
            <v>18099999.999999456</v>
          </cell>
          <cell r="T39">
            <v>1691124</v>
          </cell>
          <cell r="AB39">
            <v>364000.00000000076</v>
          </cell>
        </row>
        <row r="40">
          <cell r="C40">
            <v>14060000</v>
          </cell>
          <cell r="E40">
            <v>5442000</v>
          </cell>
          <cell r="F40">
            <v>2558000</v>
          </cell>
          <cell r="G40">
            <v>11230000</v>
          </cell>
          <cell r="I40">
            <v>13613000.000000002</v>
          </cell>
          <cell r="J40">
            <v>19100000.000000365</v>
          </cell>
          <cell r="T40">
            <v>1612139</v>
          </cell>
          <cell r="AB40">
            <v>439999.99999999773</v>
          </cell>
        </row>
        <row r="41">
          <cell r="C41">
            <v>11461000</v>
          </cell>
          <cell r="E41">
            <v>3021000</v>
          </cell>
          <cell r="F41">
            <v>2979000</v>
          </cell>
          <cell r="G41">
            <v>16650000</v>
          </cell>
          <cell r="I41">
            <v>11052999.999999998</v>
          </cell>
          <cell r="J41">
            <v>20899999.999999635</v>
          </cell>
          <cell r="T41">
            <v>1897530</v>
          </cell>
          <cell r="AB41">
            <v>402000.00000000105</v>
          </cell>
        </row>
        <row r="42">
          <cell r="C42">
            <v>8895000</v>
          </cell>
          <cell r="E42">
            <v>3030000</v>
          </cell>
          <cell r="F42">
            <v>2970000</v>
          </cell>
          <cell r="G42">
            <v>13990000</v>
          </cell>
          <cell r="I42">
            <v>8522999.9999999981</v>
          </cell>
          <cell r="J42">
            <v>17900000.000000544</v>
          </cell>
          <cell r="T42">
            <v>1759198</v>
          </cell>
          <cell r="AB42">
            <v>365000.00000000198</v>
          </cell>
        </row>
        <row r="43">
          <cell r="C43">
            <v>13901000</v>
          </cell>
          <cell r="E43">
            <v>3052000</v>
          </cell>
          <cell r="F43">
            <v>2948000</v>
          </cell>
          <cell r="G43">
            <v>10450000</v>
          </cell>
          <cell r="I43">
            <v>13512000</v>
          </cell>
          <cell r="J43">
            <v>13599999.999999454</v>
          </cell>
          <cell r="T43">
            <v>1366771</v>
          </cell>
          <cell r="AB43">
            <v>382999.99999999913</v>
          </cell>
        </row>
        <row r="44">
          <cell r="C44">
            <v>9516000</v>
          </cell>
          <cell r="E44">
            <v>1910000</v>
          </cell>
          <cell r="F44">
            <v>4090000</v>
          </cell>
          <cell r="G44">
            <v>3680000</v>
          </cell>
          <cell r="I44">
            <v>9183000</v>
          </cell>
          <cell r="J44">
            <v>10400000.000000546</v>
          </cell>
          <cell r="T44">
            <v>830988</v>
          </cell>
          <cell r="AB44">
            <v>327999.99999999942</v>
          </cell>
        </row>
        <row r="45">
          <cell r="C45">
            <v>9178000</v>
          </cell>
          <cell r="E45">
            <v>124000</v>
          </cell>
          <cell r="F45">
            <v>5876000</v>
          </cell>
          <cell r="G45">
            <v>6860000</v>
          </cell>
          <cell r="I45">
            <v>8873000</v>
          </cell>
          <cell r="J45">
            <v>12099999.999999454</v>
          </cell>
          <cell r="T45">
            <v>1108970</v>
          </cell>
          <cell r="AB45">
            <v>300000.0000000007</v>
          </cell>
        </row>
        <row r="46">
          <cell r="C46">
            <v>12149000</v>
          </cell>
          <cell r="E46">
            <v>99000</v>
          </cell>
          <cell r="F46">
            <v>5901000</v>
          </cell>
          <cell r="G46">
            <v>6370000</v>
          </cell>
          <cell r="I46">
            <v>11841000</v>
          </cell>
          <cell r="J46">
            <v>12500000</v>
          </cell>
          <cell r="T46">
            <v>1085329</v>
          </cell>
          <cell r="AB46">
            <v>301999.99999999959</v>
          </cell>
        </row>
        <row r="47">
          <cell r="C47">
            <v>12412000</v>
          </cell>
          <cell r="E47">
            <v>129000</v>
          </cell>
          <cell r="F47">
            <v>5871000</v>
          </cell>
          <cell r="G47">
            <v>6430000</v>
          </cell>
          <cell r="I47">
            <v>11913000</v>
          </cell>
          <cell r="J47">
            <v>11100000.000000363</v>
          </cell>
          <cell r="T47">
            <v>1029557</v>
          </cell>
          <cell r="AB47">
            <v>490999.99999999965</v>
          </cell>
        </row>
        <row r="48">
          <cell r="C48">
            <v>12646000</v>
          </cell>
          <cell r="E48">
            <v>26000</v>
          </cell>
          <cell r="F48">
            <v>5974000</v>
          </cell>
          <cell r="G48">
            <v>13090000</v>
          </cell>
          <cell r="I48">
            <v>12204000.000000002</v>
          </cell>
          <cell r="J48">
            <v>17699999.999999817</v>
          </cell>
          <cell r="T48">
            <v>1583255</v>
          </cell>
          <cell r="AB48">
            <v>434999.99999999872</v>
          </cell>
        </row>
        <row r="49">
          <cell r="C49">
            <v>10555000</v>
          </cell>
          <cell r="E49">
            <v>168000</v>
          </cell>
          <cell r="F49">
            <v>5832000</v>
          </cell>
          <cell r="G49">
            <v>7320000</v>
          </cell>
          <cell r="I49">
            <v>10274999.999999998</v>
          </cell>
          <cell r="J49">
            <v>11899999.999999637</v>
          </cell>
          <cell r="T49">
            <v>1240076</v>
          </cell>
          <cell r="AB49">
            <v>275000.00000000215</v>
          </cell>
        </row>
        <row r="50">
          <cell r="C50">
            <v>13537000</v>
          </cell>
          <cell r="E50">
            <v>76000</v>
          </cell>
          <cell r="F50">
            <v>5924000</v>
          </cell>
          <cell r="G50">
            <v>11030000</v>
          </cell>
          <cell r="I50">
            <v>13173000</v>
          </cell>
          <cell r="J50">
            <v>16700000.000000728</v>
          </cell>
          <cell r="T50">
            <v>1402866</v>
          </cell>
          <cell r="AB50">
            <v>358000.00000000052</v>
          </cell>
        </row>
        <row r="51">
          <cell r="C51">
            <v>13265000</v>
          </cell>
          <cell r="E51">
            <v>99000</v>
          </cell>
          <cell r="F51">
            <v>5901000</v>
          </cell>
          <cell r="G51">
            <v>12490000</v>
          </cell>
          <cell r="I51">
            <v>12824000.000000002</v>
          </cell>
          <cell r="J51">
            <v>17099999.999999456</v>
          </cell>
          <cell r="T51">
            <v>1553986</v>
          </cell>
          <cell r="AB51">
            <v>433999.9999999975</v>
          </cell>
        </row>
        <row r="52">
          <cell r="C52">
            <v>12063000</v>
          </cell>
          <cell r="E52">
            <v>67000</v>
          </cell>
          <cell r="F52">
            <v>5933000</v>
          </cell>
          <cell r="G52">
            <v>11430000</v>
          </cell>
          <cell r="I52">
            <v>11563000</v>
          </cell>
          <cell r="J52">
            <v>16500000</v>
          </cell>
          <cell r="T52">
            <v>1560763</v>
          </cell>
          <cell r="AB52">
            <v>492000.00000000087</v>
          </cell>
        </row>
        <row r="53">
          <cell r="C53">
            <v>11230000</v>
          </cell>
          <cell r="E53">
            <v>2000000</v>
          </cell>
          <cell r="F53">
            <v>7249000</v>
          </cell>
          <cell r="G53">
            <v>19350000</v>
          </cell>
          <cell r="I53">
            <v>10784999.999999998</v>
          </cell>
          <cell r="J53">
            <v>19699999.999999817</v>
          </cell>
          <cell r="T53">
            <v>1777371</v>
          </cell>
          <cell r="AB53">
            <v>437000.00000000116</v>
          </cell>
        </row>
        <row r="54">
          <cell r="C54">
            <v>10825000</v>
          </cell>
          <cell r="E54">
            <v>0</v>
          </cell>
          <cell r="F54">
            <v>7966000</v>
          </cell>
          <cell r="G54">
            <v>24710000</v>
          </cell>
          <cell r="I54">
            <v>10606000.000000002</v>
          </cell>
          <cell r="J54">
            <v>22200000.000000726</v>
          </cell>
          <cell r="T54">
            <v>1980101</v>
          </cell>
          <cell r="AB54">
            <v>215999.99999999753</v>
          </cell>
        </row>
        <row r="55">
          <cell r="C55">
            <v>12038000</v>
          </cell>
          <cell r="E55">
            <v>0</v>
          </cell>
          <cell r="F55">
            <v>8000000</v>
          </cell>
          <cell r="G55">
            <v>25450000</v>
          </cell>
          <cell r="I55">
            <v>11591000</v>
          </cell>
          <cell r="J55">
            <v>22799999.999999274</v>
          </cell>
          <cell r="T55">
            <v>2061048</v>
          </cell>
          <cell r="AB55">
            <v>439000.00000000006</v>
          </cell>
        </row>
        <row r="56">
          <cell r="C56">
            <v>10720000</v>
          </cell>
          <cell r="E56">
            <v>0</v>
          </cell>
          <cell r="F56">
            <v>8051000</v>
          </cell>
          <cell r="G56">
            <v>25090000</v>
          </cell>
          <cell r="I56">
            <v>10386999.999999996</v>
          </cell>
          <cell r="J56">
            <v>22500000</v>
          </cell>
          <cell r="T56">
            <v>2049681</v>
          </cell>
          <cell r="AB56">
            <v>328000.00000000297</v>
          </cell>
        </row>
        <row r="57">
          <cell r="C57">
            <v>11615000</v>
          </cell>
          <cell r="E57">
            <v>0</v>
          </cell>
          <cell r="F57">
            <v>8113000</v>
          </cell>
          <cell r="G57">
            <v>26220000</v>
          </cell>
          <cell r="I57">
            <v>11175000</v>
          </cell>
          <cell r="J57">
            <v>23500000</v>
          </cell>
          <cell r="T57">
            <v>2172960</v>
          </cell>
          <cell r="AB57">
            <v>432999.99999999983</v>
          </cell>
        </row>
        <row r="58">
          <cell r="C58">
            <v>10526000</v>
          </cell>
          <cell r="E58">
            <v>0</v>
          </cell>
          <cell r="F58">
            <v>8005000</v>
          </cell>
          <cell r="G58">
            <v>26560000</v>
          </cell>
          <cell r="I58">
            <v>10080000.000000002</v>
          </cell>
          <cell r="J58">
            <v>23800000.000000183</v>
          </cell>
          <cell r="T58">
            <v>2160829</v>
          </cell>
          <cell r="AB58">
            <v>437999.99999999884</v>
          </cell>
        </row>
        <row r="59">
          <cell r="C59">
            <v>10078000</v>
          </cell>
          <cell r="E59">
            <v>0</v>
          </cell>
          <cell r="F59">
            <v>8123000</v>
          </cell>
          <cell r="G59">
            <v>26400000</v>
          </cell>
          <cell r="I59">
            <v>9715000</v>
          </cell>
          <cell r="J59">
            <v>24400000.000000544</v>
          </cell>
          <cell r="T59">
            <v>2117126</v>
          </cell>
          <cell r="AB59">
            <v>356999.9999999993</v>
          </cell>
        </row>
        <row r="60">
          <cell r="C60">
            <v>9991000</v>
          </cell>
          <cell r="E60">
            <v>0</v>
          </cell>
          <cell r="F60">
            <v>8049000</v>
          </cell>
          <cell r="G60">
            <v>25010000</v>
          </cell>
          <cell r="I60">
            <v>9855000</v>
          </cell>
          <cell r="J60">
            <v>22500000</v>
          </cell>
          <cell r="T60">
            <v>2074912</v>
          </cell>
          <cell r="AB60">
            <v>134000.00000000035</v>
          </cell>
        </row>
        <row r="61">
          <cell r="C61">
            <v>7881000</v>
          </cell>
          <cell r="E61">
            <v>0</v>
          </cell>
          <cell r="F61">
            <v>6375000</v>
          </cell>
          <cell r="G61">
            <v>28540000</v>
          </cell>
          <cell r="I61">
            <v>7603000</v>
          </cell>
          <cell r="J61">
            <v>26199999.999999817</v>
          </cell>
          <cell r="T61">
            <v>2216968</v>
          </cell>
          <cell r="AB61">
            <v>272999.99999999971</v>
          </cell>
        </row>
        <row r="62">
          <cell r="C62">
            <v>9880000</v>
          </cell>
          <cell r="E62">
            <v>0</v>
          </cell>
          <cell r="F62">
            <v>7969000</v>
          </cell>
          <cell r="G62">
            <v>29420000</v>
          </cell>
          <cell r="I62">
            <v>9525000</v>
          </cell>
          <cell r="J62">
            <v>25800000.000000183</v>
          </cell>
          <cell r="T62">
            <v>2287632</v>
          </cell>
          <cell r="AB62">
            <v>350999.99999999907</v>
          </cell>
        </row>
        <row r="63">
          <cell r="C63">
            <v>10101000</v>
          </cell>
          <cell r="E63">
            <v>0</v>
          </cell>
          <cell r="F63">
            <v>8000000</v>
          </cell>
          <cell r="G63">
            <v>30220000</v>
          </cell>
          <cell r="I63">
            <v>9791999.9999999963</v>
          </cell>
          <cell r="J63">
            <v>28399999.999999635</v>
          </cell>
          <cell r="T63">
            <v>2305465</v>
          </cell>
          <cell r="AB63">
            <v>302000.00000000314</v>
          </cell>
        </row>
        <row r="64">
          <cell r="C64">
            <v>10028000</v>
          </cell>
          <cell r="E64">
            <v>0</v>
          </cell>
          <cell r="F64">
            <v>8049000</v>
          </cell>
          <cell r="G64">
            <v>28880000</v>
          </cell>
          <cell r="I64">
            <v>9763000.0000000037</v>
          </cell>
          <cell r="J64">
            <v>25500000</v>
          </cell>
          <cell r="T64">
            <v>2206560</v>
          </cell>
          <cell r="AB64">
            <v>258999.9999999968</v>
          </cell>
        </row>
        <row r="65">
          <cell r="C65">
            <v>9989000</v>
          </cell>
          <cell r="E65">
            <v>0</v>
          </cell>
          <cell r="F65">
            <v>8000000</v>
          </cell>
          <cell r="G65">
            <v>28640000</v>
          </cell>
          <cell r="I65">
            <v>9700000</v>
          </cell>
          <cell r="J65">
            <v>25800000.000000183</v>
          </cell>
          <cell r="T65">
            <v>2241092</v>
          </cell>
          <cell r="AB65">
            <v>285000.00000000012</v>
          </cell>
        </row>
        <row r="66">
          <cell r="C66">
            <v>8699000</v>
          </cell>
          <cell r="E66">
            <v>0</v>
          </cell>
          <cell r="F66">
            <v>8049000</v>
          </cell>
          <cell r="G66">
            <v>28130000</v>
          </cell>
          <cell r="I66">
            <v>8440999.9999999981</v>
          </cell>
          <cell r="J66">
            <v>25899999.999999635</v>
          </cell>
          <cell r="T66">
            <v>2142027</v>
          </cell>
          <cell r="AB66">
            <v>255000.00000000256</v>
          </cell>
        </row>
        <row r="67">
          <cell r="C67">
            <v>6516000</v>
          </cell>
          <cell r="E67">
            <v>4000000</v>
          </cell>
          <cell r="F67">
            <v>7141000</v>
          </cell>
          <cell r="G67">
            <v>26180000</v>
          </cell>
          <cell r="I67">
            <v>6241000.0000000019</v>
          </cell>
          <cell r="J67">
            <v>27400000.000000544</v>
          </cell>
          <cell r="T67">
            <v>2331197</v>
          </cell>
          <cell r="AB67">
            <v>268999.99999999837</v>
          </cell>
        </row>
        <row r="68">
          <cell r="C68">
            <v>7783000</v>
          </cell>
          <cell r="E68">
            <v>9000000</v>
          </cell>
          <cell r="F68">
            <v>6048000</v>
          </cell>
          <cell r="G68">
            <v>21920000</v>
          </cell>
          <cell r="I68">
            <v>7603000.0000000028</v>
          </cell>
          <cell r="J68">
            <v>27799999.999999274</v>
          </cell>
          <cell r="T68">
            <v>2357858</v>
          </cell>
          <cell r="AB68">
            <v>174999.99999999715</v>
          </cell>
        </row>
        <row r="69">
          <cell r="C69">
            <v>6989000</v>
          </cell>
          <cell r="E69">
            <v>9000000</v>
          </cell>
          <cell r="F69">
            <v>6019000</v>
          </cell>
          <cell r="G69">
            <v>23250000</v>
          </cell>
          <cell r="I69">
            <v>6861999.9999999981</v>
          </cell>
          <cell r="J69">
            <v>29400000.000000544</v>
          </cell>
          <cell r="T69">
            <v>2492595</v>
          </cell>
          <cell r="AB69">
            <v>124000.00000000233</v>
          </cell>
        </row>
        <row r="70">
          <cell r="C70">
            <v>7008000</v>
          </cell>
          <cell r="E70">
            <v>9000000</v>
          </cell>
          <cell r="F70">
            <v>6034000</v>
          </cell>
          <cell r="G70">
            <v>22500000</v>
          </cell>
          <cell r="I70">
            <v>6873000</v>
          </cell>
          <cell r="J70">
            <v>28699999.999999817</v>
          </cell>
          <cell r="T70">
            <v>2526870</v>
          </cell>
          <cell r="AB70">
            <v>131000.00000000023</v>
          </cell>
        </row>
        <row r="71">
          <cell r="C71">
            <v>6907000</v>
          </cell>
          <cell r="E71">
            <v>9000000</v>
          </cell>
          <cell r="F71">
            <v>5948000</v>
          </cell>
          <cell r="G71">
            <v>22390000</v>
          </cell>
          <cell r="I71">
            <v>6791999.9999999981</v>
          </cell>
          <cell r="J71">
            <v>28600000.000000365</v>
          </cell>
          <cell r="T71">
            <v>2407281</v>
          </cell>
          <cell r="AB71">
            <v>112000.00000000188</v>
          </cell>
        </row>
        <row r="72">
          <cell r="C72">
            <v>7060000</v>
          </cell>
          <cell r="E72">
            <v>9000000</v>
          </cell>
          <cell r="F72">
            <v>6088000</v>
          </cell>
          <cell r="G72">
            <v>22420000</v>
          </cell>
          <cell r="I72">
            <v>6862000.0000000019</v>
          </cell>
          <cell r="J72">
            <v>28099999.999999456</v>
          </cell>
          <cell r="T72">
            <v>2388987</v>
          </cell>
          <cell r="AB72">
            <v>192999.99999999785</v>
          </cell>
        </row>
        <row r="73">
          <cell r="C73">
            <v>7040000</v>
          </cell>
          <cell r="E73">
            <v>9000000</v>
          </cell>
          <cell r="F73">
            <v>6000000</v>
          </cell>
          <cell r="G73">
            <v>21160000</v>
          </cell>
          <cell r="I73">
            <v>6863999.9999999963</v>
          </cell>
          <cell r="J73">
            <v>28100000.000000365</v>
          </cell>
          <cell r="T73">
            <v>2328696</v>
          </cell>
          <cell r="AB73">
            <v>172000.00000000416</v>
          </cell>
        </row>
        <row r="74">
          <cell r="C74">
            <v>7024000</v>
          </cell>
          <cell r="E74">
            <v>9000000</v>
          </cell>
          <cell r="F74">
            <v>5424000</v>
          </cell>
          <cell r="G74">
            <v>20900000</v>
          </cell>
          <cell r="I74">
            <v>6890000.0000000047</v>
          </cell>
          <cell r="J74">
            <v>27699999.999999817</v>
          </cell>
          <cell r="T74">
            <v>2406165</v>
          </cell>
          <cell r="AB74">
            <v>129999.99999999546</v>
          </cell>
        </row>
        <row r="75">
          <cell r="C75">
            <v>6950000</v>
          </cell>
          <cell r="E75">
            <v>10000000</v>
          </cell>
          <cell r="F75">
            <v>4609000</v>
          </cell>
          <cell r="G75">
            <v>20210000</v>
          </cell>
          <cell r="I75">
            <v>6822999.9999999981</v>
          </cell>
          <cell r="J75">
            <v>26500000</v>
          </cell>
          <cell r="T75">
            <v>2363807</v>
          </cell>
          <cell r="AB75">
            <v>124000.00000000233</v>
          </cell>
        </row>
        <row r="76">
          <cell r="C76">
            <v>8810000</v>
          </cell>
          <cell r="E76">
            <v>8000000</v>
          </cell>
          <cell r="F76">
            <v>4008000</v>
          </cell>
          <cell r="G76">
            <v>19210000</v>
          </cell>
          <cell r="I76">
            <v>8694999.9999999981</v>
          </cell>
          <cell r="J76">
            <v>25800000.000000183</v>
          </cell>
          <cell r="T76">
            <v>2172061</v>
          </cell>
          <cell r="AB76">
            <v>112000.00000000188</v>
          </cell>
        </row>
        <row r="77">
          <cell r="C77">
            <v>10002000</v>
          </cell>
          <cell r="E77">
            <v>10000000</v>
          </cell>
          <cell r="F77">
            <v>4014000</v>
          </cell>
          <cell r="G77">
            <v>19010000</v>
          </cell>
          <cell r="I77">
            <v>9692000</v>
          </cell>
          <cell r="J77">
            <v>26599999.999999456</v>
          </cell>
          <cell r="T77">
            <v>2343469</v>
          </cell>
          <cell r="AB77">
            <v>301999.99999999959</v>
          </cell>
        </row>
        <row r="78">
          <cell r="C78">
            <v>10978000</v>
          </cell>
          <cell r="E78">
            <v>10000000</v>
          </cell>
          <cell r="F78">
            <v>3485000</v>
          </cell>
          <cell r="G78">
            <v>17710000</v>
          </cell>
          <cell r="I78">
            <v>10670000.000000004</v>
          </cell>
          <cell r="J78">
            <v>25100000.000000365</v>
          </cell>
          <cell r="T78">
            <v>2167199</v>
          </cell>
          <cell r="AB78">
            <v>299999.99999999715</v>
          </cell>
        </row>
        <row r="79">
          <cell r="C79">
            <v>9273000</v>
          </cell>
          <cell r="E79">
            <v>10000000</v>
          </cell>
          <cell r="F79">
            <v>3003000</v>
          </cell>
          <cell r="G79">
            <v>17490000</v>
          </cell>
          <cell r="I79">
            <v>9145999.9999999981</v>
          </cell>
          <cell r="J79">
            <v>25399999.999999635</v>
          </cell>
          <cell r="T79">
            <v>2090532</v>
          </cell>
          <cell r="AB79">
            <v>124000.00000000233</v>
          </cell>
        </row>
        <row r="80">
          <cell r="C80">
            <v>8777000</v>
          </cell>
          <cell r="E80">
            <v>10000000</v>
          </cell>
          <cell r="F80">
            <v>3003000</v>
          </cell>
          <cell r="G80">
            <v>16150000</v>
          </cell>
          <cell r="I80">
            <v>8581000.0000000037</v>
          </cell>
          <cell r="J80">
            <v>23900000.000000544</v>
          </cell>
          <cell r="T80">
            <v>2015482</v>
          </cell>
          <cell r="AB80">
            <v>190999.9999999954</v>
          </cell>
        </row>
        <row r="81">
          <cell r="C81">
            <v>9926000</v>
          </cell>
          <cell r="E81">
            <v>10000000</v>
          </cell>
          <cell r="F81">
            <v>2986000</v>
          </cell>
          <cell r="G81">
            <v>17790000</v>
          </cell>
          <cell r="I81">
            <v>9611999.9999999963</v>
          </cell>
          <cell r="J81">
            <v>26099999.999999456</v>
          </cell>
          <cell r="T81">
            <v>2125050</v>
          </cell>
          <cell r="AB81">
            <v>306000.00000000448</v>
          </cell>
        </row>
        <row r="82">
          <cell r="C82">
            <v>8495000</v>
          </cell>
          <cell r="E82">
            <v>12000000</v>
          </cell>
          <cell r="F82">
            <v>4142000</v>
          </cell>
          <cell r="G82">
            <v>15360000</v>
          </cell>
          <cell r="I82">
            <v>8250000</v>
          </cell>
          <cell r="J82">
            <v>25900000.000000544</v>
          </cell>
          <cell r="T82">
            <v>2229488</v>
          </cell>
          <cell r="AB82">
            <v>237999.99999999953</v>
          </cell>
        </row>
        <row r="83">
          <cell r="C83">
            <v>7076000</v>
          </cell>
          <cell r="E83">
            <v>18000000</v>
          </cell>
          <cell r="F83">
            <v>5035000</v>
          </cell>
          <cell r="G83">
            <v>13140000</v>
          </cell>
          <cell r="I83">
            <v>6878000.0000000019</v>
          </cell>
          <cell r="J83">
            <v>28199999.999999817</v>
          </cell>
          <cell r="T83">
            <v>2348026</v>
          </cell>
          <cell r="AB83">
            <v>192999.99999999785</v>
          </cell>
        </row>
        <row r="84">
          <cell r="C84">
            <v>7257000</v>
          </cell>
          <cell r="E84">
            <v>12000000</v>
          </cell>
          <cell r="F84">
            <v>4926000</v>
          </cell>
          <cell r="G84">
            <v>12870000</v>
          </cell>
          <cell r="I84">
            <v>7257000</v>
          </cell>
          <cell r="J84">
            <v>23300000.000000183</v>
          </cell>
          <cell r="T84">
            <v>2043140</v>
          </cell>
          <cell r="AB84">
            <v>0</v>
          </cell>
        </row>
        <row r="85">
          <cell r="C85">
            <v>8803000</v>
          </cell>
          <cell r="E85">
            <v>12000000</v>
          </cell>
          <cell r="F85">
            <v>5018000</v>
          </cell>
          <cell r="G85">
            <v>13510000</v>
          </cell>
          <cell r="I85">
            <v>8625000</v>
          </cell>
          <cell r="J85">
            <v>23000000</v>
          </cell>
          <cell r="T85">
            <v>2093815</v>
          </cell>
          <cell r="AB85">
            <v>173999.99999999948</v>
          </cell>
        </row>
        <row r="86">
          <cell r="C86">
            <v>6949000</v>
          </cell>
          <cell r="E86">
            <v>16000000</v>
          </cell>
          <cell r="F86">
            <v>4943000</v>
          </cell>
          <cell r="G86">
            <v>12900000</v>
          </cell>
          <cell r="I86">
            <v>6683999.9999999972</v>
          </cell>
          <cell r="J86">
            <v>26000000</v>
          </cell>
          <cell r="T86">
            <v>2423172</v>
          </cell>
          <cell r="AB86">
            <v>258000.00000000268</v>
          </cell>
        </row>
        <row r="87">
          <cell r="C87">
            <v>6994000</v>
          </cell>
          <cell r="E87">
            <v>17000000</v>
          </cell>
          <cell r="F87">
            <v>4977000</v>
          </cell>
          <cell r="G87">
            <v>12990000</v>
          </cell>
          <cell r="I87">
            <v>6795000.0000000047</v>
          </cell>
          <cell r="J87">
            <v>27899999.999999635</v>
          </cell>
          <cell r="T87">
            <v>2377328</v>
          </cell>
          <cell r="AB87">
            <v>193999.99999999552</v>
          </cell>
        </row>
        <row r="88">
          <cell r="C88">
            <v>7016000</v>
          </cell>
          <cell r="E88">
            <v>16000000</v>
          </cell>
          <cell r="F88">
            <v>5000000</v>
          </cell>
          <cell r="G88">
            <v>13030000</v>
          </cell>
          <cell r="I88">
            <v>6839999.9999999963</v>
          </cell>
          <cell r="J88">
            <v>26100000.000000365</v>
          </cell>
          <cell r="T88">
            <v>2400473</v>
          </cell>
          <cell r="AB88">
            <v>172000.00000000416</v>
          </cell>
        </row>
        <row r="89">
          <cell r="C89">
            <v>6930000</v>
          </cell>
          <cell r="E89">
            <v>14000000</v>
          </cell>
          <cell r="F89">
            <v>4932000</v>
          </cell>
          <cell r="G89">
            <v>11150000</v>
          </cell>
          <cell r="I89">
            <v>6930000</v>
          </cell>
          <cell r="J89">
            <v>23000000</v>
          </cell>
          <cell r="T89">
            <v>2049767</v>
          </cell>
          <cell r="AB89">
            <v>0</v>
          </cell>
        </row>
        <row r="90">
          <cell r="C90">
            <v>6420000</v>
          </cell>
          <cell r="E90">
            <v>14000000</v>
          </cell>
          <cell r="F90">
            <v>4992000</v>
          </cell>
          <cell r="G90">
            <v>8020000</v>
          </cell>
          <cell r="I90">
            <v>6223000</v>
          </cell>
          <cell r="J90">
            <v>20399999.999999635</v>
          </cell>
          <cell r="T90">
            <v>1779020</v>
          </cell>
          <cell r="AB90">
            <v>192000.00000000017</v>
          </cell>
        </row>
        <row r="91">
          <cell r="C91">
            <v>6004000</v>
          </cell>
          <cell r="E91">
            <v>9000000</v>
          </cell>
          <cell r="F91">
            <v>4986000</v>
          </cell>
          <cell r="G91">
            <v>7300000</v>
          </cell>
          <cell r="I91">
            <v>5819999.9999999981</v>
          </cell>
          <cell r="J91">
            <v>14900000.000000546</v>
          </cell>
          <cell r="T91">
            <v>1432691</v>
          </cell>
          <cell r="AB91">
            <v>179000.00000000204</v>
          </cell>
        </row>
        <row r="92">
          <cell r="C92">
            <v>6036000</v>
          </cell>
          <cell r="E92">
            <v>11000000</v>
          </cell>
          <cell r="F92">
            <v>4599000</v>
          </cell>
          <cell r="G92">
            <v>6010000</v>
          </cell>
          <cell r="I92">
            <v>5909000.0000000047</v>
          </cell>
          <cell r="J92">
            <v>15000000</v>
          </cell>
          <cell r="T92">
            <v>1437497</v>
          </cell>
          <cell r="AB92">
            <v>123999.99999999523</v>
          </cell>
        </row>
        <row r="93">
          <cell r="C93">
            <v>5995000</v>
          </cell>
          <cell r="E93">
            <v>11000000</v>
          </cell>
          <cell r="F93">
            <v>3994000</v>
          </cell>
          <cell r="G93">
            <v>6470000</v>
          </cell>
          <cell r="I93">
            <v>5932000</v>
          </cell>
          <cell r="J93">
            <v>17699999.999999817</v>
          </cell>
          <cell r="T93">
            <v>1456002</v>
          </cell>
          <cell r="AB93">
            <v>60999.999999999942</v>
          </cell>
        </row>
        <row r="94">
          <cell r="C94">
            <v>5403000</v>
          </cell>
          <cell r="E94">
            <v>11000000</v>
          </cell>
          <cell r="F94">
            <v>3972000</v>
          </cell>
          <cell r="G94">
            <v>5620000</v>
          </cell>
          <cell r="I94">
            <v>5332999.9999999953</v>
          </cell>
          <cell r="J94">
            <v>14399999.999999637</v>
          </cell>
          <cell r="T94">
            <v>1234228</v>
          </cell>
          <cell r="AB94">
            <v>68000.000000004948</v>
          </cell>
        </row>
        <row r="95">
          <cell r="C95">
            <v>2004000</v>
          </cell>
          <cell r="E95">
            <v>10000000</v>
          </cell>
          <cell r="F95">
            <v>3462000</v>
          </cell>
          <cell r="G95">
            <v>6190000</v>
          </cell>
          <cell r="I95">
            <v>2004000</v>
          </cell>
          <cell r="J95">
            <v>15500000</v>
          </cell>
          <cell r="T95">
            <v>1366931</v>
          </cell>
          <cell r="AB95">
            <v>0</v>
          </cell>
        </row>
        <row r="96">
          <cell r="C96">
            <v>0</v>
          </cell>
          <cell r="E96">
            <v>10000000</v>
          </cell>
          <cell r="F96">
            <v>1864000</v>
          </cell>
          <cell r="G96">
            <v>9500000</v>
          </cell>
          <cell r="I96">
            <v>0</v>
          </cell>
          <cell r="J96">
            <v>18199999.999999817</v>
          </cell>
          <cell r="T96">
            <v>1495907</v>
          </cell>
          <cell r="AB96">
            <v>0</v>
          </cell>
        </row>
        <row r="97">
          <cell r="C97">
            <v>0</v>
          </cell>
          <cell r="E97">
            <v>10000000</v>
          </cell>
          <cell r="F97">
            <v>4933000</v>
          </cell>
          <cell r="G97">
            <v>9540000</v>
          </cell>
          <cell r="I97">
            <v>0</v>
          </cell>
          <cell r="J97">
            <v>18200000.000000726</v>
          </cell>
          <cell r="T97">
            <v>1570339</v>
          </cell>
          <cell r="AB97">
            <v>0</v>
          </cell>
        </row>
      </sheetData>
      <sheetData sheetId="6"/>
      <sheetData sheetId="7"/>
      <sheetData sheetId="8"/>
      <sheetData sheetId="9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1"/>
      <sheetName val="2"/>
      <sheetName val="3"/>
      <sheetName val="4"/>
      <sheetName val="5"/>
      <sheetName val="6"/>
      <sheetName val="7"/>
      <sheetName val="8"/>
      <sheetName val="9"/>
      <sheetName val="10"/>
      <sheetName val="11"/>
      <sheetName val="12"/>
      <sheetName val="13"/>
      <sheetName val="14"/>
      <sheetName val="15"/>
      <sheetName val="16"/>
      <sheetName val="17"/>
      <sheetName val="18"/>
      <sheetName val="19"/>
      <sheetName val="20"/>
      <sheetName val="21"/>
      <sheetName val="22"/>
      <sheetName val="23"/>
      <sheetName val="24"/>
      <sheetName val="25"/>
      <sheetName val="26"/>
      <sheetName val="27"/>
      <sheetName val="28"/>
      <sheetName val="29"/>
      <sheetName val="30"/>
      <sheetName val="31"/>
      <sheetName val="Jul Prod"/>
      <sheetName val="Oct Prod"/>
      <sheetName val="July Pro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>
        <row r="4">
          <cell r="C4">
            <v>0</v>
          </cell>
        </row>
        <row r="5">
          <cell r="G5">
            <v>0</v>
          </cell>
        </row>
        <row r="6">
          <cell r="G6">
            <v>0</v>
          </cell>
        </row>
        <row r="7">
          <cell r="G7">
            <v>0</v>
          </cell>
        </row>
        <row r="8">
          <cell r="G8">
            <v>0</v>
          </cell>
        </row>
        <row r="9">
          <cell r="G9">
            <v>0</v>
          </cell>
        </row>
        <row r="10">
          <cell r="G10">
            <v>0</v>
          </cell>
        </row>
        <row r="11">
          <cell r="G11">
            <v>0</v>
          </cell>
        </row>
        <row r="12">
          <cell r="G12">
            <v>0</v>
          </cell>
        </row>
        <row r="13">
          <cell r="G13">
            <v>0</v>
          </cell>
        </row>
        <row r="14">
          <cell r="G14">
            <v>0</v>
          </cell>
        </row>
        <row r="15">
          <cell r="G15">
            <v>0</v>
          </cell>
        </row>
        <row r="16">
          <cell r="G16">
            <v>0</v>
          </cell>
        </row>
        <row r="17">
          <cell r="G17">
            <v>0</v>
          </cell>
        </row>
        <row r="18">
          <cell r="G18">
            <v>0</v>
          </cell>
        </row>
        <row r="19">
          <cell r="G19">
            <v>0</v>
          </cell>
        </row>
        <row r="20">
          <cell r="G20">
            <v>0</v>
          </cell>
        </row>
        <row r="21">
          <cell r="G21">
            <v>0</v>
          </cell>
        </row>
        <row r="22">
          <cell r="G22">
            <v>0</v>
          </cell>
        </row>
        <row r="23">
          <cell r="G23">
            <v>0</v>
          </cell>
        </row>
        <row r="24">
          <cell r="G24">
            <v>0</v>
          </cell>
        </row>
        <row r="25">
          <cell r="G25">
            <v>0</v>
          </cell>
        </row>
        <row r="26">
          <cell r="G26">
            <v>0</v>
          </cell>
        </row>
        <row r="27">
          <cell r="G27">
            <v>0</v>
          </cell>
        </row>
        <row r="28">
          <cell r="G28">
            <v>0</v>
          </cell>
        </row>
        <row r="29">
          <cell r="G29">
            <v>0</v>
          </cell>
        </row>
        <row r="30">
          <cell r="G30">
            <v>0</v>
          </cell>
        </row>
        <row r="31">
          <cell r="G31">
            <v>0</v>
          </cell>
        </row>
        <row r="32">
          <cell r="G32">
            <v>0</v>
          </cell>
        </row>
        <row r="33">
          <cell r="G33">
            <v>0</v>
          </cell>
        </row>
        <row r="34">
          <cell r="G34">
            <v>0</v>
          </cell>
        </row>
      </sheetData>
      <sheetData sheetId="32" refreshError="1"/>
      <sheetData sheetId="33" refreshError="1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ven Hour Data"/>
      <sheetName val="WB Clarifiers"/>
      <sheetName val="WB Chem Flow Changes"/>
      <sheetName val="TTP Chem Flow Changes"/>
      <sheetName val="Midnight Numbers"/>
      <sheetName val="Production Summary"/>
      <sheetName val="Chemical Summary"/>
      <sheetName val="Oct Chem"/>
      <sheetName val="Nov Chem"/>
      <sheetName val="Dec Chem"/>
    </sheetNames>
    <sheetDataSet>
      <sheetData sheetId="0"/>
      <sheetData sheetId="1"/>
      <sheetData sheetId="2"/>
      <sheetData sheetId="3"/>
      <sheetData sheetId="4"/>
      <sheetData sheetId="5">
        <row r="6">
          <cell r="C6">
            <v>0</v>
          </cell>
          <cell r="E6">
            <v>12000000</v>
          </cell>
          <cell r="F6">
            <v>7991000</v>
          </cell>
          <cell r="G6">
            <v>7490000</v>
          </cell>
          <cell r="I6">
            <v>0</v>
          </cell>
          <cell r="J6">
            <v>17899999.999999635</v>
          </cell>
          <cell r="T6">
            <v>1686883</v>
          </cell>
          <cell r="AB6">
            <v>0</v>
          </cell>
        </row>
        <row r="7">
          <cell r="C7">
            <v>0</v>
          </cell>
          <cell r="E7">
            <v>12000000</v>
          </cell>
          <cell r="F7">
            <v>7991000</v>
          </cell>
          <cell r="G7">
            <v>8620000</v>
          </cell>
          <cell r="I7">
            <v>0</v>
          </cell>
          <cell r="J7">
            <v>18500000</v>
          </cell>
          <cell r="T7">
            <v>1737288</v>
          </cell>
          <cell r="AB7">
            <v>0</v>
          </cell>
        </row>
        <row r="8">
          <cell r="C8">
            <v>0</v>
          </cell>
          <cell r="E8">
            <v>12000000</v>
          </cell>
          <cell r="F8">
            <v>8158000</v>
          </cell>
          <cell r="G8">
            <v>6680000</v>
          </cell>
          <cell r="I8">
            <v>0</v>
          </cell>
          <cell r="J8">
            <v>17899999.999999635</v>
          </cell>
          <cell r="T8">
            <v>1530144</v>
          </cell>
          <cell r="AB8">
            <v>0</v>
          </cell>
        </row>
        <row r="9">
          <cell r="C9">
            <v>0</v>
          </cell>
          <cell r="E9">
            <v>12000000</v>
          </cell>
          <cell r="F9">
            <v>8000000</v>
          </cell>
          <cell r="G9">
            <v>5500000</v>
          </cell>
          <cell r="I9">
            <v>0</v>
          </cell>
          <cell r="J9">
            <v>16200000.000000728</v>
          </cell>
          <cell r="T9">
            <v>1373984</v>
          </cell>
          <cell r="AB9">
            <v>0</v>
          </cell>
        </row>
        <row r="10">
          <cell r="C10">
            <v>0</v>
          </cell>
          <cell r="E10">
            <v>12000000</v>
          </cell>
          <cell r="F10">
            <v>8050000</v>
          </cell>
          <cell r="G10">
            <v>5500000</v>
          </cell>
          <cell r="I10">
            <v>0</v>
          </cell>
          <cell r="J10">
            <v>15599999.999999454</v>
          </cell>
          <cell r="T10">
            <v>1393644</v>
          </cell>
          <cell r="AB10">
            <v>0</v>
          </cell>
        </row>
        <row r="11">
          <cell r="C11">
            <v>0</v>
          </cell>
          <cell r="E11">
            <v>12000000</v>
          </cell>
          <cell r="F11">
            <v>8123000</v>
          </cell>
          <cell r="G11">
            <v>5490000</v>
          </cell>
          <cell r="I11">
            <v>0</v>
          </cell>
          <cell r="J11">
            <v>16600000.000000363</v>
          </cell>
          <cell r="T11">
            <v>1429176</v>
          </cell>
          <cell r="AB11">
            <v>0</v>
          </cell>
        </row>
        <row r="12">
          <cell r="C12">
            <v>0</v>
          </cell>
          <cell r="E12">
            <v>12000000</v>
          </cell>
          <cell r="F12">
            <v>8081000</v>
          </cell>
          <cell r="G12">
            <v>5490000</v>
          </cell>
          <cell r="I12">
            <v>0</v>
          </cell>
          <cell r="J12">
            <v>16000000</v>
          </cell>
          <cell r="T12">
            <v>1401634</v>
          </cell>
          <cell r="AB12">
            <v>0</v>
          </cell>
        </row>
        <row r="13">
          <cell r="C13">
            <v>0</v>
          </cell>
          <cell r="E13">
            <v>12000000</v>
          </cell>
          <cell r="F13">
            <v>8100000</v>
          </cell>
          <cell r="G13">
            <v>5000000</v>
          </cell>
          <cell r="I13">
            <v>0</v>
          </cell>
          <cell r="J13">
            <v>15699999.999999817</v>
          </cell>
          <cell r="T13">
            <v>1371214</v>
          </cell>
          <cell r="AB13">
            <v>0</v>
          </cell>
        </row>
        <row r="14">
          <cell r="C14">
            <v>0</v>
          </cell>
          <cell r="E14">
            <v>11000000</v>
          </cell>
          <cell r="F14">
            <v>8130000</v>
          </cell>
          <cell r="G14">
            <v>4990000</v>
          </cell>
          <cell r="I14">
            <v>0</v>
          </cell>
          <cell r="J14">
            <v>15000000</v>
          </cell>
          <cell r="T14">
            <v>1390704</v>
          </cell>
          <cell r="AB14">
            <v>0</v>
          </cell>
        </row>
        <row r="15">
          <cell r="C15">
            <v>0</v>
          </cell>
          <cell r="E15">
            <v>9000000</v>
          </cell>
          <cell r="F15">
            <v>6500000</v>
          </cell>
          <cell r="G15">
            <v>4990000</v>
          </cell>
          <cell r="I15">
            <v>0</v>
          </cell>
          <cell r="J15">
            <v>11899999.999999637</v>
          </cell>
          <cell r="T15">
            <v>1093715</v>
          </cell>
          <cell r="AB15">
            <v>0</v>
          </cell>
        </row>
        <row r="16">
          <cell r="C16">
            <v>0</v>
          </cell>
          <cell r="E16">
            <v>7000000</v>
          </cell>
          <cell r="F16">
            <v>5000000</v>
          </cell>
          <cell r="G16">
            <v>5030000</v>
          </cell>
          <cell r="I16">
            <v>0</v>
          </cell>
          <cell r="J16">
            <v>11200000.000000728</v>
          </cell>
          <cell r="T16">
            <v>991582</v>
          </cell>
          <cell r="AB16">
            <v>0</v>
          </cell>
        </row>
        <row r="17">
          <cell r="C17">
            <v>0</v>
          </cell>
          <cell r="E17">
            <v>7000000</v>
          </cell>
          <cell r="F17">
            <v>4947000</v>
          </cell>
          <cell r="G17">
            <v>4970000</v>
          </cell>
          <cell r="I17">
            <v>0</v>
          </cell>
          <cell r="J17">
            <v>10199999.999999817</v>
          </cell>
          <cell r="T17">
            <v>1074911</v>
          </cell>
          <cell r="AB17">
            <v>0</v>
          </cell>
        </row>
        <row r="18">
          <cell r="C18">
            <v>0</v>
          </cell>
          <cell r="E18">
            <v>6000000</v>
          </cell>
          <cell r="F18">
            <v>4820000</v>
          </cell>
          <cell r="G18">
            <v>5870000</v>
          </cell>
          <cell r="I18">
            <v>0</v>
          </cell>
          <cell r="J18">
            <v>11500000</v>
          </cell>
          <cell r="T18">
            <v>1022486</v>
          </cell>
          <cell r="AB18">
            <v>0</v>
          </cell>
        </row>
        <row r="19">
          <cell r="C19">
            <v>0</v>
          </cell>
          <cell r="E19">
            <v>7000000</v>
          </cell>
          <cell r="F19">
            <v>4922000</v>
          </cell>
          <cell r="G19">
            <v>8640000</v>
          </cell>
          <cell r="I19">
            <v>0</v>
          </cell>
          <cell r="J19">
            <v>14099999.999999454</v>
          </cell>
          <cell r="T19">
            <v>1310059</v>
          </cell>
          <cell r="AB19">
            <v>0</v>
          </cell>
        </row>
        <row r="20">
          <cell r="C20">
            <v>0</v>
          </cell>
          <cell r="E20">
            <v>7000000</v>
          </cell>
          <cell r="F20">
            <v>4912000</v>
          </cell>
          <cell r="G20">
            <v>9990000</v>
          </cell>
          <cell r="I20">
            <v>0</v>
          </cell>
          <cell r="J20">
            <v>15800000.000000183</v>
          </cell>
          <cell r="T20">
            <v>1462445</v>
          </cell>
          <cell r="AB20">
            <v>0</v>
          </cell>
        </row>
        <row r="21">
          <cell r="C21">
            <v>0</v>
          </cell>
          <cell r="E21">
            <v>7000000</v>
          </cell>
          <cell r="F21">
            <v>4871000</v>
          </cell>
          <cell r="G21">
            <v>8950000</v>
          </cell>
          <cell r="I21">
            <v>0</v>
          </cell>
          <cell r="J21">
            <v>14000000</v>
          </cell>
          <cell r="T21">
            <v>1395675</v>
          </cell>
          <cell r="AB21">
            <v>0</v>
          </cell>
        </row>
        <row r="22">
          <cell r="C22">
            <v>0</v>
          </cell>
          <cell r="E22">
            <v>7000000</v>
          </cell>
          <cell r="F22">
            <v>4851000</v>
          </cell>
          <cell r="G22">
            <v>9390000</v>
          </cell>
          <cell r="I22">
            <v>0</v>
          </cell>
          <cell r="J22">
            <v>14800000.000000183</v>
          </cell>
          <cell r="T22">
            <v>1292227</v>
          </cell>
          <cell r="AB22">
            <v>0</v>
          </cell>
        </row>
        <row r="23">
          <cell r="C23">
            <v>0</v>
          </cell>
          <cell r="E23">
            <v>7000000</v>
          </cell>
          <cell r="F23">
            <v>4893000</v>
          </cell>
          <cell r="G23">
            <v>8040000</v>
          </cell>
          <cell r="I23">
            <v>0</v>
          </cell>
          <cell r="J23">
            <v>13399999.999999637</v>
          </cell>
          <cell r="T23">
            <v>1170364</v>
          </cell>
          <cell r="AB23">
            <v>0</v>
          </cell>
        </row>
        <row r="24">
          <cell r="C24">
            <v>0</v>
          </cell>
          <cell r="E24">
            <v>7000000</v>
          </cell>
          <cell r="F24">
            <v>5002000</v>
          </cell>
          <cell r="G24">
            <v>8120000</v>
          </cell>
          <cell r="I24">
            <v>0</v>
          </cell>
          <cell r="J24">
            <v>13800000.000000183</v>
          </cell>
          <cell r="T24">
            <v>1302594</v>
          </cell>
          <cell r="AB24">
            <v>0</v>
          </cell>
        </row>
        <row r="25">
          <cell r="C25">
            <v>0</v>
          </cell>
          <cell r="E25">
            <v>7000000</v>
          </cell>
          <cell r="F25">
            <v>4852000</v>
          </cell>
          <cell r="G25">
            <v>9520000</v>
          </cell>
          <cell r="I25">
            <v>0</v>
          </cell>
          <cell r="J25">
            <v>14699999.999999817</v>
          </cell>
          <cell r="T25">
            <v>1435339</v>
          </cell>
          <cell r="AB25">
            <v>0</v>
          </cell>
        </row>
        <row r="26">
          <cell r="C26">
            <v>0</v>
          </cell>
          <cell r="E26">
            <v>7000000</v>
          </cell>
          <cell r="F26">
            <v>5002000</v>
          </cell>
          <cell r="G26">
            <v>7000000</v>
          </cell>
          <cell r="I26">
            <v>0</v>
          </cell>
          <cell r="J26">
            <v>13100000.000000363</v>
          </cell>
          <cell r="T26">
            <v>1100033</v>
          </cell>
          <cell r="AB26">
            <v>0</v>
          </cell>
        </row>
        <row r="27">
          <cell r="C27">
            <v>0</v>
          </cell>
          <cell r="E27">
            <v>7000000</v>
          </cell>
          <cell r="F27">
            <v>5009000</v>
          </cell>
          <cell r="G27">
            <v>7850000</v>
          </cell>
          <cell r="I27">
            <v>0</v>
          </cell>
          <cell r="J27">
            <v>13300000.000000183</v>
          </cell>
          <cell r="T27">
            <v>1213687</v>
          </cell>
          <cell r="AB27">
            <v>0</v>
          </cell>
        </row>
        <row r="28">
          <cell r="C28">
            <v>0</v>
          </cell>
          <cell r="E28">
            <v>7000000</v>
          </cell>
          <cell r="F28">
            <v>3558000</v>
          </cell>
          <cell r="G28">
            <v>8970000</v>
          </cell>
          <cell r="I28">
            <v>0</v>
          </cell>
          <cell r="J28">
            <v>14000000</v>
          </cell>
          <cell r="T28">
            <v>1293693</v>
          </cell>
          <cell r="AB28">
            <v>0</v>
          </cell>
        </row>
        <row r="29">
          <cell r="C29">
            <v>0</v>
          </cell>
          <cell r="E29">
            <v>7000000</v>
          </cell>
          <cell r="F29">
            <v>2998000</v>
          </cell>
          <cell r="G29">
            <v>9010000</v>
          </cell>
          <cell r="I29">
            <v>0</v>
          </cell>
          <cell r="J29">
            <v>15000000</v>
          </cell>
          <cell r="T29">
            <v>1308425</v>
          </cell>
          <cell r="AB29">
            <v>0</v>
          </cell>
        </row>
        <row r="30">
          <cell r="C30">
            <v>0</v>
          </cell>
          <cell r="E30">
            <v>7000000</v>
          </cell>
          <cell r="F30">
            <v>3104000</v>
          </cell>
          <cell r="G30">
            <v>7420000</v>
          </cell>
          <cell r="I30">
            <v>0</v>
          </cell>
          <cell r="J30">
            <v>12800000.000000183</v>
          </cell>
          <cell r="T30">
            <v>1176154</v>
          </cell>
          <cell r="AB30">
            <v>0</v>
          </cell>
        </row>
        <row r="31">
          <cell r="C31">
            <v>0</v>
          </cell>
          <cell r="E31">
            <v>7000000</v>
          </cell>
          <cell r="F31">
            <v>3095000</v>
          </cell>
          <cell r="G31">
            <v>7740000</v>
          </cell>
          <cell r="I31">
            <v>0</v>
          </cell>
          <cell r="J31">
            <v>16199999.999999817</v>
          </cell>
          <cell r="T31">
            <v>1198980</v>
          </cell>
          <cell r="AB31">
            <v>0</v>
          </cell>
        </row>
        <row r="32">
          <cell r="C32">
            <v>0</v>
          </cell>
          <cell r="E32">
            <v>7000000</v>
          </cell>
          <cell r="F32">
            <v>3014000</v>
          </cell>
          <cell r="G32">
            <v>7560000</v>
          </cell>
          <cell r="I32">
            <v>0</v>
          </cell>
          <cell r="J32">
            <v>9500000</v>
          </cell>
          <cell r="T32">
            <v>1186404</v>
          </cell>
          <cell r="AB32">
            <v>0</v>
          </cell>
        </row>
        <row r="33">
          <cell r="C33">
            <v>0</v>
          </cell>
          <cell r="E33">
            <v>7000000</v>
          </cell>
          <cell r="F33">
            <v>3201000</v>
          </cell>
          <cell r="G33">
            <v>5190000</v>
          </cell>
          <cell r="I33">
            <v>0</v>
          </cell>
          <cell r="J33">
            <v>10899999.999999637</v>
          </cell>
          <cell r="T33">
            <v>1001908</v>
          </cell>
          <cell r="AB33">
            <v>0</v>
          </cell>
        </row>
        <row r="34">
          <cell r="C34">
            <v>0</v>
          </cell>
          <cell r="E34">
            <v>7000000</v>
          </cell>
          <cell r="F34">
            <v>3097000</v>
          </cell>
          <cell r="G34">
            <v>5780000</v>
          </cell>
          <cell r="I34">
            <v>0</v>
          </cell>
          <cell r="J34">
            <v>11400000.000000546</v>
          </cell>
          <cell r="T34">
            <v>1029002</v>
          </cell>
          <cell r="AB34">
            <v>0</v>
          </cell>
        </row>
        <row r="35">
          <cell r="C35">
            <v>0</v>
          </cell>
          <cell r="E35">
            <v>7000000</v>
          </cell>
          <cell r="F35">
            <v>3066000</v>
          </cell>
          <cell r="G35">
            <v>6920000</v>
          </cell>
          <cell r="I35">
            <v>0</v>
          </cell>
          <cell r="J35">
            <v>12799999.999999272</v>
          </cell>
          <cell r="T35">
            <v>1170893</v>
          </cell>
          <cell r="AB35">
            <v>0</v>
          </cell>
        </row>
        <row r="36">
          <cell r="C36">
            <v>0</v>
          </cell>
          <cell r="E36">
            <v>7000000</v>
          </cell>
          <cell r="F36">
            <v>3190000</v>
          </cell>
          <cell r="G36">
            <v>6940000</v>
          </cell>
          <cell r="I36">
            <v>0</v>
          </cell>
          <cell r="J36">
            <v>12200000.000000728</v>
          </cell>
          <cell r="T36">
            <v>1210115</v>
          </cell>
          <cell r="AB36">
            <v>0</v>
          </cell>
        </row>
      </sheetData>
      <sheetData sheetId="6"/>
      <sheetData sheetId="7"/>
      <sheetData sheetId="8"/>
      <sheetData sheetId="9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AD36"/>
  <sheetViews>
    <sheetView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B1" sqref="B1"/>
    </sheetView>
  </sheetViews>
  <sheetFormatPr baseColWidth="10" defaultColWidth="8.83203125" defaultRowHeight="13" x14ac:dyDescent="0.15"/>
  <cols>
    <col min="2" max="2" width="12" customWidth="1"/>
    <col min="5" max="5" width="11.33203125" customWidth="1"/>
    <col min="8" max="8" width="15.5" bestFit="1" customWidth="1"/>
    <col min="11" max="11" width="13.83203125" customWidth="1"/>
    <col min="12" max="12" width="10.6640625" customWidth="1"/>
    <col min="15" max="15" width="11" customWidth="1"/>
    <col min="18" max="18" width="10.6640625" customWidth="1"/>
    <col min="21" max="21" width="11.6640625" bestFit="1" customWidth="1"/>
    <col min="22" max="22" width="10.6640625" customWidth="1"/>
    <col min="28" max="28" width="12.6640625" customWidth="1"/>
  </cols>
  <sheetData>
    <row r="1" spans="1:30" x14ac:dyDescent="0.15">
      <c r="B1" s="22"/>
      <c r="C1" s="22"/>
      <c r="D1" s="22"/>
      <c r="E1" s="22"/>
      <c r="F1" s="22"/>
      <c r="G1" s="3"/>
      <c r="H1" s="3"/>
      <c r="I1" s="3"/>
      <c r="J1" s="3"/>
      <c r="K1" s="14"/>
      <c r="L1" s="3"/>
      <c r="M1" s="3"/>
      <c r="N1" s="3"/>
      <c r="O1" s="3"/>
      <c r="P1" s="3"/>
      <c r="Q1" s="3"/>
      <c r="R1" s="3"/>
      <c r="S1" s="3"/>
      <c r="T1" s="3"/>
      <c r="U1" s="14"/>
    </row>
    <row r="2" spans="1:30" ht="14" thickBot="1" x14ac:dyDescent="0.2">
      <c r="C2" s="18"/>
      <c r="E2" s="3"/>
      <c r="F2" s="3"/>
      <c r="G2" s="3"/>
      <c r="H2" s="3"/>
      <c r="I2" s="3"/>
      <c r="J2" s="3"/>
      <c r="K2" s="14"/>
      <c r="L2" s="3"/>
      <c r="M2" s="3"/>
      <c r="N2" s="3"/>
      <c r="O2" s="3"/>
      <c r="P2" s="3"/>
      <c r="Q2" s="3"/>
      <c r="R2" s="3"/>
      <c r="S2" s="3"/>
      <c r="T2" s="3"/>
      <c r="U2" s="14"/>
    </row>
    <row r="3" spans="1:30" ht="60.75" customHeight="1" thickBot="1" x14ac:dyDescent="0.2">
      <c r="A3" s="3"/>
      <c r="B3" s="58" t="s">
        <v>10</v>
      </c>
      <c r="C3" s="59"/>
      <c r="D3" s="60"/>
      <c r="E3" s="58" t="s">
        <v>11</v>
      </c>
      <c r="F3" s="59"/>
      <c r="G3" s="60"/>
      <c r="H3" s="58" t="s">
        <v>12</v>
      </c>
      <c r="I3" s="59"/>
      <c r="J3" s="60"/>
      <c r="K3" s="58" t="s">
        <v>13</v>
      </c>
      <c r="L3" s="59"/>
      <c r="M3" s="60"/>
      <c r="N3" s="19"/>
      <c r="O3" s="58" t="s">
        <v>4</v>
      </c>
      <c r="P3" s="59"/>
      <c r="Q3" s="60"/>
      <c r="R3" s="58" t="s">
        <v>3</v>
      </c>
      <c r="S3" s="59"/>
      <c r="T3" s="60"/>
      <c r="U3" s="58" t="s">
        <v>6</v>
      </c>
      <c r="V3" s="59"/>
      <c r="W3" s="60"/>
      <c r="X3" s="58" t="s">
        <v>7</v>
      </c>
      <c r="Y3" s="59"/>
      <c r="Z3" s="60"/>
      <c r="AA3" s="19"/>
      <c r="AB3" s="55" t="s">
        <v>8</v>
      </c>
      <c r="AC3" s="56"/>
      <c r="AD3" s="57"/>
    </row>
    <row r="4" spans="1:30" x14ac:dyDescent="0.15">
      <c r="A4" s="2"/>
      <c r="B4" s="4" t="s">
        <v>0</v>
      </c>
      <c r="C4" s="17" t="s">
        <v>1</v>
      </c>
      <c r="D4" s="6" t="s">
        <v>2</v>
      </c>
      <c r="E4" s="4" t="s">
        <v>0</v>
      </c>
      <c r="F4" s="5" t="s">
        <v>1</v>
      </c>
      <c r="G4" s="6" t="s">
        <v>2</v>
      </c>
      <c r="H4" s="4" t="s">
        <v>0</v>
      </c>
      <c r="I4" s="5" t="s">
        <v>1</v>
      </c>
      <c r="J4" s="6" t="s">
        <v>2</v>
      </c>
      <c r="K4" s="4" t="s">
        <v>0</v>
      </c>
      <c r="L4" s="5" t="s">
        <v>1</v>
      </c>
      <c r="M4" s="6" t="s">
        <v>2</v>
      </c>
      <c r="N4" s="19"/>
      <c r="O4" s="4" t="s">
        <v>0</v>
      </c>
      <c r="P4" s="5" t="s">
        <v>1</v>
      </c>
      <c r="Q4" s="6" t="s">
        <v>2</v>
      </c>
      <c r="R4" s="4" t="s">
        <v>0</v>
      </c>
      <c r="S4" s="5" t="s">
        <v>1</v>
      </c>
      <c r="T4" s="6" t="s">
        <v>2</v>
      </c>
      <c r="U4" s="4" t="s">
        <v>0</v>
      </c>
      <c r="V4" s="5" t="s">
        <v>1</v>
      </c>
      <c r="W4" s="6" t="s">
        <v>2</v>
      </c>
      <c r="X4" s="4" t="s">
        <v>0</v>
      </c>
      <c r="Y4" s="5" t="s">
        <v>1</v>
      </c>
      <c r="Z4" s="6" t="s">
        <v>2</v>
      </c>
      <c r="AA4" s="19"/>
      <c r="AB4" s="35" t="s">
        <v>0</v>
      </c>
      <c r="AC4" s="36" t="s">
        <v>1</v>
      </c>
      <c r="AD4" s="37" t="s">
        <v>2</v>
      </c>
    </row>
    <row r="5" spans="1:30" x14ac:dyDescent="0.15">
      <c r="A5" s="1">
        <v>38292</v>
      </c>
      <c r="B5" s="7">
        <f>'[1]Nov Prod'!I4</f>
        <v>12500000</v>
      </c>
      <c r="C5" s="8">
        <f t="shared" ref="C5:C34" si="0">B5/1000000</f>
        <v>12.5</v>
      </c>
      <c r="D5" s="10">
        <f t="shared" ref="D5:D34" si="1">C5*3.07</f>
        <v>38.375</v>
      </c>
      <c r="E5" s="7">
        <f>'[1]Nov Prod'!E4</f>
        <v>0</v>
      </c>
      <c r="F5" s="8">
        <f t="shared" ref="F5:F34" si="2">E5/1000000</f>
        <v>0</v>
      </c>
      <c r="G5" s="10">
        <f t="shared" ref="G5:G34" si="3">F5*3.07</f>
        <v>0</v>
      </c>
      <c r="H5" s="7">
        <f>'[1]Nov Prod'!F4</f>
        <v>13390000</v>
      </c>
      <c r="I5" s="8">
        <f>H5/1000000</f>
        <v>13.39</v>
      </c>
      <c r="J5" s="10">
        <f t="shared" ref="J5:J34" si="4">I5*3.07</f>
        <v>41.107300000000002</v>
      </c>
      <c r="K5" s="7">
        <f>'[1]Nov Prod'!$H252*10</f>
        <v>14854710</v>
      </c>
      <c r="L5" s="8">
        <f t="shared" ref="L5:L7" si="5">K5/10000000</f>
        <v>1.485471</v>
      </c>
      <c r="M5" s="10">
        <f t="shared" ref="M5:M34" si="6">L5*3.07</f>
        <v>4.5603959700000001</v>
      </c>
      <c r="N5" s="21"/>
      <c r="O5" s="7">
        <f>'[1]Nov Prod'!H4</f>
        <v>0</v>
      </c>
      <c r="P5" s="8">
        <f t="shared" ref="P5:P16" si="7">O5/1000000</f>
        <v>0</v>
      </c>
      <c r="Q5" s="10">
        <f t="shared" ref="Q5:Q34" si="8">P5*3.07</f>
        <v>0</v>
      </c>
      <c r="R5" s="7">
        <f>'[1]Nov Prod'!C4</f>
        <v>0</v>
      </c>
      <c r="S5" s="8">
        <f t="shared" ref="S5:S17" si="9">R5/1000000</f>
        <v>0</v>
      </c>
      <c r="T5" s="10">
        <f t="shared" ref="T5:T34" si="10">S5*3.07</f>
        <v>0</v>
      </c>
      <c r="U5" s="7">
        <f>'[1]Nov Prod'!D4</f>
        <v>0</v>
      </c>
      <c r="V5" s="8">
        <f t="shared" ref="V5:V34" si="11">U5/1000000</f>
        <v>0</v>
      </c>
      <c r="W5" s="10">
        <f t="shared" ref="W5:W34" si="12">V5*3.07</f>
        <v>0</v>
      </c>
      <c r="X5" s="7">
        <f>'[1]Nov Prod'!$D252</f>
        <v>0</v>
      </c>
      <c r="Y5" s="8">
        <f t="shared" ref="Y5:Y34" si="13">X5/1000000</f>
        <v>0</v>
      </c>
      <c r="Z5" s="10">
        <f t="shared" ref="Z5:Z34" si="14">Y5*3.07</f>
        <v>0</v>
      </c>
      <c r="AA5" s="15"/>
      <c r="AB5" s="7">
        <f>B5+O5</f>
        <v>12500000</v>
      </c>
      <c r="AC5" s="8">
        <f>C5+P5</f>
        <v>12.5</v>
      </c>
      <c r="AD5" s="8">
        <f>D5+Q5</f>
        <v>38.375</v>
      </c>
    </row>
    <row r="6" spans="1:30" x14ac:dyDescent="0.15">
      <c r="A6" s="1">
        <v>38293</v>
      </c>
      <c r="B6" s="7">
        <f>'[1]Nov Prod'!I5</f>
        <v>14299999.999999955</v>
      </c>
      <c r="C6" s="8">
        <f t="shared" si="0"/>
        <v>14.299999999999955</v>
      </c>
      <c r="D6" s="10">
        <f t="shared" si="1"/>
        <v>43.900999999999861</v>
      </c>
      <c r="E6" s="7">
        <f>'[1]Nov Prod'!E5</f>
        <v>0</v>
      </c>
      <c r="F6" s="8">
        <f t="shared" si="2"/>
        <v>0</v>
      </c>
      <c r="G6" s="10">
        <f t="shared" si="3"/>
        <v>0</v>
      </c>
      <c r="H6" s="7">
        <f>'[1]Nov Prod'!F5</f>
        <v>16040000</v>
      </c>
      <c r="I6" s="8">
        <f t="shared" ref="I6:I34" si="15">H6/1000000</f>
        <v>16.04</v>
      </c>
      <c r="J6" s="10">
        <f t="shared" si="4"/>
        <v>49.242799999999995</v>
      </c>
      <c r="K6" s="7">
        <f>'[1]Nov Prod'!$H253*10</f>
        <v>13137000</v>
      </c>
      <c r="L6" s="8">
        <f t="shared" si="5"/>
        <v>1.3137000000000001</v>
      </c>
      <c r="M6" s="10">
        <f t="shared" si="6"/>
        <v>4.0330589999999997</v>
      </c>
      <c r="N6" s="21"/>
      <c r="O6" s="7">
        <f>'[1]Nov Prod'!H5</f>
        <v>0</v>
      </c>
      <c r="P6" s="8">
        <f t="shared" si="7"/>
        <v>0</v>
      </c>
      <c r="Q6" s="10">
        <f t="shared" si="8"/>
        <v>0</v>
      </c>
      <c r="R6" s="7">
        <f>'[1]Nov Prod'!C5</f>
        <v>0</v>
      </c>
      <c r="S6" s="8">
        <f t="shared" si="9"/>
        <v>0</v>
      </c>
      <c r="T6" s="10">
        <f t="shared" si="10"/>
        <v>0</v>
      </c>
      <c r="U6" s="7">
        <f>'[1]Nov Prod'!D5</f>
        <v>0</v>
      </c>
      <c r="V6" s="8">
        <f t="shared" si="11"/>
        <v>0</v>
      </c>
      <c r="W6" s="10">
        <f t="shared" si="12"/>
        <v>0</v>
      </c>
      <c r="X6" s="7">
        <f>'[1]Nov Prod'!$D253</f>
        <v>0</v>
      </c>
      <c r="Y6" s="8">
        <f t="shared" si="13"/>
        <v>0</v>
      </c>
      <c r="Z6" s="10">
        <f t="shared" si="14"/>
        <v>0</v>
      </c>
      <c r="AA6" s="15"/>
      <c r="AB6" s="7">
        <f t="shared" ref="AB6:AD35" si="16">B6+O6</f>
        <v>14299999.999999955</v>
      </c>
      <c r="AC6" s="8">
        <f t="shared" si="16"/>
        <v>14.299999999999955</v>
      </c>
      <c r="AD6" s="8">
        <f t="shared" si="16"/>
        <v>43.900999999999861</v>
      </c>
    </row>
    <row r="7" spans="1:30" x14ac:dyDescent="0.15">
      <c r="A7" s="1">
        <v>38294</v>
      </c>
      <c r="B7" s="7">
        <f>'[1]Nov Prod'!I6</f>
        <v>12500000</v>
      </c>
      <c r="C7" s="8">
        <f t="shared" si="0"/>
        <v>12.5</v>
      </c>
      <c r="D7" s="10">
        <f t="shared" si="1"/>
        <v>38.375</v>
      </c>
      <c r="E7" s="7">
        <f>'[1]Nov Prod'!E6</f>
        <v>0</v>
      </c>
      <c r="F7" s="8">
        <f t="shared" si="2"/>
        <v>0</v>
      </c>
      <c r="G7" s="10">
        <f t="shared" si="3"/>
        <v>0</v>
      </c>
      <c r="H7" s="7">
        <f>'[1]Nov Prod'!F6</f>
        <v>14200000</v>
      </c>
      <c r="I7" s="8">
        <f t="shared" si="15"/>
        <v>14.2</v>
      </c>
      <c r="J7" s="10">
        <f t="shared" si="4"/>
        <v>43.593999999999994</v>
      </c>
      <c r="K7" s="7">
        <f>'[1]Nov Prod'!$H254*10</f>
        <v>12058000</v>
      </c>
      <c r="L7" s="8">
        <f t="shared" si="5"/>
        <v>1.2058</v>
      </c>
      <c r="M7" s="10">
        <f t="shared" si="6"/>
        <v>3.7018059999999999</v>
      </c>
      <c r="N7" s="21"/>
      <c r="O7" s="7">
        <f>'[1]Nov Prod'!H6</f>
        <v>0</v>
      </c>
      <c r="P7" s="8">
        <f t="shared" si="7"/>
        <v>0</v>
      </c>
      <c r="Q7" s="10">
        <f t="shared" si="8"/>
        <v>0</v>
      </c>
      <c r="R7" s="7">
        <f>'[1]Nov Prod'!C6</f>
        <v>0</v>
      </c>
      <c r="S7" s="8">
        <f t="shared" si="9"/>
        <v>0</v>
      </c>
      <c r="T7" s="10">
        <f t="shared" si="10"/>
        <v>0</v>
      </c>
      <c r="U7" s="7">
        <f>'[1]Nov Prod'!D6</f>
        <v>0</v>
      </c>
      <c r="V7" s="8">
        <f t="shared" si="11"/>
        <v>0</v>
      </c>
      <c r="W7" s="10">
        <f t="shared" si="12"/>
        <v>0</v>
      </c>
      <c r="X7" s="7">
        <f>'[1]Nov Prod'!$D254</f>
        <v>154000.00000000346</v>
      </c>
      <c r="Y7" s="8">
        <f t="shared" si="13"/>
        <v>0.15400000000000347</v>
      </c>
      <c r="Z7" s="10">
        <f t="shared" si="14"/>
        <v>0.47278000000001064</v>
      </c>
      <c r="AA7" s="15"/>
      <c r="AB7" s="7">
        <f t="shared" si="16"/>
        <v>12500000</v>
      </c>
      <c r="AC7" s="8">
        <f t="shared" si="16"/>
        <v>12.5</v>
      </c>
      <c r="AD7" s="8">
        <f t="shared" si="16"/>
        <v>38.375</v>
      </c>
    </row>
    <row r="8" spans="1:30" x14ac:dyDescent="0.15">
      <c r="A8" s="1">
        <v>38295</v>
      </c>
      <c r="B8" s="7">
        <f>'[1]Nov Prod'!I7</f>
        <v>13600000.000000136</v>
      </c>
      <c r="C8" s="8">
        <f t="shared" si="0"/>
        <v>13.600000000000136</v>
      </c>
      <c r="D8" s="10">
        <f t="shared" si="1"/>
        <v>41.752000000000415</v>
      </c>
      <c r="E8" s="7">
        <f>'[1]Nov Prod'!E7</f>
        <v>0</v>
      </c>
      <c r="F8" s="8">
        <f t="shared" si="2"/>
        <v>0</v>
      </c>
      <c r="G8" s="10">
        <f t="shared" si="3"/>
        <v>0</v>
      </c>
      <c r="H8" s="7">
        <f>'[1]Nov Prod'!F7</f>
        <v>15490000</v>
      </c>
      <c r="I8" s="8">
        <f t="shared" si="15"/>
        <v>15.49</v>
      </c>
      <c r="J8" s="10">
        <f t="shared" si="4"/>
        <v>47.554299999999998</v>
      </c>
      <c r="K8" s="7">
        <f>'[1]Nov Prod'!$H255*10</f>
        <v>13815250</v>
      </c>
      <c r="L8" s="8">
        <f>K8/10000000</f>
        <v>1.3815249999999999</v>
      </c>
      <c r="M8" s="10">
        <f t="shared" si="6"/>
        <v>4.2412817499999997</v>
      </c>
      <c r="N8" s="21"/>
      <c r="O8" s="7">
        <f>'[1]Nov Prod'!H7</f>
        <v>0</v>
      </c>
      <c r="P8" s="8">
        <f t="shared" si="7"/>
        <v>0</v>
      </c>
      <c r="Q8" s="10">
        <f t="shared" si="8"/>
        <v>0</v>
      </c>
      <c r="R8" s="7">
        <f>'[1]Nov Prod'!C7</f>
        <v>0</v>
      </c>
      <c r="S8" s="8">
        <f t="shared" si="9"/>
        <v>0</v>
      </c>
      <c r="T8" s="10">
        <f t="shared" si="10"/>
        <v>0</v>
      </c>
      <c r="U8" s="7">
        <f>'[1]Nov Prod'!D7</f>
        <v>0</v>
      </c>
      <c r="V8" s="8">
        <f t="shared" si="11"/>
        <v>0</v>
      </c>
      <c r="W8" s="10">
        <f t="shared" si="12"/>
        <v>0</v>
      </c>
      <c r="X8" s="7">
        <f>'[1]Nov Prod'!$D255</f>
        <v>133000.00000000268</v>
      </c>
      <c r="Y8" s="8">
        <f t="shared" si="13"/>
        <v>0.13300000000000267</v>
      </c>
      <c r="Z8" s="10">
        <f t="shared" si="14"/>
        <v>0.40831000000000817</v>
      </c>
      <c r="AA8" s="15"/>
      <c r="AB8" s="7">
        <f t="shared" si="16"/>
        <v>13600000.000000136</v>
      </c>
      <c r="AC8" s="8">
        <f t="shared" si="16"/>
        <v>13.600000000000136</v>
      </c>
      <c r="AD8" s="8">
        <f>D8+Q8</f>
        <v>41.752000000000415</v>
      </c>
    </row>
    <row r="9" spans="1:30" x14ac:dyDescent="0.15">
      <c r="A9" s="1">
        <v>38296</v>
      </c>
      <c r="B9" s="7">
        <f>'[1]Nov Prod'!I8</f>
        <v>14200000.000000045</v>
      </c>
      <c r="C9" s="8">
        <f t="shared" si="0"/>
        <v>14.200000000000045</v>
      </c>
      <c r="D9" s="10">
        <f t="shared" si="1"/>
        <v>43.594000000000136</v>
      </c>
      <c r="E9" s="7">
        <f>'[1]Nov Prod'!E8</f>
        <v>0</v>
      </c>
      <c r="F9" s="8">
        <f t="shared" si="2"/>
        <v>0</v>
      </c>
      <c r="G9" s="10">
        <f t="shared" si="3"/>
        <v>0</v>
      </c>
      <c r="H9" s="7">
        <f>'[1]Nov Prod'!F8</f>
        <v>15010000</v>
      </c>
      <c r="I9" s="8">
        <f t="shared" si="15"/>
        <v>15.01</v>
      </c>
      <c r="J9" s="10">
        <f t="shared" si="4"/>
        <v>46.0807</v>
      </c>
      <c r="K9" s="7">
        <f>'[1]Nov Prod'!$H256*10</f>
        <v>13694810</v>
      </c>
      <c r="L9" s="8">
        <f t="shared" ref="L9:L34" si="17">K9/10000000</f>
        <v>1.3694809999999999</v>
      </c>
      <c r="M9" s="10">
        <f t="shared" si="6"/>
        <v>4.2043066699999994</v>
      </c>
      <c r="N9" s="21"/>
      <c r="O9" s="7">
        <f>'[1]Nov Prod'!H8</f>
        <v>0</v>
      </c>
      <c r="P9" s="8">
        <f t="shared" si="7"/>
        <v>0</v>
      </c>
      <c r="Q9" s="10">
        <f t="shared" si="8"/>
        <v>0</v>
      </c>
      <c r="R9" s="7">
        <f>'[1]Nov Prod'!C8</f>
        <v>0</v>
      </c>
      <c r="S9" s="8">
        <f t="shared" si="9"/>
        <v>0</v>
      </c>
      <c r="T9" s="10">
        <f t="shared" si="10"/>
        <v>0</v>
      </c>
      <c r="U9" s="7">
        <f>'[1]Nov Prod'!D8</f>
        <v>0</v>
      </c>
      <c r="V9" s="8">
        <f t="shared" si="11"/>
        <v>0</v>
      </c>
      <c r="W9" s="10">
        <f t="shared" si="12"/>
        <v>0</v>
      </c>
      <c r="X9" s="7">
        <f>'[1]Nov Prod'!$D256</f>
        <v>0</v>
      </c>
      <c r="Y9" s="8">
        <f t="shared" si="13"/>
        <v>0</v>
      </c>
      <c r="Z9" s="10">
        <f t="shared" si="14"/>
        <v>0</v>
      </c>
      <c r="AA9" s="15"/>
      <c r="AB9" s="7">
        <f t="shared" si="16"/>
        <v>14200000.000000045</v>
      </c>
      <c r="AC9" s="8">
        <f t="shared" si="16"/>
        <v>14.200000000000045</v>
      </c>
      <c r="AD9" s="8">
        <f t="shared" si="16"/>
        <v>43.594000000000136</v>
      </c>
    </row>
    <row r="10" spans="1:30" x14ac:dyDescent="0.15">
      <c r="A10" s="1">
        <v>38297</v>
      </c>
      <c r="B10" s="7">
        <f>'[1]Nov Prod'!I9</f>
        <v>15399999.999999864</v>
      </c>
      <c r="C10" s="8">
        <f t="shared" si="0"/>
        <v>15.399999999999864</v>
      </c>
      <c r="D10" s="10">
        <f t="shared" si="1"/>
        <v>47.277999999999579</v>
      </c>
      <c r="E10" s="7">
        <f>'[1]Nov Prod'!E9</f>
        <v>0</v>
      </c>
      <c r="F10" s="8">
        <f t="shared" si="2"/>
        <v>0</v>
      </c>
      <c r="G10" s="10">
        <f t="shared" si="3"/>
        <v>0</v>
      </c>
      <c r="H10" s="7">
        <f>'[1]Nov Prod'!F9</f>
        <v>17770000</v>
      </c>
      <c r="I10" s="8">
        <f t="shared" si="15"/>
        <v>17.77</v>
      </c>
      <c r="J10" s="10">
        <f t="shared" si="4"/>
        <v>54.553899999999999</v>
      </c>
      <c r="K10" s="7">
        <f>'[1]Nov Prod'!$H257*10</f>
        <v>442480</v>
      </c>
      <c r="L10" s="8">
        <f t="shared" si="17"/>
        <v>4.4248000000000003E-2</v>
      </c>
      <c r="M10" s="10">
        <f t="shared" si="6"/>
        <v>0.13584135999999999</v>
      </c>
      <c r="N10" s="21"/>
      <c r="O10" s="7">
        <f>'[1]Nov Prod'!H9</f>
        <v>0</v>
      </c>
      <c r="P10" s="8">
        <f t="shared" si="7"/>
        <v>0</v>
      </c>
      <c r="Q10" s="10">
        <f t="shared" si="8"/>
        <v>0</v>
      </c>
      <c r="R10" s="7">
        <f>'[1]Nov Prod'!C9</f>
        <v>0</v>
      </c>
      <c r="S10" s="8">
        <f t="shared" si="9"/>
        <v>0</v>
      </c>
      <c r="T10" s="10">
        <f t="shared" si="10"/>
        <v>0</v>
      </c>
      <c r="U10" s="7">
        <f>'[1]Nov Prod'!D9</f>
        <v>0</v>
      </c>
      <c r="V10" s="8">
        <f t="shared" si="11"/>
        <v>0</v>
      </c>
      <c r="W10" s="10">
        <f t="shared" si="12"/>
        <v>0</v>
      </c>
      <c r="X10" s="7">
        <f>'[1]Nov Prod'!$D257</f>
        <v>0</v>
      </c>
      <c r="Y10" s="8">
        <f t="shared" si="13"/>
        <v>0</v>
      </c>
      <c r="Z10" s="10">
        <f t="shared" si="14"/>
        <v>0</v>
      </c>
      <c r="AA10" s="15"/>
      <c r="AB10" s="7">
        <f t="shared" si="16"/>
        <v>15399999.999999864</v>
      </c>
      <c r="AC10" s="8">
        <f t="shared" si="16"/>
        <v>15.399999999999864</v>
      </c>
      <c r="AD10" s="8">
        <f t="shared" si="16"/>
        <v>47.277999999999579</v>
      </c>
    </row>
    <row r="11" spans="1:30" x14ac:dyDescent="0.15">
      <c r="A11" s="1">
        <v>38298</v>
      </c>
      <c r="B11" s="7">
        <f>'[1]Nov Prod'!I10</f>
        <v>16100000.000000136</v>
      </c>
      <c r="C11" s="8">
        <f t="shared" si="0"/>
        <v>16.100000000000136</v>
      </c>
      <c r="D11" s="10">
        <f t="shared" si="1"/>
        <v>49.427000000000419</v>
      </c>
      <c r="E11" s="7">
        <f>'[1]Nov Prod'!E10</f>
        <v>0</v>
      </c>
      <c r="F11" s="8">
        <f t="shared" si="2"/>
        <v>0</v>
      </c>
      <c r="G11" s="10">
        <f t="shared" si="3"/>
        <v>0</v>
      </c>
      <c r="H11" s="7">
        <f>'[1]Nov Prod'!F10</f>
        <v>17700000</v>
      </c>
      <c r="I11" s="8">
        <f t="shared" si="15"/>
        <v>17.7</v>
      </c>
      <c r="J11" s="10">
        <f t="shared" si="4"/>
        <v>54.338999999999992</v>
      </c>
      <c r="K11" s="7">
        <f>'[1]Nov Prod'!$H258*10</f>
        <v>455570</v>
      </c>
      <c r="L11" s="8">
        <f t="shared" si="17"/>
        <v>4.5557E-2</v>
      </c>
      <c r="M11" s="10">
        <f t="shared" si="6"/>
        <v>0.13985998999999999</v>
      </c>
      <c r="N11" s="21"/>
      <c r="O11" s="7">
        <f>'[1]Nov Prod'!H10</f>
        <v>0</v>
      </c>
      <c r="P11" s="8">
        <f t="shared" si="7"/>
        <v>0</v>
      </c>
      <c r="Q11" s="10">
        <f t="shared" si="8"/>
        <v>0</v>
      </c>
      <c r="R11" s="7">
        <f>'[1]Nov Prod'!C10</f>
        <v>0</v>
      </c>
      <c r="S11" s="8">
        <f t="shared" si="9"/>
        <v>0</v>
      </c>
      <c r="T11" s="10">
        <f t="shared" si="10"/>
        <v>0</v>
      </c>
      <c r="U11" s="7">
        <f>'[1]Nov Prod'!D10</f>
        <v>0</v>
      </c>
      <c r="V11" s="8">
        <f t="shared" si="11"/>
        <v>0</v>
      </c>
      <c r="W11" s="10">
        <f t="shared" si="12"/>
        <v>0</v>
      </c>
      <c r="X11" s="7">
        <f>'[1]Nov Prod'!$D258</f>
        <v>0</v>
      </c>
      <c r="Y11" s="8">
        <f t="shared" si="13"/>
        <v>0</v>
      </c>
      <c r="Z11" s="10">
        <f t="shared" si="14"/>
        <v>0</v>
      </c>
      <c r="AA11" s="15"/>
      <c r="AB11" s="7">
        <f t="shared" si="16"/>
        <v>16100000.000000136</v>
      </c>
      <c r="AC11" s="8">
        <f t="shared" si="16"/>
        <v>16.100000000000136</v>
      </c>
      <c r="AD11" s="8">
        <f t="shared" si="16"/>
        <v>49.427000000000419</v>
      </c>
    </row>
    <row r="12" spans="1:30" x14ac:dyDescent="0.15">
      <c r="A12" s="1">
        <v>38299</v>
      </c>
      <c r="B12" s="7">
        <f>'[1]Nov Prod'!I11</f>
        <v>12299999.999999728</v>
      </c>
      <c r="C12" s="8">
        <f t="shared" si="0"/>
        <v>12.299999999999729</v>
      </c>
      <c r="D12" s="10">
        <f t="shared" si="1"/>
        <v>37.760999999999164</v>
      </c>
      <c r="E12" s="7">
        <f>'[1]Nov Prod'!E11</f>
        <v>0</v>
      </c>
      <c r="F12" s="8">
        <f t="shared" si="2"/>
        <v>0</v>
      </c>
      <c r="G12" s="10">
        <f t="shared" si="3"/>
        <v>0</v>
      </c>
      <c r="H12" s="7">
        <f>'[1]Nov Prod'!F11</f>
        <v>13980000</v>
      </c>
      <c r="I12" s="8">
        <f t="shared" si="15"/>
        <v>13.98</v>
      </c>
      <c r="J12" s="10">
        <f t="shared" si="4"/>
        <v>42.918599999999998</v>
      </c>
      <c r="K12" s="7">
        <f>'[1]Nov Prod'!$H259*10</f>
        <v>13104310</v>
      </c>
      <c r="L12" s="8">
        <f t="shared" si="17"/>
        <v>1.3104309999999999</v>
      </c>
      <c r="M12" s="10">
        <f t="shared" si="6"/>
        <v>4.0230231699999992</v>
      </c>
      <c r="N12" s="21"/>
      <c r="O12" s="7">
        <f>'[1]Nov Prod'!H11</f>
        <v>0</v>
      </c>
      <c r="P12" s="8">
        <f t="shared" si="7"/>
        <v>0</v>
      </c>
      <c r="Q12" s="10">
        <f t="shared" si="8"/>
        <v>0</v>
      </c>
      <c r="R12" s="7">
        <f>'[1]Nov Prod'!C11</f>
        <v>0</v>
      </c>
      <c r="S12" s="8">
        <f t="shared" si="9"/>
        <v>0</v>
      </c>
      <c r="T12" s="10">
        <f t="shared" si="10"/>
        <v>0</v>
      </c>
      <c r="U12" s="7">
        <f>'[1]Nov Prod'!D11</f>
        <v>0</v>
      </c>
      <c r="V12" s="8">
        <f t="shared" si="11"/>
        <v>0</v>
      </c>
      <c r="W12" s="10">
        <f t="shared" si="12"/>
        <v>0</v>
      </c>
      <c r="X12" s="7">
        <f>'[1]Nov Prod'!$D259</f>
        <v>0</v>
      </c>
      <c r="Y12" s="8">
        <f t="shared" si="13"/>
        <v>0</v>
      </c>
      <c r="Z12" s="10">
        <f t="shared" si="14"/>
        <v>0</v>
      </c>
      <c r="AA12" s="15"/>
      <c r="AB12" s="7">
        <f t="shared" si="16"/>
        <v>12299999.999999728</v>
      </c>
      <c r="AC12" s="8">
        <f t="shared" si="16"/>
        <v>12.299999999999729</v>
      </c>
      <c r="AD12" s="8">
        <f t="shared" si="16"/>
        <v>37.760999999999164</v>
      </c>
    </row>
    <row r="13" spans="1:30" x14ac:dyDescent="0.15">
      <c r="A13" s="1">
        <v>38300</v>
      </c>
      <c r="B13" s="7">
        <f>'[1]Nov Prod'!I12</f>
        <v>13200000.000000272</v>
      </c>
      <c r="C13" s="8">
        <f t="shared" si="0"/>
        <v>13.200000000000271</v>
      </c>
      <c r="D13" s="10">
        <f t="shared" si="1"/>
        <v>40.524000000000832</v>
      </c>
      <c r="E13" s="7">
        <f>'[1]Nov Prod'!E12</f>
        <v>0</v>
      </c>
      <c r="F13" s="8">
        <f t="shared" si="2"/>
        <v>0</v>
      </c>
      <c r="G13" s="10">
        <f t="shared" si="3"/>
        <v>0</v>
      </c>
      <c r="H13" s="7">
        <f>'[1]Nov Prod'!F12</f>
        <v>14200000</v>
      </c>
      <c r="I13" s="8">
        <f t="shared" si="15"/>
        <v>14.2</v>
      </c>
      <c r="J13" s="10">
        <f t="shared" si="4"/>
        <v>43.593999999999994</v>
      </c>
      <c r="K13" s="7">
        <f>'[1]Nov Prod'!$H260*10</f>
        <v>11858190</v>
      </c>
      <c r="L13" s="8">
        <f t="shared" si="17"/>
        <v>1.185819</v>
      </c>
      <c r="M13" s="10">
        <f t="shared" si="6"/>
        <v>3.6404643299999995</v>
      </c>
      <c r="N13" s="21"/>
      <c r="O13" s="7">
        <f>'[1]Nov Prod'!H12</f>
        <v>0</v>
      </c>
      <c r="P13" s="8">
        <f t="shared" si="7"/>
        <v>0</v>
      </c>
      <c r="Q13" s="10">
        <f t="shared" si="8"/>
        <v>0</v>
      </c>
      <c r="R13" s="7">
        <f>'[1]Nov Prod'!C12</f>
        <v>0</v>
      </c>
      <c r="S13" s="8">
        <f t="shared" si="9"/>
        <v>0</v>
      </c>
      <c r="T13" s="10">
        <f t="shared" si="10"/>
        <v>0</v>
      </c>
      <c r="U13" s="7">
        <f>'[1]Nov Prod'!D12</f>
        <v>0</v>
      </c>
      <c r="V13" s="8">
        <f t="shared" si="11"/>
        <v>0</v>
      </c>
      <c r="W13" s="10">
        <f t="shared" si="12"/>
        <v>0</v>
      </c>
      <c r="X13" s="7">
        <f>'[1]Nov Prod'!$D260</f>
        <v>0</v>
      </c>
      <c r="Y13" s="8">
        <f t="shared" si="13"/>
        <v>0</v>
      </c>
      <c r="Z13" s="10">
        <f t="shared" si="14"/>
        <v>0</v>
      </c>
      <c r="AA13" s="15"/>
      <c r="AB13" s="7">
        <f t="shared" si="16"/>
        <v>13200000.000000272</v>
      </c>
      <c r="AC13" s="8">
        <f t="shared" si="16"/>
        <v>13.200000000000271</v>
      </c>
      <c r="AD13" s="8">
        <f t="shared" si="16"/>
        <v>40.524000000000832</v>
      </c>
    </row>
    <row r="14" spans="1:30" x14ac:dyDescent="0.15">
      <c r="A14" s="1">
        <v>38301</v>
      </c>
      <c r="B14" s="7">
        <f>'[1]Nov Prod'!I13</f>
        <v>13000000</v>
      </c>
      <c r="C14" s="8">
        <f t="shared" si="0"/>
        <v>13</v>
      </c>
      <c r="D14" s="10">
        <f t="shared" si="1"/>
        <v>39.909999999999997</v>
      </c>
      <c r="E14" s="7">
        <f>'[1]Nov Prod'!E13</f>
        <v>0</v>
      </c>
      <c r="F14" s="8">
        <f t="shared" si="2"/>
        <v>0</v>
      </c>
      <c r="G14" s="10">
        <f t="shared" si="3"/>
        <v>0</v>
      </c>
      <c r="H14" s="7">
        <f>'[1]Nov Prod'!F13</f>
        <v>14520000</v>
      </c>
      <c r="I14" s="8">
        <f t="shared" si="15"/>
        <v>14.52</v>
      </c>
      <c r="J14" s="10">
        <f t="shared" si="4"/>
        <v>44.5764</v>
      </c>
      <c r="K14" s="7">
        <f>'[1]Nov Prod'!$H261*10</f>
        <v>13092120</v>
      </c>
      <c r="L14" s="8">
        <f t="shared" si="17"/>
        <v>1.309212</v>
      </c>
      <c r="M14" s="10">
        <f t="shared" si="6"/>
        <v>4.0192808399999995</v>
      </c>
      <c r="N14" s="21"/>
      <c r="O14" s="7">
        <f>'[1]Nov Prod'!H13</f>
        <v>0</v>
      </c>
      <c r="P14" s="8">
        <f t="shared" si="7"/>
        <v>0</v>
      </c>
      <c r="Q14" s="10">
        <f t="shared" si="8"/>
        <v>0</v>
      </c>
      <c r="R14" s="7">
        <f>'[1]Nov Prod'!C13</f>
        <v>0</v>
      </c>
      <c r="S14" s="8">
        <f t="shared" si="9"/>
        <v>0</v>
      </c>
      <c r="T14" s="10">
        <f t="shared" si="10"/>
        <v>0</v>
      </c>
      <c r="U14" s="7">
        <f>'[1]Nov Prod'!D13</f>
        <v>0</v>
      </c>
      <c r="V14" s="8">
        <f t="shared" si="11"/>
        <v>0</v>
      </c>
      <c r="W14" s="10">
        <f t="shared" si="12"/>
        <v>0</v>
      </c>
      <c r="X14" s="7">
        <f>'[1]Nov Prod'!$D261</f>
        <v>0</v>
      </c>
      <c r="Y14" s="8">
        <f t="shared" si="13"/>
        <v>0</v>
      </c>
      <c r="Z14" s="10">
        <f t="shared" si="14"/>
        <v>0</v>
      </c>
      <c r="AA14" s="15"/>
      <c r="AB14" s="7">
        <f t="shared" si="16"/>
        <v>13000000</v>
      </c>
      <c r="AC14" s="8">
        <f t="shared" si="16"/>
        <v>13</v>
      </c>
      <c r="AD14" s="8">
        <f t="shared" si="16"/>
        <v>39.909999999999997</v>
      </c>
    </row>
    <row r="15" spans="1:30" x14ac:dyDescent="0.15">
      <c r="A15" s="1">
        <v>38302</v>
      </c>
      <c r="B15" s="7">
        <f>'[1]Nov Prod'!I14</f>
        <v>16199999.999999817</v>
      </c>
      <c r="C15" s="8">
        <f t="shared" si="0"/>
        <v>16.199999999999818</v>
      </c>
      <c r="D15" s="10">
        <f t="shared" si="1"/>
        <v>49.73399999999944</v>
      </c>
      <c r="E15" s="7">
        <f>'[1]Nov Prod'!E14</f>
        <v>0</v>
      </c>
      <c r="F15" s="8">
        <f t="shared" si="2"/>
        <v>0</v>
      </c>
      <c r="G15" s="10">
        <f t="shared" si="3"/>
        <v>0</v>
      </c>
      <c r="H15" s="7">
        <f>'[1]Nov Prod'!F14</f>
        <v>18180000</v>
      </c>
      <c r="I15" s="8">
        <f t="shared" si="15"/>
        <v>18.18</v>
      </c>
      <c r="J15" s="10">
        <f t="shared" si="4"/>
        <v>55.812599999999996</v>
      </c>
      <c r="K15" s="7">
        <f>'[1]Nov Prod'!$H262*10</f>
        <v>15247660</v>
      </c>
      <c r="L15" s="8">
        <f t="shared" si="17"/>
        <v>1.5247660000000001</v>
      </c>
      <c r="M15" s="10">
        <f t="shared" si="6"/>
        <v>4.6810316199999997</v>
      </c>
      <c r="N15" s="21"/>
      <c r="O15" s="7">
        <f>'[1]Nov Prod'!H14</f>
        <v>0</v>
      </c>
      <c r="P15" s="8">
        <f t="shared" si="7"/>
        <v>0</v>
      </c>
      <c r="Q15" s="10">
        <f t="shared" si="8"/>
        <v>0</v>
      </c>
      <c r="R15" s="7">
        <f>'[1]Nov Prod'!C14</f>
        <v>0</v>
      </c>
      <c r="S15" s="8">
        <f t="shared" si="9"/>
        <v>0</v>
      </c>
      <c r="T15" s="10">
        <f t="shared" si="10"/>
        <v>0</v>
      </c>
      <c r="U15" s="7">
        <f>'[1]Nov Prod'!D14</f>
        <v>0</v>
      </c>
      <c r="V15" s="8">
        <f t="shared" si="11"/>
        <v>0</v>
      </c>
      <c r="W15" s="10">
        <f t="shared" si="12"/>
        <v>0</v>
      </c>
      <c r="X15" s="7">
        <f>'[1]Nov Prod'!$D262</f>
        <v>262999.99999999814</v>
      </c>
      <c r="Y15" s="8">
        <f t="shared" si="13"/>
        <v>0.26299999999999812</v>
      </c>
      <c r="Z15" s="10">
        <f t="shared" si="14"/>
        <v>0.80740999999999419</v>
      </c>
      <c r="AA15" s="15"/>
      <c r="AB15" s="7">
        <f t="shared" si="16"/>
        <v>16199999.999999817</v>
      </c>
      <c r="AC15" s="8">
        <f t="shared" si="16"/>
        <v>16.199999999999818</v>
      </c>
      <c r="AD15" s="8">
        <f t="shared" si="16"/>
        <v>49.73399999999944</v>
      </c>
    </row>
    <row r="16" spans="1:30" x14ac:dyDescent="0.15">
      <c r="A16" s="1">
        <v>38303</v>
      </c>
      <c r="B16" s="7">
        <f>'[1]Nov Prod'!I15</f>
        <v>14800000.000000183</v>
      </c>
      <c r="C16" s="8">
        <f t="shared" si="0"/>
        <v>14.800000000000182</v>
      </c>
      <c r="D16" s="10">
        <f t="shared" si="1"/>
        <v>45.436000000000554</v>
      </c>
      <c r="E16" s="7">
        <f>'[1]Nov Prod'!E15</f>
        <v>0</v>
      </c>
      <c r="F16" s="8">
        <f t="shared" si="2"/>
        <v>0</v>
      </c>
      <c r="G16" s="10">
        <f t="shared" si="3"/>
        <v>0</v>
      </c>
      <c r="H16" s="7">
        <f>'[1]Nov Prod'!F15</f>
        <v>16870000</v>
      </c>
      <c r="I16" s="8">
        <f t="shared" si="15"/>
        <v>16.87</v>
      </c>
      <c r="J16" s="10">
        <f t="shared" si="4"/>
        <v>51.790900000000001</v>
      </c>
      <c r="K16" s="7">
        <f>'[1]Nov Prod'!$H263*10</f>
        <v>14885370</v>
      </c>
      <c r="L16" s="8">
        <f t="shared" si="17"/>
        <v>1.488537</v>
      </c>
      <c r="M16" s="10">
        <f t="shared" si="6"/>
        <v>4.5698085900000001</v>
      </c>
      <c r="N16" s="21"/>
      <c r="O16" s="7">
        <f>'[1]Nov Prod'!H15</f>
        <v>0</v>
      </c>
      <c r="P16" s="8">
        <f t="shared" si="7"/>
        <v>0</v>
      </c>
      <c r="Q16" s="10">
        <f t="shared" si="8"/>
        <v>0</v>
      </c>
      <c r="R16" s="7">
        <f>'[1]Nov Prod'!C15</f>
        <v>0</v>
      </c>
      <c r="S16" s="8">
        <f t="shared" si="9"/>
        <v>0</v>
      </c>
      <c r="T16" s="10">
        <f t="shared" si="10"/>
        <v>0</v>
      </c>
      <c r="U16" s="7">
        <f>'[1]Nov Prod'!D15</f>
        <v>0</v>
      </c>
      <c r="V16" s="8">
        <f t="shared" si="11"/>
        <v>0</v>
      </c>
      <c r="W16" s="10">
        <f t="shared" si="12"/>
        <v>0</v>
      </c>
      <c r="X16" s="7">
        <f>'[1]Nov Prod'!$D263</f>
        <v>274999.9999999986</v>
      </c>
      <c r="Y16" s="8">
        <f t="shared" si="13"/>
        <v>0.27499999999999858</v>
      </c>
      <c r="Z16" s="10">
        <f t="shared" si="14"/>
        <v>0.84424999999999562</v>
      </c>
      <c r="AA16" s="15"/>
      <c r="AB16" s="7">
        <f t="shared" si="16"/>
        <v>14800000.000000183</v>
      </c>
      <c r="AC16" s="8">
        <f t="shared" si="16"/>
        <v>14.800000000000182</v>
      </c>
      <c r="AD16" s="8">
        <f t="shared" si="16"/>
        <v>45.436000000000554</v>
      </c>
    </row>
    <row r="17" spans="1:30" x14ac:dyDescent="0.15">
      <c r="A17" s="1">
        <v>38304</v>
      </c>
      <c r="B17" s="7">
        <f>'[1]Nov Prod'!I16</f>
        <v>14400000.000000091</v>
      </c>
      <c r="C17" s="8">
        <f t="shared" si="0"/>
        <v>14.400000000000091</v>
      </c>
      <c r="D17" s="10">
        <f t="shared" si="1"/>
        <v>44.208000000000276</v>
      </c>
      <c r="E17" s="7">
        <f>'[1]Nov Prod'!E16</f>
        <v>0</v>
      </c>
      <c r="F17" s="8">
        <f t="shared" si="2"/>
        <v>0</v>
      </c>
      <c r="G17" s="10">
        <f t="shared" si="3"/>
        <v>0</v>
      </c>
      <c r="H17" s="7">
        <f>'[1]Nov Prod'!F16</f>
        <v>15700000</v>
      </c>
      <c r="I17" s="8">
        <f t="shared" si="15"/>
        <v>15.7</v>
      </c>
      <c r="J17" s="10">
        <f t="shared" si="4"/>
        <v>48.198999999999998</v>
      </c>
      <c r="K17" s="7">
        <f>'[1]Nov Prod'!$H264*10</f>
        <v>13762270</v>
      </c>
      <c r="L17" s="8">
        <f t="shared" si="17"/>
        <v>1.3762270000000001</v>
      </c>
      <c r="M17" s="10">
        <f t="shared" si="6"/>
        <v>4.22501689</v>
      </c>
      <c r="N17" s="21"/>
      <c r="O17" s="7">
        <f>'[1]Nov Prod'!H16</f>
        <v>0</v>
      </c>
      <c r="P17" s="8">
        <f t="shared" ref="P17:P34" si="18">O17/1000000</f>
        <v>0</v>
      </c>
      <c r="Q17" s="10">
        <f t="shared" si="8"/>
        <v>0</v>
      </c>
      <c r="R17" s="7">
        <f>'[1]Nov Prod'!C16</f>
        <v>0</v>
      </c>
      <c r="S17" s="8">
        <f t="shared" si="9"/>
        <v>0</v>
      </c>
      <c r="T17" s="10">
        <f t="shared" si="10"/>
        <v>0</v>
      </c>
      <c r="U17" s="7">
        <f>'[1]Nov Prod'!D16</f>
        <v>0</v>
      </c>
      <c r="V17" s="8">
        <f t="shared" si="11"/>
        <v>0</v>
      </c>
      <c r="W17" s="10">
        <f t="shared" si="12"/>
        <v>0</v>
      </c>
      <c r="X17" s="7">
        <f>'[1]Nov Prod'!$D264</f>
        <v>0</v>
      </c>
      <c r="Y17" s="8">
        <f t="shared" si="13"/>
        <v>0</v>
      </c>
      <c r="Z17" s="10">
        <f t="shared" si="14"/>
        <v>0</v>
      </c>
      <c r="AA17" s="15"/>
      <c r="AB17" s="7">
        <f t="shared" si="16"/>
        <v>14400000.000000091</v>
      </c>
      <c r="AC17" s="8">
        <f t="shared" si="16"/>
        <v>14.400000000000091</v>
      </c>
      <c r="AD17" s="8">
        <f t="shared" si="16"/>
        <v>44.208000000000276</v>
      </c>
    </row>
    <row r="18" spans="1:30" x14ac:dyDescent="0.15">
      <c r="A18" s="1">
        <v>38305</v>
      </c>
      <c r="B18" s="7">
        <f>'[1]Nov Prod'!I17</f>
        <v>10899999.999999637</v>
      </c>
      <c r="C18" s="8">
        <f t="shared" si="0"/>
        <v>10.899999999999636</v>
      </c>
      <c r="D18" s="10">
        <f t="shared" si="1"/>
        <v>33.462999999998878</v>
      </c>
      <c r="E18" s="7">
        <f>'[1]Nov Prod'!E17</f>
        <v>0</v>
      </c>
      <c r="F18" s="8">
        <f t="shared" si="2"/>
        <v>0</v>
      </c>
      <c r="G18" s="10">
        <f t="shared" si="3"/>
        <v>0</v>
      </c>
      <c r="H18" s="7">
        <f>'[1]Nov Prod'!F17</f>
        <v>12010000</v>
      </c>
      <c r="I18" s="8">
        <f t="shared" si="15"/>
        <v>12.01</v>
      </c>
      <c r="J18" s="10">
        <f t="shared" si="4"/>
        <v>36.870699999999999</v>
      </c>
      <c r="K18" s="7">
        <f>'[1]Nov Prod'!$H265*10</f>
        <v>10226540</v>
      </c>
      <c r="L18" s="8">
        <f t="shared" si="17"/>
        <v>1.022654</v>
      </c>
      <c r="M18" s="10">
        <f t="shared" si="6"/>
        <v>3.1395477799999996</v>
      </c>
      <c r="N18" s="21"/>
      <c r="O18" s="7">
        <f>'[1]Nov Prod'!H17</f>
        <v>3995000</v>
      </c>
      <c r="P18" s="8">
        <f t="shared" si="18"/>
        <v>3.9950000000000001</v>
      </c>
      <c r="Q18" s="10">
        <f t="shared" si="8"/>
        <v>12.26465</v>
      </c>
      <c r="R18" s="7">
        <f>'[1]Nov Prod'!C17</f>
        <v>3995000</v>
      </c>
      <c r="S18" s="8">
        <f t="shared" ref="S18:S34" si="19">R18/1000000</f>
        <v>3.9950000000000001</v>
      </c>
      <c r="T18" s="10">
        <f t="shared" si="10"/>
        <v>12.26465</v>
      </c>
      <c r="U18" s="7">
        <f>'[1]Nov Prod'!D17</f>
        <v>0</v>
      </c>
      <c r="V18" s="8">
        <f t="shared" si="11"/>
        <v>0</v>
      </c>
      <c r="W18" s="10">
        <f t="shared" si="12"/>
        <v>0</v>
      </c>
      <c r="X18" s="7">
        <f>'[1]Nov Prod'!$D265</f>
        <v>0</v>
      </c>
      <c r="Y18" s="8">
        <f t="shared" si="13"/>
        <v>0</v>
      </c>
      <c r="Z18" s="10">
        <f t="shared" si="14"/>
        <v>0</v>
      </c>
      <c r="AA18" s="15"/>
      <c r="AB18" s="7">
        <f t="shared" si="16"/>
        <v>14894999.999999637</v>
      </c>
      <c r="AC18" s="8">
        <f t="shared" si="16"/>
        <v>14.894999999999637</v>
      </c>
      <c r="AD18" s="8">
        <f t="shared" si="16"/>
        <v>45.727649999998874</v>
      </c>
    </row>
    <row r="19" spans="1:30" x14ac:dyDescent="0.15">
      <c r="A19" s="1">
        <v>38306</v>
      </c>
      <c r="B19" s="7">
        <f>'[1]Nov Prod'!I18</f>
        <v>7500000</v>
      </c>
      <c r="C19" s="8">
        <f t="shared" si="0"/>
        <v>7.5</v>
      </c>
      <c r="D19" s="10">
        <f t="shared" si="1"/>
        <v>23.024999999999999</v>
      </c>
      <c r="E19" s="7">
        <f>'[1]Nov Prod'!E18</f>
        <v>0</v>
      </c>
      <c r="F19" s="8">
        <f t="shared" si="2"/>
        <v>0</v>
      </c>
      <c r="G19" s="10">
        <f t="shared" si="3"/>
        <v>0</v>
      </c>
      <c r="H19" s="7">
        <f>'[1]Nov Prod'!F18</f>
        <v>8460000</v>
      </c>
      <c r="I19" s="8">
        <f t="shared" si="15"/>
        <v>8.4600000000000009</v>
      </c>
      <c r="J19" s="10">
        <f t="shared" si="4"/>
        <v>25.972200000000001</v>
      </c>
      <c r="K19" s="7">
        <f>'[1]Nov Prod'!$H266*10</f>
        <v>7795850</v>
      </c>
      <c r="L19" s="8">
        <f t="shared" si="17"/>
        <v>0.77958499999999997</v>
      </c>
      <c r="M19" s="10">
        <f t="shared" si="6"/>
        <v>2.3933259499999999</v>
      </c>
      <c r="N19" s="21"/>
      <c r="O19" s="7">
        <f>'[1]Nov Prod'!H18</f>
        <v>5597000.0000000019</v>
      </c>
      <c r="P19" s="8">
        <f t="shared" si="18"/>
        <v>5.5970000000000022</v>
      </c>
      <c r="Q19" s="10">
        <f t="shared" si="8"/>
        <v>17.182790000000004</v>
      </c>
      <c r="R19" s="7">
        <f>'[1]Nov Prod'!C18</f>
        <v>5988000</v>
      </c>
      <c r="S19" s="8">
        <f t="shared" si="19"/>
        <v>5.9880000000000004</v>
      </c>
      <c r="T19" s="10">
        <f t="shared" si="10"/>
        <v>18.38316</v>
      </c>
      <c r="U19" s="7">
        <f>'[1]Nov Prod'!D18</f>
        <v>0</v>
      </c>
      <c r="V19" s="8">
        <f t="shared" si="11"/>
        <v>0</v>
      </c>
      <c r="W19" s="10">
        <f t="shared" si="12"/>
        <v>0</v>
      </c>
      <c r="X19" s="7">
        <f>'[1]Nov Prod'!$D266</f>
        <v>390999.99999999825</v>
      </c>
      <c r="Y19" s="8">
        <f t="shared" si="13"/>
        <v>0.39099999999999824</v>
      </c>
      <c r="Z19" s="10">
        <f t="shared" si="14"/>
        <v>1.2003699999999946</v>
      </c>
      <c r="AA19" s="15"/>
      <c r="AB19" s="7">
        <f t="shared" si="16"/>
        <v>13097000.000000002</v>
      </c>
      <c r="AC19" s="8">
        <f t="shared" si="16"/>
        <v>13.097000000000001</v>
      </c>
      <c r="AD19" s="8">
        <f>D19+Q19</f>
        <v>40.207790000000003</v>
      </c>
    </row>
    <row r="20" spans="1:30" x14ac:dyDescent="0.15">
      <c r="A20" s="1">
        <v>38307</v>
      </c>
      <c r="B20" s="7">
        <f>'[1]Nov Prod'!I19</f>
        <v>7000000</v>
      </c>
      <c r="C20" s="8">
        <f t="shared" si="0"/>
        <v>7</v>
      </c>
      <c r="D20" s="10">
        <f t="shared" si="1"/>
        <v>21.49</v>
      </c>
      <c r="E20" s="7">
        <f>'[1]Nov Prod'!E19</f>
        <v>0</v>
      </c>
      <c r="F20" s="8">
        <f t="shared" si="2"/>
        <v>0</v>
      </c>
      <c r="G20" s="10">
        <f t="shared" si="3"/>
        <v>0</v>
      </c>
      <c r="H20" s="7">
        <f>'[1]Nov Prod'!F19</f>
        <v>7560000</v>
      </c>
      <c r="I20" s="8">
        <f t="shared" si="15"/>
        <v>7.56</v>
      </c>
      <c r="J20" s="10">
        <f t="shared" si="4"/>
        <v>23.209199999999999</v>
      </c>
      <c r="K20" s="7">
        <f>'[1]Nov Prod'!$H267*10</f>
        <v>6694960</v>
      </c>
      <c r="L20" s="8">
        <f t="shared" si="17"/>
        <v>0.66949599999999998</v>
      </c>
      <c r="M20" s="10">
        <f t="shared" si="6"/>
        <v>2.0553527199999997</v>
      </c>
      <c r="N20" s="21"/>
      <c r="O20" s="7">
        <f>'[1]Nov Prod'!H19</f>
        <v>6588999.9999999972</v>
      </c>
      <c r="P20" s="8">
        <f t="shared" si="18"/>
        <v>6.5889999999999969</v>
      </c>
      <c r="Q20" s="10">
        <f t="shared" si="8"/>
        <v>20.228229999999989</v>
      </c>
      <c r="R20" s="7">
        <f>'[1]Nov Prod'!C19</f>
        <v>6655000</v>
      </c>
      <c r="S20" s="8">
        <f t="shared" si="19"/>
        <v>6.6550000000000002</v>
      </c>
      <c r="T20" s="10">
        <f t="shared" si="10"/>
        <v>20.43085</v>
      </c>
      <c r="U20" s="7">
        <f>'[1]Nov Prod'!D19</f>
        <v>0</v>
      </c>
      <c r="V20" s="8">
        <f t="shared" si="11"/>
        <v>0</v>
      </c>
      <c r="W20" s="10">
        <f t="shared" si="12"/>
        <v>0</v>
      </c>
      <c r="X20" s="7">
        <f>'[1]Nov Prod'!$D267</f>
        <v>66000.000000002503</v>
      </c>
      <c r="Y20" s="8">
        <f t="shared" si="13"/>
        <v>6.6000000000002501E-2</v>
      </c>
      <c r="Z20" s="10">
        <f t="shared" si="14"/>
        <v>0.20262000000000766</v>
      </c>
      <c r="AA20" s="15"/>
      <c r="AB20" s="7">
        <f t="shared" si="16"/>
        <v>13588999.999999996</v>
      </c>
      <c r="AC20" s="8">
        <f t="shared" si="16"/>
        <v>13.588999999999997</v>
      </c>
      <c r="AD20" s="8">
        <f t="shared" si="16"/>
        <v>41.718229999999991</v>
      </c>
    </row>
    <row r="21" spans="1:30" x14ac:dyDescent="0.15">
      <c r="A21" s="1">
        <v>38308</v>
      </c>
      <c r="B21" s="7">
        <f>'[1]Nov Prod'!I20</f>
        <v>6500000</v>
      </c>
      <c r="C21" s="8">
        <f t="shared" si="0"/>
        <v>6.5</v>
      </c>
      <c r="D21" s="10">
        <f t="shared" si="1"/>
        <v>19.954999999999998</v>
      </c>
      <c r="E21" s="7">
        <f>'[1]Nov Prod'!E20</f>
        <v>3000000</v>
      </c>
      <c r="F21" s="8">
        <f t="shared" si="2"/>
        <v>3</v>
      </c>
      <c r="G21" s="10">
        <f t="shared" si="3"/>
        <v>9.2099999999999991</v>
      </c>
      <c r="H21" s="7">
        <f>'[1]Nov Prod'!F20</f>
        <v>3730000</v>
      </c>
      <c r="I21" s="8">
        <f t="shared" si="15"/>
        <v>3.73</v>
      </c>
      <c r="J21" s="10">
        <f t="shared" si="4"/>
        <v>11.451099999999999</v>
      </c>
      <c r="K21" s="7">
        <f>'[1]Nov Prod'!$H268*10</f>
        <v>6913420</v>
      </c>
      <c r="L21" s="8">
        <f t="shared" si="17"/>
        <v>0.69134200000000001</v>
      </c>
      <c r="M21" s="10">
        <f t="shared" si="6"/>
        <v>2.1224199399999999</v>
      </c>
      <c r="N21" s="21"/>
      <c r="O21" s="7">
        <f>'[1]Nov Prod'!H20</f>
        <v>7127000.0000000047</v>
      </c>
      <c r="P21" s="8">
        <f t="shared" si="18"/>
        <v>7.1270000000000042</v>
      </c>
      <c r="Q21" s="10">
        <f t="shared" si="8"/>
        <v>21.87989000000001</v>
      </c>
      <c r="R21" s="7">
        <f>'[1]Nov Prod'!C20</f>
        <v>7321000</v>
      </c>
      <c r="S21" s="8">
        <f t="shared" si="19"/>
        <v>7.3209999999999997</v>
      </c>
      <c r="T21" s="10">
        <f t="shared" si="10"/>
        <v>22.475469999999998</v>
      </c>
      <c r="U21" s="7">
        <f>'[1]Nov Prod'!D20</f>
        <v>0</v>
      </c>
      <c r="V21" s="8">
        <f t="shared" si="11"/>
        <v>0</v>
      </c>
      <c r="W21" s="10">
        <f t="shared" si="12"/>
        <v>0</v>
      </c>
      <c r="X21" s="7">
        <f>'[1]Nov Prod'!$D268</f>
        <v>193999.99999999552</v>
      </c>
      <c r="Y21" s="8">
        <f t="shared" si="13"/>
        <v>0.19399999999999551</v>
      </c>
      <c r="Z21" s="10">
        <f t="shared" si="14"/>
        <v>0.59557999999998623</v>
      </c>
      <c r="AA21" s="15"/>
      <c r="AB21" s="7">
        <f t="shared" si="16"/>
        <v>13627000.000000004</v>
      </c>
      <c r="AC21" s="8">
        <f t="shared" si="16"/>
        <v>13.627000000000004</v>
      </c>
      <c r="AD21" s="8">
        <f t="shared" si="16"/>
        <v>41.834890000000009</v>
      </c>
    </row>
    <row r="22" spans="1:30" x14ac:dyDescent="0.15">
      <c r="A22" s="1">
        <v>38309</v>
      </c>
      <c r="B22" s="7">
        <f>'[1]Nov Prod'!I21</f>
        <v>5900000.0000000913</v>
      </c>
      <c r="C22" s="8">
        <f t="shared" si="0"/>
        <v>5.9000000000000909</v>
      </c>
      <c r="D22" s="10">
        <f t="shared" si="1"/>
        <v>18.113000000000277</v>
      </c>
      <c r="E22" s="7">
        <f>'[1]Nov Prod'!E21</f>
        <v>7000000</v>
      </c>
      <c r="F22" s="8">
        <f t="shared" si="2"/>
        <v>7</v>
      </c>
      <c r="G22" s="10">
        <f t="shared" si="3"/>
        <v>21.49</v>
      </c>
      <c r="H22" s="7">
        <f>'[1]Nov Prod'!F21</f>
        <v>0</v>
      </c>
      <c r="I22" s="8">
        <f t="shared" si="15"/>
        <v>0</v>
      </c>
      <c r="J22" s="10">
        <f t="shared" si="4"/>
        <v>0</v>
      </c>
      <c r="K22" s="7">
        <f>'[1]Nov Prod'!$H269*10</f>
        <v>6524410</v>
      </c>
      <c r="L22" s="8">
        <f t="shared" si="17"/>
        <v>0.65244100000000005</v>
      </c>
      <c r="M22" s="10">
        <f t="shared" si="6"/>
        <v>2.0029938700000001</v>
      </c>
      <c r="N22" s="21"/>
      <c r="O22" s="7">
        <f>'[1]Nov Prod'!H21</f>
        <v>5702999.9999999991</v>
      </c>
      <c r="P22" s="8">
        <f t="shared" si="18"/>
        <v>5.7029999999999994</v>
      </c>
      <c r="Q22" s="10">
        <f t="shared" si="8"/>
        <v>17.508209999999998</v>
      </c>
      <c r="R22" s="7">
        <f>'[1]Nov Prod'!C21</f>
        <v>6029000</v>
      </c>
      <c r="S22" s="8">
        <f t="shared" si="19"/>
        <v>6.0289999999999999</v>
      </c>
      <c r="T22" s="10">
        <f t="shared" si="10"/>
        <v>18.509029999999999</v>
      </c>
      <c r="U22" s="7">
        <f>'[1]Nov Prod'!D21</f>
        <v>0</v>
      </c>
      <c r="V22" s="8">
        <f t="shared" si="11"/>
        <v>0</v>
      </c>
      <c r="W22" s="10">
        <f t="shared" si="12"/>
        <v>0</v>
      </c>
      <c r="X22" s="7">
        <f>'[1]Nov Prod'!$D269</f>
        <v>326000.00000000052</v>
      </c>
      <c r="Y22" s="8">
        <f t="shared" si="13"/>
        <v>0.32600000000000051</v>
      </c>
      <c r="Z22" s="10">
        <f t="shared" si="14"/>
        <v>1.0008200000000016</v>
      </c>
      <c r="AA22" s="15"/>
      <c r="AB22" s="7">
        <f t="shared" si="16"/>
        <v>11603000.000000089</v>
      </c>
      <c r="AC22" s="8">
        <f t="shared" si="16"/>
        <v>11.60300000000009</v>
      </c>
      <c r="AD22" s="8">
        <f t="shared" si="16"/>
        <v>35.621210000000275</v>
      </c>
    </row>
    <row r="23" spans="1:30" x14ac:dyDescent="0.15">
      <c r="A23" s="1">
        <v>38310</v>
      </c>
      <c r="B23" s="7">
        <f>'[1]Nov Prod'!I22</f>
        <v>5300000.0000001816</v>
      </c>
      <c r="C23" s="8">
        <f t="shared" si="0"/>
        <v>5.3000000000001819</v>
      </c>
      <c r="D23" s="10">
        <f t="shared" si="1"/>
        <v>16.271000000000559</v>
      </c>
      <c r="E23" s="7">
        <f>'[1]Nov Prod'!E22</f>
        <v>7000000</v>
      </c>
      <c r="F23" s="8">
        <f t="shared" si="2"/>
        <v>7</v>
      </c>
      <c r="G23" s="10">
        <f t="shared" si="3"/>
        <v>21.49</v>
      </c>
      <c r="H23" s="7">
        <f>'[1]Nov Prod'!F22</f>
        <v>0</v>
      </c>
      <c r="I23" s="8">
        <f t="shared" si="15"/>
        <v>0</v>
      </c>
      <c r="J23" s="10">
        <f t="shared" si="4"/>
        <v>0</v>
      </c>
      <c r="K23" s="7">
        <f>'[1]Nov Prod'!$H270*10</f>
        <v>5997290</v>
      </c>
      <c r="L23" s="8">
        <f t="shared" si="17"/>
        <v>0.59972899999999996</v>
      </c>
      <c r="M23" s="10">
        <f t="shared" si="6"/>
        <v>1.8411680299999997</v>
      </c>
      <c r="N23" s="21"/>
      <c r="O23" s="7">
        <f>'[1]Nov Prod'!H22</f>
        <v>5812999.9999999953</v>
      </c>
      <c r="P23" s="8">
        <f t="shared" si="18"/>
        <v>5.8129999999999953</v>
      </c>
      <c r="Q23" s="10">
        <f t="shared" si="8"/>
        <v>17.845909999999986</v>
      </c>
      <c r="R23" s="7">
        <f>'[1]Nov Prod'!C22</f>
        <v>5942000</v>
      </c>
      <c r="S23" s="8">
        <f t="shared" si="19"/>
        <v>5.9420000000000002</v>
      </c>
      <c r="T23" s="10">
        <f t="shared" si="10"/>
        <v>18.24194</v>
      </c>
      <c r="U23" s="7">
        <f>'[1]Nov Prod'!D22</f>
        <v>0</v>
      </c>
      <c r="V23" s="8">
        <f t="shared" si="11"/>
        <v>0</v>
      </c>
      <c r="W23" s="10">
        <f t="shared" si="12"/>
        <v>0</v>
      </c>
      <c r="X23" s="7">
        <f>'[1]Nov Prod'!$D270</f>
        <v>129000.00000000489</v>
      </c>
      <c r="Y23" s="8">
        <f t="shared" si="13"/>
        <v>0.12900000000000489</v>
      </c>
      <c r="Z23" s="10">
        <f t="shared" si="14"/>
        <v>0.39603000000001498</v>
      </c>
      <c r="AA23" s="15"/>
      <c r="AB23" s="7">
        <f t="shared" si="16"/>
        <v>11113000.000000177</v>
      </c>
      <c r="AC23" s="8">
        <f t="shared" si="16"/>
        <v>11.113000000000177</v>
      </c>
      <c r="AD23" s="8">
        <f t="shared" si="16"/>
        <v>34.116910000000544</v>
      </c>
    </row>
    <row r="24" spans="1:30" x14ac:dyDescent="0.15">
      <c r="A24" s="1">
        <v>38311</v>
      </c>
      <c r="B24" s="7">
        <f>'[1]Nov Prod'!I23</f>
        <v>6199999.9999998184</v>
      </c>
      <c r="C24" s="8">
        <f t="shared" si="0"/>
        <v>6.1999999999998181</v>
      </c>
      <c r="D24" s="10">
        <f t="shared" si="1"/>
        <v>19.033999999999441</v>
      </c>
      <c r="E24" s="7">
        <f>'[1]Nov Prod'!E23</f>
        <v>7000000</v>
      </c>
      <c r="F24" s="8">
        <f t="shared" si="2"/>
        <v>7</v>
      </c>
      <c r="G24" s="10">
        <f t="shared" si="3"/>
        <v>21.49</v>
      </c>
      <c r="H24" s="7">
        <f>'[1]Nov Prod'!F23</f>
        <v>0</v>
      </c>
      <c r="I24" s="8">
        <f t="shared" si="15"/>
        <v>0</v>
      </c>
      <c r="J24" s="10">
        <f t="shared" si="4"/>
        <v>0</v>
      </c>
      <c r="K24" s="7">
        <f>'[1]Nov Prod'!$H271*10</f>
        <v>6352020</v>
      </c>
      <c r="L24" s="8">
        <f t="shared" si="17"/>
        <v>0.63520200000000004</v>
      </c>
      <c r="M24" s="10">
        <f t="shared" si="6"/>
        <v>1.95007014</v>
      </c>
      <c r="N24" s="21"/>
      <c r="O24" s="7">
        <f>'[1]Nov Prod'!H23</f>
        <v>7702000.0000000047</v>
      </c>
      <c r="P24" s="8">
        <f t="shared" si="18"/>
        <v>7.7020000000000044</v>
      </c>
      <c r="Q24" s="10">
        <f t="shared" si="8"/>
        <v>23.645140000000012</v>
      </c>
      <c r="R24" s="7">
        <f>'[1]Nov Prod'!C23</f>
        <v>7832000</v>
      </c>
      <c r="S24" s="8">
        <f t="shared" si="19"/>
        <v>7.8319999999999999</v>
      </c>
      <c r="T24" s="10">
        <f t="shared" si="10"/>
        <v>24.044239999999999</v>
      </c>
      <c r="U24" s="7">
        <f>'[1]Nov Prod'!D23</f>
        <v>0</v>
      </c>
      <c r="V24" s="8">
        <f t="shared" si="11"/>
        <v>0</v>
      </c>
      <c r="W24" s="10">
        <f t="shared" si="12"/>
        <v>0</v>
      </c>
      <c r="X24" s="7">
        <f>'[1]Nov Prod'!$D271</f>
        <v>129999.99999999546</v>
      </c>
      <c r="Y24" s="8">
        <f t="shared" si="13"/>
        <v>0.12999999999999545</v>
      </c>
      <c r="Z24" s="10">
        <f t="shared" si="14"/>
        <v>0.39909999999998602</v>
      </c>
      <c r="AA24" s="15"/>
      <c r="AB24" s="7">
        <f t="shared" si="16"/>
        <v>13901999.999999823</v>
      </c>
      <c r="AC24" s="8">
        <f t="shared" si="16"/>
        <v>13.901999999999823</v>
      </c>
      <c r="AD24" s="8">
        <f>D24+Q24</f>
        <v>42.67913999999945</v>
      </c>
    </row>
    <row r="25" spans="1:30" x14ac:dyDescent="0.15">
      <c r="A25" s="1">
        <v>38312</v>
      </c>
      <c r="B25" s="7">
        <f>'[1]Nov Prod'!I24</f>
        <v>4500000</v>
      </c>
      <c r="C25" s="8">
        <f t="shared" si="0"/>
        <v>4.5</v>
      </c>
      <c r="D25" s="10">
        <f t="shared" si="1"/>
        <v>13.815</v>
      </c>
      <c r="E25" s="7">
        <f>'[1]Nov Prod'!E24</f>
        <v>5000000</v>
      </c>
      <c r="F25" s="8">
        <f t="shared" si="2"/>
        <v>5</v>
      </c>
      <c r="G25" s="10">
        <f t="shared" si="3"/>
        <v>15.35</v>
      </c>
      <c r="H25" s="7">
        <f>'[1]Nov Prod'!F24</f>
        <v>0</v>
      </c>
      <c r="I25" s="8">
        <f t="shared" si="15"/>
        <v>0</v>
      </c>
      <c r="J25" s="10">
        <f t="shared" si="4"/>
        <v>0</v>
      </c>
      <c r="K25" s="7">
        <f>'[1]Nov Prod'!$H272*10</f>
        <v>26983690</v>
      </c>
      <c r="L25" s="8">
        <f t="shared" si="17"/>
        <v>2.698369</v>
      </c>
      <c r="M25" s="10">
        <f t="shared" si="6"/>
        <v>8.283992829999999</v>
      </c>
      <c r="N25" s="21"/>
      <c r="O25" s="7">
        <f>'[1]Nov Prod'!H24</f>
        <v>10115999.999999998</v>
      </c>
      <c r="P25" s="8">
        <f t="shared" si="18"/>
        <v>10.115999999999998</v>
      </c>
      <c r="Q25" s="10">
        <f t="shared" si="8"/>
        <v>31.056119999999993</v>
      </c>
      <c r="R25" s="7">
        <f>'[1]Nov Prod'!C24</f>
        <v>10310000</v>
      </c>
      <c r="S25" s="8">
        <f t="shared" si="19"/>
        <v>10.31</v>
      </c>
      <c r="T25" s="10">
        <f t="shared" si="10"/>
        <v>31.651699999999998</v>
      </c>
      <c r="U25" s="7">
        <f>'[1]Nov Prod'!D24</f>
        <v>0</v>
      </c>
      <c r="V25" s="8">
        <f t="shared" si="11"/>
        <v>0</v>
      </c>
      <c r="W25" s="10">
        <f t="shared" si="12"/>
        <v>0</v>
      </c>
      <c r="X25" s="7">
        <f>'[1]Nov Prod'!$D272</f>
        <v>194000.00000000262</v>
      </c>
      <c r="Y25" s="8">
        <f t="shared" si="13"/>
        <v>0.19400000000000261</v>
      </c>
      <c r="Z25" s="10">
        <f t="shared" si="14"/>
        <v>0.59558000000000799</v>
      </c>
      <c r="AA25" s="15"/>
      <c r="AB25" s="7">
        <f t="shared" si="16"/>
        <v>14615999.999999998</v>
      </c>
      <c r="AC25" s="8">
        <f t="shared" si="16"/>
        <v>14.615999999999998</v>
      </c>
      <c r="AD25" s="8">
        <f t="shared" si="16"/>
        <v>44.871119999999991</v>
      </c>
    </row>
    <row r="26" spans="1:30" x14ac:dyDescent="0.15">
      <c r="A26" s="1">
        <v>38313</v>
      </c>
      <c r="B26" s="7">
        <f>'[1]Nov Prod'!I25</f>
        <v>0</v>
      </c>
      <c r="C26" s="8">
        <f t="shared" si="0"/>
        <v>0</v>
      </c>
      <c r="D26" s="10">
        <f t="shared" si="1"/>
        <v>0</v>
      </c>
      <c r="E26" s="7">
        <f>'[1]Nov Prod'!E25</f>
        <v>6000000</v>
      </c>
      <c r="F26" s="8">
        <f t="shared" si="2"/>
        <v>6</v>
      </c>
      <c r="G26" s="10">
        <f t="shared" si="3"/>
        <v>18.419999999999998</v>
      </c>
      <c r="H26" s="7">
        <f>'[1]Nov Prod'!F25</f>
        <v>0</v>
      </c>
      <c r="I26" s="8">
        <f t="shared" si="15"/>
        <v>0</v>
      </c>
      <c r="J26" s="10">
        <f t="shared" si="4"/>
        <v>0</v>
      </c>
      <c r="K26" s="7">
        <f>'[1]Nov Prod'!$H273*10</f>
        <v>50991470</v>
      </c>
      <c r="L26" s="8">
        <f t="shared" si="17"/>
        <v>5.0991470000000003</v>
      </c>
      <c r="M26" s="10">
        <f t="shared" si="6"/>
        <v>15.65438129</v>
      </c>
      <c r="N26" s="21"/>
      <c r="O26" s="7">
        <f>'[1]Nov Prod'!H25</f>
        <v>10697000</v>
      </c>
      <c r="P26" s="8">
        <f t="shared" si="18"/>
        <v>10.696999999999999</v>
      </c>
      <c r="Q26" s="10">
        <f t="shared" si="8"/>
        <v>32.839789999999994</v>
      </c>
      <c r="R26" s="7">
        <f>'[1]Nov Prod'!C25</f>
        <v>11017000</v>
      </c>
      <c r="S26" s="8">
        <f t="shared" si="19"/>
        <v>11.016999999999999</v>
      </c>
      <c r="T26" s="10">
        <f t="shared" si="10"/>
        <v>33.822189999999999</v>
      </c>
      <c r="U26" s="7">
        <f>'[1]Nov Prod'!D25</f>
        <v>0</v>
      </c>
      <c r="V26" s="8">
        <f t="shared" si="11"/>
        <v>0</v>
      </c>
      <c r="W26" s="10">
        <f t="shared" si="12"/>
        <v>0</v>
      </c>
      <c r="X26" s="7">
        <f>'[1]Nov Prod'!$D273</f>
        <v>320000.00000000029</v>
      </c>
      <c r="Y26" s="8">
        <f t="shared" si="13"/>
        <v>0.32000000000000028</v>
      </c>
      <c r="Z26" s="10">
        <f t="shared" si="14"/>
        <v>0.98240000000000083</v>
      </c>
      <c r="AA26" s="15"/>
      <c r="AB26" s="7">
        <f t="shared" si="16"/>
        <v>10697000</v>
      </c>
      <c r="AC26" s="8">
        <f t="shared" si="16"/>
        <v>10.696999999999999</v>
      </c>
      <c r="AD26" s="8">
        <f t="shared" si="16"/>
        <v>32.839789999999994</v>
      </c>
    </row>
    <row r="27" spans="1:30" x14ac:dyDescent="0.15">
      <c r="A27" s="1">
        <v>38314</v>
      </c>
      <c r="B27" s="7">
        <f>'[1]Nov Prod'!I26</f>
        <v>0</v>
      </c>
      <c r="C27" s="8">
        <f t="shared" si="0"/>
        <v>0</v>
      </c>
      <c r="D27" s="10">
        <f t="shared" si="1"/>
        <v>0</v>
      </c>
      <c r="E27" s="7">
        <f>'[1]Nov Prod'!E26</f>
        <v>5000000</v>
      </c>
      <c r="F27" s="8">
        <f t="shared" si="2"/>
        <v>5</v>
      </c>
      <c r="G27" s="10">
        <f t="shared" si="3"/>
        <v>15.35</v>
      </c>
      <c r="H27" s="7">
        <f>'[1]Nov Prod'!F26</f>
        <v>0</v>
      </c>
      <c r="I27" s="8">
        <f t="shared" si="15"/>
        <v>0</v>
      </c>
      <c r="J27" s="10">
        <f t="shared" si="4"/>
        <v>0</v>
      </c>
      <c r="K27" s="7">
        <f>'[1]Nov Prod'!$H274*10</f>
        <v>49591930</v>
      </c>
      <c r="L27" s="8">
        <f t="shared" si="17"/>
        <v>4.959193</v>
      </c>
      <c r="M27" s="10">
        <f t="shared" si="6"/>
        <v>15.224722509999999</v>
      </c>
      <c r="N27" s="21"/>
      <c r="O27" s="7">
        <f>'[1]Nov Prod'!H26</f>
        <v>10955000</v>
      </c>
      <c r="P27" s="8">
        <f t="shared" si="18"/>
        <v>10.955</v>
      </c>
      <c r="Q27" s="10">
        <f t="shared" si="8"/>
        <v>33.63185</v>
      </c>
      <c r="R27" s="7">
        <f>'[1]Nov Prod'!C26</f>
        <v>11150000</v>
      </c>
      <c r="S27" s="8">
        <f t="shared" si="19"/>
        <v>11.15</v>
      </c>
      <c r="T27" s="10">
        <f t="shared" si="10"/>
        <v>34.230499999999999</v>
      </c>
      <c r="U27" s="7">
        <f>'[1]Nov Prod'!D26</f>
        <v>0</v>
      </c>
      <c r="V27" s="8">
        <f t="shared" si="11"/>
        <v>0</v>
      </c>
      <c r="W27" s="10">
        <f t="shared" si="12"/>
        <v>0</v>
      </c>
      <c r="X27" s="7">
        <f>'[1]Nov Prod'!$D274</f>
        <v>195000.00000000029</v>
      </c>
      <c r="Y27" s="8">
        <f t="shared" si="13"/>
        <v>0.19500000000000028</v>
      </c>
      <c r="Z27" s="10">
        <f t="shared" si="14"/>
        <v>0.59865000000000079</v>
      </c>
      <c r="AA27" s="15"/>
      <c r="AB27" s="7">
        <f t="shared" si="16"/>
        <v>10955000</v>
      </c>
      <c r="AC27" s="8">
        <f t="shared" si="16"/>
        <v>10.955</v>
      </c>
      <c r="AD27" s="8">
        <f t="shared" si="16"/>
        <v>33.63185</v>
      </c>
    </row>
    <row r="28" spans="1:30" x14ac:dyDescent="0.15">
      <c r="A28" s="1">
        <v>38315</v>
      </c>
      <c r="B28" s="7">
        <f>'[1]Nov Prod'!I27</f>
        <v>0</v>
      </c>
      <c r="C28" s="8">
        <f t="shared" si="0"/>
        <v>0</v>
      </c>
      <c r="D28" s="10">
        <f t="shared" si="1"/>
        <v>0</v>
      </c>
      <c r="E28" s="7">
        <f>'[1]Nov Prod'!E27</f>
        <v>6000000</v>
      </c>
      <c r="F28" s="8">
        <f t="shared" si="2"/>
        <v>6</v>
      </c>
      <c r="G28" s="10">
        <f t="shared" si="3"/>
        <v>18.419999999999998</v>
      </c>
      <c r="H28" s="7">
        <f>'[1]Nov Prod'!F27</f>
        <v>0</v>
      </c>
      <c r="I28" s="8">
        <f t="shared" si="15"/>
        <v>0</v>
      </c>
      <c r="J28" s="10">
        <f t="shared" si="4"/>
        <v>0</v>
      </c>
      <c r="K28" s="7">
        <f>'[1]Nov Prod'!$H275*10</f>
        <v>49651180</v>
      </c>
      <c r="L28" s="8">
        <f t="shared" si="17"/>
        <v>4.9651180000000004</v>
      </c>
      <c r="M28" s="10">
        <f t="shared" si="6"/>
        <v>15.242912260000001</v>
      </c>
      <c r="N28" s="21"/>
      <c r="O28" s="7">
        <f>'[1]Nov Prod'!H27</f>
        <v>12246999.999999998</v>
      </c>
      <c r="P28" s="8">
        <f t="shared" si="18"/>
        <v>12.246999999999998</v>
      </c>
      <c r="Q28" s="10">
        <f t="shared" si="8"/>
        <v>37.598289999999992</v>
      </c>
      <c r="R28" s="7">
        <f>'[1]Nov Prod'!C27</f>
        <v>12441000</v>
      </c>
      <c r="S28" s="8">
        <f t="shared" si="19"/>
        <v>12.441000000000001</v>
      </c>
      <c r="T28" s="10">
        <f t="shared" si="10"/>
        <v>38.193869999999997</v>
      </c>
      <c r="U28" s="7">
        <f>'[1]Nov Prod'!D27</f>
        <v>0</v>
      </c>
      <c r="V28" s="8">
        <f t="shared" si="11"/>
        <v>0</v>
      </c>
      <c r="W28" s="10">
        <f t="shared" si="12"/>
        <v>0</v>
      </c>
      <c r="X28" s="7">
        <f>'[1]Nov Prod'!$D275</f>
        <v>194000.00000000262</v>
      </c>
      <c r="Y28" s="8">
        <f t="shared" si="13"/>
        <v>0.19400000000000261</v>
      </c>
      <c r="Z28" s="10">
        <f t="shared" si="14"/>
        <v>0.59558000000000799</v>
      </c>
      <c r="AA28" s="15"/>
      <c r="AB28" s="7">
        <f t="shared" si="16"/>
        <v>12246999.999999998</v>
      </c>
      <c r="AC28" s="8">
        <f t="shared" si="16"/>
        <v>12.246999999999998</v>
      </c>
      <c r="AD28" s="8">
        <f t="shared" si="16"/>
        <v>37.598289999999992</v>
      </c>
    </row>
    <row r="29" spans="1:30" x14ac:dyDescent="0.15">
      <c r="A29" s="1">
        <v>38316</v>
      </c>
      <c r="B29" s="7">
        <f>'[1]Nov Prod'!I28</f>
        <v>0</v>
      </c>
      <c r="C29" s="8">
        <f t="shared" si="0"/>
        <v>0</v>
      </c>
      <c r="D29" s="10">
        <f t="shared" si="1"/>
        <v>0</v>
      </c>
      <c r="E29" s="7">
        <f>'[1]Nov Prod'!E28</f>
        <v>5000000</v>
      </c>
      <c r="F29" s="8">
        <f t="shared" si="2"/>
        <v>5</v>
      </c>
      <c r="G29" s="10">
        <f t="shared" si="3"/>
        <v>15.35</v>
      </c>
      <c r="H29" s="7">
        <f>'[1]Nov Prod'!F28</f>
        <v>0</v>
      </c>
      <c r="I29" s="8">
        <f t="shared" si="15"/>
        <v>0</v>
      </c>
      <c r="J29" s="10">
        <f t="shared" si="4"/>
        <v>0</v>
      </c>
      <c r="K29" s="7">
        <f>'[1]Nov Prod'!$H276*10</f>
        <v>49118820</v>
      </c>
      <c r="L29" s="8">
        <f t="shared" si="17"/>
        <v>4.9118820000000003</v>
      </c>
      <c r="M29" s="10">
        <f t="shared" si="6"/>
        <v>15.07947774</v>
      </c>
      <c r="N29" s="21"/>
      <c r="O29" s="7">
        <f>'[1]Nov Prod'!H28</f>
        <v>12456000.000000007</v>
      </c>
      <c r="P29" s="8">
        <f t="shared" si="18"/>
        <v>12.456000000000007</v>
      </c>
      <c r="Q29" s="10">
        <f t="shared" si="8"/>
        <v>38.239920000000019</v>
      </c>
      <c r="R29" s="7">
        <f>'[1]Nov Prod'!C28</f>
        <v>12782000</v>
      </c>
      <c r="S29" s="8">
        <f t="shared" si="19"/>
        <v>12.782</v>
      </c>
      <c r="T29" s="10">
        <f t="shared" si="10"/>
        <v>39.240739999999995</v>
      </c>
      <c r="U29" s="7">
        <f>'[1]Nov Prod'!D28</f>
        <v>0</v>
      </c>
      <c r="V29" s="8">
        <f t="shared" si="11"/>
        <v>0</v>
      </c>
      <c r="W29" s="10">
        <f t="shared" si="12"/>
        <v>0</v>
      </c>
      <c r="X29" s="7">
        <f>'[1]Nov Prod'!$D276</f>
        <v>325999.99999999342</v>
      </c>
      <c r="Y29" s="8">
        <f t="shared" si="13"/>
        <v>0.32599999999999341</v>
      </c>
      <c r="Z29" s="10">
        <f t="shared" si="14"/>
        <v>1.0008199999999796</v>
      </c>
      <c r="AA29" s="15"/>
      <c r="AB29" s="7">
        <f t="shared" si="16"/>
        <v>12456000.000000007</v>
      </c>
      <c r="AC29" s="8">
        <f t="shared" si="16"/>
        <v>12.456000000000007</v>
      </c>
      <c r="AD29" s="8">
        <f t="shared" si="16"/>
        <v>38.239920000000019</v>
      </c>
    </row>
    <row r="30" spans="1:30" x14ac:dyDescent="0.15">
      <c r="A30" s="1">
        <v>38317</v>
      </c>
      <c r="B30" s="7">
        <f>'[1]Nov Prod'!I29</f>
        <v>0</v>
      </c>
      <c r="C30" s="8">
        <f t="shared" si="0"/>
        <v>0</v>
      </c>
      <c r="D30" s="10">
        <f t="shared" si="1"/>
        <v>0</v>
      </c>
      <c r="E30" s="7">
        <f>'[1]Nov Prod'!E29</f>
        <v>5000000</v>
      </c>
      <c r="F30" s="8">
        <f t="shared" si="2"/>
        <v>5</v>
      </c>
      <c r="G30" s="10">
        <f t="shared" si="3"/>
        <v>15.35</v>
      </c>
      <c r="H30" s="7">
        <f>'[1]Nov Prod'!F29</f>
        <v>0</v>
      </c>
      <c r="I30" s="8">
        <f t="shared" si="15"/>
        <v>0</v>
      </c>
      <c r="J30" s="10">
        <f t="shared" si="4"/>
        <v>0</v>
      </c>
      <c r="K30" s="7">
        <f>'[1]Nov Prod'!$H277*10</f>
        <v>46829150</v>
      </c>
      <c r="L30" s="8">
        <f t="shared" si="17"/>
        <v>4.6829150000000004</v>
      </c>
      <c r="M30" s="10">
        <f t="shared" si="6"/>
        <v>14.376549050000001</v>
      </c>
      <c r="N30" s="21"/>
      <c r="O30" s="7">
        <f>'[1]Nov Prod'!H29</f>
        <v>11552000</v>
      </c>
      <c r="P30" s="8">
        <f t="shared" si="18"/>
        <v>11.552</v>
      </c>
      <c r="Q30" s="10">
        <f t="shared" si="8"/>
        <v>35.464639999999996</v>
      </c>
      <c r="R30" s="7">
        <f>'[1]Nov Prod'!C29</f>
        <v>11814000</v>
      </c>
      <c r="S30" s="8">
        <f t="shared" si="19"/>
        <v>11.814</v>
      </c>
      <c r="T30" s="10">
        <f t="shared" si="10"/>
        <v>36.268979999999999</v>
      </c>
      <c r="U30" s="7">
        <f>'[1]Nov Prod'!D29</f>
        <v>0</v>
      </c>
      <c r="V30" s="8">
        <f t="shared" si="11"/>
        <v>0</v>
      </c>
      <c r="W30" s="10">
        <f t="shared" si="12"/>
        <v>0</v>
      </c>
      <c r="X30" s="7">
        <f>'[1]Nov Prod'!$D277</f>
        <v>262000.00000000047</v>
      </c>
      <c r="Y30" s="8">
        <f t="shared" si="13"/>
        <v>0.26200000000000045</v>
      </c>
      <c r="Z30" s="10">
        <f t="shared" si="14"/>
        <v>0.80434000000000139</v>
      </c>
      <c r="AA30" s="15"/>
      <c r="AB30" s="7">
        <f t="shared" si="16"/>
        <v>11552000</v>
      </c>
      <c r="AC30" s="8">
        <f t="shared" si="16"/>
        <v>11.552</v>
      </c>
      <c r="AD30" s="8">
        <f>D30+Q30</f>
        <v>35.464639999999996</v>
      </c>
    </row>
    <row r="31" spans="1:30" x14ac:dyDescent="0.15">
      <c r="A31" s="1">
        <v>38318</v>
      </c>
      <c r="B31" s="7">
        <f>'[1]Nov Prod'!I30</f>
        <v>0</v>
      </c>
      <c r="C31" s="8">
        <f t="shared" si="0"/>
        <v>0</v>
      </c>
      <c r="D31" s="10">
        <f t="shared" si="1"/>
        <v>0</v>
      </c>
      <c r="E31" s="7">
        <f>'[1]Nov Prod'!E30</f>
        <v>6000000</v>
      </c>
      <c r="F31" s="8">
        <f t="shared" si="2"/>
        <v>6</v>
      </c>
      <c r="G31" s="10">
        <f t="shared" si="3"/>
        <v>18.419999999999998</v>
      </c>
      <c r="H31" s="7">
        <f>'[1]Nov Prod'!F30</f>
        <v>0</v>
      </c>
      <c r="I31" s="8">
        <f t="shared" si="15"/>
        <v>0</v>
      </c>
      <c r="J31" s="10">
        <f t="shared" si="4"/>
        <v>0</v>
      </c>
      <c r="K31" s="7">
        <f>'[1]Nov Prod'!$H278*10</f>
        <v>48794530</v>
      </c>
      <c r="L31" s="8">
        <f t="shared" si="17"/>
        <v>4.8794529999999998</v>
      </c>
      <c r="M31" s="10">
        <f t="shared" si="6"/>
        <v>14.979920709999998</v>
      </c>
      <c r="N31" s="21"/>
      <c r="O31" s="7">
        <f>'[1]Nov Prod'!H30</f>
        <v>12775999.999999994</v>
      </c>
      <c r="P31" s="8">
        <f t="shared" si="18"/>
        <v>12.775999999999994</v>
      </c>
      <c r="Q31" s="10">
        <f t="shared" si="8"/>
        <v>39.222319999999982</v>
      </c>
      <c r="R31" s="7">
        <f>'[1]Nov Prod'!C30</f>
        <v>13036000</v>
      </c>
      <c r="S31" s="8">
        <f t="shared" si="19"/>
        <v>13.036</v>
      </c>
      <c r="T31" s="10">
        <f t="shared" si="10"/>
        <v>40.020519999999998</v>
      </c>
      <c r="U31" s="7">
        <f>'[1]Nov Prod'!D30</f>
        <v>0</v>
      </c>
      <c r="V31" s="8">
        <f t="shared" si="11"/>
        <v>0</v>
      </c>
      <c r="W31" s="10">
        <f t="shared" si="12"/>
        <v>0</v>
      </c>
      <c r="X31" s="7">
        <f>'[1]Nov Prod'!$D278</f>
        <v>260000.00000000512</v>
      </c>
      <c r="Y31" s="8">
        <f t="shared" si="13"/>
        <v>0.26000000000000512</v>
      </c>
      <c r="Z31" s="10">
        <f t="shared" si="14"/>
        <v>0.79820000000001567</v>
      </c>
      <c r="AA31" s="15"/>
      <c r="AB31" s="7">
        <f t="shared" si="16"/>
        <v>12775999.999999994</v>
      </c>
      <c r="AC31" s="8">
        <f t="shared" si="16"/>
        <v>12.775999999999994</v>
      </c>
      <c r="AD31" s="8">
        <f t="shared" si="16"/>
        <v>39.222319999999982</v>
      </c>
    </row>
    <row r="32" spans="1:30" x14ac:dyDescent="0.15">
      <c r="A32" s="1">
        <v>38319</v>
      </c>
      <c r="B32" s="7">
        <f>'[1]Nov Prod'!I31</f>
        <v>0</v>
      </c>
      <c r="C32" s="8">
        <f t="shared" si="0"/>
        <v>0</v>
      </c>
      <c r="D32" s="10">
        <f t="shared" si="1"/>
        <v>0</v>
      </c>
      <c r="E32" s="7">
        <f>'[1]Nov Prod'!E31</f>
        <v>5000000</v>
      </c>
      <c r="F32" s="8">
        <f t="shared" si="2"/>
        <v>5</v>
      </c>
      <c r="G32" s="10">
        <f t="shared" si="3"/>
        <v>15.35</v>
      </c>
      <c r="H32" s="7">
        <f>'[1]Nov Prod'!F31</f>
        <v>0</v>
      </c>
      <c r="I32" s="8">
        <f t="shared" si="15"/>
        <v>0</v>
      </c>
      <c r="J32" s="10">
        <f t="shared" si="4"/>
        <v>0</v>
      </c>
      <c r="K32" s="7">
        <f>'[1]Nov Prod'!$H279*10</f>
        <v>49114490</v>
      </c>
      <c r="L32" s="8">
        <f t="shared" si="17"/>
        <v>4.9114490000000002</v>
      </c>
      <c r="M32" s="10">
        <f t="shared" si="6"/>
        <v>15.078148430000001</v>
      </c>
      <c r="N32" s="21"/>
      <c r="O32" s="7">
        <f>'[1]Nov Prod'!H31</f>
        <v>12673000.000000004</v>
      </c>
      <c r="P32" s="8">
        <f t="shared" si="18"/>
        <v>12.673000000000004</v>
      </c>
      <c r="Q32" s="10">
        <f t="shared" si="8"/>
        <v>38.906110000000012</v>
      </c>
      <c r="R32" s="7">
        <f>'[1]Nov Prod'!C31</f>
        <v>12879000</v>
      </c>
      <c r="S32" s="8">
        <f t="shared" si="19"/>
        <v>12.879</v>
      </c>
      <c r="T32" s="10">
        <f t="shared" si="10"/>
        <v>39.538529999999994</v>
      </c>
      <c r="U32" s="7">
        <f>'[1]Nov Prod'!D31</f>
        <v>0</v>
      </c>
      <c r="V32" s="8">
        <f t="shared" si="11"/>
        <v>0</v>
      </c>
      <c r="W32" s="10">
        <f t="shared" si="12"/>
        <v>0</v>
      </c>
      <c r="X32" s="7">
        <f>'[1]Nov Prod'!$D279</f>
        <v>205999.99999999595</v>
      </c>
      <c r="Y32" s="8">
        <f t="shared" si="13"/>
        <v>0.20599999999999596</v>
      </c>
      <c r="Z32" s="10">
        <f t="shared" si="14"/>
        <v>0.63241999999998755</v>
      </c>
      <c r="AA32" s="15"/>
      <c r="AB32" s="7">
        <f t="shared" si="16"/>
        <v>12673000.000000004</v>
      </c>
      <c r="AC32" s="8">
        <f t="shared" si="16"/>
        <v>12.673000000000004</v>
      </c>
      <c r="AD32" s="8">
        <f t="shared" si="16"/>
        <v>38.906110000000012</v>
      </c>
    </row>
    <row r="33" spans="1:30" x14ac:dyDescent="0.15">
      <c r="A33" s="1">
        <v>38320</v>
      </c>
      <c r="B33" s="7">
        <f>'[1]Nov Prod'!I32</f>
        <v>0</v>
      </c>
      <c r="C33" s="8">
        <f t="shared" si="0"/>
        <v>0</v>
      </c>
      <c r="D33" s="10">
        <f t="shared" si="1"/>
        <v>0</v>
      </c>
      <c r="E33" s="7">
        <f>'[1]Nov Prod'!E32</f>
        <v>6000000</v>
      </c>
      <c r="F33" s="8">
        <f t="shared" si="2"/>
        <v>6</v>
      </c>
      <c r="G33" s="10">
        <f t="shared" si="3"/>
        <v>18.419999999999998</v>
      </c>
      <c r="H33" s="7">
        <f>'[1]Nov Prod'!F32</f>
        <v>0</v>
      </c>
      <c r="I33" s="8">
        <f t="shared" si="15"/>
        <v>0</v>
      </c>
      <c r="J33" s="10">
        <f t="shared" si="4"/>
        <v>0</v>
      </c>
      <c r="K33" s="7">
        <f>'[1]Nov Prod'!$H280*10</f>
        <v>48873150</v>
      </c>
      <c r="L33" s="8">
        <f t="shared" si="17"/>
        <v>4.8873150000000001</v>
      </c>
      <c r="M33" s="10">
        <f t="shared" si="6"/>
        <v>15.00405705</v>
      </c>
      <c r="N33" s="21"/>
      <c r="O33" s="7">
        <f>'[1]Nov Prod'!H32</f>
        <v>10938999.999999998</v>
      </c>
      <c r="P33" s="8">
        <f t="shared" si="18"/>
        <v>10.938999999999998</v>
      </c>
      <c r="Q33" s="10">
        <f t="shared" si="8"/>
        <v>33.582729999999991</v>
      </c>
      <c r="R33" s="7">
        <f>'[1]Nov Prod'!C32</f>
        <v>11249000</v>
      </c>
      <c r="S33" s="8">
        <f t="shared" si="19"/>
        <v>11.249000000000001</v>
      </c>
      <c r="T33" s="10">
        <f t="shared" si="10"/>
        <v>34.53443</v>
      </c>
      <c r="U33" s="7">
        <f>'[1]Nov Prod'!D32</f>
        <v>0</v>
      </c>
      <c r="V33" s="8">
        <f t="shared" si="11"/>
        <v>0</v>
      </c>
      <c r="W33" s="10">
        <f t="shared" si="12"/>
        <v>0</v>
      </c>
      <c r="X33" s="7">
        <f>'[1]Nov Prod'!$D280</f>
        <v>310000.00000000227</v>
      </c>
      <c r="Y33" s="8">
        <f t="shared" si="13"/>
        <v>0.31000000000000227</v>
      </c>
      <c r="Z33" s="10">
        <f t="shared" si="14"/>
        <v>0.95170000000000698</v>
      </c>
      <c r="AA33" s="15"/>
      <c r="AB33" s="7">
        <f t="shared" si="16"/>
        <v>10938999.999999998</v>
      </c>
      <c r="AC33" s="8">
        <f t="shared" si="16"/>
        <v>10.938999999999998</v>
      </c>
      <c r="AD33" s="8">
        <f t="shared" si="16"/>
        <v>33.582729999999991</v>
      </c>
    </row>
    <row r="34" spans="1:30" ht="14" thickBot="1" x14ac:dyDescent="0.2">
      <c r="A34" s="1">
        <v>38321</v>
      </c>
      <c r="B34" s="7">
        <f>'[1]Nov Prod'!I33</f>
        <v>0</v>
      </c>
      <c r="C34" s="8">
        <f t="shared" si="0"/>
        <v>0</v>
      </c>
      <c r="D34" s="10">
        <f t="shared" si="1"/>
        <v>0</v>
      </c>
      <c r="E34" s="7">
        <f>'[1]Nov Prod'!E33</f>
        <v>5000000</v>
      </c>
      <c r="F34" s="8">
        <f t="shared" si="2"/>
        <v>5</v>
      </c>
      <c r="G34" s="10">
        <f t="shared" si="3"/>
        <v>15.35</v>
      </c>
      <c r="H34" s="7">
        <f>'[1]Nov Prod'!F33</f>
        <v>0</v>
      </c>
      <c r="I34" s="8">
        <f t="shared" si="15"/>
        <v>0</v>
      </c>
      <c r="J34" s="10">
        <f t="shared" si="4"/>
        <v>0</v>
      </c>
      <c r="K34" s="7">
        <f>'[1]Nov Prod'!$H281*10</f>
        <v>48738210</v>
      </c>
      <c r="L34" s="8">
        <f t="shared" si="17"/>
        <v>4.8738210000000004</v>
      </c>
      <c r="M34" s="10">
        <f t="shared" si="6"/>
        <v>14.962630470000001</v>
      </c>
      <c r="N34" s="21"/>
      <c r="O34" s="7">
        <f>'[1]Nov Prod'!H33</f>
        <v>8848999.9999999981</v>
      </c>
      <c r="P34" s="8">
        <f t="shared" si="18"/>
        <v>8.8489999999999984</v>
      </c>
      <c r="Q34" s="10">
        <f t="shared" si="8"/>
        <v>27.166429999999995</v>
      </c>
      <c r="R34" s="7">
        <f>'[1]Nov Prod'!C33</f>
        <v>9040000</v>
      </c>
      <c r="S34" s="8">
        <f t="shared" si="19"/>
        <v>9.0399999999999991</v>
      </c>
      <c r="T34" s="10">
        <f t="shared" si="10"/>
        <v>27.752799999999997</v>
      </c>
      <c r="U34" s="7">
        <f>'[1]Nov Prod'!D33</f>
        <v>0</v>
      </c>
      <c r="V34" s="8">
        <f t="shared" si="11"/>
        <v>0</v>
      </c>
      <c r="W34" s="10">
        <f t="shared" si="12"/>
        <v>0</v>
      </c>
      <c r="X34" s="7">
        <f>'[1]Nov Prod'!$D281</f>
        <v>191000.0000000025</v>
      </c>
      <c r="Y34" s="8">
        <f t="shared" si="13"/>
        <v>0.1910000000000025</v>
      </c>
      <c r="Z34" s="10">
        <f t="shared" si="14"/>
        <v>0.58637000000000761</v>
      </c>
      <c r="AA34" s="15"/>
      <c r="AB34" s="7">
        <f t="shared" si="16"/>
        <v>8848999.9999999981</v>
      </c>
      <c r="AC34" s="8">
        <f t="shared" si="16"/>
        <v>8.8489999999999984</v>
      </c>
      <c r="AD34" s="8">
        <f t="shared" si="16"/>
        <v>27.166429999999995</v>
      </c>
    </row>
    <row r="35" spans="1:30" ht="14" thickBot="1" x14ac:dyDescent="0.2">
      <c r="A35" s="20"/>
      <c r="B35" s="38"/>
      <c r="C35" s="39">
        <f>SUM(C5:C34)</f>
        <v>236.29999999999995</v>
      </c>
      <c r="D35" s="39">
        <f>SUM(D5:D34)</f>
        <v>725.44099999999992</v>
      </c>
      <c r="E35" s="38"/>
      <c r="F35" s="39">
        <f>SUM(F5:F34)</f>
        <v>78</v>
      </c>
      <c r="G35" s="39">
        <f>SUM(G5:G34)</f>
        <v>239.45999999999992</v>
      </c>
      <c r="H35" s="38"/>
      <c r="I35" s="39">
        <f>SUM(I5:I34)</f>
        <v>234.81</v>
      </c>
      <c r="J35" s="39">
        <f>SUM(J5:J34)</f>
        <v>720.86669999999992</v>
      </c>
      <c r="K35" s="38"/>
      <c r="L35" s="39">
        <f>SUM(L5:L34)</f>
        <v>66.959884999999986</v>
      </c>
      <c r="M35" s="39">
        <f>SUM(M5:M34)</f>
        <v>205.56684694999996</v>
      </c>
      <c r="N35" s="14"/>
      <c r="O35" s="38"/>
      <c r="P35" s="39">
        <f>SUM(P5:P34)</f>
        <v>155.786</v>
      </c>
      <c r="Q35" s="39">
        <f>SUM(Q5:Q34)</f>
        <v>478.26301999999998</v>
      </c>
      <c r="R35" s="38"/>
      <c r="S35" s="39">
        <f>SUM(S5:S34)</f>
        <v>159.47999999999999</v>
      </c>
      <c r="T35" s="39">
        <f>SUM(T5:T34)</f>
        <v>489.60359999999991</v>
      </c>
      <c r="U35" s="38"/>
      <c r="V35" s="39">
        <f>SUM(V5:V34)</f>
        <v>0</v>
      </c>
      <c r="W35" s="39">
        <f>SUM(W5:W34)</f>
        <v>0</v>
      </c>
      <c r="X35" s="38"/>
      <c r="Y35" s="39">
        <f>SUM(Y5:Y34)</f>
        <v>4.5190000000000055</v>
      </c>
      <c r="Z35" s="39">
        <f>SUM(Z5:Z34)</f>
        <v>13.873330000000017</v>
      </c>
      <c r="AA35" s="14"/>
      <c r="AB35" s="38">
        <f t="shared" si="16"/>
        <v>0</v>
      </c>
      <c r="AC35" s="39">
        <f t="shared" si="16"/>
        <v>392.08599999999996</v>
      </c>
      <c r="AD35" s="39">
        <f t="shared" si="16"/>
        <v>1203.7040199999999</v>
      </c>
    </row>
    <row r="36" spans="1:30" x14ac:dyDescent="0.15">
      <c r="C36" s="18"/>
      <c r="E36" s="3"/>
      <c r="F36" s="3"/>
      <c r="G36" s="3"/>
      <c r="H36" s="3"/>
      <c r="I36" s="3"/>
      <c r="J36" s="3"/>
      <c r="K36" s="14"/>
      <c r="L36" s="3"/>
      <c r="M36" s="3"/>
      <c r="N36" s="3"/>
      <c r="O36" s="3"/>
      <c r="P36" s="3"/>
      <c r="Q36" s="3"/>
      <c r="R36" s="3"/>
      <c r="S36" s="3"/>
      <c r="T36" s="3"/>
      <c r="U36" s="14"/>
      <c r="AB36" s="23"/>
      <c r="AC36" s="30"/>
      <c r="AD36" s="23"/>
    </row>
  </sheetData>
  <mergeCells count="9">
    <mergeCell ref="AB3:AD3"/>
    <mergeCell ref="R3:T3"/>
    <mergeCell ref="U3:W3"/>
    <mergeCell ref="B3:D3"/>
    <mergeCell ref="E3:G3"/>
    <mergeCell ref="H3:J3"/>
    <mergeCell ref="O3:Q3"/>
    <mergeCell ref="K3:M3"/>
    <mergeCell ref="X3:Z3"/>
  </mergeCells>
  <phoneticPr fontId="1" type="noConversion"/>
  <pageMargins left="0.75" right="0.75" top="1" bottom="1" header="0.5" footer="0.5"/>
  <pageSetup scale="78" orientation="landscape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D37"/>
  <sheetViews>
    <sheetView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B1" sqref="B1"/>
    </sheetView>
  </sheetViews>
  <sheetFormatPr baseColWidth="10" defaultColWidth="8.83203125" defaultRowHeight="13" x14ac:dyDescent="0.15"/>
  <cols>
    <col min="2" max="2" width="14.5" bestFit="1" customWidth="1"/>
    <col min="5" max="5" width="11" customWidth="1"/>
    <col min="8" max="8" width="13.5" bestFit="1" customWidth="1"/>
    <col min="11" max="11" width="10" customWidth="1"/>
    <col min="12" max="12" width="10.6640625" customWidth="1"/>
    <col min="15" max="15" width="11" customWidth="1"/>
    <col min="18" max="18" width="10.6640625" customWidth="1"/>
    <col min="21" max="21" width="11.6640625" bestFit="1" customWidth="1"/>
    <col min="22" max="22" width="10.6640625" customWidth="1"/>
    <col min="28" max="28" width="12.6640625" customWidth="1"/>
  </cols>
  <sheetData>
    <row r="1" spans="1:30" x14ac:dyDescent="0.15">
      <c r="B1" s="40"/>
      <c r="C1" s="25"/>
      <c r="D1" s="25"/>
      <c r="E1" s="22"/>
      <c r="F1" s="22"/>
      <c r="G1" s="3"/>
      <c r="H1" s="3"/>
      <c r="I1" s="3"/>
      <c r="J1" s="3"/>
      <c r="K1" s="14"/>
      <c r="L1" s="3"/>
      <c r="M1" s="3"/>
      <c r="N1" s="3"/>
      <c r="O1" s="3"/>
      <c r="P1" s="3"/>
      <c r="Q1" s="3"/>
      <c r="R1" s="3"/>
      <c r="S1" s="3"/>
      <c r="T1" s="3"/>
      <c r="U1" s="14"/>
    </row>
    <row r="2" spans="1:30" ht="14" thickBot="1" x14ac:dyDescent="0.2">
      <c r="C2" s="18"/>
      <c r="E2" s="3"/>
      <c r="F2" s="3"/>
      <c r="G2" s="3"/>
      <c r="H2" s="3"/>
      <c r="I2" s="3"/>
      <c r="J2" s="3"/>
      <c r="K2" s="14"/>
      <c r="L2" s="3"/>
      <c r="M2" s="3"/>
      <c r="N2" s="3"/>
      <c r="O2" s="3"/>
      <c r="P2" s="3"/>
      <c r="Q2" s="3"/>
      <c r="R2" s="3"/>
      <c r="S2" s="3"/>
      <c r="T2" s="3"/>
      <c r="U2" s="14"/>
    </row>
    <row r="3" spans="1:30" ht="60.75" customHeight="1" thickBot="1" x14ac:dyDescent="0.2">
      <c r="A3" s="3"/>
      <c r="B3" s="58" t="s">
        <v>10</v>
      </c>
      <c r="C3" s="59"/>
      <c r="D3" s="60"/>
      <c r="E3" s="58" t="s">
        <v>11</v>
      </c>
      <c r="F3" s="59"/>
      <c r="G3" s="60"/>
      <c r="H3" s="58" t="s">
        <v>12</v>
      </c>
      <c r="I3" s="59"/>
      <c r="J3" s="60"/>
      <c r="K3" s="58" t="s">
        <v>13</v>
      </c>
      <c r="L3" s="59"/>
      <c r="M3" s="60"/>
      <c r="N3" s="19"/>
      <c r="O3" s="58" t="s">
        <v>4</v>
      </c>
      <c r="P3" s="59"/>
      <c r="Q3" s="60"/>
      <c r="R3" s="58" t="s">
        <v>3</v>
      </c>
      <c r="S3" s="59"/>
      <c r="T3" s="60"/>
      <c r="U3" s="58" t="s">
        <v>6</v>
      </c>
      <c r="V3" s="59"/>
      <c r="W3" s="60"/>
      <c r="X3" s="58" t="s">
        <v>7</v>
      </c>
      <c r="Y3" s="59"/>
      <c r="Z3" s="60"/>
      <c r="AA3" s="19"/>
      <c r="AB3" s="55" t="s">
        <v>8</v>
      </c>
      <c r="AC3" s="56"/>
      <c r="AD3" s="57"/>
    </row>
    <row r="4" spans="1:30" x14ac:dyDescent="0.15">
      <c r="A4" s="2"/>
      <c r="B4" s="4" t="s">
        <v>0</v>
      </c>
      <c r="C4" s="17" t="s">
        <v>1</v>
      </c>
      <c r="D4" s="6" t="s">
        <v>2</v>
      </c>
      <c r="E4" s="4" t="s">
        <v>0</v>
      </c>
      <c r="F4" s="5" t="s">
        <v>1</v>
      </c>
      <c r="G4" s="6" t="s">
        <v>2</v>
      </c>
      <c r="H4" s="4" t="s">
        <v>0</v>
      </c>
      <c r="I4" s="5" t="s">
        <v>1</v>
      </c>
      <c r="J4" s="6" t="s">
        <v>2</v>
      </c>
      <c r="K4" s="4" t="s">
        <v>0</v>
      </c>
      <c r="L4" s="5" t="s">
        <v>1</v>
      </c>
      <c r="M4" s="6" t="s">
        <v>2</v>
      </c>
      <c r="N4" s="19"/>
      <c r="O4" s="4" t="s">
        <v>0</v>
      </c>
      <c r="P4" s="5" t="s">
        <v>1</v>
      </c>
      <c r="Q4" s="6" t="s">
        <v>2</v>
      </c>
      <c r="R4" s="4" t="s">
        <v>0</v>
      </c>
      <c r="S4" s="5" t="s">
        <v>1</v>
      </c>
      <c r="T4" s="6" t="s">
        <v>2</v>
      </c>
      <c r="U4" s="4" t="s">
        <v>0</v>
      </c>
      <c r="V4" s="5" t="s">
        <v>1</v>
      </c>
      <c r="W4" s="6" t="s">
        <v>2</v>
      </c>
      <c r="X4" s="4" t="s">
        <v>0</v>
      </c>
      <c r="Y4" s="5" t="s">
        <v>1</v>
      </c>
      <c r="Z4" s="6" t="s">
        <v>2</v>
      </c>
      <c r="AA4" s="19"/>
      <c r="AB4" s="35" t="s">
        <v>0</v>
      </c>
      <c r="AC4" s="36" t="s">
        <v>1</v>
      </c>
      <c r="AD4" s="37" t="s">
        <v>2</v>
      </c>
    </row>
    <row r="5" spans="1:30" x14ac:dyDescent="0.15">
      <c r="A5" s="1">
        <v>38322</v>
      </c>
      <c r="B5" s="7">
        <f>'[2]Dec Prod'!I4</f>
        <v>0</v>
      </c>
      <c r="C5" s="8">
        <f t="shared" ref="C5:C35" si="0">B5/1000000</f>
        <v>0</v>
      </c>
      <c r="D5" s="10">
        <f t="shared" ref="D5:D35" si="1">C5*3.07</f>
        <v>0</v>
      </c>
      <c r="E5" s="7">
        <f>'[2]Dec Prod'!E4</f>
        <v>3000000</v>
      </c>
      <c r="F5" s="8">
        <f t="shared" ref="F5:F35" si="2">E5/1000000</f>
        <v>3</v>
      </c>
      <c r="G5" s="10">
        <f t="shared" ref="G5:G35" si="3">F5*3.07</f>
        <v>9.2099999999999991</v>
      </c>
      <c r="H5" s="7">
        <f>'[2]Dec Prod'!F4</f>
        <v>0</v>
      </c>
      <c r="I5" s="8">
        <f t="shared" ref="I5:I33" si="4">H5/1000000</f>
        <v>0</v>
      </c>
      <c r="J5" s="10">
        <f t="shared" ref="J5:J35" si="5">I5*3.07</f>
        <v>0</v>
      </c>
      <c r="K5" s="7">
        <f>'[2]Dec Prod'!H259</f>
        <v>2811209</v>
      </c>
      <c r="L5" s="8">
        <f t="shared" ref="L5:L35" si="6">K5/1000000</f>
        <v>2.8112089999999998</v>
      </c>
      <c r="M5" s="10">
        <f t="shared" ref="M5:M35" si="7">L5*3.07</f>
        <v>8.6304116299999993</v>
      </c>
      <c r="N5" s="21"/>
      <c r="O5" s="7">
        <f>'[2]Dec Prod'!H4</f>
        <v>12616000</v>
      </c>
      <c r="P5" s="8">
        <f t="shared" ref="P5:P35" si="8">O5/1000000</f>
        <v>12.616</v>
      </c>
      <c r="Q5" s="10">
        <f t="shared" ref="Q5:Q35" si="9">P5*3.07</f>
        <v>38.731119999999997</v>
      </c>
      <c r="R5" s="7">
        <f>'[2]Dec Prod'!C4</f>
        <v>12916000</v>
      </c>
      <c r="S5" s="8">
        <f t="shared" ref="S5:S35" si="10">R5/1000000</f>
        <v>12.916</v>
      </c>
      <c r="T5" s="10">
        <f t="shared" ref="T5:T35" si="11">S5*3.07</f>
        <v>39.652119999999996</v>
      </c>
      <c r="U5" s="7">
        <f>'[2]Dec Prod'!D4</f>
        <v>0</v>
      </c>
      <c r="V5" s="8">
        <f t="shared" ref="V5:V35" si="12">U5/1000000</f>
        <v>0</v>
      </c>
      <c r="W5" s="10">
        <f t="shared" ref="W5:W35" si="13">V5*3.07</f>
        <v>0</v>
      </c>
      <c r="X5" s="7">
        <f>'[2]Dec Prod'!D259</f>
        <v>300000</v>
      </c>
      <c r="Y5" s="8">
        <f t="shared" ref="Y5:Y35" si="14">X5/1000000</f>
        <v>0.3</v>
      </c>
      <c r="Z5" s="10">
        <f t="shared" ref="Z5:Z35" si="15">Y5*3.07</f>
        <v>0.92099999999999993</v>
      </c>
      <c r="AA5" s="15"/>
      <c r="AB5" s="7">
        <f>B5+O5</f>
        <v>12616000</v>
      </c>
      <c r="AC5" s="8">
        <f>C5+P5</f>
        <v>12.616</v>
      </c>
      <c r="AD5" s="8">
        <f>D5+Q5</f>
        <v>38.731119999999997</v>
      </c>
    </row>
    <row r="6" spans="1:30" x14ac:dyDescent="0.15">
      <c r="A6" s="1">
        <v>38323</v>
      </c>
      <c r="B6" s="7">
        <f>'[2]Dec Prod'!I5</f>
        <v>0</v>
      </c>
      <c r="C6" s="8">
        <f t="shared" si="0"/>
        <v>0</v>
      </c>
      <c r="D6" s="10">
        <f t="shared" si="1"/>
        <v>0</v>
      </c>
      <c r="E6" s="7">
        <f>'[2]Dec Prod'!E5</f>
        <v>0</v>
      </c>
      <c r="F6" s="8">
        <f t="shared" si="2"/>
        <v>0</v>
      </c>
      <c r="G6" s="10">
        <f t="shared" si="3"/>
        <v>0</v>
      </c>
      <c r="H6" s="7">
        <f>'[2]Dec Prod'!F5</f>
        <v>0</v>
      </c>
      <c r="I6" s="8">
        <f t="shared" si="4"/>
        <v>0</v>
      </c>
      <c r="J6" s="10">
        <f t="shared" si="5"/>
        <v>0</v>
      </c>
      <c r="K6" s="7">
        <f>'[2]Dec Prod'!H260</f>
        <v>84819</v>
      </c>
      <c r="L6" s="8">
        <f t="shared" si="6"/>
        <v>8.4819000000000006E-2</v>
      </c>
      <c r="M6" s="10">
        <f t="shared" si="7"/>
        <v>0.26039433000000001</v>
      </c>
      <c r="N6" s="21"/>
      <c r="O6" s="7">
        <f>'[2]Dec Prod'!H5</f>
        <v>12376000</v>
      </c>
      <c r="P6" s="8">
        <f t="shared" si="8"/>
        <v>12.375999999999999</v>
      </c>
      <c r="Q6" s="10">
        <f t="shared" si="9"/>
        <v>37.994319999999995</v>
      </c>
      <c r="R6" s="7">
        <f>'[2]Dec Prod'!C5</f>
        <v>12818000</v>
      </c>
      <c r="S6" s="8">
        <f t="shared" si="10"/>
        <v>12.818</v>
      </c>
      <c r="T6" s="10">
        <f t="shared" si="11"/>
        <v>39.351259999999996</v>
      </c>
      <c r="U6" s="7">
        <f>'[2]Dec Prod'!D5</f>
        <v>0</v>
      </c>
      <c r="V6" s="8">
        <f t="shared" si="12"/>
        <v>0</v>
      </c>
      <c r="W6" s="10">
        <f t="shared" si="13"/>
        <v>0</v>
      </c>
      <c r="X6" s="7">
        <f>'[2]Dec Prod'!D260</f>
        <v>441999.99999999994</v>
      </c>
      <c r="Y6" s="8">
        <f t="shared" si="14"/>
        <v>0.44199999999999995</v>
      </c>
      <c r="Z6" s="10">
        <f t="shared" si="15"/>
        <v>1.3569399999999998</v>
      </c>
      <c r="AA6" s="15"/>
      <c r="AB6" s="7">
        <f t="shared" ref="AB6:AD35" si="16">B6+O6</f>
        <v>12376000</v>
      </c>
      <c r="AC6" s="8">
        <f t="shared" si="16"/>
        <v>12.375999999999999</v>
      </c>
      <c r="AD6" s="8">
        <f t="shared" si="16"/>
        <v>37.994319999999995</v>
      </c>
    </row>
    <row r="7" spans="1:30" x14ac:dyDescent="0.15">
      <c r="A7" s="1">
        <v>38324</v>
      </c>
      <c r="B7" s="7">
        <f>'[2]Dec Prod'!I6</f>
        <v>0</v>
      </c>
      <c r="C7" s="8">
        <f t="shared" si="0"/>
        <v>0</v>
      </c>
      <c r="D7" s="10">
        <f t="shared" si="1"/>
        <v>0</v>
      </c>
      <c r="E7" s="7">
        <f>'[2]Dec Prod'!E6</f>
        <v>0</v>
      </c>
      <c r="F7" s="8">
        <f t="shared" si="2"/>
        <v>0</v>
      </c>
      <c r="G7" s="10">
        <f t="shared" si="3"/>
        <v>0</v>
      </c>
      <c r="H7" s="7">
        <f>'[2]Dec Prod'!F6</f>
        <v>0</v>
      </c>
      <c r="I7" s="8">
        <f t="shared" si="4"/>
        <v>0</v>
      </c>
      <c r="J7" s="10">
        <f t="shared" si="5"/>
        <v>0</v>
      </c>
      <c r="K7" s="7">
        <f>'[2]Dec Prod'!H261</f>
        <v>0</v>
      </c>
      <c r="L7" s="8">
        <f t="shared" si="6"/>
        <v>0</v>
      </c>
      <c r="M7" s="10">
        <f t="shared" si="7"/>
        <v>0</v>
      </c>
      <c r="N7" s="21"/>
      <c r="O7" s="7">
        <f>'[2]Dec Prod'!H6</f>
        <v>11352000</v>
      </c>
      <c r="P7" s="8">
        <f t="shared" si="8"/>
        <v>11.352</v>
      </c>
      <c r="Q7" s="10">
        <f t="shared" si="9"/>
        <v>34.850639999999999</v>
      </c>
      <c r="R7" s="7">
        <f>'[2]Dec Prod'!C6</f>
        <v>11729000</v>
      </c>
      <c r="S7" s="8">
        <f t="shared" si="10"/>
        <v>11.728999999999999</v>
      </c>
      <c r="T7" s="10">
        <f t="shared" si="11"/>
        <v>36.008029999999998</v>
      </c>
      <c r="U7" s="7">
        <f>'[2]Dec Prod'!D6</f>
        <v>0</v>
      </c>
      <c r="V7" s="8">
        <f t="shared" si="12"/>
        <v>0</v>
      </c>
      <c r="W7" s="10">
        <f t="shared" si="13"/>
        <v>0</v>
      </c>
      <c r="X7" s="7">
        <f>'[2]Dec Prod'!D261</f>
        <v>377000</v>
      </c>
      <c r="Y7" s="8">
        <f t="shared" si="14"/>
        <v>0.377</v>
      </c>
      <c r="Z7" s="10">
        <f t="shared" si="15"/>
        <v>1.1573899999999999</v>
      </c>
      <c r="AA7" s="15"/>
      <c r="AB7" s="7">
        <f t="shared" si="16"/>
        <v>11352000</v>
      </c>
      <c r="AC7" s="8">
        <f t="shared" si="16"/>
        <v>11.352</v>
      </c>
      <c r="AD7" s="8">
        <f t="shared" si="16"/>
        <v>34.850639999999999</v>
      </c>
    </row>
    <row r="8" spans="1:30" x14ac:dyDescent="0.15">
      <c r="A8" s="1">
        <v>38325</v>
      </c>
      <c r="B8" s="7">
        <f>'[2]Dec Prod'!I7</f>
        <v>0</v>
      </c>
      <c r="C8" s="8">
        <f t="shared" si="0"/>
        <v>0</v>
      </c>
      <c r="D8" s="10">
        <f t="shared" si="1"/>
        <v>0</v>
      </c>
      <c r="E8" s="7">
        <f>'[2]Dec Prod'!E7</f>
        <v>0</v>
      </c>
      <c r="F8" s="8">
        <f t="shared" si="2"/>
        <v>0</v>
      </c>
      <c r="G8" s="10">
        <f t="shared" si="3"/>
        <v>0</v>
      </c>
      <c r="H8" s="7">
        <f>'[2]Dec Prod'!F7</f>
        <v>0</v>
      </c>
      <c r="I8" s="8">
        <f t="shared" si="4"/>
        <v>0</v>
      </c>
      <c r="J8" s="10">
        <f t="shared" si="5"/>
        <v>0</v>
      </c>
      <c r="K8" s="7">
        <f>'[2]Dec Prod'!H262</f>
        <v>0</v>
      </c>
      <c r="L8" s="8">
        <f t="shared" si="6"/>
        <v>0</v>
      </c>
      <c r="M8" s="10">
        <f t="shared" si="7"/>
        <v>0</v>
      </c>
      <c r="N8" s="21"/>
      <c r="O8" s="7">
        <f>'[2]Dec Prod'!H7</f>
        <v>12672000</v>
      </c>
      <c r="P8" s="8">
        <f t="shared" si="8"/>
        <v>12.672000000000001</v>
      </c>
      <c r="Q8" s="10">
        <f t="shared" si="9"/>
        <v>38.903039999999997</v>
      </c>
      <c r="R8" s="7">
        <f>'[2]Dec Prod'!C7</f>
        <v>12969000</v>
      </c>
      <c r="S8" s="8">
        <f t="shared" si="10"/>
        <v>12.968999999999999</v>
      </c>
      <c r="T8" s="10">
        <f t="shared" si="11"/>
        <v>39.814829999999994</v>
      </c>
      <c r="U8" s="7">
        <f>'[2]Dec Prod'!D7</f>
        <v>0</v>
      </c>
      <c r="V8" s="8">
        <f t="shared" si="12"/>
        <v>0</v>
      </c>
      <c r="W8" s="10">
        <f t="shared" si="13"/>
        <v>0</v>
      </c>
      <c r="X8" s="7">
        <f>'[2]Dec Prod'!D262</f>
        <v>297000</v>
      </c>
      <c r="Y8" s="8">
        <f t="shared" si="14"/>
        <v>0.29699999999999999</v>
      </c>
      <c r="Z8" s="10">
        <f t="shared" si="15"/>
        <v>0.91178999999999988</v>
      </c>
      <c r="AA8" s="15"/>
      <c r="AB8" s="7">
        <f t="shared" si="16"/>
        <v>12672000</v>
      </c>
      <c r="AC8" s="8">
        <f t="shared" si="16"/>
        <v>12.672000000000001</v>
      </c>
      <c r="AD8" s="8">
        <f>D8+Q8</f>
        <v>38.903039999999997</v>
      </c>
    </row>
    <row r="9" spans="1:30" x14ac:dyDescent="0.15">
      <c r="A9" s="1">
        <v>38326</v>
      </c>
      <c r="B9" s="7">
        <f>'[2]Dec Prod'!I8</f>
        <v>0</v>
      </c>
      <c r="C9" s="8">
        <f t="shared" si="0"/>
        <v>0</v>
      </c>
      <c r="D9" s="10">
        <f t="shared" si="1"/>
        <v>0</v>
      </c>
      <c r="E9" s="7">
        <f>'[2]Dec Prod'!E8</f>
        <v>0</v>
      </c>
      <c r="F9" s="8">
        <f t="shared" si="2"/>
        <v>0</v>
      </c>
      <c r="G9" s="10">
        <f t="shared" si="3"/>
        <v>0</v>
      </c>
      <c r="H9" s="7">
        <f>'[2]Dec Prod'!F8</f>
        <v>0</v>
      </c>
      <c r="I9" s="8">
        <f t="shared" si="4"/>
        <v>0</v>
      </c>
      <c r="J9" s="10">
        <f t="shared" si="5"/>
        <v>0</v>
      </c>
      <c r="K9" s="7">
        <f>'[2]Dec Prod'!H263</f>
        <v>0</v>
      </c>
      <c r="L9" s="8">
        <f t="shared" si="6"/>
        <v>0</v>
      </c>
      <c r="M9" s="10">
        <f t="shared" si="7"/>
        <v>0</v>
      </c>
      <c r="N9" s="21"/>
      <c r="O9" s="7">
        <f>'[2]Dec Prod'!H8</f>
        <v>13399000</v>
      </c>
      <c r="P9" s="8">
        <f t="shared" si="8"/>
        <v>13.398999999999999</v>
      </c>
      <c r="Q9" s="10">
        <f t="shared" si="9"/>
        <v>41.134929999999997</v>
      </c>
      <c r="R9" s="7">
        <f>'[2]Dec Prod'!C8</f>
        <v>13853000</v>
      </c>
      <c r="S9" s="8">
        <f t="shared" si="10"/>
        <v>13.853</v>
      </c>
      <c r="T9" s="10">
        <f t="shared" si="11"/>
        <v>42.528709999999997</v>
      </c>
      <c r="U9" s="7">
        <f>'[2]Dec Prod'!D8</f>
        <v>0</v>
      </c>
      <c r="V9" s="8">
        <f t="shared" si="12"/>
        <v>0</v>
      </c>
      <c r="W9" s="10">
        <f t="shared" si="13"/>
        <v>0</v>
      </c>
      <c r="X9" s="7">
        <f>'[2]Dec Prod'!D263</f>
        <v>454000</v>
      </c>
      <c r="Y9" s="8">
        <f t="shared" si="14"/>
        <v>0.45400000000000001</v>
      </c>
      <c r="Z9" s="10">
        <f t="shared" si="15"/>
        <v>1.39378</v>
      </c>
      <c r="AA9" s="15"/>
      <c r="AB9" s="7">
        <f t="shared" si="16"/>
        <v>13399000</v>
      </c>
      <c r="AC9" s="8">
        <f t="shared" si="16"/>
        <v>13.398999999999999</v>
      </c>
      <c r="AD9" s="8">
        <f t="shared" si="16"/>
        <v>41.134929999999997</v>
      </c>
    </row>
    <row r="10" spans="1:30" x14ac:dyDescent="0.15">
      <c r="A10" s="1">
        <v>38327</v>
      </c>
      <c r="B10" s="7">
        <f>'[2]Dec Prod'!I9</f>
        <v>0</v>
      </c>
      <c r="C10" s="8">
        <f t="shared" si="0"/>
        <v>0</v>
      </c>
      <c r="D10" s="10">
        <f t="shared" si="1"/>
        <v>0</v>
      </c>
      <c r="E10" s="7">
        <f>'[2]Dec Prod'!E9</f>
        <v>0</v>
      </c>
      <c r="F10" s="8">
        <f t="shared" si="2"/>
        <v>0</v>
      </c>
      <c r="G10" s="10">
        <f t="shared" si="3"/>
        <v>0</v>
      </c>
      <c r="H10" s="7">
        <f>'[2]Dec Prod'!F9</f>
        <v>0</v>
      </c>
      <c r="I10" s="8">
        <f t="shared" si="4"/>
        <v>0</v>
      </c>
      <c r="J10" s="10">
        <f t="shared" si="5"/>
        <v>0</v>
      </c>
      <c r="K10" s="7">
        <f>'[2]Dec Prod'!H264</f>
        <v>110685</v>
      </c>
      <c r="L10" s="8">
        <f t="shared" si="6"/>
        <v>0.11068500000000001</v>
      </c>
      <c r="M10" s="10">
        <f t="shared" si="7"/>
        <v>0.33980294999999999</v>
      </c>
      <c r="N10" s="21"/>
      <c r="O10" s="7">
        <f>'[2]Dec Prod'!H9</f>
        <v>12430000</v>
      </c>
      <c r="P10" s="8">
        <f t="shared" si="8"/>
        <v>12.43</v>
      </c>
      <c r="Q10" s="10">
        <f t="shared" si="9"/>
        <v>38.1601</v>
      </c>
      <c r="R10" s="7">
        <f>'[2]Dec Prod'!C9</f>
        <v>12946000</v>
      </c>
      <c r="S10" s="8">
        <f t="shared" si="10"/>
        <v>12.946</v>
      </c>
      <c r="T10" s="10">
        <f t="shared" si="11"/>
        <v>39.744219999999999</v>
      </c>
      <c r="U10" s="7">
        <f>'[2]Dec Prod'!D9</f>
        <v>0</v>
      </c>
      <c r="V10" s="8">
        <f t="shared" si="12"/>
        <v>0</v>
      </c>
      <c r="W10" s="10">
        <f t="shared" si="13"/>
        <v>0</v>
      </c>
      <c r="X10" s="7">
        <f>'[2]Dec Prod'!D264</f>
        <v>515999.99999999988</v>
      </c>
      <c r="Y10" s="8">
        <f t="shared" si="14"/>
        <v>0.5159999999999999</v>
      </c>
      <c r="Z10" s="10">
        <f t="shared" si="15"/>
        <v>1.5841199999999995</v>
      </c>
      <c r="AA10" s="15"/>
      <c r="AB10" s="7">
        <f t="shared" si="16"/>
        <v>12430000</v>
      </c>
      <c r="AC10" s="8">
        <f t="shared" si="16"/>
        <v>12.43</v>
      </c>
      <c r="AD10" s="8">
        <f t="shared" si="16"/>
        <v>38.1601</v>
      </c>
    </row>
    <row r="11" spans="1:30" x14ac:dyDescent="0.15">
      <c r="A11" s="1">
        <v>38328</v>
      </c>
      <c r="B11" s="7">
        <f>'[2]Dec Prod'!I10</f>
        <v>0</v>
      </c>
      <c r="C11" s="8">
        <f t="shared" si="0"/>
        <v>0</v>
      </c>
      <c r="D11" s="10">
        <f t="shared" si="1"/>
        <v>0</v>
      </c>
      <c r="E11" s="7">
        <f>'[2]Dec Prod'!E10</f>
        <v>0</v>
      </c>
      <c r="F11" s="8">
        <f t="shared" si="2"/>
        <v>0</v>
      </c>
      <c r="G11" s="10">
        <f t="shared" si="3"/>
        <v>0</v>
      </c>
      <c r="H11" s="7">
        <f>'[2]Dec Prod'!F10</f>
        <v>0</v>
      </c>
      <c r="I11" s="8">
        <f t="shared" si="4"/>
        <v>0</v>
      </c>
      <c r="J11" s="10">
        <f t="shared" si="5"/>
        <v>0</v>
      </c>
      <c r="K11" s="7">
        <f>'[2]Dec Prod'!H265</f>
        <v>83228</v>
      </c>
      <c r="L11" s="8">
        <f t="shared" si="6"/>
        <v>8.3227999999999996E-2</v>
      </c>
      <c r="M11" s="10">
        <f t="shared" si="7"/>
        <v>0.25550995999999998</v>
      </c>
      <c r="N11" s="21"/>
      <c r="O11" s="7">
        <f>'[2]Dec Prod'!H10</f>
        <v>11039000</v>
      </c>
      <c r="P11" s="8">
        <f t="shared" si="8"/>
        <v>11.039</v>
      </c>
      <c r="Q11" s="10">
        <f t="shared" si="9"/>
        <v>33.88973</v>
      </c>
      <c r="R11" s="7">
        <f>'[2]Dec Prod'!C10</f>
        <v>11426000</v>
      </c>
      <c r="S11" s="8">
        <f t="shared" si="10"/>
        <v>11.426</v>
      </c>
      <c r="T11" s="10">
        <f t="shared" si="11"/>
        <v>35.077819999999996</v>
      </c>
      <c r="U11" s="7">
        <f>'[2]Dec Prod'!D10</f>
        <v>0</v>
      </c>
      <c r="V11" s="8">
        <f t="shared" si="12"/>
        <v>0</v>
      </c>
      <c r="W11" s="10">
        <f t="shared" si="13"/>
        <v>0</v>
      </c>
      <c r="X11" s="7">
        <f>'[2]Dec Prod'!D265</f>
        <v>387000</v>
      </c>
      <c r="Y11" s="8">
        <f t="shared" si="14"/>
        <v>0.38700000000000001</v>
      </c>
      <c r="Z11" s="10">
        <f t="shared" si="15"/>
        <v>1.1880899999999999</v>
      </c>
      <c r="AA11" s="15"/>
      <c r="AB11" s="7">
        <f t="shared" si="16"/>
        <v>11039000</v>
      </c>
      <c r="AC11" s="8">
        <f t="shared" si="16"/>
        <v>11.039</v>
      </c>
      <c r="AD11" s="8">
        <f t="shared" si="16"/>
        <v>33.88973</v>
      </c>
    </row>
    <row r="12" spans="1:30" x14ac:dyDescent="0.15">
      <c r="A12" s="1">
        <v>38329</v>
      </c>
      <c r="B12" s="7">
        <f>'[2]Dec Prod'!I11</f>
        <v>0</v>
      </c>
      <c r="C12" s="8">
        <f t="shared" si="0"/>
        <v>0</v>
      </c>
      <c r="D12" s="10">
        <f t="shared" si="1"/>
        <v>0</v>
      </c>
      <c r="E12" s="7">
        <f>'[2]Dec Prod'!E11</f>
        <v>0</v>
      </c>
      <c r="F12" s="8">
        <f t="shared" si="2"/>
        <v>0</v>
      </c>
      <c r="G12" s="10">
        <f t="shared" si="3"/>
        <v>0</v>
      </c>
      <c r="H12" s="7">
        <f>'[2]Dec Prod'!F11</f>
        <v>0</v>
      </c>
      <c r="I12" s="8">
        <f t="shared" si="4"/>
        <v>0</v>
      </c>
      <c r="J12" s="10">
        <f t="shared" si="5"/>
        <v>0</v>
      </c>
      <c r="K12" s="7">
        <f>'[2]Dec Prod'!H266</f>
        <v>37760</v>
      </c>
      <c r="L12" s="8">
        <f t="shared" si="6"/>
        <v>3.7760000000000002E-2</v>
      </c>
      <c r="M12" s="10">
        <f t="shared" si="7"/>
        <v>0.1159232</v>
      </c>
      <c r="N12" s="21"/>
      <c r="O12" s="7">
        <f>'[2]Dec Prod'!H11</f>
        <v>12422000</v>
      </c>
      <c r="P12" s="8">
        <f t="shared" si="8"/>
        <v>12.422000000000001</v>
      </c>
      <c r="Q12" s="10">
        <f t="shared" si="9"/>
        <v>38.135539999999999</v>
      </c>
      <c r="R12" s="7">
        <f>'[2]Dec Prod'!C11</f>
        <v>12780000</v>
      </c>
      <c r="S12" s="8">
        <f t="shared" si="10"/>
        <v>12.78</v>
      </c>
      <c r="T12" s="10">
        <f t="shared" si="11"/>
        <v>39.234599999999993</v>
      </c>
      <c r="U12" s="7">
        <f>'[2]Dec Prod'!D11</f>
        <v>0</v>
      </c>
      <c r="V12" s="8">
        <f t="shared" si="12"/>
        <v>0</v>
      </c>
      <c r="W12" s="10">
        <f t="shared" si="13"/>
        <v>0</v>
      </c>
      <c r="X12" s="7">
        <f>'[2]Dec Prod'!D266</f>
        <v>358000.00000000012</v>
      </c>
      <c r="Y12" s="8">
        <f t="shared" si="14"/>
        <v>0.3580000000000001</v>
      </c>
      <c r="Z12" s="10">
        <f t="shared" si="15"/>
        <v>1.0990600000000001</v>
      </c>
      <c r="AA12" s="15"/>
      <c r="AB12" s="7">
        <f t="shared" si="16"/>
        <v>12422000</v>
      </c>
      <c r="AC12" s="8">
        <f t="shared" si="16"/>
        <v>12.422000000000001</v>
      </c>
      <c r="AD12" s="8">
        <f t="shared" si="16"/>
        <v>38.135539999999999</v>
      </c>
    </row>
    <row r="13" spans="1:30" x14ac:dyDescent="0.15">
      <c r="A13" s="1">
        <v>38330</v>
      </c>
      <c r="B13" s="7">
        <f>'[2]Dec Prod'!I12</f>
        <v>0</v>
      </c>
      <c r="C13" s="8">
        <f t="shared" si="0"/>
        <v>0</v>
      </c>
      <c r="D13" s="10">
        <f t="shared" si="1"/>
        <v>0</v>
      </c>
      <c r="E13" s="7">
        <f>'[2]Dec Prod'!E12</f>
        <v>0</v>
      </c>
      <c r="F13" s="8">
        <f t="shared" si="2"/>
        <v>0</v>
      </c>
      <c r="G13" s="10">
        <f t="shared" si="3"/>
        <v>0</v>
      </c>
      <c r="H13" s="7">
        <f>'[2]Dec Prod'!F12</f>
        <v>0</v>
      </c>
      <c r="I13" s="8">
        <f t="shared" si="4"/>
        <v>0</v>
      </c>
      <c r="J13" s="10">
        <f t="shared" si="5"/>
        <v>0</v>
      </c>
      <c r="K13" s="7">
        <f>'[2]Dec Prod'!H267</f>
        <v>0</v>
      </c>
      <c r="L13" s="8">
        <f t="shared" si="6"/>
        <v>0</v>
      </c>
      <c r="M13" s="10">
        <f t="shared" si="7"/>
        <v>0</v>
      </c>
      <c r="N13" s="21"/>
      <c r="O13" s="7">
        <f>'[2]Dec Prod'!H12</f>
        <v>12553000</v>
      </c>
      <c r="P13" s="8">
        <f t="shared" si="8"/>
        <v>12.553000000000001</v>
      </c>
      <c r="Q13" s="10">
        <f t="shared" si="9"/>
        <v>38.537709999999997</v>
      </c>
      <c r="R13" s="7">
        <f>'[2]Dec Prod'!C12</f>
        <v>13124000</v>
      </c>
      <c r="S13" s="8">
        <f t="shared" si="10"/>
        <v>13.124000000000001</v>
      </c>
      <c r="T13" s="10">
        <f t="shared" si="11"/>
        <v>40.290680000000002</v>
      </c>
      <c r="U13" s="7">
        <f>'[2]Dec Prod'!D12</f>
        <v>0</v>
      </c>
      <c r="V13" s="8">
        <f t="shared" si="12"/>
        <v>0</v>
      </c>
      <c r="W13" s="10">
        <f t="shared" si="13"/>
        <v>0</v>
      </c>
      <c r="X13" s="7">
        <f>'[2]Dec Prod'!D267</f>
        <v>571000.00000000012</v>
      </c>
      <c r="Y13" s="8">
        <f t="shared" si="14"/>
        <v>0.57100000000000006</v>
      </c>
      <c r="Z13" s="10">
        <f t="shared" si="15"/>
        <v>1.7529700000000001</v>
      </c>
      <c r="AA13" s="15"/>
      <c r="AB13" s="7">
        <f t="shared" si="16"/>
        <v>12553000</v>
      </c>
      <c r="AC13" s="8">
        <f t="shared" si="16"/>
        <v>12.553000000000001</v>
      </c>
      <c r="AD13" s="8">
        <f t="shared" si="16"/>
        <v>38.537709999999997</v>
      </c>
    </row>
    <row r="14" spans="1:30" x14ac:dyDescent="0.15">
      <c r="A14" s="1">
        <v>38331</v>
      </c>
      <c r="B14" s="7">
        <f>'[2]Dec Prod'!I13</f>
        <v>0</v>
      </c>
      <c r="C14" s="8">
        <f t="shared" si="0"/>
        <v>0</v>
      </c>
      <c r="D14" s="10">
        <f t="shared" si="1"/>
        <v>0</v>
      </c>
      <c r="E14" s="7">
        <f>'[2]Dec Prod'!E13</f>
        <v>0</v>
      </c>
      <c r="F14" s="8">
        <f t="shared" si="2"/>
        <v>0</v>
      </c>
      <c r="G14" s="10">
        <f t="shared" si="3"/>
        <v>0</v>
      </c>
      <c r="H14" s="7">
        <f>'[2]Dec Prod'!F13</f>
        <v>0</v>
      </c>
      <c r="I14" s="8">
        <f t="shared" si="4"/>
        <v>0</v>
      </c>
      <c r="J14" s="10">
        <f t="shared" si="5"/>
        <v>0</v>
      </c>
      <c r="K14" s="7">
        <f>'[2]Dec Prod'!H268</f>
        <v>0</v>
      </c>
      <c r="L14" s="8">
        <f t="shared" si="6"/>
        <v>0</v>
      </c>
      <c r="M14" s="10">
        <f t="shared" si="7"/>
        <v>0</v>
      </c>
      <c r="N14" s="21"/>
      <c r="O14" s="7">
        <f>'[2]Dec Prod'!H13</f>
        <v>11746000</v>
      </c>
      <c r="P14" s="8">
        <f t="shared" si="8"/>
        <v>11.746</v>
      </c>
      <c r="Q14" s="10">
        <f t="shared" si="9"/>
        <v>36.060220000000001</v>
      </c>
      <c r="R14" s="7">
        <f>'[2]Dec Prod'!C13</f>
        <v>12097000</v>
      </c>
      <c r="S14" s="8">
        <f t="shared" si="10"/>
        <v>12.097</v>
      </c>
      <c r="T14" s="10">
        <f t="shared" si="11"/>
        <v>37.137789999999995</v>
      </c>
      <c r="U14" s="7">
        <f>'[2]Dec Prod'!D13</f>
        <v>0</v>
      </c>
      <c r="V14" s="8">
        <f t="shared" si="12"/>
        <v>0</v>
      </c>
      <c r="W14" s="10">
        <f t="shared" si="13"/>
        <v>0</v>
      </c>
      <c r="X14" s="7">
        <f>'[2]Dec Prod'!D268</f>
        <v>351000</v>
      </c>
      <c r="Y14" s="8">
        <f t="shared" si="14"/>
        <v>0.35099999999999998</v>
      </c>
      <c r="Z14" s="10">
        <f t="shared" si="15"/>
        <v>1.0775699999999999</v>
      </c>
      <c r="AA14" s="15"/>
      <c r="AB14" s="7">
        <f t="shared" si="16"/>
        <v>11746000</v>
      </c>
      <c r="AC14" s="8">
        <f t="shared" si="16"/>
        <v>11.746</v>
      </c>
      <c r="AD14" s="8">
        <f t="shared" si="16"/>
        <v>36.060220000000001</v>
      </c>
    </row>
    <row r="15" spans="1:30" x14ac:dyDescent="0.15">
      <c r="A15" s="1">
        <v>38332</v>
      </c>
      <c r="B15" s="7">
        <f>'[2]Dec Prod'!I14</f>
        <v>0</v>
      </c>
      <c r="C15" s="8">
        <f t="shared" si="0"/>
        <v>0</v>
      </c>
      <c r="D15" s="10">
        <f t="shared" si="1"/>
        <v>0</v>
      </c>
      <c r="E15" s="7">
        <f>'[2]Dec Prod'!E14</f>
        <v>0</v>
      </c>
      <c r="F15" s="8">
        <f t="shared" si="2"/>
        <v>0</v>
      </c>
      <c r="G15" s="10">
        <f t="shared" si="3"/>
        <v>0</v>
      </c>
      <c r="H15" s="7">
        <f>'[2]Dec Prod'!F14</f>
        <v>0</v>
      </c>
      <c r="I15" s="8">
        <f t="shared" si="4"/>
        <v>0</v>
      </c>
      <c r="J15" s="10">
        <f t="shared" si="5"/>
        <v>0</v>
      </c>
      <c r="K15" s="7">
        <f>'[2]Dec Prod'!H269</f>
        <v>78065</v>
      </c>
      <c r="L15" s="8">
        <f t="shared" si="6"/>
        <v>7.8064999999999996E-2</v>
      </c>
      <c r="M15" s="10">
        <f t="shared" si="7"/>
        <v>0.23965954999999997</v>
      </c>
      <c r="N15" s="21"/>
      <c r="O15" s="7">
        <f>'[2]Dec Prod'!H14</f>
        <v>13314000</v>
      </c>
      <c r="P15" s="8">
        <f t="shared" si="8"/>
        <v>13.314</v>
      </c>
      <c r="Q15" s="10">
        <f t="shared" si="9"/>
        <v>40.873979999999996</v>
      </c>
      <c r="R15" s="7">
        <f>'[2]Dec Prod'!C14</f>
        <v>13600000</v>
      </c>
      <c r="S15" s="8">
        <f t="shared" si="10"/>
        <v>13.6</v>
      </c>
      <c r="T15" s="10">
        <f t="shared" si="11"/>
        <v>41.751999999999995</v>
      </c>
      <c r="U15" s="7">
        <f>'[2]Dec Prod'!D14</f>
        <v>0</v>
      </c>
      <c r="V15" s="8">
        <f t="shared" si="12"/>
        <v>0</v>
      </c>
      <c r="W15" s="10">
        <f t="shared" si="13"/>
        <v>0</v>
      </c>
      <c r="X15" s="7">
        <f>'[2]Dec Prod'!D269</f>
        <v>330999.99999999994</v>
      </c>
      <c r="Y15" s="8">
        <f t="shared" si="14"/>
        <v>0.33099999999999996</v>
      </c>
      <c r="Z15" s="10">
        <f t="shared" si="15"/>
        <v>1.0161699999999998</v>
      </c>
      <c r="AA15" s="15"/>
      <c r="AB15" s="7">
        <f t="shared" si="16"/>
        <v>13314000</v>
      </c>
      <c r="AC15" s="8">
        <f t="shared" si="16"/>
        <v>13.314</v>
      </c>
      <c r="AD15" s="8">
        <f t="shared" si="16"/>
        <v>40.873979999999996</v>
      </c>
    </row>
    <row r="16" spans="1:30" x14ac:dyDescent="0.15">
      <c r="A16" s="1">
        <v>38333</v>
      </c>
      <c r="B16" s="7">
        <f>'[2]Dec Prod'!I15</f>
        <v>0</v>
      </c>
      <c r="C16" s="8">
        <f t="shared" si="0"/>
        <v>0</v>
      </c>
      <c r="D16" s="10">
        <f t="shared" si="1"/>
        <v>0</v>
      </c>
      <c r="E16" s="7">
        <f>'[2]Dec Prod'!E15</f>
        <v>0</v>
      </c>
      <c r="F16" s="8">
        <f t="shared" si="2"/>
        <v>0</v>
      </c>
      <c r="G16" s="10">
        <f t="shared" si="3"/>
        <v>0</v>
      </c>
      <c r="H16" s="7">
        <f>'[2]Dec Prod'!F15</f>
        <v>0</v>
      </c>
      <c r="I16" s="8">
        <f t="shared" si="4"/>
        <v>0</v>
      </c>
      <c r="J16" s="10">
        <f t="shared" si="5"/>
        <v>0</v>
      </c>
      <c r="K16" s="7">
        <f>'[2]Dec Prod'!H270</f>
        <v>72624</v>
      </c>
      <c r="L16" s="8">
        <f t="shared" si="6"/>
        <v>7.2623999999999994E-2</v>
      </c>
      <c r="M16" s="10">
        <f t="shared" si="7"/>
        <v>0.22295567999999996</v>
      </c>
      <c r="N16" s="21"/>
      <c r="O16" s="7">
        <f>'[2]Dec Prod'!H15</f>
        <v>13288000</v>
      </c>
      <c r="P16" s="8">
        <f t="shared" si="8"/>
        <v>13.288</v>
      </c>
      <c r="Q16" s="10">
        <f t="shared" si="9"/>
        <v>40.794159999999998</v>
      </c>
      <c r="R16" s="7">
        <f>'[2]Dec Prod'!C15</f>
        <v>13596000</v>
      </c>
      <c r="S16" s="8">
        <f t="shared" si="10"/>
        <v>13.596</v>
      </c>
      <c r="T16" s="10">
        <f t="shared" si="11"/>
        <v>41.739719999999998</v>
      </c>
      <c r="U16" s="7">
        <f>'[2]Dec Prod'!D15</f>
        <v>0</v>
      </c>
      <c r="V16" s="8">
        <f t="shared" si="12"/>
        <v>0</v>
      </c>
      <c r="W16" s="10">
        <f t="shared" si="13"/>
        <v>0</v>
      </c>
      <c r="X16" s="7">
        <f>'[2]Dec Prod'!D270</f>
        <v>307999.99999999994</v>
      </c>
      <c r="Y16" s="8">
        <f t="shared" si="14"/>
        <v>0.30799999999999994</v>
      </c>
      <c r="Z16" s="10">
        <f t="shared" si="15"/>
        <v>0.94555999999999973</v>
      </c>
      <c r="AA16" s="15"/>
      <c r="AB16" s="7">
        <f t="shared" si="16"/>
        <v>13288000</v>
      </c>
      <c r="AC16" s="8">
        <f t="shared" si="16"/>
        <v>13.288</v>
      </c>
      <c r="AD16" s="8">
        <f t="shared" si="16"/>
        <v>40.794159999999998</v>
      </c>
    </row>
    <row r="17" spans="1:30" x14ac:dyDescent="0.15">
      <c r="A17" s="1">
        <v>38334</v>
      </c>
      <c r="B17" s="7">
        <f>'[2]Dec Prod'!I16</f>
        <v>0</v>
      </c>
      <c r="C17" s="8">
        <f t="shared" si="0"/>
        <v>0</v>
      </c>
      <c r="D17" s="10">
        <f t="shared" si="1"/>
        <v>0</v>
      </c>
      <c r="E17" s="7">
        <f>'[2]Dec Prod'!E16</f>
        <v>0</v>
      </c>
      <c r="F17" s="8">
        <f t="shared" si="2"/>
        <v>0</v>
      </c>
      <c r="G17" s="10">
        <f t="shared" si="3"/>
        <v>0</v>
      </c>
      <c r="H17" s="7">
        <f>'[2]Dec Prod'!F16</f>
        <v>0</v>
      </c>
      <c r="I17" s="8">
        <f t="shared" si="4"/>
        <v>0</v>
      </c>
      <c r="J17" s="10">
        <f t="shared" si="5"/>
        <v>0</v>
      </c>
      <c r="K17" s="7">
        <f>'[2]Dec Prod'!H271</f>
        <v>0</v>
      </c>
      <c r="L17" s="8">
        <f t="shared" si="6"/>
        <v>0</v>
      </c>
      <c r="M17" s="10">
        <f t="shared" si="7"/>
        <v>0</v>
      </c>
      <c r="N17" s="21"/>
      <c r="O17" s="7">
        <f>'[2]Dec Prod'!H16</f>
        <v>12270000</v>
      </c>
      <c r="P17" s="8">
        <f t="shared" si="8"/>
        <v>12.27</v>
      </c>
      <c r="Q17" s="10">
        <f t="shared" si="9"/>
        <v>37.668899999999994</v>
      </c>
      <c r="R17" s="7">
        <f>'[2]Dec Prod'!C16</f>
        <v>12767000</v>
      </c>
      <c r="S17" s="8">
        <f t="shared" si="10"/>
        <v>12.766999999999999</v>
      </c>
      <c r="T17" s="10">
        <f t="shared" si="11"/>
        <v>39.194689999999994</v>
      </c>
      <c r="U17" s="7">
        <f>'[2]Dec Prod'!D16</f>
        <v>0</v>
      </c>
      <c r="V17" s="8">
        <f t="shared" si="12"/>
        <v>0</v>
      </c>
      <c r="W17" s="10">
        <f t="shared" si="13"/>
        <v>0</v>
      </c>
      <c r="X17" s="7">
        <f>'[2]Dec Prod'!D271</f>
        <v>497000.00000000012</v>
      </c>
      <c r="Y17" s="8">
        <f t="shared" si="14"/>
        <v>0.49700000000000011</v>
      </c>
      <c r="Z17" s="10">
        <f t="shared" si="15"/>
        <v>1.5257900000000002</v>
      </c>
      <c r="AA17" s="15"/>
      <c r="AB17" s="7">
        <f t="shared" si="16"/>
        <v>12270000</v>
      </c>
      <c r="AC17" s="8">
        <f t="shared" si="16"/>
        <v>12.27</v>
      </c>
      <c r="AD17" s="8">
        <f t="shared" si="16"/>
        <v>37.668899999999994</v>
      </c>
    </row>
    <row r="18" spans="1:30" x14ac:dyDescent="0.15">
      <c r="A18" s="1">
        <v>38335</v>
      </c>
      <c r="B18" s="7">
        <f>'[2]Dec Prod'!I17</f>
        <v>0</v>
      </c>
      <c r="C18" s="8">
        <f t="shared" si="0"/>
        <v>0</v>
      </c>
      <c r="D18" s="10">
        <f t="shared" si="1"/>
        <v>0</v>
      </c>
      <c r="E18" s="7">
        <f>'[2]Dec Prod'!E17</f>
        <v>0</v>
      </c>
      <c r="F18" s="8">
        <f t="shared" si="2"/>
        <v>0</v>
      </c>
      <c r="G18" s="10">
        <f t="shared" si="3"/>
        <v>0</v>
      </c>
      <c r="H18" s="7">
        <f>'[2]Dec Prod'!F17</f>
        <v>0</v>
      </c>
      <c r="I18" s="8">
        <f t="shared" si="4"/>
        <v>0</v>
      </c>
      <c r="J18" s="10">
        <f t="shared" si="5"/>
        <v>0</v>
      </c>
      <c r="K18" s="7">
        <f>'[2]Dec Prod'!H272</f>
        <v>54997</v>
      </c>
      <c r="L18" s="8">
        <f t="shared" si="6"/>
        <v>5.4996999999999997E-2</v>
      </c>
      <c r="M18" s="10">
        <f t="shared" si="7"/>
        <v>0.16884078999999999</v>
      </c>
      <c r="N18" s="21"/>
      <c r="O18" s="7">
        <f>'[2]Dec Prod'!H17</f>
        <v>12298000</v>
      </c>
      <c r="P18" s="8">
        <f t="shared" si="8"/>
        <v>12.298</v>
      </c>
      <c r="Q18" s="10">
        <f t="shared" si="9"/>
        <v>37.754860000000001</v>
      </c>
      <c r="R18" s="7">
        <f>'[2]Dec Prod'!C17</f>
        <v>12719000</v>
      </c>
      <c r="S18" s="8">
        <f t="shared" si="10"/>
        <v>12.718999999999999</v>
      </c>
      <c r="T18" s="10">
        <f t="shared" si="11"/>
        <v>39.047329999999995</v>
      </c>
      <c r="U18" s="7">
        <f>'[2]Dec Prod'!D17</f>
        <v>0</v>
      </c>
      <c r="V18" s="8">
        <f t="shared" si="12"/>
        <v>0</v>
      </c>
      <c r="W18" s="10">
        <f t="shared" si="13"/>
        <v>0</v>
      </c>
      <c r="X18" s="7">
        <f>'[2]Dec Prod'!D272</f>
        <v>420999.99999999983</v>
      </c>
      <c r="Y18" s="8">
        <f t="shared" si="14"/>
        <v>0.42099999999999982</v>
      </c>
      <c r="Z18" s="10">
        <f t="shared" si="15"/>
        <v>1.2924699999999993</v>
      </c>
      <c r="AA18" s="15"/>
      <c r="AB18" s="7">
        <f t="shared" si="16"/>
        <v>12298000</v>
      </c>
      <c r="AC18" s="8">
        <f t="shared" si="16"/>
        <v>12.298</v>
      </c>
      <c r="AD18" s="8">
        <f t="shared" si="16"/>
        <v>37.754860000000001</v>
      </c>
    </row>
    <row r="19" spans="1:30" x14ac:dyDescent="0.15">
      <c r="A19" s="1">
        <v>38336</v>
      </c>
      <c r="B19" s="7">
        <f>'[2]Dec Prod'!I18</f>
        <v>0</v>
      </c>
      <c r="C19" s="8">
        <f t="shared" si="0"/>
        <v>0</v>
      </c>
      <c r="D19" s="10">
        <f t="shared" si="1"/>
        <v>0</v>
      </c>
      <c r="E19" s="7">
        <f>'[2]Dec Prod'!E18</f>
        <v>0</v>
      </c>
      <c r="F19" s="8">
        <f t="shared" si="2"/>
        <v>0</v>
      </c>
      <c r="G19" s="10">
        <f t="shared" si="3"/>
        <v>0</v>
      </c>
      <c r="H19" s="7">
        <f>'[2]Dec Prod'!F18</f>
        <v>0</v>
      </c>
      <c r="I19" s="8">
        <f t="shared" si="4"/>
        <v>0</v>
      </c>
      <c r="J19" s="10">
        <f t="shared" si="5"/>
        <v>0</v>
      </c>
      <c r="K19" s="7">
        <f>'[2]Dec Prod'!H273</f>
        <v>0</v>
      </c>
      <c r="L19" s="8">
        <f t="shared" si="6"/>
        <v>0</v>
      </c>
      <c r="M19" s="10">
        <f t="shared" si="7"/>
        <v>0</v>
      </c>
      <c r="N19" s="21"/>
      <c r="O19" s="7">
        <f>'[2]Dec Prod'!H18</f>
        <v>12066000</v>
      </c>
      <c r="P19" s="8">
        <f t="shared" si="8"/>
        <v>12.066000000000001</v>
      </c>
      <c r="Q19" s="10">
        <f t="shared" si="9"/>
        <v>37.042619999999999</v>
      </c>
      <c r="R19" s="7">
        <f>'[2]Dec Prod'!C18</f>
        <v>12426000</v>
      </c>
      <c r="S19" s="8">
        <f t="shared" si="10"/>
        <v>12.426</v>
      </c>
      <c r="T19" s="10">
        <f t="shared" si="11"/>
        <v>38.147819999999996</v>
      </c>
      <c r="U19" s="7">
        <f>'[2]Dec Prod'!D18</f>
        <v>0</v>
      </c>
      <c r="V19" s="8">
        <f t="shared" si="12"/>
        <v>0</v>
      </c>
      <c r="W19" s="10">
        <f t="shared" si="13"/>
        <v>0</v>
      </c>
      <c r="X19" s="7">
        <f>'[2]Dec Prod'!D273</f>
        <v>360000.00000000029</v>
      </c>
      <c r="Y19" s="8">
        <f t="shared" si="14"/>
        <v>0.36000000000000026</v>
      </c>
      <c r="Z19" s="10">
        <f t="shared" si="15"/>
        <v>1.1052000000000008</v>
      </c>
      <c r="AA19" s="15"/>
      <c r="AB19" s="7">
        <f t="shared" si="16"/>
        <v>12066000</v>
      </c>
      <c r="AC19" s="8">
        <f t="shared" si="16"/>
        <v>12.066000000000001</v>
      </c>
      <c r="AD19" s="8">
        <f>D19+Q19</f>
        <v>37.042619999999999</v>
      </c>
    </row>
    <row r="20" spans="1:30" x14ac:dyDescent="0.15">
      <c r="A20" s="1">
        <v>38337</v>
      </c>
      <c r="B20" s="7">
        <f>'[2]Dec Prod'!I19</f>
        <v>0</v>
      </c>
      <c r="C20" s="8">
        <f t="shared" si="0"/>
        <v>0</v>
      </c>
      <c r="D20" s="10">
        <f t="shared" si="1"/>
        <v>0</v>
      </c>
      <c r="E20" s="7">
        <f>'[2]Dec Prod'!E19</f>
        <v>0</v>
      </c>
      <c r="F20" s="8">
        <f t="shared" si="2"/>
        <v>0</v>
      </c>
      <c r="G20" s="10">
        <f t="shared" si="3"/>
        <v>0</v>
      </c>
      <c r="H20" s="7">
        <f>'[2]Dec Prod'!F19</f>
        <v>0</v>
      </c>
      <c r="I20" s="8">
        <f t="shared" si="4"/>
        <v>0</v>
      </c>
      <c r="J20" s="10">
        <f t="shared" si="5"/>
        <v>0</v>
      </c>
      <c r="K20" s="7">
        <f>'[2]Dec Prod'!H274</f>
        <v>37772</v>
      </c>
      <c r="L20" s="8">
        <f t="shared" si="6"/>
        <v>3.7772E-2</v>
      </c>
      <c r="M20" s="10">
        <f t="shared" si="7"/>
        <v>0.11596004</v>
      </c>
      <c r="N20" s="21"/>
      <c r="O20" s="7">
        <f>'[2]Dec Prod'!H19</f>
        <v>12099000</v>
      </c>
      <c r="P20" s="8">
        <f t="shared" si="8"/>
        <v>12.099</v>
      </c>
      <c r="Q20" s="10">
        <f t="shared" si="9"/>
        <v>37.143929999999997</v>
      </c>
      <c r="R20" s="7">
        <f>'[2]Dec Prod'!C19</f>
        <v>12382000</v>
      </c>
      <c r="S20" s="8">
        <f t="shared" si="10"/>
        <v>12.382</v>
      </c>
      <c r="T20" s="10">
        <f t="shared" si="11"/>
        <v>38.012739999999994</v>
      </c>
      <c r="U20" s="7">
        <f>'[2]Dec Prod'!D19</f>
        <v>0</v>
      </c>
      <c r="V20" s="8">
        <f t="shared" si="12"/>
        <v>0</v>
      </c>
      <c r="W20" s="10">
        <f t="shared" si="13"/>
        <v>0</v>
      </c>
      <c r="X20" s="7">
        <f>'[2]Dec Prod'!D274</f>
        <v>282999.99999999994</v>
      </c>
      <c r="Y20" s="8">
        <f t="shared" si="14"/>
        <v>0.28299999999999992</v>
      </c>
      <c r="Z20" s="10">
        <f t="shared" si="15"/>
        <v>0.86880999999999975</v>
      </c>
      <c r="AA20" s="15"/>
      <c r="AB20" s="7">
        <f t="shared" si="16"/>
        <v>12099000</v>
      </c>
      <c r="AC20" s="8">
        <f t="shared" si="16"/>
        <v>12.099</v>
      </c>
      <c r="AD20" s="8">
        <f t="shared" si="16"/>
        <v>37.143929999999997</v>
      </c>
    </row>
    <row r="21" spans="1:30" x14ac:dyDescent="0.15">
      <c r="A21" s="1">
        <v>38338</v>
      </c>
      <c r="B21" s="7">
        <f>'[2]Dec Prod'!I20</f>
        <v>0</v>
      </c>
      <c r="C21" s="8">
        <f t="shared" si="0"/>
        <v>0</v>
      </c>
      <c r="D21" s="10">
        <f t="shared" si="1"/>
        <v>0</v>
      </c>
      <c r="E21" s="7">
        <f>'[2]Dec Prod'!E20</f>
        <v>0</v>
      </c>
      <c r="F21" s="8">
        <f t="shared" si="2"/>
        <v>0</v>
      </c>
      <c r="G21" s="10">
        <f t="shared" si="3"/>
        <v>0</v>
      </c>
      <c r="H21" s="7">
        <f>'[2]Dec Prod'!F20</f>
        <v>0</v>
      </c>
      <c r="I21" s="8">
        <f t="shared" si="4"/>
        <v>0</v>
      </c>
      <c r="J21" s="10">
        <f t="shared" si="5"/>
        <v>0</v>
      </c>
      <c r="K21" s="7">
        <f>'[2]Dec Prod'!H275</f>
        <v>115905</v>
      </c>
      <c r="L21" s="8">
        <f t="shared" si="6"/>
        <v>0.11590499999999999</v>
      </c>
      <c r="M21" s="10">
        <f t="shared" si="7"/>
        <v>0.35582834999999996</v>
      </c>
      <c r="N21" s="21"/>
      <c r="O21" s="7">
        <f>'[2]Dec Prod'!H20</f>
        <v>11281000</v>
      </c>
      <c r="P21" s="8">
        <f t="shared" si="8"/>
        <v>11.281000000000001</v>
      </c>
      <c r="Q21" s="10">
        <f t="shared" si="9"/>
        <v>34.632669999999997</v>
      </c>
      <c r="R21" s="7">
        <f>'[2]Dec Prod'!C20</f>
        <v>11697000</v>
      </c>
      <c r="S21" s="8">
        <f t="shared" si="10"/>
        <v>11.696999999999999</v>
      </c>
      <c r="T21" s="10">
        <f t="shared" si="11"/>
        <v>35.909789999999994</v>
      </c>
      <c r="U21" s="7">
        <f>'[2]Dec Prod'!D20</f>
        <v>0</v>
      </c>
      <c r="V21" s="8">
        <f t="shared" si="12"/>
        <v>0</v>
      </c>
      <c r="W21" s="10">
        <f t="shared" si="13"/>
        <v>0</v>
      </c>
      <c r="X21" s="7">
        <f>'[2]Dec Prod'!D275</f>
        <v>415999.99999999994</v>
      </c>
      <c r="Y21" s="8">
        <f t="shared" si="14"/>
        <v>0.41599999999999993</v>
      </c>
      <c r="Z21" s="10">
        <f t="shared" si="15"/>
        <v>1.2771199999999998</v>
      </c>
      <c r="AA21" s="15"/>
      <c r="AB21" s="7">
        <f t="shared" si="16"/>
        <v>11281000</v>
      </c>
      <c r="AC21" s="8">
        <f t="shared" si="16"/>
        <v>11.281000000000001</v>
      </c>
      <c r="AD21" s="8">
        <f t="shared" si="16"/>
        <v>34.632669999999997</v>
      </c>
    </row>
    <row r="22" spans="1:30" x14ac:dyDescent="0.15">
      <c r="A22" s="1">
        <v>38339</v>
      </c>
      <c r="B22" s="7">
        <f>'[2]Dec Prod'!I21</f>
        <v>0</v>
      </c>
      <c r="C22" s="8">
        <f t="shared" si="0"/>
        <v>0</v>
      </c>
      <c r="D22" s="10">
        <f t="shared" si="1"/>
        <v>0</v>
      </c>
      <c r="E22" s="7">
        <f>'[2]Dec Prod'!E21</f>
        <v>0</v>
      </c>
      <c r="F22" s="8">
        <f t="shared" si="2"/>
        <v>0</v>
      </c>
      <c r="G22" s="10">
        <f t="shared" si="3"/>
        <v>0</v>
      </c>
      <c r="H22" s="7">
        <f>'[2]Dec Prod'!F21</f>
        <v>0</v>
      </c>
      <c r="I22" s="8">
        <f t="shared" si="4"/>
        <v>0</v>
      </c>
      <c r="J22" s="10">
        <f t="shared" si="5"/>
        <v>0</v>
      </c>
      <c r="K22" s="7">
        <f>'[2]Dec Prod'!H276</f>
        <v>0</v>
      </c>
      <c r="L22" s="8">
        <f t="shared" si="6"/>
        <v>0</v>
      </c>
      <c r="M22" s="10">
        <f t="shared" si="7"/>
        <v>0</v>
      </c>
      <c r="N22" s="21"/>
      <c r="O22" s="7">
        <f>'[2]Dec Prod'!H21</f>
        <v>11323000</v>
      </c>
      <c r="P22" s="8">
        <f t="shared" si="8"/>
        <v>11.323</v>
      </c>
      <c r="Q22" s="10">
        <f t="shared" si="9"/>
        <v>34.761609999999997</v>
      </c>
      <c r="R22" s="7">
        <f>'[2]Dec Prod'!C21</f>
        <v>11833000</v>
      </c>
      <c r="S22" s="8">
        <f t="shared" si="10"/>
        <v>11.833</v>
      </c>
      <c r="T22" s="10">
        <f t="shared" si="11"/>
        <v>36.327309999999997</v>
      </c>
      <c r="U22" s="7">
        <f>'[2]Dec Prod'!D21</f>
        <v>0</v>
      </c>
      <c r="V22" s="8">
        <f t="shared" si="12"/>
        <v>0</v>
      </c>
      <c r="W22" s="10">
        <f t="shared" si="13"/>
        <v>0</v>
      </c>
      <c r="X22" s="7">
        <f>'[2]Dec Prod'!D276</f>
        <v>509999.99999999977</v>
      </c>
      <c r="Y22" s="8">
        <f t="shared" si="14"/>
        <v>0.50999999999999979</v>
      </c>
      <c r="Z22" s="10">
        <f t="shared" si="15"/>
        <v>1.5656999999999992</v>
      </c>
      <c r="AA22" s="15"/>
      <c r="AB22" s="7">
        <f t="shared" si="16"/>
        <v>11323000</v>
      </c>
      <c r="AC22" s="8">
        <f t="shared" si="16"/>
        <v>11.323</v>
      </c>
      <c r="AD22" s="8">
        <f t="shared" si="16"/>
        <v>34.761609999999997</v>
      </c>
    </row>
    <row r="23" spans="1:30" x14ac:dyDescent="0.15">
      <c r="A23" s="1">
        <v>38340</v>
      </c>
      <c r="B23" s="7">
        <f>'[2]Dec Prod'!I22</f>
        <v>0</v>
      </c>
      <c r="C23" s="8">
        <f t="shared" si="0"/>
        <v>0</v>
      </c>
      <c r="D23" s="10">
        <f t="shared" si="1"/>
        <v>0</v>
      </c>
      <c r="E23" s="7">
        <f>'[2]Dec Prod'!E22</f>
        <v>0</v>
      </c>
      <c r="F23" s="8">
        <f t="shared" si="2"/>
        <v>0</v>
      </c>
      <c r="G23" s="10">
        <f t="shared" si="3"/>
        <v>0</v>
      </c>
      <c r="H23" s="7">
        <f>'[2]Dec Prod'!F22</f>
        <v>0</v>
      </c>
      <c r="I23" s="8">
        <f t="shared" si="4"/>
        <v>0</v>
      </c>
      <c r="J23" s="10">
        <f t="shared" si="5"/>
        <v>0</v>
      </c>
      <c r="K23" s="7">
        <f>'[2]Dec Prod'!H277</f>
        <v>0</v>
      </c>
      <c r="L23" s="8">
        <f t="shared" si="6"/>
        <v>0</v>
      </c>
      <c r="M23" s="10">
        <f t="shared" si="7"/>
        <v>0</v>
      </c>
      <c r="N23" s="21"/>
      <c r="O23" s="7">
        <f>'[2]Dec Prod'!H22</f>
        <v>12684000</v>
      </c>
      <c r="P23" s="8">
        <f t="shared" si="8"/>
        <v>12.683999999999999</v>
      </c>
      <c r="Q23" s="10">
        <f t="shared" si="9"/>
        <v>38.939879999999995</v>
      </c>
      <c r="R23" s="7">
        <f>'[2]Dec Prod'!C22</f>
        <v>13119000</v>
      </c>
      <c r="S23" s="8">
        <f t="shared" si="10"/>
        <v>13.119</v>
      </c>
      <c r="T23" s="10">
        <f t="shared" si="11"/>
        <v>40.275329999999997</v>
      </c>
      <c r="U23" s="7">
        <f>'[2]Dec Prod'!D22</f>
        <v>0</v>
      </c>
      <c r="V23" s="8">
        <f t="shared" si="12"/>
        <v>0</v>
      </c>
      <c r="W23" s="10">
        <f t="shared" si="13"/>
        <v>0</v>
      </c>
      <c r="X23" s="7">
        <f>'[2]Dec Prod'!D277</f>
        <v>435000.00000000006</v>
      </c>
      <c r="Y23" s="8">
        <f t="shared" si="14"/>
        <v>0.43500000000000005</v>
      </c>
      <c r="Z23" s="10">
        <f t="shared" si="15"/>
        <v>1.33545</v>
      </c>
      <c r="AA23" s="15"/>
      <c r="AB23" s="7">
        <f t="shared" si="16"/>
        <v>12684000</v>
      </c>
      <c r="AC23" s="8">
        <f t="shared" si="16"/>
        <v>12.683999999999999</v>
      </c>
      <c r="AD23" s="8">
        <f t="shared" si="16"/>
        <v>38.939879999999995</v>
      </c>
    </row>
    <row r="24" spans="1:30" x14ac:dyDescent="0.15">
      <c r="A24" s="1">
        <v>38341</v>
      </c>
      <c r="B24" s="7">
        <f>'[2]Dec Prod'!I23</f>
        <v>0</v>
      </c>
      <c r="C24" s="8">
        <f t="shared" si="0"/>
        <v>0</v>
      </c>
      <c r="D24" s="10">
        <f t="shared" si="1"/>
        <v>0</v>
      </c>
      <c r="E24" s="7">
        <f>'[2]Dec Prod'!E23</f>
        <v>0</v>
      </c>
      <c r="F24" s="8">
        <f t="shared" si="2"/>
        <v>0</v>
      </c>
      <c r="G24" s="10">
        <f t="shared" si="3"/>
        <v>0</v>
      </c>
      <c r="H24" s="7">
        <f>'[2]Dec Prod'!F23</f>
        <v>0</v>
      </c>
      <c r="I24" s="8">
        <f t="shared" si="4"/>
        <v>0</v>
      </c>
      <c r="J24" s="10">
        <f t="shared" si="5"/>
        <v>0</v>
      </c>
      <c r="K24" s="7">
        <f>'[2]Dec Prod'!H278</f>
        <v>194997</v>
      </c>
      <c r="L24" s="8">
        <f t="shared" si="6"/>
        <v>0.194997</v>
      </c>
      <c r="M24" s="10">
        <f t="shared" si="7"/>
        <v>0.59864079000000003</v>
      </c>
      <c r="N24" s="21"/>
      <c r="O24" s="7">
        <f>'[2]Dec Prod'!H23</f>
        <v>12661000</v>
      </c>
      <c r="P24" s="8">
        <f t="shared" si="8"/>
        <v>12.661</v>
      </c>
      <c r="Q24" s="10">
        <f t="shared" si="9"/>
        <v>38.86927</v>
      </c>
      <c r="R24" s="7">
        <f>'[2]Dec Prod'!C23</f>
        <v>12927000</v>
      </c>
      <c r="S24" s="8">
        <f t="shared" si="10"/>
        <v>12.927</v>
      </c>
      <c r="T24" s="10">
        <f t="shared" si="11"/>
        <v>39.685889999999993</v>
      </c>
      <c r="U24" s="7">
        <f>'[2]Dec Prod'!D23</f>
        <v>0</v>
      </c>
      <c r="V24" s="8">
        <f t="shared" si="12"/>
        <v>0</v>
      </c>
      <c r="W24" s="10">
        <f t="shared" si="13"/>
        <v>0</v>
      </c>
      <c r="X24" s="7">
        <f>'[2]Dec Prod'!D278</f>
        <v>266000</v>
      </c>
      <c r="Y24" s="8">
        <f t="shared" si="14"/>
        <v>0.26600000000000001</v>
      </c>
      <c r="Z24" s="10">
        <f t="shared" si="15"/>
        <v>0.81662000000000001</v>
      </c>
      <c r="AA24" s="15"/>
      <c r="AB24" s="7">
        <f t="shared" si="16"/>
        <v>12661000</v>
      </c>
      <c r="AC24" s="8">
        <f t="shared" si="16"/>
        <v>12.661</v>
      </c>
      <c r="AD24" s="8">
        <f>D24+Q24</f>
        <v>38.86927</v>
      </c>
    </row>
    <row r="25" spans="1:30" x14ac:dyDescent="0.15">
      <c r="A25" s="1">
        <v>38342</v>
      </c>
      <c r="B25" s="7">
        <f>'[2]Dec Prod'!I24</f>
        <v>0</v>
      </c>
      <c r="C25" s="8">
        <f t="shared" si="0"/>
        <v>0</v>
      </c>
      <c r="D25" s="10">
        <f t="shared" si="1"/>
        <v>0</v>
      </c>
      <c r="E25" s="7">
        <f>'[2]Dec Prod'!E24</f>
        <v>0</v>
      </c>
      <c r="F25" s="8">
        <f t="shared" si="2"/>
        <v>0</v>
      </c>
      <c r="G25" s="10">
        <f t="shared" si="3"/>
        <v>0</v>
      </c>
      <c r="H25" s="7">
        <f>'[2]Dec Prod'!F24</f>
        <v>0</v>
      </c>
      <c r="I25" s="8">
        <f t="shared" si="4"/>
        <v>0</v>
      </c>
      <c r="J25" s="10">
        <f t="shared" si="5"/>
        <v>0</v>
      </c>
      <c r="K25" s="7">
        <f>'[2]Dec Prod'!H279</f>
        <v>157766</v>
      </c>
      <c r="L25" s="8">
        <f t="shared" si="6"/>
        <v>0.15776599999999999</v>
      </c>
      <c r="M25" s="10">
        <f t="shared" si="7"/>
        <v>0.48434161999999992</v>
      </c>
      <c r="N25" s="21"/>
      <c r="O25" s="7">
        <f>'[2]Dec Prod'!H24</f>
        <v>11667000</v>
      </c>
      <c r="P25" s="8">
        <f t="shared" si="8"/>
        <v>11.667</v>
      </c>
      <c r="Q25" s="10">
        <f t="shared" si="9"/>
        <v>35.817689999999999</v>
      </c>
      <c r="R25" s="7">
        <f>'[2]Dec Prod'!C24</f>
        <v>12105000</v>
      </c>
      <c r="S25" s="8">
        <f t="shared" si="10"/>
        <v>12.105</v>
      </c>
      <c r="T25" s="10">
        <f t="shared" si="11"/>
        <v>37.162349999999996</v>
      </c>
      <c r="U25" s="7">
        <f>'[2]Dec Prod'!D24</f>
        <v>0</v>
      </c>
      <c r="V25" s="8">
        <f t="shared" si="12"/>
        <v>0</v>
      </c>
      <c r="W25" s="10">
        <f t="shared" si="13"/>
        <v>0</v>
      </c>
      <c r="X25" s="7">
        <f>'[2]Dec Prod'!D279</f>
        <v>437999.99999999971</v>
      </c>
      <c r="Y25" s="8">
        <f t="shared" si="14"/>
        <v>0.43799999999999972</v>
      </c>
      <c r="Z25" s="10">
        <f t="shared" si="15"/>
        <v>1.3446599999999991</v>
      </c>
      <c r="AA25" s="15"/>
      <c r="AB25" s="7">
        <f t="shared" si="16"/>
        <v>11667000</v>
      </c>
      <c r="AC25" s="8">
        <f t="shared" si="16"/>
        <v>11.667</v>
      </c>
      <c r="AD25" s="8">
        <f t="shared" si="16"/>
        <v>35.817689999999999</v>
      </c>
    </row>
    <row r="26" spans="1:30" x14ac:dyDescent="0.15">
      <c r="A26" s="1">
        <v>38343</v>
      </c>
      <c r="B26" s="7">
        <f>'[2]Dec Prod'!I25</f>
        <v>0</v>
      </c>
      <c r="C26" s="8">
        <f t="shared" si="0"/>
        <v>0</v>
      </c>
      <c r="D26" s="10">
        <f t="shared" si="1"/>
        <v>0</v>
      </c>
      <c r="E26" s="7">
        <f>'[2]Dec Prod'!E25</f>
        <v>0</v>
      </c>
      <c r="F26" s="8">
        <f t="shared" si="2"/>
        <v>0</v>
      </c>
      <c r="G26" s="10">
        <f t="shared" si="3"/>
        <v>0</v>
      </c>
      <c r="H26" s="7">
        <f>'[2]Dec Prod'!F25</f>
        <v>0</v>
      </c>
      <c r="I26" s="8">
        <f t="shared" si="4"/>
        <v>0</v>
      </c>
      <c r="J26" s="10">
        <f t="shared" si="5"/>
        <v>0</v>
      </c>
      <c r="K26" s="7">
        <f>'[2]Dec Prod'!H280</f>
        <v>38966</v>
      </c>
      <c r="L26" s="8">
        <f t="shared" si="6"/>
        <v>3.8966000000000001E-2</v>
      </c>
      <c r="M26" s="10">
        <f t="shared" si="7"/>
        <v>0.11962562</v>
      </c>
      <c r="N26" s="21"/>
      <c r="O26" s="7">
        <f>'[2]Dec Prod'!H25</f>
        <v>11573000</v>
      </c>
      <c r="P26" s="8">
        <f t="shared" si="8"/>
        <v>11.573</v>
      </c>
      <c r="Q26" s="10">
        <f t="shared" si="9"/>
        <v>35.529110000000003</v>
      </c>
      <c r="R26" s="7">
        <f>'[2]Dec Prod'!C25</f>
        <v>11948000</v>
      </c>
      <c r="S26" s="8">
        <f t="shared" si="10"/>
        <v>11.948</v>
      </c>
      <c r="T26" s="10">
        <f t="shared" si="11"/>
        <v>36.68036</v>
      </c>
      <c r="U26" s="7">
        <f>'[2]Dec Prod'!D25</f>
        <v>0</v>
      </c>
      <c r="V26" s="8">
        <f t="shared" si="12"/>
        <v>0</v>
      </c>
      <c r="W26" s="10">
        <f t="shared" si="13"/>
        <v>0</v>
      </c>
      <c r="X26" s="7">
        <f>'[2]Dec Prod'!D280</f>
        <v>375000</v>
      </c>
      <c r="Y26" s="8">
        <f t="shared" si="14"/>
        <v>0.375</v>
      </c>
      <c r="Z26" s="10">
        <f t="shared" si="15"/>
        <v>1.1512499999999999</v>
      </c>
      <c r="AA26" s="15"/>
      <c r="AB26" s="7">
        <f t="shared" si="16"/>
        <v>11573000</v>
      </c>
      <c r="AC26" s="8">
        <f t="shared" si="16"/>
        <v>11.573</v>
      </c>
      <c r="AD26" s="8">
        <f t="shared" si="16"/>
        <v>35.529110000000003</v>
      </c>
    </row>
    <row r="27" spans="1:30" x14ac:dyDescent="0.15">
      <c r="A27" s="1">
        <v>38344</v>
      </c>
      <c r="B27" s="7">
        <f>'[2]Dec Prod'!I26</f>
        <v>0</v>
      </c>
      <c r="C27" s="8">
        <f t="shared" si="0"/>
        <v>0</v>
      </c>
      <c r="D27" s="10">
        <f t="shared" si="1"/>
        <v>0</v>
      </c>
      <c r="E27" s="7">
        <f>'[2]Dec Prod'!E26</f>
        <v>0</v>
      </c>
      <c r="F27" s="8">
        <f t="shared" si="2"/>
        <v>0</v>
      </c>
      <c r="G27" s="10">
        <f t="shared" si="3"/>
        <v>0</v>
      </c>
      <c r="H27" s="7">
        <f>'[2]Dec Prod'!F26</f>
        <v>0</v>
      </c>
      <c r="I27" s="8">
        <f t="shared" si="4"/>
        <v>0</v>
      </c>
      <c r="J27" s="10">
        <f t="shared" si="5"/>
        <v>0</v>
      </c>
      <c r="K27" s="7">
        <f>'[2]Dec Prod'!H281</f>
        <v>14837</v>
      </c>
      <c r="L27" s="8">
        <f t="shared" si="6"/>
        <v>1.4836999999999999E-2</v>
      </c>
      <c r="M27" s="10">
        <f t="shared" si="7"/>
        <v>4.5549589999999994E-2</v>
      </c>
      <c r="N27" s="21"/>
      <c r="O27" s="7">
        <f>'[2]Dec Prod'!H26</f>
        <v>11564000</v>
      </c>
      <c r="P27" s="8">
        <f t="shared" si="8"/>
        <v>11.564</v>
      </c>
      <c r="Q27" s="10">
        <f t="shared" si="9"/>
        <v>35.501480000000001</v>
      </c>
      <c r="R27" s="7">
        <f>'[2]Dec Prod'!C26</f>
        <v>12072000</v>
      </c>
      <c r="S27" s="8">
        <f t="shared" si="10"/>
        <v>12.071999999999999</v>
      </c>
      <c r="T27" s="10">
        <f t="shared" si="11"/>
        <v>37.061039999999998</v>
      </c>
      <c r="U27" s="7">
        <f>'[2]Dec Prod'!D26</f>
        <v>0</v>
      </c>
      <c r="V27" s="8">
        <f t="shared" si="12"/>
        <v>0</v>
      </c>
      <c r="W27" s="10">
        <f t="shared" si="13"/>
        <v>0</v>
      </c>
      <c r="X27" s="7">
        <f>'[2]Dec Prod'!D281</f>
        <v>508000</v>
      </c>
      <c r="Y27" s="8">
        <f t="shared" si="14"/>
        <v>0.50800000000000001</v>
      </c>
      <c r="Z27" s="10">
        <f t="shared" si="15"/>
        <v>1.5595599999999998</v>
      </c>
      <c r="AA27" s="15"/>
      <c r="AB27" s="7">
        <f t="shared" si="16"/>
        <v>11564000</v>
      </c>
      <c r="AC27" s="8">
        <f t="shared" si="16"/>
        <v>11.564</v>
      </c>
      <c r="AD27" s="8">
        <f t="shared" si="16"/>
        <v>35.501480000000001</v>
      </c>
    </row>
    <row r="28" spans="1:30" x14ac:dyDescent="0.15">
      <c r="A28" s="1">
        <v>38345</v>
      </c>
      <c r="B28" s="7">
        <f>'[2]Dec Prod'!I27</f>
        <v>0</v>
      </c>
      <c r="C28" s="8">
        <f t="shared" si="0"/>
        <v>0</v>
      </c>
      <c r="D28" s="10">
        <f t="shared" si="1"/>
        <v>0</v>
      </c>
      <c r="E28" s="7">
        <f>'[2]Dec Prod'!E27</f>
        <v>0</v>
      </c>
      <c r="F28" s="8">
        <f t="shared" si="2"/>
        <v>0</v>
      </c>
      <c r="G28" s="10">
        <f t="shared" si="3"/>
        <v>0</v>
      </c>
      <c r="H28" s="7">
        <f>'[2]Dec Prod'!F27</f>
        <v>0</v>
      </c>
      <c r="I28" s="8">
        <f t="shared" si="4"/>
        <v>0</v>
      </c>
      <c r="J28" s="10">
        <f t="shared" si="5"/>
        <v>0</v>
      </c>
      <c r="K28" s="7">
        <f>'[2]Dec Prod'!H282</f>
        <v>0</v>
      </c>
      <c r="L28" s="8">
        <f t="shared" si="6"/>
        <v>0</v>
      </c>
      <c r="M28" s="10">
        <f t="shared" si="7"/>
        <v>0</v>
      </c>
      <c r="N28" s="21"/>
      <c r="O28" s="7">
        <f>'[2]Dec Prod'!H27</f>
        <v>12010000</v>
      </c>
      <c r="P28" s="8">
        <f t="shared" si="8"/>
        <v>12.01</v>
      </c>
      <c r="Q28" s="10">
        <f t="shared" si="9"/>
        <v>36.870699999999999</v>
      </c>
      <c r="R28" s="7">
        <f>'[2]Dec Prod'!C27</f>
        <v>12358000</v>
      </c>
      <c r="S28" s="8">
        <f t="shared" si="10"/>
        <v>12.358000000000001</v>
      </c>
      <c r="T28" s="10">
        <f t="shared" si="11"/>
        <v>37.939059999999998</v>
      </c>
      <c r="U28" s="7">
        <f>'[2]Dec Prod'!D27</f>
        <v>0</v>
      </c>
      <c r="V28" s="8">
        <f t="shared" si="12"/>
        <v>0</v>
      </c>
      <c r="W28" s="10">
        <f t="shared" si="13"/>
        <v>0</v>
      </c>
      <c r="X28" s="7">
        <f>'[2]Dec Prod'!D282</f>
        <v>348000.00000000076</v>
      </c>
      <c r="Y28" s="8">
        <f t="shared" si="14"/>
        <v>0.34800000000000075</v>
      </c>
      <c r="Z28" s="10">
        <f t="shared" si="15"/>
        <v>1.0683600000000022</v>
      </c>
      <c r="AA28" s="15"/>
      <c r="AB28" s="7">
        <f t="shared" si="16"/>
        <v>12010000</v>
      </c>
      <c r="AC28" s="8">
        <f t="shared" si="16"/>
        <v>12.01</v>
      </c>
      <c r="AD28" s="8">
        <f t="shared" si="16"/>
        <v>36.870699999999999</v>
      </c>
    </row>
    <row r="29" spans="1:30" x14ac:dyDescent="0.15">
      <c r="A29" s="1">
        <v>38346</v>
      </c>
      <c r="B29" s="7">
        <f>'[2]Dec Prod'!I28</f>
        <v>0</v>
      </c>
      <c r="C29" s="8">
        <f t="shared" si="0"/>
        <v>0</v>
      </c>
      <c r="D29" s="10">
        <f t="shared" si="1"/>
        <v>0</v>
      </c>
      <c r="E29" s="7">
        <f>'[2]Dec Prod'!E28</f>
        <v>0</v>
      </c>
      <c r="F29" s="8">
        <f t="shared" si="2"/>
        <v>0</v>
      </c>
      <c r="G29" s="10">
        <f t="shared" si="3"/>
        <v>0</v>
      </c>
      <c r="H29" s="7">
        <f>'[2]Dec Prod'!F28</f>
        <v>0</v>
      </c>
      <c r="I29" s="8">
        <f t="shared" si="4"/>
        <v>0</v>
      </c>
      <c r="J29" s="10">
        <f t="shared" si="5"/>
        <v>0</v>
      </c>
      <c r="K29" s="7">
        <f>'[2]Dec Prod'!H283</f>
        <v>0</v>
      </c>
      <c r="L29" s="8">
        <f t="shared" si="6"/>
        <v>0</v>
      </c>
      <c r="M29" s="10">
        <f t="shared" si="7"/>
        <v>0</v>
      </c>
      <c r="N29" s="21"/>
      <c r="O29" s="7">
        <f>'[2]Dec Prod'!H28</f>
        <v>13101000</v>
      </c>
      <c r="P29" s="8">
        <f t="shared" si="8"/>
        <v>13.101000000000001</v>
      </c>
      <c r="Q29" s="10">
        <f t="shared" si="9"/>
        <v>40.22007</v>
      </c>
      <c r="R29" s="7">
        <f>'[2]Dec Prod'!C28</f>
        <v>13496000</v>
      </c>
      <c r="S29" s="8">
        <f t="shared" si="10"/>
        <v>13.496</v>
      </c>
      <c r="T29" s="10">
        <f t="shared" si="11"/>
        <v>41.432719999999996</v>
      </c>
      <c r="U29" s="7">
        <f>'[2]Dec Prod'!D28</f>
        <v>0</v>
      </c>
      <c r="V29" s="8">
        <f t="shared" si="12"/>
        <v>0</v>
      </c>
      <c r="W29" s="10">
        <f t="shared" si="13"/>
        <v>0</v>
      </c>
      <c r="X29" s="7">
        <f>'[2]Dec Prod'!D283</f>
        <v>394999.99999999959</v>
      </c>
      <c r="Y29" s="8">
        <f t="shared" si="14"/>
        <v>0.39499999999999957</v>
      </c>
      <c r="Z29" s="10">
        <f t="shared" si="15"/>
        <v>1.2126499999999987</v>
      </c>
      <c r="AA29" s="15"/>
      <c r="AB29" s="7">
        <f t="shared" si="16"/>
        <v>13101000</v>
      </c>
      <c r="AC29" s="8">
        <f t="shared" si="16"/>
        <v>13.101000000000001</v>
      </c>
      <c r="AD29" s="8">
        <f t="shared" si="16"/>
        <v>40.22007</v>
      </c>
    </row>
    <row r="30" spans="1:30" x14ac:dyDescent="0.15">
      <c r="A30" s="1">
        <v>38347</v>
      </c>
      <c r="B30" s="7">
        <f>'[2]Dec Prod'!I29</f>
        <v>0</v>
      </c>
      <c r="C30" s="8">
        <f t="shared" si="0"/>
        <v>0</v>
      </c>
      <c r="D30" s="10">
        <f t="shared" si="1"/>
        <v>0</v>
      </c>
      <c r="E30" s="7">
        <f>'[2]Dec Prod'!E29</f>
        <v>0</v>
      </c>
      <c r="F30" s="8">
        <f t="shared" si="2"/>
        <v>0</v>
      </c>
      <c r="G30" s="10">
        <f t="shared" si="3"/>
        <v>0</v>
      </c>
      <c r="H30" s="7">
        <f>'[2]Dec Prod'!F29</f>
        <v>0</v>
      </c>
      <c r="I30" s="8">
        <f>H30/100000000</f>
        <v>0</v>
      </c>
      <c r="J30" s="10">
        <f t="shared" si="5"/>
        <v>0</v>
      </c>
      <c r="K30" s="7">
        <f>'[2]Dec Prod'!H284</f>
        <v>0</v>
      </c>
      <c r="L30" s="8">
        <f t="shared" si="6"/>
        <v>0</v>
      </c>
      <c r="M30" s="10">
        <f t="shared" si="7"/>
        <v>0</v>
      </c>
      <c r="N30" s="21"/>
      <c r="O30" s="7">
        <f>'[2]Dec Prod'!H29</f>
        <v>11708000</v>
      </c>
      <c r="P30" s="8">
        <f t="shared" si="8"/>
        <v>11.708</v>
      </c>
      <c r="Q30" s="10">
        <f t="shared" si="9"/>
        <v>35.943559999999998</v>
      </c>
      <c r="R30" s="7">
        <f>'[2]Dec Prod'!C29</f>
        <v>12137000</v>
      </c>
      <c r="S30" s="8">
        <f t="shared" si="10"/>
        <v>12.137</v>
      </c>
      <c r="T30" s="10">
        <f t="shared" si="11"/>
        <v>37.260590000000001</v>
      </c>
      <c r="U30" s="7">
        <f>'[2]Dec Prod'!D29</f>
        <v>0</v>
      </c>
      <c r="V30" s="8">
        <f t="shared" si="12"/>
        <v>0</v>
      </c>
      <c r="W30" s="10">
        <f t="shared" si="13"/>
        <v>0</v>
      </c>
      <c r="X30" s="7">
        <f>'[2]Dec Prod'!D284</f>
        <v>429000.00000000029</v>
      </c>
      <c r="Y30" s="8">
        <f t="shared" si="14"/>
        <v>0.42900000000000027</v>
      </c>
      <c r="Z30" s="10">
        <f t="shared" si="15"/>
        <v>1.3170300000000008</v>
      </c>
      <c r="AA30" s="15"/>
      <c r="AB30" s="7">
        <f t="shared" si="16"/>
        <v>11708000</v>
      </c>
      <c r="AC30" s="8">
        <f t="shared" si="16"/>
        <v>11.708</v>
      </c>
      <c r="AD30" s="8">
        <f>D30+Q30</f>
        <v>35.943559999999998</v>
      </c>
    </row>
    <row r="31" spans="1:30" x14ac:dyDescent="0.15">
      <c r="A31" s="1">
        <v>38348</v>
      </c>
      <c r="B31" s="7">
        <f>'[2]Dec Prod'!I30</f>
        <v>0</v>
      </c>
      <c r="C31" s="8">
        <f t="shared" si="0"/>
        <v>0</v>
      </c>
      <c r="D31" s="10">
        <f t="shared" si="1"/>
        <v>0</v>
      </c>
      <c r="E31" s="7">
        <f>'[2]Dec Prod'!E30</f>
        <v>0</v>
      </c>
      <c r="F31" s="8">
        <f t="shared" si="2"/>
        <v>0</v>
      </c>
      <c r="G31" s="10">
        <f t="shared" si="3"/>
        <v>0</v>
      </c>
      <c r="H31" s="7">
        <f>'[2]Dec Prod'!F30</f>
        <v>0</v>
      </c>
      <c r="I31" s="8">
        <f t="shared" si="4"/>
        <v>0</v>
      </c>
      <c r="J31" s="10">
        <f t="shared" si="5"/>
        <v>0</v>
      </c>
      <c r="K31" s="7">
        <f>'[2]Dec Prod'!H285</f>
        <v>333365</v>
      </c>
      <c r="L31" s="8">
        <f t="shared" si="6"/>
        <v>0.33336500000000002</v>
      </c>
      <c r="M31" s="10">
        <f t="shared" si="7"/>
        <v>1.02343055</v>
      </c>
      <c r="N31" s="21"/>
      <c r="O31" s="7">
        <f>'[2]Dec Prod'!H30</f>
        <v>11594000</v>
      </c>
      <c r="P31" s="8">
        <f t="shared" si="8"/>
        <v>11.593999999999999</v>
      </c>
      <c r="Q31" s="10">
        <f t="shared" si="9"/>
        <v>35.593579999999996</v>
      </c>
      <c r="R31" s="7">
        <f>'[2]Dec Prod'!C30</f>
        <v>11947000</v>
      </c>
      <c r="S31" s="8">
        <f t="shared" si="10"/>
        <v>11.946999999999999</v>
      </c>
      <c r="T31" s="10">
        <f t="shared" si="11"/>
        <v>36.677289999999992</v>
      </c>
      <c r="U31" s="7">
        <f>'[2]Dec Prod'!D30</f>
        <v>0</v>
      </c>
      <c r="V31" s="8">
        <f t="shared" si="12"/>
        <v>0</v>
      </c>
      <c r="W31" s="10">
        <f t="shared" si="13"/>
        <v>0</v>
      </c>
      <c r="X31" s="7">
        <f>'[2]Dec Prod'!D285</f>
        <v>352999.99999999977</v>
      </c>
      <c r="Y31" s="8">
        <f t="shared" si="14"/>
        <v>0.35299999999999976</v>
      </c>
      <c r="Z31" s="10">
        <f t="shared" si="15"/>
        <v>1.0837099999999993</v>
      </c>
      <c r="AA31" s="15"/>
      <c r="AB31" s="7">
        <f t="shared" si="16"/>
        <v>11594000</v>
      </c>
      <c r="AC31" s="8">
        <f t="shared" si="16"/>
        <v>11.593999999999999</v>
      </c>
      <c r="AD31" s="8">
        <f t="shared" si="16"/>
        <v>35.593579999999996</v>
      </c>
    </row>
    <row r="32" spans="1:30" x14ac:dyDescent="0.15">
      <c r="A32" s="1">
        <v>38349</v>
      </c>
      <c r="B32" s="7">
        <f>'[2]Dec Prod'!I31</f>
        <v>0</v>
      </c>
      <c r="C32" s="8">
        <f t="shared" si="0"/>
        <v>0</v>
      </c>
      <c r="D32" s="10">
        <f t="shared" si="1"/>
        <v>0</v>
      </c>
      <c r="E32" s="7">
        <f>'[2]Dec Prod'!E31</f>
        <v>0</v>
      </c>
      <c r="F32" s="8">
        <f t="shared" si="2"/>
        <v>0</v>
      </c>
      <c r="G32" s="10">
        <f t="shared" si="3"/>
        <v>0</v>
      </c>
      <c r="H32" s="7">
        <f>'[2]Dec Prod'!F31</f>
        <v>0</v>
      </c>
      <c r="I32" s="8">
        <f t="shared" si="4"/>
        <v>0</v>
      </c>
      <c r="J32" s="10">
        <f t="shared" si="5"/>
        <v>0</v>
      </c>
      <c r="K32" s="7">
        <f>'[2]Dec Prod'!H286</f>
        <v>0</v>
      </c>
      <c r="L32" s="8">
        <f t="shared" si="6"/>
        <v>0</v>
      </c>
      <c r="M32" s="10">
        <f t="shared" si="7"/>
        <v>0</v>
      </c>
      <c r="N32" s="21"/>
      <c r="O32" s="7">
        <f>'[2]Dec Prod'!H31</f>
        <v>11977000</v>
      </c>
      <c r="P32" s="8">
        <f t="shared" si="8"/>
        <v>11.977</v>
      </c>
      <c r="Q32" s="10">
        <f t="shared" si="9"/>
        <v>36.769390000000001</v>
      </c>
      <c r="R32" s="7">
        <f>'[2]Dec Prod'!C31</f>
        <v>12511000</v>
      </c>
      <c r="S32" s="8">
        <f t="shared" si="10"/>
        <v>12.510999999999999</v>
      </c>
      <c r="T32" s="10">
        <f t="shared" si="11"/>
        <v>38.408769999999997</v>
      </c>
      <c r="U32" s="7">
        <f>'[2]Dec Prod'!D31</f>
        <v>0</v>
      </c>
      <c r="V32" s="8">
        <f t="shared" si="12"/>
        <v>0</v>
      </c>
      <c r="W32" s="10">
        <f t="shared" si="13"/>
        <v>0</v>
      </c>
      <c r="X32" s="7">
        <f>'[2]Dec Prod'!D286</f>
        <v>533999.99999999977</v>
      </c>
      <c r="Y32" s="8">
        <f t="shared" si="14"/>
        <v>0.53399999999999981</v>
      </c>
      <c r="Z32" s="10">
        <f t="shared" si="15"/>
        <v>1.6393799999999994</v>
      </c>
      <c r="AA32" s="15"/>
      <c r="AB32" s="7">
        <f t="shared" si="16"/>
        <v>11977000</v>
      </c>
      <c r="AC32" s="8">
        <f t="shared" si="16"/>
        <v>11.977</v>
      </c>
      <c r="AD32" s="8">
        <f t="shared" si="16"/>
        <v>36.769390000000001</v>
      </c>
    </row>
    <row r="33" spans="1:30" x14ac:dyDescent="0.15">
      <c r="A33" s="1">
        <v>38350</v>
      </c>
      <c r="B33" s="7">
        <f>'[2]Dec Prod'!I32</f>
        <v>0</v>
      </c>
      <c r="C33" s="8">
        <f t="shared" si="0"/>
        <v>0</v>
      </c>
      <c r="D33" s="10">
        <f t="shared" si="1"/>
        <v>0</v>
      </c>
      <c r="E33" s="7">
        <f>'[2]Dec Prod'!E32</f>
        <v>0</v>
      </c>
      <c r="F33" s="8">
        <f t="shared" si="2"/>
        <v>0</v>
      </c>
      <c r="G33" s="10">
        <f t="shared" si="3"/>
        <v>0</v>
      </c>
      <c r="H33" s="7">
        <f>'[2]Dec Prod'!F32</f>
        <v>0</v>
      </c>
      <c r="I33" s="8">
        <f t="shared" si="4"/>
        <v>0</v>
      </c>
      <c r="J33" s="10">
        <f t="shared" si="5"/>
        <v>0</v>
      </c>
      <c r="K33" s="7">
        <f>'[2]Dec Prod'!H287</f>
        <v>0</v>
      </c>
      <c r="L33" s="8">
        <f t="shared" si="6"/>
        <v>0</v>
      </c>
      <c r="M33" s="10">
        <f t="shared" si="7"/>
        <v>0</v>
      </c>
      <c r="N33" s="21"/>
      <c r="O33" s="7">
        <f>'[2]Dec Prod'!H32</f>
        <v>12257000</v>
      </c>
      <c r="P33" s="8">
        <f t="shared" si="8"/>
        <v>12.257</v>
      </c>
      <c r="Q33" s="10">
        <f t="shared" si="9"/>
        <v>37.628989999999995</v>
      </c>
      <c r="R33" s="7">
        <f>'[2]Dec Prod'!C32</f>
        <v>12702000</v>
      </c>
      <c r="S33" s="8">
        <f t="shared" si="10"/>
        <v>12.702</v>
      </c>
      <c r="T33" s="10">
        <f t="shared" si="11"/>
        <v>38.995139999999999</v>
      </c>
      <c r="U33" s="7">
        <f>'[2]Dec Prod'!D32</f>
        <v>0</v>
      </c>
      <c r="V33" s="8">
        <f t="shared" si="12"/>
        <v>0</v>
      </c>
      <c r="W33" s="10">
        <f t="shared" si="13"/>
        <v>0</v>
      </c>
      <c r="X33" s="7">
        <f>'[2]Dec Prod'!D287</f>
        <v>445000.00000000029</v>
      </c>
      <c r="Y33" s="8">
        <f t="shared" si="14"/>
        <v>0.44500000000000028</v>
      </c>
      <c r="Z33" s="10">
        <f t="shared" si="15"/>
        <v>1.3661500000000009</v>
      </c>
      <c r="AA33" s="15"/>
      <c r="AB33" s="7">
        <f t="shared" si="16"/>
        <v>12257000</v>
      </c>
      <c r="AC33" s="8">
        <f t="shared" si="16"/>
        <v>12.257</v>
      </c>
      <c r="AD33" s="8">
        <f t="shared" si="16"/>
        <v>37.628989999999995</v>
      </c>
    </row>
    <row r="34" spans="1:30" x14ac:dyDescent="0.15">
      <c r="A34" s="1">
        <v>38351</v>
      </c>
      <c r="B34" s="7">
        <f>'[2]Dec Prod'!I33</f>
        <v>0</v>
      </c>
      <c r="C34" s="8">
        <f t="shared" si="0"/>
        <v>0</v>
      </c>
      <c r="D34" s="10">
        <f t="shared" si="1"/>
        <v>0</v>
      </c>
      <c r="E34" s="7">
        <f>'[2]Dec Prod'!E33</f>
        <v>0</v>
      </c>
      <c r="F34" s="8">
        <f t="shared" si="2"/>
        <v>0</v>
      </c>
      <c r="G34" s="10">
        <f t="shared" si="3"/>
        <v>0</v>
      </c>
      <c r="H34" s="7">
        <f>'[2]Dec Prod'!F33</f>
        <v>0</v>
      </c>
      <c r="I34" s="8">
        <f>H34/100000000</f>
        <v>0</v>
      </c>
      <c r="J34" s="10">
        <f t="shared" si="5"/>
        <v>0</v>
      </c>
      <c r="K34" s="7">
        <f>'[2]Dec Prod'!H288</f>
        <v>0</v>
      </c>
      <c r="L34" s="8">
        <f t="shared" si="6"/>
        <v>0</v>
      </c>
      <c r="M34" s="10">
        <f t="shared" si="7"/>
        <v>0</v>
      </c>
      <c r="N34" s="21"/>
      <c r="O34" s="7">
        <f>'[2]Dec Prod'!H33</f>
        <v>11612000</v>
      </c>
      <c r="P34" s="8">
        <f t="shared" si="8"/>
        <v>11.612</v>
      </c>
      <c r="Q34" s="10">
        <f t="shared" si="9"/>
        <v>35.64884</v>
      </c>
      <c r="R34" s="7">
        <f>'[2]Dec Prod'!C33</f>
        <v>11921000</v>
      </c>
      <c r="S34" s="8">
        <f t="shared" si="10"/>
        <v>11.920999999999999</v>
      </c>
      <c r="T34" s="10">
        <f t="shared" si="11"/>
        <v>36.597469999999994</v>
      </c>
      <c r="U34" s="7">
        <f>'[2]Dec Prod'!D33</f>
        <v>0</v>
      </c>
      <c r="V34" s="8">
        <f t="shared" si="12"/>
        <v>0</v>
      </c>
      <c r="W34" s="10">
        <f t="shared" si="13"/>
        <v>0</v>
      </c>
      <c r="X34" s="7">
        <f>'[2]Dec Prod'!D288</f>
        <v>308999.9999999993</v>
      </c>
      <c r="Y34" s="8">
        <f t="shared" si="14"/>
        <v>0.30899999999999928</v>
      </c>
      <c r="Z34" s="10">
        <f t="shared" si="15"/>
        <v>0.94862999999999775</v>
      </c>
      <c r="AA34" s="15"/>
      <c r="AB34" s="7">
        <f t="shared" si="16"/>
        <v>11612000</v>
      </c>
      <c r="AC34" s="8">
        <f t="shared" si="16"/>
        <v>11.612</v>
      </c>
      <c r="AD34" s="8">
        <f t="shared" si="16"/>
        <v>35.64884</v>
      </c>
    </row>
    <row r="35" spans="1:30" ht="14" thickBot="1" x14ac:dyDescent="0.2">
      <c r="A35" s="1">
        <v>38352</v>
      </c>
      <c r="B35" s="29">
        <f>'[2]Dec Prod'!I34</f>
        <v>0</v>
      </c>
      <c r="C35" s="9">
        <f t="shared" si="0"/>
        <v>0</v>
      </c>
      <c r="D35" s="11">
        <f t="shared" si="1"/>
        <v>0</v>
      </c>
      <c r="E35" s="7">
        <f>'[2]Dec Prod'!E34</f>
        <v>0</v>
      </c>
      <c r="F35" s="9">
        <f t="shared" si="2"/>
        <v>0</v>
      </c>
      <c r="G35" s="11">
        <f t="shared" si="3"/>
        <v>0</v>
      </c>
      <c r="H35" s="7">
        <f>'[2]Dec Prod'!F34</f>
        <v>0</v>
      </c>
      <c r="I35" s="9">
        <f>H35/100000000</f>
        <v>0</v>
      </c>
      <c r="J35" s="11">
        <f t="shared" si="5"/>
        <v>0</v>
      </c>
      <c r="K35" s="7">
        <f>'[2]Dec Prod'!H289</f>
        <v>0</v>
      </c>
      <c r="L35" s="9">
        <f t="shared" si="6"/>
        <v>0</v>
      </c>
      <c r="M35" s="11">
        <f t="shared" si="7"/>
        <v>0</v>
      </c>
      <c r="N35" s="21"/>
      <c r="O35" s="7">
        <f>'[2]Dec Prod'!H34</f>
        <v>11502000</v>
      </c>
      <c r="P35" s="9">
        <f t="shared" si="8"/>
        <v>11.502000000000001</v>
      </c>
      <c r="Q35" s="11">
        <f t="shared" si="9"/>
        <v>35.311140000000002</v>
      </c>
      <c r="R35" s="7">
        <f>'[2]Dec Prod'!C34</f>
        <v>11885000</v>
      </c>
      <c r="S35" s="9">
        <f t="shared" si="10"/>
        <v>11.885</v>
      </c>
      <c r="T35" s="11">
        <f t="shared" si="11"/>
        <v>36.48695</v>
      </c>
      <c r="U35" s="7">
        <f>'[2]Dec Prod'!D34</f>
        <v>0</v>
      </c>
      <c r="V35" s="9">
        <f t="shared" si="12"/>
        <v>0</v>
      </c>
      <c r="W35" s="11">
        <f t="shared" si="13"/>
        <v>0</v>
      </c>
      <c r="X35" s="7">
        <f>'[2]Dec Prod'!D289</f>
        <v>383000.00000000087</v>
      </c>
      <c r="Y35" s="9">
        <f t="shared" si="14"/>
        <v>0.3830000000000009</v>
      </c>
      <c r="Z35" s="11">
        <f t="shared" si="15"/>
        <v>1.1758100000000027</v>
      </c>
      <c r="AA35" s="15"/>
      <c r="AB35" s="7">
        <f t="shared" si="16"/>
        <v>11502000</v>
      </c>
      <c r="AC35" s="8">
        <f t="shared" si="16"/>
        <v>11.502000000000001</v>
      </c>
      <c r="AD35" s="8">
        <f t="shared" si="16"/>
        <v>35.311140000000002</v>
      </c>
    </row>
    <row r="36" spans="1:30" ht="14" thickBot="1" x14ac:dyDescent="0.2">
      <c r="A36" s="20"/>
      <c r="B36" s="38"/>
      <c r="C36" s="39">
        <f>SUM(C5:C35)</f>
        <v>0</v>
      </c>
      <c r="D36" s="39">
        <f>SUM(D5:D35)</f>
        <v>0</v>
      </c>
      <c r="E36" s="38"/>
      <c r="F36" s="39">
        <f>SUM(F5:F35)</f>
        <v>3</v>
      </c>
      <c r="G36" s="39">
        <f>SUM(G5:G35)</f>
        <v>9.2099999999999991</v>
      </c>
      <c r="H36" s="38"/>
      <c r="I36" s="39">
        <f>SUM(I5:I35)</f>
        <v>0</v>
      </c>
      <c r="J36" s="39">
        <f>SUM(J5:J35)</f>
        <v>0</v>
      </c>
      <c r="K36" s="38"/>
      <c r="L36" s="39">
        <f>SUM(L5:L35)</f>
        <v>4.2269949999999996</v>
      </c>
      <c r="M36" s="39">
        <f>SUM(M5:M35)</f>
        <v>12.976874649999999</v>
      </c>
      <c r="N36" s="14"/>
      <c r="O36" s="38"/>
      <c r="P36" s="39">
        <f>SUM(P5:P35)</f>
        <v>376.45400000000001</v>
      </c>
      <c r="Q36" s="39">
        <f>SUM(Q5:Q35)</f>
        <v>1155.71378</v>
      </c>
      <c r="R36" s="38"/>
      <c r="S36" s="39">
        <f>SUM(S5:S35)</f>
        <v>388.80599999999993</v>
      </c>
      <c r="T36" s="39">
        <f>SUM(T5:T35)</f>
        <v>1193.6344199999999</v>
      </c>
      <c r="U36" s="38"/>
      <c r="V36" s="39">
        <f>SUM(V5:V35)</f>
        <v>0</v>
      </c>
      <c r="W36" s="39">
        <f>SUM(W5:W35)</f>
        <v>0</v>
      </c>
      <c r="X36" s="38"/>
      <c r="Y36" s="39">
        <f>SUM(Y5:Y35)</f>
        <v>12.397000000000002</v>
      </c>
      <c r="Z36" s="39">
        <f>SUM(Z5:Z35)</f>
        <v>38.058789999999995</v>
      </c>
      <c r="AA36" s="14"/>
      <c r="AB36" s="38"/>
      <c r="AC36" s="39">
        <f>SUM(AC5:AC35)</f>
        <v>376.45400000000001</v>
      </c>
      <c r="AD36" s="39">
        <f>SUM(AD5:AD35)</f>
        <v>1155.71378</v>
      </c>
    </row>
    <row r="37" spans="1:30" x14ac:dyDescent="0.15">
      <c r="C37" s="18"/>
      <c r="E37" s="3"/>
      <c r="F37" s="3"/>
      <c r="G37" s="3"/>
      <c r="H37" s="3"/>
      <c r="I37" s="3"/>
      <c r="J37" s="3"/>
      <c r="K37" s="14"/>
      <c r="L37" s="3"/>
      <c r="M37" s="3"/>
      <c r="N37" s="3"/>
      <c r="O37" s="3"/>
      <c r="P37" s="3"/>
      <c r="Q37" s="3"/>
      <c r="R37" s="3"/>
      <c r="S37" s="3"/>
      <c r="T37" s="3"/>
      <c r="U37" s="14"/>
    </row>
  </sheetData>
  <mergeCells count="9">
    <mergeCell ref="AB3:AD3"/>
    <mergeCell ref="R3:T3"/>
    <mergeCell ref="U3:W3"/>
    <mergeCell ref="B3:D3"/>
    <mergeCell ref="E3:G3"/>
    <mergeCell ref="H3:J3"/>
    <mergeCell ref="O3:Q3"/>
    <mergeCell ref="K3:M3"/>
    <mergeCell ref="X3:Z3"/>
  </mergeCells>
  <phoneticPr fontId="1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A1:AD36"/>
  <sheetViews>
    <sheetView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B1" sqref="B1"/>
    </sheetView>
  </sheetViews>
  <sheetFormatPr baseColWidth="10" defaultColWidth="8.83203125" defaultRowHeight="13" x14ac:dyDescent="0.15"/>
  <cols>
    <col min="2" max="2" width="10.83203125" customWidth="1"/>
    <col min="3" max="3" width="7.6640625" style="18" customWidth="1"/>
    <col min="5" max="5" width="13.5" style="3" bestFit="1" customWidth="1"/>
    <col min="6" max="6" width="8.33203125" style="3" customWidth="1"/>
    <col min="7" max="7" width="9.1640625" style="3"/>
    <col min="8" max="8" width="11.6640625" style="3" customWidth="1"/>
    <col min="9" max="10" width="9.1640625" style="3"/>
    <col min="11" max="11" width="11.83203125" style="14" customWidth="1"/>
    <col min="12" max="12" width="11" style="3" customWidth="1"/>
    <col min="13" max="13" width="11.1640625" style="3" bestFit="1" customWidth="1"/>
    <col min="14" max="14" width="9.1640625" style="3"/>
    <col min="15" max="15" width="13.5" style="3" bestFit="1" customWidth="1"/>
    <col min="16" max="17" width="9.1640625" style="3"/>
    <col min="18" max="18" width="11.6640625" style="3" bestFit="1" customWidth="1"/>
    <col min="19" max="21" width="9.1640625" style="3"/>
    <col min="22" max="22" width="11.6640625" bestFit="1" customWidth="1"/>
    <col min="28" max="28" width="12.6640625" customWidth="1"/>
  </cols>
  <sheetData>
    <row r="1" spans="1:30" ht="13.5" customHeight="1" x14ac:dyDescent="0.15">
      <c r="A1" s="42"/>
      <c r="B1" s="40"/>
      <c r="C1" s="25"/>
      <c r="D1" s="25"/>
      <c r="E1" s="25"/>
      <c r="F1" s="25"/>
      <c r="U1" s="14"/>
      <c r="V1" s="3"/>
      <c r="W1" s="3"/>
      <c r="X1" s="3"/>
    </row>
    <row r="2" spans="1:30" ht="14" thickBot="1" x14ac:dyDescent="0.2">
      <c r="A2" s="3"/>
      <c r="B2" s="3"/>
      <c r="C2" s="24"/>
      <c r="D2" s="3"/>
      <c r="U2" s="14"/>
      <c r="V2" s="3"/>
      <c r="W2" s="3"/>
      <c r="X2" s="3"/>
    </row>
    <row r="3" spans="1:30" ht="60.75" customHeight="1" thickBot="1" x14ac:dyDescent="0.2">
      <c r="A3" s="3"/>
      <c r="B3" s="58" t="s">
        <v>10</v>
      </c>
      <c r="C3" s="59"/>
      <c r="D3" s="60"/>
      <c r="E3" s="58" t="s">
        <v>11</v>
      </c>
      <c r="F3" s="59"/>
      <c r="G3" s="60"/>
      <c r="H3" s="58" t="s">
        <v>12</v>
      </c>
      <c r="I3" s="59"/>
      <c r="J3" s="60"/>
      <c r="K3" s="58" t="s">
        <v>13</v>
      </c>
      <c r="L3" s="59"/>
      <c r="M3" s="60"/>
      <c r="N3" s="19"/>
      <c r="O3" s="58" t="s">
        <v>4</v>
      </c>
      <c r="P3" s="59"/>
      <c r="Q3" s="60"/>
      <c r="R3" s="58" t="s">
        <v>3</v>
      </c>
      <c r="S3" s="59"/>
      <c r="T3" s="60"/>
      <c r="U3" s="58" t="s">
        <v>6</v>
      </c>
      <c r="V3" s="59"/>
      <c r="W3" s="60"/>
      <c r="X3" s="58" t="s">
        <v>7</v>
      </c>
      <c r="Y3" s="59"/>
      <c r="Z3" s="60"/>
      <c r="AA3" s="19"/>
      <c r="AB3" s="55" t="s">
        <v>8</v>
      </c>
      <c r="AC3" s="56"/>
      <c r="AD3" s="57"/>
    </row>
    <row r="4" spans="1:30" x14ac:dyDescent="0.15">
      <c r="A4" s="26"/>
      <c r="B4" s="4" t="s">
        <v>0</v>
      </c>
      <c r="C4" s="17" t="s">
        <v>1</v>
      </c>
      <c r="D4" s="6" t="s">
        <v>2</v>
      </c>
      <c r="E4" s="4" t="s">
        <v>0</v>
      </c>
      <c r="F4" s="5" t="s">
        <v>1</v>
      </c>
      <c r="G4" s="6" t="s">
        <v>2</v>
      </c>
      <c r="H4" s="4" t="s">
        <v>0</v>
      </c>
      <c r="I4" s="5" t="s">
        <v>1</v>
      </c>
      <c r="J4" s="6" t="s">
        <v>2</v>
      </c>
      <c r="K4" s="4" t="s">
        <v>0</v>
      </c>
      <c r="L4" s="5" t="s">
        <v>1</v>
      </c>
      <c r="M4" s="6" t="s">
        <v>2</v>
      </c>
      <c r="N4" s="19"/>
      <c r="O4" s="4" t="s">
        <v>0</v>
      </c>
      <c r="P4" s="5" t="s">
        <v>1</v>
      </c>
      <c r="Q4" s="6" t="s">
        <v>2</v>
      </c>
      <c r="R4" s="4" t="s">
        <v>0</v>
      </c>
      <c r="S4" s="5" t="s">
        <v>1</v>
      </c>
      <c r="T4" s="6" t="s">
        <v>2</v>
      </c>
      <c r="U4" s="4" t="s">
        <v>0</v>
      </c>
      <c r="V4" s="5" t="s">
        <v>1</v>
      </c>
      <c r="W4" s="6" t="s">
        <v>2</v>
      </c>
      <c r="X4" s="4" t="s">
        <v>0</v>
      </c>
      <c r="Y4" s="5" t="s">
        <v>1</v>
      </c>
      <c r="Z4" s="6" t="s">
        <v>2</v>
      </c>
      <c r="AA4" s="19"/>
      <c r="AB4" s="35" t="s">
        <v>0</v>
      </c>
      <c r="AC4" s="36" t="s">
        <v>1</v>
      </c>
      <c r="AD4" s="37" t="s">
        <v>2</v>
      </c>
    </row>
    <row r="5" spans="1:30" x14ac:dyDescent="0.15">
      <c r="A5" s="27">
        <v>38353</v>
      </c>
      <c r="B5" s="7">
        <f>'[3]Jan Prod'!I4</f>
        <v>0</v>
      </c>
      <c r="C5" s="8">
        <f>B5/1000000</f>
        <v>0</v>
      </c>
      <c r="D5" s="10">
        <f>C5*3.07</f>
        <v>0</v>
      </c>
      <c r="E5" s="7">
        <f>'[3]Jan Prod'!E4</f>
        <v>0</v>
      </c>
      <c r="F5" s="8">
        <f>E5/1000000</f>
        <v>0</v>
      </c>
      <c r="G5" s="10">
        <f>F5*3.07</f>
        <v>0</v>
      </c>
      <c r="H5" s="7">
        <f>'[3]Jan Prod'!F4</f>
        <v>0</v>
      </c>
      <c r="I5" s="8">
        <f>H5/1000000</f>
        <v>0</v>
      </c>
      <c r="J5" s="10">
        <f>I5*3.07</f>
        <v>0</v>
      </c>
      <c r="K5" s="7">
        <f>'[3]Jan Prod'!H259</f>
        <v>0</v>
      </c>
      <c r="L5" s="8">
        <f>K5/1000000</f>
        <v>0</v>
      </c>
      <c r="M5" s="10">
        <f>L5*3.07</f>
        <v>0</v>
      </c>
      <c r="N5" s="21"/>
      <c r="O5" s="7">
        <f>'[3]Jan Prod'!H4</f>
        <v>11872000</v>
      </c>
      <c r="P5" s="8">
        <f>O5/1000000</f>
        <v>11.872</v>
      </c>
      <c r="Q5" s="10">
        <f>P5*3.07</f>
        <v>36.447040000000001</v>
      </c>
      <c r="R5" s="7">
        <f>'[3]Jan Prod'!C4</f>
        <v>12226000</v>
      </c>
      <c r="S5" s="8">
        <f>R5/1000000</f>
        <v>12.226000000000001</v>
      </c>
      <c r="T5" s="10">
        <f>S5*3.07</f>
        <v>37.533819999999999</v>
      </c>
      <c r="U5" s="7">
        <f>'[3]Jan Prod'!D4</f>
        <v>0</v>
      </c>
      <c r="V5" s="8">
        <f>U5/1000000</f>
        <v>0</v>
      </c>
      <c r="W5" s="10">
        <f>V5*3.07</f>
        <v>0</v>
      </c>
      <c r="X5" s="7">
        <f>'[3]Jan Prod'!D259</f>
        <v>353999.99999999919</v>
      </c>
      <c r="Y5" s="8">
        <f>X5/1000000</f>
        <v>0.3539999999999992</v>
      </c>
      <c r="Z5" s="10">
        <f>Y5*3.07</f>
        <v>1.0867799999999974</v>
      </c>
      <c r="AA5" s="15"/>
      <c r="AB5" s="7">
        <f>B5+O5</f>
        <v>11872000</v>
      </c>
      <c r="AC5" s="8">
        <f>C5+P5</f>
        <v>11.872</v>
      </c>
      <c r="AD5" s="8">
        <f>D5+Q5</f>
        <v>36.447040000000001</v>
      </c>
    </row>
    <row r="6" spans="1:30" x14ac:dyDescent="0.15">
      <c r="A6" s="27">
        <v>38354</v>
      </c>
      <c r="B6" s="7">
        <f>'[3]Jan Prod'!I5</f>
        <v>0</v>
      </c>
      <c r="C6" s="8">
        <f t="shared" ref="C6:C35" si="0">B6/1000000</f>
        <v>0</v>
      </c>
      <c r="D6" s="10">
        <f t="shared" ref="D6:D35" si="1">C6*3.07</f>
        <v>0</v>
      </c>
      <c r="E6" s="7">
        <f>'[3]Jan Prod'!E5</f>
        <v>0</v>
      </c>
      <c r="F6" s="8">
        <f t="shared" ref="F6:F35" si="2">E6/1000000</f>
        <v>0</v>
      </c>
      <c r="G6" s="10">
        <f t="shared" ref="G6:G35" si="3">F6*3.07</f>
        <v>0</v>
      </c>
      <c r="H6" s="7">
        <f>'[3]Jan Prod'!F5</f>
        <v>0</v>
      </c>
      <c r="I6" s="8">
        <f t="shared" ref="I6:I35" si="4">H6/1000000</f>
        <v>0</v>
      </c>
      <c r="J6" s="10">
        <f t="shared" ref="J6:J35" si="5">I6*3.07</f>
        <v>0</v>
      </c>
      <c r="K6" s="7">
        <f>'[3]Jan Prod'!H260</f>
        <v>0</v>
      </c>
      <c r="L6" s="8">
        <f t="shared" ref="L6:L35" si="6">K6/1000000</f>
        <v>0</v>
      </c>
      <c r="M6" s="10">
        <f t="shared" ref="M6:M35" si="7">L6*3.07</f>
        <v>0</v>
      </c>
      <c r="N6" s="21"/>
      <c r="O6" s="7">
        <f>'[3]Jan Prod'!H5</f>
        <v>11491000</v>
      </c>
      <c r="P6" s="8">
        <f t="shared" ref="P6:P35" si="8">O6/1000000</f>
        <v>11.491</v>
      </c>
      <c r="Q6" s="10">
        <f t="shared" ref="Q6:Q35" si="9">P6*3.07</f>
        <v>35.277369999999998</v>
      </c>
      <c r="R6" s="7">
        <f>'[3]Jan Prod'!C5</f>
        <v>11874000</v>
      </c>
      <c r="S6" s="8">
        <f t="shared" ref="S6:S35" si="10">R6/1000000</f>
        <v>11.874000000000001</v>
      </c>
      <c r="T6" s="10">
        <f t="shared" ref="T6:T35" si="11">S6*3.07</f>
        <v>36.453180000000003</v>
      </c>
      <c r="U6" s="7">
        <f>'[3]Jan Prod'!D5</f>
        <v>0</v>
      </c>
      <c r="V6" s="8">
        <f t="shared" ref="V6:V35" si="12">U6/1000000</f>
        <v>0</v>
      </c>
      <c r="W6" s="10">
        <f t="shared" ref="W6:W35" si="13">V6*3.07</f>
        <v>0</v>
      </c>
      <c r="X6" s="7">
        <f>'[3]Jan Prod'!D260</f>
        <v>383000.00000000087</v>
      </c>
      <c r="Y6" s="8">
        <f t="shared" ref="Y6:Y35" si="14">X6/1000000</f>
        <v>0.3830000000000009</v>
      </c>
      <c r="Z6" s="10">
        <f t="shared" ref="Z6:Z35" si="15">Y6*3.07</f>
        <v>1.1758100000000027</v>
      </c>
      <c r="AA6" s="15"/>
      <c r="AB6" s="7">
        <f t="shared" ref="AB6:AD35" si="16">B6+O6</f>
        <v>11491000</v>
      </c>
      <c r="AC6" s="8">
        <f t="shared" si="16"/>
        <v>11.491</v>
      </c>
      <c r="AD6" s="8">
        <f t="shared" si="16"/>
        <v>35.277369999999998</v>
      </c>
    </row>
    <row r="7" spans="1:30" x14ac:dyDescent="0.15">
      <c r="A7" s="27">
        <v>38355</v>
      </c>
      <c r="B7" s="7">
        <f>'[3]Jan Prod'!I6</f>
        <v>0</v>
      </c>
      <c r="C7" s="8">
        <f t="shared" si="0"/>
        <v>0</v>
      </c>
      <c r="D7" s="10">
        <f t="shared" si="1"/>
        <v>0</v>
      </c>
      <c r="E7" s="7">
        <f>'[3]Jan Prod'!E6</f>
        <v>0</v>
      </c>
      <c r="F7" s="8">
        <f t="shared" si="2"/>
        <v>0</v>
      </c>
      <c r="G7" s="10">
        <f t="shared" si="3"/>
        <v>0</v>
      </c>
      <c r="H7" s="7">
        <f>'[3]Jan Prod'!F6</f>
        <v>0</v>
      </c>
      <c r="I7" s="8">
        <f t="shared" si="4"/>
        <v>0</v>
      </c>
      <c r="J7" s="10">
        <f t="shared" si="5"/>
        <v>0</v>
      </c>
      <c r="K7" s="7">
        <f>'[3]Jan Prod'!H261</f>
        <v>0</v>
      </c>
      <c r="L7" s="8">
        <f t="shared" si="6"/>
        <v>0</v>
      </c>
      <c r="M7" s="10">
        <f t="shared" si="7"/>
        <v>0</v>
      </c>
      <c r="N7" s="21"/>
      <c r="O7" s="7">
        <f>'[3]Jan Prod'!H6</f>
        <v>11539000</v>
      </c>
      <c r="P7" s="8">
        <f t="shared" si="8"/>
        <v>11.539</v>
      </c>
      <c r="Q7" s="10">
        <f t="shared" si="9"/>
        <v>35.424729999999997</v>
      </c>
      <c r="R7" s="7">
        <f>'[3]Jan Prod'!C6</f>
        <v>11970000</v>
      </c>
      <c r="S7" s="8">
        <f t="shared" si="10"/>
        <v>11.97</v>
      </c>
      <c r="T7" s="10">
        <f t="shared" si="11"/>
        <v>36.747900000000001</v>
      </c>
      <c r="U7" s="7">
        <f>'[3]Jan Prod'!D6</f>
        <v>0</v>
      </c>
      <c r="V7" s="8">
        <f t="shared" si="12"/>
        <v>0</v>
      </c>
      <c r="W7" s="10">
        <f t="shared" si="13"/>
        <v>0</v>
      </c>
      <c r="X7" s="7">
        <f>'[3]Jan Prod'!D261</f>
        <v>430999.99999999919</v>
      </c>
      <c r="Y7" s="8">
        <f t="shared" si="14"/>
        <v>0.43099999999999916</v>
      </c>
      <c r="Z7" s="10">
        <f t="shared" si="15"/>
        <v>1.3231699999999973</v>
      </c>
      <c r="AA7" s="15"/>
      <c r="AB7" s="7">
        <f t="shared" si="16"/>
        <v>11539000</v>
      </c>
      <c r="AC7" s="8">
        <f t="shared" si="16"/>
        <v>11.539</v>
      </c>
      <c r="AD7" s="8">
        <f t="shared" si="16"/>
        <v>35.424729999999997</v>
      </c>
    </row>
    <row r="8" spans="1:30" x14ac:dyDescent="0.15">
      <c r="A8" s="27">
        <v>38356</v>
      </c>
      <c r="B8" s="7">
        <f>'[3]Jan Prod'!I7</f>
        <v>0</v>
      </c>
      <c r="C8" s="8">
        <f t="shared" si="0"/>
        <v>0</v>
      </c>
      <c r="D8" s="10">
        <f t="shared" si="1"/>
        <v>0</v>
      </c>
      <c r="E8" s="7">
        <f>'[3]Jan Prod'!E7</f>
        <v>0</v>
      </c>
      <c r="F8" s="8">
        <f t="shared" si="2"/>
        <v>0</v>
      </c>
      <c r="G8" s="10">
        <f t="shared" si="3"/>
        <v>0</v>
      </c>
      <c r="H8" s="7">
        <f>'[3]Jan Prod'!F7</f>
        <v>0</v>
      </c>
      <c r="I8" s="8">
        <f t="shared" si="4"/>
        <v>0</v>
      </c>
      <c r="J8" s="10">
        <f t="shared" si="5"/>
        <v>0</v>
      </c>
      <c r="K8" s="7">
        <f>'[3]Jan Prod'!H262</f>
        <v>0</v>
      </c>
      <c r="L8" s="8">
        <f t="shared" si="6"/>
        <v>0</v>
      </c>
      <c r="M8" s="10">
        <f t="shared" si="7"/>
        <v>0</v>
      </c>
      <c r="N8" s="21"/>
      <c r="O8" s="7">
        <f>'[3]Jan Prod'!H7</f>
        <v>11692000</v>
      </c>
      <c r="P8" s="8">
        <f t="shared" si="8"/>
        <v>11.692</v>
      </c>
      <c r="Q8" s="10">
        <f t="shared" si="9"/>
        <v>35.894439999999996</v>
      </c>
      <c r="R8" s="7">
        <f>'[3]Jan Prod'!C7</f>
        <v>12096000</v>
      </c>
      <c r="S8" s="8">
        <f t="shared" si="10"/>
        <v>12.096</v>
      </c>
      <c r="T8" s="10">
        <f t="shared" si="11"/>
        <v>37.134720000000002</v>
      </c>
      <c r="U8" s="7">
        <f>'[3]Jan Prod'!D7</f>
        <v>0</v>
      </c>
      <c r="V8" s="8">
        <f t="shared" si="12"/>
        <v>0</v>
      </c>
      <c r="W8" s="10">
        <f t="shared" si="13"/>
        <v>0</v>
      </c>
      <c r="X8" s="7">
        <f>'[3]Jan Prod'!D262</f>
        <v>403999.99999999994</v>
      </c>
      <c r="Y8" s="8">
        <f t="shared" si="14"/>
        <v>0.40399999999999991</v>
      </c>
      <c r="Z8" s="10">
        <f t="shared" si="15"/>
        <v>1.2402799999999996</v>
      </c>
      <c r="AA8" s="15"/>
      <c r="AB8" s="7">
        <f t="shared" si="16"/>
        <v>11692000</v>
      </c>
      <c r="AC8" s="8">
        <f t="shared" si="16"/>
        <v>11.692</v>
      </c>
      <c r="AD8" s="8">
        <f>D8+Q8</f>
        <v>35.894439999999996</v>
      </c>
    </row>
    <row r="9" spans="1:30" x14ac:dyDescent="0.15">
      <c r="A9" s="27">
        <v>38357</v>
      </c>
      <c r="B9" s="7">
        <f>'[3]Jan Prod'!I8</f>
        <v>0</v>
      </c>
      <c r="C9" s="8">
        <f t="shared" si="0"/>
        <v>0</v>
      </c>
      <c r="D9" s="10">
        <f t="shared" si="1"/>
        <v>0</v>
      </c>
      <c r="E9" s="7">
        <f>'[3]Jan Prod'!E8</f>
        <v>0</v>
      </c>
      <c r="F9" s="8">
        <f t="shared" si="2"/>
        <v>0</v>
      </c>
      <c r="G9" s="10">
        <f t="shared" si="3"/>
        <v>0</v>
      </c>
      <c r="H9" s="7">
        <f>'[3]Jan Prod'!F8</f>
        <v>0</v>
      </c>
      <c r="I9" s="8">
        <f t="shared" si="4"/>
        <v>0</v>
      </c>
      <c r="J9" s="10">
        <f t="shared" si="5"/>
        <v>0</v>
      </c>
      <c r="K9" s="7">
        <f>'[3]Jan Prod'!H263</f>
        <v>0</v>
      </c>
      <c r="L9" s="8">
        <f t="shared" si="6"/>
        <v>0</v>
      </c>
      <c r="M9" s="10">
        <f t="shared" si="7"/>
        <v>0</v>
      </c>
      <c r="N9" s="21"/>
      <c r="O9" s="7">
        <f>'[3]Jan Prod'!H8</f>
        <v>12071000</v>
      </c>
      <c r="P9" s="8">
        <f t="shared" si="8"/>
        <v>12.071</v>
      </c>
      <c r="Q9" s="10">
        <f t="shared" si="9"/>
        <v>37.057969999999997</v>
      </c>
      <c r="R9" s="7">
        <f>'[3]Jan Prod'!C8</f>
        <v>12475000</v>
      </c>
      <c r="S9" s="8">
        <f t="shared" si="10"/>
        <v>12.475</v>
      </c>
      <c r="T9" s="10">
        <f t="shared" si="11"/>
        <v>38.298249999999996</v>
      </c>
      <c r="U9" s="7">
        <f>'[3]Jan Prod'!D8</f>
        <v>0</v>
      </c>
      <c r="V9" s="8">
        <f t="shared" si="12"/>
        <v>0</v>
      </c>
      <c r="W9" s="10">
        <f t="shared" si="13"/>
        <v>0</v>
      </c>
      <c r="X9" s="7">
        <f>'[3]Jan Prod'!D263</f>
        <v>403999.99999999994</v>
      </c>
      <c r="Y9" s="8">
        <f t="shared" si="14"/>
        <v>0.40399999999999991</v>
      </c>
      <c r="Z9" s="10">
        <f t="shared" si="15"/>
        <v>1.2402799999999996</v>
      </c>
      <c r="AA9" s="15"/>
      <c r="AB9" s="7">
        <f t="shared" si="16"/>
        <v>12071000</v>
      </c>
      <c r="AC9" s="8">
        <f t="shared" si="16"/>
        <v>12.071</v>
      </c>
      <c r="AD9" s="8">
        <f t="shared" si="16"/>
        <v>37.057969999999997</v>
      </c>
    </row>
    <row r="10" spans="1:30" x14ac:dyDescent="0.15">
      <c r="A10" s="27">
        <v>38358</v>
      </c>
      <c r="B10" s="7">
        <f>'[3]Jan Prod'!I9</f>
        <v>0</v>
      </c>
      <c r="C10" s="8">
        <f t="shared" si="0"/>
        <v>0</v>
      </c>
      <c r="D10" s="10">
        <f t="shared" si="1"/>
        <v>0</v>
      </c>
      <c r="E10" s="7">
        <f>'[3]Jan Prod'!E9</f>
        <v>0</v>
      </c>
      <c r="F10" s="8">
        <f t="shared" si="2"/>
        <v>0</v>
      </c>
      <c r="G10" s="10">
        <f t="shared" si="3"/>
        <v>0</v>
      </c>
      <c r="H10" s="7">
        <f>'[3]Jan Prod'!F9</f>
        <v>0</v>
      </c>
      <c r="I10" s="8">
        <f t="shared" si="4"/>
        <v>0</v>
      </c>
      <c r="J10" s="10">
        <f t="shared" si="5"/>
        <v>0</v>
      </c>
      <c r="K10" s="7">
        <f>'[3]Jan Prod'!H264</f>
        <v>0</v>
      </c>
      <c r="L10" s="8">
        <f t="shared" si="6"/>
        <v>0</v>
      </c>
      <c r="M10" s="10">
        <f t="shared" si="7"/>
        <v>0</v>
      </c>
      <c r="N10" s="21"/>
      <c r="O10" s="7">
        <f>'[3]Jan Prod'!H9</f>
        <v>11798000</v>
      </c>
      <c r="P10" s="8">
        <f t="shared" si="8"/>
        <v>11.798</v>
      </c>
      <c r="Q10" s="10">
        <f t="shared" si="9"/>
        <v>36.219859999999997</v>
      </c>
      <c r="R10" s="7">
        <f>'[3]Jan Prod'!C9</f>
        <v>12038000</v>
      </c>
      <c r="S10" s="8">
        <f t="shared" si="10"/>
        <v>12.038</v>
      </c>
      <c r="T10" s="10">
        <f t="shared" si="11"/>
        <v>36.956659999999999</v>
      </c>
      <c r="U10" s="7">
        <f>'[3]Jan Prod'!D9</f>
        <v>0</v>
      </c>
      <c r="V10" s="8">
        <f t="shared" si="12"/>
        <v>0</v>
      </c>
      <c r="W10" s="10">
        <f t="shared" si="13"/>
        <v>0</v>
      </c>
      <c r="X10" s="7">
        <f>'[3]Jan Prod'!D264</f>
        <v>240000.0000000002</v>
      </c>
      <c r="Y10" s="8">
        <f t="shared" si="14"/>
        <v>0.24000000000000021</v>
      </c>
      <c r="Z10" s="10">
        <f t="shared" si="15"/>
        <v>0.73680000000000057</v>
      </c>
      <c r="AA10" s="15"/>
      <c r="AB10" s="7">
        <f t="shared" si="16"/>
        <v>11798000</v>
      </c>
      <c r="AC10" s="8">
        <f t="shared" si="16"/>
        <v>11.798</v>
      </c>
      <c r="AD10" s="8">
        <f t="shared" si="16"/>
        <v>36.219859999999997</v>
      </c>
    </row>
    <row r="11" spans="1:30" x14ac:dyDescent="0.15">
      <c r="A11" s="27">
        <v>38359</v>
      </c>
      <c r="B11" s="7">
        <f>'[3]Jan Prod'!I10</f>
        <v>0</v>
      </c>
      <c r="C11" s="8">
        <f t="shared" si="0"/>
        <v>0</v>
      </c>
      <c r="D11" s="10">
        <f t="shared" si="1"/>
        <v>0</v>
      </c>
      <c r="E11" s="7">
        <f>'[3]Jan Prod'!E10</f>
        <v>0</v>
      </c>
      <c r="F11" s="8">
        <f t="shared" si="2"/>
        <v>0</v>
      </c>
      <c r="G11" s="10">
        <f t="shared" si="3"/>
        <v>0</v>
      </c>
      <c r="H11" s="7">
        <f>'[3]Jan Prod'!F10</f>
        <v>0</v>
      </c>
      <c r="I11" s="8">
        <f t="shared" si="4"/>
        <v>0</v>
      </c>
      <c r="J11" s="10">
        <f t="shared" si="5"/>
        <v>0</v>
      </c>
      <c r="K11" s="7">
        <f>'[3]Jan Prod'!H265</f>
        <v>0</v>
      </c>
      <c r="L11" s="8">
        <f t="shared" si="6"/>
        <v>0</v>
      </c>
      <c r="M11" s="10">
        <f t="shared" si="7"/>
        <v>0</v>
      </c>
      <c r="N11" s="21"/>
      <c r="O11" s="7">
        <f>'[3]Jan Prod'!H10</f>
        <v>11436000</v>
      </c>
      <c r="P11" s="8">
        <f t="shared" si="8"/>
        <v>11.436</v>
      </c>
      <c r="Q11" s="10">
        <f t="shared" si="9"/>
        <v>35.108519999999999</v>
      </c>
      <c r="R11" s="7">
        <f>'[3]Jan Prod'!C10</f>
        <v>11839000</v>
      </c>
      <c r="S11" s="8">
        <f t="shared" si="10"/>
        <v>11.839</v>
      </c>
      <c r="T11" s="10">
        <f t="shared" si="11"/>
        <v>36.345729999999996</v>
      </c>
      <c r="U11" s="7">
        <f>'[3]Jan Prod'!D10</f>
        <v>0</v>
      </c>
      <c r="V11" s="8">
        <f t="shared" si="12"/>
        <v>0</v>
      </c>
      <c r="W11" s="10">
        <f t="shared" si="13"/>
        <v>0</v>
      </c>
      <c r="X11" s="7">
        <f>'[3]Jan Prod'!D265</f>
        <v>403000.00000000047</v>
      </c>
      <c r="Y11" s="8">
        <f t="shared" si="14"/>
        <v>0.40300000000000047</v>
      </c>
      <c r="Z11" s="10">
        <f t="shared" si="15"/>
        <v>1.2372100000000015</v>
      </c>
      <c r="AA11" s="15"/>
      <c r="AB11" s="7">
        <f t="shared" si="16"/>
        <v>11436000</v>
      </c>
      <c r="AC11" s="8">
        <f t="shared" si="16"/>
        <v>11.436</v>
      </c>
      <c r="AD11" s="8">
        <f t="shared" si="16"/>
        <v>35.108519999999999</v>
      </c>
    </row>
    <row r="12" spans="1:30" x14ac:dyDescent="0.15">
      <c r="A12" s="27">
        <v>38360</v>
      </c>
      <c r="B12" s="7">
        <f>'[3]Jan Prod'!I11</f>
        <v>0</v>
      </c>
      <c r="C12" s="8">
        <f t="shared" si="0"/>
        <v>0</v>
      </c>
      <c r="D12" s="10">
        <f t="shared" si="1"/>
        <v>0</v>
      </c>
      <c r="E12" s="7">
        <f>'[3]Jan Prod'!E11</f>
        <v>0</v>
      </c>
      <c r="F12" s="8">
        <f t="shared" si="2"/>
        <v>0</v>
      </c>
      <c r="G12" s="10">
        <f t="shared" si="3"/>
        <v>0</v>
      </c>
      <c r="H12" s="7">
        <f>'[3]Jan Prod'!F11</f>
        <v>0</v>
      </c>
      <c r="I12" s="8">
        <f t="shared" si="4"/>
        <v>0</v>
      </c>
      <c r="J12" s="10">
        <f t="shared" si="5"/>
        <v>0</v>
      </c>
      <c r="K12" s="7">
        <f>'[3]Jan Prod'!H266</f>
        <v>0</v>
      </c>
      <c r="L12" s="8">
        <f t="shared" si="6"/>
        <v>0</v>
      </c>
      <c r="M12" s="10">
        <f t="shared" si="7"/>
        <v>0</v>
      </c>
      <c r="N12" s="21"/>
      <c r="O12" s="7">
        <f>'[3]Jan Prod'!H11</f>
        <v>11696000</v>
      </c>
      <c r="P12" s="8">
        <f t="shared" si="8"/>
        <v>11.696</v>
      </c>
      <c r="Q12" s="10">
        <f t="shared" si="9"/>
        <v>35.90672</v>
      </c>
      <c r="R12" s="7">
        <f>'[3]Jan Prod'!C11</f>
        <v>12100000</v>
      </c>
      <c r="S12" s="8">
        <f t="shared" si="10"/>
        <v>12.1</v>
      </c>
      <c r="T12" s="10">
        <f t="shared" si="11"/>
        <v>37.146999999999998</v>
      </c>
      <c r="U12" s="7">
        <f>'[3]Jan Prod'!D11</f>
        <v>0</v>
      </c>
      <c r="V12" s="8">
        <f t="shared" si="12"/>
        <v>0</v>
      </c>
      <c r="W12" s="10">
        <f t="shared" si="13"/>
        <v>0</v>
      </c>
      <c r="X12" s="7">
        <f>'[3]Jan Prod'!D266</f>
        <v>403999.99999999994</v>
      </c>
      <c r="Y12" s="8">
        <f t="shared" si="14"/>
        <v>0.40399999999999991</v>
      </c>
      <c r="Z12" s="10">
        <f t="shared" si="15"/>
        <v>1.2402799999999996</v>
      </c>
      <c r="AA12" s="15"/>
      <c r="AB12" s="7">
        <f t="shared" si="16"/>
        <v>11696000</v>
      </c>
      <c r="AC12" s="8">
        <f t="shared" si="16"/>
        <v>11.696</v>
      </c>
      <c r="AD12" s="8">
        <f t="shared" si="16"/>
        <v>35.90672</v>
      </c>
    </row>
    <row r="13" spans="1:30" x14ac:dyDescent="0.15">
      <c r="A13" s="27">
        <v>38361</v>
      </c>
      <c r="B13" s="7">
        <f>'[3]Jan Prod'!I12</f>
        <v>0</v>
      </c>
      <c r="C13" s="8">
        <f t="shared" si="0"/>
        <v>0</v>
      </c>
      <c r="D13" s="10">
        <f t="shared" si="1"/>
        <v>0</v>
      </c>
      <c r="E13" s="7">
        <f>'[3]Jan Prod'!E12</f>
        <v>0</v>
      </c>
      <c r="F13" s="8">
        <f t="shared" si="2"/>
        <v>0</v>
      </c>
      <c r="G13" s="10">
        <f t="shared" si="3"/>
        <v>0</v>
      </c>
      <c r="H13" s="7">
        <f>'[3]Jan Prod'!F12</f>
        <v>0</v>
      </c>
      <c r="I13" s="8">
        <f t="shared" si="4"/>
        <v>0</v>
      </c>
      <c r="J13" s="10">
        <f t="shared" si="5"/>
        <v>0</v>
      </c>
      <c r="K13" s="7">
        <f>'[3]Jan Prod'!H267</f>
        <v>0</v>
      </c>
      <c r="L13" s="8">
        <f t="shared" si="6"/>
        <v>0</v>
      </c>
      <c r="M13" s="10">
        <f t="shared" si="7"/>
        <v>0</v>
      </c>
      <c r="N13" s="21"/>
      <c r="O13" s="7">
        <f>'[3]Jan Prod'!H12</f>
        <v>12538000</v>
      </c>
      <c r="P13" s="8">
        <f t="shared" si="8"/>
        <v>12.538</v>
      </c>
      <c r="Q13" s="10">
        <f t="shared" si="9"/>
        <v>38.491659999999996</v>
      </c>
      <c r="R13" s="7">
        <f>'[3]Jan Prod'!C12</f>
        <v>12920000</v>
      </c>
      <c r="S13" s="8">
        <f t="shared" si="10"/>
        <v>12.92</v>
      </c>
      <c r="T13" s="10">
        <f t="shared" si="11"/>
        <v>39.664400000000001</v>
      </c>
      <c r="U13" s="7">
        <f>'[3]Jan Prod'!D12</f>
        <v>0</v>
      </c>
      <c r="V13" s="8">
        <f t="shared" si="12"/>
        <v>0</v>
      </c>
      <c r="W13" s="10">
        <f t="shared" si="13"/>
        <v>0</v>
      </c>
      <c r="X13" s="7">
        <f>'[3]Jan Prod'!D267</f>
        <v>381999.99999999965</v>
      </c>
      <c r="Y13" s="8">
        <f t="shared" si="14"/>
        <v>0.38199999999999967</v>
      </c>
      <c r="Z13" s="10">
        <f t="shared" si="15"/>
        <v>1.172739999999999</v>
      </c>
      <c r="AA13" s="15"/>
      <c r="AB13" s="7">
        <f t="shared" si="16"/>
        <v>12538000</v>
      </c>
      <c r="AC13" s="8">
        <f t="shared" si="16"/>
        <v>12.538</v>
      </c>
      <c r="AD13" s="8">
        <f t="shared" si="16"/>
        <v>38.491659999999996</v>
      </c>
    </row>
    <row r="14" spans="1:30" x14ac:dyDescent="0.15">
      <c r="A14" s="27">
        <v>38362</v>
      </c>
      <c r="B14" s="7">
        <f>'[3]Jan Prod'!I13</f>
        <v>0</v>
      </c>
      <c r="C14" s="8">
        <f t="shared" si="0"/>
        <v>0</v>
      </c>
      <c r="D14" s="10">
        <f t="shared" si="1"/>
        <v>0</v>
      </c>
      <c r="E14" s="7">
        <f>'[3]Jan Prod'!E13</f>
        <v>0</v>
      </c>
      <c r="F14" s="8">
        <f t="shared" si="2"/>
        <v>0</v>
      </c>
      <c r="G14" s="10">
        <f t="shared" si="3"/>
        <v>0</v>
      </c>
      <c r="H14" s="7">
        <f>'[3]Jan Prod'!F13</f>
        <v>0</v>
      </c>
      <c r="I14" s="8">
        <f t="shared" si="4"/>
        <v>0</v>
      </c>
      <c r="J14" s="10">
        <f t="shared" si="5"/>
        <v>0</v>
      </c>
      <c r="K14" s="7">
        <f>'[3]Jan Prod'!H268</f>
        <v>0</v>
      </c>
      <c r="L14" s="8">
        <f t="shared" si="6"/>
        <v>0</v>
      </c>
      <c r="M14" s="10">
        <f t="shared" si="7"/>
        <v>0</v>
      </c>
      <c r="N14" s="21"/>
      <c r="O14" s="7">
        <f>'[3]Jan Prod'!H13</f>
        <v>12789000</v>
      </c>
      <c r="P14" s="8">
        <f t="shared" si="8"/>
        <v>12.789</v>
      </c>
      <c r="Q14" s="10">
        <f t="shared" si="9"/>
        <v>39.262229999999995</v>
      </c>
      <c r="R14" s="7">
        <f>'[3]Jan Prod'!C13</f>
        <v>13170000</v>
      </c>
      <c r="S14" s="8">
        <f t="shared" si="10"/>
        <v>13.17</v>
      </c>
      <c r="T14" s="10">
        <f t="shared" si="11"/>
        <v>40.431899999999999</v>
      </c>
      <c r="U14" s="7">
        <f>'[3]Jan Prod'!D13</f>
        <v>0</v>
      </c>
      <c r="V14" s="8">
        <f t="shared" si="12"/>
        <v>0</v>
      </c>
      <c r="W14" s="10">
        <f t="shared" si="13"/>
        <v>0</v>
      </c>
      <c r="X14" s="7">
        <f>'[3]Jan Prod'!D268</f>
        <v>381000.00000000023</v>
      </c>
      <c r="Y14" s="8">
        <f t="shared" si="14"/>
        <v>0.38100000000000023</v>
      </c>
      <c r="Z14" s="10">
        <f t="shared" si="15"/>
        <v>1.1696700000000007</v>
      </c>
      <c r="AA14" s="15"/>
      <c r="AB14" s="7">
        <f t="shared" si="16"/>
        <v>12789000</v>
      </c>
      <c r="AC14" s="8">
        <f t="shared" si="16"/>
        <v>12.789</v>
      </c>
      <c r="AD14" s="8">
        <f t="shared" si="16"/>
        <v>39.262229999999995</v>
      </c>
    </row>
    <row r="15" spans="1:30" x14ac:dyDescent="0.15">
      <c r="A15" s="27">
        <v>38363</v>
      </c>
      <c r="B15" s="7">
        <f>'[3]Jan Prod'!I14</f>
        <v>0</v>
      </c>
      <c r="C15" s="8">
        <f t="shared" si="0"/>
        <v>0</v>
      </c>
      <c r="D15" s="10">
        <f t="shared" si="1"/>
        <v>0</v>
      </c>
      <c r="E15" s="7">
        <f>'[3]Jan Prod'!E14</f>
        <v>0</v>
      </c>
      <c r="F15" s="8">
        <f t="shared" si="2"/>
        <v>0</v>
      </c>
      <c r="G15" s="10">
        <f t="shared" si="3"/>
        <v>0</v>
      </c>
      <c r="H15" s="7">
        <f>'[3]Jan Prod'!F14</f>
        <v>0</v>
      </c>
      <c r="I15" s="8">
        <f t="shared" si="4"/>
        <v>0</v>
      </c>
      <c r="J15" s="10">
        <f t="shared" si="5"/>
        <v>0</v>
      </c>
      <c r="K15" s="7">
        <f>'[3]Jan Prod'!H269</f>
        <v>0</v>
      </c>
      <c r="L15" s="8">
        <f t="shared" si="6"/>
        <v>0</v>
      </c>
      <c r="M15" s="10">
        <f t="shared" si="7"/>
        <v>0</v>
      </c>
      <c r="N15" s="21"/>
      <c r="O15" s="7">
        <f>'[3]Jan Prod'!H14</f>
        <v>11646000</v>
      </c>
      <c r="P15" s="8">
        <f t="shared" si="8"/>
        <v>11.646000000000001</v>
      </c>
      <c r="Q15" s="10">
        <f t="shared" si="9"/>
        <v>35.753219999999999</v>
      </c>
      <c r="R15" s="7">
        <f>'[3]Jan Prod'!C14</f>
        <v>12050000</v>
      </c>
      <c r="S15" s="8">
        <f t="shared" si="10"/>
        <v>12.05</v>
      </c>
      <c r="T15" s="10">
        <f t="shared" si="11"/>
        <v>36.993499999999997</v>
      </c>
      <c r="U15" s="7">
        <f>'[3]Jan Prod'!D14</f>
        <v>0</v>
      </c>
      <c r="V15" s="8">
        <f t="shared" si="12"/>
        <v>0</v>
      </c>
      <c r="W15" s="10">
        <f t="shared" si="13"/>
        <v>0</v>
      </c>
      <c r="X15" s="7">
        <f>'[3]Jan Prod'!D269</f>
        <v>403999.99999999994</v>
      </c>
      <c r="Y15" s="8">
        <f t="shared" si="14"/>
        <v>0.40399999999999991</v>
      </c>
      <c r="Z15" s="10">
        <f t="shared" si="15"/>
        <v>1.2402799999999996</v>
      </c>
      <c r="AA15" s="15"/>
      <c r="AB15" s="7">
        <f t="shared" si="16"/>
        <v>11646000</v>
      </c>
      <c r="AC15" s="8">
        <f t="shared" si="16"/>
        <v>11.646000000000001</v>
      </c>
      <c r="AD15" s="8">
        <f t="shared" si="16"/>
        <v>35.753219999999999</v>
      </c>
    </row>
    <row r="16" spans="1:30" x14ac:dyDescent="0.15">
      <c r="A16" s="27">
        <v>38364</v>
      </c>
      <c r="B16" s="7">
        <f>'[3]Jan Prod'!I15</f>
        <v>0</v>
      </c>
      <c r="C16" s="8">
        <f t="shared" si="0"/>
        <v>0</v>
      </c>
      <c r="D16" s="10">
        <f t="shared" si="1"/>
        <v>0</v>
      </c>
      <c r="E16" s="7">
        <f>'[3]Jan Prod'!E15</f>
        <v>0</v>
      </c>
      <c r="F16" s="8">
        <f t="shared" si="2"/>
        <v>0</v>
      </c>
      <c r="G16" s="10">
        <f t="shared" si="3"/>
        <v>0</v>
      </c>
      <c r="H16" s="7">
        <f>'[3]Jan Prod'!F15</f>
        <v>530000</v>
      </c>
      <c r="I16" s="8">
        <f t="shared" si="4"/>
        <v>0.53</v>
      </c>
      <c r="J16" s="10">
        <f t="shared" si="5"/>
        <v>1.6271</v>
      </c>
      <c r="K16" s="7">
        <f>'[3]Jan Prod'!H270</f>
        <v>10208</v>
      </c>
      <c r="L16" s="8">
        <f t="shared" si="6"/>
        <v>1.0208E-2</v>
      </c>
      <c r="M16" s="10">
        <f t="shared" si="7"/>
        <v>3.1338560000000001E-2</v>
      </c>
      <c r="N16" s="21"/>
      <c r="O16" s="7">
        <f>'[3]Jan Prod'!H15</f>
        <v>11643000</v>
      </c>
      <c r="P16" s="8">
        <f t="shared" si="8"/>
        <v>11.643000000000001</v>
      </c>
      <c r="Q16" s="10">
        <f t="shared" si="9"/>
        <v>35.744010000000003</v>
      </c>
      <c r="R16" s="7">
        <f>'[3]Jan Prod'!C15</f>
        <v>11976000</v>
      </c>
      <c r="S16" s="8">
        <f t="shared" si="10"/>
        <v>11.976000000000001</v>
      </c>
      <c r="T16" s="10">
        <f t="shared" si="11"/>
        <v>36.76632</v>
      </c>
      <c r="U16" s="7">
        <f>'[3]Jan Prod'!D15</f>
        <v>0</v>
      </c>
      <c r="V16" s="8">
        <f t="shared" si="12"/>
        <v>0</v>
      </c>
      <c r="W16" s="10">
        <f t="shared" si="13"/>
        <v>0</v>
      </c>
      <c r="X16" s="7">
        <f>'[3]Jan Prod'!D270</f>
        <v>333000.00000000017</v>
      </c>
      <c r="Y16" s="8">
        <f t="shared" si="14"/>
        <v>0.33300000000000018</v>
      </c>
      <c r="Z16" s="10">
        <f t="shared" si="15"/>
        <v>1.0223100000000005</v>
      </c>
      <c r="AA16" s="15"/>
      <c r="AB16" s="7">
        <f t="shared" si="16"/>
        <v>11643000</v>
      </c>
      <c r="AC16" s="8">
        <f t="shared" si="16"/>
        <v>11.643000000000001</v>
      </c>
      <c r="AD16" s="8">
        <f t="shared" si="16"/>
        <v>35.744010000000003</v>
      </c>
    </row>
    <row r="17" spans="1:30" x14ac:dyDescent="0.15">
      <c r="A17" s="27">
        <v>38365</v>
      </c>
      <c r="B17" s="7">
        <f>'[3]Jan Prod'!I16</f>
        <v>0</v>
      </c>
      <c r="C17" s="8">
        <f t="shared" si="0"/>
        <v>0</v>
      </c>
      <c r="D17" s="10">
        <f t="shared" si="1"/>
        <v>0</v>
      </c>
      <c r="E17" s="7">
        <f>'[3]Jan Prod'!E16</f>
        <v>0</v>
      </c>
      <c r="F17" s="8">
        <f t="shared" si="2"/>
        <v>0</v>
      </c>
      <c r="G17" s="10">
        <f t="shared" si="3"/>
        <v>0</v>
      </c>
      <c r="H17" s="7">
        <f>'[3]Jan Prod'!F16</f>
        <v>0</v>
      </c>
      <c r="I17" s="8">
        <f t="shared" si="4"/>
        <v>0</v>
      </c>
      <c r="J17" s="10">
        <f t="shared" si="5"/>
        <v>0</v>
      </c>
      <c r="K17" s="7">
        <f>'[3]Jan Prod'!H271</f>
        <v>0</v>
      </c>
      <c r="L17" s="8">
        <f t="shared" si="6"/>
        <v>0</v>
      </c>
      <c r="M17" s="10">
        <f t="shared" si="7"/>
        <v>0</v>
      </c>
      <c r="N17" s="21"/>
      <c r="O17" s="7">
        <f>'[3]Jan Prod'!H16</f>
        <v>11445000</v>
      </c>
      <c r="P17" s="8">
        <f t="shared" si="8"/>
        <v>11.445</v>
      </c>
      <c r="Q17" s="10">
        <f t="shared" si="9"/>
        <v>35.136150000000001</v>
      </c>
      <c r="R17" s="7">
        <f>'[3]Jan Prod'!C16</f>
        <v>11757000</v>
      </c>
      <c r="S17" s="8">
        <f t="shared" si="10"/>
        <v>11.757</v>
      </c>
      <c r="T17" s="10">
        <f t="shared" si="11"/>
        <v>36.093989999999998</v>
      </c>
      <c r="U17" s="7">
        <f>'[3]Jan Prod'!D16</f>
        <v>0</v>
      </c>
      <c r="V17" s="8">
        <f t="shared" si="12"/>
        <v>0</v>
      </c>
      <c r="W17" s="10">
        <f t="shared" si="13"/>
        <v>0</v>
      </c>
      <c r="X17" s="7">
        <f>'[3]Jan Prod'!D271</f>
        <v>311999.99999999942</v>
      </c>
      <c r="Y17" s="8">
        <f t="shared" si="14"/>
        <v>0.31199999999999944</v>
      </c>
      <c r="Z17" s="10">
        <f t="shared" si="15"/>
        <v>0.95783999999999825</v>
      </c>
      <c r="AA17" s="15"/>
      <c r="AB17" s="7">
        <f t="shared" si="16"/>
        <v>11445000</v>
      </c>
      <c r="AC17" s="8">
        <f t="shared" si="16"/>
        <v>11.445</v>
      </c>
      <c r="AD17" s="8">
        <f t="shared" si="16"/>
        <v>35.136150000000001</v>
      </c>
    </row>
    <row r="18" spans="1:30" x14ac:dyDescent="0.15">
      <c r="A18" s="27">
        <v>38366</v>
      </c>
      <c r="B18" s="7">
        <f>'[3]Jan Prod'!I17</f>
        <v>0</v>
      </c>
      <c r="C18" s="8">
        <f t="shared" si="0"/>
        <v>0</v>
      </c>
      <c r="D18" s="10">
        <f t="shared" si="1"/>
        <v>0</v>
      </c>
      <c r="E18" s="7">
        <f>'[3]Jan Prod'!E17</f>
        <v>0</v>
      </c>
      <c r="F18" s="8">
        <f t="shared" si="2"/>
        <v>0</v>
      </c>
      <c r="G18" s="10">
        <f t="shared" si="3"/>
        <v>0</v>
      </c>
      <c r="H18" s="7">
        <f>'[3]Jan Prod'!F17</f>
        <v>0</v>
      </c>
      <c r="I18" s="8">
        <f t="shared" si="4"/>
        <v>0</v>
      </c>
      <c r="J18" s="10">
        <f t="shared" si="5"/>
        <v>0</v>
      </c>
      <c r="K18" s="7">
        <f>'[3]Jan Prod'!H272</f>
        <v>0</v>
      </c>
      <c r="L18" s="8">
        <f t="shared" si="6"/>
        <v>0</v>
      </c>
      <c r="M18" s="10">
        <f t="shared" si="7"/>
        <v>0</v>
      </c>
      <c r="N18" s="21"/>
      <c r="O18" s="7">
        <f>'[3]Jan Prod'!H17</f>
        <v>11889999.999999998</v>
      </c>
      <c r="P18" s="8">
        <f t="shared" si="8"/>
        <v>11.889999999999999</v>
      </c>
      <c r="Q18" s="10">
        <f t="shared" si="9"/>
        <v>36.502299999999991</v>
      </c>
      <c r="R18" s="7">
        <f>'[3]Jan Prod'!C17</f>
        <v>12292000</v>
      </c>
      <c r="S18" s="8">
        <f t="shared" si="10"/>
        <v>12.292</v>
      </c>
      <c r="T18" s="10">
        <f t="shared" si="11"/>
        <v>37.736439999999995</v>
      </c>
      <c r="U18" s="7">
        <f>'[3]Jan Prod'!D17</f>
        <v>0</v>
      </c>
      <c r="V18" s="8">
        <f t="shared" si="12"/>
        <v>0</v>
      </c>
      <c r="W18" s="10">
        <f t="shared" si="13"/>
        <v>0</v>
      </c>
      <c r="X18" s="7">
        <f>'[3]Jan Prod'!D272</f>
        <v>402000.00000000105</v>
      </c>
      <c r="Y18" s="8">
        <f t="shared" si="14"/>
        <v>0.40200000000000102</v>
      </c>
      <c r="Z18" s="10">
        <f t="shared" si="15"/>
        <v>1.2341400000000031</v>
      </c>
      <c r="AA18" s="15"/>
      <c r="AB18" s="7">
        <f t="shared" si="16"/>
        <v>11889999.999999998</v>
      </c>
      <c r="AC18" s="8">
        <f t="shared" si="16"/>
        <v>11.889999999999999</v>
      </c>
      <c r="AD18" s="8">
        <f t="shared" si="16"/>
        <v>36.502299999999991</v>
      </c>
    </row>
    <row r="19" spans="1:30" x14ac:dyDescent="0.15">
      <c r="A19" s="27">
        <v>38367</v>
      </c>
      <c r="B19" s="7">
        <f>'[3]Jan Prod'!I18</f>
        <v>0</v>
      </c>
      <c r="C19" s="8">
        <f t="shared" si="0"/>
        <v>0</v>
      </c>
      <c r="D19" s="10">
        <f t="shared" si="1"/>
        <v>0</v>
      </c>
      <c r="E19" s="7">
        <f>'[3]Jan Prod'!E18</f>
        <v>0</v>
      </c>
      <c r="F19" s="8">
        <f t="shared" si="2"/>
        <v>0</v>
      </c>
      <c r="G19" s="10">
        <f t="shared" si="3"/>
        <v>0</v>
      </c>
      <c r="H19" s="7">
        <f>'[3]Jan Prod'!F18</f>
        <v>0</v>
      </c>
      <c r="I19" s="8">
        <f t="shared" si="4"/>
        <v>0</v>
      </c>
      <c r="J19" s="10">
        <f t="shared" si="5"/>
        <v>0</v>
      </c>
      <c r="K19" s="7">
        <f>'[3]Jan Prod'!H273</f>
        <v>0</v>
      </c>
      <c r="L19" s="8">
        <f t="shared" si="6"/>
        <v>0</v>
      </c>
      <c r="M19" s="10">
        <f t="shared" si="7"/>
        <v>0</v>
      </c>
      <c r="N19" s="21"/>
      <c r="O19" s="7">
        <f>'[3]Jan Prod'!H18</f>
        <v>11436000</v>
      </c>
      <c r="P19" s="8">
        <f t="shared" si="8"/>
        <v>11.436</v>
      </c>
      <c r="Q19" s="10">
        <f t="shared" si="9"/>
        <v>35.108519999999999</v>
      </c>
      <c r="R19" s="7">
        <f>'[3]Jan Prod'!C18</f>
        <v>11841000</v>
      </c>
      <c r="S19" s="8">
        <f t="shared" si="10"/>
        <v>11.840999999999999</v>
      </c>
      <c r="T19" s="10">
        <f t="shared" si="11"/>
        <v>36.351869999999998</v>
      </c>
      <c r="U19" s="7">
        <f>'[3]Jan Prod'!D18</f>
        <v>0</v>
      </c>
      <c r="V19" s="8">
        <f t="shared" si="12"/>
        <v>0</v>
      </c>
      <c r="W19" s="10">
        <f t="shared" si="13"/>
        <v>0</v>
      </c>
      <c r="X19" s="7">
        <f>'[3]Jan Prod'!D273</f>
        <v>404999.99999999936</v>
      </c>
      <c r="Y19" s="8">
        <f t="shared" si="14"/>
        <v>0.40499999999999936</v>
      </c>
      <c r="Z19" s="10">
        <f t="shared" si="15"/>
        <v>1.243349999999998</v>
      </c>
      <c r="AA19" s="15"/>
      <c r="AB19" s="7">
        <f t="shared" si="16"/>
        <v>11436000</v>
      </c>
      <c r="AC19" s="8">
        <f t="shared" si="16"/>
        <v>11.436</v>
      </c>
      <c r="AD19" s="8">
        <f>D19+Q19</f>
        <v>35.108519999999999</v>
      </c>
    </row>
    <row r="20" spans="1:30" x14ac:dyDescent="0.15">
      <c r="A20" s="27">
        <v>38368</v>
      </c>
      <c r="B20" s="7">
        <f>'[3]Jan Prod'!I19</f>
        <v>0</v>
      </c>
      <c r="C20" s="8">
        <f t="shared" si="0"/>
        <v>0</v>
      </c>
      <c r="D20" s="10">
        <f t="shared" si="1"/>
        <v>0</v>
      </c>
      <c r="E20" s="7">
        <f>'[3]Jan Prod'!E19</f>
        <v>0</v>
      </c>
      <c r="F20" s="8">
        <f t="shared" si="2"/>
        <v>0</v>
      </c>
      <c r="G20" s="10">
        <f t="shared" si="3"/>
        <v>0</v>
      </c>
      <c r="H20" s="7">
        <f>'[3]Jan Prod'!F19</f>
        <v>0</v>
      </c>
      <c r="I20" s="8">
        <f t="shared" si="4"/>
        <v>0</v>
      </c>
      <c r="J20" s="10">
        <f t="shared" si="5"/>
        <v>0</v>
      </c>
      <c r="K20" s="7">
        <f>'[3]Jan Prod'!H274</f>
        <v>0</v>
      </c>
      <c r="L20" s="8">
        <f t="shared" si="6"/>
        <v>0</v>
      </c>
      <c r="M20" s="10">
        <f t="shared" si="7"/>
        <v>0</v>
      </c>
      <c r="N20" s="21"/>
      <c r="O20" s="7">
        <f>'[3]Jan Prod'!H19</f>
        <v>12744000</v>
      </c>
      <c r="P20" s="8">
        <f t="shared" si="8"/>
        <v>12.744</v>
      </c>
      <c r="Q20" s="10">
        <f t="shared" si="9"/>
        <v>39.124079999999999</v>
      </c>
      <c r="R20" s="7">
        <f>'[3]Jan Prod'!C19</f>
        <v>13127000</v>
      </c>
      <c r="S20" s="8">
        <f t="shared" si="10"/>
        <v>13.127000000000001</v>
      </c>
      <c r="T20" s="10">
        <f t="shared" si="11"/>
        <v>40.299889999999998</v>
      </c>
      <c r="U20" s="7">
        <f>'[3]Jan Prod'!D19</f>
        <v>0</v>
      </c>
      <c r="V20" s="8">
        <f t="shared" si="12"/>
        <v>0</v>
      </c>
      <c r="W20" s="10">
        <f t="shared" si="13"/>
        <v>0</v>
      </c>
      <c r="X20" s="7">
        <f>'[3]Jan Prod'!D274</f>
        <v>383000.00000000087</v>
      </c>
      <c r="Y20" s="8">
        <f t="shared" si="14"/>
        <v>0.3830000000000009</v>
      </c>
      <c r="Z20" s="10">
        <f t="shared" si="15"/>
        <v>1.1758100000000027</v>
      </c>
      <c r="AA20" s="15"/>
      <c r="AB20" s="7">
        <f t="shared" si="16"/>
        <v>12744000</v>
      </c>
      <c r="AC20" s="8">
        <f t="shared" si="16"/>
        <v>12.744</v>
      </c>
      <c r="AD20" s="8">
        <f t="shared" si="16"/>
        <v>39.124079999999999</v>
      </c>
    </row>
    <row r="21" spans="1:30" x14ac:dyDescent="0.15">
      <c r="A21" s="27">
        <v>38369</v>
      </c>
      <c r="B21" s="7">
        <f>'[3]Jan Prod'!I20</f>
        <v>0</v>
      </c>
      <c r="C21" s="8">
        <f t="shared" si="0"/>
        <v>0</v>
      </c>
      <c r="D21" s="10">
        <f t="shared" si="1"/>
        <v>0</v>
      </c>
      <c r="E21" s="7">
        <f>'[3]Jan Prod'!E20</f>
        <v>0</v>
      </c>
      <c r="F21" s="8">
        <f t="shared" si="2"/>
        <v>0</v>
      </c>
      <c r="G21" s="10">
        <f t="shared" si="3"/>
        <v>0</v>
      </c>
      <c r="H21" s="7">
        <f>'[3]Jan Prod'!F20</f>
        <v>490000</v>
      </c>
      <c r="I21" s="8">
        <f t="shared" si="4"/>
        <v>0.49</v>
      </c>
      <c r="J21" s="10">
        <f t="shared" si="5"/>
        <v>1.5043</v>
      </c>
      <c r="K21" s="7">
        <f>'[3]Jan Prod'!H275</f>
        <v>0</v>
      </c>
      <c r="L21" s="8">
        <f t="shared" si="6"/>
        <v>0</v>
      </c>
      <c r="M21" s="10">
        <f t="shared" si="7"/>
        <v>0</v>
      </c>
      <c r="N21" s="21"/>
      <c r="O21" s="7">
        <f>'[3]Jan Prod'!H20</f>
        <v>12626000</v>
      </c>
      <c r="P21" s="8">
        <f t="shared" si="8"/>
        <v>12.625999999999999</v>
      </c>
      <c r="Q21" s="10">
        <f t="shared" si="9"/>
        <v>38.761819999999993</v>
      </c>
      <c r="R21" s="7">
        <f>'[3]Jan Prod'!C20</f>
        <v>12945000</v>
      </c>
      <c r="S21" s="8">
        <f t="shared" si="10"/>
        <v>12.945</v>
      </c>
      <c r="T21" s="10">
        <f t="shared" si="11"/>
        <v>39.741149999999998</v>
      </c>
      <c r="U21" s="7">
        <f>'[3]Jan Prod'!D20</f>
        <v>0</v>
      </c>
      <c r="V21" s="8">
        <f t="shared" si="12"/>
        <v>0</v>
      </c>
      <c r="W21" s="10">
        <f t="shared" si="13"/>
        <v>0</v>
      </c>
      <c r="X21" s="7">
        <f>'[3]Jan Prod'!D275</f>
        <v>318999.99999999907</v>
      </c>
      <c r="Y21" s="8">
        <f t="shared" si="14"/>
        <v>0.31899999999999906</v>
      </c>
      <c r="Z21" s="10">
        <f t="shared" si="15"/>
        <v>0.97932999999999704</v>
      </c>
      <c r="AA21" s="15"/>
      <c r="AB21" s="7">
        <f t="shared" si="16"/>
        <v>12626000</v>
      </c>
      <c r="AC21" s="8">
        <f t="shared" si="16"/>
        <v>12.625999999999999</v>
      </c>
      <c r="AD21" s="8">
        <f t="shared" si="16"/>
        <v>38.761819999999993</v>
      </c>
    </row>
    <row r="22" spans="1:30" x14ac:dyDescent="0.15">
      <c r="A22" s="27">
        <v>38370</v>
      </c>
      <c r="B22" s="7">
        <f>'[3]Jan Prod'!I21</f>
        <v>0</v>
      </c>
      <c r="C22" s="8">
        <f t="shared" si="0"/>
        <v>0</v>
      </c>
      <c r="D22" s="10">
        <f t="shared" si="1"/>
        <v>0</v>
      </c>
      <c r="E22" s="7">
        <f>'[3]Jan Prod'!E21</f>
        <v>0</v>
      </c>
      <c r="F22" s="8">
        <f t="shared" si="2"/>
        <v>0</v>
      </c>
      <c r="G22" s="10">
        <f t="shared" si="3"/>
        <v>0</v>
      </c>
      <c r="H22" s="7">
        <f>'[3]Jan Prod'!F21</f>
        <v>0</v>
      </c>
      <c r="I22" s="8">
        <f t="shared" si="4"/>
        <v>0</v>
      </c>
      <c r="J22" s="10">
        <f t="shared" si="5"/>
        <v>0</v>
      </c>
      <c r="K22" s="7">
        <f>'[3]Jan Prod'!H276</f>
        <v>0</v>
      </c>
      <c r="L22" s="8">
        <f t="shared" si="6"/>
        <v>0</v>
      </c>
      <c r="M22" s="10">
        <f t="shared" si="7"/>
        <v>0</v>
      </c>
      <c r="N22" s="21"/>
      <c r="O22" s="7">
        <f>'[3]Jan Prod'!H21</f>
        <v>11362000</v>
      </c>
      <c r="P22" s="8">
        <f t="shared" si="8"/>
        <v>11.362</v>
      </c>
      <c r="Q22" s="10">
        <f t="shared" si="9"/>
        <v>34.881340000000002</v>
      </c>
      <c r="R22" s="7">
        <f>'[3]Jan Prod'!C21</f>
        <v>11838000</v>
      </c>
      <c r="S22" s="8">
        <f t="shared" si="10"/>
        <v>11.837999999999999</v>
      </c>
      <c r="T22" s="10">
        <f t="shared" si="11"/>
        <v>36.342659999999995</v>
      </c>
      <c r="U22" s="7">
        <f>'[3]Jan Prod'!D21</f>
        <v>0</v>
      </c>
      <c r="V22" s="8">
        <f t="shared" si="12"/>
        <v>0</v>
      </c>
      <c r="W22" s="10">
        <f t="shared" si="13"/>
        <v>0</v>
      </c>
      <c r="X22" s="7">
        <f>'[3]Jan Prod'!D276</f>
        <v>476000.00000000087</v>
      </c>
      <c r="Y22" s="8">
        <f t="shared" si="14"/>
        <v>0.47600000000000087</v>
      </c>
      <c r="Z22" s="10">
        <f t="shared" si="15"/>
        <v>1.4613200000000026</v>
      </c>
      <c r="AA22" s="15"/>
      <c r="AB22" s="7">
        <f t="shared" si="16"/>
        <v>11362000</v>
      </c>
      <c r="AC22" s="8">
        <f t="shared" si="16"/>
        <v>11.362</v>
      </c>
      <c r="AD22" s="8">
        <f t="shared" si="16"/>
        <v>34.881340000000002</v>
      </c>
    </row>
    <row r="23" spans="1:30" x14ac:dyDescent="0.15">
      <c r="A23" s="27">
        <v>38371</v>
      </c>
      <c r="B23" s="7">
        <f>'[3]Jan Prod'!I22</f>
        <v>0</v>
      </c>
      <c r="C23" s="8">
        <f t="shared" si="0"/>
        <v>0</v>
      </c>
      <c r="D23" s="10">
        <f t="shared" si="1"/>
        <v>0</v>
      </c>
      <c r="E23" s="7">
        <f>'[3]Jan Prod'!E22</f>
        <v>0</v>
      </c>
      <c r="F23" s="8">
        <f t="shared" si="2"/>
        <v>0</v>
      </c>
      <c r="G23" s="10">
        <f t="shared" si="3"/>
        <v>0</v>
      </c>
      <c r="H23" s="7">
        <f>'[3]Jan Prod'!F22</f>
        <v>0</v>
      </c>
      <c r="I23" s="8">
        <f t="shared" si="4"/>
        <v>0</v>
      </c>
      <c r="J23" s="10">
        <f t="shared" si="5"/>
        <v>0</v>
      </c>
      <c r="K23" s="7">
        <f>'[3]Jan Prod'!H277</f>
        <v>0</v>
      </c>
      <c r="L23" s="8">
        <f t="shared" si="6"/>
        <v>0</v>
      </c>
      <c r="M23" s="10">
        <f t="shared" si="7"/>
        <v>0</v>
      </c>
      <c r="N23" s="21"/>
      <c r="O23" s="7">
        <f>'[3]Jan Prod'!H22</f>
        <v>11165000</v>
      </c>
      <c r="P23" s="8">
        <f t="shared" si="8"/>
        <v>11.164999999999999</v>
      </c>
      <c r="Q23" s="10">
        <f t="shared" si="9"/>
        <v>34.276549999999993</v>
      </c>
      <c r="R23" s="7">
        <f>'[3]Jan Prod'!C22</f>
        <v>11503000</v>
      </c>
      <c r="S23" s="8">
        <f t="shared" si="10"/>
        <v>11.503</v>
      </c>
      <c r="T23" s="10">
        <f t="shared" si="11"/>
        <v>35.314209999999996</v>
      </c>
      <c r="U23" s="7">
        <f>'[3]Jan Prod'!D22</f>
        <v>0</v>
      </c>
      <c r="V23" s="8">
        <f t="shared" si="12"/>
        <v>0</v>
      </c>
      <c r="W23" s="10">
        <f t="shared" si="13"/>
        <v>0</v>
      </c>
      <c r="X23" s="7">
        <f>'[3]Jan Prod'!D277</f>
        <v>337999.99999999919</v>
      </c>
      <c r="Y23" s="8">
        <f t="shared" si="14"/>
        <v>0.33799999999999919</v>
      </c>
      <c r="Z23" s="10">
        <f t="shared" si="15"/>
        <v>1.0376599999999974</v>
      </c>
      <c r="AA23" s="15"/>
      <c r="AB23" s="7">
        <f t="shared" si="16"/>
        <v>11165000</v>
      </c>
      <c r="AC23" s="8">
        <f t="shared" si="16"/>
        <v>11.164999999999999</v>
      </c>
      <c r="AD23" s="8">
        <f t="shared" si="16"/>
        <v>34.276549999999993</v>
      </c>
    </row>
    <row r="24" spans="1:30" x14ac:dyDescent="0.15">
      <c r="A24" s="27">
        <v>38372</v>
      </c>
      <c r="B24" s="7">
        <f>'[3]Jan Prod'!I23</f>
        <v>0</v>
      </c>
      <c r="C24" s="8">
        <f t="shared" si="0"/>
        <v>0</v>
      </c>
      <c r="D24" s="10">
        <f t="shared" si="1"/>
        <v>0</v>
      </c>
      <c r="E24" s="7">
        <f>'[3]Jan Prod'!E23</f>
        <v>0</v>
      </c>
      <c r="F24" s="8">
        <f t="shared" si="2"/>
        <v>0</v>
      </c>
      <c r="G24" s="10">
        <f t="shared" si="3"/>
        <v>0</v>
      </c>
      <c r="H24" s="7">
        <f>'[3]Jan Prod'!F23</f>
        <v>0</v>
      </c>
      <c r="I24" s="8">
        <f t="shared" si="4"/>
        <v>0</v>
      </c>
      <c r="J24" s="10">
        <f t="shared" si="5"/>
        <v>0</v>
      </c>
      <c r="K24" s="7">
        <f>'[3]Jan Prod'!H278</f>
        <v>0</v>
      </c>
      <c r="L24" s="8">
        <f t="shared" si="6"/>
        <v>0</v>
      </c>
      <c r="M24" s="10">
        <f t="shared" si="7"/>
        <v>0</v>
      </c>
      <c r="N24" s="21"/>
      <c r="O24" s="7">
        <f>'[3]Jan Prod'!H23</f>
        <v>11141000.000000002</v>
      </c>
      <c r="P24" s="8">
        <f t="shared" si="8"/>
        <v>11.141000000000002</v>
      </c>
      <c r="Q24" s="10">
        <f t="shared" si="9"/>
        <v>34.202870000000004</v>
      </c>
      <c r="R24" s="7">
        <f>'[3]Jan Prod'!C23</f>
        <v>11473000</v>
      </c>
      <c r="S24" s="8">
        <f t="shared" si="10"/>
        <v>11.473000000000001</v>
      </c>
      <c r="T24" s="10">
        <f t="shared" si="11"/>
        <v>35.222110000000001</v>
      </c>
      <c r="U24" s="7">
        <f>'[3]Jan Prod'!D23</f>
        <v>0</v>
      </c>
      <c r="V24" s="8">
        <f t="shared" si="12"/>
        <v>0</v>
      </c>
      <c r="W24" s="10">
        <f t="shared" si="13"/>
        <v>0</v>
      </c>
      <c r="X24" s="7">
        <f>'[3]Jan Prod'!D278</f>
        <v>331999.99999999895</v>
      </c>
      <c r="Y24" s="8">
        <f t="shared" si="14"/>
        <v>0.33199999999999896</v>
      </c>
      <c r="Z24" s="10">
        <f t="shared" si="15"/>
        <v>1.0192399999999968</v>
      </c>
      <c r="AA24" s="15"/>
      <c r="AB24" s="7">
        <f t="shared" si="16"/>
        <v>11141000.000000002</v>
      </c>
      <c r="AC24" s="8">
        <f t="shared" si="16"/>
        <v>11.141000000000002</v>
      </c>
      <c r="AD24" s="8">
        <f>D24+Q24</f>
        <v>34.202870000000004</v>
      </c>
    </row>
    <row r="25" spans="1:30" x14ac:dyDescent="0.15">
      <c r="A25" s="27">
        <v>38373</v>
      </c>
      <c r="B25" s="7">
        <f>'[3]Jan Prod'!I24</f>
        <v>0</v>
      </c>
      <c r="C25" s="8">
        <f t="shared" si="0"/>
        <v>0</v>
      </c>
      <c r="D25" s="10">
        <f t="shared" si="1"/>
        <v>0</v>
      </c>
      <c r="E25" s="7">
        <f>'[3]Jan Prod'!E24</f>
        <v>0</v>
      </c>
      <c r="F25" s="8">
        <f t="shared" si="2"/>
        <v>0</v>
      </c>
      <c r="G25" s="10">
        <f t="shared" si="3"/>
        <v>0</v>
      </c>
      <c r="H25" s="7">
        <f>'[3]Jan Prod'!F24</f>
        <v>0</v>
      </c>
      <c r="I25" s="8">
        <f t="shared" si="4"/>
        <v>0</v>
      </c>
      <c r="J25" s="10">
        <f t="shared" si="5"/>
        <v>0</v>
      </c>
      <c r="K25" s="7">
        <f>'[3]Jan Prod'!H279</f>
        <v>0</v>
      </c>
      <c r="L25" s="8">
        <f t="shared" si="6"/>
        <v>0</v>
      </c>
      <c r="M25" s="10">
        <f t="shared" si="7"/>
        <v>0</v>
      </c>
      <c r="N25" s="21"/>
      <c r="O25" s="7">
        <f>'[3]Jan Prod'!H24</f>
        <v>11041999.999999998</v>
      </c>
      <c r="P25" s="8">
        <f t="shared" si="8"/>
        <v>11.041999999999998</v>
      </c>
      <c r="Q25" s="10">
        <f t="shared" si="9"/>
        <v>33.898939999999989</v>
      </c>
      <c r="R25" s="7">
        <f>'[3]Jan Prod'!C24</f>
        <v>11447000</v>
      </c>
      <c r="S25" s="8">
        <f t="shared" si="10"/>
        <v>11.446999999999999</v>
      </c>
      <c r="T25" s="10">
        <f t="shared" si="11"/>
        <v>35.142289999999996</v>
      </c>
      <c r="U25" s="7">
        <f>'[3]Jan Prod'!D24</f>
        <v>0</v>
      </c>
      <c r="V25" s="8">
        <f t="shared" si="12"/>
        <v>0</v>
      </c>
      <c r="W25" s="10">
        <f t="shared" si="13"/>
        <v>0</v>
      </c>
      <c r="X25" s="7">
        <f>'[3]Jan Prod'!D279</f>
        <v>405000.00000000116</v>
      </c>
      <c r="Y25" s="8">
        <f t="shared" si="14"/>
        <v>0.40500000000000114</v>
      </c>
      <c r="Z25" s="10">
        <f t="shared" si="15"/>
        <v>1.2433500000000035</v>
      </c>
      <c r="AA25" s="15"/>
      <c r="AB25" s="7">
        <f t="shared" si="16"/>
        <v>11041999.999999998</v>
      </c>
      <c r="AC25" s="8">
        <f t="shared" si="16"/>
        <v>11.041999999999998</v>
      </c>
      <c r="AD25" s="8">
        <f t="shared" si="16"/>
        <v>33.898939999999989</v>
      </c>
    </row>
    <row r="26" spans="1:30" x14ac:dyDescent="0.15">
      <c r="A26" s="27">
        <v>38374</v>
      </c>
      <c r="B26" s="7">
        <f>'[3]Jan Prod'!I25</f>
        <v>0</v>
      </c>
      <c r="C26" s="8">
        <f t="shared" si="0"/>
        <v>0</v>
      </c>
      <c r="D26" s="10">
        <f t="shared" si="1"/>
        <v>0</v>
      </c>
      <c r="E26" s="7">
        <f>'[3]Jan Prod'!E25</f>
        <v>0</v>
      </c>
      <c r="F26" s="8">
        <f t="shared" si="2"/>
        <v>0</v>
      </c>
      <c r="G26" s="10">
        <f t="shared" si="3"/>
        <v>0</v>
      </c>
      <c r="H26" s="7">
        <f>'[3]Jan Prod'!F25</f>
        <v>0</v>
      </c>
      <c r="I26" s="8">
        <f t="shared" si="4"/>
        <v>0</v>
      </c>
      <c r="J26" s="10">
        <f t="shared" si="5"/>
        <v>0</v>
      </c>
      <c r="K26" s="7">
        <f>'[3]Jan Prod'!H280</f>
        <v>0</v>
      </c>
      <c r="L26" s="8">
        <f t="shared" si="6"/>
        <v>0</v>
      </c>
      <c r="M26" s="10">
        <f t="shared" si="7"/>
        <v>0</v>
      </c>
      <c r="N26" s="21"/>
      <c r="O26" s="7">
        <f>'[3]Jan Prod'!H25</f>
        <v>12128999.999999998</v>
      </c>
      <c r="P26" s="8">
        <f t="shared" si="8"/>
        <v>12.128999999999998</v>
      </c>
      <c r="Q26" s="10">
        <f t="shared" si="9"/>
        <v>37.236029999999992</v>
      </c>
      <c r="R26" s="7">
        <f>'[3]Jan Prod'!C25</f>
        <v>12520000</v>
      </c>
      <c r="S26" s="8">
        <f t="shared" si="10"/>
        <v>12.52</v>
      </c>
      <c r="T26" s="10">
        <f t="shared" si="11"/>
        <v>38.436399999999999</v>
      </c>
      <c r="U26" s="7">
        <f>'[3]Jan Prod'!D25</f>
        <v>0</v>
      </c>
      <c r="V26" s="8">
        <f t="shared" si="12"/>
        <v>0</v>
      </c>
      <c r="W26" s="10">
        <f t="shared" si="13"/>
        <v>0</v>
      </c>
      <c r="X26" s="7">
        <f>'[3]Jan Prod'!D280</f>
        <v>391000.0000000018</v>
      </c>
      <c r="Y26" s="8">
        <f t="shared" si="14"/>
        <v>0.39100000000000179</v>
      </c>
      <c r="Z26" s="10">
        <f t="shared" si="15"/>
        <v>1.2003700000000055</v>
      </c>
      <c r="AA26" s="15"/>
      <c r="AB26" s="7">
        <f t="shared" si="16"/>
        <v>12128999.999999998</v>
      </c>
      <c r="AC26" s="8">
        <f t="shared" si="16"/>
        <v>12.128999999999998</v>
      </c>
      <c r="AD26" s="8">
        <f t="shared" si="16"/>
        <v>37.236029999999992</v>
      </c>
    </row>
    <row r="27" spans="1:30" x14ac:dyDescent="0.15">
      <c r="A27" s="27">
        <v>38375</v>
      </c>
      <c r="B27" s="7">
        <f>'[3]Jan Prod'!I26</f>
        <v>0</v>
      </c>
      <c r="C27" s="8">
        <f t="shared" si="0"/>
        <v>0</v>
      </c>
      <c r="D27" s="10">
        <f t="shared" si="1"/>
        <v>0</v>
      </c>
      <c r="E27" s="7">
        <f>'[3]Jan Prod'!E26</f>
        <v>0</v>
      </c>
      <c r="F27" s="8">
        <f t="shared" si="2"/>
        <v>0</v>
      </c>
      <c r="G27" s="10">
        <f t="shared" si="3"/>
        <v>0</v>
      </c>
      <c r="H27" s="7">
        <f>'[3]Jan Prod'!F26</f>
        <v>490000</v>
      </c>
      <c r="I27" s="8">
        <f t="shared" si="4"/>
        <v>0.49</v>
      </c>
      <c r="J27" s="10">
        <f t="shared" si="5"/>
        <v>1.5043</v>
      </c>
      <c r="K27" s="7">
        <f>'[3]Jan Prod'!H281</f>
        <v>153909</v>
      </c>
      <c r="L27" s="8">
        <f t="shared" si="6"/>
        <v>0.15390899999999999</v>
      </c>
      <c r="M27" s="10">
        <f t="shared" si="7"/>
        <v>0.47250062999999992</v>
      </c>
      <c r="N27" s="21"/>
      <c r="O27" s="7">
        <f>'[3]Jan Prod'!H26</f>
        <v>12540000.000000002</v>
      </c>
      <c r="P27" s="8">
        <f t="shared" si="8"/>
        <v>12.540000000000003</v>
      </c>
      <c r="Q27" s="10">
        <f t="shared" si="9"/>
        <v>38.497800000000005</v>
      </c>
      <c r="R27" s="7">
        <f>'[3]Jan Prod'!C26</f>
        <v>12937000</v>
      </c>
      <c r="S27" s="8">
        <f t="shared" si="10"/>
        <v>12.936999999999999</v>
      </c>
      <c r="T27" s="10">
        <f t="shared" si="11"/>
        <v>39.716589999999997</v>
      </c>
      <c r="U27" s="7">
        <f>'[3]Jan Prod'!D26</f>
        <v>0</v>
      </c>
      <c r="V27" s="8">
        <f t="shared" si="12"/>
        <v>0</v>
      </c>
      <c r="W27" s="10">
        <f t="shared" si="13"/>
        <v>0</v>
      </c>
      <c r="X27" s="7">
        <f>'[3]Jan Prod'!D281</f>
        <v>396999.99999999849</v>
      </c>
      <c r="Y27" s="8">
        <f t="shared" si="14"/>
        <v>0.39699999999999847</v>
      </c>
      <c r="Z27" s="10">
        <f t="shared" si="15"/>
        <v>1.2187899999999952</v>
      </c>
      <c r="AA27" s="15"/>
      <c r="AB27" s="7">
        <f t="shared" si="16"/>
        <v>12540000.000000002</v>
      </c>
      <c r="AC27" s="8">
        <f t="shared" si="16"/>
        <v>12.540000000000003</v>
      </c>
      <c r="AD27" s="8">
        <f t="shared" si="16"/>
        <v>38.497800000000005</v>
      </c>
    </row>
    <row r="28" spans="1:30" x14ac:dyDescent="0.15">
      <c r="A28" s="27">
        <v>38376</v>
      </c>
      <c r="B28" s="7">
        <f>'[3]Jan Prod'!I27</f>
        <v>0</v>
      </c>
      <c r="C28" s="8">
        <f t="shared" si="0"/>
        <v>0</v>
      </c>
      <c r="D28" s="10">
        <f t="shared" si="1"/>
        <v>0</v>
      </c>
      <c r="E28" s="7">
        <f>'[3]Jan Prod'!E27</f>
        <v>0</v>
      </c>
      <c r="F28" s="8">
        <f t="shared" si="2"/>
        <v>0</v>
      </c>
      <c r="G28" s="10">
        <f t="shared" si="3"/>
        <v>0</v>
      </c>
      <c r="H28" s="7">
        <f>'[3]Jan Prod'!F27</f>
        <v>0</v>
      </c>
      <c r="I28" s="8">
        <f t="shared" si="4"/>
        <v>0</v>
      </c>
      <c r="J28" s="10">
        <f t="shared" si="5"/>
        <v>0</v>
      </c>
      <c r="K28" s="7">
        <f>'[3]Jan Prod'!H282</f>
        <v>0</v>
      </c>
      <c r="L28" s="8">
        <f t="shared" si="6"/>
        <v>0</v>
      </c>
      <c r="M28" s="10">
        <f t="shared" si="7"/>
        <v>0</v>
      </c>
      <c r="N28" s="21"/>
      <c r="O28" s="7">
        <f>'[3]Jan Prod'!H27</f>
        <v>12219000</v>
      </c>
      <c r="P28" s="8">
        <f t="shared" si="8"/>
        <v>12.218999999999999</v>
      </c>
      <c r="Q28" s="10">
        <f t="shared" si="9"/>
        <v>37.512329999999999</v>
      </c>
      <c r="R28" s="7">
        <f>'[3]Jan Prod'!C27</f>
        <v>12690000</v>
      </c>
      <c r="S28" s="8">
        <f t="shared" si="10"/>
        <v>12.69</v>
      </c>
      <c r="T28" s="10">
        <f t="shared" si="11"/>
        <v>38.958299999999994</v>
      </c>
      <c r="U28" s="7">
        <f>'[3]Jan Prod'!D27</f>
        <v>0</v>
      </c>
      <c r="V28" s="8">
        <f t="shared" si="12"/>
        <v>0</v>
      </c>
      <c r="W28" s="10">
        <f t="shared" si="13"/>
        <v>0</v>
      </c>
      <c r="X28" s="7">
        <f>'[3]Jan Prod'!D282</f>
        <v>471000.00000000006</v>
      </c>
      <c r="Y28" s="8">
        <f t="shared" si="14"/>
        <v>0.47100000000000009</v>
      </c>
      <c r="Z28" s="10">
        <f t="shared" si="15"/>
        <v>1.4459700000000002</v>
      </c>
      <c r="AA28" s="15"/>
      <c r="AB28" s="7">
        <f t="shared" si="16"/>
        <v>12219000</v>
      </c>
      <c r="AC28" s="8">
        <f t="shared" si="16"/>
        <v>12.218999999999999</v>
      </c>
      <c r="AD28" s="8">
        <f t="shared" si="16"/>
        <v>37.512329999999999</v>
      </c>
    </row>
    <row r="29" spans="1:30" x14ac:dyDescent="0.15">
      <c r="A29" s="27">
        <v>38377</v>
      </c>
      <c r="B29" s="7">
        <f>'[3]Jan Prod'!I28</f>
        <v>0</v>
      </c>
      <c r="C29" s="8">
        <f t="shared" si="0"/>
        <v>0</v>
      </c>
      <c r="D29" s="10">
        <f t="shared" si="1"/>
        <v>0</v>
      </c>
      <c r="E29" s="7">
        <f>'[3]Jan Prod'!E28</f>
        <v>0</v>
      </c>
      <c r="F29" s="8">
        <f t="shared" si="2"/>
        <v>0</v>
      </c>
      <c r="G29" s="10">
        <f t="shared" si="3"/>
        <v>0</v>
      </c>
      <c r="H29" s="7">
        <f>'[3]Jan Prod'!F28</f>
        <v>470000</v>
      </c>
      <c r="I29" s="8">
        <f t="shared" si="4"/>
        <v>0.47</v>
      </c>
      <c r="J29" s="10">
        <f t="shared" si="5"/>
        <v>1.4428999999999998</v>
      </c>
      <c r="K29" s="7">
        <f>'[3]Jan Prod'!H283</f>
        <v>0</v>
      </c>
      <c r="L29" s="8">
        <f t="shared" si="6"/>
        <v>0</v>
      </c>
      <c r="M29" s="10">
        <f t="shared" si="7"/>
        <v>0</v>
      </c>
      <c r="N29" s="21"/>
      <c r="O29" s="7">
        <f>'[3]Jan Prod'!H28</f>
        <v>12146000</v>
      </c>
      <c r="P29" s="8">
        <f t="shared" si="8"/>
        <v>12.146000000000001</v>
      </c>
      <c r="Q29" s="10">
        <f t="shared" si="9"/>
        <v>37.288220000000003</v>
      </c>
      <c r="R29" s="7">
        <f>'[3]Jan Prod'!C28</f>
        <v>12617000</v>
      </c>
      <c r="S29" s="8">
        <f t="shared" si="10"/>
        <v>12.617000000000001</v>
      </c>
      <c r="T29" s="10">
        <f t="shared" si="11"/>
        <v>38.734189999999998</v>
      </c>
      <c r="U29" s="7">
        <f>'[3]Jan Prod'!D28</f>
        <v>0</v>
      </c>
      <c r="V29" s="8">
        <f t="shared" si="12"/>
        <v>0</v>
      </c>
      <c r="W29" s="10">
        <f t="shared" si="13"/>
        <v>0</v>
      </c>
      <c r="X29" s="7">
        <f>'[3]Jan Prod'!D283</f>
        <v>471000.00000000006</v>
      </c>
      <c r="Y29" s="8">
        <f t="shared" si="14"/>
        <v>0.47100000000000009</v>
      </c>
      <c r="Z29" s="10">
        <f t="shared" si="15"/>
        <v>1.4459700000000002</v>
      </c>
      <c r="AA29" s="15"/>
      <c r="AB29" s="7">
        <f t="shared" si="16"/>
        <v>12146000</v>
      </c>
      <c r="AC29" s="8">
        <f t="shared" si="16"/>
        <v>12.146000000000001</v>
      </c>
      <c r="AD29" s="8">
        <f t="shared" si="16"/>
        <v>37.288220000000003</v>
      </c>
    </row>
    <row r="30" spans="1:30" x14ac:dyDescent="0.15">
      <c r="A30" s="27">
        <v>38378</v>
      </c>
      <c r="B30" s="7">
        <f>'[3]Jan Prod'!I29</f>
        <v>0</v>
      </c>
      <c r="C30" s="8">
        <f t="shared" si="0"/>
        <v>0</v>
      </c>
      <c r="D30" s="10">
        <f t="shared" si="1"/>
        <v>0</v>
      </c>
      <c r="E30" s="7">
        <f>'[3]Jan Prod'!E29</f>
        <v>0</v>
      </c>
      <c r="F30" s="8">
        <f t="shared" si="2"/>
        <v>0</v>
      </c>
      <c r="G30" s="10">
        <f t="shared" si="3"/>
        <v>0</v>
      </c>
      <c r="H30" s="7">
        <f>'[3]Jan Prod'!F29</f>
        <v>0</v>
      </c>
      <c r="I30" s="8">
        <f t="shared" si="4"/>
        <v>0</v>
      </c>
      <c r="J30" s="10">
        <f t="shared" si="5"/>
        <v>0</v>
      </c>
      <c r="K30" s="7">
        <f>'[3]Jan Prod'!H284</f>
        <v>0</v>
      </c>
      <c r="L30" s="8">
        <f t="shared" si="6"/>
        <v>0</v>
      </c>
      <c r="M30" s="10">
        <f t="shared" si="7"/>
        <v>0</v>
      </c>
      <c r="N30" s="21"/>
      <c r="O30" s="7">
        <f>'[3]Jan Prod'!H29</f>
        <v>11738000.000000002</v>
      </c>
      <c r="P30" s="8">
        <f t="shared" si="8"/>
        <v>11.738000000000001</v>
      </c>
      <c r="Q30" s="10">
        <f t="shared" si="9"/>
        <v>36.03566</v>
      </c>
      <c r="R30" s="7">
        <f>'[3]Jan Prod'!C29</f>
        <v>11987000</v>
      </c>
      <c r="S30" s="8">
        <f t="shared" si="10"/>
        <v>11.987</v>
      </c>
      <c r="T30" s="10">
        <f t="shared" si="11"/>
        <v>36.800089999999997</v>
      </c>
      <c r="U30" s="7">
        <f>'[3]Jan Prod'!D29</f>
        <v>0</v>
      </c>
      <c r="V30" s="8">
        <f t="shared" si="12"/>
        <v>0</v>
      </c>
      <c r="W30" s="10">
        <f t="shared" si="13"/>
        <v>0</v>
      </c>
      <c r="X30" s="7">
        <f>'[3]Jan Prod'!D284</f>
        <v>248999.99999999878</v>
      </c>
      <c r="Y30" s="8">
        <f t="shared" si="14"/>
        <v>0.24899999999999878</v>
      </c>
      <c r="Z30" s="10">
        <f t="shared" si="15"/>
        <v>0.76442999999999617</v>
      </c>
      <c r="AA30" s="15"/>
      <c r="AB30" s="7">
        <f t="shared" si="16"/>
        <v>11738000.000000002</v>
      </c>
      <c r="AC30" s="8">
        <f t="shared" si="16"/>
        <v>11.738000000000001</v>
      </c>
      <c r="AD30" s="8">
        <f>D30+Q30</f>
        <v>36.03566</v>
      </c>
    </row>
    <row r="31" spans="1:30" x14ac:dyDescent="0.15">
      <c r="A31" s="27">
        <v>38379</v>
      </c>
      <c r="B31" s="7">
        <f>'[3]Jan Prod'!I30</f>
        <v>0</v>
      </c>
      <c r="C31" s="8">
        <f t="shared" si="0"/>
        <v>0</v>
      </c>
      <c r="D31" s="10">
        <f t="shared" si="1"/>
        <v>0</v>
      </c>
      <c r="E31" s="7">
        <f>'[3]Jan Prod'!E30</f>
        <v>0</v>
      </c>
      <c r="F31" s="8">
        <f t="shared" si="2"/>
        <v>0</v>
      </c>
      <c r="G31" s="10">
        <f t="shared" si="3"/>
        <v>0</v>
      </c>
      <c r="H31" s="7">
        <f>'[3]Jan Prod'!F30</f>
        <v>0</v>
      </c>
      <c r="I31" s="8">
        <f t="shared" si="4"/>
        <v>0</v>
      </c>
      <c r="J31" s="10">
        <f t="shared" si="5"/>
        <v>0</v>
      </c>
      <c r="K31" s="7">
        <f>'[3]Jan Prod'!H285</f>
        <v>0</v>
      </c>
      <c r="L31" s="8">
        <f t="shared" si="6"/>
        <v>0</v>
      </c>
      <c r="M31" s="10">
        <f t="shared" si="7"/>
        <v>0</v>
      </c>
      <c r="N31" s="21"/>
      <c r="O31" s="7">
        <f>'[3]Jan Prod'!H30</f>
        <v>11280999.999999998</v>
      </c>
      <c r="P31" s="8">
        <f t="shared" si="8"/>
        <v>11.280999999999999</v>
      </c>
      <c r="Q31" s="10">
        <f t="shared" si="9"/>
        <v>34.632669999999997</v>
      </c>
      <c r="R31" s="7">
        <f>'[3]Jan Prod'!C30</f>
        <v>11619000</v>
      </c>
      <c r="S31" s="8">
        <f t="shared" si="10"/>
        <v>11.619</v>
      </c>
      <c r="T31" s="10">
        <f t="shared" si="11"/>
        <v>35.67033</v>
      </c>
      <c r="U31" s="7">
        <f>'[3]Jan Prod'!D30</f>
        <v>0</v>
      </c>
      <c r="V31" s="8">
        <f t="shared" si="12"/>
        <v>0</v>
      </c>
      <c r="W31" s="10">
        <f t="shared" si="13"/>
        <v>0</v>
      </c>
      <c r="X31" s="7">
        <f>'[3]Jan Prod'!D285</f>
        <v>338000.00000000099</v>
      </c>
      <c r="Y31" s="8">
        <f t="shared" si="14"/>
        <v>0.33800000000000097</v>
      </c>
      <c r="Z31" s="10">
        <f t="shared" si="15"/>
        <v>1.0376600000000029</v>
      </c>
      <c r="AA31" s="15"/>
      <c r="AB31" s="7">
        <f t="shared" si="16"/>
        <v>11280999.999999998</v>
      </c>
      <c r="AC31" s="8">
        <f t="shared" si="16"/>
        <v>11.280999999999999</v>
      </c>
      <c r="AD31" s="8">
        <f t="shared" si="16"/>
        <v>34.632669999999997</v>
      </c>
    </row>
    <row r="32" spans="1:30" x14ac:dyDescent="0.15">
      <c r="A32" s="27">
        <v>38380</v>
      </c>
      <c r="B32" s="7">
        <f>'[3]Jan Prod'!I31</f>
        <v>0</v>
      </c>
      <c r="C32" s="8">
        <f t="shared" si="0"/>
        <v>0</v>
      </c>
      <c r="D32" s="10">
        <f t="shared" si="1"/>
        <v>0</v>
      </c>
      <c r="E32" s="7">
        <f>'[3]Jan Prod'!E31</f>
        <v>0</v>
      </c>
      <c r="F32" s="8">
        <f t="shared" si="2"/>
        <v>0</v>
      </c>
      <c r="G32" s="10">
        <f t="shared" si="3"/>
        <v>0</v>
      </c>
      <c r="H32" s="7">
        <f>'[3]Jan Prod'!F31</f>
        <v>0</v>
      </c>
      <c r="I32" s="8">
        <f t="shared" si="4"/>
        <v>0</v>
      </c>
      <c r="J32" s="10">
        <f t="shared" si="5"/>
        <v>0</v>
      </c>
      <c r="K32" s="7">
        <f>'[3]Jan Prod'!H286</f>
        <v>0</v>
      </c>
      <c r="L32" s="8">
        <f t="shared" si="6"/>
        <v>0</v>
      </c>
      <c r="M32" s="10">
        <f t="shared" si="7"/>
        <v>0</v>
      </c>
      <c r="N32" s="21"/>
      <c r="O32" s="7">
        <f>'[3]Jan Prod'!H31</f>
        <v>11923999.999999998</v>
      </c>
      <c r="P32" s="8">
        <f t="shared" si="8"/>
        <v>11.923999999999998</v>
      </c>
      <c r="Q32" s="10">
        <f t="shared" si="9"/>
        <v>36.60667999999999</v>
      </c>
      <c r="R32" s="7">
        <f>'[3]Jan Prod'!C31</f>
        <v>12262000</v>
      </c>
      <c r="S32" s="8">
        <f t="shared" si="10"/>
        <v>12.262</v>
      </c>
      <c r="T32" s="10">
        <f t="shared" si="11"/>
        <v>37.64434</v>
      </c>
      <c r="U32" s="7">
        <f>'[3]Jan Prod'!D31</f>
        <v>0</v>
      </c>
      <c r="V32" s="8">
        <f t="shared" si="12"/>
        <v>0</v>
      </c>
      <c r="W32" s="10">
        <f t="shared" si="13"/>
        <v>0</v>
      </c>
      <c r="X32" s="7">
        <f>'[3]Jan Prod'!D286</f>
        <v>338000.00000000099</v>
      </c>
      <c r="Y32" s="8">
        <f t="shared" si="14"/>
        <v>0.33800000000000097</v>
      </c>
      <c r="Z32" s="10">
        <f t="shared" si="15"/>
        <v>1.0376600000000029</v>
      </c>
      <c r="AA32" s="15"/>
      <c r="AB32" s="7">
        <f t="shared" si="16"/>
        <v>11923999.999999998</v>
      </c>
      <c r="AC32" s="8">
        <f t="shared" si="16"/>
        <v>11.923999999999998</v>
      </c>
      <c r="AD32" s="8">
        <f t="shared" si="16"/>
        <v>36.60667999999999</v>
      </c>
    </row>
    <row r="33" spans="1:30" x14ac:dyDescent="0.15">
      <c r="A33" s="27">
        <v>38381</v>
      </c>
      <c r="B33" s="7">
        <f>'[3]Jan Prod'!I32</f>
        <v>0</v>
      </c>
      <c r="C33" s="8">
        <f t="shared" si="0"/>
        <v>0</v>
      </c>
      <c r="D33" s="10">
        <f t="shared" si="1"/>
        <v>0</v>
      </c>
      <c r="E33" s="7">
        <f>'[3]Jan Prod'!E32</f>
        <v>0</v>
      </c>
      <c r="F33" s="8">
        <f t="shared" si="2"/>
        <v>0</v>
      </c>
      <c r="G33" s="10">
        <f t="shared" si="3"/>
        <v>0</v>
      </c>
      <c r="H33" s="7">
        <f>'[3]Jan Prod'!F32</f>
        <v>0</v>
      </c>
      <c r="I33" s="8">
        <f t="shared" si="4"/>
        <v>0</v>
      </c>
      <c r="J33" s="10">
        <f t="shared" si="5"/>
        <v>0</v>
      </c>
      <c r="K33" s="7">
        <f>'[3]Jan Prod'!H287</f>
        <v>0</v>
      </c>
      <c r="L33" s="8">
        <f t="shared" si="6"/>
        <v>0</v>
      </c>
      <c r="M33" s="10">
        <f t="shared" si="7"/>
        <v>0</v>
      </c>
      <c r="N33" s="21"/>
      <c r="O33" s="7">
        <f>'[3]Jan Prod'!H32</f>
        <v>12671000.000000002</v>
      </c>
      <c r="P33" s="8">
        <f t="shared" si="8"/>
        <v>12.671000000000001</v>
      </c>
      <c r="Q33" s="10">
        <f t="shared" si="9"/>
        <v>38.899970000000003</v>
      </c>
      <c r="R33" s="7">
        <f>'[3]Jan Prod'!C32</f>
        <v>13134000</v>
      </c>
      <c r="S33" s="8">
        <f t="shared" si="10"/>
        <v>13.134</v>
      </c>
      <c r="T33" s="10">
        <f t="shared" si="11"/>
        <v>40.321379999999998</v>
      </c>
      <c r="U33" s="7">
        <f>'[3]Jan Prod'!D32</f>
        <v>0</v>
      </c>
      <c r="V33" s="8">
        <f t="shared" si="12"/>
        <v>0</v>
      </c>
      <c r="W33" s="10">
        <f t="shared" si="13"/>
        <v>0</v>
      </c>
      <c r="X33" s="7">
        <f>'[3]Jan Prod'!D287</f>
        <v>462999.99999999744</v>
      </c>
      <c r="Y33" s="8">
        <f t="shared" si="14"/>
        <v>0.46299999999999741</v>
      </c>
      <c r="Z33" s="10">
        <f t="shared" si="15"/>
        <v>1.4214099999999921</v>
      </c>
      <c r="AA33" s="15"/>
      <c r="AB33" s="7">
        <f t="shared" si="16"/>
        <v>12671000.000000002</v>
      </c>
      <c r="AC33" s="8">
        <f t="shared" si="16"/>
        <v>12.671000000000001</v>
      </c>
      <c r="AD33" s="8">
        <f t="shared" si="16"/>
        <v>38.899970000000003</v>
      </c>
    </row>
    <row r="34" spans="1:30" x14ac:dyDescent="0.15">
      <c r="A34" s="27">
        <v>38382</v>
      </c>
      <c r="B34" s="7">
        <f>'[3]Jan Prod'!I33</f>
        <v>0</v>
      </c>
      <c r="C34" s="8">
        <f t="shared" si="0"/>
        <v>0</v>
      </c>
      <c r="D34" s="10">
        <f t="shared" si="1"/>
        <v>0</v>
      </c>
      <c r="E34" s="7"/>
      <c r="F34" s="8">
        <f t="shared" si="2"/>
        <v>0</v>
      </c>
      <c r="G34" s="10">
        <f t="shared" si="3"/>
        <v>0</v>
      </c>
      <c r="H34" s="7">
        <f>'[3]Jan Prod'!F33</f>
        <v>0</v>
      </c>
      <c r="I34" s="8">
        <f t="shared" si="4"/>
        <v>0</v>
      </c>
      <c r="J34" s="10">
        <f t="shared" si="5"/>
        <v>0</v>
      </c>
      <c r="K34" s="7">
        <f>'[3]Jan Prod'!H288</f>
        <v>0</v>
      </c>
      <c r="L34" s="8">
        <f t="shared" si="6"/>
        <v>0</v>
      </c>
      <c r="M34" s="10">
        <f t="shared" si="7"/>
        <v>0</v>
      </c>
      <c r="N34" s="21"/>
      <c r="O34" s="7">
        <f>'[3]Jan Prod'!H33</f>
        <v>11637999.999999996</v>
      </c>
      <c r="P34" s="8">
        <f t="shared" si="8"/>
        <v>11.637999999999996</v>
      </c>
      <c r="Q34" s="10">
        <f t="shared" si="9"/>
        <v>35.728659999999984</v>
      </c>
      <c r="R34" s="7">
        <f>'[3]Jan Prod'!C33</f>
        <v>12085000</v>
      </c>
      <c r="S34" s="8">
        <f t="shared" si="10"/>
        <v>12.085000000000001</v>
      </c>
      <c r="T34" s="10">
        <f t="shared" si="11"/>
        <v>37.100949999999997</v>
      </c>
      <c r="U34" s="7">
        <f>'[3]Jan Prod'!D33</f>
        <v>0</v>
      </c>
      <c r="V34" s="8">
        <f t="shared" si="12"/>
        <v>0</v>
      </c>
      <c r="W34" s="10">
        <f t="shared" si="13"/>
        <v>0</v>
      </c>
      <c r="X34" s="7">
        <f>'[3]Jan Prod'!D288</f>
        <v>447000.00000000274</v>
      </c>
      <c r="Y34" s="8">
        <f t="shared" si="14"/>
        <v>0.44700000000000273</v>
      </c>
      <c r="Z34" s="10">
        <f t="shared" si="15"/>
        <v>1.3722900000000082</v>
      </c>
      <c r="AA34" s="15"/>
      <c r="AB34" s="7">
        <f t="shared" si="16"/>
        <v>11637999.999999996</v>
      </c>
      <c r="AC34" s="8">
        <f t="shared" si="16"/>
        <v>11.637999999999996</v>
      </c>
      <c r="AD34" s="8">
        <f t="shared" si="16"/>
        <v>35.728659999999984</v>
      </c>
    </row>
    <row r="35" spans="1:30" ht="14" thickBot="1" x14ac:dyDescent="0.2">
      <c r="A35" s="27">
        <v>38383</v>
      </c>
      <c r="B35" s="7">
        <f>'[3]Jan Prod'!I34</f>
        <v>0</v>
      </c>
      <c r="C35" s="8">
        <f t="shared" si="0"/>
        <v>0</v>
      </c>
      <c r="D35" s="10">
        <f t="shared" si="1"/>
        <v>0</v>
      </c>
      <c r="E35" s="7">
        <f>'[3]Jan Prod'!E34</f>
        <v>0</v>
      </c>
      <c r="F35" s="8">
        <f t="shared" si="2"/>
        <v>0</v>
      </c>
      <c r="G35" s="10">
        <f t="shared" si="3"/>
        <v>0</v>
      </c>
      <c r="H35" s="7">
        <f>'[3]Jan Prod'!F34</f>
        <v>0</v>
      </c>
      <c r="I35" s="8">
        <f t="shared" si="4"/>
        <v>0</v>
      </c>
      <c r="J35" s="10">
        <f t="shared" si="5"/>
        <v>0</v>
      </c>
      <c r="K35" s="7">
        <f>'[3]Jan Prod'!H289</f>
        <v>0</v>
      </c>
      <c r="L35" s="8">
        <f t="shared" si="6"/>
        <v>0</v>
      </c>
      <c r="M35" s="10">
        <f t="shared" si="7"/>
        <v>0</v>
      </c>
      <c r="N35" s="21"/>
      <c r="O35" s="7">
        <f>'[3]Jan Prod'!H34</f>
        <v>10939000</v>
      </c>
      <c r="P35" s="8">
        <f t="shared" si="8"/>
        <v>10.939</v>
      </c>
      <c r="Q35" s="10">
        <f t="shared" si="9"/>
        <v>33.582729999999998</v>
      </c>
      <c r="R35" s="7">
        <f>'[3]Jan Prod'!C34</f>
        <v>11352000</v>
      </c>
      <c r="S35" s="8">
        <f t="shared" si="10"/>
        <v>11.352</v>
      </c>
      <c r="T35" s="10">
        <f t="shared" si="11"/>
        <v>34.850639999999999</v>
      </c>
      <c r="U35" s="7">
        <f>'[3]Jan Prod'!D34</f>
        <v>0</v>
      </c>
      <c r="V35" s="8">
        <f t="shared" si="12"/>
        <v>0</v>
      </c>
      <c r="W35" s="10">
        <f t="shared" si="13"/>
        <v>0</v>
      </c>
      <c r="X35" s="7">
        <f>'[3]Jan Prod'!D289</f>
        <v>413000.00000000023</v>
      </c>
      <c r="Y35" s="8">
        <f t="shared" si="14"/>
        <v>0.41300000000000026</v>
      </c>
      <c r="Z35" s="10">
        <f t="shared" si="15"/>
        <v>1.2679100000000008</v>
      </c>
      <c r="AA35" s="15"/>
      <c r="AB35" s="7">
        <f t="shared" si="16"/>
        <v>10939000</v>
      </c>
      <c r="AC35" s="8">
        <f t="shared" si="16"/>
        <v>10.939</v>
      </c>
      <c r="AD35" s="8">
        <f t="shared" si="16"/>
        <v>33.582729999999998</v>
      </c>
    </row>
    <row r="36" spans="1:30" s="18" customFormat="1" ht="14" thickBot="1" x14ac:dyDescent="0.2">
      <c r="A36" s="15"/>
      <c r="B36" s="38"/>
      <c r="C36" s="39">
        <f t="shared" ref="C36:W36" si="17">SUM(C5:C35)</f>
        <v>0</v>
      </c>
      <c r="D36" s="39">
        <f t="shared" si="17"/>
        <v>0</v>
      </c>
      <c r="E36" s="38"/>
      <c r="F36" s="39">
        <f t="shared" si="17"/>
        <v>0</v>
      </c>
      <c r="G36" s="39">
        <f t="shared" si="17"/>
        <v>0</v>
      </c>
      <c r="H36" s="38"/>
      <c r="I36" s="39">
        <f t="shared" si="17"/>
        <v>1.98</v>
      </c>
      <c r="J36" s="39">
        <f t="shared" si="17"/>
        <v>6.0785999999999998</v>
      </c>
      <c r="K36" s="38"/>
      <c r="L36" s="39">
        <f>SUM(L5:L35)</f>
        <v>0.16411699999999999</v>
      </c>
      <c r="M36" s="39">
        <f>SUM(M5:M35)</f>
        <v>0.50383918999999988</v>
      </c>
      <c r="N36" s="14"/>
      <c r="O36" s="38"/>
      <c r="P36" s="39">
        <f t="shared" si="17"/>
        <v>366.28699999999998</v>
      </c>
      <c r="Q36" s="39">
        <f t="shared" si="17"/>
        <v>1124.5010900000002</v>
      </c>
      <c r="R36" s="38"/>
      <c r="S36" s="39">
        <f t="shared" si="17"/>
        <v>378.16000000000008</v>
      </c>
      <c r="T36" s="39">
        <f t="shared" si="17"/>
        <v>1160.9512</v>
      </c>
      <c r="U36" s="38"/>
      <c r="V36" s="39">
        <f t="shared" si="17"/>
        <v>0</v>
      </c>
      <c r="W36" s="39">
        <f t="shared" si="17"/>
        <v>0</v>
      </c>
      <c r="X36" s="38"/>
      <c r="Y36" s="39">
        <f>SUM(Y5:Y35)</f>
        <v>11.873000000000001</v>
      </c>
      <c r="Z36" s="39">
        <f>SUM(Z5:Z35)</f>
        <v>36.450110000000009</v>
      </c>
      <c r="AA36" s="14"/>
      <c r="AB36" s="38"/>
      <c r="AC36" s="39">
        <f>SUM(AC5:AC35)</f>
        <v>366.28699999999998</v>
      </c>
      <c r="AD36" s="39">
        <f>AC36*3.07</f>
        <v>1124.50109</v>
      </c>
    </row>
  </sheetData>
  <mergeCells count="9">
    <mergeCell ref="AB3:AD3"/>
    <mergeCell ref="B3:D3"/>
    <mergeCell ref="O3:Q3"/>
    <mergeCell ref="U3:W3"/>
    <mergeCell ref="E3:G3"/>
    <mergeCell ref="H3:J3"/>
    <mergeCell ref="R3:T3"/>
    <mergeCell ref="K3:M3"/>
    <mergeCell ref="X3:Z3"/>
  </mergeCells>
  <phoneticPr fontId="1" type="noConversion"/>
  <pageMargins left="0.75" right="0.75" top="1" bottom="1" header="0.5" footer="0.5"/>
  <pageSetup scale="40" orientation="landscape" r:id="rId1"/>
  <headerFooter alignWithMargins="0">
    <oddFooter>&amp;R&amp;D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pageSetUpPr fitToPage="1"/>
  </sheetPr>
  <dimension ref="A1:AD37"/>
  <sheetViews>
    <sheetView tabSelected="1" workbookViewId="0">
      <pane xSplit="1" ySplit="4" topLeftCell="S5" activePane="bottomRight" state="frozen"/>
      <selection pane="topRight" activeCell="B1" sqref="B1"/>
      <selection pane="bottomLeft" activeCell="A5" sqref="A5"/>
      <selection pane="bottomRight" activeCell="AD34" sqref="AD34"/>
    </sheetView>
  </sheetViews>
  <sheetFormatPr baseColWidth="10" defaultColWidth="8.83203125" defaultRowHeight="13" x14ac:dyDescent="0.15"/>
  <cols>
    <col min="2" max="2" width="11.6640625" customWidth="1"/>
    <col min="5" max="5" width="11.5" customWidth="1"/>
    <col min="8" max="8" width="11.6640625" customWidth="1"/>
    <col min="11" max="11" width="14.83203125" bestFit="1" customWidth="1"/>
    <col min="12" max="12" width="11.5" customWidth="1"/>
    <col min="15" max="15" width="11.5" customWidth="1"/>
    <col min="18" max="18" width="11.5" customWidth="1"/>
    <col min="22" max="22" width="11" customWidth="1"/>
    <col min="24" max="24" width="13.6640625" customWidth="1"/>
    <col min="28" max="28" width="14.5" bestFit="1" customWidth="1"/>
  </cols>
  <sheetData>
    <row r="1" spans="1:30" x14ac:dyDescent="0.15">
      <c r="A1" s="42"/>
      <c r="B1" s="40"/>
      <c r="C1" s="25"/>
      <c r="D1" s="25"/>
      <c r="E1" s="25"/>
      <c r="F1" s="25"/>
      <c r="G1" s="3"/>
      <c r="H1" s="3"/>
      <c r="I1" s="3"/>
      <c r="J1" s="3"/>
      <c r="K1" s="14"/>
      <c r="L1" s="3"/>
      <c r="M1" s="3"/>
      <c r="N1" s="3"/>
      <c r="O1" s="3"/>
      <c r="P1" s="3"/>
      <c r="Q1" s="3"/>
      <c r="R1" s="3"/>
      <c r="S1" s="3"/>
      <c r="T1" s="3"/>
      <c r="U1" s="14"/>
      <c r="V1" s="3"/>
      <c r="W1" s="3"/>
      <c r="X1" s="3"/>
    </row>
    <row r="2" spans="1:30" ht="14" thickBot="1" x14ac:dyDescent="0.2">
      <c r="A2" s="3"/>
      <c r="B2" s="3"/>
      <c r="C2" s="24"/>
      <c r="D2" s="3"/>
      <c r="E2" s="3"/>
      <c r="F2" s="3"/>
      <c r="G2" s="3"/>
      <c r="H2" s="3"/>
      <c r="I2" s="3"/>
      <c r="J2" s="3"/>
      <c r="K2" s="14"/>
      <c r="L2" s="3"/>
      <c r="M2" s="3"/>
      <c r="N2" s="3"/>
      <c r="O2" s="3"/>
      <c r="P2" s="3"/>
      <c r="Q2" s="3"/>
      <c r="R2" s="3"/>
      <c r="S2" s="3"/>
      <c r="T2" s="3"/>
      <c r="U2" s="14"/>
      <c r="V2" s="3"/>
      <c r="W2" s="3"/>
      <c r="X2" s="3"/>
    </row>
    <row r="3" spans="1:30" ht="60.75" customHeight="1" thickBot="1" x14ac:dyDescent="0.2">
      <c r="A3" s="3"/>
      <c r="B3" s="58" t="s">
        <v>10</v>
      </c>
      <c r="C3" s="59"/>
      <c r="D3" s="60"/>
      <c r="E3" s="58" t="s">
        <v>11</v>
      </c>
      <c r="F3" s="59"/>
      <c r="G3" s="60"/>
      <c r="H3" s="58" t="s">
        <v>12</v>
      </c>
      <c r="I3" s="59"/>
      <c r="J3" s="60"/>
      <c r="K3" s="58" t="s">
        <v>13</v>
      </c>
      <c r="L3" s="59"/>
      <c r="M3" s="60"/>
      <c r="N3" s="19"/>
      <c r="O3" s="58" t="s">
        <v>4</v>
      </c>
      <c r="P3" s="59"/>
      <c r="Q3" s="60"/>
      <c r="R3" s="58" t="s">
        <v>3</v>
      </c>
      <c r="S3" s="59"/>
      <c r="T3" s="60"/>
      <c r="U3" s="58" t="s">
        <v>6</v>
      </c>
      <c r="V3" s="59"/>
      <c r="W3" s="60"/>
      <c r="X3" s="58" t="s">
        <v>7</v>
      </c>
      <c r="Y3" s="59"/>
      <c r="Z3" s="60"/>
      <c r="AA3" s="19"/>
      <c r="AB3" s="55" t="s">
        <v>8</v>
      </c>
      <c r="AC3" s="56"/>
      <c r="AD3" s="57"/>
    </row>
    <row r="4" spans="1:30" x14ac:dyDescent="0.15">
      <c r="A4" s="26"/>
      <c r="B4" s="4" t="s">
        <v>0</v>
      </c>
      <c r="C4" s="17" t="s">
        <v>1</v>
      </c>
      <c r="D4" s="6" t="s">
        <v>2</v>
      </c>
      <c r="E4" s="4" t="s">
        <v>0</v>
      </c>
      <c r="F4" s="5" t="s">
        <v>1</v>
      </c>
      <c r="G4" s="6" t="s">
        <v>2</v>
      </c>
      <c r="H4" s="4" t="s">
        <v>0</v>
      </c>
      <c r="I4" s="5" t="s">
        <v>1</v>
      </c>
      <c r="J4" s="6" t="s">
        <v>2</v>
      </c>
      <c r="K4" s="4" t="s">
        <v>0</v>
      </c>
      <c r="L4" s="5" t="s">
        <v>1</v>
      </c>
      <c r="M4" s="6" t="s">
        <v>2</v>
      </c>
      <c r="N4" s="19"/>
      <c r="O4" s="4" t="s">
        <v>0</v>
      </c>
      <c r="P4" s="5" t="s">
        <v>1</v>
      </c>
      <c r="Q4" s="6" t="s">
        <v>2</v>
      </c>
      <c r="R4" s="4" t="s">
        <v>0</v>
      </c>
      <c r="S4" s="5" t="s">
        <v>1</v>
      </c>
      <c r="T4" s="6" t="s">
        <v>2</v>
      </c>
      <c r="U4" s="4" t="s">
        <v>0</v>
      </c>
      <c r="V4" s="5" t="s">
        <v>1</v>
      </c>
      <c r="W4" s="6" t="s">
        <v>2</v>
      </c>
      <c r="X4" s="4" t="s">
        <v>0</v>
      </c>
      <c r="Y4" s="5" t="s">
        <v>1</v>
      </c>
      <c r="Z4" s="6" t="s">
        <v>2</v>
      </c>
      <c r="AA4" s="19"/>
      <c r="AB4" s="35" t="s">
        <v>0</v>
      </c>
      <c r="AC4" s="36" t="s">
        <v>1</v>
      </c>
      <c r="AD4" s="37" t="s">
        <v>2</v>
      </c>
    </row>
    <row r="5" spans="1:30" x14ac:dyDescent="0.15">
      <c r="A5" s="27">
        <v>42401</v>
      </c>
      <c r="B5" s="7">
        <f>'[4]Feb Prod'!I4</f>
        <v>0</v>
      </c>
      <c r="C5" s="8">
        <f>B5/1000000</f>
        <v>0</v>
      </c>
      <c r="D5" s="10">
        <f>C5*3.07</f>
        <v>0</v>
      </c>
      <c r="E5" s="7">
        <f>'[4]Feb Prod'!E4</f>
        <v>0</v>
      </c>
      <c r="F5" s="8">
        <f>E5/1000000</f>
        <v>0</v>
      </c>
      <c r="G5" s="10">
        <f>F5*3.07</f>
        <v>0</v>
      </c>
      <c r="H5" s="7">
        <f>'[4]Feb Prod'!F4</f>
        <v>0</v>
      </c>
      <c r="I5" s="8">
        <f>H5/1000000</f>
        <v>0</v>
      </c>
      <c r="J5" s="10">
        <f>I5*3.07</f>
        <v>0</v>
      </c>
      <c r="K5" s="7">
        <f>'[4]Feb Prod'!H245</f>
        <v>0</v>
      </c>
      <c r="L5" s="8">
        <f>K5/1000000</f>
        <v>0</v>
      </c>
      <c r="M5" s="10">
        <f>L5*3.07</f>
        <v>0</v>
      </c>
      <c r="N5" s="21"/>
      <c r="O5" s="7">
        <f>'[4]Feb Prod'!H4</f>
        <v>10756000</v>
      </c>
      <c r="P5" s="8">
        <f>O5/1000000</f>
        <v>10.756</v>
      </c>
      <c r="Q5" s="10">
        <f>P5*3.07</f>
        <v>33.020919999999997</v>
      </c>
      <c r="R5" s="7">
        <f>'[4]Feb Prod'!C4</f>
        <v>11087000</v>
      </c>
      <c r="S5" s="8">
        <f>R5/1000000</f>
        <v>11.087</v>
      </c>
      <c r="T5" s="10">
        <f>S5*3.07</f>
        <v>34.037089999999999</v>
      </c>
      <c r="U5" s="7">
        <f>'[4]Feb Prod'!D4</f>
        <v>0</v>
      </c>
      <c r="V5" s="8">
        <f>U5/1000000</f>
        <v>0</v>
      </c>
      <c r="W5" s="10">
        <f>V5*3.07</f>
        <v>0</v>
      </c>
      <c r="X5" s="7">
        <f>'[4]Feb Prod'!D245</f>
        <v>330999.99999999953</v>
      </c>
      <c r="Y5" s="8">
        <f>X5/1000000</f>
        <v>0.33099999999999952</v>
      </c>
      <c r="Z5" s="10">
        <f>Y5*3.07</f>
        <v>1.0161699999999985</v>
      </c>
      <c r="AA5" s="15"/>
      <c r="AB5" s="7">
        <f>B5+O5</f>
        <v>10756000</v>
      </c>
      <c r="AC5" s="8">
        <f>C5+P5</f>
        <v>10.756</v>
      </c>
      <c r="AD5" s="8">
        <f>D5+Q5</f>
        <v>33.020919999999997</v>
      </c>
    </row>
    <row r="6" spans="1:30" x14ac:dyDescent="0.15">
      <c r="A6" s="27">
        <v>42402</v>
      </c>
      <c r="B6" s="7">
        <f>'[4]Feb Prod'!I5</f>
        <v>0</v>
      </c>
      <c r="C6" s="8">
        <f t="shared" ref="C6:C32" si="0">B6/1000000</f>
        <v>0</v>
      </c>
      <c r="D6" s="10">
        <f t="shared" ref="D6:D32" si="1">C6*3.07</f>
        <v>0</v>
      </c>
      <c r="E6" s="7">
        <f>'[4]Feb Prod'!E5</f>
        <v>0</v>
      </c>
      <c r="F6" s="8">
        <f t="shared" ref="F6:F32" si="2">E6/1000000</f>
        <v>0</v>
      </c>
      <c r="G6" s="10">
        <f t="shared" ref="G6:G32" si="3">F6*3.07</f>
        <v>0</v>
      </c>
      <c r="H6" s="7">
        <f>'[4]Feb Prod'!F5</f>
        <v>0</v>
      </c>
      <c r="I6" s="8">
        <f t="shared" ref="I6:I32" si="4">H6/1000000</f>
        <v>0</v>
      </c>
      <c r="J6" s="10">
        <f t="shared" ref="J6:J32" si="5">I6*3.07</f>
        <v>0</v>
      </c>
      <c r="K6" s="7">
        <f>'[4]Feb Prod'!H246</f>
        <v>0</v>
      </c>
      <c r="L6" s="8">
        <f t="shared" ref="L6:L23" si="6">K6/1000000</f>
        <v>0</v>
      </c>
      <c r="M6" s="10">
        <f t="shared" ref="M6:M32" si="7">L6*3.07</f>
        <v>0</v>
      </c>
      <c r="N6" s="21"/>
      <c r="O6" s="7">
        <f>'[4]Feb Prod'!H5</f>
        <v>10651000.000000002</v>
      </c>
      <c r="P6" s="8">
        <f t="shared" ref="P6:P32" si="8">O6/1000000</f>
        <v>10.651000000000002</v>
      </c>
      <c r="Q6" s="10">
        <f t="shared" ref="Q6:Q32" si="9">P6*3.07</f>
        <v>32.698570000000004</v>
      </c>
      <c r="R6" s="7">
        <f>'[4]Feb Prod'!C5</f>
        <v>11048000</v>
      </c>
      <c r="S6" s="8">
        <f t="shared" ref="S6:S32" si="10">R6/1000000</f>
        <v>11.048</v>
      </c>
      <c r="T6" s="10">
        <f t="shared" ref="T6:T32" si="11">S6*3.07</f>
        <v>33.917359999999995</v>
      </c>
      <c r="U6" s="7">
        <f>'[4]Feb Prod'!D5</f>
        <v>0</v>
      </c>
      <c r="V6" s="8">
        <f t="shared" ref="V6:V32" si="12">U6/1000000</f>
        <v>0</v>
      </c>
      <c r="W6" s="10">
        <f t="shared" ref="W6:W32" si="13">V6*3.07</f>
        <v>0</v>
      </c>
      <c r="X6" s="7">
        <f>'[4]Feb Prod'!D246</f>
        <v>396999.99999999849</v>
      </c>
      <c r="Y6" s="8">
        <f t="shared" ref="Y6:Y32" si="14">X6/1000000</f>
        <v>0.39699999999999847</v>
      </c>
      <c r="Z6" s="10">
        <f t="shared" ref="Z6:Z32" si="15">Y6*3.07</f>
        <v>1.2187899999999952</v>
      </c>
      <c r="AA6" s="15"/>
      <c r="AB6" s="7">
        <f t="shared" ref="AB6:AB17" si="16">B6+O6</f>
        <v>10651000.000000002</v>
      </c>
      <c r="AC6" s="8">
        <f t="shared" ref="AB6:AD34" si="17">C6+P6</f>
        <v>10.651000000000002</v>
      </c>
      <c r="AD6" s="8">
        <f t="shared" si="17"/>
        <v>32.698570000000004</v>
      </c>
    </row>
    <row r="7" spans="1:30" x14ac:dyDescent="0.15">
      <c r="A7" s="27">
        <v>42403</v>
      </c>
      <c r="B7" s="7">
        <f>'[4]Feb Prod'!I6</f>
        <v>0</v>
      </c>
      <c r="C7" s="8">
        <f t="shared" si="0"/>
        <v>0</v>
      </c>
      <c r="D7" s="10">
        <f t="shared" si="1"/>
        <v>0</v>
      </c>
      <c r="E7" s="7">
        <f>'[4]Feb Prod'!E6</f>
        <v>0</v>
      </c>
      <c r="F7" s="8">
        <f t="shared" si="2"/>
        <v>0</v>
      </c>
      <c r="G7" s="10">
        <f t="shared" si="3"/>
        <v>0</v>
      </c>
      <c r="H7" s="7">
        <f>'[4]Feb Prod'!F6</f>
        <v>0</v>
      </c>
      <c r="I7" s="8">
        <f t="shared" si="4"/>
        <v>0</v>
      </c>
      <c r="J7" s="10">
        <f t="shared" si="5"/>
        <v>0</v>
      </c>
      <c r="K7" s="7">
        <f>'[4]Feb Prod'!H247</f>
        <v>0</v>
      </c>
      <c r="L7" s="8">
        <f t="shared" si="6"/>
        <v>0</v>
      </c>
      <c r="M7" s="10">
        <f t="shared" si="7"/>
        <v>0</v>
      </c>
      <c r="N7" s="21"/>
      <c r="O7" s="7">
        <f>'[4]Feb Prod'!H6</f>
        <v>11589999.999999998</v>
      </c>
      <c r="P7" s="8">
        <f t="shared" si="8"/>
        <v>11.589999999999998</v>
      </c>
      <c r="Q7" s="10">
        <f t="shared" si="9"/>
        <v>35.581299999999992</v>
      </c>
      <c r="R7" s="7">
        <f>'[4]Feb Prod'!C6</f>
        <v>11978000</v>
      </c>
      <c r="S7" s="8">
        <f t="shared" si="10"/>
        <v>11.978</v>
      </c>
      <c r="T7" s="10">
        <f t="shared" si="11"/>
        <v>36.772459999999995</v>
      </c>
      <c r="U7" s="7">
        <f>'[4]Feb Prod'!D6</f>
        <v>0</v>
      </c>
      <c r="V7" s="8">
        <f t="shared" si="12"/>
        <v>0</v>
      </c>
      <c r="W7" s="10">
        <f t="shared" si="13"/>
        <v>0</v>
      </c>
      <c r="X7" s="7">
        <f>'[4]Feb Prod'!D247</f>
        <v>388000.00000000169</v>
      </c>
      <c r="Y7" s="8">
        <f t="shared" si="14"/>
        <v>0.38800000000000168</v>
      </c>
      <c r="Z7" s="10">
        <f t="shared" si="15"/>
        <v>1.1911600000000051</v>
      </c>
      <c r="AA7" s="15"/>
      <c r="AB7" s="7">
        <f t="shared" si="16"/>
        <v>11589999.999999998</v>
      </c>
      <c r="AC7" s="8">
        <f t="shared" si="17"/>
        <v>11.589999999999998</v>
      </c>
      <c r="AD7" s="8">
        <f t="shared" si="17"/>
        <v>35.581299999999992</v>
      </c>
    </row>
    <row r="8" spans="1:30" x14ac:dyDescent="0.15">
      <c r="A8" s="27">
        <v>42404</v>
      </c>
      <c r="B8" s="7">
        <f>'[4]Feb Prod'!I7</f>
        <v>0</v>
      </c>
      <c r="C8" s="8">
        <f t="shared" si="0"/>
        <v>0</v>
      </c>
      <c r="D8" s="10">
        <f t="shared" si="1"/>
        <v>0</v>
      </c>
      <c r="E8" s="7">
        <f>'[4]Feb Prod'!E7</f>
        <v>0</v>
      </c>
      <c r="F8" s="8">
        <f t="shared" si="2"/>
        <v>0</v>
      </c>
      <c r="G8" s="10">
        <f t="shared" si="3"/>
        <v>0</v>
      </c>
      <c r="H8" s="7">
        <f>'[4]Feb Prod'!F7</f>
        <v>0</v>
      </c>
      <c r="I8" s="8">
        <f t="shared" si="4"/>
        <v>0</v>
      </c>
      <c r="J8" s="10">
        <f t="shared" si="5"/>
        <v>0</v>
      </c>
      <c r="K8" s="7">
        <f>'[4]Feb Prod'!H248</f>
        <v>0</v>
      </c>
      <c r="L8" s="8">
        <f t="shared" si="6"/>
        <v>0</v>
      </c>
      <c r="M8" s="10">
        <f t="shared" si="7"/>
        <v>0</v>
      </c>
      <c r="N8" s="21"/>
      <c r="O8" s="7">
        <f>'[4]Feb Prod'!H7</f>
        <v>13147000.000000002</v>
      </c>
      <c r="P8" s="8">
        <f t="shared" si="8"/>
        <v>13.147000000000002</v>
      </c>
      <c r="Q8" s="10">
        <f t="shared" si="9"/>
        <v>40.361290000000004</v>
      </c>
      <c r="R8" s="7">
        <f>'[4]Feb Prod'!C7</f>
        <v>13485000</v>
      </c>
      <c r="S8" s="8">
        <f t="shared" si="10"/>
        <v>13.484999999999999</v>
      </c>
      <c r="T8" s="10">
        <f t="shared" si="11"/>
        <v>41.398949999999999</v>
      </c>
      <c r="U8" s="7">
        <f>'[4]Feb Prod'!D7</f>
        <v>0</v>
      </c>
      <c r="V8" s="8">
        <f t="shared" si="12"/>
        <v>0</v>
      </c>
      <c r="W8" s="10">
        <f t="shared" si="13"/>
        <v>0</v>
      </c>
      <c r="X8" s="7">
        <f>'[4]Feb Prod'!D248</f>
        <v>337999.99999999744</v>
      </c>
      <c r="Y8" s="8">
        <f t="shared" si="14"/>
        <v>0.33799999999999741</v>
      </c>
      <c r="Z8" s="10">
        <f t="shared" si="15"/>
        <v>1.037659999999992</v>
      </c>
      <c r="AA8" s="15"/>
      <c r="AB8" s="7">
        <f t="shared" si="16"/>
        <v>13147000.000000002</v>
      </c>
      <c r="AC8" s="8">
        <f t="shared" si="17"/>
        <v>13.147000000000002</v>
      </c>
      <c r="AD8" s="8">
        <f>D8+Q8</f>
        <v>40.361290000000004</v>
      </c>
    </row>
    <row r="9" spans="1:30" x14ac:dyDescent="0.15">
      <c r="A9" s="27">
        <v>42405</v>
      </c>
      <c r="B9" s="7">
        <f>'[4]Feb Prod'!I8</f>
        <v>0</v>
      </c>
      <c r="C9" s="8">
        <f t="shared" si="0"/>
        <v>0</v>
      </c>
      <c r="D9" s="10">
        <f t="shared" si="1"/>
        <v>0</v>
      </c>
      <c r="E9" s="7">
        <f>'[4]Feb Prod'!E8</f>
        <v>0</v>
      </c>
      <c r="F9" s="8">
        <f t="shared" si="2"/>
        <v>0</v>
      </c>
      <c r="G9" s="10">
        <f t="shared" si="3"/>
        <v>0</v>
      </c>
      <c r="H9" s="7">
        <f>'[4]Feb Prod'!F8</f>
        <v>0</v>
      </c>
      <c r="I9" s="8">
        <f t="shared" si="4"/>
        <v>0</v>
      </c>
      <c r="J9" s="10">
        <f t="shared" si="5"/>
        <v>0</v>
      </c>
      <c r="K9" s="7">
        <f>'[4]Feb Prod'!H249</f>
        <v>0</v>
      </c>
      <c r="L9" s="8">
        <f t="shared" si="6"/>
        <v>0</v>
      </c>
      <c r="M9" s="10">
        <f t="shared" si="7"/>
        <v>0</v>
      </c>
      <c r="N9" s="21"/>
      <c r="O9" s="7">
        <f>'[4]Feb Prod'!H8</f>
        <v>13785999.999999996</v>
      </c>
      <c r="P9" s="8">
        <f t="shared" si="8"/>
        <v>13.785999999999996</v>
      </c>
      <c r="Q9" s="10">
        <f t="shared" si="9"/>
        <v>42.323019999999985</v>
      </c>
      <c r="R9" s="7">
        <f>'[4]Feb Prod'!C8</f>
        <v>14117000</v>
      </c>
      <c r="S9" s="8">
        <f t="shared" si="10"/>
        <v>14.117000000000001</v>
      </c>
      <c r="T9" s="10">
        <f t="shared" si="11"/>
        <v>43.339190000000002</v>
      </c>
      <c r="U9" s="7">
        <f>'[4]Feb Prod'!D8</f>
        <v>0</v>
      </c>
      <c r="V9" s="8">
        <f t="shared" si="12"/>
        <v>0</v>
      </c>
      <c r="W9" s="10">
        <f t="shared" si="13"/>
        <v>0</v>
      </c>
      <c r="X9" s="7">
        <f>'[4]Feb Prod'!D249</f>
        <v>331000.00000000309</v>
      </c>
      <c r="Y9" s="8">
        <f t="shared" si="14"/>
        <v>0.33100000000000307</v>
      </c>
      <c r="Z9" s="10">
        <f t="shared" si="15"/>
        <v>1.0161700000000093</v>
      </c>
      <c r="AA9" s="15"/>
      <c r="AB9" s="7">
        <f t="shared" si="16"/>
        <v>13785999.999999996</v>
      </c>
      <c r="AC9" s="8">
        <f t="shared" si="17"/>
        <v>13.785999999999996</v>
      </c>
      <c r="AD9" s="8">
        <f t="shared" si="17"/>
        <v>42.323019999999985</v>
      </c>
    </row>
    <row r="10" spans="1:30" x14ac:dyDescent="0.15">
      <c r="A10" s="27">
        <v>42406</v>
      </c>
      <c r="B10" s="7">
        <f>'[4]Feb Prod'!I9</f>
        <v>0</v>
      </c>
      <c r="C10" s="8">
        <f t="shared" si="0"/>
        <v>0</v>
      </c>
      <c r="D10" s="10">
        <f t="shared" si="1"/>
        <v>0</v>
      </c>
      <c r="E10" s="7">
        <f>'[4]Feb Prod'!E9</f>
        <v>0</v>
      </c>
      <c r="F10" s="8">
        <f t="shared" si="2"/>
        <v>0</v>
      </c>
      <c r="G10" s="10">
        <f t="shared" si="3"/>
        <v>0</v>
      </c>
      <c r="H10" s="7">
        <f>'[4]Feb Prod'!F9</f>
        <v>0</v>
      </c>
      <c r="I10" s="8">
        <f t="shared" si="4"/>
        <v>0</v>
      </c>
      <c r="J10" s="10">
        <f t="shared" si="5"/>
        <v>0</v>
      </c>
      <c r="K10" s="7">
        <f>'[4]Feb Prod'!H250</f>
        <v>42238</v>
      </c>
      <c r="L10" s="8">
        <f t="shared" si="6"/>
        <v>4.2237999999999998E-2</v>
      </c>
      <c r="M10" s="10">
        <f t="shared" si="7"/>
        <v>0.12967065999999999</v>
      </c>
      <c r="N10" s="21"/>
      <c r="O10" s="7">
        <f>'[4]Feb Prod'!H9</f>
        <v>12744000</v>
      </c>
      <c r="P10" s="8">
        <f t="shared" si="8"/>
        <v>12.744</v>
      </c>
      <c r="Q10" s="10">
        <f t="shared" si="9"/>
        <v>39.124079999999999</v>
      </c>
      <c r="R10" s="7">
        <f>'[4]Feb Prod'!C9</f>
        <v>13133000</v>
      </c>
      <c r="S10" s="8">
        <f t="shared" si="10"/>
        <v>13.132999999999999</v>
      </c>
      <c r="T10" s="10">
        <f t="shared" si="11"/>
        <v>40.318309999999997</v>
      </c>
      <c r="U10" s="7">
        <f>'[4]Feb Prod'!D9</f>
        <v>0</v>
      </c>
      <c r="V10" s="8">
        <f t="shared" si="12"/>
        <v>0</v>
      </c>
      <c r="W10" s="10">
        <f t="shared" si="13"/>
        <v>0</v>
      </c>
      <c r="X10" s="7">
        <f>'[4]Feb Prod'!D250</f>
        <v>388999.99999999936</v>
      </c>
      <c r="Y10" s="8">
        <f t="shared" si="14"/>
        <v>0.38899999999999935</v>
      </c>
      <c r="Z10" s="10">
        <f t="shared" si="15"/>
        <v>1.1942299999999979</v>
      </c>
      <c r="AA10" s="15"/>
      <c r="AB10" s="7">
        <f t="shared" si="16"/>
        <v>12744000</v>
      </c>
      <c r="AC10" s="8">
        <f t="shared" si="17"/>
        <v>12.744</v>
      </c>
      <c r="AD10" s="8">
        <f t="shared" si="17"/>
        <v>39.124079999999999</v>
      </c>
    </row>
    <row r="11" spans="1:30" x14ac:dyDescent="0.15">
      <c r="A11" s="27">
        <v>42407</v>
      </c>
      <c r="B11" s="7">
        <f>'[4]Feb Prod'!I10</f>
        <v>0</v>
      </c>
      <c r="C11" s="8">
        <f t="shared" si="0"/>
        <v>0</v>
      </c>
      <c r="D11" s="10">
        <f t="shared" si="1"/>
        <v>0</v>
      </c>
      <c r="E11" s="7">
        <f>'[4]Feb Prod'!E10</f>
        <v>0</v>
      </c>
      <c r="F11" s="8">
        <f t="shared" si="2"/>
        <v>0</v>
      </c>
      <c r="G11" s="10">
        <f t="shared" si="3"/>
        <v>0</v>
      </c>
      <c r="H11" s="7">
        <f>'[4]Feb Prod'!F10</f>
        <v>0</v>
      </c>
      <c r="I11" s="8">
        <f t="shared" si="4"/>
        <v>0</v>
      </c>
      <c r="J11" s="10">
        <f t="shared" si="5"/>
        <v>0</v>
      </c>
      <c r="K11" s="7">
        <f>'[4]Feb Prod'!H251</f>
        <v>0</v>
      </c>
      <c r="L11" s="8">
        <f t="shared" si="6"/>
        <v>0</v>
      </c>
      <c r="M11" s="10">
        <f t="shared" si="7"/>
        <v>0</v>
      </c>
      <c r="N11" s="21"/>
      <c r="O11" s="7">
        <f>'[4]Feb Prod'!H10</f>
        <v>10986000</v>
      </c>
      <c r="P11" s="8">
        <f t="shared" si="8"/>
        <v>10.986000000000001</v>
      </c>
      <c r="Q11" s="10">
        <f t="shared" si="9"/>
        <v>33.727020000000003</v>
      </c>
      <c r="R11" s="7">
        <f>'[4]Feb Prod'!C10</f>
        <v>11457000</v>
      </c>
      <c r="S11" s="8">
        <f t="shared" si="10"/>
        <v>11.457000000000001</v>
      </c>
      <c r="T11" s="10">
        <f t="shared" si="11"/>
        <v>35.172989999999999</v>
      </c>
      <c r="U11" s="7">
        <f>'[4]Feb Prod'!D10</f>
        <v>0</v>
      </c>
      <c r="V11" s="8">
        <f t="shared" si="12"/>
        <v>0</v>
      </c>
      <c r="W11" s="10">
        <f t="shared" si="13"/>
        <v>0</v>
      </c>
      <c r="X11" s="7">
        <f>'[4]Feb Prod'!D251</f>
        <v>471000.00000000006</v>
      </c>
      <c r="Y11" s="8">
        <f t="shared" si="14"/>
        <v>0.47100000000000009</v>
      </c>
      <c r="Z11" s="10">
        <f t="shared" si="15"/>
        <v>1.4459700000000002</v>
      </c>
      <c r="AA11" s="15"/>
      <c r="AB11" s="7">
        <f t="shared" si="16"/>
        <v>10986000</v>
      </c>
      <c r="AC11" s="8">
        <f t="shared" si="17"/>
        <v>10.986000000000001</v>
      </c>
      <c r="AD11" s="8">
        <f t="shared" si="17"/>
        <v>33.727020000000003</v>
      </c>
    </row>
    <row r="12" spans="1:30" x14ac:dyDescent="0.15">
      <c r="A12" s="27">
        <v>42408</v>
      </c>
      <c r="B12" s="7">
        <f>'[4]Feb Prod'!I11</f>
        <v>0</v>
      </c>
      <c r="C12" s="8">
        <f t="shared" si="0"/>
        <v>0</v>
      </c>
      <c r="D12" s="10">
        <f t="shared" si="1"/>
        <v>0</v>
      </c>
      <c r="E12" s="7">
        <f>'[4]Feb Prod'!E11</f>
        <v>0</v>
      </c>
      <c r="F12" s="8">
        <f t="shared" si="2"/>
        <v>0</v>
      </c>
      <c r="G12" s="10">
        <f t="shared" si="3"/>
        <v>0</v>
      </c>
      <c r="H12" s="7">
        <f>'[4]Feb Prod'!F11</f>
        <v>0</v>
      </c>
      <c r="I12" s="8">
        <f t="shared" si="4"/>
        <v>0</v>
      </c>
      <c r="J12" s="10">
        <f t="shared" si="5"/>
        <v>0</v>
      </c>
      <c r="K12" s="7">
        <f>'[4]Feb Prod'!H252</f>
        <v>223020</v>
      </c>
      <c r="L12" s="8">
        <f t="shared" si="6"/>
        <v>0.22302</v>
      </c>
      <c r="M12" s="10">
        <f t="shared" si="7"/>
        <v>0.68467139999999993</v>
      </c>
      <c r="N12" s="21"/>
      <c r="O12" s="7">
        <f>'[4]Feb Prod'!H11</f>
        <v>11197000</v>
      </c>
      <c r="P12" s="8">
        <f t="shared" si="8"/>
        <v>11.196999999999999</v>
      </c>
      <c r="Q12" s="10">
        <f t="shared" si="9"/>
        <v>34.374789999999997</v>
      </c>
      <c r="R12" s="7">
        <f>'[4]Feb Prod'!C11</f>
        <v>11491000</v>
      </c>
      <c r="S12" s="8">
        <f t="shared" si="10"/>
        <v>11.491</v>
      </c>
      <c r="T12" s="10">
        <f t="shared" si="11"/>
        <v>35.277369999999998</v>
      </c>
      <c r="U12" s="7">
        <f>'[4]Feb Prod'!D11</f>
        <v>0</v>
      </c>
      <c r="V12" s="8">
        <f t="shared" si="12"/>
        <v>0</v>
      </c>
      <c r="W12" s="10">
        <f t="shared" si="13"/>
        <v>0</v>
      </c>
      <c r="X12" s="7">
        <f>'[4]Feb Prod'!D252</f>
        <v>294000.00000000047</v>
      </c>
      <c r="Y12" s="8">
        <f t="shared" si="14"/>
        <v>0.29400000000000048</v>
      </c>
      <c r="Z12" s="10">
        <f t="shared" si="15"/>
        <v>0.90258000000000138</v>
      </c>
      <c r="AA12" s="15"/>
      <c r="AB12" s="7">
        <f t="shared" si="16"/>
        <v>11197000</v>
      </c>
      <c r="AC12" s="8">
        <f t="shared" si="17"/>
        <v>11.196999999999999</v>
      </c>
      <c r="AD12" s="8">
        <f t="shared" si="17"/>
        <v>34.374789999999997</v>
      </c>
    </row>
    <row r="13" spans="1:30" x14ac:dyDescent="0.15">
      <c r="A13" s="27">
        <v>42409</v>
      </c>
      <c r="B13" s="7">
        <f>'[4]Feb Prod'!I12</f>
        <v>0</v>
      </c>
      <c r="C13" s="8">
        <f t="shared" si="0"/>
        <v>0</v>
      </c>
      <c r="D13" s="10">
        <f t="shared" si="1"/>
        <v>0</v>
      </c>
      <c r="E13" s="7">
        <f>'[4]Feb Prod'!E12</f>
        <v>0</v>
      </c>
      <c r="F13" s="8">
        <f t="shared" si="2"/>
        <v>0</v>
      </c>
      <c r="G13" s="10">
        <f t="shared" si="3"/>
        <v>0</v>
      </c>
      <c r="H13" s="7">
        <f>'[4]Feb Prod'!F12</f>
        <v>0</v>
      </c>
      <c r="I13" s="8">
        <f t="shared" si="4"/>
        <v>0</v>
      </c>
      <c r="J13" s="10">
        <f t="shared" si="5"/>
        <v>0</v>
      </c>
      <c r="K13" s="7">
        <f>'[4]Feb Prod'!H253</f>
        <v>0</v>
      </c>
      <c r="L13" s="8">
        <f t="shared" si="6"/>
        <v>0</v>
      </c>
      <c r="M13" s="10">
        <f t="shared" si="7"/>
        <v>0</v>
      </c>
      <c r="N13" s="21"/>
      <c r="O13" s="7">
        <f>'[4]Feb Prod'!H12</f>
        <v>11794000.000000004</v>
      </c>
      <c r="P13" s="8">
        <f t="shared" si="8"/>
        <v>11.794000000000004</v>
      </c>
      <c r="Q13" s="10">
        <f t="shared" si="9"/>
        <v>36.207580000000007</v>
      </c>
      <c r="R13" s="7">
        <f>'[4]Feb Prod'!C12</f>
        <v>12088000</v>
      </c>
      <c r="S13" s="8">
        <f t="shared" si="10"/>
        <v>12.087999999999999</v>
      </c>
      <c r="T13" s="10">
        <f t="shared" si="11"/>
        <v>37.110159999999993</v>
      </c>
      <c r="U13" s="7">
        <f>'[4]Feb Prod'!D12</f>
        <v>0</v>
      </c>
      <c r="V13" s="8">
        <f t="shared" si="12"/>
        <v>0</v>
      </c>
      <c r="W13" s="10">
        <f t="shared" si="13"/>
        <v>0</v>
      </c>
      <c r="X13" s="7">
        <f>'[4]Feb Prod'!D253</f>
        <v>293999.99999999691</v>
      </c>
      <c r="Y13" s="8">
        <f t="shared" si="14"/>
        <v>0.29399999999999693</v>
      </c>
      <c r="Z13" s="10">
        <f t="shared" si="15"/>
        <v>0.9025799999999905</v>
      </c>
      <c r="AA13" s="15"/>
      <c r="AB13" s="7">
        <f t="shared" si="16"/>
        <v>11794000.000000004</v>
      </c>
      <c r="AC13" s="8">
        <f t="shared" si="17"/>
        <v>11.794000000000004</v>
      </c>
      <c r="AD13" s="8">
        <f t="shared" si="17"/>
        <v>36.207580000000007</v>
      </c>
    </row>
    <row r="14" spans="1:30" x14ac:dyDescent="0.15">
      <c r="A14" s="27">
        <v>42410</v>
      </c>
      <c r="B14" s="7">
        <f>'[4]Feb Prod'!I13</f>
        <v>0</v>
      </c>
      <c r="C14" s="8">
        <f t="shared" si="0"/>
        <v>0</v>
      </c>
      <c r="D14" s="10">
        <f t="shared" si="1"/>
        <v>0</v>
      </c>
      <c r="E14" s="7">
        <f>'[4]Feb Prod'!E13</f>
        <v>0</v>
      </c>
      <c r="F14" s="8">
        <f t="shared" si="2"/>
        <v>0</v>
      </c>
      <c r="G14" s="10">
        <f t="shared" si="3"/>
        <v>0</v>
      </c>
      <c r="H14" s="7">
        <f>'[4]Feb Prod'!F13</f>
        <v>0</v>
      </c>
      <c r="I14" s="8">
        <f t="shared" si="4"/>
        <v>0</v>
      </c>
      <c r="J14" s="10">
        <f t="shared" si="5"/>
        <v>0</v>
      </c>
      <c r="K14" s="7">
        <f>'[4]Feb Prod'!H254</f>
        <v>0</v>
      </c>
      <c r="L14" s="8">
        <f t="shared" si="6"/>
        <v>0</v>
      </c>
      <c r="M14" s="10">
        <f t="shared" si="7"/>
        <v>0</v>
      </c>
      <c r="N14" s="21"/>
      <c r="O14" s="7">
        <f>'[4]Feb Prod'!H13</f>
        <v>11754999.999999998</v>
      </c>
      <c r="P14" s="8">
        <f t="shared" si="8"/>
        <v>11.754999999999999</v>
      </c>
      <c r="Q14" s="10">
        <f t="shared" si="9"/>
        <v>36.087849999999996</v>
      </c>
      <c r="R14" s="7">
        <f>'[4]Feb Prod'!C13</f>
        <v>12091000</v>
      </c>
      <c r="S14" s="8">
        <f t="shared" si="10"/>
        <v>12.090999999999999</v>
      </c>
      <c r="T14" s="10">
        <f t="shared" si="11"/>
        <v>37.119369999999996</v>
      </c>
      <c r="U14" s="7">
        <f>'[4]Feb Prod'!D13</f>
        <v>0</v>
      </c>
      <c r="V14" s="8">
        <f t="shared" si="12"/>
        <v>0</v>
      </c>
      <c r="W14" s="10">
        <f t="shared" si="13"/>
        <v>0</v>
      </c>
      <c r="X14" s="7">
        <f>'[4]Feb Prod'!D254</f>
        <v>336000.0000000021</v>
      </c>
      <c r="Y14" s="8">
        <f t="shared" si="14"/>
        <v>0.33600000000000207</v>
      </c>
      <c r="Z14" s="10">
        <f t="shared" si="15"/>
        <v>1.0315200000000062</v>
      </c>
      <c r="AA14" s="15"/>
      <c r="AB14" s="7">
        <f t="shared" si="16"/>
        <v>11754999.999999998</v>
      </c>
      <c r="AC14" s="8">
        <f t="shared" si="17"/>
        <v>11.754999999999999</v>
      </c>
      <c r="AD14" s="8">
        <f t="shared" si="17"/>
        <v>36.087849999999996</v>
      </c>
    </row>
    <row r="15" spans="1:30" x14ac:dyDescent="0.15">
      <c r="A15" s="27">
        <v>42411</v>
      </c>
      <c r="B15" s="7">
        <f>'[4]Feb Prod'!I14</f>
        <v>0</v>
      </c>
      <c r="C15" s="8">
        <f t="shared" si="0"/>
        <v>0</v>
      </c>
      <c r="D15" s="10">
        <f t="shared" si="1"/>
        <v>0</v>
      </c>
      <c r="E15" s="7">
        <f>'[4]Feb Prod'!E14</f>
        <v>0</v>
      </c>
      <c r="F15" s="8">
        <f t="shared" si="2"/>
        <v>0</v>
      </c>
      <c r="G15" s="10">
        <f t="shared" si="3"/>
        <v>0</v>
      </c>
      <c r="H15" s="7">
        <f>'[4]Feb Prod'!F14</f>
        <v>0</v>
      </c>
      <c r="I15" s="8">
        <f t="shared" si="4"/>
        <v>0</v>
      </c>
      <c r="J15" s="10">
        <f t="shared" si="5"/>
        <v>0</v>
      </c>
      <c r="K15" s="7">
        <f>'[4]Feb Prod'!H255</f>
        <v>0</v>
      </c>
      <c r="L15" s="8">
        <f t="shared" si="6"/>
        <v>0</v>
      </c>
      <c r="M15" s="10">
        <f t="shared" si="7"/>
        <v>0</v>
      </c>
      <c r="N15" s="21"/>
      <c r="O15" s="7">
        <f>'[4]Feb Prod'!H14</f>
        <v>11690000</v>
      </c>
      <c r="P15" s="8">
        <f t="shared" si="8"/>
        <v>11.69</v>
      </c>
      <c r="Q15" s="10">
        <f t="shared" si="9"/>
        <v>35.888299999999994</v>
      </c>
      <c r="R15" s="7">
        <f>'[4]Feb Prod'!C14</f>
        <v>12088000</v>
      </c>
      <c r="S15" s="8">
        <f t="shared" si="10"/>
        <v>12.087999999999999</v>
      </c>
      <c r="T15" s="10">
        <f t="shared" si="11"/>
        <v>37.110159999999993</v>
      </c>
      <c r="U15" s="7">
        <f>'[4]Feb Prod'!D14</f>
        <v>0</v>
      </c>
      <c r="V15" s="8">
        <f t="shared" si="12"/>
        <v>0</v>
      </c>
      <c r="W15" s="10">
        <f t="shared" si="13"/>
        <v>0</v>
      </c>
      <c r="X15" s="7">
        <f>'[4]Feb Prod'!D255</f>
        <v>397999.99999999971</v>
      </c>
      <c r="Y15" s="8">
        <f t="shared" si="14"/>
        <v>0.39799999999999969</v>
      </c>
      <c r="Z15" s="10">
        <f t="shared" si="15"/>
        <v>1.2218599999999991</v>
      </c>
      <c r="AA15" s="15"/>
      <c r="AB15" s="7">
        <f t="shared" si="16"/>
        <v>11690000</v>
      </c>
      <c r="AC15" s="8">
        <f t="shared" si="17"/>
        <v>11.69</v>
      </c>
      <c r="AD15" s="8">
        <f t="shared" si="17"/>
        <v>35.888299999999994</v>
      </c>
    </row>
    <row r="16" spans="1:30" x14ac:dyDescent="0.15">
      <c r="A16" s="27">
        <v>42412</v>
      </c>
      <c r="B16" s="7">
        <f>'[4]Feb Prod'!I15</f>
        <v>0</v>
      </c>
      <c r="C16" s="8">
        <f t="shared" si="0"/>
        <v>0</v>
      </c>
      <c r="D16" s="10">
        <f t="shared" si="1"/>
        <v>0</v>
      </c>
      <c r="E16" s="7">
        <f>'[4]Feb Prod'!E15</f>
        <v>0</v>
      </c>
      <c r="F16" s="8">
        <f t="shared" si="2"/>
        <v>0</v>
      </c>
      <c r="G16" s="10">
        <f t="shared" si="3"/>
        <v>0</v>
      </c>
      <c r="H16" s="7">
        <f>'[4]Feb Prod'!F15</f>
        <v>0</v>
      </c>
      <c r="I16" s="8">
        <f t="shared" si="4"/>
        <v>0</v>
      </c>
      <c r="J16" s="10">
        <f t="shared" si="5"/>
        <v>0</v>
      </c>
      <c r="K16" s="7">
        <f>'[4]Feb Prod'!H256</f>
        <v>0</v>
      </c>
      <c r="L16" s="8">
        <f t="shared" si="6"/>
        <v>0</v>
      </c>
      <c r="M16" s="10">
        <f t="shared" si="7"/>
        <v>0</v>
      </c>
      <c r="N16" s="21"/>
      <c r="O16" s="7">
        <f>'[4]Feb Prod'!H15</f>
        <v>11895000.000000002</v>
      </c>
      <c r="P16" s="8">
        <f t="shared" si="8"/>
        <v>11.895000000000001</v>
      </c>
      <c r="Q16" s="10">
        <f t="shared" si="9"/>
        <v>36.517650000000003</v>
      </c>
      <c r="R16" s="7">
        <f>'[4]Feb Prod'!C15</f>
        <v>12315000</v>
      </c>
      <c r="S16" s="8">
        <f t="shared" si="10"/>
        <v>12.315</v>
      </c>
      <c r="T16" s="10">
        <f t="shared" si="11"/>
        <v>37.807049999999997</v>
      </c>
      <c r="U16" s="7">
        <f>'[4]Feb Prod'!D15</f>
        <v>0</v>
      </c>
      <c r="V16" s="8">
        <f t="shared" si="12"/>
        <v>0</v>
      </c>
      <c r="W16" s="10">
        <f t="shared" si="13"/>
        <v>0</v>
      </c>
      <c r="X16" s="7">
        <f>'[4]Feb Prod'!D256</f>
        <v>419999.99999999814</v>
      </c>
      <c r="Y16" s="8">
        <f t="shared" si="14"/>
        <v>0.41999999999999815</v>
      </c>
      <c r="Z16" s="10">
        <f t="shared" si="15"/>
        <v>1.2893999999999943</v>
      </c>
      <c r="AA16" s="15"/>
      <c r="AB16" s="7">
        <f t="shared" si="16"/>
        <v>11895000.000000002</v>
      </c>
      <c r="AC16" s="8">
        <f t="shared" si="17"/>
        <v>11.895000000000001</v>
      </c>
      <c r="AD16" s="8">
        <f t="shared" si="17"/>
        <v>36.517650000000003</v>
      </c>
    </row>
    <row r="17" spans="1:30" x14ac:dyDescent="0.15">
      <c r="A17" s="27">
        <v>42413</v>
      </c>
      <c r="B17" s="7">
        <f>'[4]Feb Prod'!I16</f>
        <v>0</v>
      </c>
      <c r="C17" s="8">
        <f t="shared" si="0"/>
        <v>0</v>
      </c>
      <c r="D17" s="10">
        <f t="shared" si="1"/>
        <v>0</v>
      </c>
      <c r="E17" s="7">
        <f>'[4]Feb Prod'!E16</f>
        <v>0</v>
      </c>
      <c r="F17" s="8">
        <f t="shared" si="2"/>
        <v>0</v>
      </c>
      <c r="G17" s="10">
        <f t="shared" si="3"/>
        <v>0</v>
      </c>
      <c r="H17" s="7">
        <f>'[4]Feb Prod'!F16</f>
        <v>0</v>
      </c>
      <c r="I17" s="8">
        <f t="shared" si="4"/>
        <v>0</v>
      </c>
      <c r="J17" s="10">
        <f t="shared" si="5"/>
        <v>0</v>
      </c>
      <c r="K17" s="7">
        <f>'[4]Feb Prod'!H257</f>
        <v>0</v>
      </c>
      <c r="L17" s="8">
        <f t="shared" si="6"/>
        <v>0</v>
      </c>
      <c r="M17" s="10">
        <f t="shared" si="7"/>
        <v>0</v>
      </c>
      <c r="N17" s="21"/>
      <c r="O17" s="7">
        <f>'[4]Feb Prod'!H16</f>
        <v>11838999.999999996</v>
      </c>
      <c r="P17" s="8">
        <f t="shared" si="8"/>
        <v>11.838999999999997</v>
      </c>
      <c r="Q17" s="10">
        <f t="shared" si="9"/>
        <v>36.345729999999989</v>
      </c>
      <c r="R17" s="7">
        <f>'[4]Feb Prod'!C16</f>
        <v>12295000</v>
      </c>
      <c r="S17" s="8">
        <f t="shared" si="10"/>
        <v>12.295</v>
      </c>
      <c r="T17" s="10">
        <f t="shared" si="11"/>
        <v>37.745649999999998</v>
      </c>
      <c r="U17" s="7">
        <f>'[4]Feb Prod'!D16</f>
        <v>0</v>
      </c>
      <c r="V17" s="8">
        <f t="shared" si="12"/>
        <v>0</v>
      </c>
      <c r="W17" s="10">
        <f t="shared" si="13"/>
        <v>0</v>
      </c>
      <c r="X17" s="7">
        <f>'[4]Feb Prod'!D257</f>
        <v>456000.00000000309</v>
      </c>
      <c r="Y17" s="8">
        <f t="shared" si="14"/>
        <v>0.45600000000000307</v>
      </c>
      <c r="Z17" s="10">
        <f t="shared" si="15"/>
        <v>1.3999200000000094</v>
      </c>
      <c r="AA17" s="15"/>
      <c r="AB17" s="7">
        <f t="shared" si="16"/>
        <v>11838999.999999996</v>
      </c>
      <c r="AC17" s="8">
        <f t="shared" si="17"/>
        <v>11.838999999999997</v>
      </c>
      <c r="AD17" s="8">
        <f t="shared" si="17"/>
        <v>36.345729999999989</v>
      </c>
    </row>
    <row r="18" spans="1:30" x14ac:dyDescent="0.15">
      <c r="A18" s="27">
        <v>42414</v>
      </c>
      <c r="B18" s="7">
        <f>'[4]Feb Prod'!I17</f>
        <v>0</v>
      </c>
      <c r="C18" s="8">
        <f t="shared" si="0"/>
        <v>0</v>
      </c>
      <c r="D18" s="10">
        <f t="shared" si="1"/>
        <v>0</v>
      </c>
      <c r="E18" s="7">
        <f>'[4]Feb Prod'!E17</f>
        <v>0</v>
      </c>
      <c r="F18" s="8">
        <f t="shared" si="2"/>
        <v>0</v>
      </c>
      <c r="G18" s="10">
        <f t="shared" si="3"/>
        <v>0</v>
      </c>
      <c r="H18" s="7">
        <f>'[4]Feb Prod'!F17</f>
        <v>0</v>
      </c>
      <c r="I18" s="8">
        <f t="shared" si="4"/>
        <v>0</v>
      </c>
      <c r="J18" s="10">
        <f t="shared" si="5"/>
        <v>0</v>
      </c>
      <c r="K18" s="7">
        <f>'[4]Feb Prod'!H258</f>
        <v>166983</v>
      </c>
      <c r="L18" s="8">
        <f t="shared" ref="L18:L20" si="18">K18/1000000</f>
        <v>0.16698299999999999</v>
      </c>
      <c r="M18" s="10">
        <f t="shared" ref="M18:M20" si="19">L18*3.07</f>
        <v>0.51263780999999997</v>
      </c>
      <c r="N18" s="21"/>
      <c r="O18" s="7">
        <f>'[4]Feb Prod'!H17</f>
        <v>12653000</v>
      </c>
      <c r="P18" s="8">
        <f t="shared" si="8"/>
        <v>12.653</v>
      </c>
      <c r="Q18" s="10">
        <f t="shared" si="9"/>
        <v>38.844709999999999</v>
      </c>
      <c r="R18" s="7">
        <f>'[4]Feb Prod'!C17</f>
        <v>12851000</v>
      </c>
      <c r="S18" s="8">
        <f t="shared" si="10"/>
        <v>12.851000000000001</v>
      </c>
      <c r="T18" s="10">
        <f t="shared" si="11"/>
        <v>39.452570000000001</v>
      </c>
      <c r="U18" s="7">
        <f>'[4]Feb Prod'!D17</f>
        <v>0</v>
      </c>
      <c r="V18" s="8">
        <f t="shared" si="12"/>
        <v>0</v>
      </c>
      <c r="W18" s="10">
        <f t="shared" si="13"/>
        <v>0</v>
      </c>
      <c r="X18" s="7">
        <f>'[4]Feb Prod'!D258</f>
        <v>198000.00000000041</v>
      </c>
      <c r="Y18" s="8">
        <f t="shared" si="14"/>
        <v>0.1980000000000004</v>
      </c>
      <c r="Z18" s="10">
        <f t="shared" si="15"/>
        <v>0.60786000000000118</v>
      </c>
      <c r="AA18" s="15"/>
      <c r="AB18" s="7">
        <f t="shared" si="17"/>
        <v>12653000</v>
      </c>
      <c r="AC18" s="8">
        <f t="shared" si="17"/>
        <v>12.653</v>
      </c>
      <c r="AD18" s="8">
        <f t="shared" si="17"/>
        <v>38.844709999999999</v>
      </c>
    </row>
    <row r="19" spans="1:30" x14ac:dyDescent="0.15">
      <c r="A19" s="27">
        <v>42415</v>
      </c>
      <c r="B19" s="7">
        <f>'[4]Feb Prod'!I18</f>
        <v>0</v>
      </c>
      <c r="C19" s="8">
        <f t="shared" si="0"/>
        <v>0</v>
      </c>
      <c r="D19" s="10">
        <f t="shared" si="1"/>
        <v>0</v>
      </c>
      <c r="E19" s="7">
        <f>'[4]Feb Prod'!E18</f>
        <v>0</v>
      </c>
      <c r="F19" s="8">
        <f t="shared" si="2"/>
        <v>0</v>
      </c>
      <c r="G19" s="10">
        <f t="shared" si="3"/>
        <v>0</v>
      </c>
      <c r="H19" s="7">
        <f>'[4]Feb Prod'!F18</f>
        <v>0</v>
      </c>
      <c r="I19" s="8">
        <f t="shared" si="4"/>
        <v>0</v>
      </c>
      <c r="J19" s="10">
        <f t="shared" si="5"/>
        <v>0</v>
      </c>
      <c r="K19" s="7">
        <f>'[4]Feb Prod'!H259</f>
        <v>0</v>
      </c>
      <c r="L19" s="8">
        <f t="shared" si="18"/>
        <v>0</v>
      </c>
      <c r="M19" s="10">
        <f t="shared" si="19"/>
        <v>0</v>
      </c>
      <c r="N19" s="21"/>
      <c r="O19" s="7">
        <f>'[4]Feb Prod'!H18</f>
        <v>12690000.000000002</v>
      </c>
      <c r="P19" s="8">
        <f t="shared" si="8"/>
        <v>12.690000000000001</v>
      </c>
      <c r="Q19" s="10">
        <f t="shared" si="9"/>
        <v>38.958300000000001</v>
      </c>
      <c r="R19" s="7">
        <f>'[4]Feb Prod'!C18</f>
        <v>13028000</v>
      </c>
      <c r="S19" s="8">
        <f t="shared" si="10"/>
        <v>13.028</v>
      </c>
      <c r="T19" s="10">
        <f t="shared" si="11"/>
        <v>39.995959999999997</v>
      </c>
      <c r="U19" s="7">
        <f>'[4]Feb Prod'!D18</f>
        <v>0</v>
      </c>
      <c r="V19" s="8">
        <f t="shared" si="12"/>
        <v>0</v>
      </c>
      <c r="W19" s="10">
        <f t="shared" si="13"/>
        <v>0</v>
      </c>
      <c r="X19" s="7">
        <f>'[4]Feb Prod'!D259</f>
        <v>337999.99999999744</v>
      </c>
      <c r="Y19" s="8">
        <f t="shared" si="14"/>
        <v>0.33799999999999741</v>
      </c>
      <c r="Z19" s="10">
        <f t="shared" si="15"/>
        <v>1.037659999999992</v>
      </c>
      <c r="AA19" s="15"/>
      <c r="AB19" s="7">
        <f t="shared" si="17"/>
        <v>12690000.000000002</v>
      </c>
      <c r="AC19" s="8">
        <f t="shared" si="17"/>
        <v>12.690000000000001</v>
      </c>
      <c r="AD19" s="8">
        <f>D19+Q19</f>
        <v>38.958300000000001</v>
      </c>
    </row>
    <row r="20" spans="1:30" x14ac:dyDescent="0.15">
      <c r="A20" s="27">
        <v>42416</v>
      </c>
      <c r="B20" s="7">
        <f>'[4]Feb Prod'!I19</f>
        <v>0</v>
      </c>
      <c r="C20" s="8">
        <f t="shared" si="0"/>
        <v>0</v>
      </c>
      <c r="D20" s="10">
        <f t="shared" si="1"/>
        <v>0</v>
      </c>
      <c r="E20" s="7">
        <f>'[4]Feb Prod'!E19</f>
        <v>0</v>
      </c>
      <c r="F20" s="8">
        <f t="shared" si="2"/>
        <v>0</v>
      </c>
      <c r="G20" s="10">
        <f t="shared" si="3"/>
        <v>0</v>
      </c>
      <c r="H20" s="7">
        <f>'[4]Feb Prod'!F19</f>
        <v>0</v>
      </c>
      <c r="I20" s="8">
        <f t="shared" si="4"/>
        <v>0</v>
      </c>
      <c r="J20" s="10">
        <f t="shared" si="5"/>
        <v>0</v>
      </c>
      <c r="K20" s="7">
        <f>'[4]Feb Prod'!H260</f>
        <v>0</v>
      </c>
      <c r="L20" s="8">
        <f t="shared" si="18"/>
        <v>0</v>
      </c>
      <c r="M20" s="10">
        <f t="shared" si="19"/>
        <v>0</v>
      </c>
      <c r="N20" s="21"/>
      <c r="O20" s="7">
        <f>'[4]Feb Prod'!H19</f>
        <v>11935000</v>
      </c>
      <c r="P20" s="8">
        <f t="shared" si="8"/>
        <v>11.935</v>
      </c>
      <c r="Q20" s="10">
        <f t="shared" si="9"/>
        <v>36.640450000000001</v>
      </c>
      <c r="R20" s="7">
        <f>'[4]Feb Prod'!C19</f>
        <v>12275000</v>
      </c>
      <c r="S20" s="8">
        <f t="shared" si="10"/>
        <v>12.275</v>
      </c>
      <c r="T20" s="10">
        <f t="shared" si="11"/>
        <v>37.684249999999999</v>
      </c>
      <c r="U20" s="7">
        <f>'[4]Feb Prod'!D19</f>
        <v>0</v>
      </c>
      <c r="V20" s="8">
        <f t="shared" si="12"/>
        <v>0</v>
      </c>
      <c r="W20" s="10">
        <f t="shared" si="13"/>
        <v>0</v>
      </c>
      <c r="X20" s="7">
        <f>'[4]Feb Prod'!D260</f>
        <v>339999.99999999988</v>
      </c>
      <c r="Y20" s="8">
        <f t="shared" si="14"/>
        <v>0.33999999999999986</v>
      </c>
      <c r="Z20" s="10">
        <f t="shared" si="15"/>
        <v>1.0437999999999996</v>
      </c>
      <c r="AA20" s="15"/>
      <c r="AB20" s="7">
        <f t="shared" si="17"/>
        <v>11935000</v>
      </c>
      <c r="AC20" s="8">
        <f t="shared" si="17"/>
        <v>11.935</v>
      </c>
      <c r="AD20" s="8">
        <f t="shared" si="17"/>
        <v>36.640450000000001</v>
      </c>
    </row>
    <row r="21" spans="1:30" x14ac:dyDescent="0.15">
      <c r="A21" s="27">
        <v>42417</v>
      </c>
      <c r="B21" s="7">
        <f>'[4]Feb Prod'!I20</f>
        <v>0</v>
      </c>
      <c r="C21" s="8">
        <f t="shared" si="0"/>
        <v>0</v>
      </c>
      <c r="D21" s="10">
        <f t="shared" si="1"/>
        <v>0</v>
      </c>
      <c r="E21" s="7">
        <f>'[4]Feb Prod'!E20</f>
        <v>0</v>
      </c>
      <c r="F21" s="8">
        <f t="shared" si="2"/>
        <v>0</v>
      </c>
      <c r="G21" s="10">
        <f t="shared" si="3"/>
        <v>0</v>
      </c>
      <c r="H21" s="7">
        <f>'[4]Feb Prod'!F20</f>
        <v>0</v>
      </c>
      <c r="I21" s="8">
        <f t="shared" si="4"/>
        <v>0</v>
      </c>
      <c r="J21" s="10">
        <f t="shared" si="5"/>
        <v>0</v>
      </c>
      <c r="K21" s="7">
        <f>'[4]Feb Prod'!H261</f>
        <v>0</v>
      </c>
      <c r="L21" s="8">
        <f t="shared" si="6"/>
        <v>0</v>
      </c>
      <c r="M21" s="10">
        <f t="shared" si="7"/>
        <v>0</v>
      </c>
      <c r="N21" s="21"/>
      <c r="O21" s="7">
        <f>'[4]Feb Prod'!H20</f>
        <v>12037999.999999998</v>
      </c>
      <c r="P21" s="8">
        <f t="shared" si="8"/>
        <v>12.037999999999998</v>
      </c>
      <c r="Q21" s="10">
        <f t="shared" si="9"/>
        <v>36.956659999999992</v>
      </c>
      <c r="R21" s="7">
        <f>'[4]Feb Prod'!C20</f>
        <v>12493000</v>
      </c>
      <c r="S21" s="8">
        <f t="shared" si="10"/>
        <v>12.493</v>
      </c>
      <c r="T21" s="10">
        <f t="shared" si="11"/>
        <v>38.35351</v>
      </c>
      <c r="U21" s="7">
        <f>'[4]Feb Prod'!D20</f>
        <v>0</v>
      </c>
      <c r="V21" s="8">
        <f t="shared" si="12"/>
        <v>0</v>
      </c>
      <c r="W21" s="10">
        <f t="shared" si="13"/>
        <v>0</v>
      </c>
      <c r="X21" s="7">
        <f>'[4]Feb Prod'!D261</f>
        <v>455000.00000000186</v>
      </c>
      <c r="Y21" s="8">
        <f t="shared" si="14"/>
        <v>0.45500000000000185</v>
      </c>
      <c r="Z21" s="10">
        <f t="shared" si="15"/>
        <v>1.3968500000000057</v>
      </c>
      <c r="AA21" s="15"/>
      <c r="AB21" s="7">
        <f t="shared" si="17"/>
        <v>12037999.999999998</v>
      </c>
      <c r="AC21" s="8">
        <f t="shared" si="17"/>
        <v>12.037999999999998</v>
      </c>
      <c r="AD21" s="8">
        <f t="shared" si="17"/>
        <v>36.956659999999992</v>
      </c>
    </row>
    <row r="22" spans="1:30" x14ac:dyDescent="0.15">
      <c r="A22" s="27">
        <v>42418</v>
      </c>
      <c r="B22" s="7">
        <f>'[4]Feb Prod'!I21</f>
        <v>0</v>
      </c>
      <c r="C22" s="8">
        <f t="shared" si="0"/>
        <v>0</v>
      </c>
      <c r="D22" s="10">
        <f t="shared" si="1"/>
        <v>0</v>
      </c>
      <c r="E22" s="7">
        <f>'[4]Feb Prod'!E21</f>
        <v>0</v>
      </c>
      <c r="F22" s="8">
        <f t="shared" si="2"/>
        <v>0</v>
      </c>
      <c r="G22" s="10">
        <f t="shared" si="3"/>
        <v>0</v>
      </c>
      <c r="H22" s="7">
        <f>'[4]Feb Prod'!F21</f>
        <v>0</v>
      </c>
      <c r="I22" s="8">
        <f t="shared" si="4"/>
        <v>0</v>
      </c>
      <c r="J22" s="10">
        <f t="shared" si="5"/>
        <v>0</v>
      </c>
      <c r="K22" s="7">
        <f>'[4]Feb Prod'!H262</f>
        <v>0</v>
      </c>
      <c r="L22" s="8">
        <f t="shared" si="6"/>
        <v>0</v>
      </c>
      <c r="M22" s="10">
        <f t="shared" si="7"/>
        <v>0</v>
      </c>
      <c r="N22" s="21"/>
      <c r="O22" s="7">
        <f>'[4]Feb Prod'!H21</f>
        <v>12325000.000000002</v>
      </c>
      <c r="P22" s="8">
        <f t="shared" si="8"/>
        <v>12.325000000000001</v>
      </c>
      <c r="Q22" s="10">
        <f t="shared" si="9"/>
        <v>37.83775</v>
      </c>
      <c r="R22" s="7">
        <f>'[4]Feb Prod'!C21</f>
        <v>12635000</v>
      </c>
      <c r="S22" s="8">
        <f t="shared" si="10"/>
        <v>12.635</v>
      </c>
      <c r="T22" s="10">
        <f t="shared" si="11"/>
        <v>38.789449999999995</v>
      </c>
      <c r="U22" s="7">
        <f>'[4]Feb Prod'!D21</f>
        <v>0</v>
      </c>
      <c r="V22" s="8">
        <f t="shared" si="12"/>
        <v>0</v>
      </c>
      <c r="W22" s="10">
        <f t="shared" si="13"/>
        <v>0</v>
      </c>
      <c r="X22" s="7">
        <f>'[4]Feb Prod'!D262</f>
        <v>309999.99999999872</v>
      </c>
      <c r="Y22" s="8">
        <f t="shared" si="14"/>
        <v>0.30999999999999872</v>
      </c>
      <c r="Z22" s="10">
        <f t="shared" si="15"/>
        <v>0.95169999999999599</v>
      </c>
      <c r="AA22" s="15"/>
      <c r="AB22" s="7">
        <f t="shared" si="17"/>
        <v>12325000.000000002</v>
      </c>
      <c r="AC22" s="8">
        <f t="shared" si="17"/>
        <v>12.325000000000001</v>
      </c>
      <c r="AD22" s="8">
        <f t="shared" si="17"/>
        <v>37.83775</v>
      </c>
    </row>
    <row r="23" spans="1:30" x14ac:dyDescent="0.15">
      <c r="A23" s="27">
        <v>42419</v>
      </c>
      <c r="B23" s="7">
        <f>'[4]Feb Prod'!I22</f>
        <v>0</v>
      </c>
      <c r="C23" s="8">
        <f t="shared" si="0"/>
        <v>0</v>
      </c>
      <c r="D23" s="10">
        <f t="shared" si="1"/>
        <v>0</v>
      </c>
      <c r="E23" s="7">
        <f>'[4]Feb Prod'!E22</f>
        <v>0</v>
      </c>
      <c r="F23" s="8">
        <f t="shared" si="2"/>
        <v>0</v>
      </c>
      <c r="G23" s="10">
        <f t="shared" si="3"/>
        <v>0</v>
      </c>
      <c r="H23" s="7">
        <f>'[4]Feb Prod'!F22</f>
        <v>0</v>
      </c>
      <c r="I23" s="8">
        <f t="shared" si="4"/>
        <v>0</v>
      </c>
      <c r="J23" s="10">
        <f t="shared" si="5"/>
        <v>0</v>
      </c>
      <c r="K23" s="7">
        <f>'[4]Feb Prod'!H263</f>
        <v>0</v>
      </c>
      <c r="L23" s="8">
        <f t="shared" si="6"/>
        <v>0</v>
      </c>
      <c r="M23" s="10">
        <f t="shared" si="7"/>
        <v>0</v>
      </c>
      <c r="N23" s="21"/>
      <c r="O23" s="7">
        <f>'[4]Feb Prod'!H22</f>
        <v>12066000</v>
      </c>
      <c r="P23" s="8">
        <f t="shared" si="8"/>
        <v>12.066000000000001</v>
      </c>
      <c r="Q23" s="10">
        <f t="shared" si="9"/>
        <v>37.042619999999999</v>
      </c>
      <c r="R23" s="7">
        <f>'[4]Feb Prod'!C22</f>
        <v>12368000</v>
      </c>
      <c r="S23" s="8">
        <f t="shared" si="10"/>
        <v>12.368</v>
      </c>
      <c r="T23" s="10">
        <f t="shared" si="11"/>
        <v>37.969760000000001</v>
      </c>
      <c r="U23" s="7">
        <f>'[4]Feb Prod'!D22</f>
        <v>0</v>
      </c>
      <c r="V23" s="8">
        <f t="shared" si="12"/>
        <v>0</v>
      </c>
      <c r="W23" s="10">
        <f t="shared" si="13"/>
        <v>0</v>
      </c>
      <c r="X23" s="7">
        <f>'[4]Feb Prod'!D263</f>
        <v>301999.99999999959</v>
      </c>
      <c r="Y23" s="8">
        <f t="shared" si="14"/>
        <v>0.3019999999999996</v>
      </c>
      <c r="Z23" s="10">
        <f t="shared" si="15"/>
        <v>0.92713999999999874</v>
      </c>
      <c r="AA23" s="15"/>
      <c r="AB23" s="7">
        <f t="shared" si="17"/>
        <v>12066000</v>
      </c>
      <c r="AC23" s="8">
        <f t="shared" si="17"/>
        <v>12.066000000000001</v>
      </c>
      <c r="AD23" s="8">
        <f t="shared" si="17"/>
        <v>37.042619999999999</v>
      </c>
    </row>
    <row r="24" spans="1:30" x14ac:dyDescent="0.15">
      <c r="A24" s="27">
        <v>42420</v>
      </c>
      <c r="B24" s="7">
        <f>'[4]Feb Prod'!I23</f>
        <v>0</v>
      </c>
      <c r="C24" s="8">
        <f t="shared" si="0"/>
        <v>0</v>
      </c>
      <c r="D24" s="10">
        <f t="shared" si="1"/>
        <v>0</v>
      </c>
      <c r="E24" s="7">
        <f>'[4]Feb Prod'!E23</f>
        <v>0</v>
      </c>
      <c r="F24" s="8">
        <f t="shared" si="2"/>
        <v>0</v>
      </c>
      <c r="G24" s="10">
        <f t="shared" si="3"/>
        <v>0</v>
      </c>
      <c r="H24" s="7">
        <f>'[4]Feb Prod'!F23</f>
        <v>0</v>
      </c>
      <c r="I24" s="8">
        <f t="shared" si="4"/>
        <v>0</v>
      </c>
      <c r="J24" s="10">
        <f t="shared" si="5"/>
        <v>0</v>
      </c>
      <c r="K24" s="7">
        <f>'[4]Feb Prod'!H264</f>
        <v>0</v>
      </c>
      <c r="L24" s="8">
        <f t="shared" ref="L24:L32" si="20">K24/1000000</f>
        <v>0</v>
      </c>
      <c r="M24" s="10">
        <f t="shared" si="7"/>
        <v>0</v>
      </c>
      <c r="N24" s="21"/>
      <c r="O24" s="7">
        <f>'[4]Feb Prod'!H23</f>
        <v>12012999.999999998</v>
      </c>
      <c r="P24" s="8">
        <f t="shared" si="8"/>
        <v>12.012999999999998</v>
      </c>
      <c r="Q24" s="10">
        <f t="shared" si="9"/>
        <v>36.879909999999995</v>
      </c>
      <c r="R24" s="7">
        <f>'[4]Feb Prod'!C23</f>
        <v>12285000</v>
      </c>
      <c r="S24" s="8">
        <f t="shared" si="10"/>
        <v>12.285</v>
      </c>
      <c r="T24" s="10">
        <f t="shared" si="11"/>
        <v>37.714950000000002</v>
      </c>
      <c r="U24" s="7">
        <f>'[4]Feb Prod'!D23</f>
        <v>0</v>
      </c>
      <c r="V24" s="8">
        <f t="shared" si="12"/>
        <v>0</v>
      </c>
      <c r="W24" s="10">
        <f t="shared" si="13"/>
        <v>0</v>
      </c>
      <c r="X24" s="7">
        <f>'[4]Feb Prod'!D264</f>
        <v>272000.00000000204</v>
      </c>
      <c r="Y24" s="8">
        <f t="shared" si="14"/>
        <v>0.27200000000000202</v>
      </c>
      <c r="Z24" s="10">
        <f t="shared" si="15"/>
        <v>0.83504000000000611</v>
      </c>
      <c r="AA24" s="15"/>
      <c r="AB24" s="7">
        <f t="shared" si="17"/>
        <v>12012999.999999998</v>
      </c>
      <c r="AC24" s="8">
        <f t="shared" si="17"/>
        <v>12.012999999999998</v>
      </c>
      <c r="AD24" s="8">
        <f>D24+Q24</f>
        <v>36.879909999999995</v>
      </c>
    </row>
    <row r="25" spans="1:30" x14ac:dyDescent="0.15">
      <c r="A25" s="27">
        <v>42421</v>
      </c>
      <c r="B25" s="7">
        <f>'[4]Feb Prod'!I24</f>
        <v>0</v>
      </c>
      <c r="C25" s="8">
        <f t="shared" si="0"/>
        <v>0</v>
      </c>
      <c r="D25" s="10">
        <f t="shared" si="1"/>
        <v>0</v>
      </c>
      <c r="E25" s="7">
        <f>'[4]Feb Prod'!E24</f>
        <v>0</v>
      </c>
      <c r="F25" s="8">
        <f t="shared" si="2"/>
        <v>0</v>
      </c>
      <c r="G25" s="10">
        <f t="shared" si="3"/>
        <v>0</v>
      </c>
      <c r="H25" s="7">
        <f>'[4]Feb Prod'!F24</f>
        <v>0</v>
      </c>
      <c r="I25" s="8">
        <f t="shared" si="4"/>
        <v>0</v>
      </c>
      <c r="J25" s="10">
        <f t="shared" si="5"/>
        <v>0</v>
      </c>
      <c r="K25" s="7">
        <f>'[4]Feb Prod'!H265</f>
        <v>0</v>
      </c>
      <c r="L25" s="8">
        <f t="shared" si="20"/>
        <v>0</v>
      </c>
      <c r="M25" s="10">
        <f t="shared" si="7"/>
        <v>0</v>
      </c>
      <c r="N25" s="21"/>
      <c r="O25" s="7">
        <f>'[4]Feb Prod'!H24</f>
        <v>11450000.000000002</v>
      </c>
      <c r="P25" s="8">
        <f t="shared" si="8"/>
        <v>11.450000000000001</v>
      </c>
      <c r="Q25" s="10">
        <f t="shared" si="9"/>
        <v>35.151499999999999</v>
      </c>
      <c r="R25" s="7">
        <f>'[4]Feb Prod'!C24</f>
        <v>11893000</v>
      </c>
      <c r="S25" s="8">
        <f t="shared" si="10"/>
        <v>11.893000000000001</v>
      </c>
      <c r="T25" s="10">
        <f t="shared" si="11"/>
        <v>36.511510000000001</v>
      </c>
      <c r="U25" s="7">
        <f>'[4]Feb Prod'!D24</f>
        <v>0</v>
      </c>
      <c r="V25" s="8">
        <f t="shared" si="12"/>
        <v>0</v>
      </c>
      <c r="W25" s="10">
        <f t="shared" si="13"/>
        <v>0</v>
      </c>
      <c r="X25" s="7">
        <f>'[4]Feb Prod'!D265</f>
        <v>442999.99999999785</v>
      </c>
      <c r="Y25" s="8">
        <f t="shared" si="14"/>
        <v>0.44299999999999784</v>
      </c>
      <c r="Z25" s="10">
        <f t="shared" si="15"/>
        <v>1.3600099999999933</v>
      </c>
      <c r="AA25" s="15"/>
      <c r="AB25" s="7">
        <f t="shared" si="17"/>
        <v>11450000.000000002</v>
      </c>
      <c r="AC25" s="8">
        <f t="shared" si="17"/>
        <v>11.450000000000001</v>
      </c>
      <c r="AD25" s="8">
        <f t="shared" si="17"/>
        <v>35.151499999999999</v>
      </c>
    </row>
    <row r="26" spans="1:30" x14ac:dyDescent="0.15">
      <c r="A26" s="27">
        <v>42422</v>
      </c>
      <c r="B26" s="7">
        <f>'[4]Feb Prod'!I25</f>
        <v>0</v>
      </c>
      <c r="C26" s="8">
        <f t="shared" si="0"/>
        <v>0</v>
      </c>
      <c r="D26" s="10">
        <f t="shared" si="1"/>
        <v>0</v>
      </c>
      <c r="E26" s="7">
        <f>'[4]Feb Prod'!E25</f>
        <v>0</v>
      </c>
      <c r="F26" s="8">
        <f t="shared" si="2"/>
        <v>0</v>
      </c>
      <c r="G26" s="10">
        <f t="shared" si="3"/>
        <v>0</v>
      </c>
      <c r="H26" s="7">
        <f>'[4]Feb Prod'!F25</f>
        <v>0</v>
      </c>
      <c r="I26" s="8">
        <f t="shared" si="4"/>
        <v>0</v>
      </c>
      <c r="J26" s="10">
        <f t="shared" si="5"/>
        <v>0</v>
      </c>
      <c r="K26" s="7">
        <f>'[4]Feb Prod'!H266</f>
        <v>36285</v>
      </c>
      <c r="L26" s="8">
        <f t="shared" si="20"/>
        <v>3.6284999999999998E-2</v>
      </c>
      <c r="M26" s="10">
        <f t="shared" si="7"/>
        <v>0.11139494999999999</v>
      </c>
      <c r="N26" s="21"/>
      <c r="O26" s="7">
        <f>'[4]Feb Prod'!H25</f>
        <v>12709000</v>
      </c>
      <c r="P26" s="8">
        <f t="shared" si="8"/>
        <v>12.709</v>
      </c>
      <c r="Q26" s="10">
        <f t="shared" si="9"/>
        <v>39.016629999999999</v>
      </c>
      <c r="R26" s="7">
        <f>'[4]Feb Prod'!C25</f>
        <v>13137000</v>
      </c>
      <c r="S26" s="8">
        <f t="shared" si="10"/>
        <v>13.137</v>
      </c>
      <c r="T26" s="10">
        <f t="shared" si="11"/>
        <v>40.330590000000001</v>
      </c>
      <c r="U26" s="7">
        <f>'[4]Feb Prod'!D25</f>
        <v>0</v>
      </c>
      <c r="V26" s="8">
        <f t="shared" si="12"/>
        <v>0</v>
      </c>
      <c r="W26" s="10">
        <f t="shared" si="13"/>
        <v>0</v>
      </c>
      <c r="X26" s="7">
        <f>'[4]Feb Prod'!D266</f>
        <v>428000.00000000081</v>
      </c>
      <c r="Y26" s="8">
        <f t="shared" si="14"/>
        <v>0.42800000000000082</v>
      </c>
      <c r="Z26" s="10">
        <f t="shared" si="15"/>
        <v>1.3139600000000025</v>
      </c>
      <c r="AA26" s="15"/>
      <c r="AB26" s="7">
        <f t="shared" si="17"/>
        <v>12709000</v>
      </c>
      <c r="AC26" s="8">
        <f t="shared" si="17"/>
        <v>12.709</v>
      </c>
      <c r="AD26" s="8">
        <f t="shared" si="17"/>
        <v>39.016629999999999</v>
      </c>
    </row>
    <row r="27" spans="1:30" x14ac:dyDescent="0.15">
      <c r="A27" s="27">
        <v>42423</v>
      </c>
      <c r="B27" s="7">
        <f>'[4]Feb Prod'!I26</f>
        <v>0</v>
      </c>
      <c r="C27" s="8">
        <f t="shared" si="0"/>
        <v>0</v>
      </c>
      <c r="D27" s="10">
        <f t="shared" si="1"/>
        <v>0</v>
      </c>
      <c r="E27" s="7">
        <f>'[4]Feb Prod'!E26</f>
        <v>0</v>
      </c>
      <c r="F27" s="8">
        <f t="shared" si="2"/>
        <v>0</v>
      </c>
      <c r="G27" s="10">
        <f t="shared" si="3"/>
        <v>0</v>
      </c>
      <c r="H27" s="7">
        <f>'[4]Feb Prod'!F26</f>
        <v>0</v>
      </c>
      <c r="I27" s="8">
        <f t="shared" si="4"/>
        <v>0</v>
      </c>
      <c r="J27" s="10">
        <f t="shared" si="5"/>
        <v>0</v>
      </c>
      <c r="K27" s="7">
        <f>'[4]Feb Prod'!H267</f>
        <v>0</v>
      </c>
      <c r="L27" s="8">
        <f t="shared" si="20"/>
        <v>0</v>
      </c>
      <c r="M27" s="10">
        <f t="shared" si="7"/>
        <v>0</v>
      </c>
      <c r="N27" s="21"/>
      <c r="O27" s="7">
        <f>'[4]Feb Prod'!H26</f>
        <v>12583000</v>
      </c>
      <c r="P27" s="8">
        <f t="shared" si="8"/>
        <v>12.583</v>
      </c>
      <c r="Q27" s="10">
        <f t="shared" si="9"/>
        <v>38.629809999999999</v>
      </c>
      <c r="R27" s="7">
        <f>'[4]Feb Prod'!C26</f>
        <v>12934000</v>
      </c>
      <c r="S27" s="8">
        <f t="shared" si="10"/>
        <v>12.933999999999999</v>
      </c>
      <c r="T27" s="10">
        <f t="shared" si="11"/>
        <v>39.707379999999993</v>
      </c>
      <c r="U27" s="7">
        <f>'[4]Feb Prod'!D26</f>
        <v>0</v>
      </c>
      <c r="V27" s="8">
        <f t="shared" si="12"/>
        <v>0</v>
      </c>
      <c r="W27" s="10">
        <f t="shared" si="13"/>
        <v>0</v>
      </c>
      <c r="X27" s="7">
        <f>'[4]Feb Prod'!D267</f>
        <v>350999.99999999907</v>
      </c>
      <c r="Y27" s="8">
        <f t="shared" si="14"/>
        <v>0.35099999999999909</v>
      </c>
      <c r="Z27" s="10">
        <f t="shared" si="15"/>
        <v>1.0775699999999973</v>
      </c>
      <c r="AA27" s="15"/>
      <c r="AB27" s="7">
        <f t="shared" si="17"/>
        <v>12583000</v>
      </c>
      <c r="AC27" s="8">
        <f t="shared" si="17"/>
        <v>12.583</v>
      </c>
      <c r="AD27" s="8">
        <f t="shared" si="17"/>
        <v>38.629809999999999</v>
      </c>
    </row>
    <row r="28" spans="1:30" x14ac:dyDescent="0.15">
      <c r="A28" s="27">
        <v>42424</v>
      </c>
      <c r="B28" s="7">
        <f>'[4]Feb Prod'!I27</f>
        <v>0</v>
      </c>
      <c r="C28" s="8">
        <f t="shared" si="0"/>
        <v>0</v>
      </c>
      <c r="D28" s="10">
        <f t="shared" si="1"/>
        <v>0</v>
      </c>
      <c r="E28" s="7">
        <f>'[4]Feb Prod'!E27</f>
        <v>0</v>
      </c>
      <c r="F28" s="8">
        <f t="shared" si="2"/>
        <v>0</v>
      </c>
      <c r="G28" s="10">
        <f t="shared" si="3"/>
        <v>0</v>
      </c>
      <c r="H28" s="7">
        <f>'[4]Feb Prod'!F27</f>
        <v>0</v>
      </c>
      <c r="I28" s="8">
        <f t="shared" si="4"/>
        <v>0</v>
      </c>
      <c r="J28" s="10">
        <f t="shared" si="5"/>
        <v>0</v>
      </c>
      <c r="K28" s="7">
        <f>'[4]Feb Prod'!H268</f>
        <v>0</v>
      </c>
      <c r="L28" s="8">
        <f t="shared" si="20"/>
        <v>0</v>
      </c>
      <c r="M28" s="10">
        <f t="shared" si="7"/>
        <v>0</v>
      </c>
      <c r="N28" s="21"/>
      <c r="O28" s="7">
        <f>'[4]Feb Prod'!H27</f>
        <v>11599000</v>
      </c>
      <c r="P28" s="8">
        <f t="shared" si="8"/>
        <v>11.599</v>
      </c>
      <c r="Q28" s="10">
        <f t="shared" si="9"/>
        <v>35.608930000000001</v>
      </c>
      <c r="R28" s="7">
        <f>'[4]Feb Prod'!C27</f>
        <v>11904000</v>
      </c>
      <c r="S28" s="8">
        <f t="shared" si="10"/>
        <v>11.904</v>
      </c>
      <c r="T28" s="10">
        <f t="shared" si="11"/>
        <v>36.545279999999998</v>
      </c>
      <c r="U28" s="7">
        <f>'[4]Feb Prod'!D27</f>
        <v>0</v>
      </c>
      <c r="V28" s="8">
        <f t="shared" si="12"/>
        <v>0</v>
      </c>
      <c r="W28" s="10">
        <f t="shared" si="13"/>
        <v>0</v>
      </c>
      <c r="X28" s="7">
        <f>'[4]Feb Prod'!D268</f>
        <v>304999.99999999971</v>
      </c>
      <c r="Y28" s="8">
        <f t="shared" si="14"/>
        <v>0.30499999999999972</v>
      </c>
      <c r="Z28" s="10">
        <f t="shared" si="15"/>
        <v>0.93634999999999913</v>
      </c>
      <c r="AA28" s="15"/>
      <c r="AB28" s="7">
        <f t="shared" si="17"/>
        <v>11599000</v>
      </c>
      <c r="AC28" s="8">
        <f t="shared" si="17"/>
        <v>11.599</v>
      </c>
      <c r="AD28" s="8">
        <f t="shared" si="17"/>
        <v>35.608930000000001</v>
      </c>
    </row>
    <row r="29" spans="1:30" x14ac:dyDescent="0.15">
      <c r="A29" s="27">
        <v>42425</v>
      </c>
      <c r="B29" s="7">
        <f>'[4]Feb Prod'!I28</f>
        <v>0</v>
      </c>
      <c r="C29" s="8">
        <f t="shared" si="0"/>
        <v>0</v>
      </c>
      <c r="D29" s="10">
        <f t="shared" si="1"/>
        <v>0</v>
      </c>
      <c r="E29" s="7">
        <f>'[4]Feb Prod'!E28</f>
        <v>0</v>
      </c>
      <c r="F29" s="8">
        <f t="shared" si="2"/>
        <v>0</v>
      </c>
      <c r="G29" s="10">
        <f t="shared" si="3"/>
        <v>0</v>
      </c>
      <c r="H29" s="7">
        <f>'[4]Feb Prod'!F28</f>
        <v>0</v>
      </c>
      <c r="I29" s="8">
        <f t="shared" si="4"/>
        <v>0</v>
      </c>
      <c r="J29" s="10">
        <f t="shared" si="5"/>
        <v>0</v>
      </c>
      <c r="K29" s="7">
        <f>'[4]Feb Prod'!H269</f>
        <v>0</v>
      </c>
      <c r="L29" s="8">
        <f t="shared" si="20"/>
        <v>0</v>
      </c>
      <c r="M29" s="10">
        <f t="shared" si="7"/>
        <v>0</v>
      </c>
      <c r="N29" s="21"/>
      <c r="O29" s="7">
        <f>'[4]Feb Prod'!H28</f>
        <v>10402000</v>
      </c>
      <c r="P29" s="8">
        <f t="shared" si="8"/>
        <v>10.401999999999999</v>
      </c>
      <c r="Q29" s="10">
        <f t="shared" si="9"/>
        <v>31.934139999999996</v>
      </c>
      <c r="R29" s="7">
        <f>'[4]Feb Prod'!C28</f>
        <v>10705000</v>
      </c>
      <c r="S29" s="8">
        <f t="shared" si="10"/>
        <v>10.705</v>
      </c>
      <c r="T29" s="10">
        <f t="shared" si="11"/>
        <v>32.864350000000002</v>
      </c>
      <c r="U29" s="7">
        <f>'[4]Feb Prod'!D28</f>
        <v>0</v>
      </c>
      <c r="V29" s="8">
        <f t="shared" si="12"/>
        <v>0</v>
      </c>
      <c r="W29" s="10">
        <f t="shared" si="13"/>
        <v>0</v>
      </c>
      <c r="X29" s="7">
        <f>'[4]Feb Prod'!D269</f>
        <v>303000.00000000081</v>
      </c>
      <c r="Y29" s="8">
        <f t="shared" si="14"/>
        <v>0.30300000000000082</v>
      </c>
      <c r="Z29" s="10">
        <f t="shared" si="15"/>
        <v>0.93021000000000253</v>
      </c>
      <c r="AA29" s="15"/>
      <c r="AB29" s="7">
        <f t="shared" si="17"/>
        <v>10402000</v>
      </c>
      <c r="AC29" s="8">
        <f t="shared" si="17"/>
        <v>10.401999999999999</v>
      </c>
      <c r="AD29" s="8">
        <f t="shared" si="17"/>
        <v>31.934139999999996</v>
      </c>
    </row>
    <row r="30" spans="1:30" x14ac:dyDescent="0.15">
      <c r="A30" s="27">
        <v>42426</v>
      </c>
      <c r="B30" s="7">
        <f>'[4]Feb Prod'!I29</f>
        <v>0</v>
      </c>
      <c r="C30" s="8">
        <f t="shared" si="0"/>
        <v>0</v>
      </c>
      <c r="D30" s="10">
        <f t="shared" si="1"/>
        <v>0</v>
      </c>
      <c r="E30" s="7">
        <f>'[4]Feb Prod'!E29</f>
        <v>0</v>
      </c>
      <c r="F30" s="8">
        <f t="shared" si="2"/>
        <v>0</v>
      </c>
      <c r="G30" s="10">
        <f t="shared" si="3"/>
        <v>0</v>
      </c>
      <c r="H30" s="7">
        <f>'[4]Feb Prod'!F29</f>
        <v>0</v>
      </c>
      <c r="I30" s="8">
        <f t="shared" si="4"/>
        <v>0</v>
      </c>
      <c r="J30" s="10">
        <f t="shared" si="5"/>
        <v>0</v>
      </c>
      <c r="K30" s="7">
        <f>'[4]Feb Prod'!H270</f>
        <v>0</v>
      </c>
      <c r="L30" s="8">
        <f t="shared" si="20"/>
        <v>0</v>
      </c>
      <c r="M30" s="10">
        <f t="shared" si="7"/>
        <v>0</v>
      </c>
      <c r="N30" s="21"/>
      <c r="O30" s="7">
        <f>'[4]Feb Prod'!H29</f>
        <v>10818000</v>
      </c>
      <c r="P30" s="8">
        <f t="shared" si="8"/>
        <v>10.818</v>
      </c>
      <c r="Q30" s="10">
        <f t="shared" si="9"/>
        <v>33.211259999999996</v>
      </c>
      <c r="R30" s="7">
        <f>'[4]Feb Prod'!C29</f>
        <v>11208000</v>
      </c>
      <c r="S30" s="8">
        <f t="shared" si="10"/>
        <v>11.208</v>
      </c>
      <c r="T30" s="10">
        <f t="shared" si="11"/>
        <v>34.408560000000001</v>
      </c>
      <c r="U30" s="7">
        <f>'[4]Feb Prod'!D29</f>
        <v>0</v>
      </c>
      <c r="V30" s="8">
        <f t="shared" si="12"/>
        <v>0</v>
      </c>
      <c r="W30" s="10">
        <f t="shared" si="13"/>
        <v>0</v>
      </c>
      <c r="X30" s="7">
        <f>'[4]Feb Prod'!D270</f>
        <v>390000.00000000058</v>
      </c>
      <c r="Y30" s="8">
        <f t="shared" si="14"/>
        <v>0.39000000000000057</v>
      </c>
      <c r="Z30" s="10">
        <f t="shared" si="15"/>
        <v>1.1973000000000016</v>
      </c>
      <c r="AA30" s="15"/>
      <c r="AB30" s="7">
        <f t="shared" si="17"/>
        <v>10818000</v>
      </c>
      <c r="AC30" s="8">
        <f t="shared" si="17"/>
        <v>10.818</v>
      </c>
      <c r="AD30" s="8">
        <f>D30+Q30</f>
        <v>33.211259999999996</v>
      </c>
    </row>
    <row r="31" spans="1:30" x14ac:dyDescent="0.15">
      <c r="A31" s="27">
        <v>42427</v>
      </c>
      <c r="B31" s="7">
        <f>'[4]Feb Prod'!I30</f>
        <v>0</v>
      </c>
      <c r="C31" s="8">
        <f t="shared" si="0"/>
        <v>0</v>
      </c>
      <c r="D31" s="10">
        <f t="shared" si="1"/>
        <v>0</v>
      </c>
      <c r="E31" s="7">
        <f>'[4]Feb Prod'!E30</f>
        <v>0</v>
      </c>
      <c r="F31" s="8">
        <f t="shared" si="2"/>
        <v>0</v>
      </c>
      <c r="G31" s="10">
        <f t="shared" si="3"/>
        <v>0</v>
      </c>
      <c r="H31" s="7">
        <f>'[4]Feb Prod'!F30</f>
        <v>0</v>
      </c>
      <c r="I31" s="8">
        <f t="shared" si="4"/>
        <v>0</v>
      </c>
      <c r="J31" s="10">
        <f t="shared" si="5"/>
        <v>0</v>
      </c>
      <c r="K31" s="7">
        <f>'[4]Feb Prod'!H271</f>
        <v>74069</v>
      </c>
      <c r="L31" s="8">
        <f t="shared" si="20"/>
        <v>7.4068999999999996E-2</v>
      </c>
      <c r="M31" s="10">
        <f t="shared" si="7"/>
        <v>0.22739182999999999</v>
      </c>
      <c r="N31" s="21"/>
      <c r="O31" s="7">
        <f>'[4]Feb Prod'!H30</f>
        <v>11550000.000000002</v>
      </c>
      <c r="P31" s="8">
        <f t="shared" si="8"/>
        <v>11.550000000000002</v>
      </c>
      <c r="Q31" s="10">
        <f t="shared" si="9"/>
        <v>35.458500000000008</v>
      </c>
      <c r="R31" s="7">
        <f>'[4]Feb Prod'!C30</f>
        <v>11941000</v>
      </c>
      <c r="S31" s="8">
        <f t="shared" si="10"/>
        <v>11.941000000000001</v>
      </c>
      <c r="T31" s="10">
        <f t="shared" si="11"/>
        <v>36.65887</v>
      </c>
      <c r="U31" s="7">
        <f>'[4]Feb Prod'!D30</f>
        <v>0</v>
      </c>
      <c r="V31" s="8">
        <f t="shared" si="12"/>
        <v>0</v>
      </c>
      <c r="W31" s="10">
        <f t="shared" si="13"/>
        <v>0</v>
      </c>
      <c r="X31" s="7">
        <f>'[4]Feb Prod'!D271</f>
        <v>390999.99999999825</v>
      </c>
      <c r="Y31" s="8">
        <f t="shared" si="14"/>
        <v>0.39099999999999824</v>
      </c>
      <c r="Z31" s="10">
        <f t="shared" si="15"/>
        <v>1.2003699999999946</v>
      </c>
      <c r="AA31" s="15"/>
      <c r="AB31" s="7">
        <f t="shared" si="17"/>
        <v>11550000.000000002</v>
      </c>
      <c r="AC31" s="8">
        <f t="shared" si="17"/>
        <v>11.550000000000002</v>
      </c>
      <c r="AD31" s="8">
        <f t="shared" si="17"/>
        <v>35.458500000000008</v>
      </c>
    </row>
    <row r="32" spans="1:30" x14ac:dyDescent="0.15">
      <c r="A32" s="27">
        <v>42428</v>
      </c>
      <c r="B32" s="7">
        <f>'[4]Feb Prod'!I31</f>
        <v>0</v>
      </c>
      <c r="C32" s="8">
        <f t="shared" si="0"/>
        <v>0</v>
      </c>
      <c r="D32" s="10">
        <f t="shared" si="1"/>
        <v>0</v>
      </c>
      <c r="E32" s="7">
        <f>'[4]Feb Prod'!E31</f>
        <v>0</v>
      </c>
      <c r="F32" s="8">
        <f t="shared" si="2"/>
        <v>0</v>
      </c>
      <c r="G32" s="10">
        <f t="shared" si="3"/>
        <v>0</v>
      </c>
      <c r="H32" s="7">
        <f>'[4]Feb Prod'!F31</f>
        <v>0</v>
      </c>
      <c r="I32" s="8">
        <f t="shared" si="4"/>
        <v>0</v>
      </c>
      <c r="J32" s="10">
        <f t="shared" si="5"/>
        <v>0</v>
      </c>
      <c r="K32" s="7">
        <f>'[4]Feb Prod'!H272</f>
        <v>73500</v>
      </c>
      <c r="L32" s="8">
        <f t="shared" si="20"/>
        <v>7.3499999999999996E-2</v>
      </c>
      <c r="M32" s="10">
        <f t="shared" si="7"/>
        <v>0.22564499999999998</v>
      </c>
      <c r="N32" s="21"/>
      <c r="O32" s="7">
        <f>'[4]Feb Prod'!H31</f>
        <v>12554000</v>
      </c>
      <c r="P32" s="8">
        <f t="shared" si="8"/>
        <v>12.554</v>
      </c>
      <c r="Q32" s="10">
        <f t="shared" si="9"/>
        <v>38.540779999999998</v>
      </c>
      <c r="R32" s="7">
        <f>'[4]Feb Prod'!C31</f>
        <v>12865000</v>
      </c>
      <c r="S32" s="8">
        <f t="shared" si="10"/>
        <v>12.865</v>
      </c>
      <c r="T32" s="10">
        <f t="shared" si="11"/>
        <v>39.495550000000001</v>
      </c>
      <c r="U32" s="7">
        <f>'[4]Feb Prod'!D31</f>
        <v>0</v>
      </c>
      <c r="V32" s="8">
        <f t="shared" si="12"/>
        <v>0</v>
      </c>
      <c r="W32" s="10">
        <f t="shared" si="13"/>
        <v>0</v>
      </c>
      <c r="X32" s="7">
        <f>'[4]Feb Prod'!D272</f>
        <v>310999.99999999994</v>
      </c>
      <c r="Y32" s="8">
        <f t="shared" si="14"/>
        <v>0.31099999999999994</v>
      </c>
      <c r="Z32" s="10">
        <f t="shared" si="15"/>
        <v>0.95476999999999979</v>
      </c>
      <c r="AA32" s="15"/>
      <c r="AB32" s="7">
        <f t="shared" si="17"/>
        <v>12554000</v>
      </c>
      <c r="AC32" s="8">
        <f t="shared" si="17"/>
        <v>12.554</v>
      </c>
      <c r="AD32" s="8">
        <f t="shared" si="17"/>
        <v>38.540779999999998</v>
      </c>
    </row>
    <row r="33" spans="1:30" ht="14" thickBot="1" x14ac:dyDescent="0.2">
      <c r="A33" s="27">
        <v>42429</v>
      </c>
      <c r="B33" s="7">
        <f>'[4]Feb Prod'!I32</f>
        <v>0</v>
      </c>
      <c r="C33" s="8">
        <f t="shared" ref="C33" si="21">B33/1000000</f>
        <v>0</v>
      </c>
      <c r="D33" s="10">
        <f t="shared" ref="D33" si="22">C33*3.07</f>
        <v>0</v>
      </c>
      <c r="E33" s="7">
        <f>'[4]Feb Prod'!E32</f>
        <v>0</v>
      </c>
      <c r="F33" s="8">
        <f t="shared" ref="F33" si="23">E33/1000000</f>
        <v>0</v>
      </c>
      <c r="G33" s="10">
        <f t="shared" ref="G33" si="24">F33*3.07</f>
        <v>0</v>
      </c>
      <c r="H33" s="7">
        <f>'[4]Feb Prod'!F32</f>
        <v>0</v>
      </c>
      <c r="I33" s="8">
        <f t="shared" ref="I33" si="25">H33/1000000</f>
        <v>0</v>
      </c>
      <c r="J33" s="10">
        <f t="shared" ref="J33" si="26">I33*3.07</f>
        <v>0</v>
      </c>
      <c r="K33" s="7">
        <f>'[4]Feb Prod'!H273</f>
        <v>73500</v>
      </c>
      <c r="L33" s="8">
        <f t="shared" ref="L33" si="27">K33/1000000</f>
        <v>7.3499999999999996E-2</v>
      </c>
      <c r="M33" s="10">
        <f t="shared" ref="M33" si="28">L33*3.07</f>
        <v>0.22564499999999998</v>
      </c>
      <c r="N33" s="21"/>
      <c r="O33" s="7">
        <f>'[4]Feb Prod'!H32</f>
        <v>0</v>
      </c>
      <c r="P33" s="8">
        <f t="shared" ref="P33" si="29">O33/1000000</f>
        <v>0</v>
      </c>
      <c r="Q33" s="10">
        <f t="shared" ref="Q33" si="30">P33*3.07</f>
        <v>0</v>
      </c>
      <c r="R33" s="7">
        <f>'[4]Feb Prod'!C32</f>
        <v>0</v>
      </c>
      <c r="S33" s="8">
        <f t="shared" ref="S33" si="31">R33/1000000</f>
        <v>0</v>
      </c>
      <c r="T33" s="10">
        <f t="shared" ref="T33" si="32">S33*3.07</f>
        <v>0</v>
      </c>
      <c r="U33" s="7">
        <f>'[4]Feb Prod'!D32</f>
        <v>0</v>
      </c>
      <c r="V33" s="8">
        <f t="shared" ref="V33" si="33">U33/1000000</f>
        <v>0</v>
      </c>
      <c r="W33" s="10">
        <f t="shared" ref="W33" si="34">V33*3.07</f>
        <v>0</v>
      </c>
      <c r="X33" s="7">
        <f>'[4]Feb Prod'!D273</f>
        <v>73500</v>
      </c>
      <c r="Y33" s="8">
        <f t="shared" ref="Y33" si="35">X33/1000000</f>
        <v>7.3499999999999996E-2</v>
      </c>
      <c r="Z33" s="10">
        <f t="shared" ref="Z33" si="36">Y33*3.07</f>
        <v>0.22564499999999998</v>
      </c>
      <c r="AA33" s="15"/>
      <c r="AB33" s="7">
        <f t="shared" ref="AB33" si="37">B33+O33</f>
        <v>0</v>
      </c>
      <c r="AC33" s="8">
        <f t="shared" ref="AC33" si="38">C33+P33</f>
        <v>0</v>
      </c>
      <c r="AD33" s="8"/>
    </row>
    <row r="34" spans="1:30" ht="14" thickBot="1" x14ac:dyDescent="0.2">
      <c r="A34" s="28"/>
      <c r="B34" s="38"/>
      <c r="C34" s="39">
        <f>SUM(C5:C33)</f>
        <v>0</v>
      </c>
      <c r="D34" s="39">
        <f t="shared" ref="D34:J34" si="39">SUM(D5:D33)</f>
        <v>0</v>
      </c>
      <c r="E34" s="38"/>
      <c r="F34" s="39">
        <f t="shared" si="39"/>
        <v>0</v>
      </c>
      <c r="G34" s="39">
        <f t="shared" si="39"/>
        <v>0</v>
      </c>
      <c r="H34" s="38"/>
      <c r="I34" s="39">
        <f t="shared" si="39"/>
        <v>0</v>
      </c>
      <c r="J34" s="39">
        <f t="shared" si="39"/>
        <v>0</v>
      </c>
      <c r="K34" s="38"/>
      <c r="L34" s="39">
        <f>SUM(L5:L33)</f>
        <v>0.68959499999999996</v>
      </c>
      <c r="M34" s="39">
        <f>SUM(M5:M33)</f>
        <v>2.1170566499999999</v>
      </c>
      <c r="N34" s="14"/>
      <c r="O34" s="38"/>
      <c r="P34" s="39">
        <f>SUM(P5:P33)</f>
        <v>333.21499999999997</v>
      </c>
      <c r="Q34" s="39">
        <f>SUM(Q5:Q33)</f>
        <v>1022.9700499999999</v>
      </c>
      <c r="R34" s="38"/>
      <c r="S34" s="39">
        <f>SUM(S5:S33)</f>
        <v>343.19499999999999</v>
      </c>
      <c r="T34" s="39">
        <f>SUM(T5:T33)</f>
        <v>1053.6086500000001</v>
      </c>
      <c r="U34" s="38"/>
      <c r="V34" s="39">
        <f>SUM(V5:V33)</f>
        <v>0</v>
      </c>
      <c r="W34" s="39">
        <f>SUM(W5:W33)</f>
        <v>0</v>
      </c>
      <c r="X34" s="38"/>
      <c r="Y34" s="39">
        <f>SUM(Y5:Y33)</f>
        <v>10.053499999999996</v>
      </c>
      <c r="Z34" s="39">
        <f>SUM(Z5:Z33)</f>
        <v>30.864244999999986</v>
      </c>
      <c r="AA34" s="14"/>
      <c r="AB34" s="38">
        <f t="shared" si="17"/>
        <v>0</v>
      </c>
      <c r="AC34" s="39">
        <f t="shared" si="17"/>
        <v>333.21499999999997</v>
      </c>
      <c r="AD34" s="39">
        <f>D34+Q34</f>
        <v>1022.9700499999999</v>
      </c>
    </row>
    <row r="35" spans="1:30" x14ac:dyDescent="0.15">
      <c r="A35" s="12"/>
      <c r="B35" s="13"/>
      <c r="C35" s="15"/>
      <c r="D35" s="15"/>
      <c r="E35" s="13"/>
      <c r="F35" s="15"/>
      <c r="G35" s="15"/>
      <c r="H35" s="13"/>
      <c r="I35" s="15"/>
      <c r="J35" s="15"/>
      <c r="K35" s="21"/>
      <c r="L35" s="13"/>
      <c r="M35" s="15"/>
      <c r="N35" s="15"/>
      <c r="O35" s="13"/>
      <c r="P35" s="15"/>
      <c r="Q35" s="15"/>
      <c r="R35" s="13"/>
      <c r="S35" s="15"/>
      <c r="T35" s="15"/>
      <c r="U35" s="15"/>
      <c r="V35" s="13"/>
      <c r="W35" s="16"/>
      <c r="X35" s="16"/>
    </row>
    <row r="36" spans="1:30" x14ac:dyDescent="0.15">
      <c r="B36" s="20"/>
      <c r="C36" s="18"/>
      <c r="E36" s="3"/>
      <c r="F36" s="3"/>
      <c r="G36" s="3"/>
      <c r="H36" s="3"/>
      <c r="I36" s="3"/>
      <c r="J36" s="3"/>
      <c r="K36" s="14"/>
      <c r="L36" s="14"/>
      <c r="M36" s="3"/>
      <c r="N36" s="3"/>
      <c r="O36" s="3"/>
      <c r="P36" s="3"/>
      <c r="Q36" s="3"/>
      <c r="R36" s="14"/>
      <c r="S36" s="3"/>
      <c r="T36" s="3"/>
      <c r="U36" s="14"/>
    </row>
    <row r="37" spans="1:30" x14ac:dyDescent="0.15">
      <c r="C37" s="18"/>
      <c r="E37" s="3"/>
      <c r="F37" s="3"/>
      <c r="G37" s="3"/>
      <c r="H37" s="3"/>
      <c r="I37" s="3"/>
      <c r="J37" s="3"/>
      <c r="K37" s="14"/>
      <c r="L37" s="3"/>
      <c r="M37" s="3"/>
      <c r="N37" s="3"/>
      <c r="O37" s="3"/>
      <c r="P37" s="3"/>
      <c r="Q37" s="3"/>
      <c r="R37" s="3"/>
      <c r="S37" s="3"/>
      <c r="T37" s="3"/>
      <c r="U37" s="14"/>
    </row>
  </sheetData>
  <mergeCells count="9">
    <mergeCell ref="AB3:AD3"/>
    <mergeCell ref="R3:T3"/>
    <mergeCell ref="U3:W3"/>
    <mergeCell ref="B3:D3"/>
    <mergeCell ref="E3:G3"/>
    <mergeCell ref="H3:J3"/>
    <mergeCell ref="O3:Q3"/>
    <mergeCell ref="X3:Z3"/>
    <mergeCell ref="K3:M3"/>
  </mergeCells>
  <phoneticPr fontId="1" type="noConversion"/>
  <pageMargins left="0.75" right="0.75" top="1" bottom="1" header="0.5" footer="0.5"/>
  <pageSetup scale="86" orientation="landscape" r:id="rId1"/>
  <headerFooter alignWithMargins="0">
    <oddFooter>&amp;R&amp;D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1:AF37"/>
  <sheetViews>
    <sheetView workbookViewId="0">
      <pane xSplit="1" ySplit="4" topLeftCell="P17" activePane="bottomRight" state="frozen"/>
      <selection pane="topRight" activeCell="B1" sqref="B1"/>
      <selection pane="bottomLeft" activeCell="A5" sqref="A5"/>
      <selection pane="bottomRight" activeCell="B1" sqref="B1"/>
    </sheetView>
  </sheetViews>
  <sheetFormatPr baseColWidth="10" defaultColWidth="8.83203125" defaultRowHeight="13" x14ac:dyDescent="0.15"/>
  <cols>
    <col min="2" max="2" width="12.6640625" customWidth="1"/>
    <col min="5" max="5" width="11.33203125" customWidth="1"/>
    <col min="8" max="8" width="16.1640625" customWidth="1"/>
    <col min="10" max="10" width="10.6640625" customWidth="1"/>
    <col min="11" max="11" width="12.5" customWidth="1"/>
    <col min="12" max="12" width="10.5" customWidth="1"/>
    <col min="15" max="15" width="10.5" customWidth="1"/>
    <col min="18" max="18" width="10.83203125" customWidth="1"/>
    <col min="22" max="22" width="11.83203125" customWidth="1"/>
    <col min="28" max="28" width="13.5" bestFit="1" customWidth="1"/>
  </cols>
  <sheetData>
    <row r="1" spans="1:32" x14ac:dyDescent="0.15">
      <c r="A1" s="42"/>
      <c r="B1" s="40"/>
      <c r="C1" s="25"/>
      <c r="D1" s="25"/>
      <c r="E1" s="25"/>
      <c r="F1" s="25"/>
      <c r="G1" s="3"/>
      <c r="H1" s="3"/>
      <c r="I1" s="3"/>
      <c r="J1" s="3"/>
      <c r="K1" s="14"/>
      <c r="L1" s="3"/>
      <c r="M1" s="3"/>
      <c r="N1" s="3"/>
      <c r="O1" s="3"/>
      <c r="P1" s="3"/>
      <c r="Q1" s="3"/>
      <c r="R1" s="3"/>
      <c r="S1" s="3"/>
      <c r="T1" s="3"/>
      <c r="U1" s="14"/>
      <c r="V1" s="3"/>
      <c r="W1" s="3"/>
      <c r="X1" s="3"/>
    </row>
    <row r="2" spans="1:32" ht="14" thickBot="1" x14ac:dyDescent="0.2">
      <c r="A2" s="3"/>
      <c r="B2" s="3"/>
      <c r="C2" s="24"/>
      <c r="D2" s="3"/>
      <c r="E2" s="3"/>
      <c r="F2" s="3"/>
      <c r="G2" s="3"/>
      <c r="H2" s="3"/>
      <c r="I2" s="3"/>
      <c r="J2" s="3"/>
      <c r="K2" s="14"/>
      <c r="L2" s="3"/>
      <c r="M2" s="3"/>
      <c r="N2" s="3"/>
      <c r="O2" s="3"/>
      <c r="P2" s="3"/>
      <c r="Q2" s="3"/>
      <c r="R2" s="3"/>
      <c r="S2" s="3"/>
      <c r="T2" s="3"/>
      <c r="U2" s="14"/>
      <c r="V2" s="3"/>
      <c r="W2" s="3"/>
      <c r="X2" s="3"/>
    </row>
    <row r="3" spans="1:32" ht="60.75" customHeight="1" thickBot="1" x14ac:dyDescent="0.2">
      <c r="A3" s="3"/>
      <c r="B3" s="58" t="s">
        <v>10</v>
      </c>
      <c r="C3" s="59"/>
      <c r="D3" s="60"/>
      <c r="E3" s="58" t="s">
        <v>11</v>
      </c>
      <c r="F3" s="59"/>
      <c r="G3" s="60"/>
      <c r="H3" s="58" t="s">
        <v>12</v>
      </c>
      <c r="I3" s="59"/>
      <c r="J3" s="60"/>
      <c r="K3" s="58" t="s">
        <v>13</v>
      </c>
      <c r="L3" s="59"/>
      <c r="M3" s="60"/>
      <c r="N3" s="19"/>
      <c r="O3" s="58" t="s">
        <v>4</v>
      </c>
      <c r="P3" s="59"/>
      <c r="Q3" s="60"/>
      <c r="R3" s="58" t="s">
        <v>3</v>
      </c>
      <c r="S3" s="59"/>
      <c r="T3" s="60"/>
      <c r="U3" s="58" t="s">
        <v>6</v>
      </c>
      <c r="V3" s="59"/>
      <c r="W3" s="60"/>
      <c r="X3" s="58" t="s">
        <v>7</v>
      </c>
      <c r="Y3" s="59"/>
      <c r="Z3" s="60"/>
      <c r="AA3" s="19"/>
      <c r="AB3" s="55" t="s">
        <v>8</v>
      </c>
      <c r="AC3" s="56"/>
      <c r="AD3" s="57"/>
      <c r="AF3" s="34" t="s">
        <v>9</v>
      </c>
    </row>
    <row r="4" spans="1:32" x14ac:dyDescent="0.15">
      <c r="A4" s="26"/>
      <c r="B4" s="4" t="s">
        <v>0</v>
      </c>
      <c r="C4" s="17" t="s">
        <v>1</v>
      </c>
      <c r="D4" s="6" t="s">
        <v>2</v>
      </c>
      <c r="E4" s="4" t="s">
        <v>0</v>
      </c>
      <c r="F4" s="5" t="s">
        <v>1</v>
      </c>
      <c r="G4" s="6" t="s">
        <v>2</v>
      </c>
      <c r="H4" s="4" t="s">
        <v>0</v>
      </c>
      <c r="I4" s="5" t="s">
        <v>1</v>
      </c>
      <c r="J4" s="6" t="s">
        <v>2</v>
      </c>
      <c r="K4" s="4" t="s">
        <v>0</v>
      </c>
      <c r="L4" s="5" t="s">
        <v>1</v>
      </c>
      <c r="M4" s="6" t="s">
        <v>2</v>
      </c>
      <c r="N4" s="19"/>
      <c r="O4" s="4" t="s">
        <v>0</v>
      </c>
      <c r="P4" s="5" t="s">
        <v>1</v>
      </c>
      <c r="Q4" s="6" t="s">
        <v>2</v>
      </c>
      <c r="R4" s="4" t="s">
        <v>0</v>
      </c>
      <c r="S4" s="5" t="s">
        <v>1</v>
      </c>
      <c r="T4" s="6" t="s">
        <v>2</v>
      </c>
      <c r="U4" s="4" t="s">
        <v>0</v>
      </c>
      <c r="V4" s="5" t="s">
        <v>1</v>
      </c>
      <c r="W4" s="6" t="s">
        <v>2</v>
      </c>
      <c r="X4" s="4" t="s">
        <v>0</v>
      </c>
      <c r="Y4" s="5" t="s">
        <v>1</v>
      </c>
      <c r="Z4" s="6" t="s">
        <v>2</v>
      </c>
      <c r="AA4" s="19"/>
      <c r="AB4" s="31" t="s">
        <v>0</v>
      </c>
      <c r="AC4" s="32" t="s">
        <v>1</v>
      </c>
      <c r="AD4" s="33" t="s">
        <v>2</v>
      </c>
      <c r="AF4" s="5" t="s">
        <v>2</v>
      </c>
    </row>
    <row r="5" spans="1:32" x14ac:dyDescent="0.15">
      <c r="A5" s="27">
        <v>38412</v>
      </c>
      <c r="B5" s="7">
        <f>'[5]Mar Prod'!I4</f>
        <v>0</v>
      </c>
      <c r="C5" s="8">
        <f>B5/1000000</f>
        <v>0</v>
      </c>
      <c r="D5" s="10">
        <f t="shared" ref="D5:D35" si="0">C5*3.07</f>
        <v>0</v>
      </c>
      <c r="E5" s="7">
        <f>'[5]Mar Prod'!E4</f>
        <v>0</v>
      </c>
      <c r="F5" s="8">
        <f>E5/1000000</f>
        <v>0</v>
      </c>
      <c r="G5" s="10">
        <f>F5*3.07</f>
        <v>0</v>
      </c>
      <c r="H5" s="7">
        <f>'[5]Mar Prod'!F4</f>
        <v>0</v>
      </c>
      <c r="I5" s="8">
        <f>H5/1000000</f>
        <v>0</v>
      </c>
      <c r="J5" s="10">
        <f>I5*3.07</f>
        <v>0</v>
      </c>
      <c r="K5" s="7">
        <f>'[5]Mar Prod'!H259</f>
        <v>0</v>
      </c>
      <c r="L5" s="8">
        <f>K5/1000000</f>
        <v>0</v>
      </c>
      <c r="M5" s="10">
        <f>L5*3.07</f>
        <v>0</v>
      </c>
      <c r="N5" s="21"/>
      <c r="O5" s="7">
        <f>'[5]Mar Prod'!H4</f>
        <v>12609999.999999998</v>
      </c>
      <c r="P5" s="8">
        <f>O5/1000000</f>
        <v>12.609999999999998</v>
      </c>
      <c r="Q5" s="10">
        <f>P5*3.07</f>
        <v>38.712699999999991</v>
      </c>
      <c r="R5" s="7">
        <f>'[5]Mar Prod'!C4</f>
        <v>12984000</v>
      </c>
      <c r="S5" s="8">
        <f>R5/1000000</f>
        <v>12.984</v>
      </c>
      <c r="T5" s="10">
        <f>S5*3.07</f>
        <v>39.860879999999995</v>
      </c>
      <c r="U5" s="7">
        <f>'[5]Mar Prod'!D4</f>
        <v>0</v>
      </c>
      <c r="V5" s="8">
        <f>U5/1000000</f>
        <v>0</v>
      </c>
      <c r="W5" s="10">
        <f>V5*3.07</f>
        <v>0</v>
      </c>
      <c r="X5" s="7">
        <f>'[5]Mar Prod'!D259</f>
        <v>374000.00000000233</v>
      </c>
      <c r="Y5" s="8">
        <f>X5/1000000</f>
        <v>0.37400000000000233</v>
      </c>
      <c r="Z5" s="10">
        <f>Y5*3.07</f>
        <v>1.1481800000000071</v>
      </c>
      <c r="AA5" s="15"/>
      <c r="AB5" s="7">
        <f>B5+O5</f>
        <v>12609999.999999998</v>
      </c>
      <c r="AC5" s="8">
        <f>C5+P5</f>
        <v>12.609999999999998</v>
      </c>
      <c r="AD5" s="8">
        <f>D5+Q5</f>
        <v>38.712699999999991</v>
      </c>
      <c r="AF5" s="8">
        <f>T5-Q5-Z5</f>
        <v>-3.5527136788005009E-15</v>
      </c>
    </row>
    <row r="6" spans="1:32" x14ac:dyDescent="0.15">
      <c r="A6" s="27">
        <v>38413</v>
      </c>
      <c r="B6" s="7">
        <f>'[5]Mar Prod'!I5</f>
        <v>0</v>
      </c>
      <c r="C6" s="8">
        <f t="shared" ref="C6:C35" si="1">B6/1000000</f>
        <v>0</v>
      </c>
      <c r="D6" s="10">
        <f t="shared" si="0"/>
        <v>0</v>
      </c>
      <c r="E6" s="7">
        <f>'[5]Mar Prod'!E5</f>
        <v>0</v>
      </c>
      <c r="F6" s="8">
        <f t="shared" ref="F6:F35" si="2">E6/1000000</f>
        <v>0</v>
      </c>
      <c r="G6" s="10">
        <f t="shared" ref="G6:G35" si="3">F6*3.07</f>
        <v>0</v>
      </c>
      <c r="H6" s="7">
        <f>'[5]Mar Prod'!F5</f>
        <v>0</v>
      </c>
      <c r="I6" s="8">
        <f t="shared" ref="I6:I35" si="4">H6/1000000</f>
        <v>0</v>
      </c>
      <c r="J6" s="10">
        <f t="shared" ref="J6:J35" si="5">I6*3.07</f>
        <v>0</v>
      </c>
      <c r="K6" s="7">
        <f>'[5]Mar Prod'!H260</f>
        <v>0</v>
      </c>
      <c r="L6" s="8">
        <f t="shared" ref="L6:L35" si="6">K6/1000000</f>
        <v>0</v>
      </c>
      <c r="M6" s="10">
        <f t="shared" ref="M6:M35" si="7">L6*3.07</f>
        <v>0</v>
      </c>
      <c r="N6" s="21"/>
      <c r="O6" s="7">
        <f>'[5]Mar Prod'!H5</f>
        <v>12784000.000000002</v>
      </c>
      <c r="P6" s="8">
        <f t="shared" ref="P6:P35" si="8">O6/1000000</f>
        <v>12.784000000000002</v>
      </c>
      <c r="Q6" s="10">
        <f t="shared" ref="Q6:Q35" si="9">P6*3.07</f>
        <v>39.246880000000004</v>
      </c>
      <c r="R6" s="7">
        <f>'[5]Mar Prod'!C5</f>
        <v>13117000</v>
      </c>
      <c r="S6" s="8">
        <f t="shared" ref="S6:S35" si="10">R6/1000000</f>
        <v>13.117000000000001</v>
      </c>
      <c r="T6" s="10">
        <f t="shared" ref="T6:T35" si="11">S6*3.07</f>
        <v>40.269190000000002</v>
      </c>
      <c r="U6" s="7">
        <f>'[5]Mar Prod'!D5</f>
        <v>0</v>
      </c>
      <c r="V6" s="8">
        <f t="shared" ref="V6:V35" si="12">U6/1000000</f>
        <v>0</v>
      </c>
      <c r="W6" s="10">
        <f t="shared" ref="W6:W35" si="13">V6*3.07</f>
        <v>0</v>
      </c>
      <c r="X6" s="7">
        <f>'[5]Mar Prod'!D260</f>
        <v>332999.99999999843</v>
      </c>
      <c r="Y6" s="8">
        <f t="shared" ref="Y6:Y35" si="14">X6/1000000</f>
        <v>0.33299999999999841</v>
      </c>
      <c r="Z6" s="10">
        <f t="shared" ref="Z6:Z35" si="15">Y6*3.07</f>
        <v>1.0223099999999952</v>
      </c>
      <c r="AA6" s="15"/>
      <c r="AB6" s="7">
        <f t="shared" ref="AB6:AD35" si="16">B6+O6</f>
        <v>12784000.000000002</v>
      </c>
      <c r="AC6" s="8">
        <f t="shared" si="16"/>
        <v>12.784000000000002</v>
      </c>
      <c r="AD6" s="8">
        <f t="shared" si="16"/>
        <v>39.246880000000004</v>
      </c>
      <c r="AF6" s="8">
        <f>T6-Q6-Z6</f>
        <v>2.2204460492503131E-15</v>
      </c>
    </row>
    <row r="7" spans="1:32" x14ac:dyDescent="0.15">
      <c r="A7" s="27">
        <v>38414</v>
      </c>
      <c r="B7" s="7">
        <f>'[5]Mar Prod'!I6</f>
        <v>0</v>
      </c>
      <c r="C7" s="8">
        <f t="shared" si="1"/>
        <v>0</v>
      </c>
      <c r="D7" s="10">
        <f t="shared" si="0"/>
        <v>0</v>
      </c>
      <c r="E7" s="7">
        <f>'[5]Mar Prod'!E6</f>
        <v>0</v>
      </c>
      <c r="F7" s="8">
        <f t="shared" si="2"/>
        <v>0</v>
      </c>
      <c r="G7" s="10">
        <f t="shared" si="3"/>
        <v>0</v>
      </c>
      <c r="H7" s="7">
        <f>'[5]Mar Prod'!F6</f>
        <v>0</v>
      </c>
      <c r="I7" s="8">
        <f t="shared" si="4"/>
        <v>0</v>
      </c>
      <c r="J7" s="10">
        <f t="shared" si="5"/>
        <v>0</v>
      </c>
      <c r="K7" s="7">
        <f>'[5]Mar Prod'!H261</f>
        <v>0</v>
      </c>
      <c r="L7" s="8">
        <f t="shared" si="6"/>
        <v>0</v>
      </c>
      <c r="M7" s="10">
        <f t="shared" si="7"/>
        <v>0</v>
      </c>
      <c r="N7" s="21"/>
      <c r="O7" s="7">
        <f>'[5]Mar Prod'!H6</f>
        <v>10535999.999999998</v>
      </c>
      <c r="P7" s="8">
        <f t="shared" si="8"/>
        <v>10.535999999999998</v>
      </c>
      <c r="Q7" s="10">
        <f t="shared" si="9"/>
        <v>32.345519999999993</v>
      </c>
      <c r="R7" s="7">
        <f>'[5]Mar Prod'!C6</f>
        <v>10979000</v>
      </c>
      <c r="S7" s="8">
        <f t="shared" si="10"/>
        <v>10.978999999999999</v>
      </c>
      <c r="T7" s="10">
        <f t="shared" si="11"/>
        <v>33.705529999999996</v>
      </c>
      <c r="U7" s="7">
        <f>'[5]Mar Prod'!D6</f>
        <v>0</v>
      </c>
      <c r="V7" s="8">
        <f t="shared" si="12"/>
        <v>0</v>
      </c>
      <c r="W7" s="10">
        <f t="shared" si="13"/>
        <v>0</v>
      </c>
      <c r="X7" s="7">
        <f>'[5]Mar Prod'!D261</f>
        <v>443000.0000000014</v>
      </c>
      <c r="Y7" s="8">
        <f t="shared" si="14"/>
        <v>0.44300000000000139</v>
      </c>
      <c r="Z7" s="10">
        <f t="shared" si="15"/>
        <v>1.3600100000000042</v>
      </c>
      <c r="AA7" s="15"/>
      <c r="AB7" s="7">
        <f t="shared" si="16"/>
        <v>10535999.999999998</v>
      </c>
      <c r="AC7" s="8">
        <f t="shared" si="16"/>
        <v>10.535999999999998</v>
      </c>
      <c r="AD7" s="8">
        <f t="shared" si="16"/>
        <v>32.345519999999993</v>
      </c>
      <c r="AF7" s="8">
        <f t="shared" ref="AF7:AF14" si="17">T7-Q7-Z7</f>
        <v>0</v>
      </c>
    </row>
    <row r="8" spans="1:32" x14ac:dyDescent="0.15">
      <c r="A8" s="27">
        <v>38415</v>
      </c>
      <c r="B8" s="7">
        <f>'[5]Mar Prod'!I7</f>
        <v>0</v>
      </c>
      <c r="C8" s="8">
        <f t="shared" si="1"/>
        <v>0</v>
      </c>
      <c r="D8" s="10">
        <f t="shared" si="0"/>
        <v>0</v>
      </c>
      <c r="E8" s="7">
        <f>'[5]Mar Prod'!E7</f>
        <v>0</v>
      </c>
      <c r="F8" s="8">
        <f t="shared" si="2"/>
        <v>0</v>
      </c>
      <c r="G8" s="10">
        <f t="shared" si="3"/>
        <v>0</v>
      </c>
      <c r="H8" s="7">
        <f>'[5]Mar Prod'!F7</f>
        <v>0</v>
      </c>
      <c r="I8" s="8">
        <f t="shared" si="4"/>
        <v>0</v>
      </c>
      <c r="J8" s="10">
        <f t="shared" si="5"/>
        <v>0</v>
      </c>
      <c r="K8" s="7">
        <f>'[5]Mar Prod'!H262</f>
        <v>0</v>
      </c>
      <c r="L8" s="8">
        <f t="shared" si="6"/>
        <v>0</v>
      </c>
      <c r="M8" s="10">
        <f t="shared" si="7"/>
        <v>0</v>
      </c>
      <c r="N8" s="21"/>
      <c r="O8" s="7">
        <f>'[5]Mar Prod'!H7</f>
        <v>11878000</v>
      </c>
      <c r="P8" s="8">
        <f t="shared" si="8"/>
        <v>11.878</v>
      </c>
      <c r="Q8" s="10">
        <f t="shared" si="9"/>
        <v>36.46546</v>
      </c>
      <c r="R8" s="7">
        <f>'[5]Mar Prod'!C7</f>
        <v>12181000</v>
      </c>
      <c r="S8" s="8">
        <f t="shared" si="10"/>
        <v>12.180999999999999</v>
      </c>
      <c r="T8" s="10">
        <f t="shared" si="11"/>
        <v>37.395669999999996</v>
      </c>
      <c r="U8" s="7">
        <f>'[5]Mar Prod'!D7</f>
        <v>0</v>
      </c>
      <c r="V8" s="8">
        <f t="shared" si="12"/>
        <v>0</v>
      </c>
      <c r="W8" s="10">
        <f t="shared" si="13"/>
        <v>0</v>
      </c>
      <c r="X8" s="7">
        <f>'[5]Mar Prod'!D262</f>
        <v>303000.00000000081</v>
      </c>
      <c r="Y8" s="8">
        <f t="shared" si="14"/>
        <v>0.30300000000000082</v>
      </c>
      <c r="Z8" s="10">
        <f t="shared" si="15"/>
        <v>0.93021000000000253</v>
      </c>
      <c r="AA8" s="15"/>
      <c r="AB8" s="7">
        <f t="shared" si="16"/>
        <v>11878000</v>
      </c>
      <c r="AC8" s="8">
        <f t="shared" si="16"/>
        <v>11.878</v>
      </c>
      <c r="AD8" s="8">
        <f>D8+Q8</f>
        <v>36.46546</v>
      </c>
      <c r="AF8" s="8">
        <f t="shared" si="17"/>
        <v>-7.2164496600635175E-15</v>
      </c>
    </row>
    <row r="9" spans="1:32" x14ac:dyDescent="0.15">
      <c r="A9" s="27">
        <v>38416</v>
      </c>
      <c r="B9" s="7">
        <f>'[5]Mar Prod'!I8</f>
        <v>0</v>
      </c>
      <c r="C9" s="8">
        <f t="shared" si="1"/>
        <v>0</v>
      </c>
      <c r="D9" s="10">
        <f t="shared" si="0"/>
        <v>0</v>
      </c>
      <c r="E9" s="7">
        <f>'[5]Mar Prod'!E8</f>
        <v>0</v>
      </c>
      <c r="F9" s="8">
        <f t="shared" si="2"/>
        <v>0</v>
      </c>
      <c r="G9" s="10">
        <f t="shared" si="3"/>
        <v>0</v>
      </c>
      <c r="H9" s="7">
        <f>'[5]Mar Prod'!F8</f>
        <v>0</v>
      </c>
      <c r="I9" s="8">
        <f t="shared" si="4"/>
        <v>0</v>
      </c>
      <c r="J9" s="10">
        <f t="shared" si="5"/>
        <v>0</v>
      </c>
      <c r="K9" s="7">
        <f>'[5]Mar Prod'!H263</f>
        <v>0</v>
      </c>
      <c r="L9" s="8">
        <f t="shared" si="6"/>
        <v>0</v>
      </c>
      <c r="M9" s="10">
        <f t="shared" si="7"/>
        <v>0</v>
      </c>
      <c r="N9" s="21"/>
      <c r="O9" s="7">
        <f>'[5]Mar Prod'!H8</f>
        <v>12866000.000000004</v>
      </c>
      <c r="P9" s="8">
        <f t="shared" si="8"/>
        <v>12.866000000000003</v>
      </c>
      <c r="Q9" s="10">
        <f t="shared" si="9"/>
        <v>39.49862000000001</v>
      </c>
      <c r="R9" s="7">
        <f>'[5]Mar Prod'!C8</f>
        <v>13096000</v>
      </c>
      <c r="S9" s="8">
        <f t="shared" si="10"/>
        <v>13.096</v>
      </c>
      <c r="T9" s="10">
        <f t="shared" si="11"/>
        <v>40.204719999999995</v>
      </c>
      <c r="U9" s="7">
        <f>'[5]Mar Prod'!D8</f>
        <v>0</v>
      </c>
      <c r="V9" s="8">
        <f t="shared" si="12"/>
        <v>0</v>
      </c>
      <c r="W9" s="10">
        <f t="shared" si="13"/>
        <v>0</v>
      </c>
      <c r="X9" s="7">
        <f>'[5]Mar Prod'!D263</f>
        <v>229999.99999999689</v>
      </c>
      <c r="Y9" s="8">
        <f t="shared" si="14"/>
        <v>0.22999999999999687</v>
      </c>
      <c r="Z9" s="10">
        <f t="shared" si="15"/>
        <v>0.7060999999999904</v>
      </c>
      <c r="AA9" s="15"/>
      <c r="AB9" s="7">
        <f t="shared" si="16"/>
        <v>12866000.000000004</v>
      </c>
      <c r="AC9" s="8">
        <f t="shared" si="16"/>
        <v>12.866000000000003</v>
      </c>
      <c r="AD9" s="8">
        <f t="shared" si="16"/>
        <v>39.49862000000001</v>
      </c>
      <c r="AF9" s="8">
        <f t="shared" si="17"/>
        <v>-5.3290705182007514E-15</v>
      </c>
    </row>
    <row r="10" spans="1:32" x14ac:dyDescent="0.15">
      <c r="A10" s="27">
        <v>38417</v>
      </c>
      <c r="B10" s="7">
        <f>'[5]Mar Prod'!I9</f>
        <v>0</v>
      </c>
      <c r="C10" s="8">
        <f t="shared" si="1"/>
        <v>0</v>
      </c>
      <c r="D10" s="10">
        <f t="shared" si="0"/>
        <v>0</v>
      </c>
      <c r="E10" s="7">
        <f>'[5]Mar Prod'!E9</f>
        <v>0</v>
      </c>
      <c r="F10" s="8">
        <f t="shared" si="2"/>
        <v>0</v>
      </c>
      <c r="G10" s="10">
        <f t="shared" si="3"/>
        <v>0</v>
      </c>
      <c r="H10" s="7">
        <f>'[5]Mar Prod'!F9</f>
        <v>0</v>
      </c>
      <c r="I10" s="8">
        <f t="shared" si="4"/>
        <v>0</v>
      </c>
      <c r="J10" s="10">
        <f t="shared" si="5"/>
        <v>0</v>
      </c>
      <c r="K10" s="7">
        <f>'[5]Mar Prod'!H264</f>
        <v>0</v>
      </c>
      <c r="L10" s="8">
        <f t="shared" si="6"/>
        <v>0</v>
      </c>
      <c r="M10" s="10">
        <f t="shared" si="7"/>
        <v>0</v>
      </c>
      <c r="N10" s="21"/>
      <c r="O10" s="7">
        <f>'[5]Mar Prod'!H9</f>
        <v>12490999.999999994</v>
      </c>
      <c r="P10" s="8">
        <f t="shared" si="8"/>
        <v>12.490999999999994</v>
      </c>
      <c r="Q10" s="10">
        <f t="shared" si="9"/>
        <v>38.347369999999984</v>
      </c>
      <c r="R10" s="7">
        <f>'[5]Mar Prod'!C9</f>
        <v>12806000</v>
      </c>
      <c r="S10" s="8">
        <f t="shared" si="10"/>
        <v>12.805999999999999</v>
      </c>
      <c r="T10" s="10">
        <f t="shared" si="11"/>
        <v>39.314419999999998</v>
      </c>
      <c r="U10" s="7">
        <f>'[5]Mar Prod'!D9</f>
        <v>0</v>
      </c>
      <c r="V10" s="8">
        <f t="shared" si="12"/>
        <v>0</v>
      </c>
      <c r="W10" s="10">
        <f t="shared" si="13"/>
        <v>0</v>
      </c>
      <c r="X10" s="7">
        <f>'[5]Mar Prod'!D264</f>
        <v>315000.00000000483</v>
      </c>
      <c r="Y10" s="8">
        <f t="shared" si="14"/>
        <v>0.31500000000000483</v>
      </c>
      <c r="Z10" s="10">
        <f t="shared" si="15"/>
        <v>0.96705000000001473</v>
      </c>
      <c r="AA10" s="15"/>
      <c r="AB10" s="7">
        <f t="shared" si="16"/>
        <v>12490999.999999994</v>
      </c>
      <c r="AC10" s="8">
        <f t="shared" si="16"/>
        <v>12.490999999999994</v>
      </c>
      <c r="AD10" s="8">
        <f t="shared" si="16"/>
        <v>38.347369999999984</v>
      </c>
      <c r="AF10" s="8">
        <f t="shared" si="17"/>
        <v>0</v>
      </c>
    </row>
    <row r="11" spans="1:32" x14ac:dyDescent="0.15">
      <c r="A11" s="27">
        <v>38418</v>
      </c>
      <c r="B11" s="7">
        <f>'[5]Mar Prod'!I10</f>
        <v>0</v>
      </c>
      <c r="C11" s="8">
        <f t="shared" si="1"/>
        <v>0</v>
      </c>
      <c r="D11" s="10">
        <f t="shared" si="0"/>
        <v>0</v>
      </c>
      <c r="E11" s="7">
        <f>'[5]Mar Prod'!E10</f>
        <v>0</v>
      </c>
      <c r="F11" s="8">
        <f t="shared" si="2"/>
        <v>0</v>
      </c>
      <c r="G11" s="10">
        <f t="shared" si="3"/>
        <v>0</v>
      </c>
      <c r="H11" s="7">
        <f>'[5]Mar Prod'!F10</f>
        <v>0</v>
      </c>
      <c r="I11" s="8">
        <f t="shared" si="4"/>
        <v>0</v>
      </c>
      <c r="J11" s="10">
        <f t="shared" si="5"/>
        <v>0</v>
      </c>
      <c r="K11" s="7">
        <f>'[5]Mar Prod'!H265</f>
        <v>164238</v>
      </c>
      <c r="L11" s="8">
        <f t="shared" si="6"/>
        <v>0.164238</v>
      </c>
      <c r="M11" s="10">
        <f t="shared" si="7"/>
        <v>0.50421065999999992</v>
      </c>
      <c r="N11" s="21"/>
      <c r="O11" s="7">
        <f>'[5]Mar Prod'!H10</f>
        <v>13024000.000000002</v>
      </c>
      <c r="P11" s="8">
        <f t="shared" si="8"/>
        <v>13.024000000000003</v>
      </c>
      <c r="Q11" s="10">
        <f t="shared" si="9"/>
        <v>39.983680000000007</v>
      </c>
      <c r="R11" s="7">
        <f>'[5]Mar Prod'!C10</f>
        <v>13272000</v>
      </c>
      <c r="S11" s="8">
        <f t="shared" si="10"/>
        <v>13.272</v>
      </c>
      <c r="T11" s="10">
        <f t="shared" si="11"/>
        <v>40.745039999999996</v>
      </c>
      <c r="U11" s="7">
        <f>'[5]Mar Prod'!D10</f>
        <v>0</v>
      </c>
      <c r="V11" s="8">
        <f t="shared" si="12"/>
        <v>0</v>
      </c>
      <c r="W11" s="10">
        <f t="shared" si="13"/>
        <v>0</v>
      </c>
      <c r="X11" s="7">
        <f>'[5]Mar Prod'!D265</f>
        <v>247999.99999999756</v>
      </c>
      <c r="Y11" s="8">
        <f t="shared" si="14"/>
        <v>0.24799999999999756</v>
      </c>
      <c r="Z11" s="10">
        <f t="shared" si="15"/>
        <v>0.76135999999999249</v>
      </c>
      <c r="AA11" s="15"/>
      <c r="AB11" s="7">
        <f t="shared" si="16"/>
        <v>13024000.000000002</v>
      </c>
      <c r="AC11" s="8">
        <f t="shared" si="16"/>
        <v>13.024000000000003</v>
      </c>
      <c r="AD11" s="8">
        <f t="shared" si="16"/>
        <v>39.983680000000007</v>
      </c>
      <c r="AF11" s="8">
        <f t="shared" si="17"/>
        <v>-3.3306690738754696E-15</v>
      </c>
    </row>
    <row r="12" spans="1:32" x14ac:dyDescent="0.15">
      <c r="A12" s="27">
        <v>38419</v>
      </c>
      <c r="B12" s="7">
        <f>'[5]Mar Prod'!I11</f>
        <v>0</v>
      </c>
      <c r="C12" s="8">
        <f t="shared" si="1"/>
        <v>0</v>
      </c>
      <c r="D12" s="10">
        <f t="shared" si="0"/>
        <v>0</v>
      </c>
      <c r="E12" s="7">
        <f>'[5]Mar Prod'!E11</f>
        <v>0</v>
      </c>
      <c r="F12" s="8">
        <f t="shared" si="2"/>
        <v>0</v>
      </c>
      <c r="G12" s="10">
        <f t="shared" si="3"/>
        <v>0</v>
      </c>
      <c r="H12" s="7">
        <f>'[5]Mar Prod'!F11</f>
        <v>0</v>
      </c>
      <c r="I12" s="8">
        <f t="shared" si="4"/>
        <v>0</v>
      </c>
      <c r="J12" s="10">
        <f t="shared" si="5"/>
        <v>0</v>
      </c>
      <c r="K12" s="7">
        <f>'[5]Mar Prod'!H266</f>
        <v>35888</v>
      </c>
      <c r="L12" s="8">
        <f t="shared" si="6"/>
        <v>3.5888000000000003E-2</v>
      </c>
      <c r="M12" s="10">
        <f t="shared" si="7"/>
        <v>0.11017616000000001</v>
      </c>
      <c r="N12" s="21"/>
      <c r="O12" s="7">
        <f>'[5]Mar Prod'!H11</f>
        <v>11746999.999999998</v>
      </c>
      <c r="P12" s="8">
        <f t="shared" si="8"/>
        <v>11.746999999999998</v>
      </c>
      <c r="Q12" s="10">
        <f t="shared" si="9"/>
        <v>36.063289999999995</v>
      </c>
      <c r="R12" s="7">
        <f>'[5]Mar Prod'!C11</f>
        <v>12063000</v>
      </c>
      <c r="S12" s="8">
        <f t="shared" si="10"/>
        <v>12.063000000000001</v>
      </c>
      <c r="T12" s="10">
        <f t="shared" si="11"/>
        <v>37.033410000000003</v>
      </c>
      <c r="U12" s="7">
        <f>'[5]Mar Prod'!D11</f>
        <v>0</v>
      </c>
      <c r="V12" s="8">
        <f t="shared" si="12"/>
        <v>0</v>
      </c>
      <c r="W12" s="10">
        <f t="shared" si="13"/>
        <v>0</v>
      </c>
      <c r="X12" s="7">
        <f>'[5]Mar Prod'!D266</f>
        <v>316000.0000000025</v>
      </c>
      <c r="Y12" s="8">
        <f t="shared" si="14"/>
        <v>0.3160000000000025</v>
      </c>
      <c r="Z12" s="10">
        <f t="shared" si="15"/>
        <v>0.97012000000000764</v>
      </c>
      <c r="AA12" s="15"/>
      <c r="AB12" s="7">
        <f t="shared" si="16"/>
        <v>11746999.999999998</v>
      </c>
      <c r="AC12" s="8">
        <f t="shared" si="16"/>
        <v>11.746999999999998</v>
      </c>
      <c r="AD12" s="8">
        <f t="shared" si="16"/>
        <v>36.063289999999995</v>
      </c>
      <c r="AF12" s="8">
        <f t="shared" si="17"/>
        <v>8.8817841970012523E-16</v>
      </c>
    </row>
    <row r="13" spans="1:32" x14ac:dyDescent="0.15">
      <c r="A13" s="27">
        <v>38420</v>
      </c>
      <c r="B13" s="7">
        <f>'[5]Mar Prod'!I12</f>
        <v>0</v>
      </c>
      <c r="C13" s="8">
        <f t="shared" si="1"/>
        <v>0</v>
      </c>
      <c r="D13" s="10">
        <f t="shared" si="0"/>
        <v>0</v>
      </c>
      <c r="E13" s="7">
        <f>'[5]Mar Prod'!E12</f>
        <v>0</v>
      </c>
      <c r="F13" s="8">
        <f t="shared" si="2"/>
        <v>0</v>
      </c>
      <c r="G13" s="10">
        <f t="shared" si="3"/>
        <v>0</v>
      </c>
      <c r="H13" s="7">
        <f>'[5]Mar Prod'!F12</f>
        <v>0</v>
      </c>
      <c r="I13" s="8">
        <f t="shared" si="4"/>
        <v>0</v>
      </c>
      <c r="J13" s="10">
        <f t="shared" si="5"/>
        <v>0</v>
      </c>
      <c r="K13" s="7">
        <f>'[5]Mar Prod'!H267</f>
        <v>0</v>
      </c>
      <c r="L13" s="8">
        <f t="shared" si="6"/>
        <v>0</v>
      </c>
      <c r="M13" s="10">
        <f t="shared" si="7"/>
        <v>0</v>
      </c>
      <c r="N13" s="21"/>
      <c r="O13" s="7">
        <f>'[5]Mar Prod'!H12</f>
        <v>12328000.000000002</v>
      </c>
      <c r="P13" s="8">
        <f t="shared" si="8"/>
        <v>12.328000000000001</v>
      </c>
      <c r="Q13" s="10">
        <f t="shared" si="9"/>
        <v>37.846960000000003</v>
      </c>
      <c r="R13" s="7">
        <f>'[5]Mar Prod'!C12</f>
        <v>12527000</v>
      </c>
      <c r="S13" s="8">
        <f t="shared" si="10"/>
        <v>12.526999999999999</v>
      </c>
      <c r="T13" s="10">
        <f t="shared" si="11"/>
        <v>38.457889999999999</v>
      </c>
      <c r="U13" s="7">
        <f>'[5]Mar Prod'!D12</f>
        <v>0</v>
      </c>
      <c r="V13" s="8">
        <f t="shared" si="12"/>
        <v>0</v>
      </c>
      <c r="W13" s="10">
        <f t="shared" si="13"/>
        <v>0</v>
      </c>
      <c r="X13" s="7">
        <f>'[5]Mar Prod'!D267</f>
        <v>198999.99999999808</v>
      </c>
      <c r="Y13" s="8">
        <f t="shared" si="14"/>
        <v>0.19899999999999807</v>
      </c>
      <c r="Z13" s="10">
        <f t="shared" si="15"/>
        <v>0.61092999999999409</v>
      </c>
      <c r="AA13" s="15"/>
      <c r="AB13" s="7">
        <f t="shared" si="16"/>
        <v>12328000.000000002</v>
      </c>
      <c r="AC13" s="8">
        <f t="shared" si="16"/>
        <v>12.328000000000001</v>
      </c>
      <c r="AD13" s="8">
        <f>D13+Q13</f>
        <v>37.846960000000003</v>
      </c>
      <c r="AF13" s="8">
        <f t="shared" si="17"/>
        <v>2.1094237467877974E-15</v>
      </c>
    </row>
    <row r="14" spans="1:32" x14ac:dyDescent="0.15">
      <c r="A14" s="27">
        <v>38421</v>
      </c>
      <c r="B14" s="7">
        <f>'[5]Mar Prod'!I13</f>
        <v>0</v>
      </c>
      <c r="C14" s="8">
        <f t="shared" si="1"/>
        <v>0</v>
      </c>
      <c r="D14" s="10">
        <f t="shared" si="0"/>
        <v>0</v>
      </c>
      <c r="E14" s="7">
        <f>'[5]Mar Prod'!E13</f>
        <v>0</v>
      </c>
      <c r="F14" s="8">
        <f t="shared" si="2"/>
        <v>0</v>
      </c>
      <c r="G14" s="10">
        <f t="shared" si="3"/>
        <v>0</v>
      </c>
      <c r="H14" s="7">
        <f>'[5]Mar Prod'!F13</f>
        <v>0</v>
      </c>
      <c r="I14" s="8">
        <f t="shared" si="4"/>
        <v>0</v>
      </c>
      <c r="J14" s="10">
        <f t="shared" si="5"/>
        <v>0</v>
      </c>
      <c r="K14" s="7">
        <f>'[5]Mar Prod'!H268</f>
        <v>0</v>
      </c>
      <c r="L14" s="8">
        <f t="shared" si="6"/>
        <v>0</v>
      </c>
      <c r="M14" s="10">
        <f t="shared" si="7"/>
        <v>0</v>
      </c>
      <c r="N14" s="21"/>
      <c r="O14" s="7">
        <f>'[5]Mar Prod'!H13</f>
        <v>12732000.000000002</v>
      </c>
      <c r="P14" s="8">
        <f t="shared" si="8"/>
        <v>12.732000000000001</v>
      </c>
      <c r="Q14" s="10">
        <f t="shared" si="9"/>
        <v>39.087240000000001</v>
      </c>
      <c r="R14" s="7">
        <f>'[5]Mar Prod'!C13</f>
        <v>13047000</v>
      </c>
      <c r="S14" s="8">
        <f t="shared" si="10"/>
        <v>13.047000000000001</v>
      </c>
      <c r="T14" s="10">
        <f t="shared" si="11"/>
        <v>40.054290000000002</v>
      </c>
      <c r="U14" s="7">
        <f>'[5]Mar Prod'!D13</f>
        <v>0</v>
      </c>
      <c r="V14" s="8">
        <f t="shared" si="12"/>
        <v>0</v>
      </c>
      <c r="W14" s="10">
        <f t="shared" si="13"/>
        <v>0</v>
      </c>
      <c r="X14" s="7">
        <f>'[5]Mar Prod'!D268</f>
        <v>314999.99999999773</v>
      </c>
      <c r="Y14" s="8">
        <f t="shared" si="14"/>
        <v>0.31499999999999773</v>
      </c>
      <c r="Z14" s="10">
        <f t="shared" si="15"/>
        <v>0.96704999999999297</v>
      </c>
      <c r="AA14" s="15"/>
      <c r="AB14" s="7">
        <f t="shared" si="16"/>
        <v>12732000.000000002</v>
      </c>
      <c r="AC14" s="8">
        <f t="shared" si="16"/>
        <v>12.732000000000001</v>
      </c>
      <c r="AD14" s="8">
        <f t="shared" si="16"/>
        <v>39.087240000000001</v>
      </c>
      <c r="AF14" s="8">
        <f t="shared" si="17"/>
        <v>7.4384942649885488E-15</v>
      </c>
    </row>
    <row r="15" spans="1:32" x14ac:dyDescent="0.15">
      <c r="A15" s="27">
        <v>38422</v>
      </c>
      <c r="B15" s="7">
        <f>'[5]Mar Prod'!I14</f>
        <v>0</v>
      </c>
      <c r="C15" s="8">
        <f t="shared" si="1"/>
        <v>0</v>
      </c>
      <c r="D15" s="10">
        <f t="shared" si="0"/>
        <v>0</v>
      </c>
      <c r="E15" s="7">
        <f>'[5]Mar Prod'!E14</f>
        <v>0</v>
      </c>
      <c r="F15" s="8">
        <f t="shared" si="2"/>
        <v>0</v>
      </c>
      <c r="G15" s="10">
        <f t="shared" si="3"/>
        <v>0</v>
      </c>
      <c r="H15" s="7">
        <f>'[5]Mar Prod'!F14</f>
        <v>0</v>
      </c>
      <c r="I15" s="8">
        <f t="shared" si="4"/>
        <v>0</v>
      </c>
      <c r="J15" s="10">
        <f t="shared" si="5"/>
        <v>0</v>
      </c>
      <c r="K15" s="7">
        <f>'[5]Mar Prod'!H269</f>
        <v>0</v>
      </c>
      <c r="L15" s="8">
        <f t="shared" si="6"/>
        <v>0</v>
      </c>
      <c r="M15" s="10">
        <f t="shared" si="7"/>
        <v>0</v>
      </c>
      <c r="N15" s="21"/>
      <c r="O15" s="7">
        <f>'[5]Mar Prod'!H14</f>
        <v>13490000</v>
      </c>
      <c r="P15" s="8">
        <f t="shared" si="8"/>
        <v>13.49</v>
      </c>
      <c r="Q15" s="10">
        <f t="shared" si="9"/>
        <v>41.414299999999997</v>
      </c>
      <c r="R15" s="7">
        <f>'[5]Mar Prod'!C14</f>
        <v>13685000</v>
      </c>
      <c r="S15" s="8">
        <f t="shared" si="10"/>
        <v>13.685</v>
      </c>
      <c r="T15" s="10">
        <f t="shared" si="11"/>
        <v>42.012949999999996</v>
      </c>
      <c r="U15" s="7">
        <f>'[5]Mar Prod'!D14</f>
        <v>0</v>
      </c>
      <c r="V15" s="8">
        <f t="shared" si="12"/>
        <v>0</v>
      </c>
      <c r="W15" s="10">
        <f t="shared" si="13"/>
        <v>0</v>
      </c>
      <c r="X15" s="7">
        <f>'[5]Mar Prod'!D269</f>
        <v>195000.00000000029</v>
      </c>
      <c r="Y15" s="8">
        <f t="shared" si="14"/>
        <v>0.19500000000000028</v>
      </c>
      <c r="Z15" s="10">
        <f t="shared" si="15"/>
        <v>0.59865000000000079</v>
      </c>
      <c r="AA15" s="15"/>
      <c r="AB15" s="7">
        <f t="shared" si="16"/>
        <v>13490000</v>
      </c>
      <c r="AC15" s="8">
        <f t="shared" si="16"/>
        <v>13.49</v>
      </c>
      <c r="AD15" s="8">
        <f t="shared" si="16"/>
        <v>41.414299999999997</v>
      </c>
      <c r="AF15" s="8">
        <f>T15-Q15-Z15</f>
        <v>-1.5543122344752192E-15</v>
      </c>
    </row>
    <row r="16" spans="1:32" x14ac:dyDescent="0.15">
      <c r="A16" s="27">
        <v>38423</v>
      </c>
      <c r="B16" s="7">
        <f>'[5]Mar Prod'!I15</f>
        <v>0</v>
      </c>
      <c r="C16" s="8">
        <f t="shared" si="1"/>
        <v>0</v>
      </c>
      <c r="D16" s="10">
        <f t="shared" si="0"/>
        <v>0</v>
      </c>
      <c r="E16" s="7">
        <f>'[5]Mar Prod'!E15</f>
        <v>0</v>
      </c>
      <c r="F16" s="8">
        <f t="shared" si="2"/>
        <v>0</v>
      </c>
      <c r="G16" s="10">
        <f t="shared" si="3"/>
        <v>0</v>
      </c>
      <c r="H16" s="7">
        <f>'[5]Mar Prod'!F15</f>
        <v>0</v>
      </c>
      <c r="I16" s="8">
        <f t="shared" si="4"/>
        <v>0</v>
      </c>
      <c r="J16" s="10">
        <f t="shared" si="5"/>
        <v>0</v>
      </c>
      <c r="K16" s="7">
        <f>'[5]Mar Prod'!H270</f>
        <v>0</v>
      </c>
      <c r="L16" s="8">
        <f t="shared" si="6"/>
        <v>0</v>
      </c>
      <c r="M16" s="10">
        <f t="shared" si="7"/>
        <v>0</v>
      </c>
      <c r="N16" s="21"/>
      <c r="O16" s="7">
        <f>'[5]Mar Prod'!H15</f>
        <v>10565000</v>
      </c>
      <c r="P16" s="8">
        <f t="shared" si="8"/>
        <v>10.565</v>
      </c>
      <c r="Q16" s="10">
        <f t="shared" si="9"/>
        <v>32.434549999999994</v>
      </c>
      <c r="R16" s="7">
        <f>'[5]Mar Prod'!C15</f>
        <v>10946000</v>
      </c>
      <c r="S16" s="8">
        <f t="shared" si="10"/>
        <v>10.946</v>
      </c>
      <c r="T16" s="10">
        <f t="shared" si="11"/>
        <v>33.604219999999998</v>
      </c>
      <c r="U16" s="7">
        <f>'[5]Mar Prod'!D15</f>
        <v>0</v>
      </c>
      <c r="V16" s="8">
        <f t="shared" si="12"/>
        <v>0</v>
      </c>
      <c r="W16" s="10">
        <f t="shared" si="13"/>
        <v>0</v>
      </c>
      <c r="X16" s="7">
        <f>'[5]Mar Prod'!D270</f>
        <v>381000.00000000023</v>
      </c>
      <c r="Y16" s="8">
        <f t="shared" si="14"/>
        <v>0.38100000000000023</v>
      </c>
      <c r="Z16" s="10">
        <f t="shared" si="15"/>
        <v>1.1696700000000007</v>
      </c>
      <c r="AA16" s="15"/>
      <c r="AB16" s="7">
        <f t="shared" si="16"/>
        <v>10565000</v>
      </c>
      <c r="AC16" s="8">
        <f t="shared" si="16"/>
        <v>10.565</v>
      </c>
      <c r="AD16" s="8">
        <f t="shared" si="16"/>
        <v>32.434549999999994</v>
      </c>
      <c r="AF16" s="8">
        <f>T16-Q16-Z16</f>
        <v>2.886579864025407E-15</v>
      </c>
    </row>
    <row r="17" spans="1:32" x14ac:dyDescent="0.15">
      <c r="A17" s="27">
        <v>38424</v>
      </c>
      <c r="B17" s="7">
        <f>'[5]Mar Prod'!I16</f>
        <v>0</v>
      </c>
      <c r="C17" s="8">
        <f t="shared" si="1"/>
        <v>0</v>
      </c>
      <c r="D17" s="10">
        <f t="shared" si="0"/>
        <v>0</v>
      </c>
      <c r="E17" s="7">
        <f>'[5]Mar Prod'!E16</f>
        <v>0</v>
      </c>
      <c r="F17" s="8">
        <f t="shared" si="2"/>
        <v>0</v>
      </c>
      <c r="G17" s="10">
        <f t="shared" si="3"/>
        <v>0</v>
      </c>
      <c r="H17" s="7">
        <f>'[5]Mar Prod'!F16</f>
        <v>0</v>
      </c>
      <c r="I17" s="8">
        <f t="shared" si="4"/>
        <v>0</v>
      </c>
      <c r="J17" s="10">
        <f t="shared" si="5"/>
        <v>0</v>
      </c>
      <c r="K17" s="7">
        <f>'[5]Mar Prod'!H271</f>
        <v>0</v>
      </c>
      <c r="L17" s="8">
        <f t="shared" si="6"/>
        <v>0</v>
      </c>
      <c r="M17" s="10">
        <f t="shared" si="7"/>
        <v>0</v>
      </c>
      <c r="N17" s="21"/>
      <c r="O17" s="7">
        <f>'[5]Mar Prod'!H16</f>
        <v>13332999.999999998</v>
      </c>
      <c r="P17" s="8">
        <f t="shared" si="8"/>
        <v>13.332999999999998</v>
      </c>
      <c r="Q17" s="10">
        <f t="shared" si="9"/>
        <v>40.932309999999994</v>
      </c>
      <c r="R17" s="7">
        <f>'[5]Mar Prod'!C16</f>
        <v>13582000</v>
      </c>
      <c r="S17" s="8">
        <f t="shared" si="10"/>
        <v>13.582000000000001</v>
      </c>
      <c r="T17" s="10">
        <f t="shared" si="11"/>
        <v>41.696739999999998</v>
      </c>
      <c r="U17" s="7">
        <f>'[5]Mar Prod'!D16</f>
        <v>0</v>
      </c>
      <c r="V17" s="8">
        <f t="shared" si="12"/>
        <v>0</v>
      </c>
      <c r="W17" s="10">
        <f t="shared" si="13"/>
        <v>0</v>
      </c>
      <c r="X17" s="7">
        <f>'[5]Mar Prod'!D271</f>
        <v>249000.00000000233</v>
      </c>
      <c r="Y17" s="8">
        <f t="shared" si="14"/>
        <v>0.24900000000000233</v>
      </c>
      <c r="Z17" s="10">
        <f t="shared" si="15"/>
        <v>0.76443000000000716</v>
      </c>
      <c r="AA17" s="15"/>
      <c r="AB17" s="7">
        <f t="shared" si="16"/>
        <v>13332999.999999998</v>
      </c>
      <c r="AC17" s="8">
        <f t="shared" si="16"/>
        <v>13.332999999999998</v>
      </c>
      <c r="AD17" s="8">
        <f t="shared" si="16"/>
        <v>40.932309999999994</v>
      </c>
      <c r="AF17" s="8">
        <f>T17-Q17-Z17</f>
        <v>-2.7755575615628914E-15</v>
      </c>
    </row>
    <row r="18" spans="1:32" x14ac:dyDescent="0.15">
      <c r="A18" s="27">
        <v>38425</v>
      </c>
      <c r="B18" s="7">
        <f>'[5]Mar Prod'!I17</f>
        <v>0</v>
      </c>
      <c r="C18" s="8">
        <f t="shared" si="1"/>
        <v>0</v>
      </c>
      <c r="D18" s="10">
        <f t="shared" si="0"/>
        <v>0</v>
      </c>
      <c r="E18" s="7">
        <f>'[5]Mar Prod'!E17</f>
        <v>3000000</v>
      </c>
      <c r="F18" s="8">
        <f t="shared" si="2"/>
        <v>3</v>
      </c>
      <c r="G18" s="10">
        <f t="shared" si="3"/>
        <v>9.2099999999999991</v>
      </c>
      <c r="H18" s="7">
        <f>'[5]Mar Prod'!F17</f>
        <v>0</v>
      </c>
      <c r="I18" s="8">
        <f t="shared" si="4"/>
        <v>0</v>
      </c>
      <c r="J18" s="10">
        <f t="shared" si="5"/>
        <v>0</v>
      </c>
      <c r="K18" s="7">
        <f>'[5]Mar Prod'!H272</f>
        <v>1677430</v>
      </c>
      <c r="L18" s="8">
        <f t="shared" si="6"/>
        <v>1.67743</v>
      </c>
      <c r="M18" s="10">
        <f t="shared" si="7"/>
        <v>5.1497101000000001</v>
      </c>
      <c r="N18" s="21"/>
      <c r="O18" s="7">
        <f>'[5]Mar Prod'!H17</f>
        <v>13353000</v>
      </c>
      <c r="P18" s="8">
        <f t="shared" si="8"/>
        <v>13.353</v>
      </c>
      <c r="Q18" s="10">
        <f t="shared" si="9"/>
        <v>40.99371</v>
      </c>
      <c r="R18" s="7">
        <f>'[5]Mar Prod'!C17</f>
        <v>13536000</v>
      </c>
      <c r="S18" s="8">
        <f t="shared" si="10"/>
        <v>13.536</v>
      </c>
      <c r="T18" s="10">
        <f t="shared" si="11"/>
        <v>41.555519999999994</v>
      </c>
      <c r="U18" s="7">
        <f>'[5]Mar Prod'!D17</f>
        <v>0</v>
      </c>
      <c r="V18" s="8">
        <f t="shared" si="12"/>
        <v>0</v>
      </c>
      <c r="W18" s="10">
        <f t="shared" si="13"/>
        <v>0</v>
      </c>
      <c r="X18" s="7">
        <f>'[5]Mar Prod'!D272</f>
        <v>182999.99999999983</v>
      </c>
      <c r="Y18" s="8">
        <f t="shared" si="14"/>
        <v>0.18299999999999983</v>
      </c>
      <c r="Z18" s="10">
        <f t="shared" si="15"/>
        <v>0.56180999999999948</v>
      </c>
      <c r="AA18" s="15"/>
      <c r="AB18" s="7">
        <f t="shared" si="16"/>
        <v>13353000</v>
      </c>
      <c r="AC18" s="8">
        <f t="shared" si="16"/>
        <v>13.353</v>
      </c>
      <c r="AD18" s="8">
        <f t="shared" si="16"/>
        <v>40.99371</v>
      </c>
      <c r="AF18" s="8">
        <f>T18-Q18-Z18</f>
        <v>-5.3290705182007514E-15</v>
      </c>
    </row>
    <row r="19" spans="1:32" x14ac:dyDescent="0.15">
      <c r="A19" s="27">
        <v>38426</v>
      </c>
      <c r="B19" s="7">
        <f>'[5]Mar Prod'!I18</f>
        <v>0</v>
      </c>
      <c r="C19" s="8">
        <f t="shared" si="1"/>
        <v>0</v>
      </c>
      <c r="D19" s="10">
        <f t="shared" si="0"/>
        <v>0</v>
      </c>
      <c r="E19" s="7">
        <f>'[5]Mar Prod'!E18</f>
        <v>5000000</v>
      </c>
      <c r="F19" s="8">
        <f t="shared" si="2"/>
        <v>5</v>
      </c>
      <c r="G19" s="10">
        <f t="shared" si="3"/>
        <v>15.35</v>
      </c>
      <c r="H19" s="7">
        <f>'[5]Mar Prod'!F18</f>
        <v>0</v>
      </c>
      <c r="I19" s="8">
        <f t="shared" si="4"/>
        <v>0</v>
      </c>
      <c r="J19" s="10">
        <f t="shared" si="5"/>
        <v>0</v>
      </c>
      <c r="K19" s="7">
        <f>'[5]Mar Prod'!H273</f>
        <v>4872650</v>
      </c>
      <c r="L19" s="8">
        <f t="shared" si="6"/>
        <v>4.8726500000000001</v>
      </c>
      <c r="M19" s="10">
        <f t="shared" si="7"/>
        <v>14.959035499999999</v>
      </c>
      <c r="N19" s="21"/>
      <c r="O19" s="7">
        <f>'[5]Mar Prod'!H18</f>
        <v>13674000.000000002</v>
      </c>
      <c r="P19" s="8">
        <f t="shared" si="8"/>
        <v>13.674000000000001</v>
      </c>
      <c r="Q19" s="10">
        <f t="shared" si="9"/>
        <v>41.979179999999999</v>
      </c>
      <c r="R19" s="7">
        <f>'[5]Mar Prod'!C18</f>
        <v>14001000</v>
      </c>
      <c r="S19" s="8">
        <f t="shared" si="10"/>
        <v>14.000999999999999</v>
      </c>
      <c r="T19" s="10">
        <f t="shared" si="11"/>
        <v>42.983069999999998</v>
      </c>
      <c r="U19" s="7">
        <f>'[5]Mar Prod'!D18</f>
        <v>0</v>
      </c>
      <c r="V19" s="8">
        <f t="shared" si="12"/>
        <v>0</v>
      </c>
      <c r="W19" s="10">
        <f t="shared" si="13"/>
        <v>0</v>
      </c>
      <c r="X19" s="7">
        <f>'[5]Mar Prod'!D273</f>
        <v>326999.9999999982</v>
      </c>
      <c r="Y19" s="8">
        <f t="shared" si="14"/>
        <v>0.32699999999999818</v>
      </c>
      <c r="Z19" s="10">
        <f t="shared" si="15"/>
        <v>1.0038899999999944</v>
      </c>
      <c r="AA19" s="15"/>
      <c r="AB19" s="7">
        <f t="shared" si="16"/>
        <v>13674000.000000002</v>
      </c>
      <c r="AC19" s="8">
        <f t="shared" si="16"/>
        <v>13.674000000000001</v>
      </c>
      <c r="AD19" s="8">
        <f>D19+Q19</f>
        <v>41.979179999999999</v>
      </c>
      <c r="AF19" s="8">
        <f>T19-Q19-Z19</f>
        <v>3.9968028886505635E-15</v>
      </c>
    </row>
    <row r="20" spans="1:32" x14ac:dyDescent="0.15">
      <c r="A20" s="27">
        <v>38427</v>
      </c>
      <c r="B20" s="7">
        <f>'[5]Mar Prod'!I19</f>
        <v>0</v>
      </c>
      <c r="C20" s="8">
        <f t="shared" si="1"/>
        <v>0</v>
      </c>
      <c r="D20" s="10">
        <f t="shared" si="0"/>
        <v>0</v>
      </c>
      <c r="E20" s="7">
        <f>'[5]Mar Prod'!E19</f>
        <v>5000000</v>
      </c>
      <c r="F20" s="8">
        <f t="shared" si="2"/>
        <v>5</v>
      </c>
      <c r="G20" s="10">
        <f t="shared" si="3"/>
        <v>15.35</v>
      </c>
      <c r="H20" s="7">
        <f>'[5]Mar Prod'!F19</f>
        <v>0</v>
      </c>
      <c r="I20" s="8">
        <f t="shared" si="4"/>
        <v>0</v>
      </c>
      <c r="J20" s="10">
        <f t="shared" si="5"/>
        <v>0</v>
      </c>
      <c r="K20" s="7">
        <f>'[5]Mar Prod'!H274</f>
        <v>5067955</v>
      </c>
      <c r="L20" s="8">
        <f t="shared" si="6"/>
        <v>5.0679550000000004</v>
      </c>
      <c r="M20" s="10">
        <f t="shared" si="7"/>
        <v>15.55862185</v>
      </c>
      <c r="N20" s="21"/>
      <c r="O20" s="7">
        <f>'[5]Mar Prod'!H19</f>
        <v>14201000</v>
      </c>
      <c r="P20" s="8">
        <f t="shared" si="8"/>
        <v>14.201000000000001</v>
      </c>
      <c r="Q20" s="10">
        <f t="shared" si="9"/>
        <v>43.597070000000002</v>
      </c>
      <c r="R20" s="7">
        <f>'[5]Mar Prod'!C19</f>
        <v>14451000</v>
      </c>
      <c r="S20" s="8">
        <f t="shared" si="10"/>
        <v>14.451000000000001</v>
      </c>
      <c r="T20" s="10">
        <f t="shared" si="11"/>
        <v>44.364570000000001</v>
      </c>
      <c r="U20" s="7">
        <f>'[5]Mar Prod'!D19</f>
        <v>0</v>
      </c>
      <c r="V20" s="8">
        <f t="shared" si="12"/>
        <v>0</v>
      </c>
      <c r="W20" s="10">
        <f t="shared" si="13"/>
        <v>0</v>
      </c>
      <c r="X20" s="7">
        <f>'[5]Mar Prod'!D274</f>
        <v>250000</v>
      </c>
      <c r="Y20" s="8">
        <f t="shared" si="14"/>
        <v>0.25</v>
      </c>
      <c r="Z20" s="10">
        <f t="shared" si="15"/>
        <v>0.76749999999999996</v>
      </c>
      <c r="AA20" s="15"/>
      <c r="AB20" s="7">
        <f t="shared" si="16"/>
        <v>14201000</v>
      </c>
      <c r="AC20" s="8">
        <f t="shared" si="16"/>
        <v>14.201000000000001</v>
      </c>
      <c r="AD20" s="8">
        <f t="shared" si="16"/>
        <v>43.597070000000002</v>
      </c>
      <c r="AF20" s="8">
        <f t="shared" ref="AF20:AF35" si="18">T20-Q20-Z20</f>
        <v>-1.6653345369377348E-15</v>
      </c>
    </row>
    <row r="21" spans="1:32" x14ac:dyDescent="0.15">
      <c r="A21" s="27">
        <v>38428</v>
      </c>
      <c r="B21" s="7">
        <f>'[5]Mar Prod'!I20</f>
        <v>0</v>
      </c>
      <c r="C21" s="8">
        <f t="shared" si="1"/>
        <v>0</v>
      </c>
      <c r="D21" s="10">
        <f t="shared" si="0"/>
        <v>0</v>
      </c>
      <c r="E21" s="7">
        <f>'[5]Mar Prod'!E20</f>
        <v>5000000</v>
      </c>
      <c r="F21" s="8">
        <f t="shared" si="2"/>
        <v>5</v>
      </c>
      <c r="G21" s="10">
        <f t="shared" si="3"/>
        <v>15.35</v>
      </c>
      <c r="H21" s="7">
        <f>'[5]Mar Prod'!F20</f>
        <v>10000</v>
      </c>
      <c r="I21" s="8">
        <f t="shared" si="4"/>
        <v>0.01</v>
      </c>
      <c r="J21" s="10">
        <f t="shared" si="5"/>
        <v>3.0699999999999998E-2</v>
      </c>
      <c r="K21" s="7">
        <f>'[5]Mar Prod'!H275</f>
        <v>5008858</v>
      </c>
      <c r="L21" s="8">
        <f t="shared" si="6"/>
        <v>5.008858</v>
      </c>
      <c r="M21" s="10">
        <f t="shared" si="7"/>
        <v>15.377194059999999</v>
      </c>
      <c r="N21" s="21"/>
      <c r="O21" s="7">
        <f>'[5]Mar Prod'!H20</f>
        <v>16640000</v>
      </c>
      <c r="P21" s="8">
        <f t="shared" si="8"/>
        <v>16.64</v>
      </c>
      <c r="Q21" s="10">
        <f t="shared" si="9"/>
        <v>51.084800000000001</v>
      </c>
      <c r="R21" s="7">
        <f>'[5]Mar Prod'!C20</f>
        <v>16677000</v>
      </c>
      <c r="S21" s="8">
        <f t="shared" si="10"/>
        <v>16.677</v>
      </c>
      <c r="T21" s="10">
        <f t="shared" si="11"/>
        <v>51.198389999999996</v>
      </c>
      <c r="U21" s="7">
        <f>'[5]Mar Prod'!D20</f>
        <v>339000</v>
      </c>
      <c r="V21" s="8">
        <f t="shared" si="12"/>
        <v>0.33900000000000002</v>
      </c>
      <c r="W21" s="10">
        <f t="shared" si="13"/>
        <v>1.0407299999999999</v>
      </c>
      <c r="X21" s="7">
        <f>'[5]Mar Prod'!D275</f>
        <v>375999.99999999767</v>
      </c>
      <c r="Y21" s="8">
        <f t="shared" si="14"/>
        <v>0.37599999999999767</v>
      </c>
      <c r="Z21" s="10">
        <f t="shared" si="15"/>
        <v>1.1543199999999927</v>
      </c>
      <c r="AA21" s="15"/>
      <c r="AB21" s="7">
        <f t="shared" si="16"/>
        <v>16640000</v>
      </c>
      <c r="AC21" s="8">
        <f t="shared" si="16"/>
        <v>16.64</v>
      </c>
      <c r="AD21" s="8">
        <f t="shared" si="16"/>
        <v>51.084800000000001</v>
      </c>
      <c r="AF21" s="8">
        <f t="shared" si="18"/>
        <v>-1.0407299999999977</v>
      </c>
    </row>
    <row r="22" spans="1:32" x14ac:dyDescent="0.15">
      <c r="A22" s="27">
        <v>38429</v>
      </c>
      <c r="B22" s="7">
        <f>'[5]Mar Prod'!I21</f>
        <v>0</v>
      </c>
      <c r="C22" s="8">
        <f t="shared" si="1"/>
        <v>0</v>
      </c>
      <c r="D22" s="10">
        <f t="shared" si="0"/>
        <v>0</v>
      </c>
      <c r="E22" s="7">
        <f>'[5]Mar Prod'!E21</f>
        <v>5000000</v>
      </c>
      <c r="F22" s="8">
        <f t="shared" si="2"/>
        <v>5</v>
      </c>
      <c r="G22" s="10">
        <f t="shared" si="3"/>
        <v>15.35</v>
      </c>
      <c r="H22" s="7">
        <f>'[5]Mar Prod'!F21</f>
        <v>0</v>
      </c>
      <c r="I22" s="8">
        <f t="shared" si="4"/>
        <v>0</v>
      </c>
      <c r="J22" s="10">
        <f t="shared" si="5"/>
        <v>0</v>
      </c>
      <c r="K22" s="7">
        <f>'[5]Mar Prod'!H276</f>
        <v>4515406</v>
      </c>
      <c r="L22" s="8">
        <f t="shared" si="6"/>
        <v>4.5154059999999996</v>
      </c>
      <c r="M22" s="10">
        <f t="shared" si="7"/>
        <v>13.862296419999998</v>
      </c>
      <c r="N22" s="21"/>
      <c r="O22" s="7">
        <f>'[5]Mar Prod'!H21</f>
        <v>17585000</v>
      </c>
      <c r="P22" s="8">
        <f t="shared" si="8"/>
        <v>17.585000000000001</v>
      </c>
      <c r="Q22" s="10">
        <f t="shared" si="9"/>
        <v>53.985950000000003</v>
      </c>
      <c r="R22" s="7">
        <f>'[5]Mar Prod'!C21</f>
        <v>17765000</v>
      </c>
      <c r="S22" s="8">
        <f t="shared" si="10"/>
        <v>17.765000000000001</v>
      </c>
      <c r="T22" s="10">
        <f t="shared" si="11"/>
        <v>54.538550000000001</v>
      </c>
      <c r="U22" s="7">
        <f>'[5]Mar Prod'!D21</f>
        <v>0</v>
      </c>
      <c r="V22" s="8">
        <f t="shared" si="12"/>
        <v>0</v>
      </c>
      <c r="W22" s="10">
        <f t="shared" si="13"/>
        <v>0</v>
      </c>
      <c r="X22" s="7">
        <f>'[5]Mar Prod'!D276</f>
        <v>179999.99999999971</v>
      </c>
      <c r="Y22" s="8">
        <f t="shared" si="14"/>
        <v>0.17999999999999972</v>
      </c>
      <c r="Z22" s="10">
        <f t="shared" si="15"/>
        <v>0.55259999999999909</v>
      </c>
      <c r="AA22" s="15"/>
      <c r="AB22" s="7">
        <f t="shared" si="16"/>
        <v>17585000</v>
      </c>
      <c r="AC22" s="8">
        <f t="shared" si="16"/>
        <v>17.585000000000001</v>
      </c>
      <c r="AD22" s="8">
        <f t="shared" si="16"/>
        <v>53.985950000000003</v>
      </c>
      <c r="AF22" s="8">
        <f t="shared" si="18"/>
        <v>-8.8817841970012523E-16</v>
      </c>
    </row>
    <row r="23" spans="1:32" x14ac:dyDescent="0.15">
      <c r="A23" s="27">
        <v>38430</v>
      </c>
      <c r="B23" s="7">
        <f>'[5]Mar Prod'!I22</f>
        <v>0</v>
      </c>
      <c r="C23" s="8">
        <f t="shared" si="1"/>
        <v>0</v>
      </c>
      <c r="D23" s="10">
        <f t="shared" si="0"/>
        <v>0</v>
      </c>
      <c r="E23" s="7">
        <f>'[5]Mar Prod'!E22</f>
        <v>5000000</v>
      </c>
      <c r="F23" s="8">
        <f t="shared" si="2"/>
        <v>5</v>
      </c>
      <c r="G23" s="10">
        <f t="shared" si="3"/>
        <v>15.35</v>
      </c>
      <c r="H23" s="7">
        <f>'[5]Mar Prod'!F22</f>
        <v>0</v>
      </c>
      <c r="I23" s="8">
        <f t="shared" si="4"/>
        <v>0</v>
      </c>
      <c r="J23" s="10">
        <f t="shared" si="5"/>
        <v>0</v>
      </c>
      <c r="K23" s="7">
        <f>'[5]Mar Prod'!H277</f>
        <v>4219558</v>
      </c>
      <c r="L23" s="8">
        <f t="shared" si="6"/>
        <v>4.2195580000000001</v>
      </c>
      <c r="M23" s="10">
        <f t="shared" si="7"/>
        <v>12.95404306</v>
      </c>
      <c r="N23" s="21"/>
      <c r="O23" s="7">
        <f>'[5]Mar Prod'!H22</f>
        <v>16725999.999999996</v>
      </c>
      <c r="P23" s="8">
        <f t="shared" si="8"/>
        <v>16.725999999999996</v>
      </c>
      <c r="Q23" s="10">
        <f t="shared" si="9"/>
        <v>51.348819999999982</v>
      </c>
      <c r="R23" s="7">
        <f>'[5]Mar Prod'!C22</f>
        <v>17002000</v>
      </c>
      <c r="S23" s="8">
        <f t="shared" si="10"/>
        <v>17.001999999999999</v>
      </c>
      <c r="T23" s="10">
        <f t="shared" si="11"/>
        <v>52.196139999999993</v>
      </c>
      <c r="U23" s="7">
        <f>'[5]Mar Prod'!D22</f>
        <v>0</v>
      </c>
      <c r="V23" s="8">
        <f t="shared" si="12"/>
        <v>0</v>
      </c>
      <c r="W23" s="10">
        <f t="shared" si="13"/>
        <v>0</v>
      </c>
      <c r="X23" s="7">
        <f>'[5]Mar Prod'!D277</f>
        <v>276000.00000000338</v>
      </c>
      <c r="Y23" s="8">
        <f t="shared" si="14"/>
        <v>0.27600000000000335</v>
      </c>
      <c r="Z23" s="10">
        <f t="shared" si="15"/>
        <v>0.84732000000001029</v>
      </c>
      <c r="AA23" s="15"/>
      <c r="AB23" s="7">
        <f t="shared" si="16"/>
        <v>16725999.999999996</v>
      </c>
      <c r="AC23" s="8">
        <f t="shared" si="16"/>
        <v>16.725999999999996</v>
      </c>
      <c r="AD23" s="8">
        <f t="shared" si="16"/>
        <v>51.348819999999982</v>
      </c>
      <c r="AF23" s="8">
        <f t="shared" si="18"/>
        <v>0</v>
      </c>
    </row>
    <row r="24" spans="1:32" x14ac:dyDescent="0.15">
      <c r="A24" s="27">
        <v>38431</v>
      </c>
      <c r="B24" s="7">
        <f>'[5]Mar Prod'!I23</f>
        <v>0</v>
      </c>
      <c r="C24" s="8">
        <f t="shared" si="1"/>
        <v>0</v>
      </c>
      <c r="D24" s="10">
        <f t="shared" si="0"/>
        <v>0</v>
      </c>
      <c r="E24" s="7">
        <f>'[5]Mar Prod'!E23</f>
        <v>5000000</v>
      </c>
      <c r="F24" s="8">
        <f t="shared" si="2"/>
        <v>5</v>
      </c>
      <c r="G24" s="10">
        <f t="shared" si="3"/>
        <v>15.35</v>
      </c>
      <c r="H24" s="7">
        <f>'[5]Mar Prod'!F23</f>
        <v>10000</v>
      </c>
      <c r="I24" s="8">
        <f t="shared" si="4"/>
        <v>0.01</v>
      </c>
      <c r="J24" s="10">
        <f t="shared" si="5"/>
        <v>3.0699999999999998E-2</v>
      </c>
      <c r="K24" s="7">
        <f>'[5]Mar Prod'!H278</f>
        <v>2533162</v>
      </c>
      <c r="L24" s="8">
        <f t="shared" si="6"/>
        <v>2.5331619999999999</v>
      </c>
      <c r="M24" s="10">
        <f t="shared" si="7"/>
        <v>7.7768073399999995</v>
      </c>
      <c r="N24" s="21"/>
      <c r="O24" s="7">
        <f>'[5]Mar Prod'!H23</f>
        <v>15628000</v>
      </c>
      <c r="P24" s="8">
        <f t="shared" si="8"/>
        <v>15.628</v>
      </c>
      <c r="Q24" s="10">
        <f t="shared" si="9"/>
        <v>47.977959999999996</v>
      </c>
      <c r="R24" s="7">
        <f>'[5]Mar Prod'!C23</f>
        <v>15982000</v>
      </c>
      <c r="S24" s="8">
        <f t="shared" si="10"/>
        <v>15.981999999999999</v>
      </c>
      <c r="T24" s="10">
        <f t="shared" si="11"/>
        <v>49.064739999999993</v>
      </c>
      <c r="U24" s="7">
        <f>'[5]Mar Prod'!D23</f>
        <v>0</v>
      </c>
      <c r="V24" s="8">
        <f t="shared" si="12"/>
        <v>0</v>
      </c>
      <c r="W24" s="10">
        <f t="shared" si="13"/>
        <v>0</v>
      </c>
      <c r="X24" s="7">
        <f>'[5]Mar Prod'!D278</f>
        <v>353999.99999999919</v>
      </c>
      <c r="Y24" s="8">
        <f t="shared" si="14"/>
        <v>0.3539999999999992</v>
      </c>
      <c r="Z24" s="10">
        <f t="shared" si="15"/>
        <v>1.0867799999999974</v>
      </c>
      <c r="AA24" s="15"/>
      <c r="AB24" s="7">
        <f t="shared" si="16"/>
        <v>15628000</v>
      </c>
      <c r="AC24" s="8">
        <f t="shared" si="16"/>
        <v>15.628</v>
      </c>
      <c r="AD24" s="8">
        <f>D24+Q24</f>
        <v>47.977959999999996</v>
      </c>
      <c r="AF24" s="8">
        <f t="shared" si="18"/>
        <v>0</v>
      </c>
    </row>
    <row r="25" spans="1:32" x14ac:dyDescent="0.15">
      <c r="A25" s="27">
        <v>38432</v>
      </c>
      <c r="B25" s="7">
        <f>'[5]Mar Prod'!I24</f>
        <v>0</v>
      </c>
      <c r="C25" s="8">
        <f t="shared" si="1"/>
        <v>0</v>
      </c>
      <c r="D25" s="10">
        <f t="shared" si="0"/>
        <v>0</v>
      </c>
      <c r="E25" s="7">
        <f>'[5]Mar Prod'!E24</f>
        <v>3000000</v>
      </c>
      <c r="F25" s="8">
        <f t="shared" si="2"/>
        <v>3</v>
      </c>
      <c r="G25" s="10">
        <f t="shared" si="3"/>
        <v>9.2099999999999991</v>
      </c>
      <c r="H25" s="7">
        <f>'[5]Mar Prod'!F24</f>
        <v>2630000</v>
      </c>
      <c r="I25" s="8">
        <f t="shared" si="4"/>
        <v>2.63</v>
      </c>
      <c r="J25" s="10">
        <f t="shared" si="5"/>
        <v>8.0740999999999996</v>
      </c>
      <c r="K25" s="7">
        <f>'[5]Mar Prod'!H279</f>
        <v>3369772</v>
      </c>
      <c r="L25" s="8">
        <f t="shared" si="6"/>
        <v>3.3697720000000002</v>
      </c>
      <c r="M25" s="10">
        <f t="shared" si="7"/>
        <v>10.34520004</v>
      </c>
      <c r="N25" s="21"/>
      <c r="O25" s="7">
        <f>'[5]Mar Prod'!H24</f>
        <v>13948000.000000002</v>
      </c>
      <c r="P25" s="8">
        <f t="shared" si="8"/>
        <v>13.948000000000002</v>
      </c>
      <c r="Q25" s="10">
        <f t="shared" si="9"/>
        <v>42.820360000000008</v>
      </c>
      <c r="R25" s="7">
        <f>'[5]Mar Prod'!C24</f>
        <v>14193000</v>
      </c>
      <c r="S25" s="8">
        <f t="shared" si="10"/>
        <v>14.193</v>
      </c>
      <c r="T25" s="10">
        <f t="shared" si="11"/>
        <v>43.572509999999994</v>
      </c>
      <c r="U25" s="7">
        <f>'[5]Mar Prod'!D24</f>
        <v>0</v>
      </c>
      <c r="V25" s="8">
        <f t="shared" si="12"/>
        <v>0</v>
      </c>
      <c r="W25" s="10">
        <f t="shared" si="13"/>
        <v>0</v>
      </c>
      <c r="X25" s="7">
        <f>'[5]Mar Prod'!D279</f>
        <v>244999.99999999744</v>
      </c>
      <c r="Y25" s="8">
        <f t="shared" si="14"/>
        <v>0.24499999999999744</v>
      </c>
      <c r="Z25" s="10">
        <f t="shared" si="15"/>
        <v>0.7521499999999921</v>
      </c>
      <c r="AA25" s="15"/>
      <c r="AB25" s="7">
        <f t="shared" si="16"/>
        <v>13948000.000000002</v>
      </c>
      <c r="AC25" s="8">
        <f t="shared" si="16"/>
        <v>13.948000000000002</v>
      </c>
      <c r="AD25" s="8">
        <f t="shared" si="16"/>
        <v>42.820360000000008</v>
      </c>
      <c r="AF25" s="8">
        <f t="shared" si="18"/>
        <v>-5.9952043329758453E-15</v>
      </c>
    </row>
    <row r="26" spans="1:32" x14ac:dyDescent="0.15">
      <c r="A26" s="27">
        <v>38433</v>
      </c>
      <c r="B26" s="7">
        <f>'[5]Mar Prod'!I25</f>
        <v>0</v>
      </c>
      <c r="C26" s="8">
        <f t="shared" si="1"/>
        <v>0</v>
      </c>
      <c r="D26" s="10">
        <f t="shared" si="0"/>
        <v>0</v>
      </c>
      <c r="E26" s="7">
        <f>'[5]Mar Prod'!E25</f>
        <v>0</v>
      </c>
      <c r="F26" s="8">
        <f t="shared" si="2"/>
        <v>0</v>
      </c>
      <c r="G26" s="10">
        <f t="shared" si="3"/>
        <v>0</v>
      </c>
      <c r="H26" s="7">
        <f>'[5]Mar Prod'!F25</f>
        <v>5020000</v>
      </c>
      <c r="I26" s="8">
        <f t="shared" si="4"/>
        <v>5.0199999999999996</v>
      </c>
      <c r="J26" s="10">
        <f t="shared" si="5"/>
        <v>15.411399999999999</v>
      </c>
      <c r="K26" s="7">
        <f>'[5]Mar Prod'!H280</f>
        <v>2114115</v>
      </c>
      <c r="L26" s="8">
        <f t="shared" si="6"/>
        <v>2.114115</v>
      </c>
      <c r="M26" s="10">
        <f t="shared" si="7"/>
        <v>6.4903330499999994</v>
      </c>
      <c r="N26" s="21"/>
      <c r="O26" s="7">
        <f>'[5]Mar Prod'!H25</f>
        <v>12306999.999999998</v>
      </c>
      <c r="P26" s="8">
        <f t="shared" si="8"/>
        <v>12.306999999999999</v>
      </c>
      <c r="Q26" s="10">
        <f t="shared" si="9"/>
        <v>37.782489999999996</v>
      </c>
      <c r="R26" s="7">
        <f>'[5]Mar Prod'!C25</f>
        <v>12614000</v>
      </c>
      <c r="S26" s="8">
        <f t="shared" si="10"/>
        <v>12.614000000000001</v>
      </c>
      <c r="T26" s="10">
        <f t="shared" si="11"/>
        <v>38.724980000000002</v>
      </c>
      <c r="U26" s="7">
        <f>'[5]Mar Prod'!D25</f>
        <v>0</v>
      </c>
      <c r="V26" s="8">
        <f t="shared" si="12"/>
        <v>0</v>
      </c>
      <c r="W26" s="10">
        <f t="shared" si="13"/>
        <v>0</v>
      </c>
      <c r="X26" s="7">
        <f>'[5]Mar Prod'!D280</f>
        <v>307000.00000000215</v>
      </c>
      <c r="Y26" s="8">
        <f t="shared" si="14"/>
        <v>0.30700000000000216</v>
      </c>
      <c r="Z26" s="10">
        <f t="shared" si="15"/>
        <v>0.9424900000000066</v>
      </c>
      <c r="AA26" s="15"/>
      <c r="AB26" s="7">
        <f t="shared" si="16"/>
        <v>12306999.999999998</v>
      </c>
      <c r="AC26" s="8">
        <f t="shared" si="16"/>
        <v>12.306999999999999</v>
      </c>
      <c r="AD26" s="8">
        <f t="shared" si="16"/>
        <v>37.782489999999996</v>
      </c>
      <c r="AF26" s="8">
        <f t="shared" si="18"/>
        <v>0</v>
      </c>
    </row>
    <row r="27" spans="1:32" x14ac:dyDescent="0.15">
      <c r="A27" s="27">
        <v>38434</v>
      </c>
      <c r="B27" s="7">
        <f>'[5]Mar Prod'!I26</f>
        <v>0</v>
      </c>
      <c r="C27" s="8">
        <f t="shared" si="1"/>
        <v>0</v>
      </c>
      <c r="D27" s="10">
        <f t="shared" si="0"/>
        <v>0</v>
      </c>
      <c r="E27" s="7">
        <f>'[5]Mar Prod'!E26</f>
        <v>0</v>
      </c>
      <c r="F27" s="8">
        <f t="shared" si="2"/>
        <v>0</v>
      </c>
      <c r="G27" s="10">
        <f t="shared" si="3"/>
        <v>0</v>
      </c>
      <c r="H27" s="7">
        <f>'[5]Mar Prod'!F26</f>
        <v>4990000</v>
      </c>
      <c r="I27" s="8">
        <f t="shared" si="4"/>
        <v>4.99</v>
      </c>
      <c r="J27" s="10">
        <f t="shared" si="5"/>
        <v>15.3193</v>
      </c>
      <c r="K27" s="7">
        <f>'[5]Mar Prod'!H281</f>
        <v>1633867</v>
      </c>
      <c r="L27" s="8">
        <f t="shared" si="6"/>
        <v>1.633867</v>
      </c>
      <c r="M27" s="10">
        <f t="shared" si="7"/>
        <v>5.0159716899999998</v>
      </c>
      <c r="N27" s="21"/>
      <c r="O27" s="7">
        <f>'[5]Mar Prod'!H26</f>
        <v>11853000.000000002</v>
      </c>
      <c r="P27" s="8">
        <f t="shared" si="8"/>
        <v>11.853000000000002</v>
      </c>
      <c r="Q27" s="10">
        <f t="shared" si="9"/>
        <v>36.388710000000003</v>
      </c>
      <c r="R27" s="7">
        <f>'[5]Mar Prod'!C26</f>
        <v>11982000</v>
      </c>
      <c r="S27" s="8">
        <f t="shared" si="10"/>
        <v>11.981999999999999</v>
      </c>
      <c r="T27" s="10">
        <f t="shared" si="11"/>
        <v>36.784739999999999</v>
      </c>
      <c r="U27" s="7">
        <f>'[5]Mar Prod'!D26</f>
        <v>0</v>
      </c>
      <c r="V27" s="8">
        <f t="shared" si="12"/>
        <v>0</v>
      </c>
      <c r="W27" s="10">
        <f t="shared" si="13"/>
        <v>0</v>
      </c>
      <c r="X27" s="7">
        <f>'[5]Mar Prod'!D281</f>
        <v>128999.99999999779</v>
      </c>
      <c r="Y27" s="8">
        <f t="shared" si="14"/>
        <v>0.12899999999999778</v>
      </c>
      <c r="Z27" s="10">
        <f t="shared" si="15"/>
        <v>0.39602999999999317</v>
      </c>
      <c r="AA27" s="15"/>
      <c r="AB27" s="7">
        <f t="shared" si="16"/>
        <v>11853000.000000002</v>
      </c>
      <c r="AC27" s="8">
        <f t="shared" si="16"/>
        <v>11.853000000000002</v>
      </c>
      <c r="AD27" s="8">
        <f t="shared" si="16"/>
        <v>36.388710000000003</v>
      </c>
      <c r="AF27" s="8">
        <f t="shared" si="18"/>
        <v>2.9420910152566648E-15</v>
      </c>
    </row>
    <row r="28" spans="1:32" x14ac:dyDescent="0.15">
      <c r="A28" s="27">
        <v>38435</v>
      </c>
      <c r="B28" s="7">
        <f>'[5]Mar Prod'!I27</f>
        <v>2997000.0000002985</v>
      </c>
      <c r="C28" s="8">
        <f t="shared" si="1"/>
        <v>2.9970000000002983</v>
      </c>
      <c r="D28" s="10">
        <f t="shared" si="0"/>
        <v>9.2007900000009162</v>
      </c>
      <c r="E28" s="7">
        <f>'[5]Mar Prod'!E27</f>
        <v>0</v>
      </c>
      <c r="F28" s="8">
        <f t="shared" si="2"/>
        <v>0</v>
      </c>
      <c r="G28" s="10">
        <f t="shared" si="3"/>
        <v>0</v>
      </c>
      <c r="H28" s="7">
        <f>'[5]Mar Prod'!F27</f>
        <v>4820000</v>
      </c>
      <c r="I28" s="8">
        <f t="shared" si="4"/>
        <v>4.82</v>
      </c>
      <c r="J28" s="10">
        <f t="shared" si="5"/>
        <v>14.7974</v>
      </c>
      <c r="K28" s="7">
        <f>'[5]Mar Prod'!H282</f>
        <v>1249855</v>
      </c>
      <c r="L28" s="8">
        <f t="shared" si="6"/>
        <v>1.2498549999999999</v>
      </c>
      <c r="M28" s="10">
        <f t="shared" si="7"/>
        <v>3.8370548499999995</v>
      </c>
      <c r="N28" s="21"/>
      <c r="O28" s="7">
        <f>'[5]Mar Prod'!H27</f>
        <v>9609999.9999999963</v>
      </c>
      <c r="P28" s="8">
        <f t="shared" si="8"/>
        <v>9.6099999999999959</v>
      </c>
      <c r="Q28" s="10">
        <f t="shared" si="9"/>
        <v>29.502699999999987</v>
      </c>
      <c r="R28" s="7">
        <f>'[5]Mar Prod'!C27</f>
        <v>9855000</v>
      </c>
      <c r="S28" s="8">
        <f t="shared" si="10"/>
        <v>9.8550000000000004</v>
      </c>
      <c r="T28" s="10">
        <f t="shared" si="11"/>
        <v>30.254850000000001</v>
      </c>
      <c r="U28" s="7">
        <f>'[5]Mar Prod'!D27</f>
        <v>0</v>
      </c>
      <c r="V28" s="8">
        <f t="shared" si="12"/>
        <v>0</v>
      </c>
      <c r="W28" s="10">
        <f t="shared" si="13"/>
        <v>0</v>
      </c>
      <c r="X28" s="7">
        <f>'[5]Mar Prod'!D282</f>
        <v>245000.00000000454</v>
      </c>
      <c r="Y28" s="8">
        <f t="shared" si="14"/>
        <v>0.24500000000000455</v>
      </c>
      <c r="Z28" s="10">
        <f t="shared" si="15"/>
        <v>0.75215000000001397</v>
      </c>
      <c r="AA28" s="15"/>
      <c r="AB28" s="7">
        <f t="shared" si="16"/>
        <v>12607000.000000294</v>
      </c>
      <c r="AC28" s="8">
        <f t="shared" si="16"/>
        <v>12.607000000000294</v>
      </c>
      <c r="AD28" s="8">
        <f t="shared" si="16"/>
        <v>38.703490000000905</v>
      </c>
      <c r="AF28" s="8">
        <f t="shared" si="18"/>
        <v>0</v>
      </c>
    </row>
    <row r="29" spans="1:32" x14ac:dyDescent="0.15">
      <c r="A29" s="27">
        <v>38436</v>
      </c>
      <c r="B29" s="7">
        <f>'[5]Mar Prod'!I28</f>
        <v>5632999.9999998109</v>
      </c>
      <c r="C29" s="8">
        <f t="shared" si="1"/>
        <v>5.6329999999998108</v>
      </c>
      <c r="D29" s="10">
        <f t="shared" si="0"/>
        <v>17.293309999999419</v>
      </c>
      <c r="E29" s="7">
        <f>'[5]Mar Prod'!E28</f>
        <v>0</v>
      </c>
      <c r="F29" s="8">
        <f t="shared" si="2"/>
        <v>0</v>
      </c>
      <c r="G29" s="10">
        <f t="shared" si="3"/>
        <v>0</v>
      </c>
      <c r="H29" s="7">
        <f>'[5]Mar Prod'!F28</f>
        <v>5090000</v>
      </c>
      <c r="I29" s="8">
        <f t="shared" si="4"/>
        <v>5.09</v>
      </c>
      <c r="J29" s="10">
        <f t="shared" si="5"/>
        <v>15.626299999999999</v>
      </c>
      <c r="K29" s="7">
        <f>'[5]Mar Prod'!H283</f>
        <v>396635</v>
      </c>
      <c r="L29" s="8">
        <f t="shared" si="6"/>
        <v>0.39663500000000002</v>
      </c>
      <c r="M29" s="10">
        <f t="shared" si="7"/>
        <v>1.21766945</v>
      </c>
      <c r="N29" s="21"/>
      <c r="O29" s="7">
        <f>'[5]Mar Prod'!H28</f>
        <v>7593000.0000000047</v>
      </c>
      <c r="P29" s="8">
        <f t="shared" si="8"/>
        <v>7.5930000000000044</v>
      </c>
      <c r="Q29" s="10">
        <f t="shared" si="9"/>
        <v>23.310510000000011</v>
      </c>
      <c r="R29" s="7">
        <f>'[5]Mar Prod'!C28</f>
        <v>7848000</v>
      </c>
      <c r="S29" s="8">
        <f t="shared" si="10"/>
        <v>7.8479999999999999</v>
      </c>
      <c r="T29" s="10">
        <f t="shared" si="11"/>
        <v>24.093359999999997</v>
      </c>
      <c r="U29" s="7">
        <f>'[5]Mar Prod'!D28</f>
        <v>0</v>
      </c>
      <c r="V29" s="8">
        <f t="shared" si="12"/>
        <v>0</v>
      </c>
      <c r="W29" s="10">
        <f t="shared" si="13"/>
        <v>0</v>
      </c>
      <c r="X29" s="7">
        <f>'[5]Mar Prod'!D283</f>
        <v>254999.99999999546</v>
      </c>
      <c r="Y29" s="8">
        <f t="shared" si="14"/>
        <v>0.25499999999999545</v>
      </c>
      <c r="Z29" s="10">
        <f t="shared" si="15"/>
        <v>0.78284999999998595</v>
      </c>
      <c r="AA29" s="15"/>
      <c r="AB29" s="7">
        <f t="shared" si="16"/>
        <v>13225999.999999816</v>
      </c>
      <c r="AC29" s="8">
        <f t="shared" si="16"/>
        <v>13.225999999999814</v>
      </c>
      <c r="AD29" s="8">
        <f t="shared" si="16"/>
        <v>40.60381999999943</v>
      </c>
      <c r="AF29" s="8">
        <f t="shared" si="18"/>
        <v>0</v>
      </c>
    </row>
    <row r="30" spans="1:32" x14ac:dyDescent="0.15">
      <c r="A30" s="27">
        <v>38437</v>
      </c>
      <c r="B30" s="7">
        <f>'[5]Mar Prod'!I29</f>
        <v>6230999.9999997672</v>
      </c>
      <c r="C30" s="8">
        <f t="shared" si="1"/>
        <v>6.2309999999997672</v>
      </c>
      <c r="D30" s="10">
        <f t="shared" si="0"/>
        <v>19.129169999999284</v>
      </c>
      <c r="E30" s="7">
        <f>'[5]Mar Prod'!E29</f>
        <v>0</v>
      </c>
      <c r="F30" s="8">
        <f t="shared" si="2"/>
        <v>0</v>
      </c>
      <c r="G30" s="10">
        <f t="shared" si="3"/>
        <v>0</v>
      </c>
      <c r="H30" s="7">
        <f>'[5]Mar Prod'!F29</f>
        <v>4950000</v>
      </c>
      <c r="I30" s="8">
        <f t="shared" si="4"/>
        <v>4.95</v>
      </c>
      <c r="J30" s="10">
        <f t="shared" si="5"/>
        <v>15.1965</v>
      </c>
      <c r="K30" s="7">
        <f>'[5]Mar Prod'!H284</f>
        <v>388539</v>
      </c>
      <c r="L30" s="8">
        <f t="shared" si="6"/>
        <v>0.38853900000000002</v>
      </c>
      <c r="M30" s="10">
        <f t="shared" si="7"/>
        <v>1.19281473</v>
      </c>
      <c r="N30" s="21"/>
      <c r="O30" s="7">
        <f>'[5]Mar Prod'!H29</f>
        <v>7321000</v>
      </c>
      <c r="P30" s="8">
        <f t="shared" si="8"/>
        <v>7.3209999999999997</v>
      </c>
      <c r="Q30" s="10">
        <f t="shared" si="9"/>
        <v>22.475469999999998</v>
      </c>
      <c r="R30" s="7">
        <f>'[5]Mar Prod'!C29</f>
        <v>7437000</v>
      </c>
      <c r="S30" s="8">
        <f t="shared" si="10"/>
        <v>7.4370000000000003</v>
      </c>
      <c r="T30" s="10">
        <f t="shared" si="11"/>
        <v>22.831589999999998</v>
      </c>
      <c r="U30" s="7">
        <f>'[5]Mar Prod'!D29</f>
        <v>0</v>
      </c>
      <c r="V30" s="8">
        <f t="shared" si="12"/>
        <v>0</v>
      </c>
      <c r="W30" s="10">
        <f t="shared" si="13"/>
        <v>0</v>
      </c>
      <c r="X30" s="7">
        <f>'[5]Mar Prod'!D284</f>
        <v>115999.99999999967</v>
      </c>
      <c r="Y30" s="8">
        <f t="shared" si="14"/>
        <v>0.11599999999999966</v>
      </c>
      <c r="Z30" s="10">
        <f t="shared" si="15"/>
        <v>0.35611999999999894</v>
      </c>
      <c r="AA30" s="15"/>
      <c r="AB30" s="7">
        <f t="shared" si="16"/>
        <v>13551999.999999767</v>
      </c>
      <c r="AC30" s="8">
        <f t="shared" si="16"/>
        <v>13.551999999999767</v>
      </c>
      <c r="AD30" s="8">
        <f>D30+Q30</f>
        <v>41.604639999999279</v>
      </c>
      <c r="AF30" s="8">
        <f t="shared" si="18"/>
        <v>1.7208456881689926E-15</v>
      </c>
    </row>
    <row r="31" spans="1:32" x14ac:dyDescent="0.15">
      <c r="A31" s="27">
        <v>38438</v>
      </c>
      <c r="B31" s="7">
        <f>'[5]Mar Prod'!I30</f>
        <v>7335200.0000004405</v>
      </c>
      <c r="C31" s="8">
        <f t="shared" si="1"/>
        <v>7.3352000000004409</v>
      </c>
      <c r="D31" s="10">
        <f t="shared" si="0"/>
        <v>22.519064000001354</v>
      </c>
      <c r="E31" s="7">
        <f>'[5]Mar Prod'!E30</f>
        <v>0</v>
      </c>
      <c r="F31" s="8">
        <f t="shared" si="2"/>
        <v>0</v>
      </c>
      <c r="G31" s="10">
        <f t="shared" si="3"/>
        <v>0</v>
      </c>
      <c r="H31" s="7">
        <f>'[5]Mar Prod'!F30</f>
        <v>4980000</v>
      </c>
      <c r="I31" s="8">
        <f t="shared" si="4"/>
        <v>4.9800000000000004</v>
      </c>
      <c r="J31" s="10">
        <f t="shared" si="5"/>
        <v>15.288600000000001</v>
      </c>
      <c r="K31" s="7">
        <f>'[5]Mar Prod'!H285</f>
        <v>452066</v>
      </c>
      <c r="L31" s="8">
        <f t="shared" si="6"/>
        <v>0.45206600000000002</v>
      </c>
      <c r="M31" s="10">
        <f t="shared" si="7"/>
        <v>1.38784262</v>
      </c>
      <c r="N31" s="21"/>
      <c r="O31" s="7">
        <f>'[5]Mar Prod'!H30</f>
        <v>6041000</v>
      </c>
      <c r="P31" s="8">
        <f t="shared" si="8"/>
        <v>6.0410000000000004</v>
      </c>
      <c r="Q31" s="10">
        <f t="shared" si="9"/>
        <v>18.545870000000001</v>
      </c>
      <c r="R31" s="7">
        <f>'[5]Mar Prod'!C30</f>
        <v>6105000</v>
      </c>
      <c r="S31" s="8">
        <f t="shared" si="10"/>
        <v>6.1050000000000004</v>
      </c>
      <c r="T31" s="10">
        <f t="shared" si="11"/>
        <v>18.742350000000002</v>
      </c>
      <c r="U31" s="7">
        <f>'[5]Mar Prod'!D30</f>
        <v>0</v>
      </c>
      <c r="V31" s="8">
        <f t="shared" si="12"/>
        <v>0</v>
      </c>
      <c r="W31" s="10">
        <f t="shared" si="13"/>
        <v>0</v>
      </c>
      <c r="X31" s="7">
        <f>'[5]Mar Prod'!D285</f>
        <v>64000.000000000058</v>
      </c>
      <c r="Y31" s="8">
        <f t="shared" si="14"/>
        <v>6.4000000000000057E-2</v>
      </c>
      <c r="Z31" s="10">
        <f t="shared" si="15"/>
        <v>0.19648000000000015</v>
      </c>
      <c r="AA31" s="15"/>
      <c r="AB31" s="7">
        <f t="shared" si="16"/>
        <v>13376200.00000044</v>
      </c>
      <c r="AC31" s="8">
        <f t="shared" si="16"/>
        <v>13.376200000000441</v>
      </c>
      <c r="AD31" s="8">
        <f t="shared" si="16"/>
        <v>41.064934000001358</v>
      </c>
      <c r="AF31" s="8">
        <f>T31-Q31-Z31</f>
        <v>9.4368957093138306E-16</v>
      </c>
    </row>
    <row r="32" spans="1:32" x14ac:dyDescent="0.15">
      <c r="A32" s="27">
        <v>38439</v>
      </c>
      <c r="B32" s="7">
        <f>'[5]Mar Prod'!I31</f>
        <v>4600000</v>
      </c>
      <c r="C32" s="8">
        <f t="shared" si="1"/>
        <v>4.5999999999999996</v>
      </c>
      <c r="D32" s="10">
        <f t="shared" si="0"/>
        <v>14.121999999999998</v>
      </c>
      <c r="E32" s="7">
        <f>'[5]Mar Prod'!E31</f>
        <v>0</v>
      </c>
      <c r="F32" s="8">
        <f t="shared" si="2"/>
        <v>0</v>
      </c>
      <c r="G32" s="10">
        <f t="shared" si="3"/>
        <v>0</v>
      </c>
      <c r="H32" s="7">
        <f>'[5]Mar Prod'!F31</f>
        <v>5000000</v>
      </c>
      <c r="I32" s="8">
        <f t="shared" si="4"/>
        <v>5</v>
      </c>
      <c r="J32" s="10">
        <f t="shared" si="5"/>
        <v>15.35</v>
      </c>
      <c r="K32" s="7">
        <f>'[5]Mar Prod'!H286</f>
        <v>430397</v>
      </c>
      <c r="L32" s="8">
        <f t="shared" si="6"/>
        <v>0.43039699999999997</v>
      </c>
      <c r="M32" s="10">
        <f t="shared" si="7"/>
        <v>1.3213187899999999</v>
      </c>
      <c r="N32" s="21"/>
      <c r="O32" s="7">
        <f>'[5]Mar Prod'!H31</f>
        <v>5994000</v>
      </c>
      <c r="P32" s="8">
        <f t="shared" si="8"/>
        <v>5.9939999999999998</v>
      </c>
      <c r="Q32" s="10">
        <f t="shared" si="9"/>
        <v>18.401579999999999</v>
      </c>
      <c r="R32" s="7">
        <f>'[5]Mar Prod'!C31</f>
        <v>5994000</v>
      </c>
      <c r="S32" s="8">
        <f t="shared" si="10"/>
        <v>5.9939999999999998</v>
      </c>
      <c r="T32" s="10">
        <f t="shared" si="11"/>
        <v>18.401579999999999</v>
      </c>
      <c r="U32" s="7">
        <f>'[5]Mar Prod'!D31</f>
        <v>0</v>
      </c>
      <c r="V32" s="8">
        <f t="shared" si="12"/>
        <v>0</v>
      </c>
      <c r="W32" s="10">
        <f t="shared" si="13"/>
        <v>0</v>
      </c>
      <c r="X32" s="7">
        <f>'[5]Mar Prod'!D286</f>
        <v>0</v>
      </c>
      <c r="Y32" s="8">
        <f t="shared" si="14"/>
        <v>0</v>
      </c>
      <c r="Z32" s="10">
        <f t="shared" si="15"/>
        <v>0</v>
      </c>
      <c r="AA32" s="15"/>
      <c r="AB32" s="7">
        <f t="shared" si="16"/>
        <v>10594000</v>
      </c>
      <c r="AC32" s="8">
        <f t="shared" si="16"/>
        <v>10.593999999999999</v>
      </c>
      <c r="AD32" s="8">
        <f t="shared" si="16"/>
        <v>32.523579999999995</v>
      </c>
      <c r="AF32" s="8">
        <f t="shared" si="18"/>
        <v>0</v>
      </c>
    </row>
    <row r="33" spans="1:32" x14ac:dyDescent="0.15">
      <c r="A33" s="27">
        <v>38440</v>
      </c>
      <c r="B33" s="7">
        <f>'[5]Mar Prod'!I32</f>
        <v>8900000</v>
      </c>
      <c r="C33" s="8">
        <f t="shared" si="1"/>
        <v>8.9</v>
      </c>
      <c r="D33" s="10">
        <f t="shared" si="0"/>
        <v>27.323</v>
      </c>
      <c r="E33" s="7">
        <f>'[5]Mar Prod'!E32</f>
        <v>2000000</v>
      </c>
      <c r="F33" s="8">
        <f t="shared" si="2"/>
        <v>2</v>
      </c>
      <c r="G33" s="10">
        <f t="shared" si="3"/>
        <v>6.14</v>
      </c>
      <c r="H33" s="7">
        <f>'[5]Mar Prod'!F32</f>
        <v>6610000</v>
      </c>
      <c r="I33" s="8">
        <f t="shared" si="4"/>
        <v>6.61</v>
      </c>
      <c r="J33" s="10">
        <f t="shared" si="5"/>
        <v>20.2927</v>
      </c>
      <c r="K33" s="7">
        <f>'[5]Mar Prod'!H287</f>
        <v>728416</v>
      </c>
      <c r="L33" s="8">
        <f t="shared" si="6"/>
        <v>0.72841599999999995</v>
      </c>
      <c r="M33" s="10">
        <f t="shared" si="7"/>
        <v>2.2362371199999997</v>
      </c>
      <c r="N33" s="21"/>
      <c r="O33" s="7">
        <f>'[5]Mar Prod'!H32</f>
        <v>3228000</v>
      </c>
      <c r="P33" s="8">
        <f t="shared" si="8"/>
        <v>3.2280000000000002</v>
      </c>
      <c r="Q33" s="10">
        <f t="shared" si="9"/>
        <v>9.9099599999999999</v>
      </c>
      <c r="R33" s="7">
        <f>'[5]Mar Prod'!C32</f>
        <v>3228000</v>
      </c>
      <c r="S33" s="8">
        <f t="shared" si="10"/>
        <v>3.2280000000000002</v>
      </c>
      <c r="T33" s="10">
        <f t="shared" si="11"/>
        <v>9.9099599999999999</v>
      </c>
      <c r="U33" s="7">
        <f>'[5]Mar Prod'!D32</f>
        <v>0</v>
      </c>
      <c r="V33" s="8">
        <f t="shared" si="12"/>
        <v>0</v>
      </c>
      <c r="W33" s="10">
        <f t="shared" si="13"/>
        <v>0</v>
      </c>
      <c r="X33" s="7">
        <f>'[5]Mar Prod'!D287</f>
        <v>0</v>
      </c>
      <c r="Y33" s="8">
        <f t="shared" si="14"/>
        <v>0</v>
      </c>
      <c r="Z33" s="10">
        <f t="shared" si="15"/>
        <v>0</v>
      </c>
      <c r="AA33" s="15"/>
      <c r="AB33" s="7">
        <f t="shared" si="16"/>
        <v>12128000</v>
      </c>
      <c r="AC33" s="8">
        <f t="shared" si="16"/>
        <v>12.128</v>
      </c>
      <c r="AD33" s="8">
        <f t="shared" si="16"/>
        <v>37.232959999999999</v>
      </c>
      <c r="AF33" s="8">
        <f t="shared" si="18"/>
        <v>0</v>
      </c>
    </row>
    <row r="34" spans="1:32" x14ac:dyDescent="0.15">
      <c r="A34" s="27">
        <v>38441</v>
      </c>
      <c r="B34" s="7">
        <f>'[5]Mar Prod'!I33</f>
        <v>14173000.000000229</v>
      </c>
      <c r="C34" s="8">
        <f t="shared" si="1"/>
        <v>14.173000000000229</v>
      </c>
      <c r="D34" s="10">
        <f t="shared" si="0"/>
        <v>43.511110000000699</v>
      </c>
      <c r="E34" s="7">
        <f>'[5]Mar Prod'!E33</f>
        <v>6000000</v>
      </c>
      <c r="F34" s="8">
        <f t="shared" si="2"/>
        <v>6</v>
      </c>
      <c r="G34" s="10">
        <f t="shared" si="3"/>
        <v>18.419999999999998</v>
      </c>
      <c r="H34" s="7">
        <f>'[5]Mar Prod'!F33</f>
        <v>8010000</v>
      </c>
      <c r="I34" s="8">
        <f t="shared" si="4"/>
        <v>8.01</v>
      </c>
      <c r="J34" s="10">
        <f t="shared" si="5"/>
        <v>24.590699999999998</v>
      </c>
      <c r="K34" s="7">
        <f>'[5]Mar Prod'!H288</f>
        <v>1167264</v>
      </c>
      <c r="L34" s="8">
        <f t="shared" si="6"/>
        <v>1.1672640000000001</v>
      </c>
      <c r="M34" s="10">
        <f t="shared" si="7"/>
        <v>3.5835004800000001</v>
      </c>
      <c r="N34" s="21"/>
      <c r="O34" s="7">
        <f>'[5]Mar Prod'!H33</f>
        <v>0</v>
      </c>
      <c r="P34" s="8">
        <f t="shared" si="8"/>
        <v>0</v>
      </c>
      <c r="Q34" s="10">
        <f t="shared" si="9"/>
        <v>0</v>
      </c>
      <c r="R34" s="7">
        <f>'[5]Mar Prod'!C33</f>
        <v>0</v>
      </c>
      <c r="S34" s="8">
        <f t="shared" si="10"/>
        <v>0</v>
      </c>
      <c r="T34" s="10">
        <f t="shared" si="11"/>
        <v>0</v>
      </c>
      <c r="U34" s="7">
        <f>'[5]Mar Prod'!D33</f>
        <v>0</v>
      </c>
      <c r="V34" s="8">
        <f t="shared" si="12"/>
        <v>0</v>
      </c>
      <c r="W34" s="10">
        <f t="shared" si="13"/>
        <v>0</v>
      </c>
      <c r="X34" s="7">
        <f>'[5]Mar Prod'!D288</f>
        <v>0</v>
      </c>
      <c r="Y34" s="8">
        <f t="shared" si="14"/>
        <v>0</v>
      </c>
      <c r="Z34" s="10">
        <f t="shared" si="15"/>
        <v>0</v>
      </c>
      <c r="AA34" s="15"/>
      <c r="AB34" s="7">
        <f t="shared" si="16"/>
        <v>14173000.000000229</v>
      </c>
      <c r="AC34" s="8">
        <f t="shared" si="16"/>
        <v>14.173000000000229</v>
      </c>
      <c r="AD34" s="8">
        <f t="shared" si="16"/>
        <v>43.511110000000699</v>
      </c>
      <c r="AF34" s="8">
        <f t="shared" si="18"/>
        <v>0</v>
      </c>
    </row>
    <row r="35" spans="1:32" ht="14" thickBot="1" x14ac:dyDescent="0.2">
      <c r="A35" s="27">
        <v>38442</v>
      </c>
      <c r="B35" s="7">
        <f>'[5]Mar Prod'!I34</f>
        <v>15000000</v>
      </c>
      <c r="C35" s="8">
        <f t="shared" si="1"/>
        <v>15</v>
      </c>
      <c r="D35" s="10">
        <f t="shared" si="0"/>
        <v>46.05</v>
      </c>
      <c r="E35" s="7">
        <f>'[5]Mar Prod'!E34</f>
        <v>6000000</v>
      </c>
      <c r="F35" s="8">
        <f t="shared" si="2"/>
        <v>6</v>
      </c>
      <c r="G35" s="10">
        <f t="shared" si="3"/>
        <v>18.419999999999998</v>
      </c>
      <c r="H35" s="7">
        <f>'[5]Mar Prod'!F34</f>
        <v>8000000</v>
      </c>
      <c r="I35" s="8">
        <f t="shared" si="4"/>
        <v>8</v>
      </c>
      <c r="J35" s="10">
        <f t="shared" si="5"/>
        <v>24.56</v>
      </c>
      <c r="K35" s="7">
        <f>'[5]Mar Prod'!H289</f>
        <v>1080271</v>
      </c>
      <c r="L35" s="8">
        <f t="shared" si="6"/>
        <v>1.080271</v>
      </c>
      <c r="M35" s="10">
        <f t="shared" si="7"/>
        <v>3.3164319699999996</v>
      </c>
      <c r="N35" s="21"/>
      <c r="O35" s="7">
        <f>'[5]Mar Prod'!H34</f>
        <v>0</v>
      </c>
      <c r="P35" s="8">
        <f t="shared" si="8"/>
        <v>0</v>
      </c>
      <c r="Q35" s="10">
        <f t="shared" si="9"/>
        <v>0</v>
      </c>
      <c r="R35" s="7">
        <f>'[5]Mar Prod'!C34</f>
        <v>0</v>
      </c>
      <c r="S35" s="8">
        <f t="shared" si="10"/>
        <v>0</v>
      </c>
      <c r="T35" s="10">
        <f t="shared" si="11"/>
        <v>0</v>
      </c>
      <c r="U35" s="7">
        <f>'[5]Mar Prod'!D34</f>
        <v>0</v>
      </c>
      <c r="V35" s="8">
        <f t="shared" si="12"/>
        <v>0</v>
      </c>
      <c r="W35" s="10">
        <f t="shared" si="13"/>
        <v>0</v>
      </c>
      <c r="X35" s="7">
        <f>'[5]Mar Prod'!D289</f>
        <v>0</v>
      </c>
      <c r="Y35" s="8">
        <f t="shared" si="14"/>
        <v>0</v>
      </c>
      <c r="Z35" s="10">
        <f t="shared" si="15"/>
        <v>0</v>
      </c>
      <c r="AA35" s="15"/>
      <c r="AB35" s="7">
        <f t="shared" si="16"/>
        <v>15000000</v>
      </c>
      <c r="AC35" s="8">
        <f t="shared" si="16"/>
        <v>15</v>
      </c>
      <c r="AD35" s="8">
        <f t="shared" si="16"/>
        <v>46.05</v>
      </c>
      <c r="AF35" s="8">
        <f t="shared" si="18"/>
        <v>0</v>
      </c>
    </row>
    <row r="36" spans="1:32" ht="14" thickBot="1" x14ac:dyDescent="0.2">
      <c r="A36" s="14"/>
      <c r="B36" s="38"/>
      <c r="C36" s="39">
        <f>SUM(C5:C35)</f>
        <v>64.869200000000546</v>
      </c>
      <c r="D36" s="39">
        <f t="shared" ref="D36:J36" si="19">SUM(D5:D35)</f>
        <v>199.14844400000169</v>
      </c>
      <c r="E36" s="38"/>
      <c r="F36" s="39">
        <f t="shared" si="19"/>
        <v>50</v>
      </c>
      <c r="G36" s="39">
        <f t="shared" si="19"/>
        <v>153.49999999999997</v>
      </c>
      <c r="H36" s="38"/>
      <c r="I36" s="39">
        <f t="shared" si="19"/>
        <v>60.12</v>
      </c>
      <c r="J36" s="39">
        <f t="shared" si="19"/>
        <v>184.5684</v>
      </c>
      <c r="K36" s="38"/>
      <c r="L36" s="39">
        <f>SUM(L5:L35)</f>
        <v>41.106342000000012</v>
      </c>
      <c r="M36" s="39">
        <f>SUM(M5:M35)</f>
        <v>126.19646994</v>
      </c>
      <c r="N36" s="14"/>
      <c r="O36" s="38"/>
      <c r="P36" s="39">
        <f>SUM(P5:P35)</f>
        <v>346.08600000000007</v>
      </c>
      <c r="Q36" s="39">
        <f>SUM(Q5:Q35)</f>
        <v>1062.4840199999999</v>
      </c>
      <c r="R36" s="38"/>
      <c r="S36" s="39">
        <f>SUM(S5:S35)</f>
        <v>352.95499999999998</v>
      </c>
      <c r="T36" s="39">
        <f>SUM(T5:T35)</f>
        <v>1083.5718499999996</v>
      </c>
      <c r="U36" s="38"/>
      <c r="V36" s="39">
        <f>SUM(V5:V35)</f>
        <v>0.33900000000000002</v>
      </c>
      <c r="W36" s="39">
        <f>SUM(W5:W35)</f>
        <v>1.0407299999999999</v>
      </c>
      <c r="X36" s="38"/>
      <c r="Y36" s="39">
        <f>SUM(Y5:Y35)</f>
        <v>7.2079999999999984</v>
      </c>
      <c r="Z36" s="39">
        <f>SUM(Z5:Z35)</f>
        <v>22.12856</v>
      </c>
      <c r="AA36" s="14"/>
      <c r="AB36" s="38"/>
      <c r="AC36" s="39">
        <f>SUM(AC5:AC35)</f>
        <v>410.95520000000062</v>
      </c>
      <c r="AD36" s="39">
        <f>AC36*3.07</f>
        <v>1261.6324640000018</v>
      </c>
      <c r="AF36" s="39">
        <f>SUM(AF5:AF35)</f>
        <v>-1.0407300000000101</v>
      </c>
    </row>
    <row r="37" spans="1:32" x14ac:dyDescent="0.15">
      <c r="C37" s="18"/>
      <c r="E37" s="3"/>
      <c r="F37" s="3"/>
      <c r="G37" s="3"/>
      <c r="H37" s="3"/>
      <c r="I37" s="3"/>
      <c r="J37" s="15"/>
      <c r="K37" s="14"/>
      <c r="L37" s="3"/>
      <c r="M37" s="3"/>
      <c r="N37" s="3"/>
      <c r="O37" s="3"/>
      <c r="P37" s="3"/>
      <c r="Q37" s="3"/>
      <c r="R37" s="3"/>
      <c r="S37" s="3"/>
      <c r="T37" s="3"/>
      <c r="U37" s="14"/>
    </row>
  </sheetData>
  <mergeCells count="9">
    <mergeCell ref="AB3:AD3"/>
    <mergeCell ref="R3:T3"/>
    <mergeCell ref="U3:W3"/>
    <mergeCell ref="X3:Z3"/>
    <mergeCell ref="B3:D3"/>
    <mergeCell ref="E3:G3"/>
    <mergeCell ref="H3:J3"/>
    <mergeCell ref="O3:Q3"/>
    <mergeCell ref="K3:M3"/>
  </mergeCells>
  <phoneticPr fontId="1" type="noConversion"/>
  <pageMargins left="0.75" right="0.75" top="1" bottom="1" header="0.5" footer="0.5"/>
  <pageSetup scale="37" orientation="landscape" r:id="rId1"/>
  <headerFooter alignWithMargins="0">
    <oddFooter>&amp;R&amp;D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pageSetUpPr fitToPage="1"/>
  </sheetPr>
  <dimension ref="A1:AF36"/>
  <sheetViews>
    <sheetView workbookViewId="0">
      <pane xSplit="1" ySplit="4" topLeftCell="P5" activePane="bottomRight" state="frozen"/>
      <selection activeCell="D6" sqref="D5:D6"/>
      <selection pane="topRight" activeCell="D6" sqref="D5:D6"/>
      <selection pane="bottomLeft" activeCell="D6" sqref="D5:D6"/>
      <selection pane="bottomRight" activeCell="I1" sqref="I1:I1048576"/>
    </sheetView>
  </sheetViews>
  <sheetFormatPr baseColWidth="10" defaultColWidth="8.83203125" defaultRowHeight="13" x14ac:dyDescent="0.15"/>
  <cols>
    <col min="2" max="2" width="13.33203125" customWidth="1"/>
    <col min="5" max="5" width="13.1640625" customWidth="1"/>
    <col min="7" max="7" width="9.33203125" bestFit="1" customWidth="1"/>
    <col min="8" max="8" width="15.1640625" customWidth="1"/>
    <col min="9" max="10" width="9.33203125" bestFit="1" customWidth="1"/>
    <col min="11" max="11" width="10.33203125" customWidth="1"/>
    <col min="12" max="12" width="11.6640625" bestFit="1" customWidth="1"/>
    <col min="15" max="15" width="10.6640625" customWidth="1"/>
    <col min="16" max="17" width="9.33203125" bestFit="1" customWidth="1"/>
    <col min="18" max="18" width="10.6640625" customWidth="1"/>
    <col min="19" max="20" width="9.33203125" bestFit="1" customWidth="1"/>
    <col min="21" max="21" width="10.5" customWidth="1"/>
    <col min="22" max="22" width="10.83203125" customWidth="1"/>
    <col min="23" max="23" width="9" bestFit="1" customWidth="1"/>
    <col min="24" max="24" width="12.1640625" customWidth="1"/>
    <col min="25" max="26" width="9" bestFit="1" customWidth="1"/>
    <col min="28" max="28" width="13.1640625" customWidth="1"/>
  </cols>
  <sheetData>
    <row r="1" spans="1:30" x14ac:dyDescent="0.15">
      <c r="A1" s="42"/>
      <c r="B1" s="53" t="s">
        <v>16</v>
      </c>
      <c r="C1" s="25"/>
      <c r="D1" s="25"/>
      <c r="E1" s="25"/>
      <c r="F1" s="25"/>
      <c r="G1" s="3"/>
      <c r="H1" s="3"/>
      <c r="I1" s="3"/>
      <c r="J1" s="3"/>
      <c r="K1" s="14"/>
      <c r="L1" s="3"/>
      <c r="M1" s="3"/>
      <c r="N1" s="3"/>
      <c r="O1" s="3"/>
      <c r="P1" s="3"/>
      <c r="Q1" s="3"/>
      <c r="R1" s="3"/>
      <c r="S1" s="3"/>
      <c r="T1" s="3"/>
      <c r="U1" s="14"/>
      <c r="V1" s="3"/>
      <c r="W1" s="3"/>
      <c r="X1" s="3"/>
    </row>
    <row r="2" spans="1:30" ht="14" thickBot="1" x14ac:dyDescent="0.2">
      <c r="A2" s="3"/>
      <c r="B2" s="3"/>
      <c r="C2" s="24"/>
      <c r="D2" s="3"/>
      <c r="E2" s="3"/>
      <c r="F2" s="3"/>
      <c r="G2" s="3"/>
      <c r="H2" s="3"/>
      <c r="I2" s="3"/>
      <c r="J2" s="3"/>
      <c r="K2" s="14"/>
      <c r="L2" s="3"/>
      <c r="M2" s="3"/>
      <c r="N2" s="3"/>
      <c r="O2" s="3"/>
      <c r="P2" s="3"/>
      <c r="Q2" s="3"/>
      <c r="R2" s="3"/>
      <c r="S2" s="3"/>
      <c r="T2" s="3"/>
      <c r="U2" s="14"/>
      <c r="V2" s="3"/>
      <c r="W2" s="3"/>
      <c r="X2" s="3"/>
    </row>
    <row r="3" spans="1:30" ht="60.75" customHeight="1" thickBot="1" x14ac:dyDescent="0.2">
      <c r="A3" s="3"/>
      <c r="B3" s="58" t="s">
        <v>10</v>
      </c>
      <c r="C3" s="59"/>
      <c r="D3" s="60"/>
      <c r="E3" s="58" t="s">
        <v>11</v>
      </c>
      <c r="F3" s="59"/>
      <c r="G3" s="60"/>
      <c r="H3" s="58" t="s">
        <v>12</v>
      </c>
      <c r="I3" s="59"/>
      <c r="J3" s="60"/>
      <c r="K3" s="58" t="s">
        <v>13</v>
      </c>
      <c r="L3" s="59"/>
      <c r="M3" s="60"/>
      <c r="N3" s="19"/>
      <c r="O3" s="58" t="s">
        <v>4</v>
      </c>
      <c r="P3" s="59"/>
      <c r="Q3" s="60"/>
      <c r="R3" s="58" t="s">
        <v>3</v>
      </c>
      <c r="S3" s="59"/>
      <c r="T3" s="60"/>
      <c r="U3" s="58" t="s">
        <v>6</v>
      </c>
      <c r="V3" s="59"/>
      <c r="W3" s="60"/>
      <c r="X3" s="58" t="s">
        <v>7</v>
      </c>
      <c r="Y3" s="59"/>
      <c r="Z3" s="60"/>
      <c r="AA3" s="19"/>
      <c r="AB3" s="55" t="s">
        <v>8</v>
      </c>
      <c r="AC3" s="56"/>
      <c r="AD3" s="57"/>
    </row>
    <row r="4" spans="1:30" x14ac:dyDescent="0.15">
      <c r="A4" s="26"/>
      <c r="B4" s="4" t="s">
        <v>0</v>
      </c>
      <c r="C4" s="17" t="s">
        <v>1</v>
      </c>
      <c r="D4" s="6" t="s">
        <v>2</v>
      </c>
      <c r="E4" s="4" t="s">
        <v>0</v>
      </c>
      <c r="F4" s="5" t="s">
        <v>1</v>
      </c>
      <c r="G4" s="6" t="s">
        <v>2</v>
      </c>
      <c r="H4" s="4" t="s">
        <v>0</v>
      </c>
      <c r="I4" s="5" t="s">
        <v>1</v>
      </c>
      <c r="J4" s="6" t="s">
        <v>2</v>
      </c>
      <c r="K4" s="4" t="s">
        <v>0</v>
      </c>
      <c r="L4" s="5" t="s">
        <v>1</v>
      </c>
      <c r="M4" s="6" t="s">
        <v>2</v>
      </c>
      <c r="N4" s="19"/>
      <c r="O4" s="4" t="s">
        <v>0</v>
      </c>
      <c r="P4" s="5" t="s">
        <v>1</v>
      </c>
      <c r="Q4" s="6" t="s">
        <v>2</v>
      </c>
      <c r="R4" s="4" t="s">
        <v>0</v>
      </c>
      <c r="S4" s="5" t="s">
        <v>1</v>
      </c>
      <c r="T4" s="6" t="s">
        <v>2</v>
      </c>
      <c r="U4" s="4" t="s">
        <v>0</v>
      </c>
      <c r="V4" s="5" t="s">
        <v>1</v>
      </c>
      <c r="W4" s="6" t="s">
        <v>2</v>
      </c>
      <c r="X4" s="4" t="s">
        <v>0</v>
      </c>
      <c r="Y4" s="5" t="s">
        <v>1</v>
      </c>
      <c r="Z4" s="6" t="s">
        <v>2</v>
      </c>
      <c r="AA4" s="19"/>
      <c r="AB4" s="35" t="s">
        <v>0</v>
      </c>
      <c r="AC4" s="36" t="s">
        <v>1</v>
      </c>
      <c r="AD4" s="37" t="s">
        <v>2</v>
      </c>
    </row>
    <row r="5" spans="1:30" x14ac:dyDescent="0.15">
      <c r="A5" s="27">
        <v>38443</v>
      </c>
      <c r="B5" s="7">
        <f>'[6]Production Summary'!J6</f>
        <v>11500000</v>
      </c>
      <c r="C5" s="8">
        <f>B5/1000000</f>
        <v>11.5</v>
      </c>
      <c r="D5" s="10">
        <f>C5*3.07</f>
        <v>35.305</v>
      </c>
      <c r="E5" s="7">
        <f>'[6]Production Summary'!E6</f>
        <v>6000000</v>
      </c>
      <c r="F5" s="8">
        <f>E5/1000000</f>
        <v>6</v>
      </c>
      <c r="G5" s="10">
        <f>F5*3.07</f>
        <v>18.419999999999998</v>
      </c>
      <c r="H5" s="7">
        <f>'[6]Production Summary'!G6</f>
        <v>7610000</v>
      </c>
      <c r="I5" s="8">
        <f t="shared" ref="I5:I34" si="0">H5/1000000</f>
        <v>7.61</v>
      </c>
      <c r="J5" s="10">
        <f>I5*3.07</f>
        <v>23.3627</v>
      </c>
      <c r="K5" s="7">
        <f>'[6]Production Summary'!T6</f>
        <v>1097988</v>
      </c>
      <c r="L5" s="8">
        <f>K5/1000000</f>
        <v>1.097988</v>
      </c>
      <c r="M5" s="10">
        <f>L5*3.07</f>
        <v>3.3708231599999996</v>
      </c>
      <c r="N5" s="21"/>
      <c r="O5" s="7">
        <f>'[6]Production Summary'!I6</f>
        <v>0</v>
      </c>
      <c r="P5" s="8">
        <f>O5/1000000</f>
        <v>0</v>
      </c>
      <c r="Q5" s="10">
        <f>P5*3.07</f>
        <v>0</v>
      </c>
      <c r="R5" s="7">
        <f>'[6]Production Summary'!C6</f>
        <v>0</v>
      </c>
      <c r="S5" s="8">
        <f>R5/1000000</f>
        <v>0</v>
      </c>
      <c r="T5" s="10">
        <f>S5*3.07</f>
        <v>0</v>
      </c>
      <c r="U5" s="7">
        <f>'[6]Production Summary'!F6</f>
        <v>6000000</v>
      </c>
      <c r="V5" s="8">
        <f>U5/1000000</f>
        <v>6</v>
      </c>
      <c r="W5" s="10">
        <f>V5*3.07</f>
        <v>18.419999999999998</v>
      </c>
      <c r="X5" s="7">
        <f>'[6]Production Summary'!AB6</f>
        <v>0</v>
      </c>
      <c r="Y5" s="8">
        <f>X5/1000000</f>
        <v>0</v>
      </c>
      <c r="Z5" s="10">
        <f>Y5*3.07</f>
        <v>0</v>
      </c>
      <c r="AA5" s="15"/>
      <c r="AB5" s="7">
        <f>B5+O5</f>
        <v>11500000</v>
      </c>
      <c r="AC5" s="8">
        <f>C5+P5</f>
        <v>11.5</v>
      </c>
      <c r="AD5" s="8">
        <f>D5+Q5</f>
        <v>35.305</v>
      </c>
    </row>
    <row r="6" spans="1:30" x14ac:dyDescent="0.15">
      <c r="A6" s="27">
        <v>38444</v>
      </c>
      <c r="B6" s="7">
        <f>'[6]Production Summary'!J7</f>
        <v>12199999.999999817</v>
      </c>
      <c r="C6" s="8">
        <f t="shared" ref="C6:C34" si="1">B6/1000000</f>
        <v>12.199999999999818</v>
      </c>
      <c r="D6" s="10">
        <f t="shared" ref="D6:D34" si="2">C6*3.07</f>
        <v>37.453999999999439</v>
      </c>
      <c r="E6" s="7">
        <f>'[6]Production Summary'!E7</f>
        <v>6000000</v>
      </c>
      <c r="F6" s="8">
        <f t="shared" ref="F6:F34" si="3">E6/1000000</f>
        <v>6</v>
      </c>
      <c r="G6" s="10">
        <f t="shared" ref="G6:G34" si="4">F6*3.07</f>
        <v>18.419999999999998</v>
      </c>
      <c r="H6" s="7">
        <f>'[6]Production Summary'!G7</f>
        <v>7750000</v>
      </c>
      <c r="I6" s="8">
        <f t="shared" si="0"/>
        <v>7.75</v>
      </c>
      <c r="J6" s="10">
        <f t="shared" ref="J6:J34" si="5">I6*3.07</f>
        <v>23.7925</v>
      </c>
      <c r="K6" s="7">
        <f>'[6]Production Summary'!T7</f>
        <v>1079385</v>
      </c>
      <c r="L6" s="8">
        <f t="shared" ref="L6:L34" si="6">K6/1000000</f>
        <v>1.079385</v>
      </c>
      <c r="M6" s="10">
        <f t="shared" ref="M6:M34" si="7">L6*3.07</f>
        <v>3.3137119500000001</v>
      </c>
      <c r="N6" s="21"/>
      <c r="O6" s="7">
        <f>'[6]Production Summary'!I7</f>
        <v>0</v>
      </c>
      <c r="P6" s="8">
        <f t="shared" ref="P6:P34" si="8">O6/1000000</f>
        <v>0</v>
      </c>
      <c r="Q6" s="10">
        <f t="shared" ref="Q6:Q34" si="9">P6*3.07</f>
        <v>0</v>
      </c>
      <c r="R6" s="7">
        <f>'[6]Production Summary'!C7</f>
        <v>0</v>
      </c>
      <c r="S6" s="8">
        <f t="shared" ref="S6:S34" si="10">R6/1000000</f>
        <v>0</v>
      </c>
      <c r="T6" s="10">
        <f t="shared" ref="T6:T34" si="11">S6*3.07</f>
        <v>0</v>
      </c>
      <c r="U6" s="7">
        <f>'[6]Production Summary'!F7</f>
        <v>6000000</v>
      </c>
      <c r="V6" s="8">
        <f t="shared" ref="V6:V34" si="12">U6/1000000</f>
        <v>6</v>
      </c>
      <c r="W6" s="10">
        <f t="shared" ref="W6:W34" si="13">V6*3.07</f>
        <v>18.419999999999998</v>
      </c>
      <c r="X6" s="7">
        <f>'[6]Production Summary'!AB7</f>
        <v>0</v>
      </c>
      <c r="Y6" s="8">
        <f t="shared" ref="Y6:Y34" si="14">X6/1000000</f>
        <v>0</v>
      </c>
      <c r="Z6" s="10">
        <f t="shared" ref="Z6:Z34" si="15">Y6*3.07</f>
        <v>0</v>
      </c>
      <c r="AA6" s="15"/>
      <c r="AB6" s="7">
        <f t="shared" ref="AB6:AD35" si="16">B6+O6</f>
        <v>12199999.999999817</v>
      </c>
      <c r="AC6" s="8">
        <f t="shared" si="16"/>
        <v>12.199999999999818</v>
      </c>
      <c r="AD6" s="8">
        <f t="shared" si="16"/>
        <v>37.453999999999439</v>
      </c>
    </row>
    <row r="7" spans="1:30" x14ac:dyDescent="0.15">
      <c r="A7" s="27">
        <v>38445</v>
      </c>
      <c r="B7" s="7">
        <f>'[6]Production Summary'!J8</f>
        <v>14000000</v>
      </c>
      <c r="C7" s="8">
        <f t="shared" si="1"/>
        <v>14</v>
      </c>
      <c r="D7" s="10">
        <f t="shared" si="2"/>
        <v>42.98</v>
      </c>
      <c r="E7" s="7">
        <f>'[6]Production Summary'!E8</f>
        <v>7000000</v>
      </c>
      <c r="F7" s="8">
        <f t="shared" si="3"/>
        <v>7</v>
      </c>
      <c r="G7" s="10">
        <f t="shared" si="4"/>
        <v>21.49</v>
      </c>
      <c r="H7" s="7">
        <f>'[6]Production Summary'!G8</f>
        <v>7970000</v>
      </c>
      <c r="I7" s="8">
        <f t="shared" si="0"/>
        <v>7.97</v>
      </c>
      <c r="J7" s="10">
        <f t="shared" si="5"/>
        <v>24.467899999999997</v>
      </c>
      <c r="K7" s="7">
        <f>'[6]Production Summary'!T8</f>
        <v>1293920</v>
      </c>
      <c r="L7" s="8">
        <f t="shared" si="6"/>
        <v>1.29392</v>
      </c>
      <c r="M7" s="10">
        <f t="shared" si="7"/>
        <v>3.9723343999999998</v>
      </c>
      <c r="N7" s="21"/>
      <c r="O7" s="7">
        <f>'[6]Production Summary'!I8</f>
        <v>0</v>
      </c>
      <c r="P7" s="8">
        <f t="shared" si="8"/>
        <v>0</v>
      </c>
      <c r="Q7" s="10">
        <f t="shared" si="9"/>
        <v>0</v>
      </c>
      <c r="R7" s="7">
        <f>'[6]Production Summary'!C8</f>
        <v>0</v>
      </c>
      <c r="S7" s="8">
        <f t="shared" si="10"/>
        <v>0</v>
      </c>
      <c r="T7" s="10">
        <f t="shared" si="11"/>
        <v>0</v>
      </c>
      <c r="U7" s="7">
        <f>'[6]Production Summary'!F8</f>
        <v>7000000</v>
      </c>
      <c r="V7" s="8">
        <f t="shared" si="12"/>
        <v>7</v>
      </c>
      <c r="W7" s="10">
        <f t="shared" si="13"/>
        <v>21.49</v>
      </c>
      <c r="X7" s="7">
        <f>'[6]Production Summary'!AB8</f>
        <v>0</v>
      </c>
      <c r="Y7" s="8">
        <f t="shared" si="14"/>
        <v>0</v>
      </c>
      <c r="Z7" s="10">
        <f t="shared" si="15"/>
        <v>0</v>
      </c>
      <c r="AA7" s="15"/>
      <c r="AB7" s="7">
        <f t="shared" si="16"/>
        <v>14000000</v>
      </c>
      <c r="AC7" s="8">
        <f t="shared" si="16"/>
        <v>14</v>
      </c>
      <c r="AD7" s="8">
        <f t="shared" si="16"/>
        <v>42.98</v>
      </c>
    </row>
    <row r="8" spans="1:30" x14ac:dyDescent="0.15">
      <c r="A8" s="27">
        <v>38446</v>
      </c>
      <c r="B8" s="7">
        <f>'[6]Production Summary'!J9</f>
        <v>10700000.000000272</v>
      </c>
      <c r="C8" s="8">
        <f t="shared" si="1"/>
        <v>10.700000000000271</v>
      </c>
      <c r="D8" s="10">
        <f t="shared" si="2"/>
        <v>32.849000000000828</v>
      </c>
      <c r="E8" s="7">
        <f>'[6]Production Summary'!E9</f>
        <v>5000000</v>
      </c>
      <c r="F8" s="8">
        <f t="shared" si="3"/>
        <v>5</v>
      </c>
      <c r="G8" s="10">
        <f t="shared" si="4"/>
        <v>15.35</v>
      </c>
      <c r="H8" s="7">
        <f>'[6]Production Summary'!G9</f>
        <v>7330000</v>
      </c>
      <c r="I8" s="8">
        <f t="shared" si="0"/>
        <v>7.33</v>
      </c>
      <c r="J8" s="10">
        <f t="shared" si="5"/>
        <v>22.5031</v>
      </c>
      <c r="K8" s="7">
        <f>'[6]Production Summary'!T9</f>
        <v>1030657</v>
      </c>
      <c r="L8" s="8">
        <f t="shared" si="6"/>
        <v>1.0306569999999999</v>
      </c>
      <c r="M8" s="10">
        <f t="shared" si="7"/>
        <v>3.1641169899999997</v>
      </c>
      <c r="N8" s="21"/>
      <c r="O8" s="7">
        <f>'[6]Production Summary'!I9</f>
        <v>0</v>
      </c>
      <c r="P8" s="8">
        <f t="shared" si="8"/>
        <v>0</v>
      </c>
      <c r="Q8" s="10">
        <f t="shared" si="9"/>
        <v>0</v>
      </c>
      <c r="R8" s="7">
        <f>'[6]Production Summary'!C9</f>
        <v>0</v>
      </c>
      <c r="S8" s="8">
        <f t="shared" ref="S8:S16" si="17">R8/1000000</f>
        <v>0</v>
      </c>
      <c r="T8" s="10">
        <f t="shared" ref="T8:T16" si="18">S8*3.07</f>
        <v>0</v>
      </c>
      <c r="U8" s="7">
        <f>'[6]Production Summary'!F9</f>
        <v>5000000</v>
      </c>
      <c r="V8" s="8">
        <f t="shared" si="12"/>
        <v>5</v>
      </c>
      <c r="W8" s="10">
        <f t="shared" si="13"/>
        <v>15.35</v>
      </c>
      <c r="X8" s="7">
        <f>'[6]Production Summary'!AB9</f>
        <v>0</v>
      </c>
      <c r="Y8" s="8">
        <f t="shared" si="14"/>
        <v>0</v>
      </c>
      <c r="Z8" s="10">
        <f t="shared" si="15"/>
        <v>0</v>
      </c>
      <c r="AA8" s="15"/>
      <c r="AB8" s="7">
        <f t="shared" si="16"/>
        <v>10700000.000000272</v>
      </c>
      <c r="AC8" s="8">
        <f t="shared" si="16"/>
        <v>10.700000000000271</v>
      </c>
      <c r="AD8" s="8">
        <f>D8+Q8</f>
        <v>32.849000000000828</v>
      </c>
    </row>
    <row r="9" spans="1:30" x14ac:dyDescent="0.15">
      <c r="A9" s="27">
        <v>38447</v>
      </c>
      <c r="B9" s="7">
        <f>'[6]Production Summary'!J10</f>
        <v>9799999.9999997281</v>
      </c>
      <c r="C9" s="8">
        <f t="shared" si="1"/>
        <v>9.7999999999997289</v>
      </c>
      <c r="D9" s="10">
        <f t="shared" si="2"/>
        <v>30.085999999999167</v>
      </c>
      <c r="E9" s="7">
        <f>'[6]Production Summary'!E10</f>
        <v>4000000</v>
      </c>
      <c r="F9" s="8">
        <f t="shared" si="3"/>
        <v>4</v>
      </c>
      <c r="G9" s="10">
        <f t="shared" si="4"/>
        <v>12.28</v>
      </c>
      <c r="H9" s="7">
        <f>'[6]Production Summary'!G10</f>
        <v>7170000</v>
      </c>
      <c r="I9" s="8">
        <f t="shared" si="0"/>
        <v>7.17</v>
      </c>
      <c r="J9" s="10">
        <f t="shared" si="5"/>
        <v>22.011899999999997</v>
      </c>
      <c r="K9" s="7">
        <f>'[6]Production Summary'!T10</f>
        <v>873533</v>
      </c>
      <c r="L9" s="8">
        <f t="shared" si="6"/>
        <v>0.873533</v>
      </c>
      <c r="M9" s="10">
        <f t="shared" si="7"/>
        <v>2.6817463099999999</v>
      </c>
      <c r="N9" s="21"/>
      <c r="O9" s="7">
        <f>'[6]Production Summary'!I10</f>
        <v>0</v>
      </c>
      <c r="P9" s="8">
        <f t="shared" ref="P9:P13" si="19">O9/1000000</f>
        <v>0</v>
      </c>
      <c r="Q9" s="10">
        <f t="shared" ref="Q9:Q13" si="20">P9*3.07</f>
        <v>0</v>
      </c>
      <c r="R9" s="7">
        <f>'[6]Production Summary'!C10</f>
        <v>0</v>
      </c>
      <c r="S9" s="8">
        <f t="shared" si="17"/>
        <v>0</v>
      </c>
      <c r="T9" s="10">
        <f t="shared" si="18"/>
        <v>0</v>
      </c>
      <c r="U9" s="7">
        <f>'[6]Production Summary'!F10</f>
        <v>4000000</v>
      </c>
      <c r="V9" s="8">
        <f t="shared" si="12"/>
        <v>4</v>
      </c>
      <c r="W9" s="10">
        <f t="shared" si="13"/>
        <v>12.28</v>
      </c>
      <c r="X9" s="7">
        <f>'[6]Production Summary'!AB10</f>
        <v>0</v>
      </c>
      <c r="Y9" s="8">
        <f t="shared" si="14"/>
        <v>0</v>
      </c>
      <c r="Z9" s="10">
        <f t="shared" si="15"/>
        <v>0</v>
      </c>
      <c r="AA9" s="15"/>
      <c r="AB9" s="7">
        <f t="shared" si="16"/>
        <v>9799999.9999997281</v>
      </c>
      <c r="AC9" s="8">
        <f t="shared" si="16"/>
        <v>9.7999999999997289</v>
      </c>
      <c r="AD9" s="8">
        <f t="shared" si="16"/>
        <v>30.085999999999167</v>
      </c>
    </row>
    <row r="10" spans="1:30" x14ac:dyDescent="0.15">
      <c r="A10" s="27">
        <v>38448</v>
      </c>
      <c r="B10" s="7">
        <f>'[6]Production Summary'!J11</f>
        <v>11500000</v>
      </c>
      <c r="C10" s="8">
        <f t="shared" si="1"/>
        <v>11.5</v>
      </c>
      <c r="D10" s="10">
        <f t="shared" si="2"/>
        <v>35.305</v>
      </c>
      <c r="E10" s="7">
        <f>'[6]Production Summary'!E11</f>
        <v>4000000</v>
      </c>
      <c r="F10" s="8">
        <f t="shared" si="3"/>
        <v>4</v>
      </c>
      <c r="G10" s="10">
        <f t="shared" si="4"/>
        <v>12.28</v>
      </c>
      <c r="H10" s="7">
        <f>'[6]Production Summary'!G11</f>
        <v>9020000</v>
      </c>
      <c r="I10" s="8">
        <f t="shared" si="0"/>
        <v>9.02</v>
      </c>
      <c r="J10" s="10">
        <f t="shared" si="5"/>
        <v>27.691399999999998</v>
      </c>
      <c r="K10" s="7">
        <f>'[6]Production Summary'!T11</f>
        <v>997791</v>
      </c>
      <c r="L10" s="8">
        <f t="shared" si="6"/>
        <v>0.99779099999999998</v>
      </c>
      <c r="M10" s="10">
        <f t="shared" si="7"/>
        <v>3.06321837</v>
      </c>
      <c r="N10" s="21"/>
      <c r="O10" s="7">
        <f>'[6]Production Summary'!I11</f>
        <v>0</v>
      </c>
      <c r="P10" s="8">
        <f t="shared" si="19"/>
        <v>0</v>
      </c>
      <c r="Q10" s="10">
        <f t="shared" si="20"/>
        <v>0</v>
      </c>
      <c r="R10" s="7">
        <f>'[6]Production Summary'!C11</f>
        <v>0</v>
      </c>
      <c r="S10" s="8">
        <f t="shared" si="17"/>
        <v>0</v>
      </c>
      <c r="T10" s="10">
        <f t="shared" si="18"/>
        <v>0</v>
      </c>
      <c r="U10" s="7">
        <f>'[6]Production Summary'!F11</f>
        <v>4000000</v>
      </c>
      <c r="V10" s="8">
        <f t="shared" si="12"/>
        <v>4</v>
      </c>
      <c r="W10" s="10">
        <f t="shared" si="13"/>
        <v>12.28</v>
      </c>
      <c r="X10" s="7">
        <f>'[6]Production Summary'!AB11</f>
        <v>0</v>
      </c>
      <c r="Y10" s="8">
        <f t="shared" si="14"/>
        <v>0</v>
      </c>
      <c r="Z10" s="10">
        <f t="shared" si="15"/>
        <v>0</v>
      </c>
      <c r="AA10" s="15"/>
      <c r="AB10" s="7">
        <f t="shared" si="16"/>
        <v>11500000</v>
      </c>
      <c r="AC10" s="8">
        <f t="shared" si="16"/>
        <v>11.5</v>
      </c>
      <c r="AD10" s="8">
        <f t="shared" si="16"/>
        <v>35.305</v>
      </c>
    </row>
    <row r="11" spans="1:30" x14ac:dyDescent="0.15">
      <c r="A11" s="27">
        <v>38449</v>
      </c>
      <c r="B11" s="7">
        <f>'[6]Production Summary'!J12</f>
        <v>13000000</v>
      </c>
      <c r="C11" s="8">
        <f t="shared" si="1"/>
        <v>13</v>
      </c>
      <c r="D11" s="10">
        <f t="shared" si="2"/>
        <v>39.909999999999997</v>
      </c>
      <c r="E11" s="7">
        <f>'[6]Production Summary'!E12</f>
        <v>5000000</v>
      </c>
      <c r="F11" s="8">
        <f t="shared" si="3"/>
        <v>5</v>
      </c>
      <c r="G11" s="10">
        <f t="shared" si="4"/>
        <v>15.35</v>
      </c>
      <c r="H11" s="7">
        <f>'[6]Production Summary'!G12</f>
        <v>9310000</v>
      </c>
      <c r="I11" s="8">
        <f t="shared" si="0"/>
        <v>9.31</v>
      </c>
      <c r="J11" s="10">
        <f t="shared" si="5"/>
        <v>28.581700000000001</v>
      </c>
      <c r="K11" s="7">
        <f>'[6]Production Summary'!T12</f>
        <v>1156562</v>
      </c>
      <c r="L11" s="8">
        <f t="shared" ref="L11:L12" si="21">K11/1000000</f>
        <v>1.1565620000000001</v>
      </c>
      <c r="M11" s="10">
        <f t="shared" ref="M11:M12" si="22">L11*3.07</f>
        <v>3.55064534</v>
      </c>
      <c r="N11" s="21"/>
      <c r="O11" s="7">
        <f>'[6]Production Summary'!I12</f>
        <v>0</v>
      </c>
      <c r="P11" s="8">
        <f t="shared" si="19"/>
        <v>0</v>
      </c>
      <c r="Q11" s="10">
        <f t="shared" si="20"/>
        <v>0</v>
      </c>
      <c r="R11" s="7">
        <f>'[6]Production Summary'!C12</f>
        <v>0</v>
      </c>
      <c r="S11" s="8">
        <f t="shared" si="17"/>
        <v>0</v>
      </c>
      <c r="T11" s="10">
        <f t="shared" si="18"/>
        <v>0</v>
      </c>
      <c r="U11" s="7">
        <f>'[6]Production Summary'!F12</f>
        <v>5000000</v>
      </c>
      <c r="V11" s="8">
        <f t="shared" si="12"/>
        <v>5</v>
      </c>
      <c r="W11" s="10">
        <f t="shared" si="13"/>
        <v>15.35</v>
      </c>
      <c r="X11" s="7">
        <f>'[6]Production Summary'!AB12</f>
        <v>0</v>
      </c>
      <c r="Y11" s="8">
        <f t="shared" si="14"/>
        <v>0</v>
      </c>
      <c r="Z11" s="10">
        <f t="shared" si="15"/>
        <v>0</v>
      </c>
      <c r="AA11" s="15"/>
      <c r="AB11" s="7">
        <f t="shared" si="16"/>
        <v>13000000</v>
      </c>
      <c r="AC11" s="8">
        <f t="shared" si="16"/>
        <v>13</v>
      </c>
      <c r="AD11" s="8">
        <f t="shared" si="16"/>
        <v>39.909999999999997</v>
      </c>
    </row>
    <row r="12" spans="1:30" x14ac:dyDescent="0.15">
      <c r="A12" s="27">
        <v>38450</v>
      </c>
      <c r="B12" s="7">
        <f>'[6]Production Summary'!J13</f>
        <v>14000000</v>
      </c>
      <c r="C12" s="8">
        <f t="shared" si="1"/>
        <v>14</v>
      </c>
      <c r="D12" s="10">
        <f t="shared" si="2"/>
        <v>42.98</v>
      </c>
      <c r="E12" s="7">
        <f>'[6]Production Summary'!E13</f>
        <v>7000000</v>
      </c>
      <c r="F12" s="8">
        <f t="shared" si="3"/>
        <v>7</v>
      </c>
      <c r="G12" s="10">
        <f t="shared" si="4"/>
        <v>21.49</v>
      </c>
      <c r="H12" s="7">
        <f>'[6]Production Summary'!G13</f>
        <v>7950000</v>
      </c>
      <c r="I12" s="8">
        <f t="shared" si="0"/>
        <v>7.95</v>
      </c>
      <c r="J12" s="10">
        <f t="shared" si="5"/>
        <v>24.406499999999998</v>
      </c>
      <c r="K12" s="7">
        <f>'[6]Production Summary'!T13</f>
        <v>1241460</v>
      </c>
      <c r="L12" s="8">
        <f t="shared" si="21"/>
        <v>1.24146</v>
      </c>
      <c r="M12" s="10">
        <f t="shared" si="22"/>
        <v>3.8112822</v>
      </c>
      <c r="N12" s="21"/>
      <c r="O12" s="7">
        <f>'[6]Production Summary'!I13</f>
        <v>0</v>
      </c>
      <c r="P12" s="8">
        <f t="shared" si="19"/>
        <v>0</v>
      </c>
      <c r="Q12" s="10">
        <f t="shared" si="20"/>
        <v>0</v>
      </c>
      <c r="R12" s="7">
        <f>'[6]Production Summary'!C13</f>
        <v>0</v>
      </c>
      <c r="S12" s="8">
        <f t="shared" si="17"/>
        <v>0</v>
      </c>
      <c r="T12" s="10">
        <f t="shared" si="18"/>
        <v>0</v>
      </c>
      <c r="U12" s="7">
        <f>'[6]Production Summary'!F13</f>
        <v>7000000</v>
      </c>
      <c r="V12" s="8">
        <f t="shared" si="12"/>
        <v>7</v>
      </c>
      <c r="W12" s="10">
        <f t="shared" si="13"/>
        <v>21.49</v>
      </c>
      <c r="X12" s="7">
        <f>'[6]Production Summary'!AB13</f>
        <v>0</v>
      </c>
      <c r="Y12" s="8">
        <f t="shared" si="14"/>
        <v>0</v>
      </c>
      <c r="Z12" s="10">
        <f t="shared" si="15"/>
        <v>0</v>
      </c>
      <c r="AA12" s="15"/>
      <c r="AB12" s="7">
        <f t="shared" si="16"/>
        <v>14000000</v>
      </c>
      <c r="AC12" s="8">
        <f t="shared" si="16"/>
        <v>14</v>
      </c>
      <c r="AD12" s="8">
        <f t="shared" si="16"/>
        <v>42.98</v>
      </c>
    </row>
    <row r="13" spans="1:30" x14ac:dyDescent="0.15">
      <c r="A13" s="27">
        <v>38451</v>
      </c>
      <c r="B13" s="7">
        <f>'[6]Production Summary'!J14</f>
        <v>13400000.000000091</v>
      </c>
      <c r="C13" s="8">
        <f t="shared" si="1"/>
        <v>13.400000000000091</v>
      </c>
      <c r="D13" s="10">
        <f t="shared" si="2"/>
        <v>41.138000000000275</v>
      </c>
      <c r="E13" s="7">
        <f>'[6]Production Summary'!E14</f>
        <v>8000000</v>
      </c>
      <c r="F13" s="8">
        <f t="shared" si="3"/>
        <v>8</v>
      </c>
      <c r="G13" s="10">
        <f t="shared" si="4"/>
        <v>24.56</v>
      </c>
      <c r="H13" s="7">
        <f>'[6]Production Summary'!G14</f>
        <v>8030000</v>
      </c>
      <c r="I13" s="8">
        <f t="shared" si="0"/>
        <v>8.0299999999999994</v>
      </c>
      <c r="J13" s="10">
        <f t="shared" si="5"/>
        <v>24.652099999999997</v>
      </c>
      <c r="K13" s="7">
        <f>'[6]Production Summary'!T14</f>
        <v>1316718</v>
      </c>
      <c r="L13" s="8">
        <f t="shared" si="6"/>
        <v>1.3167180000000001</v>
      </c>
      <c r="M13" s="10">
        <f t="shared" si="7"/>
        <v>4.04232426</v>
      </c>
      <c r="N13" s="21"/>
      <c r="O13" s="7">
        <f>'[6]Production Summary'!I14</f>
        <v>0</v>
      </c>
      <c r="P13" s="8">
        <f t="shared" si="19"/>
        <v>0</v>
      </c>
      <c r="Q13" s="10">
        <f t="shared" si="20"/>
        <v>0</v>
      </c>
      <c r="R13" s="7">
        <f>'[6]Production Summary'!C14</f>
        <v>0</v>
      </c>
      <c r="S13" s="8">
        <f t="shared" si="17"/>
        <v>0</v>
      </c>
      <c r="T13" s="10">
        <f t="shared" si="18"/>
        <v>0</v>
      </c>
      <c r="U13" s="7">
        <f>'[6]Production Summary'!F14</f>
        <v>8000000</v>
      </c>
      <c r="V13" s="8">
        <f t="shared" si="12"/>
        <v>8</v>
      </c>
      <c r="W13" s="10">
        <f t="shared" si="13"/>
        <v>24.56</v>
      </c>
      <c r="X13" s="7">
        <f>'[6]Production Summary'!AB14</f>
        <v>0</v>
      </c>
      <c r="Y13" s="8">
        <f t="shared" si="14"/>
        <v>0</v>
      </c>
      <c r="Z13" s="10">
        <f t="shared" si="15"/>
        <v>0</v>
      </c>
      <c r="AA13" s="15"/>
      <c r="AB13" s="7">
        <f t="shared" si="16"/>
        <v>13400000.000000091</v>
      </c>
      <c r="AC13" s="8">
        <f t="shared" si="16"/>
        <v>13.400000000000091</v>
      </c>
      <c r="AD13" s="8">
        <f t="shared" si="16"/>
        <v>41.138000000000275</v>
      </c>
    </row>
    <row r="14" spans="1:30" x14ac:dyDescent="0.15">
      <c r="A14" s="27">
        <v>38452</v>
      </c>
      <c r="B14" s="7">
        <f>'[6]Production Summary'!J15</f>
        <v>15300000.000000183</v>
      </c>
      <c r="C14" s="8">
        <f t="shared" si="1"/>
        <v>15.300000000000182</v>
      </c>
      <c r="D14" s="10">
        <f t="shared" si="2"/>
        <v>46.971000000000558</v>
      </c>
      <c r="E14" s="7">
        <f>'[6]Production Summary'!E15</f>
        <v>8000000</v>
      </c>
      <c r="F14" s="8">
        <f t="shared" si="3"/>
        <v>8</v>
      </c>
      <c r="G14" s="10">
        <f t="shared" si="4"/>
        <v>24.56</v>
      </c>
      <c r="H14" s="7">
        <f>'[6]Production Summary'!G15</f>
        <v>8030000</v>
      </c>
      <c r="I14" s="8">
        <f t="shared" si="0"/>
        <v>8.0299999999999994</v>
      </c>
      <c r="J14" s="10">
        <f t="shared" si="5"/>
        <v>24.652099999999997</v>
      </c>
      <c r="K14" s="7">
        <f>'[6]Production Summary'!T15</f>
        <v>1335128</v>
      </c>
      <c r="L14" s="8">
        <f t="shared" si="6"/>
        <v>1.3351280000000001</v>
      </c>
      <c r="M14" s="10">
        <f t="shared" si="7"/>
        <v>4.0988429599999998</v>
      </c>
      <c r="N14" s="21"/>
      <c r="O14" s="7">
        <f>'[6]Production Summary'!I15</f>
        <v>0</v>
      </c>
      <c r="P14" s="8">
        <f t="shared" si="8"/>
        <v>0</v>
      </c>
      <c r="Q14" s="10">
        <f t="shared" si="9"/>
        <v>0</v>
      </c>
      <c r="R14" s="7">
        <f>'[6]Production Summary'!C15</f>
        <v>0</v>
      </c>
      <c r="S14" s="8">
        <f t="shared" si="17"/>
        <v>0</v>
      </c>
      <c r="T14" s="10">
        <f t="shared" si="18"/>
        <v>0</v>
      </c>
      <c r="U14" s="7">
        <f>'[6]Production Summary'!F15</f>
        <v>8000000</v>
      </c>
      <c r="V14" s="8">
        <f t="shared" si="12"/>
        <v>8</v>
      </c>
      <c r="W14" s="10">
        <f t="shared" si="13"/>
        <v>24.56</v>
      </c>
      <c r="X14" s="7">
        <f>'[6]Production Summary'!AB15</f>
        <v>0</v>
      </c>
      <c r="Y14" s="8">
        <f t="shared" si="14"/>
        <v>0</v>
      </c>
      <c r="Z14" s="10">
        <f t="shared" si="15"/>
        <v>0</v>
      </c>
      <c r="AA14" s="15"/>
      <c r="AB14" s="7">
        <f t="shared" si="16"/>
        <v>15300000.000000183</v>
      </c>
      <c r="AC14" s="8">
        <f t="shared" si="16"/>
        <v>15.300000000000182</v>
      </c>
      <c r="AD14" s="8">
        <f t="shared" si="16"/>
        <v>46.971000000000558</v>
      </c>
    </row>
    <row r="15" spans="1:30" x14ac:dyDescent="0.15">
      <c r="A15" s="27">
        <v>38453</v>
      </c>
      <c r="B15" s="7">
        <f>'[6]Production Summary'!J16</f>
        <v>13799999.999999728</v>
      </c>
      <c r="C15" s="8">
        <f t="shared" si="1"/>
        <v>13.799999999999729</v>
      </c>
      <c r="D15" s="10">
        <f t="shared" si="2"/>
        <v>42.365999999999168</v>
      </c>
      <c r="E15" s="7">
        <f>'[6]Production Summary'!E16</f>
        <v>8000000</v>
      </c>
      <c r="F15" s="8">
        <f t="shared" si="3"/>
        <v>8</v>
      </c>
      <c r="G15" s="10">
        <f t="shared" si="4"/>
        <v>24.56</v>
      </c>
      <c r="H15" s="7">
        <f>'[6]Production Summary'!G16</f>
        <v>7990000</v>
      </c>
      <c r="I15" s="8">
        <f t="shared" si="0"/>
        <v>7.99</v>
      </c>
      <c r="J15" s="10">
        <f t="shared" si="5"/>
        <v>24.529299999999999</v>
      </c>
      <c r="K15" s="7">
        <f>'[6]Production Summary'!T16</f>
        <v>1263607</v>
      </c>
      <c r="L15" s="8">
        <f t="shared" si="6"/>
        <v>1.2636069999999999</v>
      </c>
      <c r="M15" s="10">
        <f t="shared" si="7"/>
        <v>3.8792734899999997</v>
      </c>
      <c r="N15" s="21"/>
      <c r="O15" s="7">
        <f>'[6]Production Summary'!I16</f>
        <v>0</v>
      </c>
      <c r="P15" s="8">
        <f t="shared" si="8"/>
        <v>0</v>
      </c>
      <c r="Q15" s="10">
        <f t="shared" si="9"/>
        <v>0</v>
      </c>
      <c r="R15" s="7">
        <f>'[6]Production Summary'!C16</f>
        <v>0</v>
      </c>
      <c r="S15" s="8">
        <f t="shared" si="17"/>
        <v>0</v>
      </c>
      <c r="T15" s="10">
        <f t="shared" si="18"/>
        <v>0</v>
      </c>
      <c r="U15" s="7">
        <f>'[6]Production Summary'!F16</f>
        <v>8000000</v>
      </c>
      <c r="V15" s="8">
        <f t="shared" si="12"/>
        <v>8</v>
      </c>
      <c r="W15" s="10">
        <f t="shared" si="13"/>
        <v>24.56</v>
      </c>
      <c r="X15" s="7">
        <f>'[6]Production Summary'!AB16</f>
        <v>0</v>
      </c>
      <c r="Y15" s="8">
        <f t="shared" si="14"/>
        <v>0</v>
      </c>
      <c r="Z15" s="10">
        <f t="shared" si="15"/>
        <v>0</v>
      </c>
      <c r="AA15" s="15"/>
      <c r="AB15" s="7">
        <f t="shared" si="16"/>
        <v>13799999.999999728</v>
      </c>
      <c r="AC15" s="8">
        <f t="shared" si="16"/>
        <v>13.799999999999729</v>
      </c>
      <c r="AD15" s="8">
        <f t="shared" si="16"/>
        <v>42.365999999999168</v>
      </c>
    </row>
    <row r="16" spans="1:30" x14ac:dyDescent="0.15">
      <c r="A16" s="27">
        <v>38454</v>
      </c>
      <c r="B16" s="7">
        <f>'[6]Production Summary'!J17</f>
        <v>15600000.000000363</v>
      </c>
      <c r="C16" s="8">
        <f t="shared" si="1"/>
        <v>15.600000000000364</v>
      </c>
      <c r="D16" s="10">
        <f t="shared" si="2"/>
        <v>47.892000000001111</v>
      </c>
      <c r="E16" s="7">
        <f>'[6]Production Summary'!E17</f>
        <v>9000000</v>
      </c>
      <c r="F16" s="8">
        <f t="shared" si="3"/>
        <v>9</v>
      </c>
      <c r="G16" s="10">
        <f t="shared" si="4"/>
        <v>27.63</v>
      </c>
      <c r="H16" s="7">
        <f>'[6]Production Summary'!G17</f>
        <v>7970000</v>
      </c>
      <c r="I16" s="8">
        <f t="shared" si="0"/>
        <v>7.97</v>
      </c>
      <c r="J16" s="10">
        <f t="shared" si="5"/>
        <v>24.467899999999997</v>
      </c>
      <c r="K16" s="7">
        <f>'[6]Production Summary'!T17</f>
        <v>1417245</v>
      </c>
      <c r="L16" s="8">
        <f t="shared" si="6"/>
        <v>1.4172450000000001</v>
      </c>
      <c r="M16" s="10">
        <f t="shared" si="7"/>
        <v>4.3509421499999998</v>
      </c>
      <c r="N16" s="21"/>
      <c r="O16" s="7">
        <f>'[6]Production Summary'!I17</f>
        <v>0</v>
      </c>
      <c r="P16" s="8">
        <f t="shared" si="8"/>
        <v>0</v>
      </c>
      <c r="Q16" s="10">
        <f t="shared" si="9"/>
        <v>0</v>
      </c>
      <c r="R16" s="7">
        <f>'[6]Production Summary'!C17</f>
        <v>0</v>
      </c>
      <c r="S16" s="8">
        <f t="shared" si="17"/>
        <v>0</v>
      </c>
      <c r="T16" s="10">
        <f t="shared" si="18"/>
        <v>0</v>
      </c>
      <c r="U16" s="7">
        <f>'[6]Production Summary'!F17</f>
        <v>9000000</v>
      </c>
      <c r="V16" s="8">
        <f t="shared" si="12"/>
        <v>9</v>
      </c>
      <c r="W16" s="10">
        <f t="shared" si="13"/>
        <v>27.63</v>
      </c>
      <c r="X16" s="7">
        <f>'[6]Production Summary'!AB17</f>
        <v>0</v>
      </c>
      <c r="Y16" s="8">
        <f t="shared" si="14"/>
        <v>0</v>
      </c>
      <c r="Z16" s="10">
        <f t="shared" si="15"/>
        <v>0</v>
      </c>
      <c r="AA16" s="15"/>
      <c r="AB16" s="7">
        <f t="shared" si="16"/>
        <v>15600000.000000363</v>
      </c>
      <c r="AC16" s="8">
        <f t="shared" si="16"/>
        <v>15.600000000000364</v>
      </c>
      <c r="AD16" s="8">
        <f t="shared" si="16"/>
        <v>47.892000000001111</v>
      </c>
    </row>
    <row r="17" spans="1:30" x14ac:dyDescent="0.15">
      <c r="A17" s="27">
        <v>38455</v>
      </c>
      <c r="B17" s="7">
        <f>'[6]Production Summary'!J18</f>
        <v>18599999.999999911</v>
      </c>
      <c r="C17" s="8">
        <f t="shared" si="1"/>
        <v>18.599999999999909</v>
      </c>
      <c r="D17" s="10">
        <f t="shared" si="2"/>
        <v>57.10199999999972</v>
      </c>
      <c r="E17" s="7">
        <f>'[6]Production Summary'!E18</f>
        <v>13000000</v>
      </c>
      <c r="F17" s="8">
        <f t="shared" si="3"/>
        <v>13</v>
      </c>
      <c r="G17" s="10">
        <f t="shared" si="4"/>
        <v>39.909999999999997</v>
      </c>
      <c r="H17" s="7">
        <f>'[6]Production Summary'!G18</f>
        <v>8570000</v>
      </c>
      <c r="I17" s="8">
        <f t="shared" si="0"/>
        <v>8.57</v>
      </c>
      <c r="J17" s="10">
        <f t="shared" si="5"/>
        <v>26.309899999999999</v>
      </c>
      <c r="K17" s="7">
        <f>'[6]Production Summary'!T18</f>
        <v>1687425</v>
      </c>
      <c r="L17" s="8">
        <f t="shared" si="6"/>
        <v>1.687425</v>
      </c>
      <c r="M17" s="10">
        <f t="shared" si="7"/>
        <v>5.1803947499999996</v>
      </c>
      <c r="N17" s="21"/>
      <c r="O17" s="7">
        <f>'[6]Production Summary'!I18</f>
        <v>0</v>
      </c>
      <c r="P17" s="8">
        <f t="shared" si="8"/>
        <v>0</v>
      </c>
      <c r="Q17" s="10">
        <f t="shared" si="9"/>
        <v>0</v>
      </c>
      <c r="R17" s="7">
        <f>'[6]Production Summary'!C18</f>
        <v>0</v>
      </c>
      <c r="S17" s="8">
        <f t="shared" si="10"/>
        <v>0</v>
      </c>
      <c r="T17" s="10">
        <f t="shared" si="11"/>
        <v>0</v>
      </c>
      <c r="U17" s="7">
        <f>'[6]Production Summary'!F18</f>
        <v>13000000</v>
      </c>
      <c r="V17" s="8">
        <f t="shared" si="12"/>
        <v>13</v>
      </c>
      <c r="W17" s="10">
        <f t="shared" si="13"/>
        <v>39.909999999999997</v>
      </c>
      <c r="X17" s="7">
        <f>'[6]Production Summary'!AB18</f>
        <v>0</v>
      </c>
      <c r="Y17" s="8">
        <f t="shared" si="14"/>
        <v>0</v>
      </c>
      <c r="Z17" s="10">
        <f t="shared" si="15"/>
        <v>0</v>
      </c>
      <c r="AA17" s="15"/>
      <c r="AB17" s="7">
        <f t="shared" si="16"/>
        <v>18599999.999999911</v>
      </c>
      <c r="AC17" s="8">
        <f t="shared" si="16"/>
        <v>18.599999999999909</v>
      </c>
      <c r="AD17" s="8">
        <f t="shared" si="16"/>
        <v>57.10199999999972</v>
      </c>
    </row>
    <row r="18" spans="1:30" x14ac:dyDescent="0.15">
      <c r="A18" s="27">
        <v>38456</v>
      </c>
      <c r="B18" s="7">
        <f>'[6]Production Summary'!J19</f>
        <v>21400000.000000089</v>
      </c>
      <c r="C18" s="8">
        <f t="shared" si="1"/>
        <v>21.400000000000091</v>
      </c>
      <c r="D18" s="10">
        <f t="shared" si="2"/>
        <v>65.698000000000278</v>
      </c>
      <c r="E18" s="7">
        <f>'[6]Production Summary'!E19</f>
        <v>13000000</v>
      </c>
      <c r="F18" s="8">
        <f t="shared" si="3"/>
        <v>13</v>
      </c>
      <c r="G18" s="10">
        <f t="shared" si="4"/>
        <v>39.909999999999997</v>
      </c>
      <c r="H18" s="7">
        <f>'[6]Production Summary'!G19</f>
        <v>10040000</v>
      </c>
      <c r="I18" s="8">
        <f t="shared" si="0"/>
        <v>10.039999999999999</v>
      </c>
      <c r="J18" s="10">
        <f t="shared" si="5"/>
        <v>30.822799999999997</v>
      </c>
      <c r="K18" s="7">
        <f>'[6]Production Summary'!T19</f>
        <v>1904805</v>
      </c>
      <c r="L18" s="8">
        <f t="shared" si="6"/>
        <v>1.9048050000000001</v>
      </c>
      <c r="M18" s="10">
        <f t="shared" si="7"/>
        <v>5.8477513500000002</v>
      </c>
      <c r="N18" s="21"/>
      <c r="O18" s="7">
        <f>'[6]Production Summary'!I19</f>
        <v>0</v>
      </c>
      <c r="P18" s="8">
        <f t="shared" si="8"/>
        <v>0</v>
      </c>
      <c r="Q18" s="10">
        <f t="shared" si="9"/>
        <v>0</v>
      </c>
      <c r="R18" s="7">
        <f>'[6]Production Summary'!C19</f>
        <v>0</v>
      </c>
      <c r="S18" s="8">
        <f t="shared" si="10"/>
        <v>0</v>
      </c>
      <c r="T18" s="10">
        <f t="shared" si="11"/>
        <v>0</v>
      </c>
      <c r="U18" s="7">
        <f>'[6]Production Summary'!F19</f>
        <v>13000000</v>
      </c>
      <c r="V18" s="8">
        <f t="shared" si="12"/>
        <v>13</v>
      </c>
      <c r="W18" s="10">
        <f t="shared" si="13"/>
        <v>39.909999999999997</v>
      </c>
      <c r="X18" s="7">
        <f>'[6]Production Summary'!AB19</f>
        <v>0</v>
      </c>
      <c r="Y18" s="8">
        <f t="shared" si="14"/>
        <v>0</v>
      </c>
      <c r="Z18" s="10">
        <f t="shared" si="15"/>
        <v>0</v>
      </c>
      <c r="AA18" s="15"/>
      <c r="AB18" s="7">
        <f t="shared" si="16"/>
        <v>21400000.000000089</v>
      </c>
      <c r="AC18" s="8">
        <f t="shared" si="16"/>
        <v>21.400000000000091</v>
      </c>
      <c r="AD18" s="8">
        <f t="shared" si="16"/>
        <v>65.698000000000278</v>
      </c>
    </row>
    <row r="19" spans="1:30" x14ac:dyDescent="0.15">
      <c r="A19" s="27">
        <v>38457</v>
      </c>
      <c r="B19" s="7">
        <f>'[6]Production Summary'!J20</f>
        <v>18000000</v>
      </c>
      <c r="C19" s="8">
        <f t="shared" si="1"/>
        <v>18</v>
      </c>
      <c r="D19" s="10">
        <f t="shared" si="2"/>
        <v>55.26</v>
      </c>
      <c r="E19" s="7">
        <f>'[6]Production Summary'!E20</f>
        <v>11000000</v>
      </c>
      <c r="F19" s="8">
        <f t="shared" si="3"/>
        <v>11</v>
      </c>
      <c r="G19" s="10">
        <f t="shared" si="4"/>
        <v>33.769999999999996</v>
      </c>
      <c r="H19" s="7">
        <f>'[6]Production Summary'!G20</f>
        <v>10060000</v>
      </c>
      <c r="I19" s="8">
        <f t="shared" si="0"/>
        <v>10.06</v>
      </c>
      <c r="J19" s="10">
        <f t="shared" si="5"/>
        <v>30.8842</v>
      </c>
      <c r="K19" s="7">
        <f>'[6]Production Summary'!T20</f>
        <v>1686684</v>
      </c>
      <c r="L19" s="8">
        <f t="shared" si="6"/>
        <v>1.6866840000000001</v>
      </c>
      <c r="M19" s="10">
        <f t="shared" si="7"/>
        <v>5.1781198799999997</v>
      </c>
      <c r="N19" s="21"/>
      <c r="O19" s="7">
        <f>'[6]Production Summary'!I20</f>
        <v>0</v>
      </c>
      <c r="P19" s="8">
        <f t="shared" si="8"/>
        <v>0</v>
      </c>
      <c r="Q19" s="10">
        <f t="shared" si="9"/>
        <v>0</v>
      </c>
      <c r="R19" s="7">
        <f>'[6]Production Summary'!C20</f>
        <v>0</v>
      </c>
      <c r="S19" s="8">
        <f t="shared" si="10"/>
        <v>0</v>
      </c>
      <c r="T19" s="10">
        <f t="shared" si="11"/>
        <v>0</v>
      </c>
      <c r="U19" s="7">
        <f>'[6]Production Summary'!F20</f>
        <v>11000000</v>
      </c>
      <c r="V19" s="8">
        <f t="shared" si="12"/>
        <v>11</v>
      </c>
      <c r="W19" s="10">
        <f t="shared" si="13"/>
        <v>33.769999999999996</v>
      </c>
      <c r="X19" s="7">
        <f>'[6]Production Summary'!AB20</f>
        <v>0</v>
      </c>
      <c r="Y19" s="8">
        <f t="shared" si="14"/>
        <v>0</v>
      </c>
      <c r="Z19" s="10">
        <f t="shared" si="15"/>
        <v>0</v>
      </c>
      <c r="AA19" s="15"/>
      <c r="AB19" s="7">
        <f t="shared" si="16"/>
        <v>18000000</v>
      </c>
      <c r="AC19" s="8">
        <f t="shared" si="16"/>
        <v>18</v>
      </c>
      <c r="AD19" s="8">
        <f>D19+Q19</f>
        <v>55.26</v>
      </c>
    </row>
    <row r="20" spans="1:30" x14ac:dyDescent="0.15">
      <c r="A20" s="27">
        <v>38458</v>
      </c>
      <c r="B20" s="7">
        <f>'[6]Production Summary'!J21</f>
        <v>21599999.999999911</v>
      </c>
      <c r="C20" s="8">
        <f t="shared" si="1"/>
        <v>21.599999999999909</v>
      </c>
      <c r="D20" s="10">
        <f t="shared" si="2"/>
        <v>66.311999999999713</v>
      </c>
      <c r="E20" s="7">
        <f>'[6]Production Summary'!E21</f>
        <v>14000000</v>
      </c>
      <c r="F20" s="8">
        <f t="shared" si="3"/>
        <v>14</v>
      </c>
      <c r="G20" s="10">
        <f t="shared" si="4"/>
        <v>42.98</v>
      </c>
      <c r="H20" s="7">
        <f>'[6]Production Summary'!G21</f>
        <v>9950000</v>
      </c>
      <c r="I20" s="8">
        <f t="shared" si="0"/>
        <v>9.9499999999999993</v>
      </c>
      <c r="J20" s="10">
        <f t="shared" si="5"/>
        <v>30.546499999999995</v>
      </c>
      <c r="K20" s="7">
        <f>'[6]Production Summary'!T21</f>
        <v>1893347</v>
      </c>
      <c r="L20" s="8">
        <f t="shared" si="6"/>
        <v>1.8933469999999999</v>
      </c>
      <c r="M20" s="10">
        <f t="shared" si="7"/>
        <v>5.812575289999999</v>
      </c>
      <c r="N20" s="21"/>
      <c r="O20" s="7">
        <f>'[6]Production Summary'!I21</f>
        <v>0</v>
      </c>
      <c r="P20" s="8">
        <f t="shared" si="8"/>
        <v>0</v>
      </c>
      <c r="Q20" s="10">
        <f t="shared" si="9"/>
        <v>0</v>
      </c>
      <c r="R20" s="7">
        <f>'[6]Production Summary'!C21</f>
        <v>0</v>
      </c>
      <c r="S20" s="8">
        <f t="shared" si="10"/>
        <v>0</v>
      </c>
      <c r="T20" s="10">
        <f t="shared" si="11"/>
        <v>0</v>
      </c>
      <c r="U20" s="7">
        <f>'[6]Production Summary'!F21</f>
        <v>14000000</v>
      </c>
      <c r="V20" s="8">
        <f t="shared" si="12"/>
        <v>14</v>
      </c>
      <c r="W20" s="10">
        <f t="shared" si="13"/>
        <v>42.98</v>
      </c>
      <c r="X20" s="7">
        <f>'[6]Production Summary'!AB21</f>
        <v>0</v>
      </c>
      <c r="Y20" s="8">
        <f t="shared" si="14"/>
        <v>0</v>
      </c>
      <c r="Z20" s="10">
        <f t="shared" si="15"/>
        <v>0</v>
      </c>
      <c r="AA20" s="15"/>
      <c r="AB20" s="7">
        <f t="shared" si="16"/>
        <v>21599999.999999911</v>
      </c>
      <c r="AC20" s="8">
        <f t="shared" si="16"/>
        <v>21.599999999999909</v>
      </c>
      <c r="AD20" s="8">
        <f t="shared" si="16"/>
        <v>66.311999999999713</v>
      </c>
    </row>
    <row r="21" spans="1:30" x14ac:dyDescent="0.15">
      <c r="A21" s="27">
        <v>38459</v>
      </c>
      <c r="B21" s="7">
        <f>'[6]Production Summary'!J22</f>
        <v>21000000</v>
      </c>
      <c r="C21" s="8">
        <f t="shared" si="1"/>
        <v>21</v>
      </c>
      <c r="D21" s="10">
        <f t="shared" si="2"/>
        <v>64.47</v>
      </c>
      <c r="E21" s="7">
        <f>'[6]Production Summary'!E22</f>
        <v>13000000</v>
      </c>
      <c r="F21" s="8">
        <f t="shared" si="3"/>
        <v>13</v>
      </c>
      <c r="G21" s="10">
        <f t="shared" si="4"/>
        <v>39.909999999999997</v>
      </c>
      <c r="H21" s="7">
        <f>'[6]Production Summary'!G22</f>
        <v>10040000</v>
      </c>
      <c r="I21" s="8">
        <f t="shared" si="0"/>
        <v>10.039999999999999</v>
      </c>
      <c r="J21" s="10">
        <f t="shared" si="5"/>
        <v>30.822799999999997</v>
      </c>
      <c r="K21" s="7">
        <f>'[6]Production Summary'!T22</f>
        <v>1855670</v>
      </c>
      <c r="L21" s="8">
        <f t="shared" si="6"/>
        <v>1.8556699999999999</v>
      </c>
      <c r="M21" s="10">
        <f t="shared" si="7"/>
        <v>5.6969068999999992</v>
      </c>
      <c r="N21" s="21"/>
      <c r="O21" s="7">
        <f>'[6]Production Summary'!I22</f>
        <v>0</v>
      </c>
      <c r="P21" s="8">
        <f t="shared" si="8"/>
        <v>0</v>
      </c>
      <c r="Q21" s="10">
        <f t="shared" si="9"/>
        <v>0</v>
      </c>
      <c r="R21" s="7">
        <f>'[6]Production Summary'!C22</f>
        <v>0</v>
      </c>
      <c r="S21" s="8">
        <f t="shared" si="10"/>
        <v>0</v>
      </c>
      <c r="T21" s="10">
        <f t="shared" si="11"/>
        <v>0</v>
      </c>
      <c r="U21" s="7">
        <f>'[6]Production Summary'!F22</f>
        <v>13000000</v>
      </c>
      <c r="V21" s="8">
        <f t="shared" si="12"/>
        <v>13</v>
      </c>
      <c r="W21" s="10">
        <f t="shared" si="13"/>
        <v>39.909999999999997</v>
      </c>
      <c r="X21" s="7">
        <f>'[6]Production Summary'!AB22</f>
        <v>0</v>
      </c>
      <c r="Y21" s="8">
        <f t="shared" si="14"/>
        <v>0</v>
      </c>
      <c r="Z21" s="10">
        <f t="shared" si="15"/>
        <v>0</v>
      </c>
      <c r="AA21" s="15"/>
      <c r="AB21" s="7">
        <f t="shared" si="16"/>
        <v>21000000</v>
      </c>
      <c r="AC21" s="8">
        <f t="shared" si="16"/>
        <v>21</v>
      </c>
      <c r="AD21" s="8">
        <f t="shared" si="16"/>
        <v>64.47</v>
      </c>
    </row>
    <row r="22" spans="1:30" x14ac:dyDescent="0.15">
      <c r="A22" s="27">
        <v>38460</v>
      </c>
      <c r="B22" s="7">
        <f>'[6]Production Summary'!J23</f>
        <v>20799999.999999728</v>
      </c>
      <c r="C22" s="8">
        <f t="shared" si="1"/>
        <v>20.799999999999727</v>
      </c>
      <c r="D22" s="10">
        <f t="shared" si="2"/>
        <v>63.855999999999156</v>
      </c>
      <c r="E22" s="7">
        <f>'[6]Production Summary'!E23</f>
        <v>14000000</v>
      </c>
      <c r="F22" s="8">
        <f t="shared" si="3"/>
        <v>14</v>
      </c>
      <c r="G22" s="10">
        <f t="shared" si="4"/>
        <v>42.98</v>
      </c>
      <c r="H22" s="7">
        <f>'[6]Production Summary'!G23</f>
        <v>9950000</v>
      </c>
      <c r="I22" s="8">
        <f t="shared" si="0"/>
        <v>9.9499999999999993</v>
      </c>
      <c r="J22" s="10">
        <f t="shared" si="5"/>
        <v>30.546499999999995</v>
      </c>
      <c r="K22" s="7">
        <f>'[6]Production Summary'!T23</f>
        <v>1821539</v>
      </c>
      <c r="L22" s="8">
        <f t="shared" si="6"/>
        <v>1.821539</v>
      </c>
      <c r="M22" s="10">
        <f t="shared" si="7"/>
        <v>5.5921247300000001</v>
      </c>
      <c r="N22" s="21"/>
      <c r="O22" s="7">
        <f>'[6]Production Summary'!I23</f>
        <v>0</v>
      </c>
      <c r="P22" s="8">
        <f t="shared" si="8"/>
        <v>0</v>
      </c>
      <c r="Q22" s="10">
        <f t="shared" si="9"/>
        <v>0</v>
      </c>
      <c r="R22" s="7">
        <f>'[6]Production Summary'!C23</f>
        <v>0</v>
      </c>
      <c r="S22" s="8">
        <f t="shared" si="10"/>
        <v>0</v>
      </c>
      <c r="T22" s="10">
        <f t="shared" si="11"/>
        <v>0</v>
      </c>
      <c r="U22" s="7">
        <f>'[6]Production Summary'!F23</f>
        <v>14000000</v>
      </c>
      <c r="V22" s="8">
        <f t="shared" si="12"/>
        <v>14</v>
      </c>
      <c r="W22" s="10">
        <f t="shared" si="13"/>
        <v>42.98</v>
      </c>
      <c r="X22" s="7">
        <f>'[6]Production Summary'!AB23</f>
        <v>0</v>
      </c>
      <c r="Y22" s="8">
        <f t="shared" si="14"/>
        <v>0</v>
      </c>
      <c r="Z22" s="10">
        <f t="shared" si="15"/>
        <v>0</v>
      </c>
      <c r="AA22" s="15"/>
      <c r="AB22" s="7">
        <f t="shared" si="16"/>
        <v>20799999.999999728</v>
      </c>
      <c r="AC22" s="8">
        <f t="shared" si="16"/>
        <v>20.799999999999727</v>
      </c>
      <c r="AD22" s="8">
        <f t="shared" si="16"/>
        <v>63.855999999999156</v>
      </c>
    </row>
    <row r="23" spans="1:30" x14ac:dyDescent="0.15">
      <c r="A23" s="27">
        <v>38461</v>
      </c>
      <c r="B23" s="7">
        <f>'[6]Production Summary'!J24</f>
        <v>19200000.000000272</v>
      </c>
      <c r="C23" s="8">
        <f t="shared" si="1"/>
        <v>19.200000000000273</v>
      </c>
      <c r="D23" s="10">
        <f t="shared" si="2"/>
        <v>58.944000000000834</v>
      </c>
      <c r="E23" s="7">
        <f>'[6]Production Summary'!E24</f>
        <v>11000000</v>
      </c>
      <c r="F23" s="8">
        <f t="shared" si="3"/>
        <v>11</v>
      </c>
      <c r="G23" s="10">
        <f t="shared" si="4"/>
        <v>33.769999999999996</v>
      </c>
      <c r="H23" s="7">
        <f>'[6]Production Summary'!G24</f>
        <v>10010000</v>
      </c>
      <c r="I23" s="8">
        <f t="shared" si="0"/>
        <v>10.01</v>
      </c>
      <c r="J23" s="10">
        <f t="shared" si="5"/>
        <v>30.730699999999999</v>
      </c>
      <c r="K23" s="7">
        <f>'[6]Production Summary'!T24</f>
        <v>1757159</v>
      </c>
      <c r="L23" s="8">
        <f t="shared" si="6"/>
        <v>1.7571589999999999</v>
      </c>
      <c r="M23" s="10">
        <f t="shared" si="7"/>
        <v>5.3944781299999995</v>
      </c>
      <c r="N23" s="21"/>
      <c r="O23" s="7">
        <f>'[6]Production Summary'!I24</f>
        <v>0</v>
      </c>
      <c r="P23" s="8">
        <f t="shared" si="8"/>
        <v>0</v>
      </c>
      <c r="Q23" s="10">
        <f t="shared" si="9"/>
        <v>0</v>
      </c>
      <c r="R23" s="7">
        <f>'[6]Production Summary'!C24</f>
        <v>0</v>
      </c>
      <c r="S23" s="8">
        <f t="shared" si="10"/>
        <v>0</v>
      </c>
      <c r="T23" s="10">
        <f t="shared" si="11"/>
        <v>0</v>
      </c>
      <c r="U23" s="7">
        <f>'[6]Production Summary'!F24</f>
        <v>11000000</v>
      </c>
      <c r="V23" s="8">
        <f t="shared" si="12"/>
        <v>11</v>
      </c>
      <c r="W23" s="10">
        <f t="shared" si="13"/>
        <v>33.769999999999996</v>
      </c>
      <c r="X23" s="7">
        <f>'[6]Production Summary'!AB24</f>
        <v>0</v>
      </c>
      <c r="Y23" s="8">
        <f t="shared" si="14"/>
        <v>0</v>
      </c>
      <c r="Z23" s="10">
        <f t="shared" si="15"/>
        <v>0</v>
      </c>
      <c r="AA23" s="15"/>
      <c r="AB23" s="7">
        <f t="shared" si="16"/>
        <v>19200000.000000272</v>
      </c>
      <c r="AC23" s="8">
        <f t="shared" si="16"/>
        <v>19.200000000000273</v>
      </c>
      <c r="AD23" s="8">
        <f t="shared" si="16"/>
        <v>58.944000000000834</v>
      </c>
    </row>
    <row r="24" spans="1:30" x14ac:dyDescent="0.15">
      <c r="A24" s="27">
        <v>38462</v>
      </c>
      <c r="B24" s="7">
        <f>'[6]Production Summary'!J25</f>
        <v>19500000</v>
      </c>
      <c r="C24" s="8">
        <f t="shared" si="1"/>
        <v>19.5</v>
      </c>
      <c r="D24" s="10">
        <f t="shared" si="2"/>
        <v>59.864999999999995</v>
      </c>
      <c r="E24" s="7">
        <f>'[6]Production Summary'!E25</f>
        <v>13000000</v>
      </c>
      <c r="F24" s="8">
        <f t="shared" si="3"/>
        <v>13</v>
      </c>
      <c r="G24" s="10">
        <f t="shared" si="4"/>
        <v>39.909999999999997</v>
      </c>
      <c r="H24" s="7">
        <f>'[6]Production Summary'!G25</f>
        <v>9350000</v>
      </c>
      <c r="I24" s="8">
        <f t="shared" si="0"/>
        <v>9.35</v>
      </c>
      <c r="J24" s="10">
        <f t="shared" si="5"/>
        <v>28.704499999999996</v>
      </c>
      <c r="K24" s="7">
        <f>'[6]Production Summary'!T25</f>
        <v>1721999</v>
      </c>
      <c r="L24" s="8">
        <f t="shared" si="6"/>
        <v>1.7219990000000001</v>
      </c>
      <c r="M24" s="10">
        <f t="shared" si="7"/>
        <v>5.2865369299999996</v>
      </c>
      <c r="N24" s="21"/>
      <c r="O24" s="7">
        <f>'[6]Production Summary'!I25</f>
        <v>0</v>
      </c>
      <c r="P24" s="8">
        <f t="shared" si="8"/>
        <v>0</v>
      </c>
      <c r="Q24" s="10">
        <f t="shared" si="9"/>
        <v>0</v>
      </c>
      <c r="R24" s="7">
        <f>'[6]Production Summary'!C25</f>
        <v>0</v>
      </c>
      <c r="S24" s="8">
        <f t="shared" si="10"/>
        <v>0</v>
      </c>
      <c r="T24" s="10">
        <f t="shared" si="11"/>
        <v>0</v>
      </c>
      <c r="U24" s="7">
        <f>'[6]Production Summary'!F25</f>
        <v>13000000</v>
      </c>
      <c r="V24" s="8">
        <f t="shared" si="12"/>
        <v>13</v>
      </c>
      <c r="W24" s="10">
        <f t="shared" si="13"/>
        <v>39.909999999999997</v>
      </c>
      <c r="X24" s="7">
        <f>'[6]Production Summary'!AB25</f>
        <v>0</v>
      </c>
      <c r="Y24" s="8">
        <f t="shared" si="14"/>
        <v>0</v>
      </c>
      <c r="Z24" s="10">
        <f t="shared" si="15"/>
        <v>0</v>
      </c>
      <c r="AA24" s="15"/>
      <c r="AB24" s="7">
        <f t="shared" si="16"/>
        <v>19500000</v>
      </c>
      <c r="AC24" s="8">
        <f t="shared" si="16"/>
        <v>19.5</v>
      </c>
      <c r="AD24" s="8">
        <f>D24+Q24</f>
        <v>59.864999999999995</v>
      </c>
    </row>
    <row r="25" spans="1:30" x14ac:dyDescent="0.15">
      <c r="A25" s="27">
        <v>38463</v>
      </c>
      <c r="B25" s="7">
        <f>'[6]Production Summary'!J26</f>
        <v>15599999.999999909</v>
      </c>
      <c r="C25" s="8">
        <f t="shared" si="1"/>
        <v>15.599999999999909</v>
      </c>
      <c r="D25" s="10">
        <f t="shared" si="2"/>
        <v>47.891999999999719</v>
      </c>
      <c r="E25" s="7">
        <f>'[6]Production Summary'!E26</f>
        <v>9000000</v>
      </c>
      <c r="F25" s="8">
        <f t="shared" si="3"/>
        <v>9</v>
      </c>
      <c r="G25" s="10">
        <f t="shared" si="4"/>
        <v>27.63</v>
      </c>
      <c r="H25" s="7">
        <f>'[6]Production Summary'!G26</f>
        <v>9040000</v>
      </c>
      <c r="I25" s="8">
        <f t="shared" si="0"/>
        <v>9.0399999999999991</v>
      </c>
      <c r="J25" s="10">
        <f t="shared" si="5"/>
        <v>27.752799999999997</v>
      </c>
      <c r="K25" s="7">
        <f>'[6]Production Summary'!T26</f>
        <v>1456255</v>
      </c>
      <c r="L25" s="8">
        <f t="shared" si="6"/>
        <v>1.4562550000000001</v>
      </c>
      <c r="M25" s="10">
        <f t="shared" si="7"/>
        <v>4.4707028500000003</v>
      </c>
      <c r="N25" s="21"/>
      <c r="O25" s="7">
        <f>'[6]Production Summary'!I26</f>
        <v>0</v>
      </c>
      <c r="P25" s="8">
        <f t="shared" si="8"/>
        <v>0</v>
      </c>
      <c r="Q25" s="10">
        <f t="shared" si="9"/>
        <v>0</v>
      </c>
      <c r="R25" s="7">
        <f>'[6]Production Summary'!C26</f>
        <v>0</v>
      </c>
      <c r="S25" s="8">
        <f t="shared" si="10"/>
        <v>0</v>
      </c>
      <c r="T25" s="10">
        <f t="shared" si="11"/>
        <v>0</v>
      </c>
      <c r="U25" s="7">
        <f>'[6]Production Summary'!F26</f>
        <v>9000000</v>
      </c>
      <c r="V25" s="8">
        <f t="shared" si="12"/>
        <v>9</v>
      </c>
      <c r="W25" s="10">
        <f t="shared" si="13"/>
        <v>27.63</v>
      </c>
      <c r="X25" s="7">
        <f>'[6]Production Summary'!AB26</f>
        <v>0</v>
      </c>
      <c r="Y25" s="8">
        <f t="shared" si="14"/>
        <v>0</v>
      </c>
      <c r="Z25" s="10">
        <f t="shared" si="15"/>
        <v>0</v>
      </c>
      <c r="AA25" s="15"/>
      <c r="AB25" s="7">
        <f t="shared" si="16"/>
        <v>15599999.999999909</v>
      </c>
      <c r="AC25" s="8">
        <f t="shared" si="16"/>
        <v>15.599999999999909</v>
      </c>
      <c r="AD25" s="8">
        <f t="shared" si="16"/>
        <v>47.891999999999719</v>
      </c>
    </row>
    <row r="26" spans="1:30" x14ac:dyDescent="0.15">
      <c r="A26" s="27">
        <v>38464</v>
      </c>
      <c r="B26" s="7">
        <f>'[6]Production Summary'!J27</f>
        <v>14800000.000000183</v>
      </c>
      <c r="C26" s="8">
        <f t="shared" si="1"/>
        <v>14.800000000000182</v>
      </c>
      <c r="D26" s="10">
        <f t="shared" si="2"/>
        <v>45.436000000000554</v>
      </c>
      <c r="E26" s="7">
        <f>'[6]Production Summary'!E27</f>
        <v>8000000</v>
      </c>
      <c r="F26" s="8">
        <f t="shared" si="3"/>
        <v>8</v>
      </c>
      <c r="G26" s="10">
        <f t="shared" si="4"/>
        <v>24.56</v>
      </c>
      <c r="H26" s="7">
        <f>'[6]Production Summary'!G27</f>
        <v>8260000</v>
      </c>
      <c r="I26" s="8">
        <f t="shared" si="0"/>
        <v>8.26</v>
      </c>
      <c r="J26" s="10">
        <f t="shared" si="5"/>
        <v>25.358199999999997</v>
      </c>
      <c r="K26" s="7">
        <f>'[6]Production Summary'!T27</f>
        <v>1387255</v>
      </c>
      <c r="L26" s="8">
        <f t="shared" si="6"/>
        <v>1.3872549999999999</v>
      </c>
      <c r="M26" s="10">
        <f t="shared" si="7"/>
        <v>4.2588728499999995</v>
      </c>
      <c r="N26" s="21"/>
      <c r="O26" s="7">
        <f>'[6]Production Summary'!I27</f>
        <v>0</v>
      </c>
      <c r="P26" s="8">
        <f t="shared" si="8"/>
        <v>0</v>
      </c>
      <c r="Q26" s="10">
        <f t="shared" si="9"/>
        <v>0</v>
      </c>
      <c r="R26" s="7">
        <f>'[6]Production Summary'!C27</f>
        <v>0</v>
      </c>
      <c r="S26" s="8">
        <f t="shared" si="10"/>
        <v>0</v>
      </c>
      <c r="T26" s="10">
        <f t="shared" si="11"/>
        <v>0</v>
      </c>
      <c r="U26" s="7">
        <f>'[6]Production Summary'!F27</f>
        <v>8000000</v>
      </c>
      <c r="V26" s="8">
        <f t="shared" si="12"/>
        <v>8</v>
      </c>
      <c r="W26" s="10">
        <f t="shared" si="13"/>
        <v>24.56</v>
      </c>
      <c r="X26" s="7">
        <f>'[6]Production Summary'!AB27</f>
        <v>0</v>
      </c>
      <c r="Y26" s="8">
        <f t="shared" si="14"/>
        <v>0</v>
      </c>
      <c r="Z26" s="10">
        <f t="shared" si="15"/>
        <v>0</v>
      </c>
      <c r="AA26" s="15"/>
      <c r="AB26" s="7">
        <f t="shared" si="16"/>
        <v>14800000.000000183</v>
      </c>
      <c r="AC26" s="8">
        <f t="shared" si="16"/>
        <v>14.800000000000182</v>
      </c>
      <c r="AD26" s="8">
        <f t="shared" si="16"/>
        <v>45.436000000000554</v>
      </c>
    </row>
    <row r="27" spans="1:30" x14ac:dyDescent="0.15">
      <c r="A27" s="27">
        <v>38465</v>
      </c>
      <c r="B27" s="7">
        <f>'[6]Production Summary'!J28</f>
        <v>15599999.999999909</v>
      </c>
      <c r="C27" s="8">
        <f t="shared" si="1"/>
        <v>15.599999999999909</v>
      </c>
      <c r="D27" s="10">
        <f t="shared" si="2"/>
        <v>47.891999999999719</v>
      </c>
      <c r="E27" s="7">
        <f>'[6]Production Summary'!E28</f>
        <v>9000000</v>
      </c>
      <c r="F27" s="8">
        <f t="shared" si="3"/>
        <v>9</v>
      </c>
      <c r="G27" s="10">
        <f t="shared" si="4"/>
        <v>27.63</v>
      </c>
      <c r="H27" s="7">
        <f>'[6]Production Summary'!G28</f>
        <v>8550000</v>
      </c>
      <c r="I27" s="8">
        <f t="shared" si="0"/>
        <v>8.5500000000000007</v>
      </c>
      <c r="J27" s="10">
        <f t="shared" si="5"/>
        <v>26.2485</v>
      </c>
      <c r="K27" s="7">
        <f>'[6]Production Summary'!T28</f>
        <v>1385378</v>
      </c>
      <c r="L27" s="8">
        <f t="shared" si="6"/>
        <v>1.385378</v>
      </c>
      <c r="M27" s="10">
        <f t="shared" si="7"/>
        <v>4.2531104599999994</v>
      </c>
      <c r="N27" s="21"/>
      <c r="O27" s="7">
        <f>'[6]Production Summary'!I28</f>
        <v>0</v>
      </c>
      <c r="P27" s="8">
        <f t="shared" si="8"/>
        <v>0</v>
      </c>
      <c r="Q27" s="10">
        <f t="shared" si="9"/>
        <v>0</v>
      </c>
      <c r="R27" s="7">
        <f>'[6]Production Summary'!C28</f>
        <v>0</v>
      </c>
      <c r="S27" s="8">
        <f t="shared" si="10"/>
        <v>0</v>
      </c>
      <c r="T27" s="10">
        <f t="shared" si="11"/>
        <v>0</v>
      </c>
      <c r="U27" s="7">
        <f>'[6]Production Summary'!F28</f>
        <v>9000000</v>
      </c>
      <c r="V27" s="8">
        <f t="shared" si="12"/>
        <v>9</v>
      </c>
      <c r="W27" s="10">
        <f t="shared" si="13"/>
        <v>27.63</v>
      </c>
      <c r="X27" s="7">
        <f>'[6]Production Summary'!AB28</f>
        <v>0</v>
      </c>
      <c r="Y27" s="8">
        <f t="shared" si="14"/>
        <v>0</v>
      </c>
      <c r="Z27" s="10">
        <f t="shared" si="15"/>
        <v>0</v>
      </c>
      <c r="AA27" s="15"/>
      <c r="AB27" s="7">
        <f t="shared" si="16"/>
        <v>15599999.999999909</v>
      </c>
      <c r="AC27" s="8">
        <f t="shared" si="16"/>
        <v>15.599999999999909</v>
      </c>
      <c r="AD27" s="8">
        <f t="shared" si="16"/>
        <v>47.891999999999719</v>
      </c>
    </row>
    <row r="28" spans="1:30" x14ac:dyDescent="0.15">
      <c r="A28" s="27">
        <v>38466</v>
      </c>
      <c r="B28" s="7">
        <f>'[6]Production Summary'!J29</f>
        <v>22099999.999999911</v>
      </c>
      <c r="C28" s="8">
        <f t="shared" si="1"/>
        <v>22.099999999999909</v>
      </c>
      <c r="D28" s="10">
        <f t="shared" si="2"/>
        <v>67.846999999999724</v>
      </c>
      <c r="E28" s="7">
        <f>'[6]Production Summary'!E29</f>
        <v>15000000</v>
      </c>
      <c r="F28" s="8">
        <f t="shared" si="3"/>
        <v>15</v>
      </c>
      <c r="G28" s="10">
        <f t="shared" si="4"/>
        <v>46.05</v>
      </c>
      <c r="H28" s="7">
        <f>'[6]Production Summary'!G29</f>
        <v>10110000</v>
      </c>
      <c r="I28" s="8">
        <f t="shared" si="0"/>
        <v>10.11</v>
      </c>
      <c r="J28" s="10">
        <f t="shared" si="5"/>
        <v>31.037699999999997</v>
      </c>
      <c r="K28" s="7">
        <f>'[6]Production Summary'!T29</f>
        <v>2086848</v>
      </c>
      <c r="L28" s="8">
        <f t="shared" si="6"/>
        <v>2.0868479999999998</v>
      </c>
      <c r="M28" s="10">
        <f t="shared" si="7"/>
        <v>6.4066233599999993</v>
      </c>
      <c r="N28" s="21"/>
      <c r="O28" s="7">
        <f>'[6]Production Summary'!I29</f>
        <v>0</v>
      </c>
      <c r="P28" s="8">
        <f t="shared" si="8"/>
        <v>0</v>
      </c>
      <c r="Q28" s="10">
        <f t="shared" si="9"/>
        <v>0</v>
      </c>
      <c r="R28" s="7">
        <f>'[6]Production Summary'!C29</f>
        <v>0</v>
      </c>
      <c r="S28" s="8">
        <f t="shared" si="10"/>
        <v>0</v>
      </c>
      <c r="T28" s="10">
        <f t="shared" si="11"/>
        <v>0</v>
      </c>
      <c r="U28" s="7">
        <f>'[6]Production Summary'!F29</f>
        <v>15000000</v>
      </c>
      <c r="V28" s="8">
        <f t="shared" si="12"/>
        <v>15</v>
      </c>
      <c r="W28" s="10">
        <f t="shared" si="13"/>
        <v>46.05</v>
      </c>
      <c r="X28" s="7">
        <f>'[6]Production Summary'!AB29</f>
        <v>0</v>
      </c>
      <c r="Y28" s="8">
        <f t="shared" si="14"/>
        <v>0</v>
      </c>
      <c r="Z28" s="10">
        <f t="shared" si="15"/>
        <v>0</v>
      </c>
      <c r="AA28" s="15"/>
      <c r="AB28" s="7">
        <f t="shared" si="16"/>
        <v>22099999.999999911</v>
      </c>
      <c r="AC28" s="8">
        <f t="shared" si="16"/>
        <v>22.099999999999909</v>
      </c>
      <c r="AD28" s="8">
        <f t="shared" si="16"/>
        <v>67.846999999999724</v>
      </c>
    </row>
    <row r="29" spans="1:30" x14ac:dyDescent="0.15">
      <c r="A29" s="27">
        <v>38467</v>
      </c>
      <c r="B29" s="7">
        <f>'[6]Production Summary'!J30</f>
        <v>17699999.999999817</v>
      </c>
      <c r="C29" s="8">
        <f t="shared" si="1"/>
        <v>17.699999999999818</v>
      </c>
      <c r="D29" s="10">
        <f t="shared" si="2"/>
        <v>54.338999999999437</v>
      </c>
      <c r="E29" s="7">
        <f>'[6]Production Summary'!E30</f>
        <v>10000000</v>
      </c>
      <c r="F29" s="8">
        <f t="shared" si="3"/>
        <v>10</v>
      </c>
      <c r="G29" s="10">
        <f t="shared" si="4"/>
        <v>30.7</v>
      </c>
      <c r="H29" s="7">
        <f>'[6]Production Summary'!G30</f>
        <v>9210000</v>
      </c>
      <c r="I29" s="8">
        <f t="shared" si="0"/>
        <v>9.2100000000000009</v>
      </c>
      <c r="J29" s="10">
        <f t="shared" si="5"/>
        <v>28.274700000000003</v>
      </c>
      <c r="K29" s="7">
        <f>'[6]Production Summary'!T30</f>
        <v>1633363</v>
      </c>
      <c r="L29" s="8">
        <f t="shared" si="6"/>
        <v>1.6333629999999999</v>
      </c>
      <c r="M29" s="10">
        <f t="shared" si="7"/>
        <v>5.0144244099999993</v>
      </c>
      <c r="N29" s="21"/>
      <c r="O29" s="7">
        <f>'[6]Production Summary'!I30</f>
        <v>0</v>
      </c>
      <c r="P29" s="8">
        <f t="shared" si="8"/>
        <v>0</v>
      </c>
      <c r="Q29" s="10">
        <f t="shared" si="9"/>
        <v>0</v>
      </c>
      <c r="R29" s="7">
        <f>'[6]Production Summary'!C30</f>
        <v>0</v>
      </c>
      <c r="S29" s="8">
        <f t="shared" si="10"/>
        <v>0</v>
      </c>
      <c r="T29" s="10">
        <f t="shared" si="11"/>
        <v>0</v>
      </c>
      <c r="U29" s="7">
        <f>'[6]Production Summary'!F30</f>
        <v>10000000</v>
      </c>
      <c r="V29" s="8">
        <f t="shared" si="12"/>
        <v>10</v>
      </c>
      <c r="W29" s="10">
        <f t="shared" si="13"/>
        <v>30.7</v>
      </c>
      <c r="X29" s="7">
        <f>'[6]Production Summary'!AB30</f>
        <v>0</v>
      </c>
      <c r="Y29" s="8">
        <f t="shared" si="14"/>
        <v>0</v>
      </c>
      <c r="Z29" s="10">
        <f t="shared" si="15"/>
        <v>0</v>
      </c>
      <c r="AA29" s="15"/>
      <c r="AB29" s="7">
        <f t="shared" si="16"/>
        <v>17699999.999999817</v>
      </c>
      <c r="AC29" s="8">
        <f t="shared" si="16"/>
        <v>17.699999999999818</v>
      </c>
      <c r="AD29" s="8">
        <f t="shared" si="16"/>
        <v>54.338999999999437</v>
      </c>
    </row>
    <row r="30" spans="1:30" x14ac:dyDescent="0.15">
      <c r="A30" s="27">
        <v>38468</v>
      </c>
      <c r="B30" s="7">
        <f>'[6]Production Summary'!J31</f>
        <v>13700000.000000272</v>
      </c>
      <c r="C30" s="8">
        <f t="shared" si="1"/>
        <v>13.700000000000271</v>
      </c>
      <c r="D30" s="10">
        <f t="shared" si="2"/>
        <v>42.059000000000829</v>
      </c>
      <c r="E30" s="7">
        <f>'[6]Production Summary'!E31</f>
        <v>8000000</v>
      </c>
      <c r="F30" s="8">
        <f t="shared" si="3"/>
        <v>8</v>
      </c>
      <c r="G30" s="10">
        <f t="shared" si="4"/>
        <v>24.56</v>
      </c>
      <c r="H30" s="7">
        <f>'[6]Production Summary'!G31</f>
        <v>7640000</v>
      </c>
      <c r="I30" s="8">
        <f t="shared" si="0"/>
        <v>7.64</v>
      </c>
      <c r="J30" s="10">
        <f t="shared" si="5"/>
        <v>23.454799999999999</v>
      </c>
      <c r="K30" s="7">
        <f>'[6]Production Summary'!T31</f>
        <v>1263060</v>
      </c>
      <c r="L30" s="8">
        <f t="shared" si="6"/>
        <v>1.2630600000000001</v>
      </c>
      <c r="M30" s="10">
        <f t="shared" si="7"/>
        <v>3.8775941999999999</v>
      </c>
      <c r="N30" s="21"/>
      <c r="O30" s="7">
        <f>'[6]Production Summary'!I31</f>
        <v>0</v>
      </c>
      <c r="P30" s="8">
        <f t="shared" si="8"/>
        <v>0</v>
      </c>
      <c r="Q30" s="10">
        <f t="shared" si="9"/>
        <v>0</v>
      </c>
      <c r="R30" s="7">
        <f>'[6]Production Summary'!C31</f>
        <v>0</v>
      </c>
      <c r="S30" s="8">
        <f t="shared" si="10"/>
        <v>0</v>
      </c>
      <c r="T30" s="10">
        <f t="shared" si="11"/>
        <v>0</v>
      </c>
      <c r="U30" s="7">
        <f>'[6]Production Summary'!F31</f>
        <v>8000000</v>
      </c>
      <c r="V30" s="8">
        <f t="shared" si="12"/>
        <v>8</v>
      </c>
      <c r="W30" s="10">
        <f t="shared" si="13"/>
        <v>24.56</v>
      </c>
      <c r="X30" s="7">
        <f>'[6]Production Summary'!AB31</f>
        <v>0</v>
      </c>
      <c r="Y30" s="8">
        <f t="shared" si="14"/>
        <v>0</v>
      </c>
      <c r="Z30" s="10">
        <f t="shared" si="15"/>
        <v>0</v>
      </c>
      <c r="AA30" s="15"/>
      <c r="AB30" s="7">
        <f t="shared" si="16"/>
        <v>13700000.000000272</v>
      </c>
      <c r="AC30" s="8">
        <f t="shared" si="16"/>
        <v>13.700000000000271</v>
      </c>
      <c r="AD30" s="8">
        <f>D30+Q30</f>
        <v>42.059000000000829</v>
      </c>
    </row>
    <row r="31" spans="1:30" x14ac:dyDescent="0.15">
      <c r="A31" s="27">
        <v>38469</v>
      </c>
      <c r="B31" s="7">
        <f>'[6]Production Summary'!J32</f>
        <v>13699999.999999817</v>
      </c>
      <c r="C31" s="8">
        <f t="shared" si="1"/>
        <v>13.699999999999818</v>
      </c>
      <c r="D31" s="10">
        <f t="shared" si="2"/>
        <v>42.058999999999436</v>
      </c>
      <c r="E31" s="7">
        <f>'[6]Production Summary'!E32</f>
        <v>8000000</v>
      </c>
      <c r="F31" s="8">
        <f t="shared" si="3"/>
        <v>8</v>
      </c>
      <c r="G31" s="10">
        <f t="shared" si="4"/>
        <v>24.56</v>
      </c>
      <c r="H31" s="7">
        <f>'[6]Production Summary'!G32</f>
        <v>7490000</v>
      </c>
      <c r="I31" s="8">
        <f t="shared" si="0"/>
        <v>7.49</v>
      </c>
      <c r="J31" s="10">
        <f t="shared" si="5"/>
        <v>22.994299999999999</v>
      </c>
      <c r="K31" s="7">
        <f>'[6]Production Summary'!T32</f>
        <v>1309645</v>
      </c>
      <c r="L31" s="8">
        <f t="shared" si="6"/>
        <v>1.3096449999999999</v>
      </c>
      <c r="M31" s="10">
        <f t="shared" si="7"/>
        <v>4.0206101499999995</v>
      </c>
      <c r="N31" s="21"/>
      <c r="O31" s="7">
        <f>'[6]Production Summary'!I32</f>
        <v>0</v>
      </c>
      <c r="P31" s="8">
        <f t="shared" si="8"/>
        <v>0</v>
      </c>
      <c r="Q31" s="10">
        <f t="shared" si="9"/>
        <v>0</v>
      </c>
      <c r="R31" s="7">
        <f>'[6]Production Summary'!C32</f>
        <v>0</v>
      </c>
      <c r="S31" s="8">
        <f t="shared" si="10"/>
        <v>0</v>
      </c>
      <c r="T31" s="10">
        <f t="shared" si="11"/>
        <v>0</v>
      </c>
      <c r="U31" s="7">
        <f>'[6]Production Summary'!F32</f>
        <v>8000000</v>
      </c>
      <c r="V31" s="8">
        <f t="shared" si="12"/>
        <v>8</v>
      </c>
      <c r="W31" s="10">
        <f t="shared" si="13"/>
        <v>24.56</v>
      </c>
      <c r="X31" s="7">
        <f>'[6]Production Summary'!AB32</f>
        <v>0</v>
      </c>
      <c r="Y31" s="8">
        <f t="shared" si="14"/>
        <v>0</v>
      </c>
      <c r="Z31" s="10">
        <f t="shared" si="15"/>
        <v>0</v>
      </c>
      <c r="AA31" s="15"/>
      <c r="AB31" s="7">
        <f t="shared" si="16"/>
        <v>13699999.999999817</v>
      </c>
      <c r="AC31" s="8">
        <f t="shared" si="16"/>
        <v>13.699999999999818</v>
      </c>
      <c r="AD31" s="8">
        <f t="shared" si="16"/>
        <v>42.058999999999436</v>
      </c>
    </row>
    <row r="32" spans="1:30" x14ac:dyDescent="0.15">
      <c r="A32" s="27">
        <v>38470</v>
      </c>
      <c r="B32" s="7">
        <f>'[6]Production Summary'!J33</f>
        <v>14500000</v>
      </c>
      <c r="C32" s="8">
        <f t="shared" si="1"/>
        <v>14.5</v>
      </c>
      <c r="D32" s="10">
        <f t="shared" si="2"/>
        <v>44.515000000000001</v>
      </c>
      <c r="E32" s="7">
        <f>'[6]Production Summary'!E33</f>
        <v>8000000</v>
      </c>
      <c r="F32" s="8">
        <f t="shared" si="3"/>
        <v>8</v>
      </c>
      <c r="G32" s="10">
        <f t="shared" si="4"/>
        <v>24.56</v>
      </c>
      <c r="H32" s="7">
        <f>'[6]Production Summary'!G33</f>
        <v>8040000</v>
      </c>
      <c r="I32" s="8">
        <f t="shared" si="0"/>
        <v>8.0399999999999991</v>
      </c>
      <c r="J32" s="10">
        <f t="shared" si="5"/>
        <v>24.682799999999997</v>
      </c>
      <c r="K32" s="7">
        <f>'[6]Production Summary'!T33</f>
        <v>1335251</v>
      </c>
      <c r="L32" s="8">
        <f t="shared" si="6"/>
        <v>1.335251</v>
      </c>
      <c r="M32" s="10">
        <f t="shared" si="7"/>
        <v>4.09922057</v>
      </c>
      <c r="N32" s="21"/>
      <c r="O32" s="7">
        <f>'[6]Production Summary'!I33</f>
        <v>0</v>
      </c>
      <c r="P32" s="8">
        <f t="shared" si="8"/>
        <v>0</v>
      </c>
      <c r="Q32" s="10">
        <f t="shared" si="9"/>
        <v>0</v>
      </c>
      <c r="R32" s="7">
        <f>'[6]Production Summary'!C33</f>
        <v>0</v>
      </c>
      <c r="S32" s="8">
        <f t="shared" si="10"/>
        <v>0</v>
      </c>
      <c r="T32" s="10">
        <f t="shared" si="11"/>
        <v>0</v>
      </c>
      <c r="U32" s="7">
        <f>'[6]Production Summary'!F33</f>
        <v>8000000</v>
      </c>
      <c r="V32" s="8">
        <f t="shared" si="12"/>
        <v>8</v>
      </c>
      <c r="W32" s="10">
        <f t="shared" si="13"/>
        <v>24.56</v>
      </c>
      <c r="X32" s="7">
        <f>'[6]Production Summary'!AB33</f>
        <v>0</v>
      </c>
      <c r="Y32" s="8">
        <f t="shared" si="14"/>
        <v>0</v>
      </c>
      <c r="Z32" s="10">
        <f t="shared" si="15"/>
        <v>0</v>
      </c>
      <c r="AA32" s="15"/>
      <c r="AB32" s="7">
        <f t="shared" si="16"/>
        <v>14500000</v>
      </c>
      <c r="AC32" s="8">
        <f t="shared" si="16"/>
        <v>14.5</v>
      </c>
      <c r="AD32" s="8">
        <f t="shared" si="16"/>
        <v>44.515000000000001</v>
      </c>
    </row>
    <row r="33" spans="1:32" x14ac:dyDescent="0.15">
      <c r="A33" s="27">
        <v>38471</v>
      </c>
      <c r="B33" s="7">
        <f>'[6]Production Summary'!J34</f>
        <v>14500000</v>
      </c>
      <c r="C33" s="8">
        <f t="shared" si="1"/>
        <v>14.5</v>
      </c>
      <c r="D33" s="10">
        <f t="shared" si="2"/>
        <v>44.515000000000001</v>
      </c>
      <c r="E33" s="7">
        <f>'[6]Production Summary'!E34</f>
        <v>8000000</v>
      </c>
      <c r="F33" s="8">
        <f t="shared" si="3"/>
        <v>8</v>
      </c>
      <c r="G33" s="10">
        <f t="shared" si="4"/>
        <v>24.56</v>
      </c>
      <c r="H33" s="7">
        <f>'[6]Production Summary'!G34</f>
        <v>7990000</v>
      </c>
      <c r="I33" s="8">
        <f t="shared" si="0"/>
        <v>7.99</v>
      </c>
      <c r="J33" s="10">
        <f t="shared" si="5"/>
        <v>24.529299999999999</v>
      </c>
      <c r="K33" s="7">
        <f>'[6]Production Summary'!T34</f>
        <v>1342105</v>
      </c>
      <c r="L33" s="8">
        <f t="shared" si="6"/>
        <v>1.3421050000000001</v>
      </c>
      <c r="M33" s="10">
        <f t="shared" si="7"/>
        <v>4.12026235</v>
      </c>
      <c r="N33" s="21"/>
      <c r="O33" s="7">
        <f>'[6]Production Summary'!I34</f>
        <v>0</v>
      </c>
      <c r="P33" s="8">
        <f t="shared" si="8"/>
        <v>0</v>
      </c>
      <c r="Q33" s="10">
        <f t="shared" si="9"/>
        <v>0</v>
      </c>
      <c r="R33" s="7">
        <f>'[6]Production Summary'!C34</f>
        <v>0</v>
      </c>
      <c r="S33" s="8">
        <f t="shared" si="10"/>
        <v>0</v>
      </c>
      <c r="T33" s="10">
        <f t="shared" si="11"/>
        <v>0</v>
      </c>
      <c r="U33" s="7">
        <f>'[6]Production Summary'!F34</f>
        <v>8000000</v>
      </c>
      <c r="V33" s="8">
        <f t="shared" si="12"/>
        <v>8</v>
      </c>
      <c r="W33" s="10">
        <f t="shared" si="13"/>
        <v>24.56</v>
      </c>
      <c r="X33" s="7">
        <f>'[6]Production Summary'!AB34</f>
        <v>0</v>
      </c>
      <c r="Y33" s="8">
        <f t="shared" si="14"/>
        <v>0</v>
      </c>
      <c r="Z33" s="10">
        <f t="shared" si="15"/>
        <v>0</v>
      </c>
      <c r="AA33" s="15"/>
      <c r="AB33" s="7">
        <f t="shared" si="16"/>
        <v>14500000</v>
      </c>
      <c r="AC33" s="8">
        <f t="shared" si="16"/>
        <v>14.5</v>
      </c>
      <c r="AD33" s="8">
        <f t="shared" si="16"/>
        <v>44.515000000000001</v>
      </c>
    </row>
    <row r="34" spans="1:32" ht="14" thickBot="1" x14ac:dyDescent="0.2">
      <c r="A34" s="27">
        <v>38472</v>
      </c>
      <c r="B34" s="7">
        <f>'[6]Production Summary'!J35</f>
        <v>14300000.000000183</v>
      </c>
      <c r="C34" s="8">
        <f t="shared" si="1"/>
        <v>14.300000000000182</v>
      </c>
      <c r="D34" s="10">
        <f t="shared" si="2"/>
        <v>43.901000000000558</v>
      </c>
      <c r="E34" s="7">
        <f>'[6]Production Summary'!E35</f>
        <v>8000000</v>
      </c>
      <c r="F34" s="8">
        <f t="shared" si="3"/>
        <v>8</v>
      </c>
      <c r="G34" s="10">
        <f t="shared" si="4"/>
        <v>24.56</v>
      </c>
      <c r="H34" s="7">
        <f>'[6]Production Summary'!G35</f>
        <v>7990000</v>
      </c>
      <c r="I34" s="8">
        <f t="shared" si="0"/>
        <v>7.99</v>
      </c>
      <c r="J34" s="10">
        <f t="shared" si="5"/>
        <v>24.529299999999999</v>
      </c>
      <c r="K34" s="7">
        <f>'[6]Production Summary'!T35</f>
        <v>1340356</v>
      </c>
      <c r="L34" s="8">
        <f t="shared" si="6"/>
        <v>1.3403560000000001</v>
      </c>
      <c r="M34" s="10">
        <f t="shared" si="7"/>
        <v>4.11489292</v>
      </c>
      <c r="N34" s="21"/>
      <c r="O34" s="7">
        <f>'[6]Production Summary'!I35</f>
        <v>0</v>
      </c>
      <c r="P34" s="8">
        <f t="shared" si="8"/>
        <v>0</v>
      </c>
      <c r="Q34" s="10">
        <f t="shared" si="9"/>
        <v>0</v>
      </c>
      <c r="R34" s="7">
        <f>'[6]Production Summary'!C35</f>
        <v>0</v>
      </c>
      <c r="S34" s="8">
        <f t="shared" si="10"/>
        <v>0</v>
      </c>
      <c r="T34" s="10">
        <f t="shared" si="11"/>
        <v>0</v>
      </c>
      <c r="U34" s="7">
        <f>'[6]Production Summary'!F35</f>
        <v>8000000</v>
      </c>
      <c r="V34" s="8">
        <f t="shared" si="12"/>
        <v>8</v>
      </c>
      <c r="W34" s="10">
        <f t="shared" si="13"/>
        <v>24.56</v>
      </c>
      <c r="X34" s="7">
        <f>'[6]Production Summary'!AB35</f>
        <v>0</v>
      </c>
      <c r="Y34" s="8">
        <f t="shared" si="14"/>
        <v>0</v>
      </c>
      <c r="Z34" s="10">
        <f t="shared" si="15"/>
        <v>0</v>
      </c>
      <c r="AA34" s="15"/>
      <c r="AB34" s="7">
        <f t="shared" si="16"/>
        <v>14300000.000000183</v>
      </c>
      <c r="AC34" s="8">
        <f t="shared" si="16"/>
        <v>14.300000000000182</v>
      </c>
      <c r="AD34" s="8">
        <f t="shared" si="16"/>
        <v>43.901000000000558</v>
      </c>
    </row>
    <row r="35" spans="1:32" ht="14" thickBot="1" x14ac:dyDescent="0.2">
      <c r="A35" s="3"/>
      <c r="B35" s="38"/>
      <c r="C35" s="39">
        <f>SUM(C5:C34)</f>
        <v>471.40000000000009</v>
      </c>
      <c r="D35" s="39">
        <f>SUM(D5:D34)</f>
        <v>1447.1980000000008</v>
      </c>
      <c r="E35" s="38"/>
      <c r="F35" s="39">
        <f>SUM(F5:F34)</f>
        <v>270</v>
      </c>
      <c r="G35" s="39">
        <f>SUM(G5:G34)</f>
        <v>828.89999999999952</v>
      </c>
      <c r="H35" s="39"/>
      <c r="I35" s="39">
        <f>SUM(I5:I34)</f>
        <v>258.41999999999996</v>
      </c>
      <c r="J35" s="39">
        <f>SUM(J5:J34)</f>
        <v>793.34939999999995</v>
      </c>
      <c r="K35" s="38"/>
      <c r="L35" s="39">
        <f>SUM(L5:L34)</f>
        <v>42.972138000000001</v>
      </c>
      <c r="M35" s="39">
        <f>SUM(M5:M34)</f>
        <v>131.92446365999999</v>
      </c>
      <c r="N35" s="14"/>
      <c r="O35" s="39"/>
      <c r="P35" s="39">
        <f>SUM(P5:P34)</f>
        <v>0</v>
      </c>
      <c r="Q35" s="39">
        <f>SUM(Q5:Q34)</f>
        <v>0</v>
      </c>
      <c r="R35" s="39"/>
      <c r="S35" s="39">
        <f>SUM(S5:S34)</f>
        <v>0</v>
      </c>
      <c r="T35" s="39">
        <f>SUM(T5:T34)</f>
        <v>0</v>
      </c>
      <c r="U35" s="39"/>
      <c r="V35" s="39">
        <f>SUM(V5:V34)</f>
        <v>270</v>
      </c>
      <c r="W35" s="39">
        <f>SUM(W5:W34)</f>
        <v>828.89999999999952</v>
      </c>
      <c r="X35" s="39"/>
      <c r="Y35" s="39">
        <f>SUM(Y5:Y34)</f>
        <v>0</v>
      </c>
      <c r="Z35" s="39">
        <f>SUM(Z5:Z34)</f>
        <v>0</v>
      </c>
      <c r="AA35" s="14"/>
      <c r="AB35" s="38">
        <f t="shared" si="16"/>
        <v>0</v>
      </c>
      <c r="AC35" s="39">
        <f t="shared" si="16"/>
        <v>471.40000000000009</v>
      </c>
      <c r="AD35" s="39">
        <f t="shared" si="16"/>
        <v>1447.1980000000008</v>
      </c>
      <c r="AF35" s="18"/>
    </row>
    <row r="36" spans="1:32" x14ac:dyDescent="0.15">
      <c r="C36" s="18"/>
      <c r="E36" s="3"/>
      <c r="F36" s="3"/>
      <c r="G36" s="3"/>
      <c r="H36" s="3"/>
      <c r="I36" s="3"/>
      <c r="J36" s="15"/>
      <c r="K36" s="14"/>
      <c r="L36" s="3"/>
      <c r="M36" s="3"/>
      <c r="N36" s="3"/>
      <c r="O36" s="3"/>
      <c r="P36" s="3"/>
      <c r="Q36" s="3"/>
      <c r="R36" s="3"/>
      <c r="S36" s="3"/>
      <c r="T36" s="3"/>
      <c r="U36" s="14"/>
      <c r="AB36" s="23"/>
      <c r="AC36" s="30"/>
      <c r="AD36" s="23"/>
    </row>
  </sheetData>
  <mergeCells count="9">
    <mergeCell ref="R3:T3"/>
    <mergeCell ref="U3:W3"/>
    <mergeCell ref="AB3:AD3"/>
    <mergeCell ref="B3:D3"/>
    <mergeCell ref="E3:G3"/>
    <mergeCell ref="H3:J3"/>
    <mergeCell ref="O3:Q3"/>
    <mergeCell ref="K3:M3"/>
    <mergeCell ref="X3:Z3"/>
  </mergeCells>
  <phoneticPr fontId="1" type="noConversion"/>
  <pageMargins left="0.34" right="0.43" top="1" bottom="1" header="0.5" footer="0.5"/>
  <pageSetup paperSize="5" scale="54" orientation="landscape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>
    <pageSetUpPr fitToPage="1"/>
  </sheetPr>
  <dimension ref="A1:AD37"/>
  <sheetViews>
    <sheetView workbookViewId="0">
      <pane xSplit="1" ySplit="4" topLeftCell="B10" activePane="bottomRight" state="frozen"/>
      <selection activeCell="G30" sqref="G30:G34"/>
      <selection pane="topRight" activeCell="G30" sqref="G30:G34"/>
      <selection pane="bottomLeft" activeCell="G30" sqref="G30:G34"/>
      <selection pane="bottomRight" activeCell="G20" sqref="G20"/>
    </sheetView>
  </sheetViews>
  <sheetFormatPr baseColWidth="10" defaultColWidth="8.83203125" defaultRowHeight="13" x14ac:dyDescent="0.15"/>
  <cols>
    <col min="2" max="2" width="11.5" customWidth="1"/>
    <col min="5" max="5" width="11.1640625" customWidth="1"/>
    <col min="8" max="8" width="14.5" bestFit="1" customWidth="1"/>
    <col min="11" max="11" width="10.33203125" customWidth="1"/>
    <col min="12" max="12" width="11" customWidth="1"/>
    <col min="15" max="15" width="11.6640625" customWidth="1"/>
    <col min="18" max="18" width="11.33203125" customWidth="1"/>
    <col min="22" max="22" width="10.5" customWidth="1"/>
    <col min="24" max="24" width="11.6640625" bestFit="1" customWidth="1"/>
    <col min="28" max="28" width="13.33203125" customWidth="1"/>
  </cols>
  <sheetData>
    <row r="1" spans="1:30" x14ac:dyDescent="0.15">
      <c r="A1" s="42"/>
      <c r="B1" s="40"/>
      <c r="C1" s="25"/>
      <c r="D1" s="25"/>
      <c r="E1" s="25"/>
      <c r="F1" s="25"/>
      <c r="G1" s="3"/>
      <c r="H1" s="3"/>
      <c r="I1" s="3"/>
      <c r="J1" s="3"/>
      <c r="K1" s="14"/>
      <c r="L1" s="3"/>
      <c r="M1" s="3"/>
      <c r="N1" s="3"/>
      <c r="O1" s="3"/>
      <c r="P1" s="3"/>
      <c r="Q1" s="3"/>
      <c r="R1" s="3"/>
      <c r="S1" s="3"/>
      <c r="T1" s="3"/>
      <c r="U1" s="14"/>
      <c r="V1" s="3"/>
      <c r="W1" s="3"/>
      <c r="X1" s="3"/>
    </row>
    <row r="2" spans="1:30" ht="14" thickBot="1" x14ac:dyDescent="0.2">
      <c r="A2" s="3"/>
      <c r="B2" s="3"/>
      <c r="C2" s="24"/>
      <c r="D2" s="3"/>
      <c r="E2" s="3"/>
      <c r="F2" s="3"/>
      <c r="G2" s="3"/>
      <c r="H2" s="3"/>
      <c r="I2" s="3"/>
      <c r="J2" s="3"/>
      <c r="K2" s="14"/>
      <c r="L2" s="3"/>
      <c r="M2" s="3"/>
      <c r="N2" s="3"/>
      <c r="O2" s="3"/>
      <c r="P2" s="3"/>
      <c r="Q2" s="3"/>
      <c r="R2" s="3"/>
      <c r="S2" s="3"/>
      <c r="T2" s="3"/>
      <c r="U2" s="14"/>
      <c r="V2" s="3"/>
      <c r="W2" s="3"/>
      <c r="X2" s="3"/>
    </row>
    <row r="3" spans="1:30" ht="60.75" customHeight="1" thickBot="1" x14ac:dyDescent="0.2">
      <c r="A3" s="3"/>
      <c r="B3" s="58" t="s">
        <v>10</v>
      </c>
      <c r="C3" s="59"/>
      <c r="D3" s="60"/>
      <c r="E3" s="58" t="s">
        <v>11</v>
      </c>
      <c r="F3" s="59"/>
      <c r="G3" s="60"/>
      <c r="H3" s="58" t="s">
        <v>12</v>
      </c>
      <c r="I3" s="59"/>
      <c r="J3" s="60"/>
      <c r="K3" s="58" t="s">
        <v>13</v>
      </c>
      <c r="L3" s="59"/>
      <c r="M3" s="60"/>
      <c r="N3" s="19"/>
      <c r="O3" s="58" t="s">
        <v>4</v>
      </c>
      <c r="P3" s="59"/>
      <c r="Q3" s="60"/>
      <c r="R3" s="58" t="s">
        <v>3</v>
      </c>
      <c r="S3" s="59"/>
      <c r="T3" s="60"/>
      <c r="U3" s="58" t="s">
        <v>15</v>
      </c>
      <c r="V3" s="59"/>
      <c r="W3" s="60"/>
      <c r="X3" s="58" t="s">
        <v>7</v>
      </c>
      <c r="Y3" s="59"/>
      <c r="Z3" s="60"/>
      <c r="AA3" s="19"/>
      <c r="AB3" s="55" t="s">
        <v>8</v>
      </c>
      <c r="AC3" s="56"/>
      <c r="AD3" s="57"/>
    </row>
    <row r="4" spans="1:30" x14ac:dyDescent="0.15">
      <c r="A4" s="26"/>
      <c r="B4" s="4" t="s">
        <v>0</v>
      </c>
      <c r="C4" s="17" t="s">
        <v>1</v>
      </c>
      <c r="D4" s="6" t="s">
        <v>2</v>
      </c>
      <c r="E4" s="4" t="s">
        <v>0</v>
      </c>
      <c r="F4" s="5" t="s">
        <v>1</v>
      </c>
      <c r="G4" s="6" t="s">
        <v>2</v>
      </c>
      <c r="H4" s="4" t="s">
        <v>0</v>
      </c>
      <c r="I4" s="5" t="s">
        <v>1</v>
      </c>
      <c r="J4" s="6" t="s">
        <v>2</v>
      </c>
      <c r="K4" s="4" t="s">
        <v>0</v>
      </c>
      <c r="L4" s="5" t="s">
        <v>1</v>
      </c>
      <c r="M4" s="6" t="s">
        <v>2</v>
      </c>
      <c r="N4" s="19"/>
      <c r="O4" s="4" t="s">
        <v>0</v>
      </c>
      <c r="P4" s="5" t="s">
        <v>1</v>
      </c>
      <c r="Q4" s="6" t="s">
        <v>2</v>
      </c>
      <c r="R4" s="4" t="s">
        <v>0</v>
      </c>
      <c r="S4" s="5" t="s">
        <v>1</v>
      </c>
      <c r="T4" s="6" t="s">
        <v>2</v>
      </c>
      <c r="U4" s="4" t="s">
        <v>0</v>
      </c>
      <c r="V4" s="5" t="s">
        <v>1</v>
      </c>
      <c r="W4" s="6" t="s">
        <v>2</v>
      </c>
      <c r="X4" s="4" t="s">
        <v>0</v>
      </c>
      <c r="Y4" s="5" t="s">
        <v>1</v>
      </c>
      <c r="Z4" s="6" t="s">
        <v>2</v>
      </c>
      <c r="AA4" s="19"/>
      <c r="AB4" s="4" t="s">
        <v>0</v>
      </c>
      <c r="AC4" s="5" t="s">
        <v>1</v>
      </c>
      <c r="AD4" s="6" t="s">
        <v>2</v>
      </c>
    </row>
    <row r="5" spans="1:30" x14ac:dyDescent="0.15">
      <c r="A5" s="27">
        <v>38473</v>
      </c>
      <c r="B5" s="7">
        <f>'[6]Production Summary'!J36</f>
        <v>13299999.999999728</v>
      </c>
      <c r="C5" s="8">
        <f t="shared" ref="C5" si="0">B5/1000000</f>
        <v>13.299999999999729</v>
      </c>
      <c r="D5" s="10">
        <f t="shared" ref="D5" si="1">C5*3.07</f>
        <v>40.830999999999165</v>
      </c>
      <c r="E5" s="7">
        <f>'[6]Production Summary'!E36</f>
        <v>8000000</v>
      </c>
      <c r="F5" s="8">
        <f t="shared" ref="F5" si="2">E5/1000000</f>
        <v>8</v>
      </c>
      <c r="G5" s="10">
        <f t="shared" ref="G5" si="3">F5*3.07</f>
        <v>24.56</v>
      </c>
      <c r="H5" s="7">
        <f>'[6]Production Summary'!G36</f>
        <v>7940000</v>
      </c>
      <c r="I5" s="8">
        <f t="shared" ref="I5" si="4">H5/1000000</f>
        <v>7.94</v>
      </c>
      <c r="J5" s="10">
        <f t="shared" ref="J5" si="5">I5*3.07</f>
        <v>24.375800000000002</v>
      </c>
      <c r="K5" s="7">
        <f>'[6]Production Summary'!T36</f>
        <v>1295009</v>
      </c>
      <c r="L5" s="8">
        <f t="shared" ref="L5" si="6">K5/1000000</f>
        <v>1.2950090000000001</v>
      </c>
      <c r="M5" s="10">
        <f t="shared" ref="M5" si="7">L5*3.07</f>
        <v>3.9756776299999999</v>
      </c>
      <c r="N5" s="21"/>
      <c r="O5" s="7">
        <f>'[6]Production Summary'!I36</f>
        <v>0</v>
      </c>
      <c r="P5" s="8">
        <f t="shared" ref="P5" si="8">O5/1000000</f>
        <v>0</v>
      </c>
      <c r="Q5" s="10">
        <f t="shared" ref="Q5" si="9">P5*3.07</f>
        <v>0</v>
      </c>
      <c r="R5" s="7">
        <f>'[6]Production Summary'!C36</f>
        <v>0</v>
      </c>
      <c r="S5" s="8">
        <f t="shared" ref="S5" si="10">R5/1000000</f>
        <v>0</v>
      </c>
      <c r="T5" s="10">
        <f t="shared" ref="T5" si="11">S5*3.07</f>
        <v>0</v>
      </c>
      <c r="U5" s="7">
        <f>'[6]Production Summary'!F36</f>
        <v>8000000</v>
      </c>
      <c r="V5" s="8">
        <f t="shared" ref="V5" si="12">U5/1000000</f>
        <v>8</v>
      </c>
      <c r="W5" s="10">
        <f t="shared" ref="W5" si="13">V5*3.07</f>
        <v>24.56</v>
      </c>
      <c r="X5" s="7">
        <f>'[6]Production Summary'!AB36</f>
        <v>0</v>
      </c>
      <c r="Y5" s="8">
        <f t="shared" ref="Y5" si="14">X5/1000000</f>
        <v>0</v>
      </c>
      <c r="Z5" s="10">
        <f t="shared" ref="Z5" si="15">Y5*3.07</f>
        <v>0</v>
      </c>
      <c r="AA5" s="15"/>
      <c r="AB5" s="7">
        <f t="shared" ref="AB5:AD5" si="16">B5+O5</f>
        <v>13299999.999999728</v>
      </c>
      <c r="AC5" s="8">
        <f t="shared" si="16"/>
        <v>13.299999999999729</v>
      </c>
      <c r="AD5" s="8">
        <f t="shared" si="16"/>
        <v>40.830999999999165</v>
      </c>
    </row>
    <row r="6" spans="1:30" x14ac:dyDescent="0.15">
      <c r="A6" s="27">
        <v>38474</v>
      </c>
      <c r="B6" s="7">
        <f>'[6]Production Summary'!J37</f>
        <v>15300000.000000183</v>
      </c>
      <c r="C6" s="8">
        <f t="shared" ref="C6:C35" si="17">B6/1000000</f>
        <v>15.300000000000182</v>
      </c>
      <c r="D6" s="10">
        <f t="shared" ref="D6:D35" si="18">C6*3.07</f>
        <v>46.971000000000558</v>
      </c>
      <c r="E6" s="7">
        <f>'[6]Production Summary'!E37</f>
        <v>8000000</v>
      </c>
      <c r="F6" s="8">
        <f t="shared" ref="F6:F35" si="19">E6/1000000</f>
        <v>8</v>
      </c>
      <c r="G6" s="10">
        <f t="shared" ref="G6:G35" si="20">F6*3.07</f>
        <v>24.56</v>
      </c>
      <c r="H6" s="7">
        <f>'[6]Production Summary'!G37</f>
        <v>8020000</v>
      </c>
      <c r="I6" s="8">
        <f t="shared" ref="I6:I35" si="21">H6/1000000</f>
        <v>8.02</v>
      </c>
      <c r="J6" s="10">
        <f t="shared" ref="J6:J35" si="22">I6*3.07</f>
        <v>24.621399999999998</v>
      </c>
      <c r="K6" s="7">
        <f>'[6]Production Summary'!T37</f>
        <v>1270021</v>
      </c>
      <c r="L6" s="8">
        <f t="shared" ref="L6:L35" si="23">K6/1000000</f>
        <v>1.2700210000000001</v>
      </c>
      <c r="M6" s="10">
        <f t="shared" ref="M6:M35" si="24">L6*3.07</f>
        <v>3.8989644700000001</v>
      </c>
      <c r="N6" s="21"/>
      <c r="O6" s="7">
        <f>'[6]Production Summary'!I37</f>
        <v>0</v>
      </c>
      <c r="P6" s="8">
        <f t="shared" ref="P6:P35" si="25">O6/1000000</f>
        <v>0</v>
      </c>
      <c r="Q6" s="10">
        <f t="shared" ref="Q6:Q35" si="26">P6*3.07</f>
        <v>0</v>
      </c>
      <c r="R6" s="7">
        <f>'[6]Production Summary'!C37</f>
        <v>0</v>
      </c>
      <c r="S6" s="8">
        <f t="shared" ref="S6:S35" si="27">R6/1000000</f>
        <v>0</v>
      </c>
      <c r="T6" s="10">
        <f t="shared" ref="T6:T35" si="28">S6*3.07</f>
        <v>0</v>
      </c>
      <c r="U6" s="7">
        <f>'[6]Production Summary'!F37</f>
        <v>8000000</v>
      </c>
      <c r="V6" s="8">
        <f t="shared" ref="V6:V35" si="29">U6/1000000</f>
        <v>8</v>
      </c>
      <c r="W6" s="10">
        <f t="shared" ref="W6:W35" si="30">V6*3.07</f>
        <v>24.56</v>
      </c>
      <c r="X6" s="7">
        <f>'[6]Production Summary'!AB37</f>
        <v>0</v>
      </c>
      <c r="Y6" s="8">
        <f t="shared" ref="Y6:Y35" si="31">X6/1000000</f>
        <v>0</v>
      </c>
      <c r="Z6" s="10">
        <f t="shared" ref="Z6:Z35" si="32">Y6*3.07</f>
        <v>0</v>
      </c>
      <c r="AA6" s="15"/>
      <c r="AB6" s="7">
        <f t="shared" ref="AB6:AD35" si="33">B6+O6</f>
        <v>15300000.000000183</v>
      </c>
      <c r="AC6" s="8">
        <f t="shared" si="33"/>
        <v>15.300000000000182</v>
      </c>
      <c r="AD6" s="8">
        <f t="shared" si="33"/>
        <v>46.971000000000558</v>
      </c>
    </row>
    <row r="7" spans="1:30" x14ac:dyDescent="0.15">
      <c r="A7" s="27">
        <v>38475</v>
      </c>
      <c r="B7" s="7">
        <f>'[6]Production Summary'!J38</f>
        <v>16000000</v>
      </c>
      <c r="C7" s="8">
        <f t="shared" si="17"/>
        <v>16</v>
      </c>
      <c r="D7" s="10">
        <f t="shared" si="18"/>
        <v>49.12</v>
      </c>
      <c r="E7" s="7">
        <f>'[6]Production Summary'!E38</f>
        <v>10000000</v>
      </c>
      <c r="F7" s="8">
        <f t="shared" si="19"/>
        <v>10</v>
      </c>
      <c r="G7" s="10">
        <f t="shared" si="20"/>
        <v>30.7</v>
      </c>
      <c r="H7" s="7">
        <f>'[6]Production Summary'!G38</f>
        <v>8920000</v>
      </c>
      <c r="I7" s="8">
        <f t="shared" si="21"/>
        <v>8.92</v>
      </c>
      <c r="J7" s="10">
        <f t="shared" si="22"/>
        <v>27.384399999999999</v>
      </c>
      <c r="K7" s="7">
        <f>'[6]Production Summary'!T38</f>
        <v>1557308</v>
      </c>
      <c r="L7" s="8">
        <f t="shared" si="23"/>
        <v>1.5573079999999999</v>
      </c>
      <c r="M7" s="10">
        <f t="shared" si="24"/>
        <v>4.7809355599999996</v>
      </c>
      <c r="N7" s="21"/>
      <c r="O7" s="7">
        <f>'[6]Production Summary'!I38</f>
        <v>0</v>
      </c>
      <c r="P7" s="8">
        <f t="shared" si="25"/>
        <v>0</v>
      </c>
      <c r="Q7" s="10">
        <f t="shared" si="26"/>
        <v>0</v>
      </c>
      <c r="R7" s="7">
        <f>'[6]Production Summary'!C38</f>
        <v>0</v>
      </c>
      <c r="S7" s="8">
        <f t="shared" si="27"/>
        <v>0</v>
      </c>
      <c r="T7" s="10">
        <f t="shared" si="28"/>
        <v>0</v>
      </c>
      <c r="U7" s="7">
        <f>'[6]Production Summary'!F38</f>
        <v>10000000</v>
      </c>
      <c r="V7" s="8">
        <f t="shared" si="29"/>
        <v>10</v>
      </c>
      <c r="W7" s="10">
        <f t="shared" si="30"/>
        <v>30.7</v>
      </c>
      <c r="X7" s="7">
        <f>'[6]Production Summary'!AB38</f>
        <v>0</v>
      </c>
      <c r="Y7" s="8">
        <f t="shared" si="31"/>
        <v>0</v>
      </c>
      <c r="Z7" s="10">
        <f t="shared" si="32"/>
        <v>0</v>
      </c>
      <c r="AA7" s="15"/>
      <c r="AB7" s="7">
        <f t="shared" si="33"/>
        <v>16000000</v>
      </c>
      <c r="AC7" s="8">
        <f t="shared" si="33"/>
        <v>16</v>
      </c>
      <c r="AD7" s="8">
        <f t="shared" si="33"/>
        <v>49.12</v>
      </c>
    </row>
    <row r="8" spans="1:30" x14ac:dyDescent="0.15">
      <c r="A8" s="27">
        <v>38476</v>
      </c>
      <c r="B8" s="7">
        <f>'[6]Production Summary'!J39</f>
        <v>16000000</v>
      </c>
      <c r="C8" s="8">
        <f t="shared" si="17"/>
        <v>16</v>
      </c>
      <c r="D8" s="10">
        <f t="shared" si="18"/>
        <v>49.12</v>
      </c>
      <c r="E8" s="7">
        <f>'[6]Production Summary'!E39</f>
        <v>9000000</v>
      </c>
      <c r="F8" s="8">
        <f t="shared" si="19"/>
        <v>9</v>
      </c>
      <c r="G8" s="10">
        <f t="shared" si="20"/>
        <v>27.63</v>
      </c>
      <c r="H8" s="7">
        <f>'[6]Production Summary'!G39</f>
        <v>8190000</v>
      </c>
      <c r="I8" s="8">
        <f t="shared" si="21"/>
        <v>8.19</v>
      </c>
      <c r="J8" s="10">
        <f t="shared" si="22"/>
        <v>25.143299999999996</v>
      </c>
      <c r="K8" s="7">
        <f>'[6]Production Summary'!T39</f>
        <v>1364733</v>
      </c>
      <c r="L8" s="8">
        <f t="shared" si="23"/>
        <v>1.364733</v>
      </c>
      <c r="M8" s="10">
        <f t="shared" si="24"/>
        <v>4.1897303099999998</v>
      </c>
      <c r="N8" s="21"/>
      <c r="O8" s="7">
        <f>'[6]Production Summary'!I39</f>
        <v>0</v>
      </c>
      <c r="P8" s="8">
        <f t="shared" si="25"/>
        <v>0</v>
      </c>
      <c r="Q8" s="10">
        <f t="shared" si="26"/>
        <v>0</v>
      </c>
      <c r="R8" s="7">
        <f>'[6]Production Summary'!C39</f>
        <v>0</v>
      </c>
      <c r="S8" s="8">
        <f t="shared" si="27"/>
        <v>0</v>
      </c>
      <c r="T8" s="10">
        <f t="shared" si="28"/>
        <v>0</v>
      </c>
      <c r="U8" s="7">
        <f>'[6]Production Summary'!F39</f>
        <v>9000000</v>
      </c>
      <c r="V8" s="8">
        <f t="shared" si="29"/>
        <v>9</v>
      </c>
      <c r="W8" s="10">
        <f t="shared" si="30"/>
        <v>27.63</v>
      </c>
      <c r="X8" s="7">
        <f>'[6]Production Summary'!AB39</f>
        <v>0</v>
      </c>
      <c r="Y8" s="8">
        <f t="shared" si="31"/>
        <v>0</v>
      </c>
      <c r="Z8" s="10">
        <f t="shared" si="32"/>
        <v>0</v>
      </c>
      <c r="AA8" s="15"/>
      <c r="AB8" s="7">
        <f t="shared" si="33"/>
        <v>16000000</v>
      </c>
      <c r="AC8" s="8">
        <f t="shared" si="33"/>
        <v>16</v>
      </c>
      <c r="AD8" s="8">
        <f t="shared" si="33"/>
        <v>49.12</v>
      </c>
    </row>
    <row r="9" spans="1:30" x14ac:dyDescent="0.15">
      <c r="A9" s="27">
        <v>38477</v>
      </c>
      <c r="B9" s="7">
        <f>'[6]Production Summary'!J40</f>
        <v>17900000.000000089</v>
      </c>
      <c r="C9" s="8">
        <f t="shared" si="17"/>
        <v>17.900000000000091</v>
      </c>
      <c r="D9" s="10">
        <f t="shared" si="18"/>
        <v>54.953000000000273</v>
      </c>
      <c r="E9" s="7">
        <f>'[6]Production Summary'!E40</f>
        <v>11000000</v>
      </c>
      <c r="F9" s="8">
        <f t="shared" si="19"/>
        <v>11</v>
      </c>
      <c r="G9" s="10">
        <f t="shared" si="20"/>
        <v>33.769999999999996</v>
      </c>
      <c r="H9" s="7">
        <f>'[6]Production Summary'!G40</f>
        <v>9320000</v>
      </c>
      <c r="I9" s="8">
        <f t="shared" si="21"/>
        <v>9.32</v>
      </c>
      <c r="J9" s="10">
        <f t="shared" si="22"/>
        <v>28.612400000000001</v>
      </c>
      <c r="K9" s="7">
        <f>'[6]Production Summary'!T40</f>
        <v>1632335</v>
      </c>
      <c r="L9" s="8">
        <f t="shared" si="23"/>
        <v>1.6323350000000001</v>
      </c>
      <c r="M9" s="10">
        <f t="shared" si="24"/>
        <v>5.0112684500000002</v>
      </c>
      <c r="N9" s="21"/>
      <c r="O9" s="7">
        <f>'[6]Production Summary'!I40</f>
        <v>0</v>
      </c>
      <c r="P9" s="8">
        <f t="shared" si="25"/>
        <v>0</v>
      </c>
      <c r="Q9" s="10">
        <f t="shared" si="26"/>
        <v>0</v>
      </c>
      <c r="R9" s="7">
        <f>'[6]Production Summary'!C40</f>
        <v>0</v>
      </c>
      <c r="S9" s="8">
        <f t="shared" si="27"/>
        <v>0</v>
      </c>
      <c r="T9" s="10">
        <f t="shared" si="28"/>
        <v>0</v>
      </c>
      <c r="U9" s="7">
        <f>'[6]Production Summary'!F40</f>
        <v>11000000</v>
      </c>
      <c r="V9" s="8">
        <f t="shared" si="29"/>
        <v>11</v>
      </c>
      <c r="W9" s="10">
        <f t="shared" si="30"/>
        <v>33.769999999999996</v>
      </c>
      <c r="X9" s="7">
        <f>'[6]Production Summary'!AB40</f>
        <v>0</v>
      </c>
      <c r="Y9" s="8">
        <f t="shared" si="31"/>
        <v>0</v>
      </c>
      <c r="Z9" s="10">
        <f t="shared" si="32"/>
        <v>0</v>
      </c>
      <c r="AA9" s="15"/>
      <c r="AB9" s="7">
        <f t="shared" si="33"/>
        <v>17900000.000000089</v>
      </c>
      <c r="AC9" s="8">
        <f t="shared" si="33"/>
        <v>17.900000000000091</v>
      </c>
      <c r="AD9" s="8">
        <f t="shared" si="33"/>
        <v>54.953000000000273</v>
      </c>
    </row>
    <row r="10" spans="1:30" x14ac:dyDescent="0.15">
      <c r="A10" s="27">
        <v>38478</v>
      </c>
      <c r="B10" s="7">
        <f>'[6]Production Summary'!J41</f>
        <v>23699999.999999817</v>
      </c>
      <c r="C10" s="8">
        <f t="shared" si="17"/>
        <v>23.699999999999818</v>
      </c>
      <c r="D10" s="10">
        <f t="shared" si="18"/>
        <v>72.758999999999432</v>
      </c>
      <c r="E10" s="7">
        <f>'[6]Production Summary'!E41</f>
        <v>17000000</v>
      </c>
      <c r="F10" s="8">
        <f t="shared" si="19"/>
        <v>17</v>
      </c>
      <c r="G10" s="10">
        <f t="shared" si="20"/>
        <v>52.19</v>
      </c>
      <c r="H10" s="7">
        <f>'[6]Production Summary'!G41</f>
        <v>10030000</v>
      </c>
      <c r="I10" s="8">
        <f t="shared" si="21"/>
        <v>10.029999999999999</v>
      </c>
      <c r="J10" s="10">
        <f t="shared" si="22"/>
        <v>30.792099999999998</v>
      </c>
      <c r="K10" s="7">
        <f>'[6]Production Summary'!T41</f>
        <v>2268768</v>
      </c>
      <c r="L10" s="8">
        <f t="shared" si="23"/>
        <v>2.2687680000000001</v>
      </c>
      <c r="M10" s="10">
        <f t="shared" si="24"/>
        <v>6.96511776</v>
      </c>
      <c r="N10" s="21"/>
      <c r="O10" s="7">
        <f>'[6]Production Summary'!I41</f>
        <v>0</v>
      </c>
      <c r="P10" s="8">
        <f t="shared" si="25"/>
        <v>0</v>
      </c>
      <c r="Q10" s="10">
        <f t="shared" si="26"/>
        <v>0</v>
      </c>
      <c r="R10" s="7">
        <f>'[6]Production Summary'!C41</f>
        <v>0</v>
      </c>
      <c r="S10" s="8">
        <f t="shared" si="27"/>
        <v>0</v>
      </c>
      <c r="T10" s="10">
        <f t="shared" si="28"/>
        <v>0</v>
      </c>
      <c r="U10" s="7">
        <f>'[6]Production Summary'!F41</f>
        <v>17000000</v>
      </c>
      <c r="V10" s="8">
        <f t="shared" si="29"/>
        <v>17</v>
      </c>
      <c r="W10" s="10">
        <f t="shared" si="30"/>
        <v>52.19</v>
      </c>
      <c r="X10" s="7">
        <f>'[6]Production Summary'!AB41</f>
        <v>0</v>
      </c>
      <c r="Y10" s="8">
        <f t="shared" si="31"/>
        <v>0</v>
      </c>
      <c r="Z10" s="10">
        <f t="shared" si="32"/>
        <v>0</v>
      </c>
      <c r="AA10" s="15"/>
      <c r="AB10" s="7">
        <f t="shared" si="33"/>
        <v>23699999.999999817</v>
      </c>
      <c r="AC10" s="8">
        <f t="shared" si="33"/>
        <v>23.699999999999818</v>
      </c>
      <c r="AD10" s="8">
        <f t="shared" si="33"/>
        <v>72.758999999999432</v>
      </c>
    </row>
    <row r="11" spans="1:30" x14ac:dyDescent="0.15">
      <c r="A11" s="27">
        <v>38479</v>
      </c>
      <c r="B11" s="7">
        <f>'[6]Production Summary'!J42</f>
        <v>25300000.000000183</v>
      </c>
      <c r="C11" s="8">
        <f t="shared" si="17"/>
        <v>25.300000000000182</v>
      </c>
      <c r="D11" s="10">
        <f t="shared" si="18"/>
        <v>77.671000000000561</v>
      </c>
      <c r="E11" s="7">
        <f>'[6]Production Summary'!E42</f>
        <v>18000000</v>
      </c>
      <c r="F11" s="8">
        <f t="shared" si="19"/>
        <v>18</v>
      </c>
      <c r="G11" s="10">
        <f t="shared" si="20"/>
        <v>55.26</v>
      </c>
      <c r="H11" s="7">
        <f>'[6]Production Summary'!G42</f>
        <v>10030000</v>
      </c>
      <c r="I11" s="8">
        <f t="shared" si="21"/>
        <v>10.029999999999999</v>
      </c>
      <c r="J11" s="10">
        <f t="shared" si="22"/>
        <v>30.792099999999998</v>
      </c>
      <c r="K11" s="7">
        <f>'[6]Production Summary'!T42</f>
        <v>2371298</v>
      </c>
      <c r="L11" s="8">
        <f t="shared" si="23"/>
        <v>2.3712979999999999</v>
      </c>
      <c r="M11" s="10">
        <f t="shared" si="24"/>
        <v>7.2798848599999992</v>
      </c>
      <c r="N11" s="21"/>
      <c r="O11" s="7">
        <f>'[6]Production Summary'!I42</f>
        <v>0</v>
      </c>
      <c r="P11" s="8">
        <f t="shared" si="25"/>
        <v>0</v>
      </c>
      <c r="Q11" s="10">
        <f t="shared" si="26"/>
        <v>0</v>
      </c>
      <c r="R11" s="7">
        <f>'[6]Production Summary'!C42</f>
        <v>0</v>
      </c>
      <c r="S11" s="8">
        <f t="shared" si="27"/>
        <v>0</v>
      </c>
      <c r="T11" s="10">
        <f t="shared" si="28"/>
        <v>0</v>
      </c>
      <c r="U11" s="7">
        <f>'[6]Production Summary'!F42</f>
        <v>18000000</v>
      </c>
      <c r="V11" s="8">
        <f t="shared" si="29"/>
        <v>18</v>
      </c>
      <c r="W11" s="10">
        <f t="shared" si="30"/>
        <v>55.26</v>
      </c>
      <c r="X11" s="7">
        <f>'[6]Production Summary'!AB42</f>
        <v>0</v>
      </c>
      <c r="Y11" s="8">
        <f t="shared" si="31"/>
        <v>0</v>
      </c>
      <c r="Z11" s="10">
        <f t="shared" si="32"/>
        <v>0</v>
      </c>
      <c r="AA11" s="15"/>
      <c r="AB11" s="7">
        <f t="shared" si="33"/>
        <v>25300000.000000183</v>
      </c>
      <c r="AC11" s="8">
        <f t="shared" si="33"/>
        <v>25.300000000000182</v>
      </c>
      <c r="AD11" s="8">
        <f t="shared" si="33"/>
        <v>77.671000000000561</v>
      </c>
    </row>
    <row r="12" spans="1:30" x14ac:dyDescent="0.15">
      <c r="A12" s="27">
        <v>38480</v>
      </c>
      <c r="B12" s="7">
        <f>'[6]Production Summary'!J43</f>
        <v>17299999.999999728</v>
      </c>
      <c r="C12" s="8">
        <f t="shared" si="17"/>
        <v>17.299999999999727</v>
      </c>
      <c r="D12" s="10">
        <f t="shared" si="18"/>
        <v>53.110999999999159</v>
      </c>
      <c r="E12" s="7">
        <f>'[6]Production Summary'!E43</f>
        <v>11000000</v>
      </c>
      <c r="F12" s="8">
        <f t="shared" si="19"/>
        <v>11</v>
      </c>
      <c r="G12" s="10">
        <f t="shared" si="20"/>
        <v>33.769999999999996</v>
      </c>
      <c r="H12" s="7">
        <f>'[6]Production Summary'!G43</f>
        <v>8270000</v>
      </c>
      <c r="I12" s="8">
        <f t="shared" si="21"/>
        <v>8.27</v>
      </c>
      <c r="J12" s="10">
        <f t="shared" si="22"/>
        <v>25.388899999999996</v>
      </c>
      <c r="K12" s="7">
        <f>'[6]Production Summary'!T43</f>
        <v>1647573</v>
      </c>
      <c r="L12" s="8">
        <f t="shared" si="23"/>
        <v>1.647573</v>
      </c>
      <c r="M12" s="10">
        <f t="shared" si="24"/>
        <v>5.0580491099999998</v>
      </c>
      <c r="N12" s="21"/>
      <c r="O12" s="7">
        <f>'[6]Production Summary'!I43</f>
        <v>0</v>
      </c>
      <c r="P12" s="8">
        <f t="shared" si="25"/>
        <v>0</v>
      </c>
      <c r="Q12" s="10">
        <f t="shared" si="26"/>
        <v>0</v>
      </c>
      <c r="R12" s="7">
        <f>'[6]Production Summary'!C43</f>
        <v>0</v>
      </c>
      <c r="S12" s="8">
        <f t="shared" si="27"/>
        <v>0</v>
      </c>
      <c r="T12" s="10">
        <f t="shared" si="28"/>
        <v>0</v>
      </c>
      <c r="U12" s="7">
        <f>'[6]Production Summary'!F43</f>
        <v>11000000</v>
      </c>
      <c r="V12" s="8">
        <f t="shared" si="29"/>
        <v>11</v>
      </c>
      <c r="W12" s="10">
        <f t="shared" si="30"/>
        <v>33.769999999999996</v>
      </c>
      <c r="X12" s="7">
        <f>'[6]Production Summary'!AB43</f>
        <v>0</v>
      </c>
      <c r="Y12" s="8">
        <f t="shared" si="31"/>
        <v>0</v>
      </c>
      <c r="Z12" s="10">
        <f t="shared" si="32"/>
        <v>0</v>
      </c>
      <c r="AA12" s="15"/>
      <c r="AB12" s="7">
        <f t="shared" si="33"/>
        <v>17299999.999999728</v>
      </c>
      <c r="AC12" s="8">
        <f t="shared" si="33"/>
        <v>17.299999999999727</v>
      </c>
      <c r="AD12" s="8">
        <f t="shared" si="33"/>
        <v>53.110999999999159</v>
      </c>
    </row>
    <row r="13" spans="1:30" x14ac:dyDescent="0.15">
      <c r="A13" s="27">
        <v>38481</v>
      </c>
      <c r="B13" s="7">
        <f>'[6]Production Summary'!J44</f>
        <v>14900000.000000091</v>
      </c>
      <c r="C13" s="8">
        <f t="shared" si="17"/>
        <v>14.900000000000091</v>
      </c>
      <c r="D13" s="10">
        <f t="shared" si="18"/>
        <v>45.743000000000279</v>
      </c>
      <c r="E13" s="7">
        <f>'[6]Production Summary'!E44</f>
        <v>9000000</v>
      </c>
      <c r="F13" s="8">
        <f t="shared" si="19"/>
        <v>9</v>
      </c>
      <c r="G13" s="10">
        <f t="shared" si="20"/>
        <v>27.63</v>
      </c>
      <c r="H13" s="7">
        <f>'[6]Production Summary'!G44</f>
        <v>7650000</v>
      </c>
      <c r="I13" s="8">
        <f t="shared" si="21"/>
        <v>7.65</v>
      </c>
      <c r="J13" s="10">
        <f t="shared" si="22"/>
        <v>23.485499999999998</v>
      </c>
      <c r="K13" s="7">
        <f>'[6]Production Summary'!T44</f>
        <v>1306790</v>
      </c>
      <c r="L13" s="8">
        <f t="shared" si="23"/>
        <v>1.3067899999999999</v>
      </c>
      <c r="M13" s="10">
        <f t="shared" si="24"/>
        <v>4.0118452999999992</v>
      </c>
      <c r="N13" s="21"/>
      <c r="O13" s="7">
        <f>'[6]Production Summary'!I44</f>
        <v>0</v>
      </c>
      <c r="P13" s="8">
        <f t="shared" si="25"/>
        <v>0</v>
      </c>
      <c r="Q13" s="10">
        <f t="shared" si="26"/>
        <v>0</v>
      </c>
      <c r="R13" s="7">
        <f>'[6]Production Summary'!C44</f>
        <v>0</v>
      </c>
      <c r="S13" s="8">
        <f t="shared" si="27"/>
        <v>0</v>
      </c>
      <c r="T13" s="10">
        <f t="shared" si="28"/>
        <v>0</v>
      </c>
      <c r="U13" s="7">
        <f>'[6]Production Summary'!F44</f>
        <v>9000000</v>
      </c>
      <c r="V13" s="8">
        <f t="shared" si="29"/>
        <v>9</v>
      </c>
      <c r="W13" s="10">
        <f t="shared" si="30"/>
        <v>27.63</v>
      </c>
      <c r="X13" s="7">
        <f>'[6]Production Summary'!AB44</f>
        <v>0</v>
      </c>
      <c r="Y13" s="8">
        <f t="shared" si="31"/>
        <v>0</v>
      </c>
      <c r="Z13" s="10">
        <f t="shared" si="32"/>
        <v>0</v>
      </c>
      <c r="AA13" s="15"/>
      <c r="AB13" s="7">
        <f t="shared" si="33"/>
        <v>14900000.000000091</v>
      </c>
      <c r="AC13" s="8">
        <f t="shared" si="33"/>
        <v>14.900000000000091</v>
      </c>
      <c r="AD13" s="8">
        <f t="shared" si="33"/>
        <v>45.743000000000279</v>
      </c>
    </row>
    <row r="14" spans="1:30" x14ac:dyDescent="0.15">
      <c r="A14" s="27">
        <v>38482</v>
      </c>
      <c r="B14" s="7">
        <f>'[6]Production Summary'!J45</f>
        <v>14400000.000000091</v>
      </c>
      <c r="C14" s="8">
        <f t="shared" si="17"/>
        <v>14.400000000000091</v>
      </c>
      <c r="D14" s="10">
        <f t="shared" si="18"/>
        <v>44.208000000000276</v>
      </c>
      <c r="E14" s="7">
        <f>'[6]Production Summary'!E45</f>
        <v>9000000</v>
      </c>
      <c r="F14" s="8">
        <f t="shared" si="19"/>
        <v>9</v>
      </c>
      <c r="G14" s="10">
        <f t="shared" si="20"/>
        <v>27.63</v>
      </c>
      <c r="H14" s="7">
        <f>'[6]Production Summary'!G45</f>
        <v>7850000</v>
      </c>
      <c r="I14" s="8">
        <f t="shared" si="21"/>
        <v>7.85</v>
      </c>
      <c r="J14" s="10">
        <f t="shared" si="22"/>
        <v>24.099499999999999</v>
      </c>
      <c r="K14" s="7">
        <f>'[6]Production Summary'!T45</f>
        <v>1586764</v>
      </c>
      <c r="L14" s="8">
        <f t="shared" si="23"/>
        <v>1.5867640000000001</v>
      </c>
      <c r="M14" s="10">
        <f t="shared" si="24"/>
        <v>4.8713654799999997</v>
      </c>
      <c r="N14" s="21"/>
      <c r="O14" s="7">
        <f>'[6]Production Summary'!I45</f>
        <v>0</v>
      </c>
      <c r="P14" s="8">
        <f t="shared" si="25"/>
        <v>0</v>
      </c>
      <c r="Q14" s="10">
        <f t="shared" si="26"/>
        <v>0</v>
      </c>
      <c r="R14" s="7">
        <f>'[6]Production Summary'!C45</f>
        <v>0</v>
      </c>
      <c r="S14" s="8">
        <f t="shared" si="27"/>
        <v>0</v>
      </c>
      <c r="T14" s="10">
        <f t="shared" si="28"/>
        <v>0</v>
      </c>
      <c r="U14" s="7">
        <f>'[6]Production Summary'!F45</f>
        <v>9000000</v>
      </c>
      <c r="V14" s="8">
        <f t="shared" si="29"/>
        <v>9</v>
      </c>
      <c r="W14" s="10">
        <f t="shared" si="30"/>
        <v>27.63</v>
      </c>
      <c r="X14" s="7">
        <f>'[6]Production Summary'!AB45</f>
        <v>0</v>
      </c>
      <c r="Y14" s="8">
        <f t="shared" si="31"/>
        <v>0</v>
      </c>
      <c r="Z14" s="10">
        <f t="shared" si="32"/>
        <v>0</v>
      </c>
      <c r="AA14" s="15"/>
      <c r="AB14" s="7">
        <f t="shared" si="33"/>
        <v>14400000.000000091</v>
      </c>
      <c r="AC14" s="8">
        <f t="shared" si="33"/>
        <v>14.400000000000091</v>
      </c>
      <c r="AD14" s="8">
        <f t="shared" si="33"/>
        <v>44.208000000000276</v>
      </c>
    </row>
    <row r="15" spans="1:30" x14ac:dyDescent="0.15">
      <c r="A15" s="27">
        <v>38483</v>
      </c>
      <c r="B15" s="7">
        <f>'[6]Production Summary'!J46</f>
        <v>16099999.999999909</v>
      </c>
      <c r="C15" s="8">
        <f t="shared" si="17"/>
        <v>16.099999999999909</v>
      </c>
      <c r="D15" s="10">
        <f t="shared" si="18"/>
        <v>49.426999999999715</v>
      </c>
      <c r="E15" s="7">
        <f>'[6]Production Summary'!E46</f>
        <v>8000000</v>
      </c>
      <c r="F15" s="8">
        <f t="shared" si="19"/>
        <v>8</v>
      </c>
      <c r="G15" s="10">
        <f t="shared" si="20"/>
        <v>24.56</v>
      </c>
      <c r="H15" s="7">
        <f>'[6]Production Summary'!G46</f>
        <v>9320000</v>
      </c>
      <c r="I15" s="8">
        <f t="shared" si="21"/>
        <v>9.32</v>
      </c>
      <c r="J15" s="10">
        <f t="shared" si="22"/>
        <v>28.612400000000001</v>
      </c>
      <c r="K15" s="7">
        <f>'[6]Production Summary'!T46</f>
        <v>1432766</v>
      </c>
      <c r="L15" s="8">
        <f t="shared" si="23"/>
        <v>1.432766</v>
      </c>
      <c r="M15" s="10">
        <f t="shared" si="24"/>
        <v>4.3985916199999995</v>
      </c>
      <c r="N15" s="21"/>
      <c r="O15" s="7">
        <f>'[6]Production Summary'!I46</f>
        <v>0</v>
      </c>
      <c r="P15" s="8">
        <f t="shared" si="25"/>
        <v>0</v>
      </c>
      <c r="Q15" s="10">
        <f t="shared" si="26"/>
        <v>0</v>
      </c>
      <c r="R15" s="7">
        <f>'[6]Production Summary'!C46</f>
        <v>150000</v>
      </c>
      <c r="S15" s="8">
        <f t="shared" si="27"/>
        <v>0.15</v>
      </c>
      <c r="T15" s="10">
        <f t="shared" si="28"/>
        <v>0.46049999999999996</v>
      </c>
      <c r="U15" s="7">
        <f>'[6]Production Summary'!F46</f>
        <v>8000000</v>
      </c>
      <c r="V15" s="8">
        <f t="shared" si="29"/>
        <v>8</v>
      </c>
      <c r="W15" s="10">
        <f t="shared" si="30"/>
        <v>24.56</v>
      </c>
      <c r="X15" s="7">
        <f>'[6]Production Summary'!AB46</f>
        <v>0</v>
      </c>
      <c r="Y15" s="8">
        <f t="shared" si="31"/>
        <v>0</v>
      </c>
      <c r="Z15" s="10">
        <f t="shared" si="32"/>
        <v>0</v>
      </c>
      <c r="AA15" s="15"/>
      <c r="AB15" s="7">
        <f t="shared" si="33"/>
        <v>16099999.999999909</v>
      </c>
      <c r="AC15" s="8">
        <f t="shared" si="33"/>
        <v>16.099999999999909</v>
      </c>
      <c r="AD15" s="8">
        <f t="shared" si="33"/>
        <v>49.426999999999715</v>
      </c>
    </row>
    <row r="16" spans="1:30" x14ac:dyDescent="0.15">
      <c r="A16" s="27">
        <v>38484</v>
      </c>
      <c r="B16" s="7">
        <f>'[6]Production Summary'!J47</f>
        <v>18000000</v>
      </c>
      <c r="C16" s="8">
        <f t="shared" si="17"/>
        <v>18</v>
      </c>
      <c r="D16" s="10">
        <f t="shared" si="18"/>
        <v>55.26</v>
      </c>
      <c r="E16" s="7">
        <f>'[6]Production Summary'!E47</f>
        <v>7000000</v>
      </c>
      <c r="F16" s="8">
        <f t="shared" si="19"/>
        <v>7</v>
      </c>
      <c r="G16" s="10">
        <f t="shared" si="20"/>
        <v>21.49</v>
      </c>
      <c r="H16" s="7">
        <f>'[6]Production Summary'!G47</f>
        <v>12950000</v>
      </c>
      <c r="I16" s="8">
        <f t="shared" si="21"/>
        <v>12.95</v>
      </c>
      <c r="J16" s="10">
        <f t="shared" si="22"/>
        <v>39.756499999999996</v>
      </c>
      <c r="K16" s="7">
        <f>'[6]Production Summary'!T47</f>
        <v>1547803</v>
      </c>
      <c r="L16" s="8">
        <f t="shared" si="23"/>
        <v>1.547803</v>
      </c>
      <c r="M16" s="10">
        <f t="shared" si="24"/>
        <v>4.7517552099999998</v>
      </c>
      <c r="N16" s="21"/>
      <c r="O16" s="7">
        <f>'[6]Production Summary'!I47</f>
        <v>0</v>
      </c>
      <c r="P16" s="8">
        <f t="shared" si="25"/>
        <v>0</v>
      </c>
      <c r="Q16" s="10">
        <f t="shared" si="26"/>
        <v>0</v>
      </c>
      <c r="R16" s="7">
        <f>'[6]Production Summary'!C47</f>
        <v>0</v>
      </c>
      <c r="S16" s="8">
        <f t="shared" si="27"/>
        <v>0</v>
      </c>
      <c r="T16" s="10">
        <f t="shared" si="28"/>
        <v>0</v>
      </c>
      <c r="U16" s="7">
        <f>'[6]Production Summary'!F47</f>
        <v>7000000</v>
      </c>
      <c r="V16" s="8">
        <f t="shared" si="29"/>
        <v>7</v>
      </c>
      <c r="W16" s="10">
        <f t="shared" si="30"/>
        <v>21.49</v>
      </c>
      <c r="X16" s="7">
        <f>'[6]Production Summary'!AB47</f>
        <v>0</v>
      </c>
      <c r="Y16" s="8">
        <f t="shared" si="31"/>
        <v>0</v>
      </c>
      <c r="Z16" s="10">
        <f t="shared" si="32"/>
        <v>0</v>
      </c>
      <c r="AA16" s="15"/>
      <c r="AB16" s="7">
        <f t="shared" si="33"/>
        <v>18000000</v>
      </c>
      <c r="AC16" s="8">
        <f t="shared" si="33"/>
        <v>18</v>
      </c>
      <c r="AD16" s="8">
        <f t="shared" si="33"/>
        <v>55.26</v>
      </c>
    </row>
    <row r="17" spans="1:30" x14ac:dyDescent="0.15">
      <c r="A17" s="27">
        <v>38485</v>
      </c>
      <c r="B17" s="7">
        <f>'[6]Production Summary'!J48</f>
        <v>21599999.999999911</v>
      </c>
      <c r="C17" s="8">
        <f t="shared" si="17"/>
        <v>21.599999999999909</v>
      </c>
      <c r="D17" s="10">
        <f t="shared" si="18"/>
        <v>66.311999999999713</v>
      </c>
      <c r="E17" s="7">
        <f>'[6]Production Summary'!E48</f>
        <v>7000000</v>
      </c>
      <c r="F17" s="8">
        <f t="shared" si="19"/>
        <v>7</v>
      </c>
      <c r="G17" s="10">
        <f t="shared" si="20"/>
        <v>21.49</v>
      </c>
      <c r="H17" s="7">
        <f>'[6]Production Summary'!G48</f>
        <v>16910000</v>
      </c>
      <c r="I17" s="8">
        <f t="shared" si="21"/>
        <v>16.91</v>
      </c>
      <c r="J17" s="10">
        <f t="shared" si="22"/>
        <v>51.913699999999999</v>
      </c>
      <c r="K17" s="7">
        <f>'[6]Production Summary'!T48</f>
        <v>1923586</v>
      </c>
      <c r="L17" s="8">
        <f t="shared" si="23"/>
        <v>1.923586</v>
      </c>
      <c r="M17" s="10">
        <f t="shared" si="24"/>
        <v>5.9054090199999996</v>
      </c>
      <c r="N17" s="21"/>
      <c r="O17" s="7">
        <f>'[6]Production Summary'!I48</f>
        <v>0</v>
      </c>
      <c r="P17" s="8">
        <f t="shared" si="25"/>
        <v>0</v>
      </c>
      <c r="Q17" s="10">
        <f t="shared" si="26"/>
        <v>0</v>
      </c>
      <c r="R17" s="7">
        <f>'[6]Production Summary'!C48</f>
        <v>0</v>
      </c>
      <c r="S17" s="8">
        <f t="shared" si="27"/>
        <v>0</v>
      </c>
      <c r="T17" s="10">
        <f t="shared" si="28"/>
        <v>0</v>
      </c>
      <c r="U17" s="7">
        <f>'[6]Production Summary'!F48</f>
        <v>7000000</v>
      </c>
      <c r="V17" s="8">
        <f t="shared" si="29"/>
        <v>7</v>
      </c>
      <c r="W17" s="10">
        <f t="shared" si="30"/>
        <v>21.49</v>
      </c>
      <c r="X17" s="7">
        <f>'[6]Production Summary'!AB48</f>
        <v>0</v>
      </c>
      <c r="Y17" s="8">
        <f t="shared" si="31"/>
        <v>0</v>
      </c>
      <c r="Z17" s="10">
        <f t="shared" si="32"/>
        <v>0</v>
      </c>
      <c r="AA17" s="15"/>
      <c r="AB17" s="7">
        <f t="shared" si="33"/>
        <v>21599999.999999911</v>
      </c>
      <c r="AC17" s="8">
        <f t="shared" si="33"/>
        <v>21.599999999999909</v>
      </c>
      <c r="AD17" s="8">
        <f t="shared" si="33"/>
        <v>66.311999999999713</v>
      </c>
    </row>
    <row r="18" spans="1:30" x14ac:dyDescent="0.15">
      <c r="A18" s="27">
        <v>38486</v>
      </c>
      <c r="B18" s="7">
        <f>'[6]Production Summary'!J49</f>
        <v>22200000.000000272</v>
      </c>
      <c r="C18" s="8">
        <f t="shared" si="17"/>
        <v>22.200000000000273</v>
      </c>
      <c r="D18" s="10">
        <f t="shared" si="18"/>
        <v>68.154000000000835</v>
      </c>
      <c r="E18" s="7">
        <f>'[6]Production Summary'!E49</f>
        <v>8000000</v>
      </c>
      <c r="F18" s="8">
        <f t="shared" si="19"/>
        <v>8</v>
      </c>
      <c r="G18" s="10">
        <f t="shared" si="20"/>
        <v>24.56</v>
      </c>
      <c r="H18" s="7">
        <f>'[6]Production Summary'!G49</f>
        <v>17390000</v>
      </c>
      <c r="I18" s="8">
        <f t="shared" si="21"/>
        <v>17.39</v>
      </c>
      <c r="J18" s="10">
        <f t="shared" si="22"/>
        <v>53.387299999999996</v>
      </c>
      <c r="K18" s="7">
        <f>'[6]Production Summary'!T49</f>
        <v>2076943</v>
      </c>
      <c r="L18" s="8">
        <f t="shared" si="23"/>
        <v>2.076943</v>
      </c>
      <c r="M18" s="10">
        <f t="shared" si="24"/>
        <v>6.3762150099999992</v>
      </c>
      <c r="N18" s="21"/>
      <c r="O18" s="7">
        <f>'[6]Production Summary'!I49</f>
        <v>0</v>
      </c>
      <c r="P18" s="8">
        <f t="shared" si="25"/>
        <v>0</v>
      </c>
      <c r="Q18" s="10">
        <f t="shared" si="26"/>
        <v>0</v>
      </c>
      <c r="R18" s="7">
        <f>'[6]Production Summary'!C49</f>
        <v>0</v>
      </c>
      <c r="S18" s="8">
        <f t="shared" si="27"/>
        <v>0</v>
      </c>
      <c r="T18" s="10">
        <f t="shared" si="28"/>
        <v>0</v>
      </c>
      <c r="U18" s="7">
        <f>'[6]Production Summary'!F49</f>
        <v>8000000</v>
      </c>
      <c r="V18" s="8">
        <f t="shared" si="29"/>
        <v>8</v>
      </c>
      <c r="W18" s="10">
        <f t="shared" si="30"/>
        <v>24.56</v>
      </c>
      <c r="X18" s="7">
        <f>'[6]Production Summary'!AB49</f>
        <v>0</v>
      </c>
      <c r="Y18" s="8">
        <f t="shared" si="31"/>
        <v>0</v>
      </c>
      <c r="Z18" s="10">
        <f t="shared" si="32"/>
        <v>0</v>
      </c>
      <c r="AA18" s="15"/>
      <c r="AB18" s="7">
        <f t="shared" si="33"/>
        <v>22200000.000000272</v>
      </c>
      <c r="AC18" s="8">
        <f t="shared" si="33"/>
        <v>22.200000000000273</v>
      </c>
      <c r="AD18" s="8">
        <f t="shared" si="33"/>
        <v>68.154000000000835</v>
      </c>
    </row>
    <row r="19" spans="1:30" x14ac:dyDescent="0.15">
      <c r="A19" s="27">
        <v>38487</v>
      </c>
      <c r="B19" s="7">
        <f>'[6]Production Summary'!J50</f>
        <v>22699999.999999817</v>
      </c>
      <c r="C19" s="8">
        <f t="shared" si="17"/>
        <v>22.699999999999818</v>
      </c>
      <c r="D19" s="10">
        <f t="shared" si="18"/>
        <v>69.688999999999439</v>
      </c>
      <c r="E19" s="7">
        <f>'[6]Production Summary'!E50</f>
        <v>7000000</v>
      </c>
      <c r="F19" s="8">
        <f t="shared" si="19"/>
        <v>7</v>
      </c>
      <c r="G19" s="10">
        <f t="shared" si="20"/>
        <v>21.49</v>
      </c>
      <c r="H19" s="7">
        <f>'[6]Production Summary'!G50</f>
        <v>18270000</v>
      </c>
      <c r="I19" s="8">
        <f t="shared" si="21"/>
        <v>18.27</v>
      </c>
      <c r="J19" s="10">
        <f t="shared" si="22"/>
        <v>56.088899999999995</v>
      </c>
      <c r="K19" s="7">
        <f>'[6]Production Summary'!T50</f>
        <v>2096903</v>
      </c>
      <c r="L19" s="8">
        <f t="shared" si="23"/>
        <v>2.0969030000000002</v>
      </c>
      <c r="M19" s="10">
        <f t="shared" si="24"/>
        <v>6.4374922100000003</v>
      </c>
      <c r="N19" s="21"/>
      <c r="O19" s="7">
        <f>'[6]Production Summary'!I50</f>
        <v>0</v>
      </c>
      <c r="P19" s="8">
        <f t="shared" si="25"/>
        <v>0</v>
      </c>
      <c r="Q19" s="10">
        <f t="shared" si="26"/>
        <v>0</v>
      </c>
      <c r="R19" s="7">
        <f>'[6]Production Summary'!C50</f>
        <v>0</v>
      </c>
      <c r="S19" s="8">
        <f t="shared" si="27"/>
        <v>0</v>
      </c>
      <c r="T19" s="10">
        <f t="shared" si="28"/>
        <v>0</v>
      </c>
      <c r="U19" s="7">
        <f>'[6]Production Summary'!F50</f>
        <v>7000000</v>
      </c>
      <c r="V19" s="8">
        <f t="shared" si="29"/>
        <v>7</v>
      </c>
      <c r="W19" s="10">
        <f t="shared" si="30"/>
        <v>21.49</v>
      </c>
      <c r="X19" s="7">
        <f>'[6]Production Summary'!AB50</f>
        <v>0</v>
      </c>
      <c r="Y19" s="8">
        <f t="shared" si="31"/>
        <v>0</v>
      </c>
      <c r="Z19" s="10">
        <f t="shared" si="32"/>
        <v>0</v>
      </c>
      <c r="AA19" s="15"/>
      <c r="AB19" s="7">
        <f t="shared" si="33"/>
        <v>22699999.999999817</v>
      </c>
      <c r="AC19" s="8">
        <f t="shared" si="33"/>
        <v>22.699999999999818</v>
      </c>
      <c r="AD19" s="8">
        <f t="shared" si="33"/>
        <v>69.688999999999439</v>
      </c>
    </row>
    <row r="20" spans="1:30" x14ac:dyDescent="0.15">
      <c r="A20" s="27">
        <v>38488</v>
      </c>
      <c r="B20" s="7">
        <f>'[6]Production Summary'!J51</f>
        <v>23200000.000000272</v>
      </c>
      <c r="C20" s="8">
        <f t="shared" si="17"/>
        <v>23.200000000000273</v>
      </c>
      <c r="D20" s="10">
        <f t="shared" si="18"/>
        <v>71.224000000000828</v>
      </c>
      <c r="E20" s="7">
        <f>'[6]Production Summary'!E51</f>
        <v>3000000</v>
      </c>
      <c r="F20" s="8">
        <f t="shared" si="19"/>
        <v>3</v>
      </c>
      <c r="G20" s="10">
        <f t="shared" si="20"/>
        <v>9.2099999999999991</v>
      </c>
      <c r="H20" s="7">
        <f>'[6]Production Summary'!G51</f>
        <v>22350000</v>
      </c>
      <c r="I20" s="8">
        <f t="shared" si="21"/>
        <v>22.35</v>
      </c>
      <c r="J20" s="10">
        <f t="shared" si="22"/>
        <v>68.614500000000007</v>
      </c>
      <c r="K20" s="7">
        <f>'[6]Production Summary'!T51</f>
        <v>2098861</v>
      </c>
      <c r="L20" s="8">
        <f t="shared" si="23"/>
        <v>2.0988609999999999</v>
      </c>
      <c r="M20" s="10">
        <f t="shared" si="24"/>
        <v>6.443503269999999</v>
      </c>
      <c r="N20" s="21"/>
      <c r="O20" s="7">
        <f>'[6]Production Summary'!I51</f>
        <v>115000</v>
      </c>
      <c r="P20" s="8">
        <f t="shared" si="25"/>
        <v>0.115</v>
      </c>
      <c r="Q20" s="10">
        <f t="shared" si="26"/>
        <v>0.35304999999999997</v>
      </c>
      <c r="R20" s="7">
        <f>'[6]Production Summary'!C51</f>
        <v>2262000</v>
      </c>
      <c r="S20" s="8">
        <f t="shared" si="27"/>
        <v>2.262</v>
      </c>
      <c r="T20" s="10">
        <f t="shared" si="28"/>
        <v>6.9443399999999995</v>
      </c>
      <c r="U20" s="7">
        <f>'[6]Production Summary'!F51</f>
        <v>3000000</v>
      </c>
      <c r="V20" s="8">
        <f t="shared" si="29"/>
        <v>3</v>
      </c>
      <c r="W20" s="10">
        <f t="shared" si="30"/>
        <v>9.2099999999999991</v>
      </c>
      <c r="X20" s="7">
        <f>'[6]Production Summary'!AB51</f>
        <v>0</v>
      </c>
      <c r="Y20" s="8">
        <f t="shared" si="31"/>
        <v>0</v>
      </c>
      <c r="Z20" s="10">
        <f t="shared" si="32"/>
        <v>0</v>
      </c>
      <c r="AA20" s="15"/>
      <c r="AB20" s="7">
        <f t="shared" si="33"/>
        <v>23315000.000000272</v>
      </c>
      <c r="AC20" s="8">
        <f t="shared" si="33"/>
        <v>23.315000000000271</v>
      </c>
      <c r="AD20" s="8">
        <f t="shared" si="33"/>
        <v>71.577050000000824</v>
      </c>
    </row>
    <row r="21" spans="1:30" x14ac:dyDescent="0.15">
      <c r="A21" s="27">
        <v>38489</v>
      </c>
      <c r="B21" s="7">
        <f>'[6]Production Summary'!J52</f>
        <v>20699999.999999817</v>
      </c>
      <c r="C21" s="8">
        <f t="shared" si="17"/>
        <v>20.699999999999818</v>
      </c>
      <c r="D21" s="10">
        <f t="shared" si="18"/>
        <v>63.548999999999438</v>
      </c>
      <c r="E21" s="7">
        <f>'[6]Production Summary'!E52</f>
        <v>7000000</v>
      </c>
      <c r="F21" s="8">
        <f t="shared" si="19"/>
        <v>7</v>
      </c>
      <c r="G21" s="10">
        <f t="shared" si="20"/>
        <v>21.49</v>
      </c>
      <c r="H21" s="7">
        <f>'[6]Production Summary'!G52</f>
        <v>15230000</v>
      </c>
      <c r="I21" s="8">
        <f t="shared" si="21"/>
        <v>15.23</v>
      </c>
      <c r="J21" s="10">
        <f t="shared" si="22"/>
        <v>46.756099999999996</v>
      </c>
      <c r="K21" s="7">
        <f>'[6]Production Summary'!T52</f>
        <v>1828435</v>
      </c>
      <c r="L21" s="8">
        <f t="shared" si="23"/>
        <v>1.828435</v>
      </c>
      <c r="M21" s="10">
        <f t="shared" si="24"/>
        <v>5.6132954499999999</v>
      </c>
      <c r="N21" s="21"/>
      <c r="O21" s="7">
        <f>'[6]Production Summary'!I52</f>
        <v>0</v>
      </c>
      <c r="P21" s="8">
        <f t="shared" si="25"/>
        <v>0</v>
      </c>
      <c r="Q21" s="10">
        <f t="shared" si="26"/>
        <v>0</v>
      </c>
      <c r="R21" s="7">
        <f>'[6]Production Summary'!C52</f>
        <v>54000</v>
      </c>
      <c r="S21" s="8">
        <f t="shared" si="27"/>
        <v>5.3999999999999999E-2</v>
      </c>
      <c r="T21" s="10">
        <f t="shared" si="28"/>
        <v>0.16577999999999998</v>
      </c>
      <c r="U21" s="7">
        <f>'[6]Production Summary'!F52</f>
        <v>7000000</v>
      </c>
      <c r="V21" s="8">
        <f t="shared" si="29"/>
        <v>7</v>
      </c>
      <c r="W21" s="10">
        <f t="shared" si="30"/>
        <v>21.49</v>
      </c>
      <c r="X21" s="7">
        <f>'[6]Production Summary'!AB52</f>
        <v>0</v>
      </c>
      <c r="Y21" s="8">
        <f t="shared" si="31"/>
        <v>0</v>
      </c>
      <c r="Z21" s="10">
        <f t="shared" si="32"/>
        <v>0</v>
      </c>
      <c r="AA21" s="15"/>
      <c r="AB21" s="7">
        <f t="shared" si="33"/>
        <v>20699999.999999817</v>
      </c>
      <c r="AC21" s="8">
        <f t="shared" si="33"/>
        <v>20.699999999999818</v>
      </c>
      <c r="AD21" s="8">
        <f t="shared" si="33"/>
        <v>63.548999999999438</v>
      </c>
    </row>
    <row r="22" spans="1:30" x14ac:dyDescent="0.15">
      <c r="A22" s="27">
        <v>38490</v>
      </c>
      <c r="B22" s="7">
        <f>'[6]Production Summary'!J53</f>
        <v>12300000.000000183</v>
      </c>
      <c r="C22" s="8">
        <f t="shared" si="17"/>
        <v>12.300000000000182</v>
      </c>
      <c r="D22" s="10">
        <f t="shared" si="18"/>
        <v>37.761000000000557</v>
      </c>
      <c r="E22" s="7">
        <f>'[6]Production Summary'!E53</f>
        <v>7000000</v>
      </c>
      <c r="F22" s="8">
        <f t="shared" si="19"/>
        <v>7</v>
      </c>
      <c r="G22" s="10">
        <f t="shared" si="20"/>
        <v>21.49</v>
      </c>
      <c r="H22" s="7">
        <f>'[6]Production Summary'!G53</f>
        <v>6970000</v>
      </c>
      <c r="I22" s="8">
        <f t="shared" si="21"/>
        <v>6.97</v>
      </c>
      <c r="J22" s="10">
        <f t="shared" si="22"/>
        <v>21.397899999999996</v>
      </c>
      <c r="K22" s="7">
        <f>'[6]Production Summary'!T53</f>
        <v>1160653</v>
      </c>
      <c r="L22" s="8">
        <f t="shared" si="23"/>
        <v>1.1606529999999999</v>
      </c>
      <c r="M22" s="10">
        <f t="shared" si="24"/>
        <v>3.5632047099999995</v>
      </c>
      <c r="N22" s="21"/>
      <c r="O22" s="7">
        <f>'[6]Production Summary'!I53</f>
        <v>329000</v>
      </c>
      <c r="P22" s="8">
        <f t="shared" si="25"/>
        <v>0.32900000000000001</v>
      </c>
      <c r="Q22" s="10">
        <f t="shared" si="26"/>
        <v>1.01003</v>
      </c>
      <c r="R22" s="7">
        <f>'[6]Production Summary'!C53</f>
        <v>1409000</v>
      </c>
      <c r="S22" s="8">
        <f t="shared" si="27"/>
        <v>1.409</v>
      </c>
      <c r="T22" s="10">
        <f t="shared" si="28"/>
        <v>4.3256300000000003</v>
      </c>
      <c r="U22" s="7">
        <f>'[6]Production Summary'!F53</f>
        <v>7000000</v>
      </c>
      <c r="V22" s="8">
        <f t="shared" si="29"/>
        <v>7</v>
      </c>
      <c r="W22" s="10">
        <f t="shared" si="30"/>
        <v>21.49</v>
      </c>
      <c r="X22" s="7">
        <f>'[6]Production Summary'!AB53</f>
        <v>0</v>
      </c>
      <c r="Y22" s="8">
        <f t="shared" si="31"/>
        <v>0</v>
      </c>
      <c r="Z22" s="10">
        <f t="shared" si="32"/>
        <v>0</v>
      </c>
      <c r="AA22" s="15"/>
      <c r="AB22" s="7">
        <f t="shared" si="33"/>
        <v>12629000.000000183</v>
      </c>
      <c r="AC22" s="8">
        <f t="shared" si="33"/>
        <v>12.629000000000183</v>
      </c>
      <c r="AD22" s="8">
        <f t="shared" si="33"/>
        <v>38.771030000000557</v>
      </c>
    </row>
    <row r="23" spans="1:30" x14ac:dyDescent="0.15">
      <c r="A23" s="27">
        <v>38491</v>
      </c>
      <c r="B23" s="7">
        <f>'[6]Production Summary'!J54</f>
        <v>12799999.999999728</v>
      </c>
      <c r="C23" s="8">
        <f t="shared" si="17"/>
        <v>12.799999999999729</v>
      </c>
      <c r="D23" s="10">
        <f t="shared" si="18"/>
        <v>39.295999999999168</v>
      </c>
      <c r="E23" s="7">
        <f>'[6]Production Summary'!E54</f>
        <v>7000000</v>
      </c>
      <c r="F23" s="8">
        <f t="shared" si="19"/>
        <v>7</v>
      </c>
      <c r="G23" s="10">
        <f t="shared" si="20"/>
        <v>21.49</v>
      </c>
      <c r="H23" s="7">
        <f>'[6]Production Summary'!G54</f>
        <v>6570000</v>
      </c>
      <c r="I23" s="8">
        <f t="shared" si="21"/>
        <v>6.57</v>
      </c>
      <c r="J23" s="10">
        <f t="shared" si="22"/>
        <v>20.169899999999998</v>
      </c>
      <c r="K23" s="7">
        <f>'[6]Production Summary'!T54</f>
        <v>1154866</v>
      </c>
      <c r="L23" s="8">
        <f t="shared" si="23"/>
        <v>1.1548659999999999</v>
      </c>
      <c r="M23" s="10">
        <f t="shared" si="24"/>
        <v>3.5454386199999997</v>
      </c>
      <c r="N23" s="21"/>
      <c r="O23" s="7">
        <f>'[6]Production Summary'!I54</f>
        <v>0</v>
      </c>
      <c r="P23" s="8">
        <f t="shared" si="25"/>
        <v>0</v>
      </c>
      <c r="Q23" s="10">
        <f t="shared" si="26"/>
        <v>0</v>
      </c>
      <c r="R23" s="7">
        <f>'[6]Production Summary'!C54</f>
        <v>0</v>
      </c>
      <c r="S23" s="8">
        <f t="shared" si="27"/>
        <v>0</v>
      </c>
      <c r="T23" s="10">
        <f t="shared" si="28"/>
        <v>0</v>
      </c>
      <c r="U23" s="7">
        <f>'[6]Production Summary'!F54</f>
        <v>7000000</v>
      </c>
      <c r="V23" s="8">
        <f t="shared" si="29"/>
        <v>7</v>
      </c>
      <c r="W23" s="10">
        <f t="shared" si="30"/>
        <v>21.49</v>
      </c>
      <c r="X23" s="7">
        <f>'[6]Production Summary'!AB54</f>
        <v>0</v>
      </c>
      <c r="Y23" s="8">
        <f t="shared" si="31"/>
        <v>0</v>
      </c>
      <c r="Z23" s="10">
        <f t="shared" si="32"/>
        <v>0</v>
      </c>
      <c r="AA23" s="15"/>
      <c r="AB23" s="7">
        <f t="shared" si="33"/>
        <v>12799999.999999728</v>
      </c>
      <c r="AC23" s="8">
        <f t="shared" si="33"/>
        <v>12.799999999999729</v>
      </c>
      <c r="AD23" s="8">
        <f t="shared" si="33"/>
        <v>39.295999999999168</v>
      </c>
    </row>
    <row r="24" spans="1:30" x14ac:dyDescent="0.15">
      <c r="A24" s="27">
        <v>38492</v>
      </c>
      <c r="B24" s="7">
        <f>'[6]Production Summary'!J55</f>
        <v>15099999.999999909</v>
      </c>
      <c r="C24" s="8">
        <f t="shared" si="17"/>
        <v>15.099999999999909</v>
      </c>
      <c r="D24" s="10">
        <f t="shared" si="18"/>
        <v>46.356999999999715</v>
      </c>
      <c r="E24" s="7">
        <f>'[6]Production Summary'!E55</f>
        <v>10000000</v>
      </c>
      <c r="F24" s="8">
        <f t="shared" si="19"/>
        <v>10</v>
      </c>
      <c r="G24" s="10">
        <f t="shared" si="20"/>
        <v>30.7</v>
      </c>
      <c r="H24" s="7">
        <f>'[6]Production Summary'!G55</f>
        <v>6490000</v>
      </c>
      <c r="I24" s="8">
        <f t="shared" si="21"/>
        <v>6.49</v>
      </c>
      <c r="J24" s="10">
        <f t="shared" si="22"/>
        <v>19.924299999999999</v>
      </c>
      <c r="K24" s="7">
        <f>'[6]Production Summary'!T55</f>
        <v>1318268</v>
      </c>
      <c r="L24" s="8">
        <f t="shared" si="23"/>
        <v>1.318268</v>
      </c>
      <c r="M24" s="10">
        <f t="shared" si="24"/>
        <v>4.0470827599999994</v>
      </c>
      <c r="N24" s="21"/>
      <c r="O24" s="7">
        <f>'[6]Production Summary'!I55</f>
        <v>0</v>
      </c>
      <c r="P24" s="8">
        <f t="shared" si="25"/>
        <v>0</v>
      </c>
      <c r="Q24" s="10">
        <f t="shared" si="26"/>
        <v>0</v>
      </c>
      <c r="R24" s="7">
        <f>'[6]Production Summary'!C55</f>
        <v>0</v>
      </c>
      <c r="S24" s="8">
        <f t="shared" si="27"/>
        <v>0</v>
      </c>
      <c r="T24" s="10">
        <f t="shared" si="28"/>
        <v>0</v>
      </c>
      <c r="U24" s="7">
        <f>'[6]Production Summary'!F55</f>
        <v>10000000</v>
      </c>
      <c r="V24" s="8">
        <f t="shared" si="29"/>
        <v>10</v>
      </c>
      <c r="W24" s="10">
        <f t="shared" si="30"/>
        <v>30.7</v>
      </c>
      <c r="X24" s="7">
        <f>'[6]Production Summary'!AB55</f>
        <v>0</v>
      </c>
      <c r="Y24" s="8">
        <f t="shared" si="31"/>
        <v>0</v>
      </c>
      <c r="Z24" s="10">
        <f t="shared" si="32"/>
        <v>0</v>
      </c>
      <c r="AA24" s="15"/>
      <c r="AB24" s="7">
        <f t="shared" si="33"/>
        <v>15099999.999999909</v>
      </c>
      <c r="AC24" s="8">
        <f t="shared" si="33"/>
        <v>15.099999999999909</v>
      </c>
      <c r="AD24" s="8">
        <f t="shared" si="33"/>
        <v>46.356999999999715</v>
      </c>
    </row>
    <row r="25" spans="1:30" x14ac:dyDescent="0.15">
      <c r="A25" s="27">
        <v>38493</v>
      </c>
      <c r="B25" s="7">
        <f>'[6]Production Summary'!J56</f>
        <v>15700000.000000272</v>
      </c>
      <c r="C25" s="8">
        <f t="shared" si="17"/>
        <v>15.700000000000271</v>
      </c>
      <c r="D25" s="10">
        <f t="shared" si="18"/>
        <v>48.199000000000829</v>
      </c>
      <c r="E25" s="7">
        <f>'[6]Production Summary'!E56</f>
        <v>10000000</v>
      </c>
      <c r="F25" s="8">
        <f t="shared" si="19"/>
        <v>10</v>
      </c>
      <c r="G25" s="10">
        <f t="shared" si="20"/>
        <v>30.7</v>
      </c>
      <c r="H25" s="7">
        <f>'[6]Production Summary'!G56</f>
        <v>6980000</v>
      </c>
      <c r="I25" s="8">
        <f t="shared" si="21"/>
        <v>6.98</v>
      </c>
      <c r="J25" s="10">
        <f t="shared" si="22"/>
        <v>21.428599999999999</v>
      </c>
      <c r="K25" s="7">
        <f>'[6]Production Summary'!T56</f>
        <v>1532926</v>
      </c>
      <c r="L25" s="8">
        <f t="shared" si="23"/>
        <v>1.532926</v>
      </c>
      <c r="M25" s="10">
        <f t="shared" si="24"/>
        <v>4.7060828199999998</v>
      </c>
      <c r="N25" s="21"/>
      <c r="O25" s="7">
        <f>'[6]Production Summary'!I56</f>
        <v>0</v>
      </c>
      <c r="P25" s="8">
        <f t="shared" si="25"/>
        <v>0</v>
      </c>
      <c r="Q25" s="10">
        <f t="shared" si="26"/>
        <v>0</v>
      </c>
      <c r="R25" s="7">
        <f>'[6]Production Summary'!C56</f>
        <v>0</v>
      </c>
      <c r="S25" s="8">
        <f t="shared" si="27"/>
        <v>0</v>
      </c>
      <c r="T25" s="10">
        <f t="shared" si="28"/>
        <v>0</v>
      </c>
      <c r="U25" s="7">
        <f>'[6]Production Summary'!F56</f>
        <v>10000000</v>
      </c>
      <c r="V25" s="8">
        <f t="shared" si="29"/>
        <v>10</v>
      </c>
      <c r="W25" s="10">
        <f t="shared" si="30"/>
        <v>30.7</v>
      </c>
      <c r="X25" s="7">
        <f>'[6]Production Summary'!AB56</f>
        <v>0</v>
      </c>
      <c r="Y25" s="8">
        <f t="shared" si="31"/>
        <v>0</v>
      </c>
      <c r="Z25" s="10">
        <f t="shared" si="32"/>
        <v>0</v>
      </c>
      <c r="AA25" s="15"/>
      <c r="AB25" s="7">
        <f t="shared" si="33"/>
        <v>15700000.000000272</v>
      </c>
      <c r="AC25" s="8">
        <f t="shared" si="33"/>
        <v>15.700000000000271</v>
      </c>
      <c r="AD25" s="8">
        <f t="shared" si="33"/>
        <v>48.199000000000829</v>
      </c>
    </row>
    <row r="26" spans="1:30" x14ac:dyDescent="0.15">
      <c r="A26" s="27">
        <v>38494</v>
      </c>
      <c r="B26" s="7">
        <f>'[6]Production Summary'!J57</f>
        <v>17199999.999999817</v>
      </c>
      <c r="C26" s="8">
        <f t="shared" si="17"/>
        <v>17.199999999999818</v>
      </c>
      <c r="D26" s="10">
        <f t="shared" si="18"/>
        <v>52.803999999999441</v>
      </c>
      <c r="E26" s="7">
        <f>'[6]Production Summary'!E57</f>
        <v>14000000</v>
      </c>
      <c r="F26" s="8">
        <f t="shared" si="19"/>
        <v>14</v>
      </c>
      <c r="G26" s="10">
        <f t="shared" si="20"/>
        <v>42.98</v>
      </c>
      <c r="H26" s="7">
        <f>'[6]Production Summary'!G57</f>
        <v>5790000</v>
      </c>
      <c r="I26" s="8">
        <f t="shared" si="21"/>
        <v>5.79</v>
      </c>
      <c r="J26" s="10">
        <f t="shared" si="22"/>
        <v>17.775299999999998</v>
      </c>
      <c r="K26" s="7">
        <f>'[6]Production Summary'!T57</f>
        <v>1537346</v>
      </c>
      <c r="L26" s="8">
        <f t="shared" si="23"/>
        <v>1.5373460000000001</v>
      </c>
      <c r="M26" s="10">
        <f t="shared" si="24"/>
        <v>4.7196522200000004</v>
      </c>
      <c r="N26" s="21"/>
      <c r="O26" s="7">
        <f>'[6]Production Summary'!I57</f>
        <v>0</v>
      </c>
      <c r="P26" s="8">
        <f t="shared" si="25"/>
        <v>0</v>
      </c>
      <c r="Q26" s="10">
        <f t="shared" si="26"/>
        <v>0</v>
      </c>
      <c r="R26" s="7">
        <f>'[6]Production Summary'!C57</f>
        <v>0</v>
      </c>
      <c r="S26" s="8">
        <f t="shared" si="27"/>
        <v>0</v>
      </c>
      <c r="T26" s="10">
        <f t="shared" si="28"/>
        <v>0</v>
      </c>
      <c r="U26" s="7">
        <f>'[6]Production Summary'!F57</f>
        <v>14000000</v>
      </c>
      <c r="V26" s="8">
        <f t="shared" si="29"/>
        <v>14</v>
      </c>
      <c r="W26" s="10">
        <f t="shared" si="30"/>
        <v>42.98</v>
      </c>
      <c r="X26" s="7">
        <f>'[6]Production Summary'!AB57</f>
        <v>0</v>
      </c>
      <c r="Y26" s="8">
        <f t="shared" si="31"/>
        <v>0</v>
      </c>
      <c r="Z26" s="10">
        <f t="shared" si="32"/>
        <v>0</v>
      </c>
      <c r="AA26" s="15"/>
      <c r="AB26" s="7">
        <f t="shared" si="33"/>
        <v>17199999.999999817</v>
      </c>
      <c r="AC26" s="8">
        <f t="shared" si="33"/>
        <v>17.199999999999818</v>
      </c>
      <c r="AD26" s="8">
        <f t="shared" si="33"/>
        <v>52.803999999999441</v>
      </c>
    </row>
    <row r="27" spans="1:30" x14ac:dyDescent="0.15">
      <c r="A27" s="27">
        <v>38495</v>
      </c>
      <c r="B27" s="7">
        <f>'[6]Production Summary'!J58</f>
        <v>14099999.999999909</v>
      </c>
      <c r="C27" s="8">
        <f t="shared" si="17"/>
        <v>14.099999999999909</v>
      </c>
      <c r="D27" s="10">
        <f t="shared" si="18"/>
        <v>43.286999999999722</v>
      </c>
      <c r="E27" s="7">
        <f>'[6]Production Summary'!E58</f>
        <v>15000000</v>
      </c>
      <c r="F27" s="8">
        <f t="shared" si="19"/>
        <v>15</v>
      </c>
      <c r="G27" s="10">
        <f t="shared" si="20"/>
        <v>46.05</v>
      </c>
      <c r="H27" s="7">
        <f>'[6]Production Summary'!G58</f>
        <v>1540000</v>
      </c>
      <c r="I27" s="8">
        <f t="shared" si="21"/>
        <v>1.54</v>
      </c>
      <c r="J27" s="10">
        <f t="shared" si="22"/>
        <v>4.7278000000000002</v>
      </c>
      <c r="K27" s="7">
        <f>'[6]Production Summary'!T58</f>
        <v>1379792</v>
      </c>
      <c r="L27" s="8">
        <f t="shared" si="23"/>
        <v>1.3797919999999999</v>
      </c>
      <c r="M27" s="10">
        <f t="shared" si="24"/>
        <v>4.2359614399999996</v>
      </c>
      <c r="N27" s="21"/>
      <c r="O27" s="7">
        <f>'[6]Production Summary'!I58</f>
        <v>1481000</v>
      </c>
      <c r="P27" s="8">
        <f t="shared" si="25"/>
        <v>1.4810000000000001</v>
      </c>
      <c r="Q27" s="10">
        <f t="shared" si="26"/>
        <v>4.5466699999999998</v>
      </c>
      <c r="R27" s="7">
        <f>'[6]Production Summary'!C58</f>
        <v>2874000</v>
      </c>
      <c r="S27" s="8">
        <f t="shared" si="27"/>
        <v>2.8740000000000001</v>
      </c>
      <c r="T27" s="10">
        <f t="shared" si="28"/>
        <v>8.8231800000000007</v>
      </c>
      <c r="U27" s="7">
        <f>'[6]Production Summary'!F58</f>
        <v>15000000</v>
      </c>
      <c r="V27" s="8">
        <f t="shared" si="29"/>
        <v>15</v>
      </c>
      <c r="W27" s="10">
        <f t="shared" si="30"/>
        <v>46.05</v>
      </c>
      <c r="X27" s="7">
        <f>'[6]Production Summary'!AB58</f>
        <v>14.000000000000012</v>
      </c>
      <c r="Y27" s="8">
        <f t="shared" si="31"/>
        <v>1.4000000000000012E-5</v>
      </c>
      <c r="Z27" s="10">
        <f t="shared" si="32"/>
        <v>4.2980000000000032E-5</v>
      </c>
      <c r="AA27" s="15"/>
      <c r="AB27" s="7">
        <f t="shared" si="33"/>
        <v>15580999.999999909</v>
      </c>
      <c r="AC27" s="8">
        <f t="shared" si="33"/>
        <v>15.580999999999909</v>
      </c>
      <c r="AD27" s="8">
        <f t="shared" si="33"/>
        <v>47.833669999999721</v>
      </c>
    </row>
    <row r="28" spans="1:30" x14ac:dyDescent="0.15">
      <c r="A28" s="27">
        <v>38496</v>
      </c>
      <c r="B28" s="7">
        <f>'[6]Production Summary'!J59</f>
        <v>14200000.000000272</v>
      </c>
      <c r="C28" s="8">
        <f t="shared" si="17"/>
        <v>14.200000000000271</v>
      </c>
      <c r="D28" s="10">
        <f t="shared" si="18"/>
        <v>43.594000000000833</v>
      </c>
      <c r="E28" s="7">
        <f>'[6]Production Summary'!E59</f>
        <v>15000000</v>
      </c>
      <c r="F28" s="8">
        <f t="shared" si="19"/>
        <v>15</v>
      </c>
      <c r="G28" s="10">
        <f t="shared" si="20"/>
        <v>46.05</v>
      </c>
      <c r="H28" s="7">
        <f>'[6]Production Summary'!G59</f>
        <v>0</v>
      </c>
      <c r="I28" s="8">
        <f t="shared" si="21"/>
        <v>0</v>
      </c>
      <c r="J28" s="10">
        <f t="shared" si="22"/>
        <v>0</v>
      </c>
      <c r="K28" s="7">
        <f>'[6]Production Summary'!T59</f>
        <v>1343257</v>
      </c>
      <c r="L28" s="8">
        <f t="shared" si="23"/>
        <v>1.3432569999999999</v>
      </c>
      <c r="M28" s="10">
        <f t="shared" si="24"/>
        <v>4.1237989899999992</v>
      </c>
      <c r="N28" s="21"/>
      <c r="O28" s="7">
        <f>'[6]Production Summary'!I59</f>
        <v>4598789</v>
      </c>
      <c r="P28" s="8">
        <f t="shared" si="25"/>
        <v>4.598789</v>
      </c>
      <c r="Q28" s="10">
        <f t="shared" si="26"/>
        <v>14.11828223</v>
      </c>
      <c r="R28" s="7">
        <f>'[6]Production Summary'!C59</f>
        <v>4604000</v>
      </c>
      <c r="S28" s="8">
        <f t="shared" si="27"/>
        <v>4.6040000000000001</v>
      </c>
      <c r="T28" s="10">
        <f t="shared" si="28"/>
        <v>14.13428</v>
      </c>
      <c r="U28" s="7">
        <f>'[6]Production Summary'!F59</f>
        <v>15000000</v>
      </c>
      <c r="V28" s="8">
        <f t="shared" si="29"/>
        <v>15</v>
      </c>
      <c r="W28" s="10">
        <f t="shared" si="30"/>
        <v>46.05</v>
      </c>
      <c r="X28" s="7">
        <f>'[6]Production Summary'!AB59</f>
        <v>211.00000000000009</v>
      </c>
      <c r="Y28" s="8">
        <f t="shared" si="31"/>
        <v>2.1100000000000009E-4</v>
      </c>
      <c r="Z28" s="10">
        <f t="shared" si="32"/>
        <v>6.477700000000002E-4</v>
      </c>
      <c r="AA28" s="15"/>
      <c r="AB28" s="7">
        <f t="shared" si="33"/>
        <v>18798789.000000272</v>
      </c>
      <c r="AC28" s="8">
        <f t="shared" si="33"/>
        <v>18.798789000000269</v>
      </c>
      <c r="AD28" s="8">
        <f t="shared" si="33"/>
        <v>57.712282230000831</v>
      </c>
    </row>
    <row r="29" spans="1:30" x14ac:dyDescent="0.15">
      <c r="A29" s="27">
        <v>38497</v>
      </c>
      <c r="B29" s="7">
        <f>'[6]Production Summary'!J60</f>
        <v>13199999.999999817</v>
      </c>
      <c r="C29" s="8">
        <f t="shared" si="17"/>
        <v>13.199999999999818</v>
      </c>
      <c r="D29" s="10">
        <f t="shared" si="18"/>
        <v>40.52399999999944</v>
      </c>
      <c r="E29" s="7">
        <f>'[6]Production Summary'!E60</f>
        <v>15000000</v>
      </c>
      <c r="F29" s="8">
        <f t="shared" si="19"/>
        <v>15</v>
      </c>
      <c r="G29" s="10">
        <f t="shared" si="20"/>
        <v>46.05</v>
      </c>
      <c r="H29" s="7">
        <f>'[6]Production Summary'!G60</f>
        <v>10000</v>
      </c>
      <c r="I29" s="8">
        <f t="shared" si="21"/>
        <v>0.01</v>
      </c>
      <c r="J29" s="10">
        <f t="shared" si="22"/>
        <v>3.0699999999999998E-2</v>
      </c>
      <c r="K29" s="7">
        <f>'[6]Production Summary'!T60</f>
        <v>1363062</v>
      </c>
      <c r="L29" s="8">
        <f t="shared" si="23"/>
        <v>1.363062</v>
      </c>
      <c r="M29" s="10">
        <f t="shared" si="24"/>
        <v>4.1846003399999994</v>
      </c>
      <c r="N29" s="21"/>
      <c r="O29" s="7">
        <f>'[6]Production Summary'!I60</f>
        <v>4989926</v>
      </c>
      <c r="P29" s="8">
        <f t="shared" si="25"/>
        <v>4.9899259999999996</v>
      </c>
      <c r="Q29" s="10">
        <f t="shared" si="26"/>
        <v>15.319072819999999</v>
      </c>
      <c r="R29" s="7">
        <f>'[6]Production Summary'!C60</f>
        <v>4995000</v>
      </c>
      <c r="S29" s="8">
        <f t="shared" si="27"/>
        <v>4.9950000000000001</v>
      </c>
      <c r="T29" s="10">
        <f t="shared" si="28"/>
        <v>15.33465</v>
      </c>
      <c r="U29" s="7">
        <f>'[6]Production Summary'!F60</f>
        <v>15000000</v>
      </c>
      <c r="V29" s="8">
        <f t="shared" si="29"/>
        <v>15</v>
      </c>
      <c r="W29" s="10">
        <f t="shared" si="30"/>
        <v>46.05</v>
      </c>
      <c r="X29" s="7">
        <f>'[6]Production Summary'!AB60</f>
        <v>73.999999999999844</v>
      </c>
      <c r="Y29" s="8">
        <f t="shared" si="31"/>
        <v>7.3999999999999847E-5</v>
      </c>
      <c r="Z29" s="10">
        <f t="shared" si="32"/>
        <v>2.2717999999999952E-4</v>
      </c>
      <c r="AA29" s="15"/>
      <c r="AB29" s="7">
        <f t="shared" si="33"/>
        <v>18189925.999999817</v>
      </c>
      <c r="AC29" s="8">
        <f t="shared" si="33"/>
        <v>18.189925999999819</v>
      </c>
      <c r="AD29" s="8">
        <f t="shared" si="33"/>
        <v>55.843072819999435</v>
      </c>
    </row>
    <row r="30" spans="1:30" x14ac:dyDescent="0.15">
      <c r="A30" s="27">
        <v>38498</v>
      </c>
      <c r="B30" s="7">
        <f>'[6]Production Summary'!J61</f>
        <v>13400000.000000091</v>
      </c>
      <c r="C30" s="8">
        <f t="shared" si="17"/>
        <v>13.400000000000091</v>
      </c>
      <c r="D30" s="10">
        <f t="shared" si="18"/>
        <v>41.138000000000275</v>
      </c>
      <c r="E30" s="7">
        <f>'[6]Production Summary'!E61</f>
        <v>16000000</v>
      </c>
      <c r="F30" s="8">
        <f t="shared" si="19"/>
        <v>16</v>
      </c>
      <c r="G30" s="10">
        <f t="shared" si="20"/>
        <v>49.12</v>
      </c>
      <c r="H30" s="7">
        <f>'[6]Production Summary'!G61</f>
        <v>0</v>
      </c>
      <c r="I30" s="8">
        <f t="shared" si="21"/>
        <v>0</v>
      </c>
      <c r="J30" s="10">
        <f t="shared" si="22"/>
        <v>0</v>
      </c>
      <c r="K30" s="7">
        <f>'[6]Production Summary'!T61</f>
        <v>1269005</v>
      </c>
      <c r="L30" s="8">
        <f t="shared" si="23"/>
        <v>1.2690049999999999</v>
      </c>
      <c r="M30" s="10">
        <f t="shared" si="24"/>
        <v>3.8958453499999997</v>
      </c>
      <c r="N30" s="21"/>
      <c r="O30" s="7">
        <f>'[6]Production Summary'!I61</f>
        <v>5667788</v>
      </c>
      <c r="P30" s="8">
        <f t="shared" si="25"/>
        <v>5.6677879999999998</v>
      </c>
      <c r="Q30" s="10">
        <f t="shared" si="26"/>
        <v>17.40010916</v>
      </c>
      <c r="R30" s="7">
        <f>'[6]Production Summary'!C61</f>
        <v>5673000</v>
      </c>
      <c r="S30" s="8">
        <f t="shared" si="27"/>
        <v>5.673</v>
      </c>
      <c r="T30" s="10">
        <f t="shared" si="28"/>
        <v>17.41611</v>
      </c>
      <c r="U30" s="7">
        <f>'[6]Production Summary'!F61</f>
        <v>16000000</v>
      </c>
      <c r="V30" s="8">
        <f t="shared" si="29"/>
        <v>16</v>
      </c>
      <c r="W30" s="10">
        <f t="shared" si="30"/>
        <v>49.12</v>
      </c>
      <c r="X30" s="7">
        <f>'[6]Production Summary'!AB61</f>
        <v>212.0000000000002</v>
      </c>
      <c r="Y30" s="8">
        <f t="shared" si="31"/>
        <v>2.1200000000000019E-4</v>
      </c>
      <c r="Z30" s="10">
        <f t="shared" si="32"/>
        <v>6.5084000000000051E-4</v>
      </c>
      <c r="AA30" s="15"/>
      <c r="AB30" s="7">
        <f t="shared" si="33"/>
        <v>19067788.000000089</v>
      </c>
      <c r="AC30" s="8">
        <f t="shared" si="33"/>
        <v>19.067788000000093</v>
      </c>
      <c r="AD30" s="8">
        <f t="shared" si="33"/>
        <v>58.538109160000275</v>
      </c>
    </row>
    <row r="31" spans="1:30" x14ac:dyDescent="0.15">
      <c r="A31" s="27">
        <v>38499</v>
      </c>
      <c r="B31" s="7">
        <f>'[6]Production Summary'!J62</f>
        <v>12899999.999999637</v>
      </c>
      <c r="C31" s="8">
        <f t="shared" si="17"/>
        <v>12.899999999999636</v>
      </c>
      <c r="D31" s="10">
        <f t="shared" si="18"/>
        <v>39.602999999998879</v>
      </c>
      <c r="E31" s="7">
        <f>'[6]Production Summary'!E62</f>
        <v>14000000</v>
      </c>
      <c r="F31" s="8">
        <f t="shared" si="19"/>
        <v>14</v>
      </c>
      <c r="G31" s="10">
        <f t="shared" si="20"/>
        <v>42.98</v>
      </c>
      <c r="H31" s="7">
        <f>'[6]Production Summary'!G62</f>
        <v>0</v>
      </c>
      <c r="I31" s="8">
        <f t="shared" si="21"/>
        <v>0</v>
      </c>
      <c r="J31" s="10">
        <f t="shared" si="22"/>
        <v>0</v>
      </c>
      <c r="K31" s="7">
        <f>'[6]Production Summary'!T62</f>
        <v>1277484</v>
      </c>
      <c r="L31" s="8">
        <f t="shared" si="23"/>
        <v>1.2774840000000001</v>
      </c>
      <c r="M31" s="10">
        <f t="shared" si="24"/>
        <v>3.92187588</v>
      </c>
      <c r="N31" s="21"/>
      <c r="O31" s="7">
        <f>'[6]Production Summary'!I62</f>
        <v>5969793</v>
      </c>
      <c r="P31" s="8">
        <f t="shared" si="25"/>
        <v>5.9697930000000001</v>
      </c>
      <c r="Q31" s="10">
        <f t="shared" si="26"/>
        <v>18.327264509999999</v>
      </c>
      <c r="R31" s="7">
        <f>'[6]Production Summary'!C62</f>
        <v>5973000</v>
      </c>
      <c r="S31" s="8">
        <f t="shared" si="27"/>
        <v>5.9729999999999999</v>
      </c>
      <c r="T31" s="10">
        <f t="shared" si="28"/>
        <v>18.337109999999999</v>
      </c>
      <c r="U31" s="7">
        <f>'[6]Production Summary'!F62</f>
        <v>14000000</v>
      </c>
      <c r="V31" s="8">
        <f t="shared" si="29"/>
        <v>14</v>
      </c>
      <c r="W31" s="10">
        <f t="shared" si="30"/>
        <v>42.98</v>
      </c>
      <c r="X31" s="7">
        <f>'[6]Production Summary'!AB62</f>
        <v>206.99999999999986</v>
      </c>
      <c r="Y31" s="8">
        <f t="shared" si="31"/>
        <v>2.0699999999999985E-4</v>
      </c>
      <c r="Z31" s="10">
        <f t="shared" si="32"/>
        <v>6.3548999999999951E-4</v>
      </c>
      <c r="AA31" s="15"/>
      <c r="AB31" s="7">
        <f t="shared" si="33"/>
        <v>18869792.999999635</v>
      </c>
      <c r="AC31" s="8">
        <f t="shared" si="33"/>
        <v>18.869792999999635</v>
      </c>
      <c r="AD31" s="8">
        <f t="shared" si="33"/>
        <v>57.930264509998878</v>
      </c>
    </row>
    <row r="32" spans="1:30" x14ac:dyDescent="0.15">
      <c r="A32" s="27">
        <v>38500</v>
      </c>
      <c r="B32" s="7">
        <f>'[6]Production Summary'!J63</f>
        <v>12300000.000000183</v>
      </c>
      <c r="C32" s="8">
        <f t="shared" si="17"/>
        <v>12.300000000000182</v>
      </c>
      <c r="D32" s="10">
        <f t="shared" si="18"/>
        <v>37.761000000000557</v>
      </c>
      <c r="E32" s="7">
        <f>'[6]Production Summary'!E63</f>
        <v>13000000</v>
      </c>
      <c r="F32" s="8">
        <f t="shared" si="19"/>
        <v>13</v>
      </c>
      <c r="G32" s="10">
        <f t="shared" si="20"/>
        <v>39.909999999999997</v>
      </c>
      <c r="H32" s="7">
        <f>'[6]Production Summary'!G63</f>
        <v>0</v>
      </c>
      <c r="I32" s="8">
        <f t="shared" si="21"/>
        <v>0</v>
      </c>
      <c r="J32" s="10">
        <f t="shared" si="22"/>
        <v>0</v>
      </c>
      <c r="K32" s="7">
        <f>'[6]Production Summary'!T63</f>
        <v>1035940</v>
      </c>
      <c r="L32" s="8">
        <f t="shared" si="23"/>
        <v>1.0359400000000001</v>
      </c>
      <c r="M32" s="10">
        <f t="shared" si="24"/>
        <v>3.1803357999999999</v>
      </c>
      <c r="N32" s="21"/>
      <c r="O32" s="7">
        <f>'[6]Production Summary'!I63</f>
        <v>5887000</v>
      </c>
      <c r="P32" s="8">
        <f t="shared" si="25"/>
        <v>5.8869999999999996</v>
      </c>
      <c r="Q32" s="10">
        <f t="shared" si="26"/>
        <v>18.073089999999997</v>
      </c>
      <c r="R32" s="7">
        <f>'[6]Production Summary'!C63</f>
        <v>6030000</v>
      </c>
      <c r="S32" s="8">
        <f t="shared" si="27"/>
        <v>6.03</v>
      </c>
      <c r="T32" s="10">
        <f t="shared" si="28"/>
        <v>18.5121</v>
      </c>
      <c r="U32" s="7">
        <f>'[6]Production Summary'!F63</f>
        <v>13000000</v>
      </c>
      <c r="V32" s="8">
        <f t="shared" si="29"/>
        <v>13</v>
      </c>
      <c r="W32" s="10">
        <f t="shared" si="30"/>
        <v>39.909999999999997</v>
      </c>
      <c r="X32" s="7">
        <f>'[6]Production Summary'!AB63</f>
        <v>139000.00000000023</v>
      </c>
      <c r="Y32" s="8">
        <f t="shared" si="31"/>
        <v>0.13900000000000023</v>
      </c>
      <c r="Z32" s="10">
        <f t="shared" si="32"/>
        <v>0.42673000000000072</v>
      </c>
      <c r="AA32" s="15"/>
      <c r="AB32" s="7">
        <f t="shared" si="33"/>
        <v>18187000.000000183</v>
      </c>
      <c r="AC32" s="8">
        <f t="shared" si="33"/>
        <v>18.187000000000182</v>
      </c>
      <c r="AD32" s="8">
        <f t="shared" si="33"/>
        <v>55.834090000000558</v>
      </c>
    </row>
    <row r="33" spans="1:30" x14ac:dyDescent="0.15">
      <c r="A33" s="27">
        <v>38501</v>
      </c>
      <c r="B33" s="7">
        <f>'[6]Production Summary'!J64</f>
        <v>12300000.000000183</v>
      </c>
      <c r="C33" s="8">
        <f t="shared" si="17"/>
        <v>12.300000000000182</v>
      </c>
      <c r="D33" s="10">
        <f t="shared" si="18"/>
        <v>37.761000000000557</v>
      </c>
      <c r="E33" s="7">
        <f>'[6]Production Summary'!E64</f>
        <v>15000000</v>
      </c>
      <c r="F33" s="8">
        <f t="shared" si="19"/>
        <v>15</v>
      </c>
      <c r="G33" s="10">
        <f t="shared" si="20"/>
        <v>46.05</v>
      </c>
      <c r="H33" s="7">
        <f>'[6]Production Summary'!G64</f>
        <v>0</v>
      </c>
      <c r="I33" s="8">
        <f t="shared" si="21"/>
        <v>0</v>
      </c>
      <c r="J33" s="10">
        <f t="shared" si="22"/>
        <v>0</v>
      </c>
      <c r="K33" s="7">
        <f>'[6]Production Summary'!T64</f>
        <v>1296396</v>
      </c>
      <c r="L33" s="8">
        <f t="shared" si="23"/>
        <v>1.2963960000000001</v>
      </c>
      <c r="M33" s="10">
        <f t="shared" si="24"/>
        <v>3.9799357200000003</v>
      </c>
      <c r="N33" s="21"/>
      <c r="O33" s="7">
        <f>'[6]Production Summary'!I64</f>
        <v>5863000</v>
      </c>
      <c r="P33" s="8">
        <f t="shared" si="25"/>
        <v>5.8630000000000004</v>
      </c>
      <c r="Q33" s="10">
        <f t="shared" si="26"/>
        <v>17.999410000000001</v>
      </c>
      <c r="R33" s="7">
        <f>'[6]Production Summary'!C64</f>
        <v>6014000</v>
      </c>
      <c r="S33" s="8">
        <f t="shared" si="27"/>
        <v>6.0140000000000002</v>
      </c>
      <c r="T33" s="10">
        <f t="shared" si="28"/>
        <v>18.462979999999998</v>
      </c>
      <c r="U33" s="7">
        <f>'[6]Production Summary'!F64</f>
        <v>15000000</v>
      </c>
      <c r="V33" s="8">
        <f t="shared" si="29"/>
        <v>15</v>
      </c>
      <c r="W33" s="10">
        <f t="shared" si="30"/>
        <v>46.05</v>
      </c>
      <c r="X33" s="7">
        <f>'[6]Production Summary'!AB64</f>
        <v>147999.99999999968</v>
      </c>
      <c r="Y33" s="8">
        <f t="shared" si="31"/>
        <v>0.14799999999999969</v>
      </c>
      <c r="Z33" s="10">
        <f t="shared" si="32"/>
        <v>0.45435999999999904</v>
      </c>
      <c r="AA33" s="15"/>
      <c r="AB33" s="7">
        <f t="shared" si="33"/>
        <v>18163000.000000183</v>
      </c>
      <c r="AC33" s="8">
        <f t="shared" si="33"/>
        <v>18.163000000000181</v>
      </c>
      <c r="AD33" s="8">
        <f t="shared" si="33"/>
        <v>55.760410000000562</v>
      </c>
    </row>
    <row r="34" spans="1:30" x14ac:dyDescent="0.15">
      <c r="A34" s="27">
        <v>38502</v>
      </c>
      <c r="B34" s="7">
        <f>'[6]Production Summary'!J65</f>
        <v>17500000</v>
      </c>
      <c r="C34" s="8">
        <f t="shared" si="17"/>
        <v>17.5</v>
      </c>
      <c r="D34" s="10">
        <f t="shared" si="18"/>
        <v>53.724999999999994</v>
      </c>
      <c r="E34" s="7">
        <f>'[6]Production Summary'!E65</f>
        <v>19000000</v>
      </c>
      <c r="F34" s="8">
        <f t="shared" si="19"/>
        <v>19</v>
      </c>
      <c r="G34" s="10">
        <f t="shared" si="20"/>
        <v>58.33</v>
      </c>
      <c r="H34" s="7">
        <f>'[6]Production Summary'!G65</f>
        <v>10000</v>
      </c>
      <c r="I34" s="8">
        <f t="shared" si="21"/>
        <v>0.01</v>
      </c>
      <c r="J34" s="10">
        <f t="shared" si="22"/>
        <v>3.0699999999999998E-2</v>
      </c>
      <c r="K34" s="7">
        <f>'[6]Production Summary'!T65</f>
        <v>1589526</v>
      </c>
      <c r="L34" s="8">
        <f t="shared" si="23"/>
        <v>1.589526</v>
      </c>
      <c r="M34" s="10">
        <f t="shared" si="24"/>
        <v>4.8798448199999997</v>
      </c>
      <c r="N34" s="21"/>
      <c r="O34" s="7">
        <f>'[6]Production Summary'!I65</f>
        <v>5787000</v>
      </c>
      <c r="P34" s="8">
        <f t="shared" si="25"/>
        <v>5.7869999999999999</v>
      </c>
      <c r="Q34" s="10">
        <f t="shared" si="26"/>
        <v>17.766089999999998</v>
      </c>
      <c r="R34" s="7">
        <f>'[6]Production Summary'!C65</f>
        <v>6006000</v>
      </c>
      <c r="S34" s="8">
        <f t="shared" si="27"/>
        <v>6.0060000000000002</v>
      </c>
      <c r="T34" s="10">
        <f t="shared" si="28"/>
        <v>18.438420000000001</v>
      </c>
      <c r="U34" s="7">
        <f>'[6]Production Summary'!F65</f>
        <v>19000000</v>
      </c>
      <c r="V34" s="8">
        <f t="shared" si="29"/>
        <v>19</v>
      </c>
      <c r="W34" s="10">
        <f t="shared" si="30"/>
        <v>58.33</v>
      </c>
      <c r="X34" s="7">
        <f>'[6]Production Summary'!AB65</f>
        <v>213999.99999999997</v>
      </c>
      <c r="Y34" s="8">
        <f t="shared" si="31"/>
        <v>0.21399999999999997</v>
      </c>
      <c r="Z34" s="10">
        <f t="shared" si="32"/>
        <v>0.6569799999999999</v>
      </c>
      <c r="AA34" s="15"/>
      <c r="AB34" s="7">
        <f t="shared" si="33"/>
        <v>23287000</v>
      </c>
      <c r="AC34" s="8">
        <f t="shared" si="33"/>
        <v>23.286999999999999</v>
      </c>
      <c r="AD34" s="8">
        <f t="shared" si="33"/>
        <v>71.491089999999986</v>
      </c>
    </row>
    <row r="35" spans="1:30" ht="14" thickBot="1" x14ac:dyDescent="0.2">
      <c r="A35" s="27">
        <v>38503</v>
      </c>
      <c r="B35" s="7">
        <f>'[6]Production Summary'!J66</f>
        <v>16899999.999999635</v>
      </c>
      <c r="C35" s="8">
        <f t="shared" si="17"/>
        <v>16.899999999999636</v>
      </c>
      <c r="D35" s="10">
        <f t="shared" si="18"/>
        <v>51.88299999999888</v>
      </c>
      <c r="E35" s="7">
        <f>'[6]Production Summary'!E66</f>
        <v>19000000</v>
      </c>
      <c r="F35" s="8">
        <f t="shared" si="19"/>
        <v>19</v>
      </c>
      <c r="G35" s="10">
        <f t="shared" si="20"/>
        <v>58.33</v>
      </c>
      <c r="H35" s="7">
        <f>'[6]Production Summary'!G66</f>
        <v>0</v>
      </c>
      <c r="I35" s="8">
        <f t="shared" si="21"/>
        <v>0</v>
      </c>
      <c r="J35" s="10">
        <f t="shared" si="22"/>
        <v>0</v>
      </c>
      <c r="K35" s="7">
        <f>'[6]Production Summary'!T66</f>
        <v>1646561</v>
      </c>
      <c r="L35" s="8">
        <f t="shared" si="23"/>
        <v>1.6465609999999999</v>
      </c>
      <c r="M35" s="10">
        <f t="shared" si="24"/>
        <v>5.0549422699999997</v>
      </c>
      <c r="N35" s="21"/>
      <c r="O35" s="7">
        <f>'[6]Production Summary'!I66</f>
        <v>5834000</v>
      </c>
      <c r="P35" s="8">
        <f t="shared" si="25"/>
        <v>5.8339999999999996</v>
      </c>
      <c r="Q35" s="10">
        <f t="shared" si="26"/>
        <v>17.910379999999996</v>
      </c>
      <c r="R35" s="7">
        <f>'[6]Production Summary'!C66</f>
        <v>5986000</v>
      </c>
      <c r="S35" s="8">
        <f t="shared" si="27"/>
        <v>5.9859999999999998</v>
      </c>
      <c r="T35" s="10">
        <f t="shared" si="28"/>
        <v>18.377019999999998</v>
      </c>
      <c r="U35" s="7">
        <f>'[6]Production Summary'!F66</f>
        <v>19000000</v>
      </c>
      <c r="V35" s="8">
        <f t="shared" si="29"/>
        <v>19</v>
      </c>
      <c r="W35" s="10">
        <f t="shared" si="30"/>
        <v>58.33</v>
      </c>
      <c r="X35" s="7">
        <f>'[6]Production Summary'!AB66</f>
        <v>149000.00000000003</v>
      </c>
      <c r="Y35" s="8">
        <f t="shared" si="31"/>
        <v>0.14900000000000002</v>
      </c>
      <c r="Z35" s="10">
        <f t="shared" si="32"/>
        <v>0.45743000000000006</v>
      </c>
      <c r="AA35" s="15"/>
      <c r="AB35" s="7">
        <f t="shared" si="33"/>
        <v>22733999.999999635</v>
      </c>
      <c r="AC35" s="8">
        <f t="shared" si="33"/>
        <v>22.733999999999636</v>
      </c>
      <c r="AD35" s="8">
        <f t="shared" si="33"/>
        <v>69.793379999998876</v>
      </c>
    </row>
    <row r="36" spans="1:30" s="18" customFormat="1" ht="14" thickBot="1" x14ac:dyDescent="0.2">
      <c r="A36" s="15"/>
      <c r="B36" s="38"/>
      <c r="C36" s="39">
        <f>SUM(C5:C35)</f>
        <v>518.49999999999955</v>
      </c>
      <c r="D36" s="39">
        <f t="shared" ref="D36" si="34">C36*3.07</f>
        <v>1591.7949999999985</v>
      </c>
      <c r="E36" s="38"/>
      <c r="F36" s="39">
        <f>SUM(F5:F35)</f>
        <v>346</v>
      </c>
      <c r="G36" s="39">
        <f t="shared" ref="G36" si="35">F36*3.07</f>
        <v>1062.22</v>
      </c>
      <c r="H36" s="38"/>
      <c r="I36" s="39">
        <f>SUM(I5:I35)</f>
        <v>232.99999999999994</v>
      </c>
      <c r="J36" s="39">
        <f t="shared" ref="J36" si="36">I36*3.07</f>
        <v>715.30999999999983</v>
      </c>
      <c r="K36" s="38"/>
      <c r="L36" s="39">
        <f>SUM(L5:L35)</f>
        <v>48.210978000000011</v>
      </c>
      <c r="M36" s="39">
        <f>L36*3.07</f>
        <v>148.00770246000002</v>
      </c>
      <c r="N36" s="14"/>
      <c r="O36" s="38"/>
      <c r="P36" s="39">
        <f>SUM(P5:P35)</f>
        <v>46.522295999999997</v>
      </c>
      <c r="Q36" s="39">
        <f t="shared" ref="Q36" si="37">P36*3.07</f>
        <v>142.82344871999999</v>
      </c>
      <c r="R36" s="38"/>
      <c r="S36" s="39">
        <f>SUM(S5:S35)</f>
        <v>52.03</v>
      </c>
      <c r="T36" s="39">
        <f t="shared" ref="T36" si="38">S36*3.07</f>
        <v>159.7321</v>
      </c>
      <c r="U36" s="38"/>
      <c r="V36" s="39">
        <f>SUM(V5:V35)</f>
        <v>346</v>
      </c>
      <c r="W36" s="39">
        <f>V36*3.07</f>
        <v>1062.22</v>
      </c>
      <c r="X36" s="38"/>
      <c r="Y36" s="39">
        <f>SUM(Y5:Y35)</f>
        <v>0.65071799999999991</v>
      </c>
      <c r="Z36" s="39">
        <f>Y36*3.07</f>
        <v>1.9977042599999997</v>
      </c>
      <c r="AA36" s="14"/>
      <c r="AB36" s="38"/>
      <c r="AC36" s="39">
        <f>SUM(AC5:AC35)</f>
        <v>565.02229599999953</v>
      </c>
      <c r="AD36" s="39">
        <f>AC36*3.07</f>
        <v>1734.6184487199985</v>
      </c>
    </row>
    <row r="37" spans="1:30" x14ac:dyDescent="0.15">
      <c r="C37" s="18"/>
      <c r="E37" s="3"/>
      <c r="F37" s="3"/>
      <c r="G37" s="3"/>
      <c r="H37" s="3"/>
      <c r="I37" s="3"/>
      <c r="J37" s="15"/>
      <c r="K37" s="14"/>
      <c r="L37" s="3"/>
      <c r="M37" s="3"/>
      <c r="N37" s="3"/>
      <c r="O37" s="3"/>
      <c r="P37" s="3"/>
      <c r="Q37" s="3"/>
      <c r="R37" s="3"/>
      <c r="S37" s="3"/>
      <c r="T37" s="3"/>
      <c r="U37" s="14"/>
      <c r="W37" s="30"/>
    </row>
  </sheetData>
  <mergeCells count="9">
    <mergeCell ref="AB3:AD3"/>
    <mergeCell ref="R3:T3"/>
    <mergeCell ref="U3:W3"/>
    <mergeCell ref="X3:Z3"/>
    <mergeCell ref="B3:D3"/>
    <mergeCell ref="E3:G3"/>
    <mergeCell ref="H3:J3"/>
    <mergeCell ref="O3:Q3"/>
    <mergeCell ref="K3:M3"/>
  </mergeCells>
  <phoneticPr fontId="1" type="noConversion"/>
  <pageMargins left="0.75" right="0.75" top="1" bottom="1" header="0.5" footer="0.5"/>
  <pageSetup paperSize="5" scale="60" orientation="landscape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>
    <pageSetUpPr fitToPage="1"/>
  </sheetPr>
  <dimension ref="A1:AD43"/>
  <sheetViews>
    <sheetView workbookViewId="0">
      <pane xSplit="1" ySplit="4" topLeftCell="L15" activePane="bottomRight" state="frozen"/>
      <selection pane="topRight" activeCell="B1" sqref="B1"/>
      <selection pane="bottomLeft" activeCell="A5" sqref="A5"/>
      <selection pane="bottomRight" activeCell="AD35" sqref="AD35"/>
    </sheetView>
  </sheetViews>
  <sheetFormatPr baseColWidth="10" defaultColWidth="8.83203125" defaultRowHeight="13" x14ac:dyDescent="0.15"/>
  <cols>
    <col min="2" max="2" width="11.1640625" customWidth="1"/>
    <col min="5" max="5" width="15.33203125" customWidth="1"/>
    <col min="7" max="7" width="11.5" customWidth="1"/>
    <col min="8" max="8" width="13.6640625" customWidth="1"/>
    <col min="11" max="11" width="11.6640625" bestFit="1" customWidth="1"/>
    <col min="12" max="12" width="11" customWidth="1"/>
    <col min="15" max="15" width="13.5" bestFit="1" customWidth="1"/>
    <col min="18" max="18" width="10.1640625" customWidth="1"/>
    <col min="19" max="21" width="9.1640625" customWidth="1"/>
    <col min="22" max="22" width="11.1640625" customWidth="1"/>
    <col min="23" max="23" width="9.1640625" customWidth="1"/>
    <col min="28" max="28" width="12.1640625" customWidth="1"/>
  </cols>
  <sheetData>
    <row r="1" spans="1:30" x14ac:dyDescent="0.15">
      <c r="A1" s="42"/>
      <c r="B1" s="40"/>
      <c r="C1" s="25"/>
      <c r="D1" s="25"/>
      <c r="E1" s="25"/>
      <c r="F1" s="25"/>
      <c r="G1" s="3"/>
      <c r="H1" s="3"/>
      <c r="I1" s="3"/>
      <c r="J1" s="3"/>
      <c r="K1" s="14"/>
      <c r="L1" s="3"/>
      <c r="M1" s="3"/>
      <c r="N1" s="3"/>
      <c r="O1" s="3"/>
      <c r="P1" s="3"/>
      <c r="Q1" s="3"/>
      <c r="R1" s="3"/>
      <c r="S1" s="3"/>
      <c r="T1" s="3"/>
      <c r="U1" s="14"/>
      <c r="V1" s="3"/>
      <c r="W1" s="3"/>
      <c r="X1" s="3"/>
    </row>
    <row r="2" spans="1:30" ht="14" thickBot="1" x14ac:dyDescent="0.2">
      <c r="A2" s="3"/>
      <c r="B2" s="3"/>
      <c r="C2" s="24"/>
      <c r="D2" s="3"/>
      <c r="E2" s="3"/>
      <c r="F2" s="3"/>
      <c r="G2" s="3"/>
      <c r="H2" s="3"/>
      <c r="I2" s="3"/>
      <c r="J2" s="3"/>
      <c r="K2" s="14"/>
      <c r="L2" s="3"/>
      <c r="M2" s="3"/>
      <c r="N2" s="3"/>
      <c r="O2" s="3"/>
      <c r="P2" s="3"/>
      <c r="Q2" s="3"/>
      <c r="R2" s="3"/>
      <c r="S2" s="3"/>
      <c r="T2" s="3"/>
      <c r="U2" s="14"/>
      <c r="V2" s="3"/>
      <c r="W2" s="3"/>
      <c r="X2" s="3"/>
    </row>
    <row r="3" spans="1:30" ht="60.75" customHeight="1" thickBot="1" x14ac:dyDescent="0.2">
      <c r="A3" s="3"/>
      <c r="B3" s="58" t="s">
        <v>10</v>
      </c>
      <c r="C3" s="59"/>
      <c r="D3" s="60"/>
      <c r="E3" s="58" t="s">
        <v>11</v>
      </c>
      <c r="F3" s="59"/>
      <c r="G3" s="60"/>
      <c r="H3" s="58" t="s">
        <v>12</v>
      </c>
      <c r="I3" s="59"/>
      <c r="J3" s="60"/>
      <c r="K3" s="58" t="s">
        <v>13</v>
      </c>
      <c r="L3" s="59"/>
      <c r="M3" s="60"/>
      <c r="N3" s="19"/>
      <c r="O3" s="58" t="s">
        <v>4</v>
      </c>
      <c r="P3" s="59"/>
      <c r="Q3" s="60"/>
      <c r="R3" s="58" t="s">
        <v>3</v>
      </c>
      <c r="S3" s="59"/>
      <c r="T3" s="60"/>
      <c r="U3" s="58" t="s">
        <v>15</v>
      </c>
      <c r="V3" s="59"/>
      <c r="W3" s="60"/>
      <c r="X3" s="58" t="s">
        <v>7</v>
      </c>
      <c r="Y3" s="59"/>
      <c r="Z3" s="60"/>
      <c r="AA3" s="19"/>
      <c r="AB3" s="55" t="s">
        <v>8</v>
      </c>
      <c r="AC3" s="56"/>
      <c r="AD3" s="57"/>
    </row>
    <row r="4" spans="1:30" x14ac:dyDescent="0.15">
      <c r="A4" s="26"/>
      <c r="B4" s="4" t="s">
        <v>0</v>
      </c>
      <c r="C4" s="17" t="s">
        <v>1</v>
      </c>
      <c r="D4" s="6" t="s">
        <v>2</v>
      </c>
      <c r="E4" s="4" t="s">
        <v>0</v>
      </c>
      <c r="F4" s="5" t="s">
        <v>1</v>
      </c>
      <c r="G4" s="6" t="s">
        <v>2</v>
      </c>
      <c r="H4" s="4" t="s">
        <v>0</v>
      </c>
      <c r="I4" s="5" t="s">
        <v>1</v>
      </c>
      <c r="J4" s="6" t="s">
        <v>2</v>
      </c>
      <c r="K4" s="4" t="s">
        <v>0</v>
      </c>
      <c r="L4" s="5" t="s">
        <v>1</v>
      </c>
      <c r="M4" s="6" t="s">
        <v>2</v>
      </c>
      <c r="N4" s="19"/>
      <c r="O4" s="4" t="s">
        <v>0</v>
      </c>
      <c r="P4" s="5" t="s">
        <v>1</v>
      </c>
      <c r="Q4" s="6" t="s">
        <v>2</v>
      </c>
      <c r="R4" s="4" t="s">
        <v>0</v>
      </c>
      <c r="S4" s="5" t="s">
        <v>1</v>
      </c>
      <c r="T4" s="6" t="s">
        <v>2</v>
      </c>
      <c r="U4" s="4" t="s">
        <v>0</v>
      </c>
      <c r="V4" s="5" t="s">
        <v>1</v>
      </c>
      <c r="W4" s="6" t="s">
        <v>2</v>
      </c>
      <c r="X4" s="4" t="s">
        <v>0</v>
      </c>
      <c r="Y4" s="5" t="s">
        <v>1</v>
      </c>
      <c r="Z4" s="6" t="s">
        <v>2</v>
      </c>
      <c r="AA4" s="19"/>
      <c r="AB4" s="4" t="s">
        <v>0</v>
      </c>
      <c r="AC4" s="5" t="s">
        <v>1</v>
      </c>
      <c r="AD4" s="6" t="s">
        <v>2</v>
      </c>
    </row>
    <row r="5" spans="1:30" x14ac:dyDescent="0.15">
      <c r="A5" s="27">
        <v>38504</v>
      </c>
      <c r="B5" s="7">
        <f>'[7]Production Summary'!J67</f>
        <v>18300000.000000183</v>
      </c>
      <c r="C5" s="8">
        <f t="shared" ref="C5" si="0">B5/1000000</f>
        <v>18.300000000000182</v>
      </c>
      <c r="D5" s="10">
        <f t="shared" ref="D5" si="1">C5*3.07</f>
        <v>56.181000000000559</v>
      </c>
      <c r="E5" s="7">
        <f>'[7]Production Summary'!E67</f>
        <v>20000000</v>
      </c>
      <c r="F5" s="8">
        <f t="shared" ref="F5" si="2">E5/1000000</f>
        <v>20</v>
      </c>
      <c r="G5" s="10">
        <f t="shared" ref="G5" si="3">F5*3.07</f>
        <v>61.4</v>
      </c>
      <c r="H5" s="7">
        <f>'[6]Production Summary'!G67</f>
        <v>0</v>
      </c>
      <c r="I5" s="8">
        <f t="shared" ref="I5" si="4">H5/1000000</f>
        <v>0</v>
      </c>
      <c r="J5" s="10">
        <f t="shared" ref="J5" si="5">I5*3.07</f>
        <v>0</v>
      </c>
      <c r="K5" s="7">
        <f>'[7]Production Summary'!T67</f>
        <v>1701679</v>
      </c>
      <c r="L5" s="8">
        <f t="shared" ref="L5" si="6">K5/1000000</f>
        <v>1.7016789999999999</v>
      </c>
      <c r="M5" s="10">
        <f t="shared" ref="M5" si="7">L5*3.07</f>
        <v>5.2241545299999999</v>
      </c>
      <c r="N5" s="21"/>
      <c r="O5" s="7">
        <f>'[7]Production Summary'!I67</f>
        <v>5818000</v>
      </c>
      <c r="P5" s="8">
        <f t="shared" ref="P5" si="8">O5/1000000</f>
        <v>5.8179999999999996</v>
      </c>
      <c r="Q5" s="10">
        <f t="shared" ref="Q5" si="9">P5*3.07</f>
        <v>17.861259999999998</v>
      </c>
      <c r="R5" s="7">
        <f>'[7]Production Summary'!C67</f>
        <v>6028000</v>
      </c>
      <c r="S5" s="8">
        <f t="shared" ref="S5" si="10">R5/1000000</f>
        <v>6.0279999999999996</v>
      </c>
      <c r="T5" s="10">
        <f t="shared" ref="T5" si="11">S5*3.07</f>
        <v>18.505959999999998</v>
      </c>
      <c r="U5" s="7">
        <f>'[7]Production Summary'!F67</f>
        <v>0</v>
      </c>
      <c r="V5" s="8">
        <f t="shared" ref="V5" si="12">U5/1000000</f>
        <v>0</v>
      </c>
      <c r="W5" s="10">
        <f t="shared" ref="W5" si="13">V5*3.07</f>
        <v>0</v>
      </c>
      <c r="X5" s="7">
        <f>'[7]Production Summary'!AB67</f>
        <v>207000.00000000029</v>
      </c>
      <c r="Y5" s="8">
        <f t="shared" ref="Y5" si="14">X5/1000000</f>
        <v>0.20700000000000029</v>
      </c>
      <c r="Z5" s="10">
        <f t="shared" ref="Z5" si="15">Y5*3.07</f>
        <v>0.63549000000000089</v>
      </c>
      <c r="AA5" s="15"/>
      <c r="AB5" s="7">
        <f>B5+O5</f>
        <v>24118000.000000183</v>
      </c>
      <c r="AC5" s="8">
        <f>C5+P5</f>
        <v>24.11800000000018</v>
      </c>
      <c r="AD5" s="8">
        <f>D5+Q5</f>
        <v>74.042260000000553</v>
      </c>
    </row>
    <row r="6" spans="1:30" x14ac:dyDescent="0.15">
      <c r="A6" s="27">
        <v>38505</v>
      </c>
      <c r="B6" s="7">
        <f>'[7]Production Summary'!J68</f>
        <v>17900000.000000544</v>
      </c>
      <c r="C6" s="8">
        <f t="shared" ref="C6:C34" si="16">B6/1000000</f>
        <v>17.900000000000542</v>
      </c>
      <c r="D6" s="10">
        <f t="shared" ref="D6:D34" si="17">C6*3.07</f>
        <v>54.953000000001659</v>
      </c>
      <c r="E6" s="7">
        <f>'[7]Production Summary'!E68</f>
        <v>20000000</v>
      </c>
      <c r="F6" s="8">
        <f t="shared" ref="F6:F34" si="18">E6/1000000</f>
        <v>20</v>
      </c>
      <c r="G6" s="10">
        <f t="shared" ref="G6:G34" si="19">F6*3.07</f>
        <v>61.4</v>
      </c>
      <c r="H6" s="7">
        <f>'[6]Production Summary'!G68</f>
        <v>0</v>
      </c>
      <c r="I6" s="8">
        <f t="shared" ref="I6:I34" si="20">H6/1000000</f>
        <v>0</v>
      </c>
      <c r="J6" s="10">
        <f t="shared" ref="J6:J34" si="21">I6*3.07</f>
        <v>0</v>
      </c>
      <c r="K6" s="7">
        <f>'[7]Production Summary'!T68</f>
        <v>1634580</v>
      </c>
      <c r="L6" s="8">
        <f t="shared" ref="L6:L34" si="22">K6/1000000</f>
        <v>1.6345799999999999</v>
      </c>
      <c r="M6" s="10">
        <f t="shared" ref="M6:M34" si="23">L6*3.07</f>
        <v>5.0181605999999999</v>
      </c>
      <c r="N6" s="21"/>
      <c r="O6" s="7">
        <f>'[7]Production Summary'!I68</f>
        <v>5786000</v>
      </c>
      <c r="P6" s="8">
        <f t="shared" ref="P6:P34" si="24">O6/1000000</f>
        <v>5.7859999999999996</v>
      </c>
      <c r="Q6" s="10">
        <f t="shared" ref="Q6:Q34" si="25">P6*3.07</f>
        <v>17.763019999999997</v>
      </c>
      <c r="R6" s="7">
        <f>'[7]Production Summary'!C68</f>
        <v>6003000</v>
      </c>
      <c r="S6" s="8">
        <f t="shared" ref="S6:S34" si="26">R6/1000000</f>
        <v>6.0030000000000001</v>
      </c>
      <c r="T6" s="10">
        <f t="shared" ref="T6:T34" si="27">S6*3.07</f>
        <v>18.429209999999998</v>
      </c>
      <c r="U6" s="7">
        <f>'[7]Production Summary'!F68</f>
        <v>0</v>
      </c>
      <c r="V6" s="8">
        <f t="shared" ref="V6:V34" si="28">U6/1000000</f>
        <v>0</v>
      </c>
      <c r="W6" s="10">
        <f t="shared" ref="W6:W34" si="29">V6*3.07</f>
        <v>0</v>
      </c>
      <c r="X6" s="7">
        <f>'[7]Production Summary'!AB68</f>
        <v>211999.99999999974</v>
      </c>
      <c r="Y6" s="8">
        <f t="shared" ref="Y6:Y34" si="30">X6/1000000</f>
        <v>0.21199999999999974</v>
      </c>
      <c r="Z6" s="10">
        <f t="shared" ref="Z6:Z34" si="31">Y6*3.07</f>
        <v>0.6508399999999992</v>
      </c>
      <c r="AA6" s="15"/>
      <c r="AB6" s="7">
        <f t="shared" ref="AB6:AB34" si="32">B6+O6</f>
        <v>23686000.000000544</v>
      </c>
      <c r="AC6" s="8">
        <f t="shared" ref="AC6:AC34" si="33">C6+P6</f>
        <v>23.68600000000054</v>
      </c>
      <c r="AD6" s="8">
        <f t="shared" ref="AD6:AD34" si="34">D6+Q6</f>
        <v>72.716020000001663</v>
      </c>
    </row>
    <row r="7" spans="1:30" x14ac:dyDescent="0.15">
      <c r="A7" s="27">
        <v>38506</v>
      </c>
      <c r="B7" s="7">
        <f>'[7]Production Summary'!J69</f>
        <v>17799999.999999274</v>
      </c>
      <c r="C7" s="8">
        <f t="shared" si="16"/>
        <v>17.799999999999272</v>
      </c>
      <c r="D7" s="10">
        <f t="shared" si="17"/>
        <v>54.645999999997763</v>
      </c>
      <c r="E7" s="7">
        <f>'[7]Production Summary'!E69</f>
        <v>20000000</v>
      </c>
      <c r="F7" s="8">
        <f t="shared" si="18"/>
        <v>20</v>
      </c>
      <c r="G7" s="10">
        <f t="shared" si="19"/>
        <v>61.4</v>
      </c>
      <c r="H7" s="7">
        <f>'[6]Production Summary'!G69</f>
        <v>10000</v>
      </c>
      <c r="I7" s="8">
        <f t="shared" si="20"/>
        <v>0.01</v>
      </c>
      <c r="J7" s="10">
        <f t="shared" si="21"/>
        <v>3.0699999999999998E-2</v>
      </c>
      <c r="K7" s="7">
        <f>'[7]Production Summary'!T69</f>
        <v>1676312</v>
      </c>
      <c r="L7" s="8">
        <f t="shared" si="22"/>
        <v>1.676312</v>
      </c>
      <c r="M7" s="10">
        <f t="shared" si="23"/>
        <v>5.1462778399999998</v>
      </c>
      <c r="N7" s="21"/>
      <c r="O7" s="7">
        <f>'[7]Production Summary'!I69</f>
        <v>5769000</v>
      </c>
      <c r="P7" s="8">
        <f t="shared" si="24"/>
        <v>5.7690000000000001</v>
      </c>
      <c r="Q7" s="10">
        <f t="shared" si="25"/>
        <v>17.710829999999998</v>
      </c>
      <c r="R7" s="7">
        <f>'[7]Production Summary'!C69</f>
        <v>5924000</v>
      </c>
      <c r="S7" s="8">
        <f t="shared" si="26"/>
        <v>5.9240000000000004</v>
      </c>
      <c r="T7" s="10">
        <f t="shared" si="27"/>
        <v>18.186679999999999</v>
      </c>
      <c r="U7" s="7">
        <f>'[7]Production Summary'!F69</f>
        <v>0</v>
      </c>
      <c r="V7" s="8">
        <f t="shared" si="28"/>
        <v>0</v>
      </c>
      <c r="W7" s="10">
        <f t="shared" si="29"/>
        <v>0</v>
      </c>
      <c r="X7" s="7">
        <f>'[7]Production Summary'!AB69</f>
        <v>152000.00000000015</v>
      </c>
      <c r="Y7" s="8">
        <f t="shared" si="30"/>
        <v>0.15200000000000014</v>
      </c>
      <c r="Z7" s="10">
        <f t="shared" si="31"/>
        <v>0.46664000000000039</v>
      </c>
      <c r="AA7" s="15"/>
      <c r="AB7" s="7">
        <f t="shared" si="32"/>
        <v>23568999.999999274</v>
      </c>
      <c r="AC7" s="8">
        <f t="shared" si="33"/>
        <v>23.568999999999271</v>
      </c>
      <c r="AD7" s="8">
        <f t="shared" si="34"/>
        <v>72.356829999997757</v>
      </c>
    </row>
    <row r="8" spans="1:30" x14ac:dyDescent="0.15">
      <c r="A8" s="27">
        <v>38507</v>
      </c>
      <c r="B8" s="7">
        <f>'[7]Production Summary'!J70</f>
        <v>18100000.000000365</v>
      </c>
      <c r="C8" s="8">
        <f t="shared" si="16"/>
        <v>18.100000000000364</v>
      </c>
      <c r="D8" s="10">
        <f t="shared" si="17"/>
        <v>55.567000000001116</v>
      </c>
      <c r="E8" s="7">
        <f>'[7]Production Summary'!E70</f>
        <v>20000000</v>
      </c>
      <c r="F8" s="8">
        <f t="shared" si="18"/>
        <v>20</v>
      </c>
      <c r="G8" s="10">
        <f t="shared" si="19"/>
        <v>61.4</v>
      </c>
      <c r="H8" s="7">
        <f>'[6]Production Summary'!G70</f>
        <v>0</v>
      </c>
      <c r="I8" s="8">
        <f t="shared" si="20"/>
        <v>0</v>
      </c>
      <c r="J8" s="10">
        <f t="shared" si="21"/>
        <v>0</v>
      </c>
      <c r="K8" s="7">
        <f>'[7]Production Summary'!T70</f>
        <v>1712572</v>
      </c>
      <c r="L8" s="8">
        <f t="shared" si="22"/>
        <v>1.712572</v>
      </c>
      <c r="M8" s="10">
        <f t="shared" si="23"/>
        <v>5.2575960399999992</v>
      </c>
      <c r="N8" s="21"/>
      <c r="O8" s="7">
        <f>'[7]Production Summary'!I70</f>
        <v>5860000</v>
      </c>
      <c r="P8" s="8">
        <f t="shared" si="24"/>
        <v>5.86</v>
      </c>
      <c r="Q8" s="10">
        <f t="shared" si="25"/>
        <v>17.990200000000002</v>
      </c>
      <c r="R8" s="7">
        <f>'[7]Production Summary'!C70</f>
        <v>6058000</v>
      </c>
      <c r="S8" s="8">
        <f t="shared" si="26"/>
        <v>6.0579999999999998</v>
      </c>
      <c r="T8" s="10">
        <f t="shared" si="27"/>
        <v>18.59806</v>
      </c>
      <c r="U8" s="7">
        <f>'[7]Production Summary'!F70</f>
        <v>0</v>
      </c>
      <c r="V8" s="8">
        <f t="shared" si="28"/>
        <v>0</v>
      </c>
      <c r="W8" s="10">
        <f t="shared" si="29"/>
        <v>0</v>
      </c>
      <c r="X8" s="7">
        <f>'[7]Production Summary'!AB70</f>
        <v>193999.99999999994</v>
      </c>
      <c r="Y8" s="8">
        <f t="shared" si="30"/>
        <v>0.19399999999999995</v>
      </c>
      <c r="Z8" s="10">
        <f t="shared" si="31"/>
        <v>0.59557999999999978</v>
      </c>
      <c r="AA8" s="15"/>
      <c r="AB8" s="7">
        <f t="shared" si="32"/>
        <v>23960000.000000365</v>
      </c>
      <c r="AC8" s="8">
        <f t="shared" si="33"/>
        <v>23.960000000000363</v>
      </c>
      <c r="AD8" s="8">
        <f t="shared" si="34"/>
        <v>73.557200000001117</v>
      </c>
    </row>
    <row r="9" spans="1:30" x14ac:dyDescent="0.15">
      <c r="A9" s="27">
        <v>38508</v>
      </c>
      <c r="B9" s="7">
        <f>'[7]Production Summary'!J71</f>
        <v>21000000</v>
      </c>
      <c r="C9" s="8">
        <f t="shared" si="16"/>
        <v>21</v>
      </c>
      <c r="D9" s="10">
        <f t="shared" si="17"/>
        <v>64.47</v>
      </c>
      <c r="E9" s="7">
        <f>'[7]Production Summary'!E71</f>
        <v>23000000</v>
      </c>
      <c r="F9" s="8">
        <f t="shared" si="18"/>
        <v>23</v>
      </c>
      <c r="G9" s="10">
        <f t="shared" si="19"/>
        <v>70.61</v>
      </c>
      <c r="H9" s="7">
        <f>'[6]Production Summary'!G71</f>
        <v>0</v>
      </c>
      <c r="I9" s="8">
        <f t="shared" si="20"/>
        <v>0</v>
      </c>
      <c r="J9" s="10">
        <f t="shared" si="21"/>
        <v>0</v>
      </c>
      <c r="K9" s="7">
        <f>'[7]Production Summary'!T71</f>
        <v>1951115</v>
      </c>
      <c r="L9" s="8">
        <f t="shared" si="22"/>
        <v>1.9511149999999999</v>
      </c>
      <c r="M9" s="10">
        <f t="shared" si="23"/>
        <v>5.9899230499999998</v>
      </c>
      <c r="N9" s="21"/>
      <c r="O9" s="7">
        <f>'[7]Production Summary'!I71</f>
        <v>6032000</v>
      </c>
      <c r="P9" s="8">
        <f t="shared" si="24"/>
        <v>6.032</v>
      </c>
      <c r="Q9" s="10">
        <f t="shared" si="25"/>
        <v>18.518239999999999</v>
      </c>
      <c r="R9" s="7">
        <f>'[7]Production Summary'!C71</f>
        <v>6341000</v>
      </c>
      <c r="S9" s="8">
        <f t="shared" si="26"/>
        <v>6.3410000000000002</v>
      </c>
      <c r="T9" s="10">
        <f t="shared" si="27"/>
        <v>19.46687</v>
      </c>
      <c r="U9" s="7">
        <f>'[7]Production Summary'!F71</f>
        <v>0</v>
      </c>
      <c r="V9" s="8">
        <f t="shared" si="28"/>
        <v>0</v>
      </c>
      <c r="W9" s="10">
        <f t="shared" si="29"/>
        <v>0</v>
      </c>
      <c r="X9" s="7">
        <f>'[7]Production Summary'!AB71</f>
        <v>302999.99999999994</v>
      </c>
      <c r="Y9" s="8">
        <f t="shared" si="30"/>
        <v>0.30299999999999994</v>
      </c>
      <c r="Z9" s="10">
        <f t="shared" si="31"/>
        <v>0.93020999999999976</v>
      </c>
      <c r="AA9" s="15"/>
      <c r="AB9" s="7">
        <f t="shared" si="32"/>
        <v>27032000</v>
      </c>
      <c r="AC9" s="8">
        <f t="shared" si="33"/>
        <v>27.032</v>
      </c>
      <c r="AD9" s="8">
        <f t="shared" si="34"/>
        <v>82.98823999999999</v>
      </c>
    </row>
    <row r="10" spans="1:30" x14ac:dyDescent="0.15">
      <c r="A10" s="27">
        <v>38509</v>
      </c>
      <c r="B10" s="7">
        <f>'[7]Production Summary'!J72</f>
        <v>24699999.999999817</v>
      </c>
      <c r="C10" s="8">
        <f t="shared" si="16"/>
        <v>24.699999999999818</v>
      </c>
      <c r="D10" s="10">
        <f t="shared" si="17"/>
        <v>75.828999999999439</v>
      </c>
      <c r="E10" s="7">
        <f>'[7]Production Summary'!E72</f>
        <v>27000000</v>
      </c>
      <c r="F10" s="8">
        <f t="shared" si="18"/>
        <v>27</v>
      </c>
      <c r="G10" s="10">
        <f t="shared" si="19"/>
        <v>82.89</v>
      </c>
      <c r="H10" s="7">
        <f>'[6]Production Summary'!G72</f>
        <v>10000</v>
      </c>
      <c r="I10" s="8">
        <f t="shared" si="20"/>
        <v>0.01</v>
      </c>
      <c r="J10" s="10">
        <f t="shared" si="21"/>
        <v>3.0699999999999998E-2</v>
      </c>
      <c r="K10" s="7">
        <f>'[7]Production Summary'!T72</f>
        <v>2187790</v>
      </c>
      <c r="L10" s="8">
        <f t="shared" si="22"/>
        <v>2.1877900000000001</v>
      </c>
      <c r="M10" s="10">
        <f t="shared" si="23"/>
        <v>6.7165153000000002</v>
      </c>
      <c r="N10" s="21"/>
      <c r="O10" s="7">
        <f>'[7]Production Summary'!I72</f>
        <v>5698000</v>
      </c>
      <c r="P10" s="8">
        <f t="shared" si="24"/>
        <v>5.6980000000000004</v>
      </c>
      <c r="Q10" s="10">
        <f t="shared" si="25"/>
        <v>17.49286</v>
      </c>
      <c r="R10" s="7">
        <f>'[7]Production Summary'!C72</f>
        <v>6009000</v>
      </c>
      <c r="S10" s="8">
        <f t="shared" si="26"/>
        <v>6.0090000000000003</v>
      </c>
      <c r="T10" s="10">
        <f t="shared" si="27"/>
        <v>18.44763</v>
      </c>
      <c r="U10" s="7">
        <f>'[7]Production Summary'!F72</f>
        <v>0</v>
      </c>
      <c r="V10" s="8">
        <f t="shared" si="28"/>
        <v>0</v>
      </c>
      <c r="W10" s="10">
        <f t="shared" si="29"/>
        <v>0</v>
      </c>
      <c r="X10" s="7">
        <f>'[7]Production Summary'!AB72</f>
        <v>304000.00000000029</v>
      </c>
      <c r="Y10" s="8">
        <f t="shared" si="30"/>
        <v>0.30400000000000027</v>
      </c>
      <c r="Z10" s="10">
        <f t="shared" si="31"/>
        <v>0.93328000000000078</v>
      </c>
      <c r="AA10" s="15"/>
      <c r="AB10" s="7">
        <f t="shared" si="32"/>
        <v>30397999.999999817</v>
      </c>
      <c r="AC10" s="8">
        <f t="shared" si="33"/>
        <v>30.397999999999818</v>
      </c>
      <c r="AD10" s="8">
        <f t="shared" si="34"/>
        <v>93.321859999999447</v>
      </c>
    </row>
    <row r="11" spans="1:30" x14ac:dyDescent="0.15">
      <c r="A11" s="27">
        <v>38510</v>
      </c>
      <c r="B11" s="7">
        <f>'[7]Production Summary'!J73</f>
        <v>20100000.000000365</v>
      </c>
      <c r="C11" s="8">
        <f t="shared" si="16"/>
        <v>20.100000000000364</v>
      </c>
      <c r="D11" s="10">
        <f t="shared" si="17"/>
        <v>61.707000000001116</v>
      </c>
      <c r="E11" s="7">
        <f>'[7]Production Summary'!E73</f>
        <v>23000000</v>
      </c>
      <c r="F11" s="8">
        <f t="shared" si="18"/>
        <v>23</v>
      </c>
      <c r="G11" s="10">
        <f t="shared" si="19"/>
        <v>70.61</v>
      </c>
      <c r="H11" s="7">
        <f>'[6]Production Summary'!G73</f>
        <v>0</v>
      </c>
      <c r="I11" s="8">
        <f t="shared" si="20"/>
        <v>0</v>
      </c>
      <c r="J11" s="10">
        <f t="shared" si="21"/>
        <v>0</v>
      </c>
      <c r="K11" s="7">
        <f>'[7]Production Summary'!T73</f>
        <v>1943274</v>
      </c>
      <c r="L11" s="8">
        <f t="shared" si="22"/>
        <v>1.9432739999999999</v>
      </c>
      <c r="M11" s="10">
        <f t="shared" si="23"/>
        <v>5.9658511799999996</v>
      </c>
      <c r="N11" s="21"/>
      <c r="O11" s="7">
        <f>'[7]Production Summary'!I73</f>
        <v>5833000.0000000009</v>
      </c>
      <c r="P11" s="8">
        <f t="shared" si="24"/>
        <v>5.8330000000000011</v>
      </c>
      <c r="Q11" s="10">
        <f t="shared" si="25"/>
        <v>17.907310000000003</v>
      </c>
      <c r="R11" s="7">
        <f>'[7]Production Summary'!C73</f>
        <v>5952000</v>
      </c>
      <c r="S11" s="8">
        <f t="shared" si="26"/>
        <v>5.952</v>
      </c>
      <c r="T11" s="10">
        <f t="shared" si="27"/>
        <v>18.272639999999999</v>
      </c>
      <c r="U11" s="7">
        <f>'[7]Production Summary'!F73</f>
        <v>0</v>
      </c>
      <c r="V11" s="8">
        <f t="shared" si="28"/>
        <v>0</v>
      </c>
      <c r="W11" s="10">
        <f t="shared" si="29"/>
        <v>0</v>
      </c>
      <c r="X11" s="7">
        <f>'[7]Production Summary'!AB73</f>
        <v>117999.99999999943</v>
      </c>
      <c r="Y11" s="8">
        <f t="shared" si="30"/>
        <v>0.11799999999999944</v>
      </c>
      <c r="Z11" s="10">
        <f t="shared" si="31"/>
        <v>0.36225999999999825</v>
      </c>
      <c r="AA11" s="15"/>
      <c r="AB11" s="7">
        <f t="shared" si="32"/>
        <v>25933000.000000365</v>
      </c>
      <c r="AC11" s="8">
        <f t="shared" si="33"/>
        <v>25.933000000000366</v>
      </c>
      <c r="AD11" s="8">
        <f t="shared" si="34"/>
        <v>79.614310000001126</v>
      </c>
    </row>
    <row r="12" spans="1:30" x14ac:dyDescent="0.15">
      <c r="A12" s="27">
        <v>38511</v>
      </c>
      <c r="B12" s="7">
        <f>'[7]Production Summary'!J74</f>
        <v>16699999.999999817</v>
      </c>
      <c r="C12" s="8">
        <f t="shared" si="16"/>
        <v>16.699999999999818</v>
      </c>
      <c r="D12" s="10">
        <f t="shared" si="17"/>
        <v>51.268999999999437</v>
      </c>
      <c r="E12" s="7">
        <f>'[7]Production Summary'!E74</f>
        <v>17000000</v>
      </c>
      <c r="F12" s="8">
        <f t="shared" si="18"/>
        <v>17</v>
      </c>
      <c r="G12" s="10">
        <f t="shared" si="19"/>
        <v>52.19</v>
      </c>
      <c r="H12" s="7">
        <f>'[6]Production Summary'!G74</f>
        <v>10000</v>
      </c>
      <c r="I12" s="8">
        <f t="shared" si="20"/>
        <v>0.01</v>
      </c>
      <c r="J12" s="10">
        <f t="shared" si="21"/>
        <v>3.0699999999999998E-2</v>
      </c>
      <c r="K12" s="7">
        <f>'[7]Production Summary'!T74</f>
        <v>1510137</v>
      </c>
      <c r="L12" s="8">
        <f t="shared" si="22"/>
        <v>1.5101370000000001</v>
      </c>
      <c r="M12" s="10">
        <f t="shared" si="23"/>
        <v>4.63612059</v>
      </c>
      <c r="N12" s="21"/>
      <c r="O12" s="7">
        <f>'[7]Production Summary'!I74</f>
        <v>5886999.9999999991</v>
      </c>
      <c r="P12" s="8">
        <f t="shared" si="24"/>
        <v>5.8869999999999987</v>
      </c>
      <c r="Q12" s="10">
        <f t="shared" si="25"/>
        <v>18.073089999999993</v>
      </c>
      <c r="R12" s="7">
        <f>'[7]Production Summary'!C74</f>
        <v>6132000</v>
      </c>
      <c r="S12" s="8">
        <f t="shared" si="26"/>
        <v>6.1319999999999997</v>
      </c>
      <c r="T12" s="10">
        <f t="shared" si="27"/>
        <v>18.825239999999997</v>
      </c>
      <c r="U12" s="7">
        <f>'[7]Production Summary'!F74</f>
        <v>0</v>
      </c>
      <c r="V12" s="8">
        <f t="shared" si="28"/>
        <v>0</v>
      </c>
      <c r="W12" s="10">
        <f t="shared" si="29"/>
        <v>0</v>
      </c>
      <c r="X12" s="7">
        <f>'[7]Production Summary'!AB74</f>
        <v>239000.00000000076</v>
      </c>
      <c r="Y12" s="8">
        <f t="shared" si="30"/>
        <v>0.23900000000000077</v>
      </c>
      <c r="Z12" s="10">
        <f t="shared" si="31"/>
        <v>0.73373000000000232</v>
      </c>
      <c r="AA12" s="15"/>
      <c r="AB12" s="7">
        <f t="shared" si="32"/>
        <v>22586999.999999817</v>
      </c>
      <c r="AC12" s="8">
        <f t="shared" si="33"/>
        <v>22.586999999999819</v>
      </c>
      <c r="AD12" s="8">
        <f t="shared" si="34"/>
        <v>69.34208999999943</v>
      </c>
    </row>
    <row r="13" spans="1:30" x14ac:dyDescent="0.15">
      <c r="A13" s="27">
        <v>38512</v>
      </c>
      <c r="B13" s="7">
        <f>'[7]Production Summary'!J75</f>
        <v>20199999.999999817</v>
      </c>
      <c r="C13" s="8">
        <f t="shared" si="16"/>
        <v>20.199999999999818</v>
      </c>
      <c r="D13" s="10">
        <f t="shared" si="17"/>
        <v>62.013999999999442</v>
      </c>
      <c r="E13" s="7">
        <f>'[7]Production Summary'!E75</f>
        <v>23000000</v>
      </c>
      <c r="F13" s="8">
        <f t="shared" si="18"/>
        <v>23</v>
      </c>
      <c r="G13" s="10">
        <f t="shared" si="19"/>
        <v>70.61</v>
      </c>
      <c r="H13" s="7">
        <f>'[6]Production Summary'!G75</f>
        <v>0</v>
      </c>
      <c r="I13" s="8">
        <f t="shared" si="20"/>
        <v>0</v>
      </c>
      <c r="J13" s="10">
        <f t="shared" si="21"/>
        <v>0</v>
      </c>
      <c r="K13" s="7">
        <f>'[7]Production Summary'!T75</f>
        <v>1788545</v>
      </c>
      <c r="L13" s="8">
        <f t="shared" si="22"/>
        <v>1.7885450000000001</v>
      </c>
      <c r="M13" s="10">
        <f t="shared" si="23"/>
        <v>5.4908331500000003</v>
      </c>
      <c r="N13" s="21"/>
      <c r="O13" s="7">
        <f>'[7]Production Summary'!I75</f>
        <v>5839000</v>
      </c>
      <c r="P13" s="8">
        <f t="shared" si="24"/>
        <v>5.8390000000000004</v>
      </c>
      <c r="Q13" s="10">
        <f t="shared" si="25"/>
        <v>17.925730000000001</v>
      </c>
      <c r="R13" s="7">
        <f>'[7]Production Summary'!C75</f>
        <v>5988000</v>
      </c>
      <c r="S13" s="8">
        <f t="shared" si="26"/>
        <v>5.9880000000000004</v>
      </c>
      <c r="T13" s="10">
        <f t="shared" si="27"/>
        <v>18.38316</v>
      </c>
      <c r="U13" s="7">
        <f>'[7]Production Summary'!F75</f>
        <v>0</v>
      </c>
      <c r="V13" s="8">
        <f t="shared" si="28"/>
        <v>0</v>
      </c>
      <c r="W13" s="10">
        <f t="shared" si="29"/>
        <v>0</v>
      </c>
      <c r="X13" s="7">
        <f>'[7]Production Summary'!AB75</f>
        <v>144999.99999999956</v>
      </c>
      <c r="Y13" s="8">
        <f t="shared" si="30"/>
        <v>0.14499999999999957</v>
      </c>
      <c r="Z13" s="10">
        <f t="shared" si="31"/>
        <v>0.44514999999999866</v>
      </c>
      <c r="AA13" s="15"/>
      <c r="AB13" s="7">
        <f t="shared" si="32"/>
        <v>26038999.999999817</v>
      </c>
      <c r="AC13" s="8">
        <f t="shared" si="33"/>
        <v>26.038999999999817</v>
      </c>
      <c r="AD13" s="8">
        <f t="shared" si="34"/>
        <v>79.939729999999443</v>
      </c>
    </row>
    <row r="14" spans="1:30" x14ac:dyDescent="0.15">
      <c r="A14" s="27">
        <v>38513</v>
      </c>
      <c r="B14" s="7">
        <f>'[7]Production Summary'!J76</f>
        <v>27000000</v>
      </c>
      <c r="C14" s="8">
        <f t="shared" si="16"/>
        <v>27</v>
      </c>
      <c r="D14" s="10">
        <f t="shared" si="17"/>
        <v>82.89</v>
      </c>
      <c r="E14" s="7">
        <f>'[7]Production Summary'!E76</f>
        <v>29000000</v>
      </c>
      <c r="F14" s="8">
        <f t="shared" si="18"/>
        <v>29</v>
      </c>
      <c r="G14" s="10">
        <f t="shared" si="19"/>
        <v>89.03</v>
      </c>
      <c r="H14" s="7">
        <f>'[6]Production Summary'!G76</f>
        <v>10000</v>
      </c>
      <c r="I14" s="8">
        <f t="shared" si="20"/>
        <v>0.01</v>
      </c>
      <c r="J14" s="10">
        <f t="shared" si="21"/>
        <v>3.0699999999999998E-2</v>
      </c>
      <c r="K14" s="7">
        <f>'[7]Production Summary'!T76</f>
        <v>2366856</v>
      </c>
      <c r="L14" s="8">
        <f t="shared" si="22"/>
        <v>2.3668559999999998</v>
      </c>
      <c r="M14" s="10">
        <f t="shared" si="23"/>
        <v>7.2662479199999988</v>
      </c>
      <c r="N14" s="21"/>
      <c r="O14" s="7">
        <f>'[7]Production Summary'!I76</f>
        <v>5796000</v>
      </c>
      <c r="P14" s="8">
        <f t="shared" si="24"/>
        <v>5.7960000000000003</v>
      </c>
      <c r="Q14" s="10">
        <f t="shared" si="25"/>
        <v>17.79372</v>
      </c>
      <c r="R14" s="7">
        <f>'[7]Production Summary'!C76</f>
        <v>6013000</v>
      </c>
      <c r="S14" s="8">
        <f t="shared" si="26"/>
        <v>6.0129999999999999</v>
      </c>
      <c r="T14" s="10">
        <f t="shared" si="27"/>
        <v>18.459909999999997</v>
      </c>
      <c r="U14" s="7">
        <f>'[7]Production Summary'!F76</f>
        <v>0</v>
      </c>
      <c r="V14" s="8">
        <f t="shared" si="28"/>
        <v>0</v>
      </c>
      <c r="W14" s="10">
        <f t="shared" si="29"/>
        <v>0</v>
      </c>
      <c r="X14" s="7">
        <f>'[7]Production Summary'!AB76</f>
        <v>214000.00000000041</v>
      </c>
      <c r="Y14" s="8">
        <f t="shared" si="30"/>
        <v>0.21400000000000041</v>
      </c>
      <c r="Z14" s="10">
        <f t="shared" si="31"/>
        <v>0.65698000000000123</v>
      </c>
      <c r="AA14" s="15"/>
      <c r="AB14" s="7">
        <f t="shared" si="32"/>
        <v>32796000</v>
      </c>
      <c r="AC14" s="8">
        <f t="shared" si="33"/>
        <v>32.795999999999999</v>
      </c>
      <c r="AD14" s="8">
        <f t="shared" si="34"/>
        <v>100.68371999999999</v>
      </c>
    </row>
    <row r="15" spans="1:30" x14ac:dyDescent="0.15">
      <c r="A15" s="27">
        <v>38514</v>
      </c>
      <c r="B15" s="7">
        <f>'[7]Production Summary'!J77</f>
        <v>25900000.000000544</v>
      </c>
      <c r="C15" s="8">
        <f t="shared" si="16"/>
        <v>25.900000000000542</v>
      </c>
      <c r="D15" s="10">
        <f t="shared" si="17"/>
        <v>79.513000000001654</v>
      </c>
      <c r="E15" s="7">
        <f>'[7]Production Summary'!E77</f>
        <v>28000000</v>
      </c>
      <c r="F15" s="8">
        <f t="shared" si="18"/>
        <v>28</v>
      </c>
      <c r="G15" s="10">
        <f t="shared" si="19"/>
        <v>85.96</v>
      </c>
      <c r="H15" s="7">
        <f>'[6]Production Summary'!G77</f>
        <v>0</v>
      </c>
      <c r="I15" s="8">
        <f t="shared" si="20"/>
        <v>0</v>
      </c>
      <c r="J15" s="10">
        <f t="shared" si="21"/>
        <v>0</v>
      </c>
      <c r="K15" s="7">
        <f>'[7]Production Summary'!T77</f>
        <v>2392071</v>
      </c>
      <c r="L15" s="8">
        <f t="shared" si="22"/>
        <v>2.3920710000000001</v>
      </c>
      <c r="M15" s="10">
        <f t="shared" si="23"/>
        <v>7.3436579699999998</v>
      </c>
      <c r="N15" s="21"/>
      <c r="O15" s="7">
        <f>'[7]Production Summary'!I77</f>
        <v>5748000</v>
      </c>
      <c r="P15" s="8">
        <f t="shared" si="24"/>
        <v>5.7480000000000002</v>
      </c>
      <c r="Q15" s="10">
        <f t="shared" si="25"/>
        <v>17.646360000000001</v>
      </c>
      <c r="R15" s="7">
        <f>'[7]Production Summary'!C77</f>
        <v>5986000</v>
      </c>
      <c r="S15" s="8">
        <f t="shared" si="26"/>
        <v>5.9859999999999998</v>
      </c>
      <c r="T15" s="10">
        <f t="shared" si="27"/>
        <v>18.377019999999998</v>
      </c>
      <c r="U15" s="7">
        <f>'[7]Production Summary'!F77</f>
        <v>0</v>
      </c>
      <c r="V15" s="8">
        <f t="shared" si="28"/>
        <v>0</v>
      </c>
      <c r="W15" s="10">
        <f t="shared" si="29"/>
        <v>0</v>
      </c>
      <c r="X15" s="7">
        <f>'[7]Production Summary'!AB77</f>
        <v>232999.99999999965</v>
      </c>
      <c r="Y15" s="8">
        <f t="shared" si="30"/>
        <v>0.23299999999999965</v>
      </c>
      <c r="Z15" s="10">
        <f t="shared" si="31"/>
        <v>0.71530999999999889</v>
      </c>
      <c r="AA15" s="15"/>
      <c r="AB15" s="7">
        <f t="shared" si="32"/>
        <v>31648000.000000544</v>
      </c>
      <c r="AC15" s="8">
        <f t="shared" si="33"/>
        <v>31.648000000000543</v>
      </c>
      <c r="AD15" s="8">
        <f t="shared" si="34"/>
        <v>97.159360000001655</v>
      </c>
    </row>
    <row r="16" spans="1:30" x14ac:dyDescent="0.15">
      <c r="A16" s="27">
        <v>38515</v>
      </c>
      <c r="B16" s="7">
        <f>'[7]Production Summary'!J78</f>
        <v>21599999.999999456</v>
      </c>
      <c r="C16" s="8">
        <f t="shared" si="16"/>
        <v>21.599999999999458</v>
      </c>
      <c r="D16" s="10">
        <f t="shared" si="17"/>
        <v>66.311999999998335</v>
      </c>
      <c r="E16" s="7">
        <f>'[7]Production Summary'!E78</f>
        <v>22958000</v>
      </c>
      <c r="F16" s="8">
        <f t="shared" si="18"/>
        <v>22.957999999999998</v>
      </c>
      <c r="G16" s="10">
        <f t="shared" si="19"/>
        <v>70.481059999999985</v>
      </c>
      <c r="H16" s="7">
        <f>'[6]Production Summary'!G78</f>
        <v>10000</v>
      </c>
      <c r="I16" s="8">
        <f t="shared" si="20"/>
        <v>0.01</v>
      </c>
      <c r="J16" s="10">
        <f t="shared" si="21"/>
        <v>3.0699999999999998E-2</v>
      </c>
      <c r="K16" s="7">
        <f>'[7]Production Summary'!T78</f>
        <v>2014309</v>
      </c>
      <c r="L16" s="8">
        <f t="shared" si="22"/>
        <v>2.0143089999999999</v>
      </c>
      <c r="M16" s="10">
        <f t="shared" si="23"/>
        <v>6.1839286299999996</v>
      </c>
      <c r="N16" s="21"/>
      <c r="O16" s="7">
        <f>'[7]Production Summary'!I78</f>
        <v>5686000</v>
      </c>
      <c r="P16" s="8">
        <f t="shared" si="24"/>
        <v>5.6859999999999999</v>
      </c>
      <c r="Q16" s="10">
        <f t="shared" si="25"/>
        <v>17.456019999999999</v>
      </c>
      <c r="R16" s="7">
        <f>'[7]Production Summary'!C78</f>
        <v>6029000</v>
      </c>
      <c r="S16" s="8">
        <f t="shared" si="26"/>
        <v>6.0289999999999999</v>
      </c>
      <c r="T16" s="10">
        <f t="shared" si="27"/>
        <v>18.509029999999999</v>
      </c>
      <c r="U16" s="7">
        <f>'[7]Production Summary'!F78</f>
        <v>42000</v>
      </c>
      <c r="V16" s="8">
        <f t="shared" si="28"/>
        <v>4.2000000000000003E-2</v>
      </c>
      <c r="W16" s="10">
        <f t="shared" si="29"/>
        <v>0.12894</v>
      </c>
      <c r="X16" s="7">
        <f>'[7]Production Summary'!AB78</f>
        <v>338000.00000000006</v>
      </c>
      <c r="Y16" s="8">
        <f t="shared" si="30"/>
        <v>0.33800000000000008</v>
      </c>
      <c r="Z16" s="10">
        <f t="shared" si="31"/>
        <v>1.0376600000000002</v>
      </c>
      <c r="AA16" s="15"/>
      <c r="AB16" s="7">
        <f t="shared" si="32"/>
        <v>27285999.999999456</v>
      </c>
      <c r="AC16" s="8">
        <f t="shared" si="33"/>
        <v>27.285999999999458</v>
      </c>
      <c r="AD16" s="8">
        <f t="shared" si="34"/>
        <v>83.76801999999833</v>
      </c>
    </row>
    <row r="17" spans="1:30" x14ac:dyDescent="0.15">
      <c r="A17" s="27">
        <v>38516</v>
      </c>
      <c r="B17" s="7">
        <f>'[7]Production Summary'!J79</f>
        <v>24400000.000000544</v>
      </c>
      <c r="C17" s="8">
        <f t="shared" si="16"/>
        <v>24.400000000000542</v>
      </c>
      <c r="D17" s="10">
        <f t="shared" si="17"/>
        <v>74.908000000001664</v>
      </c>
      <c r="E17" s="7">
        <f>'[7]Production Summary'!E79</f>
        <v>24000000</v>
      </c>
      <c r="F17" s="8">
        <f t="shared" si="18"/>
        <v>24</v>
      </c>
      <c r="G17" s="10">
        <f t="shared" si="19"/>
        <v>73.679999999999993</v>
      </c>
      <c r="H17" s="7">
        <f>'[6]Production Summary'!G79</f>
        <v>3370000</v>
      </c>
      <c r="I17" s="8">
        <f t="shared" si="20"/>
        <v>3.37</v>
      </c>
      <c r="J17" s="10">
        <f t="shared" si="21"/>
        <v>10.3459</v>
      </c>
      <c r="K17" s="7">
        <f>'[7]Production Summary'!T79</f>
        <v>2231280</v>
      </c>
      <c r="L17" s="8">
        <f t="shared" si="22"/>
        <v>2.2312799999999999</v>
      </c>
      <c r="M17" s="10">
        <f t="shared" si="23"/>
        <v>6.8500295999999992</v>
      </c>
      <c r="N17" s="21"/>
      <c r="O17" s="7">
        <f>'[7]Production Summary'!I79</f>
        <v>7039000</v>
      </c>
      <c r="P17" s="8">
        <f t="shared" si="24"/>
        <v>7.0389999999999997</v>
      </c>
      <c r="Q17" s="10">
        <f t="shared" si="25"/>
        <v>21.609729999999999</v>
      </c>
      <c r="R17" s="7">
        <f>'[7]Production Summary'!C79</f>
        <v>7230000</v>
      </c>
      <c r="S17" s="8">
        <f t="shared" si="26"/>
        <v>7.23</v>
      </c>
      <c r="T17" s="10">
        <f t="shared" si="27"/>
        <v>22.196100000000001</v>
      </c>
      <c r="U17" s="7">
        <f>'[7]Production Summary'!F79</f>
        <v>0</v>
      </c>
      <c r="V17" s="8">
        <f t="shared" si="28"/>
        <v>0</v>
      </c>
      <c r="W17" s="10">
        <f t="shared" si="29"/>
        <v>0</v>
      </c>
      <c r="X17" s="7">
        <f>'[7]Production Summary'!AB79</f>
        <v>184999.99999999962</v>
      </c>
      <c r="Y17" s="8">
        <f t="shared" si="30"/>
        <v>0.18499999999999961</v>
      </c>
      <c r="Z17" s="10">
        <f t="shared" si="31"/>
        <v>0.56794999999999873</v>
      </c>
      <c r="AA17" s="15"/>
      <c r="AB17" s="7">
        <f t="shared" si="32"/>
        <v>31439000.000000544</v>
      </c>
      <c r="AC17" s="8">
        <f t="shared" si="33"/>
        <v>31.43900000000054</v>
      </c>
      <c r="AD17" s="8">
        <f t="shared" si="34"/>
        <v>96.517730000001663</v>
      </c>
    </row>
    <row r="18" spans="1:30" x14ac:dyDescent="0.15">
      <c r="A18" s="27">
        <v>38517</v>
      </c>
      <c r="B18" s="7">
        <f>'[7]Production Summary'!J80</f>
        <v>24000000</v>
      </c>
      <c r="C18" s="8">
        <f t="shared" si="16"/>
        <v>24</v>
      </c>
      <c r="D18" s="10">
        <f t="shared" si="17"/>
        <v>73.679999999999993</v>
      </c>
      <c r="E18" s="7">
        <f>'[7]Production Summary'!E80</f>
        <v>17433000</v>
      </c>
      <c r="F18" s="8">
        <f t="shared" si="18"/>
        <v>17.433</v>
      </c>
      <c r="G18" s="10">
        <f t="shared" si="19"/>
        <v>53.519309999999997</v>
      </c>
      <c r="H18" s="7">
        <f>'[6]Production Summary'!G80</f>
        <v>7910000</v>
      </c>
      <c r="I18" s="8">
        <f t="shared" si="20"/>
        <v>7.91</v>
      </c>
      <c r="J18" s="10">
        <f t="shared" si="21"/>
        <v>24.2837</v>
      </c>
      <c r="K18" s="7">
        <f>'[7]Production Summary'!T80</f>
        <v>2160739</v>
      </c>
      <c r="L18" s="8">
        <f t="shared" si="22"/>
        <v>2.160739</v>
      </c>
      <c r="M18" s="10">
        <f t="shared" si="23"/>
        <v>6.6334687299999997</v>
      </c>
      <c r="N18" s="21"/>
      <c r="O18" s="7">
        <f>'[7]Production Summary'!I80</f>
        <v>8152000</v>
      </c>
      <c r="P18" s="8">
        <f t="shared" si="24"/>
        <v>8.1519999999999992</v>
      </c>
      <c r="Q18" s="10">
        <f t="shared" si="25"/>
        <v>25.026639999999997</v>
      </c>
      <c r="R18" s="7">
        <f>'[7]Production Summary'!C80</f>
        <v>8558000</v>
      </c>
      <c r="S18" s="8">
        <f t="shared" si="26"/>
        <v>8.5579999999999998</v>
      </c>
      <c r="T18" s="10">
        <f t="shared" si="27"/>
        <v>26.273059999999997</v>
      </c>
      <c r="U18" s="7">
        <f>'[7]Production Summary'!F80</f>
        <v>567000</v>
      </c>
      <c r="V18" s="8">
        <f t="shared" si="28"/>
        <v>0.56699999999999995</v>
      </c>
      <c r="W18" s="10">
        <f t="shared" si="29"/>
        <v>1.7406899999999998</v>
      </c>
      <c r="X18" s="7">
        <f>'[7]Production Summary'!AB80</f>
        <v>399000</v>
      </c>
      <c r="Y18" s="8">
        <f t="shared" si="30"/>
        <v>0.39900000000000002</v>
      </c>
      <c r="Z18" s="10">
        <f t="shared" si="31"/>
        <v>1.2249300000000001</v>
      </c>
      <c r="AA18" s="15"/>
      <c r="AB18" s="7">
        <f t="shared" si="32"/>
        <v>32152000</v>
      </c>
      <c r="AC18" s="8">
        <f t="shared" si="33"/>
        <v>32.152000000000001</v>
      </c>
      <c r="AD18" s="8">
        <f t="shared" si="34"/>
        <v>98.706639999999993</v>
      </c>
    </row>
    <row r="19" spans="1:30" x14ac:dyDescent="0.15">
      <c r="A19" s="27">
        <v>38518</v>
      </c>
      <c r="B19" s="7">
        <f>'[7]Production Summary'!J81</f>
        <v>24599999.999999456</v>
      </c>
      <c r="C19" s="8">
        <f t="shared" si="16"/>
        <v>24.599999999999458</v>
      </c>
      <c r="D19" s="10">
        <f t="shared" si="17"/>
        <v>75.521999999998329</v>
      </c>
      <c r="E19" s="7">
        <f>'[7]Production Summary'!E81</f>
        <v>15445000</v>
      </c>
      <c r="F19" s="8">
        <f t="shared" si="18"/>
        <v>15.445</v>
      </c>
      <c r="G19" s="10">
        <f t="shared" si="19"/>
        <v>47.416150000000002</v>
      </c>
      <c r="H19" s="7">
        <f>'[6]Production Summary'!G81</f>
        <v>9970000</v>
      </c>
      <c r="I19" s="8">
        <f t="shared" si="20"/>
        <v>9.9700000000000006</v>
      </c>
      <c r="J19" s="10">
        <f t="shared" si="21"/>
        <v>30.607900000000001</v>
      </c>
      <c r="K19" s="7">
        <f>'[7]Production Summary'!T81</f>
        <v>2198347</v>
      </c>
      <c r="L19" s="8">
        <f t="shared" si="22"/>
        <v>2.1983470000000001</v>
      </c>
      <c r="M19" s="10">
        <f t="shared" si="23"/>
        <v>6.7489252899999999</v>
      </c>
      <c r="N19" s="21"/>
      <c r="O19" s="7">
        <f>'[7]Production Summary'!I81</f>
        <v>8593000</v>
      </c>
      <c r="P19" s="8">
        <f t="shared" si="24"/>
        <v>8.593</v>
      </c>
      <c r="Q19" s="10">
        <f t="shared" si="25"/>
        <v>26.380509999999997</v>
      </c>
      <c r="R19" s="7">
        <f>'[7]Production Summary'!C81</f>
        <v>8975000</v>
      </c>
      <c r="S19" s="8">
        <f t="shared" si="26"/>
        <v>8.9749999999999996</v>
      </c>
      <c r="T19" s="10">
        <f t="shared" si="27"/>
        <v>27.553249999999998</v>
      </c>
      <c r="U19" s="7">
        <f>'[7]Production Summary'!F81</f>
        <v>1555000</v>
      </c>
      <c r="V19" s="8">
        <f t="shared" si="28"/>
        <v>1.5549999999999999</v>
      </c>
      <c r="W19" s="10">
        <f t="shared" si="29"/>
        <v>4.7738499999999995</v>
      </c>
      <c r="X19" s="7">
        <f>'[7]Production Summary'!AB81</f>
        <v>376000.00000000035</v>
      </c>
      <c r="Y19" s="8">
        <f t="shared" si="30"/>
        <v>0.37600000000000033</v>
      </c>
      <c r="Z19" s="10">
        <f t="shared" si="31"/>
        <v>1.1543200000000009</v>
      </c>
      <c r="AA19" s="15"/>
      <c r="AB19" s="7">
        <f t="shared" si="32"/>
        <v>33192999.999999456</v>
      </c>
      <c r="AC19" s="8">
        <f t="shared" si="33"/>
        <v>33.192999999999458</v>
      </c>
      <c r="AD19" s="8">
        <f t="shared" si="34"/>
        <v>101.90250999999833</v>
      </c>
    </row>
    <row r="20" spans="1:30" x14ac:dyDescent="0.15">
      <c r="A20" s="27">
        <v>38519</v>
      </c>
      <c r="B20" s="7">
        <f>'[7]Production Summary'!J82</f>
        <v>26600000.000000365</v>
      </c>
      <c r="C20" s="8">
        <f t="shared" si="16"/>
        <v>26.600000000000364</v>
      </c>
      <c r="D20" s="10">
        <f t="shared" si="17"/>
        <v>81.662000000001115</v>
      </c>
      <c r="E20" s="7">
        <f>'[7]Production Summary'!E82</f>
        <v>13314000</v>
      </c>
      <c r="F20" s="8">
        <f t="shared" si="18"/>
        <v>13.314</v>
      </c>
      <c r="G20" s="10">
        <f t="shared" si="19"/>
        <v>40.873979999999996</v>
      </c>
      <c r="H20" s="7">
        <f>'[6]Production Summary'!G82</f>
        <v>13230000</v>
      </c>
      <c r="I20" s="8">
        <f t="shared" si="20"/>
        <v>13.23</v>
      </c>
      <c r="J20" s="10">
        <f t="shared" si="21"/>
        <v>40.616099999999996</v>
      </c>
      <c r="K20" s="7">
        <f>'[7]Production Summary'!T82</f>
        <v>2304742</v>
      </c>
      <c r="L20" s="8">
        <f t="shared" si="22"/>
        <v>2.3047420000000001</v>
      </c>
      <c r="M20" s="10">
        <f t="shared" si="23"/>
        <v>7.0755579399999995</v>
      </c>
      <c r="N20" s="21"/>
      <c r="O20" s="7">
        <f>'[7]Production Summary'!I82</f>
        <v>9194000</v>
      </c>
      <c r="P20" s="8">
        <f t="shared" si="24"/>
        <v>9.1940000000000008</v>
      </c>
      <c r="Q20" s="10">
        <f t="shared" si="25"/>
        <v>28.225580000000001</v>
      </c>
      <c r="R20" s="7">
        <f>'[7]Production Summary'!C82</f>
        <v>9529000</v>
      </c>
      <c r="S20" s="8">
        <f t="shared" si="26"/>
        <v>9.5289999999999999</v>
      </c>
      <c r="T20" s="10">
        <f t="shared" si="27"/>
        <v>29.254029999999997</v>
      </c>
      <c r="U20" s="7">
        <f>'[7]Production Summary'!F82</f>
        <v>2686000</v>
      </c>
      <c r="V20" s="8">
        <f t="shared" si="28"/>
        <v>2.6859999999999999</v>
      </c>
      <c r="W20" s="10">
        <f t="shared" si="29"/>
        <v>8.2460199999999997</v>
      </c>
      <c r="X20" s="7">
        <f>'[7]Production Summary'!AB82</f>
        <v>330000.00000000006</v>
      </c>
      <c r="Y20" s="8">
        <f t="shared" si="30"/>
        <v>0.33000000000000007</v>
      </c>
      <c r="Z20" s="10">
        <f t="shared" si="31"/>
        <v>1.0131000000000001</v>
      </c>
      <c r="AA20" s="15"/>
      <c r="AB20" s="7">
        <f t="shared" si="32"/>
        <v>35794000.000000365</v>
      </c>
      <c r="AC20" s="8">
        <f t="shared" si="33"/>
        <v>35.794000000000366</v>
      </c>
      <c r="AD20" s="8">
        <f t="shared" si="34"/>
        <v>109.88758000000112</v>
      </c>
    </row>
    <row r="21" spans="1:30" x14ac:dyDescent="0.15">
      <c r="A21" s="27">
        <v>38520</v>
      </c>
      <c r="B21" s="7">
        <f>'[7]Production Summary'!J83</f>
        <v>26000000</v>
      </c>
      <c r="C21" s="8">
        <f t="shared" si="16"/>
        <v>26</v>
      </c>
      <c r="D21" s="10">
        <f t="shared" si="17"/>
        <v>79.819999999999993</v>
      </c>
      <c r="E21" s="7">
        <f>'[7]Production Summary'!E83</f>
        <v>8954000</v>
      </c>
      <c r="F21" s="8">
        <f t="shared" si="18"/>
        <v>8.9540000000000006</v>
      </c>
      <c r="G21" s="10">
        <f t="shared" si="19"/>
        <v>27.488780000000002</v>
      </c>
      <c r="H21" s="7">
        <f>'[6]Production Summary'!G83</f>
        <v>16970000</v>
      </c>
      <c r="I21" s="8">
        <f t="shared" si="20"/>
        <v>16.97</v>
      </c>
      <c r="J21" s="10">
        <f t="shared" si="21"/>
        <v>52.097899999999996</v>
      </c>
      <c r="K21" s="7">
        <f>'[7]Production Summary'!T83</f>
        <v>2387033</v>
      </c>
      <c r="L21" s="8">
        <f t="shared" si="22"/>
        <v>2.3870330000000002</v>
      </c>
      <c r="M21" s="10">
        <f t="shared" si="23"/>
        <v>7.3281913100000002</v>
      </c>
      <c r="N21" s="21"/>
      <c r="O21" s="7">
        <f>'[7]Production Summary'!I83</f>
        <v>9607000</v>
      </c>
      <c r="P21" s="8">
        <f t="shared" si="24"/>
        <v>9.6069999999999993</v>
      </c>
      <c r="Q21" s="10">
        <f t="shared" si="25"/>
        <v>29.493489999999998</v>
      </c>
      <c r="R21" s="7">
        <f>'[7]Production Summary'!C83</f>
        <v>9986000</v>
      </c>
      <c r="S21" s="8">
        <f t="shared" si="26"/>
        <v>9.9860000000000007</v>
      </c>
      <c r="T21" s="10">
        <f t="shared" si="27"/>
        <v>30.657019999999999</v>
      </c>
      <c r="U21" s="7">
        <f>'[7]Production Summary'!F83</f>
        <v>3046000</v>
      </c>
      <c r="V21" s="8">
        <f t="shared" si="28"/>
        <v>3.0459999999999998</v>
      </c>
      <c r="W21" s="10">
        <f t="shared" si="29"/>
        <v>9.3512199999999996</v>
      </c>
      <c r="X21" s="7">
        <f>'[7]Production Summary'!AB83</f>
        <v>373000.00000000023</v>
      </c>
      <c r="Y21" s="8">
        <f t="shared" si="30"/>
        <v>0.37300000000000022</v>
      </c>
      <c r="Z21" s="10">
        <f t="shared" si="31"/>
        <v>1.1451100000000005</v>
      </c>
      <c r="AA21" s="15"/>
      <c r="AB21" s="7">
        <f t="shared" si="32"/>
        <v>35607000</v>
      </c>
      <c r="AC21" s="8">
        <f t="shared" si="33"/>
        <v>35.606999999999999</v>
      </c>
      <c r="AD21" s="8">
        <f t="shared" si="34"/>
        <v>109.31348999999999</v>
      </c>
    </row>
    <row r="22" spans="1:30" x14ac:dyDescent="0.15">
      <c r="A22" s="27">
        <v>38521</v>
      </c>
      <c r="B22" s="7">
        <f>'[7]Production Summary'!J84</f>
        <v>25000000</v>
      </c>
      <c r="C22" s="8">
        <f t="shared" si="16"/>
        <v>25</v>
      </c>
      <c r="D22" s="10">
        <f t="shared" si="17"/>
        <v>76.75</v>
      </c>
      <c r="E22" s="7">
        <f>'[7]Production Summary'!E84</f>
        <v>5943000</v>
      </c>
      <c r="F22" s="8">
        <f t="shared" si="18"/>
        <v>5.9429999999999996</v>
      </c>
      <c r="G22" s="10">
        <f t="shared" si="19"/>
        <v>18.245009999999997</v>
      </c>
      <c r="H22" s="7">
        <f>'[6]Production Summary'!G84</f>
        <v>17040000</v>
      </c>
      <c r="I22" s="8">
        <f t="shared" si="20"/>
        <v>17.04</v>
      </c>
      <c r="J22" s="10">
        <f t="shared" si="21"/>
        <v>52.312799999999996</v>
      </c>
      <c r="K22" s="7">
        <f>'[7]Production Summary'!T84</f>
        <v>2217247</v>
      </c>
      <c r="L22" s="8">
        <f t="shared" si="22"/>
        <v>2.217247</v>
      </c>
      <c r="M22" s="10">
        <f t="shared" si="23"/>
        <v>6.8069482899999993</v>
      </c>
      <c r="N22" s="21"/>
      <c r="O22" s="7">
        <f>'[7]Production Summary'!I84</f>
        <v>8571000</v>
      </c>
      <c r="P22" s="8">
        <f t="shared" si="24"/>
        <v>8.5709999999999997</v>
      </c>
      <c r="Q22" s="10">
        <f t="shared" si="25"/>
        <v>26.312969999999996</v>
      </c>
      <c r="R22" s="7">
        <f>'[7]Production Summary'!C84</f>
        <v>8844000</v>
      </c>
      <c r="S22" s="8">
        <f t="shared" si="26"/>
        <v>8.8439999999999994</v>
      </c>
      <c r="T22" s="10">
        <f t="shared" si="27"/>
        <v>27.151079999999997</v>
      </c>
      <c r="U22" s="7">
        <f>'[7]Production Summary'!F84</f>
        <v>3057000</v>
      </c>
      <c r="V22" s="8">
        <f t="shared" si="28"/>
        <v>3.0569999999999999</v>
      </c>
      <c r="W22" s="10">
        <f t="shared" si="29"/>
        <v>9.3849900000000002</v>
      </c>
      <c r="X22" s="7">
        <f>'[7]Production Summary'!AB84</f>
        <v>267999.99999999977</v>
      </c>
      <c r="Y22" s="8">
        <f t="shared" si="30"/>
        <v>0.26799999999999979</v>
      </c>
      <c r="Z22" s="10">
        <f t="shared" si="31"/>
        <v>0.82275999999999927</v>
      </c>
      <c r="AA22" s="15"/>
      <c r="AB22" s="7">
        <f t="shared" si="32"/>
        <v>33571000</v>
      </c>
      <c r="AC22" s="8">
        <f t="shared" si="33"/>
        <v>33.570999999999998</v>
      </c>
      <c r="AD22" s="8">
        <f t="shared" si="34"/>
        <v>103.06296999999999</v>
      </c>
    </row>
    <row r="23" spans="1:30" x14ac:dyDescent="0.15">
      <c r="A23" s="27">
        <v>38522</v>
      </c>
      <c r="B23" s="7">
        <f>'[7]Production Summary'!J85</f>
        <v>25000000</v>
      </c>
      <c r="C23" s="8">
        <f t="shared" si="16"/>
        <v>25</v>
      </c>
      <c r="D23" s="10">
        <f t="shared" si="17"/>
        <v>76.75</v>
      </c>
      <c r="E23" s="7">
        <f>'[7]Production Summary'!E85</f>
        <v>7410000</v>
      </c>
      <c r="F23" s="8">
        <f t="shared" si="18"/>
        <v>7.41</v>
      </c>
      <c r="G23" s="10">
        <f t="shared" si="19"/>
        <v>22.748699999999999</v>
      </c>
      <c r="H23" s="7">
        <f>'[6]Production Summary'!G85</f>
        <v>16930000</v>
      </c>
      <c r="I23" s="8">
        <f t="shared" si="20"/>
        <v>16.93</v>
      </c>
      <c r="J23" s="10">
        <f t="shared" si="21"/>
        <v>51.975099999999998</v>
      </c>
      <c r="K23" s="7">
        <f>'[7]Production Summary'!T85</f>
        <v>2242435</v>
      </c>
      <c r="L23" s="8">
        <f t="shared" si="22"/>
        <v>2.242435</v>
      </c>
      <c r="M23" s="10">
        <f t="shared" si="23"/>
        <v>6.8842754499999996</v>
      </c>
      <c r="N23" s="21"/>
      <c r="O23" s="7">
        <f>'[7]Production Summary'!I85</f>
        <v>7812000</v>
      </c>
      <c r="P23" s="8">
        <f t="shared" si="24"/>
        <v>7.8120000000000003</v>
      </c>
      <c r="Q23" s="10">
        <f t="shared" si="25"/>
        <v>23.982839999999999</v>
      </c>
      <c r="R23" s="7">
        <f>'[7]Production Summary'!C85</f>
        <v>8104000</v>
      </c>
      <c r="S23" s="8">
        <f t="shared" si="26"/>
        <v>8.1039999999999992</v>
      </c>
      <c r="T23" s="10">
        <f t="shared" si="27"/>
        <v>24.879279999999998</v>
      </c>
      <c r="U23" s="7">
        <f>'[7]Production Summary'!F85</f>
        <v>3590000</v>
      </c>
      <c r="V23" s="8">
        <f t="shared" si="28"/>
        <v>3.59</v>
      </c>
      <c r="W23" s="10">
        <f t="shared" si="29"/>
        <v>11.021299999999998</v>
      </c>
      <c r="X23" s="7">
        <f>'[7]Production Summary'!AB85</f>
        <v>286999.99999999994</v>
      </c>
      <c r="Y23" s="8">
        <f t="shared" si="30"/>
        <v>0.28699999999999992</v>
      </c>
      <c r="Z23" s="10">
        <f t="shared" si="31"/>
        <v>0.88108999999999971</v>
      </c>
      <c r="AA23" s="15"/>
      <c r="AB23" s="7">
        <f t="shared" si="32"/>
        <v>32812000</v>
      </c>
      <c r="AC23" s="8">
        <f t="shared" si="33"/>
        <v>32.811999999999998</v>
      </c>
      <c r="AD23" s="8">
        <f t="shared" si="34"/>
        <v>100.73284</v>
      </c>
    </row>
    <row r="24" spans="1:30" x14ac:dyDescent="0.15">
      <c r="A24" s="27">
        <v>38523</v>
      </c>
      <c r="B24" s="7">
        <f>'[7]Production Summary'!J86</f>
        <v>26699999.999999817</v>
      </c>
      <c r="C24" s="8">
        <f t="shared" si="16"/>
        <v>26.699999999999818</v>
      </c>
      <c r="D24" s="10">
        <f t="shared" si="17"/>
        <v>81.96899999999944</v>
      </c>
      <c r="E24" s="7">
        <f>'[7]Production Summary'!E86</f>
        <v>8346000</v>
      </c>
      <c r="F24" s="8">
        <f t="shared" si="18"/>
        <v>8.3460000000000001</v>
      </c>
      <c r="G24" s="10">
        <f t="shared" si="19"/>
        <v>25.622219999999999</v>
      </c>
      <c r="H24" s="7">
        <f>'[6]Production Summary'!G86</f>
        <v>17070000</v>
      </c>
      <c r="I24" s="8">
        <f t="shared" si="20"/>
        <v>17.07</v>
      </c>
      <c r="J24" s="10">
        <f t="shared" si="21"/>
        <v>52.404899999999998</v>
      </c>
      <c r="K24" s="7">
        <f>'[7]Production Summary'!T86</f>
        <v>2441549</v>
      </c>
      <c r="L24" s="8">
        <f t="shared" si="22"/>
        <v>2.4415490000000002</v>
      </c>
      <c r="M24" s="10">
        <f t="shared" si="23"/>
        <v>7.4955554300000005</v>
      </c>
      <c r="N24" s="21"/>
      <c r="O24" s="7">
        <f>'[7]Production Summary'!I86</f>
        <v>9742000</v>
      </c>
      <c r="P24" s="8">
        <f t="shared" si="24"/>
        <v>9.7420000000000009</v>
      </c>
      <c r="Q24" s="10">
        <f t="shared" si="25"/>
        <v>29.90794</v>
      </c>
      <c r="R24" s="7">
        <f>'[7]Production Summary'!C86</f>
        <v>10048000</v>
      </c>
      <c r="S24" s="8">
        <f t="shared" si="26"/>
        <v>10.048</v>
      </c>
      <c r="T24" s="10">
        <f t="shared" si="27"/>
        <v>30.847359999999998</v>
      </c>
      <c r="U24" s="7">
        <f>'[7]Production Summary'!F86</f>
        <v>4654000</v>
      </c>
      <c r="V24" s="8">
        <f t="shared" si="28"/>
        <v>4.6539999999999999</v>
      </c>
      <c r="W24" s="10">
        <f t="shared" si="29"/>
        <v>14.28778</v>
      </c>
      <c r="X24" s="7">
        <f>'[7]Production Summary'!AB86</f>
        <v>301000.00000000017</v>
      </c>
      <c r="Y24" s="8">
        <f t="shared" si="30"/>
        <v>0.30100000000000016</v>
      </c>
      <c r="Z24" s="10">
        <f t="shared" si="31"/>
        <v>0.92407000000000039</v>
      </c>
      <c r="AA24" s="15"/>
      <c r="AB24" s="7">
        <f t="shared" si="32"/>
        <v>36441999.999999821</v>
      </c>
      <c r="AC24" s="8">
        <f t="shared" si="33"/>
        <v>36.441999999999823</v>
      </c>
      <c r="AD24" s="8">
        <f t="shared" si="34"/>
        <v>111.87693999999944</v>
      </c>
    </row>
    <row r="25" spans="1:30" x14ac:dyDescent="0.15">
      <c r="A25" s="27">
        <v>38524</v>
      </c>
      <c r="B25" s="7">
        <f>'[7]Production Summary'!J87</f>
        <v>27100000.000000365</v>
      </c>
      <c r="C25" s="8">
        <f t="shared" si="16"/>
        <v>27.100000000000364</v>
      </c>
      <c r="D25" s="10">
        <f t="shared" si="17"/>
        <v>83.197000000001111</v>
      </c>
      <c r="E25" s="7">
        <f>'[7]Production Summary'!E87</f>
        <v>10739000</v>
      </c>
      <c r="F25" s="8">
        <f t="shared" si="18"/>
        <v>10.739000000000001</v>
      </c>
      <c r="G25" s="10">
        <f t="shared" si="19"/>
        <v>32.968730000000001</v>
      </c>
      <c r="H25" s="7">
        <f>'[6]Production Summary'!G87</f>
        <v>15230000</v>
      </c>
      <c r="I25" s="8">
        <f t="shared" si="20"/>
        <v>15.23</v>
      </c>
      <c r="J25" s="10">
        <f t="shared" si="21"/>
        <v>46.756099999999996</v>
      </c>
      <c r="K25" s="7">
        <f>'[7]Production Summary'!T87</f>
        <v>2427365</v>
      </c>
      <c r="L25" s="8">
        <f t="shared" si="22"/>
        <v>2.427365</v>
      </c>
      <c r="M25" s="10">
        <f t="shared" si="23"/>
        <v>7.4520105499999998</v>
      </c>
      <c r="N25" s="21"/>
      <c r="O25" s="7">
        <f>'[7]Production Summary'!I87</f>
        <v>10365000</v>
      </c>
      <c r="P25" s="8">
        <f t="shared" si="24"/>
        <v>10.365</v>
      </c>
      <c r="Q25" s="10">
        <f t="shared" si="25"/>
        <v>31.820549999999997</v>
      </c>
      <c r="R25" s="7">
        <f>'[7]Production Summary'!C87</f>
        <v>10568000</v>
      </c>
      <c r="S25" s="8">
        <f t="shared" si="26"/>
        <v>10.568</v>
      </c>
      <c r="T25" s="10">
        <f t="shared" si="27"/>
        <v>32.443759999999997</v>
      </c>
      <c r="U25" s="7">
        <f>'[7]Production Summary'!F87</f>
        <v>3261000</v>
      </c>
      <c r="V25" s="8">
        <f t="shared" si="28"/>
        <v>3.2610000000000001</v>
      </c>
      <c r="W25" s="10">
        <f t="shared" si="29"/>
        <v>10.01127</v>
      </c>
      <c r="X25" s="7">
        <f>'[7]Production Summary'!AB87</f>
        <v>198000.00000000041</v>
      </c>
      <c r="Y25" s="8">
        <f t="shared" si="30"/>
        <v>0.1980000000000004</v>
      </c>
      <c r="Z25" s="10">
        <f t="shared" si="31"/>
        <v>0.60786000000000118</v>
      </c>
      <c r="AA25" s="15"/>
      <c r="AB25" s="7">
        <f t="shared" si="32"/>
        <v>37465000.000000365</v>
      </c>
      <c r="AC25" s="8">
        <f t="shared" si="33"/>
        <v>37.465000000000366</v>
      </c>
      <c r="AD25" s="8">
        <f t="shared" si="34"/>
        <v>115.01755000000111</v>
      </c>
    </row>
    <row r="26" spans="1:30" x14ac:dyDescent="0.15">
      <c r="A26" s="27">
        <v>38525</v>
      </c>
      <c r="B26" s="7">
        <f>'[7]Production Summary'!J88</f>
        <v>30099999.999999456</v>
      </c>
      <c r="C26" s="8">
        <f t="shared" si="16"/>
        <v>30.099999999999458</v>
      </c>
      <c r="D26" s="10">
        <f t="shared" si="17"/>
        <v>92.406999999998334</v>
      </c>
      <c r="E26" s="7">
        <f>'[7]Production Summary'!E88</f>
        <v>21976000</v>
      </c>
      <c r="F26" s="8">
        <f t="shared" si="18"/>
        <v>21.975999999999999</v>
      </c>
      <c r="G26" s="10">
        <f t="shared" si="19"/>
        <v>67.466319999999996</v>
      </c>
      <c r="H26" s="7">
        <f>'[6]Production Summary'!G88</f>
        <v>7110000</v>
      </c>
      <c r="I26" s="8">
        <f t="shared" si="20"/>
        <v>7.11</v>
      </c>
      <c r="J26" s="10">
        <f t="shared" si="21"/>
        <v>21.8277</v>
      </c>
      <c r="K26" s="7">
        <f>'[7]Production Summary'!T88</f>
        <v>2702315</v>
      </c>
      <c r="L26" s="8">
        <f t="shared" si="22"/>
        <v>2.702315</v>
      </c>
      <c r="M26" s="10">
        <f t="shared" si="23"/>
        <v>8.2961070499999998</v>
      </c>
      <c r="N26" s="21"/>
      <c r="O26" s="7">
        <f>'[7]Production Summary'!I88</f>
        <v>9741000</v>
      </c>
      <c r="P26" s="8">
        <f t="shared" si="24"/>
        <v>9.7409999999999997</v>
      </c>
      <c r="Q26" s="10">
        <f t="shared" si="25"/>
        <v>29.904869999999999</v>
      </c>
      <c r="R26" s="7">
        <f>'[7]Production Summary'!C88</f>
        <v>10048000</v>
      </c>
      <c r="S26" s="8">
        <f t="shared" si="26"/>
        <v>10.048</v>
      </c>
      <c r="T26" s="10">
        <f t="shared" si="27"/>
        <v>30.847359999999998</v>
      </c>
      <c r="U26" s="7">
        <f>'[7]Production Summary'!F88</f>
        <v>5024000</v>
      </c>
      <c r="V26" s="8">
        <f t="shared" si="28"/>
        <v>5.024</v>
      </c>
      <c r="W26" s="10">
        <f t="shared" si="29"/>
        <v>15.423679999999999</v>
      </c>
      <c r="X26" s="7">
        <f>'[7]Production Summary'!AB88</f>
        <v>301999.99999999959</v>
      </c>
      <c r="Y26" s="8">
        <f t="shared" si="30"/>
        <v>0.3019999999999996</v>
      </c>
      <c r="Z26" s="10">
        <f t="shared" si="31"/>
        <v>0.92713999999999874</v>
      </c>
      <c r="AA26" s="15"/>
      <c r="AB26" s="7">
        <f t="shared" si="32"/>
        <v>39840999.999999456</v>
      </c>
      <c r="AC26" s="8">
        <f t="shared" si="33"/>
        <v>39.840999999999454</v>
      </c>
      <c r="AD26" s="8">
        <f t="shared" si="34"/>
        <v>122.31186999999834</v>
      </c>
    </row>
    <row r="27" spans="1:30" x14ac:dyDescent="0.15">
      <c r="A27" s="27">
        <v>38526</v>
      </c>
      <c r="B27" s="7">
        <f>'[7]Production Summary'!J89</f>
        <v>24699999.999999817</v>
      </c>
      <c r="C27" s="8">
        <f t="shared" si="16"/>
        <v>24.699999999999818</v>
      </c>
      <c r="D27" s="10">
        <f t="shared" si="17"/>
        <v>75.828999999999439</v>
      </c>
      <c r="E27" s="7">
        <f>'[7]Production Summary'!E89</f>
        <v>16878000</v>
      </c>
      <c r="F27" s="8">
        <f t="shared" si="18"/>
        <v>16.878</v>
      </c>
      <c r="G27" s="10">
        <f t="shared" si="19"/>
        <v>51.815459999999995</v>
      </c>
      <c r="H27" s="7">
        <f>'[6]Production Summary'!G89</f>
        <v>5090000</v>
      </c>
      <c r="I27" s="8">
        <f t="shared" si="20"/>
        <v>5.09</v>
      </c>
      <c r="J27" s="10">
        <f t="shared" si="21"/>
        <v>15.626299999999999</v>
      </c>
      <c r="K27" s="7">
        <f>'[7]Production Summary'!T89</f>
        <v>2284776</v>
      </c>
      <c r="L27" s="8">
        <f t="shared" si="22"/>
        <v>2.2847759999999999</v>
      </c>
      <c r="M27" s="10">
        <f t="shared" si="23"/>
        <v>7.0142623199999994</v>
      </c>
      <c r="N27" s="21"/>
      <c r="O27" s="7">
        <f>'[7]Production Summary'!I89</f>
        <v>8955000</v>
      </c>
      <c r="P27" s="8">
        <f t="shared" si="24"/>
        <v>8.9550000000000001</v>
      </c>
      <c r="Q27" s="10">
        <f t="shared" si="25"/>
        <v>27.491849999999999</v>
      </c>
      <c r="R27" s="7">
        <f>'[7]Production Summary'!C89</f>
        <v>9251000</v>
      </c>
      <c r="S27" s="8">
        <f t="shared" si="26"/>
        <v>9.2509999999999994</v>
      </c>
      <c r="T27" s="10">
        <f t="shared" si="27"/>
        <v>28.400569999999998</v>
      </c>
      <c r="U27" s="7">
        <f>'[7]Production Summary'!F89</f>
        <v>5122000</v>
      </c>
      <c r="V27" s="8">
        <f t="shared" si="28"/>
        <v>5.1219999999999999</v>
      </c>
      <c r="W27" s="10">
        <f t="shared" si="29"/>
        <v>15.724539999999999</v>
      </c>
      <c r="X27" s="7">
        <f>'[7]Production Summary'!AB89</f>
        <v>291000.00000000035</v>
      </c>
      <c r="Y27" s="8">
        <f t="shared" si="30"/>
        <v>0.29100000000000037</v>
      </c>
      <c r="Z27" s="10">
        <f t="shared" si="31"/>
        <v>0.89337000000000111</v>
      </c>
      <c r="AA27" s="15"/>
      <c r="AB27" s="7">
        <f t="shared" si="32"/>
        <v>33654999.999999821</v>
      </c>
      <c r="AC27" s="8">
        <f t="shared" si="33"/>
        <v>33.654999999999816</v>
      </c>
      <c r="AD27" s="8">
        <f t="shared" si="34"/>
        <v>103.32084999999944</v>
      </c>
    </row>
    <row r="28" spans="1:30" x14ac:dyDescent="0.15">
      <c r="A28" s="27">
        <v>38527</v>
      </c>
      <c r="B28" s="7">
        <f>'[7]Production Summary'!J90</f>
        <v>23300000.000000183</v>
      </c>
      <c r="C28" s="8">
        <f t="shared" si="16"/>
        <v>23.300000000000182</v>
      </c>
      <c r="D28" s="10">
        <f t="shared" si="17"/>
        <v>71.53100000000056</v>
      </c>
      <c r="E28" s="7">
        <f>'[7]Production Summary'!E90</f>
        <v>16011000</v>
      </c>
      <c r="F28" s="8">
        <f t="shared" si="18"/>
        <v>16.010999999999999</v>
      </c>
      <c r="G28" s="10">
        <f t="shared" si="19"/>
        <v>49.153769999999994</v>
      </c>
      <c r="H28" s="7">
        <f>'[6]Production Summary'!G90</f>
        <v>4950000</v>
      </c>
      <c r="I28" s="8">
        <f t="shared" si="20"/>
        <v>4.95</v>
      </c>
      <c r="J28" s="10">
        <f t="shared" si="21"/>
        <v>15.1965</v>
      </c>
      <c r="K28" s="7">
        <f>'[7]Production Summary'!T90</f>
        <v>2153007</v>
      </c>
      <c r="L28" s="8">
        <f t="shared" si="22"/>
        <v>2.1530070000000001</v>
      </c>
      <c r="M28" s="10">
        <f t="shared" si="23"/>
        <v>6.6097314899999997</v>
      </c>
      <c r="N28" s="21"/>
      <c r="O28" s="7">
        <f>'[7]Production Summary'!I90</f>
        <v>8213000</v>
      </c>
      <c r="P28" s="8">
        <f t="shared" si="24"/>
        <v>8.2129999999999992</v>
      </c>
      <c r="Q28" s="10">
        <f t="shared" si="25"/>
        <v>25.213909999999995</v>
      </c>
      <c r="R28" s="7">
        <f>'[7]Production Summary'!C90</f>
        <v>8540000</v>
      </c>
      <c r="S28" s="8">
        <f t="shared" si="26"/>
        <v>8.5399999999999991</v>
      </c>
      <c r="T28" s="10">
        <f t="shared" si="27"/>
        <v>26.217799999999997</v>
      </c>
      <c r="U28" s="7">
        <f>'[7]Production Summary'!F90</f>
        <v>4989000</v>
      </c>
      <c r="V28" s="8">
        <f t="shared" si="28"/>
        <v>4.9889999999999999</v>
      </c>
      <c r="W28" s="10">
        <f t="shared" si="29"/>
        <v>15.316229999999999</v>
      </c>
      <c r="X28" s="7">
        <f>'[7]Production Summary'!AB90</f>
        <v>320999.99999999971</v>
      </c>
      <c r="Y28" s="8">
        <f t="shared" si="30"/>
        <v>0.32099999999999973</v>
      </c>
      <c r="Z28" s="10">
        <f t="shared" si="31"/>
        <v>0.98546999999999907</v>
      </c>
      <c r="AA28" s="15"/>
      <c r="AB28" s="7">
        <f t="shared" si="32"/>
        <v>31513000.000000183</v>
      </c>
      <c r="AC28" s="8">
        <f t="shared" si="33"/>
        <v>31.513000000000183</v>
      </c>
      <c r="AD28" s="8">
        <f t="shared" si="34"/>
        <v>96.744910000000559</v>
      </c>
    </row>
    <row r="29" spans="1:30" x14ac:dyDescent="0.15">
      <c r="A29" s="27">
        <v>38528</v>
      </c>
      <c r="B29" s="7">
        <f>'[7]Production Summary'!J91</f>
        <v>24100000.000000365</v>
      </c>
      <c r="C29" s="8">
        <f t="shared" si="16"/>
        <v>24.100000000000364</v>
      </c>
      <c r="D29" s="10">
        <f t="shared" si="17"/>
        <v>73.987000000001117</v>
      </c>
      <c r="E29" s="7">
        <f>'[7]Production Summary'!E91</f>
        <v>16983000</v>
      </c>
      <c r="F29" s="8">
        <f t="shared" si="18"/>
        <v>16.983000000000001</v>
      </c>
      <c r="G29" s="10">
        <f t="shared" si="19"/>
        <v>52.137810000000002</v>
      </c>
      <c r="H29" s="7">
        <f>'[6]Production Summary'!G91</f>
        <v>4990000</v>
      </c>
      <c r="I29" s="8">
        <f t="shared" si="20"/>
        <v>4.99</v>
      </c>
      <c r="J29" s="10">
        <f t="shared" si="21"/>
        <v>15.3193</v>
      </c>
      <c r="K29" s="7">
        <f>'[7]Production Summary'!T91</f>
        <v>2352242</v>
      </c>
      <c r="L29" s="8">
        <f t="shared" si="22"/>
        <v>2.3522419999999999</v>
      </c>
      <c r="M29" s="10">
        <f t="shared" si="23"/>
        <v>7.2213829399999998</v>
      </c>
      <c r="N29" s="21"/>
      <c r="O29" s="7">
        <f>'[7]Production Summary'!I91</f>
        <v>8071000.0000000009</v>
      </c>
      <c r="P29" s="8">
        <f t="shared" si="24"/>
        <v>8.0710000000000015</v>
      </c>
      <c r="Q29" s="10">
        <f t="shared" si="25"/>
        <v>24.777970000000003</v>
      </c>
      <c r="R29" s="7">
        <f>'[7]Production Summary'!C91</f>
        <v>8390000</v>
      </c>
      <c r="S29" s="8">
        <f t="shared" si="26"/>
        <v>8.39</v>
      </c>
      <c r="T29" s="10">
        <f t="shared" si="27"/>
        <v>25.757300000000001</v>
      </c>
      <c r="U29" s="7">
        <f>'[7]Production Summary'!F91</f>
        <v>5017000</v>
      </c>
      <c r="V29" s="8">
        <f t="shared" si="28"/>
        <v>5.0170000000000003</v>
      </c>
      <c r="W29" s="10">
        <f t="shared" si="29"/>
        <v>15.402190000000001</v>
      </c>
      <c r="X29" s="7">
        <f>'[7]Production Summary'!AB91</f>
        <v>312999.99999999884</v>
      </c>
      <c r="Y29" s="8">
        <f t="shared" si="30"/>
        <v>0.31299999999999883</v>
      </c>
      <c r="Z29" s="10">
        <f t="shared" si="31"/>
        <v>0.96090999999999638</v>
      </c>
      <c r="AA29" s="15"/>
      <c r="AB29" s="7">
        <f t="shared" si="32"/>
        <v>32171000.000000365</v>
      </c>
      <c r="AC29" s="8">
        <f t="shared" si="33"/>
        <v>32.171000000000362</v>
      </c>
      <c r="AD29" s="8">
        <f t="shared" si="34"/>
        <v>98.764970000001114</v>
      </c>
    </row>
    <row r="30" spans="1:30" x14ac:dyDescent="0.15">
      <c r="A30" s="27">
        <v>38529</v>
      </c>
      <c r="B30" s="7">
        <f>'[7]Production Summary'!J92</f>
        <v>26000000</v>
      </c>
      <c r="C30" s="8">
        <f t="shared" si="16"/>
        <v>26</v>
      </c>
      <c r="D30" s="10">
        <f t="shared" si="17"/>
        <v>79.819999999999993</v>
      </c>
      <c r="E30" s="7">
        <f>'[7]Production Summary'!E92</f>
        <v>18983000</v>
      </c>
      <c r="F30" s="8">
        <f t="shared" si="18"/>
        <v>18.983000000000001</v>
      </c>
      <c r="G30" s="10">
        <f t="shared" si="19"/>
        <v>58.277809999999995</v>
      </c>
      <c r="H30" s="7">
        <f>'[6]Production Summary'!G92</f>
        <v>4980000</v>
      </c>
      <c r="I30" s="8">
        <f t="shared" si="20"/>
        <v>4.9800000000000004</v>
      </c>
      <c r="J30" s="10">
        <f t="shared" si="21"/>
        <v>15.288600000000001</v>
      </c>
      <c r="K30" s="7">
        <f>'[7]Production Summary'!T92</f>
        <v>2346103</v>
      </c>
      <c r="L30" s="8">
        <f t="shared" si="22"/>
        <v>2.3461029999999998</v>
      </c>
      <c r="M30" s="10">
        <f t="shared" si="23"/>
        <v>7.202536209999999</v>
      </c>
      <c r="N30" s="21"/>
      <c r="O30" s="7">
        <f>'[7]Production Summary'!I92</f>
        <v>8475999.9999999981</v>
      </c>
      <c r="P30" s="8">
        <f t="shared" si="24"/>
        <v>8.4759999999999973</v>
      </c>
      <c r="Q30" s="10">
        <f t="shared" si="25"/>
        <v>26.021319999999989</v>
      </c>
      <c r="R30" s="7">
        <f>'[7]Production Summary'!C92</f>
        <v>8670000</v>
      </c>
      <c r="S30" s="8">
        <f t="shared" si="26"/>
        <v>8.67</v>
      </c>
      <c r="T30" s="10">
        <f t="shared" si="27"/>
        <v>26.616899999999998</v>
      </c>
      <c r="U30" s="7">
        <f>'[7]Production Summary'!F92</f>
        <v>5017000</v>
      </c>
      <c r="V30" s="8">
        <f t="shared" si="28"/>
        <v>5.0170000000000003</v>
      </c>
      <c r="W30" s="10">
        <f t="shared" si="29"/>
        <v>15.402190000000001</v>
      </c>
      <c r="X30" s="7">
        <f>'[7]Production Summary'!AB92</f>
        <v>190000.00000000128</v>
      </c>
      <c r="Y30" s="8">
        <f t="shared" si="30"/>
        <v>0.19000000000000128</v>
      </c>
      <c r="Z30" s="10">
        <f t="shared" si="31"/>
        <v>0.58330000000000393</v>
      </c>
      <c r="AA30" s="15"/>
      <c r="AB30" s="7">
        <f t="shared" si="32"/>
        <v>34476000</v>
      </c>
      <c r="AC30" s="8">
        <f t="shared" si="33"/>
        <v>34.475999999999999</v>
      </c>
      <c r="AD30" s="8">
        <f t="shared" si="34"/>
        <v>105.84131999999998</v>
      </c>
    </row>
    <row r="31" spans="1:30" x14ac:dyDescent="0.15">
      <c r="A31" s="27">
        <v>38530</v>
      </c>
      <c r="B31" s="7">
        <f>'[7]Production Summary'!J93</f>
        <v>28000000</v>
      </c>
      <c r="C31" s="8">
        <f t="shared" si="16"/>
        <v>28</v>
      </c>
      <c r="D31" s="10">
        <f t="shared" si="17"/>
        <v>85.96</v>
      </c>
      <c r="E31" s="7">
        <f>'[7]Production Summary'!E93</f>
        <v>20936000</v>
      </c>
      <c r="F31" s="8">
        <f t="shared" si="18"/>
        <v>20.936</v>
      </c>
      <c r="G31" s="10">
        <f t="shared" si="19"/>
        <v>64.273519999999991</v>
      </c>
      <c r="H31" s="7">
        <f>'[6]Production Summary'!G93</f>
        <v>5060000</v>
      </c>
      <c r="I31" s="8">
        <f t="shared" si="20"/>
        <v>5.0599999999999996</v>
      </c>
      <c r="J31" s="10">
        <f t="shared" si="21"/>
        <v>15.534199999999998</v>
      </c>
      <c r="K31" s="7">
        <f>'[7]Production Summary'!T93</f>
        <v>2515831</v>
      </c>
      <c r="L31" s="8">
        <f t="shared" si="22"/>
        <v>2.5158309999999999</v>
      </c>
      <c r="M31" s="10">
        <f t="shared" si="23"/>
        <v>7.7236011699999993</v>
      </c>
      <c r="N31" s="21"/>
      <c r="O31" s="7">
        <f>'[7]Production Summary'!I93</f>
        <v>10513000.000000002</v>
      </c>
      <c r="P31" s="8">
        <f t="shared" si="24"/>
        <v>10.513000000000002</v>
      </c>
      <c r="Q31" s="10">
        <f t="shared" si="25"/>
        <v>32.274910000000006</v>
      </c>
      <c r="R31" s="7">
        <f>'[7]Production Summary'!C93</f>
        <v>10643000</v>
      </c>
      <c r="S31" s="8">
        <f t="shared" si="26"/>
        <v>10.643000000000001</v>
      </c>
      <c r="T31" s="10">
        <f t="shared" si="27"/>
        <v>32.674010000000003</v>
      </c>
      <c r="U31" s="7">
        <f>'[7]Production Summary'!F93</f>
        <v>5064000</v>
      </c>
      <c r="V31" s="8">
        <f t="shared" si="28"/>
        <v>5.0640000000000001</v>
      </c>
      <c r="W31" s="10">
        <f t="shared" si="29"/>
        <v>15.546479999999999</v>
      </c>
      <c r="X31" s="7">
        <f>'[7]Production Summary'!AB93</f>
        <v>126999.99999999889</v>
      </c>
      <c r="Y31" s="8">
        <f t="shared" si="30"/>
        <v>0.12699999999999889</v>
      </c>
      <c r="Z31" s="10">
        <f t="shared" si="31"/>
        <v>0.38988999999999657</v>
      </c>
      <c r="AA31" s="15"/>
      <c r="AB31" s="7">
        <f t="shared" si="32"/>
        <v>38513000</v>
      </c>
      <c r="AC31" s="8">
        <f t="shared" si="33"/>
        <v>38.513000000000005</v>
      </c>
      <c r="AD31" s="8">
        <f t="shared" si="34"/>
        <v>118.23491</v>
      </c>
    </row>
    <row r="32" spans="1:30" x14ac:dyDescent="0.15">
      <c r="A32" s="27">
        <v>38531</v>
      </c>
      <c r="B32" s="7">
        <f>'[7]Production Summary'!J94</f>
        <v>29099999.999999456</v>
      </c>
      <c r="C32" s="8">
        <f t="shared" si="16"/>
        <v>29.099999999999458</v>
      </c>
      <c r="D32" s="10">
        <f t="shared" si="17"/>
        <v>89.336999999998326</v>
      </c>
      <c r="E32" s="7">
        <f>'[7]Production Summary'!E94</f>
        <v>21888000</v>
      </c>
      <c r="F32" s="8">
        <f t="shared" si="18"/>
        <v>21.888000000000002</v>
      </c>
      <c r="G32" s="10">
        <f t="shared" si="19"/>
        <v>67.196160000000006</v>
      </c>
      <c r="H32" s="7">
        <f>'[6]Production Summary'!G94</f>
        <v>4980000</v>
      </c>
      <c r="I32" s="8">
        <f t="shared" si="20"/>
        <v>4.9800000000000004</v>
      </c>
      <c r="J32" s="10">
        <f t="shared" si="21"/>
        <v>15.288600000000001</v>
      </c>
      <c r="K32" s="7">
        <f>'[7]Production Summary'!T94</f>
        <v>2522850</v>
      </c>
      <c r="L32" s="8">
        <f t="shared" si="22"/>
        <v>2.52285</v>
      </c>
      <c r="M32" s="10">
        <f t="shared" si="23"/>
        <v>7.7451495000000001</v>
      </c>
      <c r="N32" s="21"/>
      <c r="O32" s="7">
        <f>'[7]Production Summary'!I94</f>
        <v>10735000</v>
      </c>
      <c r="P32" s="8">
        <f t="shared" si="24"/>
        <v>10.734999999999999</v>
      </c>
      <c r="Q32" s="10">
        <f t="shared" si="25"/>
        <v>32.956449999999997</v>
      </c>
      <c r="R32" s="7">
        <f>'[7]Production Summary'!C94</f>
        <v>11048000</v>
      </c>
      <c r="S32" s="8">
        <f t="shared" si="26"/>
        <v>11.048</v>
      </c>
      <c r="T32" s="10">
        <f t="shared" si="27"/>
        <v>33.917359999999995</v>
      </c>
      <c r="U32" s="7">
        <f>'[7]Production Summary'!F94</f>
        <v>5112000</v>
      </c>
      <c r="V32" s="8">
        <f t="shared" si="28"/>
        <v>5.1120000000000001</v>
      </c>
      <c r="W32" s="10">
        <f t="shared" si="29"/>
        <v>15.69384</v>
      </c>
      <c r="X32" s="7">
        <f>'[7]Production Summary'!AB94</f>
        <v>307000.00000000041</v>
      </c>
      <c r="Y32" s="8">
        <f t="shared" si="30"/>
        <v>0.30700000000000038</v>
      </c>
      <c r="Z32" s="10">
        <f t="shared" si="31"/>
        <v>0.94249000000000116</v>
      </c>
      <c r="AA32" s="15"/>
      <c r="AB32" s="7">
        <f t="shared" si="32"/>
        <v>39834999.999999456</v>
      </c>
      <c r="AC32" s="8">
        <f t="shared" si="33"/>
        <v>39.834999999999454</v>
      </c>
      <c r="AD32" s="8">
        <f t="shared" si="34"/>
        <v>122.29344999999833</v>
      </c>
    </row>
    <row r="33" spans="1:30" x14ac:dyDescent="0.15">
      <c r="A33" s="27">
        <v>38532</v>
      </c>
      <c r="B33" s="7">
        <f>'[7]Production Summary'!J95</f>
        <v>28300000.000000183</v>
      </c>
      <c r="C33" s="8">
        <f t="shared" si="16"/>
        <v>28.300000000000182</v>
      </c>
      <c r="D33" s="10">
        <f t="shared" si="17"/>
        <v>86.881000000000554</v>
      </c>
      <c r="E33" s="7">
        <f>'[7]Production Summary'!E95</f>
        <v>20893000</v>
      </c>
      <c r="F33" s="8">
        <f t="shared" si="18"/>
        <v>20.893000000000001</v>
      </c>
      <c r="G33" s="10">
        <f t="shared" si="19"/>
        <v>64.141509999999997</v>
      </c>
      <c r="H33" s="7">
        <f>'[6]Production Summary'!G95</f>
        <v>5000000</v>
      </c>
      <c r="I33" s="8">
        <f t="shared" si="20"/>
        <v>5</v>
      </c>
      <c r="J33" s="10">
        <f t="shared" si="21"/>
        <v>15.35</v>
      </c>
      <c r="K33" s="7">
        <f>'[7]Production Summary'!T95</f>
        <v>2469359</v>
      </c>
      <c r="L33" s="8">
        <f t="shared" si="22"/>
        <v>2.4693589999999999</v>
      </c>
      <c r="M33" s="10">
        <f t="shared" si="23"/>
        <v>7.580932129999999</v>
      </c>
      <c r="N33" s="21"/>
      <c r="O33" s="7">
        <f>'[7]Production Summary'!I95</f>
        <v>10694000</v>
      </c>
      <c r="P33" s="8">
        <f t="shared" si="24"/>
        <v>10.694000000000001</v>
      </c>
      <c r="Q33" s="10">
        <f t="shared" si="25"/>
        <v>32.830579999999998</v>
      </c>
      <c r="R33" s="7">
        <f>'[7]Production Summary'!C95</f>
        <v>11029000</v>
      </c>
      <c r="S33" s="8">
        <f t="shared" si="26"/>
        <v>11.029</v>
      </c>
      <c r="T33" s="10">
        <f t="shared" si="27"/>
        <v>33.859029999999997</v>
      </c>
      <c r="U33" s="7">
        <f>'[7]Production Summary'!F95</f>
        <v>5107000</v>
      </c>
      <c r="V33" s="8">
        <f t="shared" si="28"/>
        <v>5.1070000000000002</v>
      </c>
      <c r="W33" s="10">
        <f t="shared" si="29"/>
        <v>15.67849</v>
      </c>
      <c r="X33" s="7">
        <f>'[7]Production Summary'!AB95</f>
        <v>327999.99999999942</v>
      </c>
      <c r="Y33" s="8">
        <f t="shared" si="30"/>
        <v>0.3279999999999994</v>
      </c>
      <c r="Z33" s="10">
        <f t="shared" si="31"/>
        <v>1.0069599999999981</v>
      </c>
      <c r="AA33" s="15"/>
      <c r="AB33" s="7">
        <f t="shared" si="32"/>
        <v>38994000.000000179</v>
      </c>
      <c r="AC33" s="8">
        <f t="shared" si="33"/>
        <v>38.994000000000185</v>
      </c>
      <c r="AD33" s="8">
        <f t="shared" si="34"/>
        <v>119.71158000000055</v>
      </c>
    </row>
    <row r="34" spans="1:30" ht="14" thickBot="1" x14ac:dyDescent="0.2">
      <c r="A34" s="27">
        <v>38533</v>
      </c>
      <c r="B34" s="7">
        <f>'[7]Production Summary'!J96</f>
        <v>22500000</v>
      </c>
      <c r="C34" s="8">
        <f t="shared" si="16"/>
        <v>22.5</v>
      </c>
      <c r="D34" s="10">
        <f t="shared" si="17"/>
        <v>69.075000000000003</v>
      </c>
      <c r="E34" s="7">
        <f>'[7]Production Summary'!E96</f>
        <v>15937000</v>
      </c>
      <c r="F34" s="8">
        <f t="shared" si="18"/>
        <v>15.936999999999999</v>
      </c>
      <c r="G34" s="10">
        <f t="shared" si="19"/>
        <v>48.926589999999997</v>
      </c>
      <c r="H34" s="7">
        <f>'[6]Production Summary'!G96</f>
        <v>5000000</v>
      </c>
      <c r="I34" s="8">
        <f t="shared" si="20"/>
        <v>5</v>
      </c>
      <c r="J34" s="10">
        <f t="shared" si="21"/>
        <v>15.35</v>
      </c>
      <c r="K34" s="7">
        <f>'[7]Production Summary'!T96</f>
        <v>2056395</v>
      </c>
      <c r="L34" s="8">
        <f t="shared" si="22"/>
        <v>2.0563950000000002</v>
      </c>
      <c r="M34" s="10">
        <f t="shared" si="23"/>
        <v>6.31313265</v>
      </c>
      <c r="N34" s="21"/>
      <c r="O34" s="7">
        <f>'[7]Production Summary'!I96</f>
        <v>8729000</v>
      </c>
      <c r="P34" s="8">
        <f t="shared" si="24"/>
        <v>8.7289999999999992</v>
      </c>
      <c r="Q34" s="10">
        <f t="shared" si="25"/>
        <v>26.798029999999997</v>
      </c>
      <c r="R34" s="7">
        <f>'[7]Production Summary'!C96</f>
        <v>9096000</v>
      </c>
      <c r="S34" s="8">
        <f t="shared" si="26"/>
        <v>9.0960000000000001</v>
      </c>
      <c r="T34" s="10">
        <f t="shared" si="27"/>
        <v>27.924719999999997</v>
      </c>
      <c r="U34" s="7">
        <f>'[7]Production Summary'!F96</f>
        <v>5063000</v>
      </c>
      <c r="V34" s="8">
        <f t="shared" si="28"/>
        <v>5.0629999999999997</v>
      </c>
      <c r="W34" s="10">
        <f t="shared" si="29"/>
        <v>15.543409999999998</v>
      </c>
      <c r="X34" s="7">
        <f>'[7]Production Summary'!AB96</f>
        <v>361000.00000000064</v>
      </c>
      <c r="Y34" s="8">
        <f t="shared" si="30"/>
        <v>0.36100000000000065</v>
      </c>
      <c r="Z34" s="10">
        <f t="shared" si="31"/>
        <v>1.1082700000000019</v>
      </c>
      <c r="AA34" s="15"/>
      <c r="AB34" s="7">
        <f t="shared" si="32"/>
        <v>31229000</v>
      </c>
      <c r="AC34" s="8">
        <f t="shared" si="33"/>
        <v>31.228999999999999</v>
      </c>
      <c r="AD34" s="8">
        <f t="shared" si="34"/>
        <v>95.87303</v>
      </c>
    </row>
    <row r="35" spans="1:30" ht="14" thickBot="1" x14ac:dyDescent="0.2">
      <c r="A35" s="3"/>
      <c r="B35" s="38"/>
      <c r="C35" s="39">
        <f>SUM(C5:C34)</f>
        <v>714.80000000000018</v>
      </c>
      <c r="D35" s="39">
        <f t="shared" ref="D35" si="35">C35*3.07</f>
        <v>2194.4360000000006</v>
      </c>
      <c r="E35" s="38"/>
      <c r="F35" s="39">
        <f>SUM(F5:F34)</f>
        <v>555.02700000000004</v>
      </c>
      <c r="G35" s="39">
        <f t="shared" ref="G35" si="36">F35*3.07</f>
        <v>1703.93289</v>
      </c>
      <c r="H35" s="38"/>
      <c r="I35" s="39">
        <f>SUM(I5:I34)</f>
        <v>164.92999999999998</v>
      </c>
      <c r="J35" s="39">
        <f t="shared" ref="J35" si="37">I35*3.07</f>
        <v>506.3350999999999</v>
      </c>
      <c r="K35" s="38"/>
      <c r="L35" s="39">
        <f>SUM(L5:L34)</f>
        <v>64.892854999999997</v>
      </c>
      <c r="M35" s="39">
        <f t="shared" ref="M35" si="38">L35*3.07</f>
        <v>199.22106484999998</v>
      </c>
      <c r="N35" s="14"/>
      <c r="O35" s="38"/>
      <c r="P35" s="39">
        <f>SUM(P5:P34)</f>
        <v>232.95400000000001</v>
      </c>
      <c r="Q35" s="39">
        <f t="shared" ref="Q35" si="39">P35*3.07</f>
        <v>715.16877999999997</v>
      </c>
      <c r="R35" s="38"/>
      <c r="S35" s="39">
        <f>SUM(S5:S34)</f>
        <v>241.01999999999998</v>
      </c>
      <c r="T35" s="39">
        <f t="shared" ref="T35" si="40">S35*3.07</f>
        <v>739.93139999999994</v>
      </c>
      <c r="U35" s="38"/>
      <c r="V35" s="39">
        <f>SUM(V5:V34)</f>
        <v>67.972999999999999</v>
      </c>
      <c r="W35" s="39">
        <f t="shared" ref="W35" si="41">V35*3.07</f>
        <v>208.67711</v>
      </c>
      <c r="X35" s="38"/>
      <c r="Y35" s="39">
        <f>SUM(Y5:Y34)</f>
        <v>7.9160000000000004</v>
      </c>
      <c r="Z35" s="39">
        <f t="shared" ref="Z35" si="42">Y35*3.07</f>
        <v>24.302119999999999</v>
      </c>
      <c r="AA35" s="14"/>
      <c r="AB35" s="38"/>
      <c r="AC35" s="39">
        <f>SUM(AC5:AC34)</f>
        <v>947.75400000000025</v>
      </c>
      <c r="AD35" s="39">
        <f>AC35*3.07</f>
        <v>2909.6047800000006</v>
      </c>
    </row>
    <row r="36" spans="1:30" x14ac:dyDescent="0.15">
      <c r="C36" s="18"/>
      <c r="E36" s="3"/>
      <c r="F36" s="3"/>
      <c r="G36" s="3"/>
      <c r="H36" s="3"/>
      <c r="I36" s="3"/>
      <c r="J36" s="3"/>
      <c r="K36" s="14"/>
      <c r="L36" s="3"/>
      <c r="M36" s="3"/>
      <c r="N36" s="3"/>
      <c r="O36" s="3"/>
      <c r="P36" s="3"/>
      <c r="Q36" s="3"/>
      <c r="R36" s="3"/>
      <c r="S36" s="3"/>
      <c r="T36" s="3"/>
      <c r="U36" s="14"/>
      <c r="AB36" s="14"/>
    </row>
    <row r="43" spans="1:30" x14ac:dyDescent="0.15">
      <c r="T43" s="18"/>
    </row>
  </sheetData>
  <mergeCells count="9">
    <mergeCell ref="AB3:AD3"/>
    <mergeCell ref="R3:T3"/>
    <mergeCell ref="U3:W3"/>
    <mergeCell ref="X3:Z3"/>
    <mergeCell ref="B3:D3"/>
    <mergeCell ref="E3:G3"/>
    <mergeCell ref="H3:J3"/>
    <mergeCell ref="O3:Q3"/>
    <mergeCell ref="K3:M3"/>
  </mergeCells>
  <phoneticPr fontId="1" type="noConversion"/>
  <pageMargins left="0.75" right="0.75" top="1" bottom="1" header="0.5" footer="0.5"/>
  <pageSetup scale="37" orientation="landscape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>
    <pageSetUpPr fitToPage="1"/>
  </sheetPr>
  <dimension ref="A1:AI38"/>
  <sheetViews>
    <sheetView workbookViewId="0">
      <pane xSplit="1" ySplit="4" topLeftCell="B16" activePane="bottomRight" state="frozen"/>
      <selection activeCell="J30" sqref="J30:J32"/>
      <selection pane="topRight" activeCell="J30" sqref="J30:J32"/>
      <selection pane="bottomLeft" activeCell="J30" sqref="J30:J32"/>
      <selection pane="bottomRight" activeCell="J38" sqref="J38"/>
    </sheetView>
  </sheetViews>
  <sheetFormatPr baseColWidth="10" defaultColWidth="8.83203125" defaultRowHeight="13" x14ac:dyDescent="0.15"/>
  <cols>
    <col min="2" max="2" width="11.1640625" customWidth="1"/>
    <col min="5" max="5" width="11.33203125" customWidth="1"/>
    <col min="8" max="8" width="13.5" customWidth="1"/>
    <col min="9" max="9" width="9.6640625" customWidth="1"/>
    <col min="10" max="10" width="11.5" customWidth="1"/>
    <col min="11" max="11" width="13.5" bestFit="1" customWidth="1"/>
    <col min="12" max="12" width="11.5" customWidth="1"/>
    <col min="14" max="14" width="19.6640625" customWidth="1"/>
    <col min="15" max="15" width="11.1640625" customWidth="1"/>
    <col min="18" max="18" width="11.1640625" customWidth="1"/>
    <col min="21" max="21" width="10.6640625" bestFit="1" customWidth="1"/>
    <col min="22" max="22" width="10.5" customWidth="1"/>
    <col min="28" max="31" width="0" hidden="1" customWidth="1"/>
    <col min="32" max="32" width="12.1640625" customWidth="1"/>
  </cols>
  <sheetData>
    <row r="1" spans="1:34" s="3" customFormat="1" x14ac:dyDescent="0.15">
      <c r="A1" s="42"/>
      <c r="B1" s="40"/>
      <c r="C1" s="25"/>
      <c r="D1" s="25"/>
      <c r="E1" s="25"/>
      <c r="F1" s="25"/>
      <c r="K1" s="14"/>
      <c r="U1" s="14"/>
    </row>
    <row r="2" spans="1:34" s="3" customFormat="1" ht="14" thickBot="1" x14ac:dyDescent="0.2">
      <c r="C2" s="24"/>
      <c r="K2" s="14"/>
      <c r="U2" s="14"/>
    </row>
    <row r="3" spans="1:34" s="3" customFormat="1" ht="60.75" customHeight="1" thickBot="1" x14ac:dyDescent="0.2">
      <c r="B3" s="58" t="s">
        <v>10</v>
      </c>
      <c r="C3" s="59"/>
      <c r="D3" s="60"/>
      <c r="E3" s="58" t="s">
        <v>11</v>
      </c>
      <c r="F3" s="59"/>
      <c r="G3" s="60"/>
      <c r="H3" s="58" t="s">
        <v>12</v>
      </c>
      <c r="I3" s="59"/>
      <c r="J3" s="60"/>
      <c r="K3" s="58" t="s">
        <v>13</v>
      </c>
      <c r="L3" s="59"/>
      <c r="M3" s="60"/>
      <c r="N3" s="19"/>
      <c r="O3" s="58" t="s">
        <v>4</v>
      </c>
      <c r="P3" s="59"/>
      <c r="Q3" s="60"/>
      <c r="R3" s="58" t="s">
        <v>3</v>
      </c>
      <c r="S3" s="59"/>
      <c r="T3" s="60"/>
      <c r="U3" s="58" t="s">
        <v>15</v>
      </c>
      <c r="V3" s="59"/>
      <c r="W3" s="60"/>
      <c r="X3" s="58" t="s">
        <v>7</v>
      </c>
      <c r="Y3" s="59"/>
      <c r="Z3" s="60"/>
      <c r="AA3" s="19"/>
      <c r="AB3" s="55" t="s">
        <v>5</v>
      </c>
      <c r="AC3" s="56"/>
      <c r="AD3" s="57"/>
      <c r="AF3" s="58" t="s">
        <v>8</v>
      </c>
      <c r="AG3" s="59"/>
      <c r="AH3" s="60"/>
    </row>
    <row r="4" spans="1:34" x14ac:dyDescent="0.15">
      <c r="A4" s="26"/>
      <c r="B4" s="4" t="s">
        <v>0</v>
      </c>
      <c r="C4" s="17" t="s">
        <v>1</v>
      </c>
      <c r="D4" s="6" t="s">
        <v>2</v>
      </c>
      <c r="E4" s="4" t="s">
        <v>0</v>
      </c>
      <c r="F4" s="5" t="s">
        <v>1</v>
      </c>
      <c r="G4" s="6" t="s">
        <v>2</v>
      </c>
      <c r="H4" s="4" t="s">
        <v>0</v>
      </c>
      <c r="I4" s="5" t="s">
        <v>1</v>
      </c>
      <c r="J4" s="6" t="s">
        <v>2</v>
      </c>
      <c r="K4" s="4" t="s">
        <v>0</v>
      </c>
      <c r="L4" s="5" t="s">
        <v>1</v>
      </c>
      <c r="M4" s="6" t="s">
        <v>2</v>
      </c>
      <c r="N4" s="19"/>
      <c r="O4" s="4" t="s">
        <v>0</v>
      </c>
      <c r="P4" s="5" t="s">
        <v>1</v>
      </c>
      <c r="Q4" s="6" t="s">
        <v>2</v>
      </c>
      <c r="R4" s="4" t="s">
        <v>0</v>
      </c>
      <c r="S4" s="5" t="s">
        <v>1</v>
      </c>
      <c r="T4" s="6" t="s">
        <v>2</v>
      </c>
      <c r="U4" s="4" t="s">
        <v>0</v>
      </c>
      <c r="V4" s="5" t="s">
        <v>1</v>
      </c>
      <c r="W4" s="6" t="s">
        <v>2</v>
      </c>
      <c r="X4" s="4" t="s">
        <v>0</v>
      </c>
      <c r="Y4" s="5" t="s">
        <v>1</v>
      </c>
      <c r="Z4" s="6" t="s">
        <v>2</v>
      </c>
      <c r="AA4" s="19"/>
      <c r="AB4" s="4" t="s">
        <v>0</v>
      </c>
      <c r="AC4" s="5" t="s">
        <v>1</v>
      </c>
      <c r="AD4" s="6" t="s">
        <v>2</v>
      </c>
      <c r="AF4" s="35" t="s">
        <v>0</v>
      </c>
      <c r="AG4" s="36" t="s">
        <v>1</v>
      </c>
      <c r="AH4" s="37" t="s">
        <v>2</v>
      </c>
    </row>
    <row r="5" spans="1:34" x14ac:dyDescent="0.15">
      <c r="A5" s="27">
        <v>38534</v>
      </c>
      <c r="B5" s="7">
        <f>'[8]Production Summary'!J6</f>
        <v>27800000.000000183</v>
      </c>
      <c r="C5" s="8">
        <f t="shared" ref="C5" si="0">B5/1000000</f>
        <v>27.800000000000182</v>
      </c>
      <c r="D5" s="10">
        <f t="shared" ref="D5" si="1">C5*3.07</f>
        <v>85.346000000000558</v>
      </c>
      <c r="E5" s="7">
        <f>'[8]Production Summary'!E6</f>
        <v>20911000</v>
      </c>
      <c r="F5" s="8">
        <f t="shared" ref="F5" si="2">E5/1000000</f>
        <v>20.911000000000001</v>
      </c>
      <c r="G5" s="10">
        <f t="shared" ref="G5" si="3">F5*3.07</f>
        <v>64.196770000000001</v>
      </c>
      <c r="H5" s="7">
        <f>'[8]Production Summary'!G6</f>
        <v>5000000</v>
      </c>
      <c r="I5" s="8">
        <f t="shared" ref="I5" si="4">H5/1000000</f>
        <v>5</v>
      </c>
      <c r="J5" s="10">
        <f t="shared" ref="J5" si="5">I5*3.07</f>
        <v>15.35</v>
      </c>
      <c r="K5" s="7">
        <f>'[8]Production Summary'!T6</f>
        <v>2469414</v>
      </c>
      <c r="L5" s="8">
        <f t="shared" ref="L5" si="6">K5/1000000</f>
        <v>2.469414</v>
      </c>
      <c r="M5" s="10">
        <f t="shared" ref="M5" si="7">L5*3.07</f>
        <v>7.5811009799999995</v>
      </c>
      <c r="N5" s="21"/>
      <c r="O5" s="7">
        <f>'[8]Production Summary'!I6</f>
        <v>10011000</v>
      </c>
      <c r="P5" s="8">
        <f t="shared" ref="P5" si="8">O5/1000000</f>
        <v>10.010999999999999</v>
      </c>
      <c r="Q5" s="10">
        <f t="shared" ref="Q5" si="9">P5*3.07</f>
        <v>30.733769999999996</v>
      </c>
      <c r="R5" s="7">
        <f>'[8]Production Summary'!C6</f>
        <v>10196000</v>
      </c>
      <c r="S5" s="8">
        <f t="shared" ref="S5" si="10">R5/1000000</f>
        <v>10.196</v>
      </c>
      <c r="T5" s="10">
        <f t="shared" ref="T5" si="11">S5*3.07</f>
        <v>31.301719999999996</v>
      </c>
      <c r="U5" s="7">
        <f>'[8]Production Summary'!F6</f>
        <v>5089000</v>
      </c>
      <c r="V5" s="8">
        <f t="shared" ref="V5" si="12">U5/1000000</f>
        <v>5.0890000000000004</v>
      </c>
      <c r="W5" s="10">
        <f t="shared" ref="W5" si="13">V5*3.07</f>
        <v>15.623230000000001</v>
      </c>
      <c r="X5" s="7">
        <f>'[8]Production Summary'!AB6</f>
        <v>181000.00000000093</v>
      </c>
      <c r="Y5" s="8">
        <f t="shared" ref="Y5" si="14">X5/1000000</f>
        <v>0.18100000000000094</v>
      </c>
      <c r="Z5" s="10">
        <f t="shared" ref="Z5" si="15">Y5*3.07</f>
        <v>0.55567000000000288</v>
      </c>
      <c r="AA5" s="15"/>
      <c r="AB5" s="7">
        <f>B5+O5</f>
        <v>37811000.000000179</v>
      </c>
      <c r="AC5" s="8">
        <f>C5+P5</f>
        <v>37.811000000000178</v>
      </c>
      <c r="AD5" s="8">
        <f>D5+Q5</f>
        <v>116.07977000000055</v>
      </c>
      <c r="AF5" s="7">
        <f t="shared" ref="AF5:AF35" si="16">B5+O5</f>
        <v>37811000.000000179</v>
      </c>
      <c r="AG5" s="8">
        <f t="shared" ref="AG5:AG35" si="17">C5+P5</f>
        <v>37.811000000000178</v>
      </c>
      <c r="AH5" s="8">
        <f t="shared" ref="AH5:AH35" si="18">D5+Q5</f>
        <v>116.07977000000055</v>
      </c>
    </row>
    <row r="6" spans="1:34" x14ac:dyDescent="0.15">
      <c r="A6" s="27">
        <v>38535</v>
      </c>
      <c r="B6" s="7">
        <f>'[8]Production Summary'!J7</f>
        <v>26899999.999999635</v>
      </c>
      <c r="C6" s="8">
        <f t="shared" ref="C6:C35" si="19">B6/1000000</f>
        <v>26.899999999999636</v>
      </c>
      <c r="D6" s="10">
        <f t="shared" ref="D6:D35" si="20">C6*3.07</f>
        <v>82.582999999998876</v>
      </c>
      <c r="E6" s="7">
        <f>'[8]Production Summary'!E7</f>
        <v>19906000</v>
      </c>
      <c r="F6" s="8">
        <f t="shared" ref="F6:F35" si="21">E6/1000000</f>
        <v>19.905999999999999</v>
      </c>
      <c r="G6" s="10">
        <f t="shared" ref="G6:G35" si="22">F6*3.07</f>
        <v>61.111419999999995</v>
      </c>
      <c r="H6" s="7">
        <f>'[8]Production Summary'!G7</f>
        <v>5010000</v>
      </c>
      <c r="I6" s="8">
        <f t="shared" ref="I6:I35" si="23">H6/1000000</f>
        <v>5.01</v>
      </c>
      <c r="J6" s="10">
        <f t="shared" ref="J6:J35" si="24">I6*3.07</f>
        <v>15.380699999999999</v>
      </c>
      <c r="K6" s="7">
        <f>'[8]Production Summary'!T7</f>
        <v>2387127</v>
      </c>
      <c r="L6" s="8">
        <f t="shared" ref="L6:L35" si="25">K6/1000000</f>
        <v>2.387127</v>
      </c>
      <c r="M6" s="10">
        <f t="shared" ref="M6:M35" si="26">L6*3.07</f>
        <v>7.3284798899999997</v>
      </c>
      <c r="N6" s="21"/>
      <c r="O6" s="7">
        <f>'[8]Production Summary'!I7</f>
        <v>10023000</v>
      </c>
      <c r="P6" s="8">
        <f t="shared" ref="P6:P35" si="27">O6/1000000</f>
        <v>10.023</v>
      </c>
      <c r="Q6" s="10">
        <f t="shared" ref="Q6:Q35" si="28">P6*3.07</f>
        <v>30.770609999999998</v>
      </c>
      <c r="R6" s="7">
        <f>'[8]Production Summary'!C7</f>
        <v>10365000</v>
      </c>
      <c r="S6" s="8">
        <f t="shared" ref="S6:S35" si="29">R6/1000000</f>
        <v>10.365</v>
      </c>
      <c r="T6" s="10">
        <f t="shared" ref="T6:T35" si="30">S6*3.07</f>
        <v>31.820549999999997</v>
      </c>
      <c r="U6" s="7">
        <f>'[8]Production Summary'!F7</f>
        <v>5094000</v>
      </c>
      <c r="V6" s="8">
        <f t="shared" ref="V6:V35" si="31">U6/1000000</f>
        <v>5.0940000000000003</v>
      </c>
      <c r="W6" s="10">
        <f t="shared" ref="W6:W35" si="32">V6*3.07</f>
        <v>15.638579999999999</v>
      </c>
      <c r="X6" s="7">
        <f>'[8]Production Summary'!AB7</f>
        <v>333999.99999999965</v>
      </c>
      <c r="Y6" s="8">
        <f t="shared" ref="Y6:Y35" si="33">X6/1000000</f>
        <v>0.33399999999999963</v>
      </c>
      <c r="Z6" s="10">
        <f t="shared" ref="Z6:Z35" si="34">Y6*3.07</f>
        <v>1.0253799999999988</v>
      </c>
      <c r="AA6" s="15"/>
      <c r="AB6" s="7">
        <f>'[9]Jul Prod'!G5</f>
        <v>0</v>
      </c>
      <c r="AC6" s="8">
        <f t="shared" ref="AC6:AC35" si="35">AB6/1000000</f>
        <v>0</v>
      </c>
      <c r="AD6" s="10">
        <f t="shared" ref="AD6:AD36" si="36">AC6*3.07</f>
        <v>0</v>
      </c>
      <c r="AF6" s="7">
        <f t="shared" si="16"/>
        <v>36922999.999999635</v>
      </c>
      <c r="AG6" s="8">
        <f t="shared" si="17"/>
        <v>36.922999999999632</v>
      </c>
      <c r="AH6" s="8">
        <f t="shared" si="18"/>
        <v>113.35360999999887</v>
      </c>
    </row>
    <row r="7" spans="1:34" x14ac:dyDescent="0.15">
      <c r="A7" s="27">
        <v>38536</v>
      </c>
      <c r="B7" s="7">
        <f>'[8]Production Summary'!J8</f>
        <v>26400000.000000544</v>
      </c>
      <c r="C7" s="8">
        <f t="shared" si="19"/>
        <v>26.400000000000542</v>
      </c>
      <c r="D7" s="10">
        <f t="shared" si="20"/>
        <v>81.048000000001664</v>
      </c>
      <c r="E7" s="7">
        <f>'[8]Production Summary'!E8</f>
        <v>18882000</v>
      </c>
      <c r="F7" s="8">
        <f t="shared" si="21"/>
        <v>18.882000000000001</v>
      </c>
      <c r="G7" s="10">
        <f t="shared" si="22"/>
        <v>57.967739999999999</v>
      </c>
      <c r="H7" s="7">
        <f>'[8]Production Summary'!G8</f>
        <v>5160000</v>
      </c>
      <c r="I7" s="8">
        <f t="shared" si="23"/>
        <v>5.16</v>
      </c>
      <c r="J7" s="10">
        <f t="shared" si="24"/>
        <v>15.841199999999999</v>
      </c>
      <c r="K7" s="7">
        <f>'[8]Production Summary'!T8</f>
        <v>2407076</v>
      </c>
      <c r="L7" s="8">
        <f t="shared" si="25"/>
        <v>2.407076</v>
      </c>
      <c r="M7" s="10">
        <f t="shared" si="26"/>
        <v>7.3897233199999999</v>
      </c>
      <c r="N7" s="21"/>
      <c r="O7" s="7">
        <f>'[8]Production Summary'!I8</f>
        <v>9316000</v>
      </c>
      <c r="P7" s="8">
        <f t="shared" si="27"/>
        <v>9.3160000000000007</v>
      </c>
      <c r="Q7" s="10">
        <f t="shared" si="28"/>
        <v>28.60012</v>
      </c>
      <c r="R7" s="7">
        <f>'[8]Production Summary'!C8</f>
        <v>9684000</v>
      </c>
      <c r="S7" s="8">
        <f t="shared" si="29"/>
        <v>9.6839999999999993</v>
      </c>
      <c r="T7" s="10">
        <f t="shared" si="30"/>
        <v>29.729879999999998</v>
      </c>
      <c r="U7" s="7">
        <f>'[8]Production Summary'!F8</f>
        <v>5118000</v>
      </c>
      <c r="V7" s="8">
        <f t="shared" si="31"/>
        <v>5.1180000000000003</v>
      </c>
      <c r="W7" s="10">
        <f t="shared" si="32"/>
        <v>15.712260000000001</v>
      </c>
      <c r="X7" s="7">
        <f>'[8]Production Summary'!AB8</f>
        <v>362000.00000000012</v>
      </c>
      <c r="Y7" s="8">
        <f t="shared" si="33"/>
        <v>0.3620000000000001</v>
      </c>
      <c r="Z7" s="10">
        <f t="shared" si="34"/>
        <v>1.1113400000000002</v>
      </c>
      <c r="AA7" s="15"/>
      <c r="AB7" s="7">
        <f>'[9]Jul Prod'!G6</f>
        <v>0</v>
      </c>
      <c r="AC7" s="8">
        <f t="shared" si="35"/>
        <v>0</v>
      </c>
      <c r="AD7" s="10">
        <f t="shared" si="36"/>
        <v>0</v>
      </c>
      <c r="AF7" s="7">
        <f t="shared" si="16"/>
        <v>35716000.000000544</v>
      </c>
      <c r="AG7" s="8">
        <f t="shared" si="17"/>
        <v>35.716000000000541</v>
      </c>
      <c r="AH7" s="8">
        <f t="shared" si="18"/>
        <v>109.64812000000167</v>
      </c>
    </row>
    <row r="8" spans="1:34" x14ac:dyDescent="0.15">
      <c r="A8" s="27">
        <v>38537</v>
      </c>
      <c r="B8" s="7">
        <f>'[8]Production Summary'!J9</f>
        <v>29300000.000000183</v>
      </c>
      <c r="C8" s="8">
        <f t="shared" si="19"/>
        <v>29.300000000000182</v>
      </c>
      <c r="D8" s="10">
        <f t="shared" si="20"/>
        <v>89.951000000000548</v>
      </c>
      <c r="E8" s="7">
        <f>'[8]Production Summary'!E9</f>
        <v>14905000</v>
      </c>
      <c r="F8" s="8">
        <f t="shared" si="21"/>
        <v>14.904999999999999</v>
      </c>
      <c r="G8" s="10">
        <f t="shared" si="22"/>
        <v>45.758349999999993</v>
      </c>
      <c r="H8" s="7">
        <f>'[8]Production Summary'!G9</f>
        <v>12440000</v>
      </c>
      <c r="I8" s="8">
        <f t="shared" si="23"/>
        <v>12.44</v>
      </c>
      <c r="J8" s="10">
        <f t="shared" si="24"/>
        <v>38.190799999999996</v>
      </c>
      <c r="K8" s="7">
        <f>'[8]Production Summary'!T9</f>
        <v>2600717</v>
      </c>
      <c r="L8" s="8">
        <f t="shared" si="25"/>
        <v>2.6007169999999999</v>
      </c>
      <c r="M8" s="10">
        <f t="shared" si="26"/>
        <v>7.9842011899999994</v>
      </c>
      <c r="N8" s="21"/>
      <c r="O8" s="7">
        <f>'[8]Production Summary'!I9</f>
        <v>10705000</v>
      </c>
      <c r="P8" s="8">
        <f t="shared" si="27"/>
        <v>10.705</v>
      </c>
      <c r="Q8" s="10">
        <f t="shared" si="28"/>
        <v>32.864350000000002</v>
      </c>
      <c r="R8" s="7">
        <f>'[8]Production Summary'!C9</f>
        <v>10967000</v>
      </c>
      <c r="S8" s="8">
        <f t="shared" si="29"/>
        <v>10.967000000000001</v>
      </c>
      <c r="T8" s="10">
        <f t="shared" si="30"/>
        <v>33.668689999999998</v>
      </c>
      <c r="U8" s="7">
        <f>'[8]Production Summary'!F9</f>
        <v>5095000</v>
      </c>
      <c r="V8" s="8">
        <f t="shared" si="31"/>
        <v>5.0949999999999998</v>
      </c>
      <c r="W8" s="10">
        <f t="shared" si="32"/>
        <v>15.641649999999998</v>
      </c>
      <c r="X8" s="7">
        <f>'[8]Production Summary'!AB9</f>
        <v>256999.99999999968</v>
      </c>
      <c r="Y8" s="8">
        <f t="shared" si="33"/>
        <v>0.25699999999999967</v>
      </c>
      <c r="Z8" s="10">
        <f t="shared" si="34"/>
        <v>0.78898999999999897</v>
      </c>
      <c r="AA8" s="15"/>
      <c r="AB8" s="7">
        <f>'[9]Jul Prod'!G7</f>
        <v>0</v>
      </c>
      <c r="AC8" s="8">
        <f t="shared" si="35"/>
        <v>0</v>
      </c>
      <c r="AD8" s="10">
        <f t="shared" si="36"/>
        <v>0</v>
      </c>
      <c r="AF8" s="7">
        <f t="shared" si="16"/>
        <v>40005000.000000179</v>
      </c>
      <c r="AG8" s="8">
        <f t="shared" si="17"/>
        <v>40.00500000000018</v>
      </c>
      <c r="AH8" s="8">
        <f t="shared" si="18"/>
        <v>122.81535000000055</v>
      </c>
    </row>
    <row r="9" spans="1:34" x14ac:dyDescent="0.15">
      <c r="A9" s="27">
        <v>38538</v>
      </c>
      <c r="B9" s="7">
        <f>'[8]Production Summary'!J10</f>
        <v>26899999.999999635</v>
      </c>
      <c r="C9" s="8">
        <f t="shared" si="19"/>
        <v>26.899999999999636</v>
      </c>
      <c r="D9" s="10">
        <f t="shared" si="20"/>
        <v>82.582999999998876</v>
      </c>
      <c r="E9" s="7">
        <f>'[8]Production Summary'!E10</f>
        <v>8946000</v>
      </c>
      <c r="F9" s="8">
        <f t="shared" si="21"/>
        <v>8.9459999999999997</v>
      </c>
      <c r="G9" s="10">
        <f t="shared" si="22"/>
        <v>27.464219999999997</v>
      </c>
      <c r="H9" s="7">
        <f>'[8]Production Summary'!G10</f>
        <v>14840000</v>
      </c>
      <c r="I9" s="8">
        <f t="shared" si="23"/>
        <v>14.84</v>
      </c>
      <c r="J9" s="10">
        <f t="shared" si="24"/>
        <v>45.558799999999998</v>
      </c>
      <c r="K9" s="7">
        <f>'[8]Production Summary'!T10</f>
        <v>2378835</v>
      </c>
      <c r="L9" s="8">
        <f t="shared" si="25"/>
        <v>2.378835</v>
      </c>
      <c r="M9" s="10">
        <f t="shared" si="26"/>
        <v>7.3030234499999995</v>
      </c>
      <c r="N9" s="21"/>
      <c r="O9" s="7">
        <f>'[8]Production Summary'!I10</f>
        <v>9479000</v>
      </c>
      <c r="P9" s="8">
        <f t="shared" si="27"/>
        <v>9.4789999999999992</v>
      </c>
      <c r="Q9" s="10">
        <f t="shared" si="28"/>
        <v>29.100529999999996</v>
      </c>
      <c r="R9" s="7">
        <f>'[8]Production Summary'!C10</f>
        <v>9726000</v>
      </c>
      <c r="S9" s="8">
        <f t="shared" si="29"/>
        <v>9.7260000000000009</v>
      </c>
      <c r="T9" s="10">
        <f t="shared" si="30"/>
        <v>29.858820000000001</v>
      </c>
      <c r="U9" s="7">
        <f>'[8]Production Summary'!F10</f>
        <v>5054000</v>
      </c>
      <c r="V9" s="8">
        <f t="shared" si="31"/>
        <v>5.0540000000000003</v>
      </c>
      <c r="W9" s="10">
        <f t="shared" si="32"/>
        <v>15.515779999999999</v>
      </c>
      <c r="X9" s="7">
        <f>'[8]Production Summary'!AB10</f>
        <v>241999.9999999991</v>
      </c>
      <c r="Y9" s="8">
        <f t="shared" si="33"/>
        <v>0.2419999999999991</v>
      </c>
      <c r="Z9" s="10">
        <f t="shared" si="34"/>
        <v>0.74293999999999716</v>
      </c>
      <c r="AA9" s="15"/>
      <c r="AB9" s="7">
        <f>'[9]Jul Prod'!G8</f>
        <v>0</v>
      </c>
      <c r="AC9" s="8">
        <f t="shared" si="35"/>
        <v>0</v>
      </c>
      <c r="AD9" s="10">
        <f t="shared" si="36"/>
        <v>0</v>
      </c>
      <c r="AF9" s="7">
        <f t="shared" si="16"/>
        <v>36378999.999999635</v>
      </c>
      <c r="AG9" s="8">
        <f t="shared" si="17"/>
        <v>36.378999999999635</v>
      </c>
      <c r="AH9" s="8">
        <f t="shared" si="18"/>
        <v>111.68352999999887</v>
      </c>
    </row>
    <row r="10" spans="1:34" x14ac:dyDescent="0.15">
      <c r="A10" s="27">
        <v>38539</v>
      </c>
      <c r="B10" s="7">
        <f>'[8]Production Summary'!J11</f>
        <v>30199999.999999817</v>
      </c>
      <c r="C10" s="8">
        <f t="shared" si="19"/>
        <v>30.199999999999818</v>
      </c>
      <c r="D10" s="10">
        <f t="shared" si="20"/>
        <v>92.71399999999943</v>
      </c>
      <c r="E10" s="7">
        <f>'[8]Production Summary'!E11</f>
        <v>13898000</v>
      </c>
      <c r="F10" s="8">
        <f t="shared" si="21"/>
        <v>13.898</v>
      </c>
      <c r="G10" s="10">
        <f t="shared" si="22"/>
        <v>42.66686</v>
      </c>
      <c r="H10" s="7">
        <f>'[8]Production Summary'!G11</f>
        <v>15000000</v>
      </c>
      <c r="I10" s="8">
        <f t="shared" si="23"/>
        <v>15</v>
      </c>
      <c r="J10" s="10">
        <f t="shared" si="24"/>
        <v>46.05</v>
      </c>
      <c r="K10" s="7">
        <f>'[8]Production Summary'!T11</f>
        <v>2753489</v>
      </c>
      <c r="L10" s="8">
        <f t="shared" si="25"/>
        <v>2.7534890000000001</v>
      </c>
      <c r="M10" s="10">
        <f t="shared" si="26"/>
        <v>8.4532112299999991</v>
      </c>
      <c r="N10" s="21"/>
      <c r="O10" s="7">
        <f>'[8]Production Summary'!I11</f>
        <v>10907000</v>
      </c>
      <c r="P10" s="8">
        <f t="shared" si="27"/>
        <v>10.907</v>
      </c>
      <c r="Q10" s="10">
        <f t="shared" si="28"/>
        <v>33.484490000000001</v>
      </c>
      <c r="R10" s="7">
        <f>'[8]Production Summary'!C11</f>
        <v>11167000</v>
      </c>
      <c r="S10" s="8">
        <f t="shared" si="29"/>
        <v>11.167</v>
      </c>
      <c r="T10" s="10">
        <f t="shared" si="30"/>
        <v>34.282689999999995</v>
      </c>
      <c r="U10" s="7">
        <f>'[8]Production Summary'!F11</f>
        <v>5102000</v>
      </c>
      <c r="V10" s="8">
        <f t="shared" si="31"/>
        <v>5.1020000000000003</v>
      </c>
      <c r="W10" s="10">
        <f t="shared" si="32"/>
        <v>15.66314</v>
      </c>
      <c r="X10" s="7">
        <f>'[8]Production Summary'!AB11</f>
        <v>255000.00000000079</v>
      </c>
      <c r="Y10" s="8">
        <f t="shared" si="33"/>
        <v>0.25500000000000078</v>
      </c>
      <c r="Z10" s="10">
        <f t="shared" si="34"/>
        <v>0.78285000000000238</v>
      </c>
      <c r="AA10" s="15"/>
      <c r="AB10" s="7">
        <f>'[9]Jul Prod'!G9</f>
        <v>0</v>
      </c>
      <c r="AC10" s="8">
        <f t="shared" si="35"/>
        <v>0</v>
      </c>
      <c r="AD10" s="10">
        <f t="shared" si="36"/>
        <v>0</v>
      </c>
      <c r="AF10" s="7">
        <f t="shared" si="16"/>
        <v>41106999.999999821</v>
      </c>
      <c r="AG10" s="8">
        <f t="shared" si="17"/>
        <v>41.106999999999815</v>
      </c>
      <c r="AH10" s="8">
        <f t="shared" si="18"/>
        <v>126.19848999999942</v>
      </c>
    </row>
    <row r="11" spans="1:34" x14ac:dyDescent="0.15">
      <c r="A11" s="27">
        <v>38540</v>
      </c>
      <c r="B11" s="7">
        <f>'[8]Production Summary'!J12</f>
        <v>31000000</v>
      </c>
      <c r="C11" s="8">
        <f t="shared" si="19"/>
        <v>31</v>
      </c>
      <c r="D11" s="10">
        <f t="shared" si="20"/>
        <v>95.17</v>
      </c>
      <c r="E11" s="7">
        <f>'[8]Production Summary'!E12</f>
        <v>12866000</v>
      </c>
      <c r="F11" s="8">
        <f t="shared" si="21"/>
        <v>12.866</v>
      </c>
      <c r="G11" s="10">
        <f t="shared" si="22"/>
        <v>39.498619999999995</v>
      </c>
      <c r="H11" s="7">
        <f>'[8]Production Summary'!G12</f>
        <v>17320000</v>
      </c>
      <c r="I11" s="8">
        <f t="shared" si="23"/>
        <v>17.32</v>
      </c>
      <c r="J11" s="10">
        <f t="shared" si="24"/>
        <v>53.172399999999996</v>
      </c>
      <c r="K11" s="7">
        <f>'[8]Production Summary'!T12</f>
        <v>2914093</v>
      </c>
      <c r="L11" s="8">
        <f t="shared" si="25"/>
        <v>2.9140929999999998</v>
      </c>
      <c r="M11" s="10">
        <f t="shared" si="26"/>
        <v>8.9462655099999981</v>
      </c>
      <c r="N11" s="21"/>
      <c r="O11" s="7">
        <f>'[8]Production Summary'!I12</f>
        <v>11197000</v>
      </c>
      <c r="P11" s="8">
        <f t="shared" si="27"/>
        <v>11.196999999999999</v>
      </c>
      <c r="Q11" s="10">
        <f t="shared" si="28"/>
        <v>34.374789999999997</v>
      </c>
      <c r="R11" s="7">
        <f>'[8]Production Summary'!C12</f>
        <v>11491000</v>
      </c>
      <c r="S11" s="8">
        <f t="shared" si="29"/>
        <v>11.491</v>
      </c>
      <c r="T11" s="10">
        <f t="shared" si="30"/>
        <v>35.277369999999998</v>
      </c>
      <c r="U11" s="7">
        <f>'[8]Production Summary'!F12</f>
        <v>5134000</v>
      </c>
      <c r="V11" s="8">
        <f t="shared" si="31"/>
        <v>5.1340000000000003</v>
      </c>
      <c r="W11" s="10">
        <f t="shared" si="32"/>
        <v>15.761380000000001</v>
      </c>
      <c r="X11" s="7">
        <f>'[8]Production Summary'!AB12</f>
        <v>288999.99999999971</v>
      </c>
      <c r="Y11" s="8">
        <f t="shared" si="33"/>
        <v>0.2889999999999997</v>
      </c>
      <c r="Z11" s="10">
        <f t="shared" si="34"/>
        <v>0.88722999999999907</v>
      </c>
      <c r="AA11" s="15"/>
      <c r="AB11" s="7">
        <f>'[9]Jul Prod'!G10</f>
        <v>0</v>
      </c>
      <c r="AC11" s="8">
        <f t="shared" si="35"/>
        <v>0</v>
      </c>
      <c r="AD11" s="10">
        <f t="shared" si="36"/>
        <v>0</v>
      </c>
      <c r="AF11" s="7">
        <f t="shared" si="16"/>
        <v>42197000</v>
      </c>
      <c r="AG11" s="8">
        <f t="shared" si="17"/>
        <v>42.197000000000003</v>
      </c>
      <c r="AH11" s="8">
        <f t="shared" si="18"/>
        <v>129.54479000000001</v>
      </c>
    </row>
    <row r="12" spans="1:34" x14ac:dyDescent="0.15">
      <c r="A12" s="27">
        <v>38541</v>
      </c>
      <c r="B12" s="7">
        <f>'[8]Production Summary'!J13</f>
        <v>28400000.000000544</v>
      </c>
      <c r="C12" s="8">
        <f t="shared" si="19"/>
        <v>28.400000000000542</v>
      </c>
      <c r="D12" s="10">
        <f t="shared" si="20"/>
        <v>87.188000000001665</v>
      </c>
      <c r="E12" s="7">
        <f>'[8]Production Summary'!E13</f>
        <v>5918000</v>
      </c>
      <c r="F12" s="8">
        <f t="shared" si="21"/>
        <v>5.9180000000000001</v>
      </c>
      <c r="G12" s="10">
        <f t="shared" si="22"/>
        <v>18.16826</v>
      </c>
      <c r="H12" s="7">
        <f>'[8]Production Summary'!G13</f>
        <v>19580000</v>
      </c>
      <c r="I12" s="8">
        <f t="shared" si="23"/>
        <v>19.579999999999998</v>
      </c>
      <c r="J12" s="10">
        <f t="shared" si="24"/>
        <v>60.110599999999991</v>
      </c>
      <c r="K12" s="7">
        <f>'[8]Production Summary'!T13</f>
        <v>2615799</v>
      </c>
      <c r="L12" s="8">
        <f t="shared" si="25"/>
        <v>2.615799</v>
      </c>
      <c r="M12" s="10">
        <f t="shared" si="26"/>
        <v>8.030502929999999</v>
      </c>
      <c r="N12" s="21"/>
      <c r="O12" s="7">
        <f>'[8]Production Summary'!I13</f>
        <v>12449000</v>
      </c>
      <c r="P12" s="8">
        <f t="shared" si="27"/>
        <v>12.449</v>
      </c>
      <c r="Q12" s="10">
        <f t="shared" si="28"/>
        <v>38.218429999999998</v>
      </c>
      <c r="R12" s="7">
        <f>'[8]Production Summary'!C13</f>
        <v>12955000</v>
      </c>
      <c r="S12" s="8">
        <f t="shared" si="29"/>
        <v>12.955</v>
      </c>
      <c r="T12" s="10">
        <f t="shared" si="30"/>
        <v>39.771850000000001</v>
      </c>
      <c r="U12" s="7">
        <f>'[8]Production Summary'!F13</f>
        <v>5082000</v>
      </c>
      <c r="V12" s="8">
        <f t="shared" si="31"/>
        <v>5.0819999999999999</v>
      </c>
      <c r="W12" s="10">
        <f t="shared" si="32"/>
        <v>15.601739999999999</v>
      </c>
      <c r="X12" s="7">
        <f>'[8]Production Summary'!AB13</f>
        <v>496999.99999999988</v>
      </c>
      <c r="Y12" s="8">
        <f t="shared" si="33"/>
        <v>0.49699999999999989</v>
      </c>
      <c r="Z12" s="10">
        <f t="shared" si="34"/>
        <v>1.5257899999999995</v>
      </c>
      <c r="AA12" s="15"/>
      <c r="AB12" s="7">
        <f>'[9]Jul Prod'!G11</f>
        <v>0</v>
      </c>
      <c r="AC12" s="8">
        <f t="shared" si="35"/>
        <v>0</v>
      </c>
      <c r="AD12" s="10">
        <f t="shared" si="36"/>
        <v>0</v>
      </c>
      <c r="AF12" s="7">
        <f t="shared" si="16"/>
        <v>40849000.000000544</v>
      </c>
      <c r="AG12" s="8">
        <f t="shared" si="17"/>
        <v>40.849000000000544</v>
      </c>
      <c r="AH12" s="8">
        <f t="shared" si="18"/>
        <v>125.40643000000166</v>
      </c>
    </row>
    <row r="13" spans="1:34" x14ac:dyDescent="0.15">
      <c r="A13" s="27">
        <v>38542</v>
      </c>
      <c r="B13" s="7">
        <f>'[8]Production Summary'!J14</f>
        <v>27899999.999999635</v>
      </c>
      <c r="C13" s="8">
        <f t="shared" si="19"/>
        <v>27.899999999999636</v>
      </c>
      <c r="D13" s="10">
        <f t="shared" si="20"/>
        <v>85.652999999998883</v>
      </c>
      <c r="E13" s="7">
        <f>'[8]Production Summary'!E14</f>
        <v>4905000</v>
      </c>
      <c r="F13" s="8">
        <f t="shared" si="21"/>
        <v>4.9050000000000002</v>
      </c>
      <c r="G13" s="10">
        <f t="shared" si="22"/>
        <v>15.058350000000001</v>
      </c>
      <c r="H13" s="7">
        <f>'[8]Production Summary'!G14</f>
        <v>21410000</v>
      </c>
      <c r="I13" s="8">
        <f t="shared" si="23"/>
        <v>21.41</v>
      </c>
      <c r="J13" s="10">
        <f t="shared" si="24"/>
        <v>65.728700000000003</v>
      </c>
      <c r="K13" s="7">
        <f>'[8]Production Summary'!T14</f>
        <v>2619854</v>
      </c>
      <c r="L13" s="8">
        <f t="shared" si="25"/>
        <v>2.6198540000000001</v>
      </c>
      <c r="M13" s="10">
        <f t="shared" si="26"/>
        <v>8.0429517799999992</v>
      </c>
      <c r="N13" s="21"/>
      <c r="O13" s="7">
        <f>'[8]Production Summary'!I14</f>
        <v>12619000</v>
      </c>
      <c r="P13" s="8">
        <f t="shared" si="27"/>
        <v>12.619</v>
      </c>
      <c r="Q13" s="10">
        <f t="shared" si="28"/>
        <v>38.74033</v>
      </c>
      <c r="R13" s="7">
        <f>'[8]Production Summary'!C14</f>
        <v>12987000</v>
      </c>
      <c r="S13" s="8">
        <f t="shared" si="29"/>
        <v>12.987</v>
      </c>
      <c r="T13" s="10">
        <f t="shared" si="30"/>
        <v>39.870089999999998</v>
      </c>
      <c r="U13" s="7">
        <f>'[8]Production Summary'!F14</f>
        <v>5095000</v>
      </c>
      <c r="V13" s="8">
        <f t="shared" si="31"/>
        <v>5.0949999999999998</v>
      </c>
      <c r="W13" s="10">
        <f t="shared" si="32"/>
        <v>15.641649999999998</v>
      </c>
      <c r="X13" s="7">
        <f>'[8]Production Summary'!AB14</f>
        <v>361000.00000000064</v>
      </c>
      <c r="Y13" s="8">
        <f t="shared" si="33"/>
        <v>0.36100000000000065</v>
      </c>
      <c r="Z13" s="10">
        <f t="shared" si="34"/>
        <v>1.1082700000000019</v>
      </c>
      <c r="AA13" s="15"/>
      <c r="AB13" s="7">
        <f>'[9]Jul Prod'!G12</f>
        <v>0</v>
      </c>
      <c r="AC13" s="8">
        <f t="shared" si="35"/>
        <v>0</v>
      </c>
      <c r="AD13" s="10">
        <f t="shared" si="36"/>
        <v>0</v>
      </c>
      <c r="AF13" s="7">
        <f t="shared" si="16"/>
        <v>40518999.999999635</v>
      </c>
      <c r="AG13" s="8">
        <f t="shared" si="17"/>
        <v>40.518999999999636</v>
      </c>
      <c r="AH13" s="8">
        <f t="shared" si="18"/>
        <v>124.39332999999888</v>
      </c>
    </row>
    <row r="14" spans="1:34" x14ac:dyDescent="0.15">
      <c r="A14" s="27">
        <v>38543</v>
      </c>
      <c r="B14" s="7">
        <f>'[8]Production Summary'!J15</f>
        <v>28199999.999999817</v>
      </c>
      <c r="C14" s="8">
        <f t="shared" si="19"/>
        <v>28.199999999999818</v>
      </c>
      <c r="D14" s="10">
        <f t="shared" si="20"/>
        <v>86.573999999999444</v>
      </c>
      <c r="E14" s="7">
        <f>'[8]Production Summary'!E15</f>
        <v>3926000</v>
      </c>
      <c r="F14" s="8">
        <f t="shared" si="21"/>
        <v>3.9260000000000002</v>
      </c>
      <c r="G14" s="10">
        <f t="shared" si="22"/>
        <v>12.052820000000001</v>
      </c>
      <c r="H14" s="7">
        <f>'[8]Production Summary'!G15</f>
        <v>21950000</v>
      </c>
      <c r="I14" s="8">
        <f t="shared" si="23"/>
        <v>21.95</v>
      </c>
      <c r="J14" s="10">
        <f t="shared" si="24"/>
        <v>67.386499999999998</v>
      </c>
      <c r="K14" s="7">
        <f>'[8]Production Summary'!T15</f>
        <v>2557138</v>
      </c>
      <c r="L14" s="8">
        <f t="shared" si="25"/>
        <v>2.5571380000000001</v>
      </c>
      <c r="M14" s="10">
        <f t="shared" si="26"/>
        <v>7.8504136600000001</v>
      </c>
      <c r="N14" s="21"/>
      <c r="O14" s="7">
        <f>'[8]Production Summary'!I15</f>
        <v>12761000</v>
      </c>
      <c r="P14" s="8">
        <f t="shared" si="27"/>
        <v>12.760999999999999</v>
      </c>
      <c r="Q14" s="10">
        <f t="shared" si="28"/>
        <v>39.176269999999995</v>
      </c>
      <c r="R14" s="7">
        <f>'[8]Production Summary'!C15</f>
        <v>12937000</v>
      </c>
      <c r="S14" s="8">
        <f t="shared" si="29"/>
        <v>12.936999999999999</v>
      </c>
      <c r="T14" s="10">
        <f t="shared" si="30"/>
        <v>39.716589999999997</v>
      </c>
      <c r="U14" s="7">
        <f>'[8]Production Summary'!F15</f>
        <v>5074000</v>
      </c>
      <c r="V14" s="8">
        <f t="shared" si="31"/>
        <v>5.0739999999999998</v>
      </c>
      <c r="W14" s="10">
        <f t="shared" si="32"/>
        <v>15.577179999999998</v>
      </c>
      <c r="X14" s="7">
        <f>'[8]Production Summary'!AB15</f>
        <v>170999.99999999939</v>
      </c>
      <c r="Y14" s="8">
        <f t="shared" si="33"/>
        <v>0.1709999999999994</v>
      </c>
      <c r="Z14" s="10">
        <f t="shared" si="34"/>
        <v>0.52496999999999816</v>
      </c>
      <c r="AA14" s="15"/>
      <c r="AB14" s="7">
        <f>'[9]Jul Prod'!G13</f>
        <v>0</v>
      </c>
      <c r="AC14" s="8">
        <f t="shared" si="35"/>
        <v>0</v>
      </c>
      <c r="AD14" s="10">
        <f t="shared" si="36"/>
        <v>0</v>
      </c>
      <c r="AF14" s="7">
        <f t="shared" si="16"/>
        <v>40960999.999999821</v>
      </c>
      <c r="AG14" s="8">
        <f t="shared" si="17"/>
        <v>40.960999999999814</v>
      </c>
      <c r="AH14" s="8">
        <f t="shared" si="18"/>
        <v>125.75026999999943</v>
      </c>
    </row>
    <row r="15" spans="1:34" x14ac:dyDescent="0.15">
      <c r="A15" s="27">
        <v>38544</v>
      </c>
      <c r="B15" s="7">
        <f>'[8]Production Summary'!J16</f>
        <v>27300000.000000183</v>
      </c>
      <c r="C15" s="8">
        <f t="shared" si="19"/>
        <v>27.300000000000182</v>
      </c>
      <c r="D15" s="10">
        <f t="shared" si="20"/>
        <v>83.811000000000547</v>
      </c>
      <c r="E15" s="7">
        <f>'[8]Production Summary'!E16</f>
        <v>3943000</v>
      </c>
      <c r="F15" s="8">
        <f t="shared" si="21"/>
        <v>3.9430000000000001</v>
      </c>
      <c r="G15" s="10">
        <f t="shared" si="22"/>
        <v>12.10501</v>
      </c>
      <c r="H15" s="7">
        <f>'[8]Production Summary'!G16</f>
        <v>21810000</v>
      </c>
      <c r="I15" s="8">
        <f t="shared" si="23"/>
        <v>21.81</v>
      </c>
      <c r="J15" s="10">
        <f t="shared" si="24"/>
        <v>66.956699999999998</v>
      </c>
      <c r="K15" s="7">
        <f>'[8]Production Summary'!T16</f>
        <v>2407879</v>
      </c>
      <c r="L15" s="8">
        <f t="shared" si="25"/>
        <v>2.4078789999999999</v>
      </c>
      <c r="M15" s="10">
        <f t="shared" si="26"/>
        <v>7.3921885299999994</v>
      </c>
      <c r="N15" s="21"/>
      <c r="O15" s="7">
        <f>'[8]Production Summary'!I16</f>
        <v>12271000</v>
      </c>
      <c r="P15" s="8">
        <f t="shared" si="27"/>
        <v>12.271000000000001</v>
      </c>
      <c r="Q15" s="10">
        <f t="shared" si="28"/>
        <v>37.671970000000002</v>
      </c>
      <c r="R15" s="7">
        <f>'[8]Production Summary'!C16</f>
        <v>12615000</v>
      </c>
      <c r="S15" s="8">
        <f t="shared" si="29"/>
        <v>12.615</v>
      </c>
      <c r="T15" s="10">
        <f t="shared" si="30"/>
        <v>38.728049999999996</v>
      </c>
      <c r="U15" s="7">
        <f>'[8]Production Summary'!F16</f>
        <v>5057000</v>
      </c>
      <c r="V15" s="8">
        <f t="shared" si="31"/>
        <v>5.0570000000000004</v>
      </c>
      <c r="W15" s="10">
        <f t="shared" si="32"/>
        <v>15.524990000000001</v>
      </c>
      <c r="X15" s="7">
        <f>'[8]Production Summary'!AB16</f>
        <v>339000.00000000041</v>
      </c>
      <c r="Y15" s="8">
        <f t="shared" si="33"/>
        <v>0.33900000000000041</v>
      </c>
      <c r="Z15" s="10">
        <f t="shared" si="34"/>
        <v>1.0407300000000013</v>
      </c>
      <c r="AA15" s="15"/>
      <c r="AB15" s="7">
        <f>'[9]Jul Prod'!G14</f>
        <v>0</v>
      </c>
      <c r="AC15" s="8">
        <f t="shared" si="35"/>
        <v>0</v>
      </c>
      <c r="AD15" s="10">
        <f t="shared" si="36"/>
        <v>0</v>
      </c>
      <c r="AF15" s="7">
        <f t="shared" si="16"/>
        <v>39571000.000000179</v>
      </c>
      <c r="AG15" s="8">
        <f t="shared" si="17"/>
        <v>39.571000000000183</v>
      </c>
      <c r="AH15" s="8">
        <f t="shared" si="18"/>
        <v>121.48297000000055</v>
      </c>
    </row>
    <row r="16" spans="1:34" x14ac:dyDescent="0.15">
      <c r="A16" s="27">
        <v>38545</v>
      </c>
      <c r="B16" s="7">
        <f>'[8]Production Summary'!J17</f>
        <v>29300000.000000183</v>
      </c>
      <c r="C16" s="8">
        <f t="shared" si="19"/>
        <v>29.300000000000182</v>
      </c>
      <c r="D16" s="10">
        <f t="shared" si="20"/>
        <v>89.951000000000548</v>
      </c>
      <c r="E16" s="7">
        <f>'[8]Production Summary'!E17</f>
        <v>4818000</v>
      </c>
      <c r="F16" s="8">
        <f t="shared" si="21"/>
        <v>4.8179999999999996</v>
      </c>
      <c r="G16" s="10">
        <f t="shared" si="22"/>
        <v>14.791259999999998</v>
      </c>
      <c r="H16" s="7">
        <f>'[8]Production Summary'!G17</f>
        <v>22510000</v>
      </c>
      <c r="I16" s="8">
        <f t="shared" si="23"/>
        <v>22.51</v>
      </c>
      <c r="J16" s="10">
        <f t="shared" si="24"/>
        <v>69.105699999999999</v>
      </c>
      <c r="K16" s="7">
        <f>'[8]Production Summary'!T17</f>
        <v>2627631</v>
      </c>
      <c r="L16" s="8">
        <f t="shared" si="25"/>
        <v>2.627631</v>
      </c>
      <c r="M16" s="10">
        <f t="shared" si="26"/>
        <v>8.0668271699999998</v>
      </c>
      <c r="N16" s="21"/>
      <c r="O16" s="7">
        <f>'[8]Production Summary'!I17</f>
        <v>11759000</v>
      </c>
      <c r="P16" s="8">
        <f t="shared" si="27"/>
        <v>11.759</v>
      </c>
      <c r="Q16" s="10">
        <f t="shared" si="28"/>
        <v>36.10013</v>
      </c>
      <c r="R16" s="7">
        <f>'[8]Production Summary'!C17</f>
        <v>12197000</v>
      </c>
      <c r="S16" s="8">
        <f t="shared" si="29"/>
        <v>12.196999999999999</v>
      </c>
      <c r="T16" s="10">
        <f t="shared" si="30"/>
        <v>37.444789999999998</v>
      </c>
      <c r="U16" s="7">
        <f>'[8]Production Summary'!F17</f>
        <v>5182000</v>
      </c>
      <c r="V16" s="8">
        <f t="shared" si="31"/>
        <v>5.1820000000000004</v>
      </c>
      <c r="W16" s="10">
        <f t="shared" si="32"/>
        <v>15.90874</v>
      </c>
      <c r="X16" s="7">
        <f>'[8]Production Summary'!AB17</f>
        <v>429999.99999999971</v>
      </c>
      <c r="Y16" s="8">
        <f t="shared" si="33"/>
        <v>0.42999999999999972</v>
      </c>
      <c r="Z16" s="10">
        <f t="shared" si="34"/>
        <v>1.3200999999999992</v>
      </c>
      <c r="AA16" s="15"/>
      <c r="AB16" s="7">
        <f>'[9]Jul Prod'!G15</f>
        <v>0</v>
      </c>
      <c r="AC16" s="8">
        <f t="shared" si="35"/>
        <v>0</v>
      </c>
      <c r="AD16" s="10">
        <f t="shared" si="36"/>
        <v>0</v>
      </c>
      <c r="AF16" s="7">
        <f t="shared" si="16"/>
        <v>41059000.000000179</v>
      </c>
      <c r="AG16" s="8">
        <f t="shared" si="17"/>
        <v>41.059000000000182</v>
      </c>
      <c r="AH16" s="8">
        <f t="shared" si="18"/>
        <v>126.05113000000054</v>
      </c>
    </row>
    <row r="17" spans="1:35" x14ac:dyDescent="0.15">
      <c r="A17" s="27">
        <v>38546</v>
      </c>
      <c r="B17" s="7">
        <f>'[8]Production Summary'!J18</f>
        <v>25099999.999999456</v>
      </c>
      <c r="C17" s="8">
        <f t="shared" si="19"/>
        <v>25.099999999999458</v>
      </c>
      <c r="D17" s="10">
        <f t="shared" si="20"/>
        <v>77.056999999998325</v>
      </c>
      <c r="E17" s="7">
        <f>'[8]Production Summary'!E18</f>
        <v>4900000</v>
      </c>
      <c r="F17" s="8">
        <f t="shared" si="21"/>
        <v>4.9000000000000004</v>
      </c>
      <c r="G17" s="10">
        <f t="shared" si="22"/>
        <v>15.043000000000001</v>
      </c>
      <c r="H17" s="7">
        <f>'[8]Production Summary'!G18</f>
        <v>18430000</v>
      </c>
      <c r="I17" s="8">
        <f t="shared" si="23"/>
        <v>18.43</v>
      </c>
      <c r="J17" s="10">
        <f t="shared" si="24"/>
        <v>56.580099999999995</v>
      </c>
      <c r="K17" s="7">
        <f>'[8]Production Summary'!T18</f>
        <v>2363926</v>
      </c>
      <c r="L17" s="8">
        <f t="shared" si="25"/>
        <v>2.3639260000000002</v>
      </c>
      <c r="M17" s="10">
        <f t="shared" si="26"/>
        <v>7.2572528200000006</v>
      </c>
      <c r="N17" s="21"/>
      <c r="O17" s="7">
        <f>'[8]Production Summary'!I18</f>
        <v>10438000</v>
      </c>
      <c r="P17" s="8">
        <f t="shared" si="27"/>
        <v>10.438000000000001</v>
      </c>
      <c r="Q17" s="10">
        <f t="shared" si="28"/>
        <v>32.04466</v>
      </c>
      <c r="R17" s="7">
        <f>'[8]Production Summary'!C18</f>
        <v>10825000</v>
      </c>
      <c r="S17" s="8">
        <f t="shared" si="29"/>
        <v>10.824999999999999</v>
      </c>
      <c r="T17" s="10">
        <f t="shared" si="30"/>
        <v>33.232749999999996</v>
      </c>
      <c r="U17" s="7">
        <f>'[8]Production Summary'!F18</f>
        <v>5100000</v>
      </c>
      <c r="V17" s="8">
        <f t="shared" si="31"/>
        <v>5.0999999999999996</v>
      </c>
      <c r="W17" s="10">
        <f t="shared" si="32"/>
        <v>15.656999999999998</v>
      </c>
      <c r="X17" s="7">
        <f>'[8]Production Summary'!AB18</f>
        <v>378999.99999999953</v>
      </c>
      <c r="Y17" s="8">
        <f t="shared" si="33"/>
        <v>0.37899999999999956</v>
      </c>
      <c r="Z17" s="10">
        <f t="shared" si="34"/>
        <v>1.1635299999999986</v>
      </c>
      <c r="AA17" s="15"/>
      <c r="AB17" s="7">
        <f>'[9]Jul Prod'!G16</f>
        <v>0</v>
      </c>
      <c r="AC17" s="8">
        <f t="shared" si="35"/>
        <v>0</v>
      </c>
      <c r="AD17" s="10">
        <f t="shared" si="36"/>
        <v>0</v>
      </c>
      <c r="AF17" s="7">
        <f t="shared" si="16"/>
        <v>35537999.999999456</v>
      </c>
      <c r="AG17" s="8">
        <f t="shared" si="17"/>
        <v>35.537999999999457</v>
      </c>
      <c r="AH17" s="8">
        <f t="shared" si="18"/>
        <v>109.10165999999833</v>
      </c>
    </row>
    <row r="18" spans="1:35" x14ac:dyDescent="0.15">
      <c r="A18" s="27">
        <v>38547</v>
      </c>
      <c r="B18" s="7">
        <f>'[8]Production Summary'!J19</f>
        <v>28700000.000000726</v>
      </c>
      <c r="C18" s="8">
        <f t="shared" si="19"/>
        <v>28.700000000000728</v>
      </c>
      <c r="D18" s="10">
        <f t="shared" si="20"/>
        <v>88.109000000002226</v>
      </c>
      <c r="E18" s="7">
        <f>'[8]Production Summary'!E19</f>
        <v>5781000</v>
      </c>
      <c r="F18" s="8">
        <f t="shared" si="21"/>
        <v>5.7809999999999997</v>
      </c>
      <c r="G18" s="10">
        <f t="shared" si="22"/>
        <v>17.747669999999999</v>
      </c>
      <c r="H18" s="7">
        <f>'[8]Production Summary'!G19</f>
        <v>22020000</v>
      </c>
      <c r="I18" s="8">
        <f t="shared" si="23"/>
        <v>22.02</v>
      </c>
      <c r="J18" s="10">
        <f t="shared" si="24"/>
        <v>67.601399999999998</v>
      </c>
      <c r="K18" s="7">
        <f>'[8]Production Summary'!T19</f>
        <v>2673465</v>
      </c>
      <c r="L18" s="8">
        <f t="shared" si="25"/>
        <v>2.6734650000000002</v>
      </c>
      <c r="M18" s="10">
        <f t="shared" si="26"/>
        <v>8.2075375499999996</v>
      </c>
      <c r="N18" s="21"/>
      <c r="O18" s="7">
        <f>'[8]Production Summary'!I19</f>
        <v>11084999.999999998</v>
      </c>
      <c r="P18" s="8">
        <f t="shared" si="27"/>
        <v>11.084999999999997</v>
      </c>
      <c r="Q18" s="10">
        <f t="shared" si="28"/>
        <v>34.03094999999999</v>
      </c>
      <c r="R18" s="7">
        <f>'[8]Production Summary'!C19</f>
        <v>11240000</v>
      </c>
      <c r="S18" s="8">
        <f t="shared" si="29"/>
        <v>11.24</v>
      </c>
      <c r="T18" s="10">
        <f t="shared" si="30"/>
        <v>34.506799999999998</v>
      </c>
      <c r="U18" s="7">
        <f>'[8]Production Summary'!F19</f>
        <v>4219000</v>
      </c>
      <c r="V18" s="8">
        <f t="shared" si="31"/>
        <v>4.2190000000000003</v>
      </c>
      <c r="W18" s="10">
        <f t="shared" si="32"/>
        <v>12.95233</v>
      </c>
      <c r="X18" s="7">
        <f>'[8]Production Summary'!AB19</f>
        <v>152000.00000000102</v>
      </c>
      <c r="Y18" s="8">
        <f t="shared" si="33"/>
        <v>0.15200000000000102</v>
      </c>
      <c r="Z18" s="10">
        <f t="shared" si="34"/>
        <v>0.46664000000000311</v>
      </c>
      <c r="AA18" s="15"/>
      <c r="AB18" s="7">
        <f>'[9]Jul Prod'!G17</f>
        <v>0</v>
      </c>
      <c r="AC18" s="8">
        <f t="shared" si="35"/>
        <v>0</v>
      </c>
      <c r="AD18" s="10">
        <f t="shared" si="36"/>
        <v>0</v>
      </c>
      <c r="AF18" s="7">
        <f t="shared" si="16"/>
        <v>39785000.000000723</v>
      </c>
      <c r="AG18" s="8">
        <f t="shared" si="17"/>
        <v>39.785000000000721</v>
      </c>
      <c r="AH18" s="8">
        <f t="shared" si="18"/>
        <v>122.13995000000222</v>
      </c>
    </row>
    <row r="19" spans="1:35" x14ac:dyDescent="0.15">
      <c r="A19" s="27">
        <v>38548</v>
      </c>
      <c r="B19" s="7">
        <f>'[8]Production Summary'!J20</f>
        <v>26599999.999999456</v>
      </c>
      <c r="C19" s="8">
        <f t="shared" si="19"/>
        <v>26.599999999999458</v>
      </c>
      <c r="D19" s="10">
        <f t="shared" si="20"/>
        <v>81.661999999998329</v>
      </c>
      <c r="E19" s="7">
        <f>'[8]Production Summary'!E20</f>
        <v>4909000</v>
      </c>
      <c r="F19" s="8">
        <f t="shared" si="21"/>
        <v>4.9089999999999998</v>
      </c>
      <c r="G19" s="10">
        <f t="shared" si="22"/>
        <v>15.070629999999998</v>
      </c>
      <c r="H19" s="7">
        <f>'[8]Production Summary'!G20</f>
        <v>20810000</v>
      </c>
      <c r="I19" s="8">
        <f t="shared" si="23"/>
        <v>20.81</v>
      </c>
      <c r="J19" s="10">
        <f t="shared" si="24"/>
        <v>63.88669999999999</v>
      </c>
      <c r="K19" s="7">
        <f>'[8]Production Summary'!T20</f>
        <v>2321997</v>
      </c>
      <c r="L19" s="8">
        <f t="shared" si="25"/>
        <v>2.3219970000000001</v>
      </c>
      <c r="M19" s="10">
        <f t="shared" si="26"/>
        <v>7.1285307900000001</v>
      </c>
      <c r="N19" s="21"/>
      <c r="O19" s="7">
        <f>'[8]Production Summary'!I20</f>
        <v>10929000</v>
      </c>
      <c r="P19" s="8">
        <f t="shared" si="27"/>
        <v>10.929</v>
      </c>
      <c r="Q19" s="10">
        <f t="shared" si="28"/>
        <v>33.552030000000002</v>
      </c>
      <c r="R19" s="7">
        <f>'[8]Production Summary'!C20</f>
        <v>11375000</v>
      </c>
      <c r="S19" s="8">
        <f t="shared" si="29"/>
        <v>11.375</v>
      </c>
      <c r="T19" s="10">
        <f t="shared" si="30"/>
        <v>34.921250000000001</v>
      </c>
      <c r="U19" s="7">
        <f>'[8]Production Summary'!F20</f>
        <v>3091000</v>
      </c>
      <c r="V19" s="8">
        <f t="shared" si="31"/>
        <v>3.0910000000000002</v>
      </c>
      <c r="W19" s="10">
        <f t="shared" si="32"/>
        <v>9.489370000000001</v>
      </c>
      <c r="X19" s="7">
        <f>'[8]Production Summary'!AB20</f>
        <v>439999.99999999948</v>
      </c>
      <c r="Y19" s="8">
        <f t="shared" si="33"/>
        <v>0.4399999999999995</v>
      </c>
      <c r="Z19" s="10">
        <f t="shared" si="34"/>
        <v>1.3507999999999984</v>
      </c>
      <c r="AA19" s="15"/>
      <c r="AB19" s="7">
        <f>'[9]Jul Prod'!G18</f>
        <v>0</v>
      </c>
      <c r="AC19" s="8">
        <f t="shared" si="35"/>
        <v>0</v>
      </c>
      <c r="AD19" s="10">
        <f t="shared" si="36"/>
        <v>0</v>
      </c>
      <c r="AF19" s="7">
        <f t="shared" si="16"/>
        <v>37528999.999999456</v>
      </c>
      <c r="AG19" s="8">
        <f t="shared" si="17"/>
        <v>37.528999999999456</v>
      </c>
      <c r="AH19" s="8">
        <f t="shared" si="18"/>
        <v>115.21402999999833</v>
      </c>
    </row>
    <row r="20" spans="1:35" x14ac:dyDescent="0.15">
      <c r="A20" s="27">
        <v>38549</v>
      </c>
      <c r="B20" s="7">
        <f>'[8]Production Summary'!J21</f>
        <v>27100000.000000365</v>
      </c>
      <c r="C20" s="8">
        <f t="shared" si="19"/>
        <v>27.100000000000364</v>
      </c>
      <c r="D20" s="10">
        <f t="shared" si="20"/>
        <v>83.197000000001111</v>
      </c>
      <c r="E20" s="7">
        <f>'[8]Production Summary'!E21</f>
        <v>2912000</v>
      </c>
      <c r="F20" s="8">
        <f t="shared" si="21"/>
        <v>2.9119999999999999</v>
      </c>
      <c r="G20" s="10">
        <f t="shared" si="22"/>
        <v>8.9398399999999985</v>
      </c>
      <c r="H20" s="7">
        <f>'[8]Production Summary'!G21</f>
        <v>24250000</v>
      </c>
      <c r="I20" s="8">
        <f t="shared" si="23"/>
        <v>24.25</v>
      </c>
      <c r="J20" s="10">
        <f t="shared" si="24"/>
        <v>74.447499999999991</v>
      </c>
      <c r="K20" s="7">
        <f>'[8]Production Summary'!T21</f>
        <v>2525491</v>
      </c>
      <c r="L20" s="8">
        <f t="shared" si="25"/>
        <v>2.5254910000000002</v>
      </c>
      <c r="M20" s="10">
        <f t="shared" si="26"/>
        <v>7.75325737</v>
      </c>
      <c r="N20" s="21"/>
      <c r="O20" s="7">
        <f>'[8]Production Summary'!I21</f>
        <v>10821000</v>
      </c>
      <c r="P20" s="8">
        <f t="shared" si="27"/>
        <v>10.821</v>
      </c>
      <c r="Q20" s="10">
        <f t="shared" si="28"/>
        <v>33.220469999999999</v>
      </c>
      <c r="R20" s="7">
        <f>'[8]Production Summary'!C21</f>
        <v>10988000</v>
      </c>
      <c r="S20" s="8">
        <f t="shared" si="29"/>
        <v>10.988</v>
      </c>
      <c r="T20" s="10">
        <f t="shared" si="30"/>
        <v>33.733159999999998</v>
      </c>
      <c r="U20" s="7">
        <f>'[8]Production Summary'!F21</f>
        <v>3088000</v>
      </c>
      <c r="V20" s="8">
        <f t="shared" si="31"/>
        <v>3.0880000000000001</v>
      </c>
      <c r="W20" s="10">
        <f t="shared" si="32"/>
        <v>9.4801599999999997</v>
      </c>
      <c r="X20" s="7">
        <f>'[8]Production Summary'!AB21</f>
        <v>160000.00000000015</v>
      </c>
      <c r="Y20" s="8">
        <f t="shared" si="33"/>
        <v>0.16000000000000014</v>
      </c>
      <c r="Z20" s="10">
        <f t="shared" si="34"/>
        <v>0.49120000000000041</v>
      </c>
      <c r="AA20" s="15"/>
      <c r="AB20" s="7">
        <f>'[9]Jul Prod'!G19</f>
        <v>0</v>
      </c>
      <c r="AC20" s="8">
        <f t="shared" si="35"/>
        <v>0</v>
      </c>
      <c r="AD20" s="10">
        <f t="shared" si="36"/>
        <v>0</v>
      </c>
      <c r="AF20" s="7">
        <f t="shared" si="16"/>
        <v>37921000.000000365</v>
      </c>
      <c r="AG20" s="8">
        <f t="shared" si="17"/>
        <v>37.921000000000362</v>
      </c>
      <c r="AH20" s="8">
        <f t="shared" si="18"/>
        <v>116.41747000000112</v>
      </c>
    </row>
    <row r="21" spans="1:35" x14ac:dyDescent="0.15">
      <c r="A21" s="27">
        <v>38550</v>
      </c>
      <c r="B21" s="7">
        <f>'[8]Production Summary'!J22</f>
        <v>29099999.999999456</v>
      </c>
      <c r="C21" s="8">
        <f t="shared" si="19"/>
        <v>29.099999999999458</v>
      </c>
      <c r="D21" s="10">
        <f t="shared" si="20"/>
        <v>89.336999999998326</v>
      </c>
      <c r="E21" s="7">
        <f>'[8]Production Summary'!E22</f>
        <v>3580000</v>
      </c>
      <c r="F21" s="8">
        <f t="shared" si="21"/>
        <v>3.58</v>
      </c>
      <c r="G21" s="10">
        <f t="shared" si="22"/>
        <v>10.990599999999999</v>
      </c>
      <c r="H21" s="7">
        <f>'[8]Production Summary'!G22</f>
        <v>26150000</v>
      </c>
      <c r="I21" s="8">
        <f t="shared" si="23"/>
        <v>26.15</v>
      </c>
      <c r="J21" s="10">
        <f t="shared" si="24"/>
        <v>80.280499999999989</v>
      </c>
      <c r="K21" s="7">
        <f>'[8]Production Summary'!T22</f>
        <v>2579253</v>
      </c>
      <c r="L21" s="8">
        <f t="shared" si="25"/>
        <v>2.579253</v>
      </c>
      <c r="M21" s="10">
        <f t="shared" si="26"/>
        <v>7.9183067099999995</v>
      </c>
      <c r="N21" s="21"/>
      <c r="O21" s="7">
        <f>'[8]Production Summary'!I22</f>
        <v>10366000</v>
      </c>
      <c r="P21" s="8">
        <f t="shared" si="27"/>
        <v>10.366</v>
      </c>
      <c r="Q21" s="10">
        <f t="shared" si="28"/>
        <v>31.823619999999998</v>
      </c>
      <c r="R21" s="7">
        <f>'[8]Production Summary'!C22</f>
        <v>10764000</v>
      </c>
      <c r="S21" s="8">
        <f t="shared" si="29"/>
        <v>10.763999999999999</v>
      </c>
      <c r="T21" s="10">
        <f t="shared" si="30"/>
        <v>33.045479999999998</v>
      </c>
      <c r="U21" s="7">
        <f>'[8]Production Summary'!F22</f>
        <v>2420000</v>
      </c>
      <c r="V21" s="8">
        <f t="shared" si="31"/>
        <v>2.42</v>
      </c>
      <c r="W21" s="10">
        <f t="shared" si="32"/>
        <v>7.4293999999999993</v>
      </c>
      <c r="X21" s="7">
        <f>'[8]Production Summary'!AB22</f>
        <v>393000.0000000007</v>
      </c>
      <c r="Y21" s="8">
        <f t="shared" si="33"/>
        <v>0.39300000000000068</v>
      </c>
      <c r="Z21" s="10">
        <f t="shared" si="34"/>
        <v>1.206510000000002</v>
      </c>
      <c r="AA21" s="15"/>
      <c r="AB21" s="7">
        <f>'[9]Jul Prod'!G20</f>
        <v>0</v>
      </c>
      <c r="AC21" s="8">
        <f t="shared" si="35"/>
        <v>0</v>
      </c>
      <c r="AD21" s="10">
        <f t="shared" si="36"/>
        <v>0</v>
      </c>
      <c r="AF21" s="7">
        <f t="shared" si="16"/>
        <v>39465999.999999456</v>
      </c>
      <c r="AG21" s="8">
        <f t="shared" si="17"/>
        <v>39.465999999999454</v>
      </c>
      <c r="AH21" s="8">
        <f t="shared" si="18"/>
        <v>121.16061999999832</v>
      </c>
    </row>
    <row r="22" spans="1:35" x14ac:dyDescent="0.15">
      <c r="A22" s="27">
        <v>38551</v>
      </c>
      <c r="B22" s="7">
        <f>'[8]Production Summary'!J23</f>
        <v>30500000</v>
      </c>
      <c r="C22" s="8">
        <f t="shared" si="19"/>
        <v>30.5</v>
      </c>
      <c r="D22" s="10">
        <f t="shared" si="20"/>
        <v>93.634999999999991</v>
      </c>
      <c r="E22" s="7">
        <f>'[8]Production Summary'!E23</f>
        <v>3959000</v>
      </c>
      <c r="F22" s="8">
        <f t="shared" si="21"/>
        <v>3.9590000000000001</v>
      </c>
      <c r="G22" s="10">
        <f t="shared" si="22"/>
        <v>12.15413</v>
      </c>
      <c r="H22" s="7">
        <f>'[8]Production Summary'!G23</f>
        <v>27670000</v>
      </c>
      <c r="I22" s="8">
        <f t="shared" si="23"/>
        <v>27.67</v>
      </c>
      <c r="J22" s="10">
        <f t="shared" si="24"/>
        <v>84.946899999999999</v>
      </c>
      <c r="K22" s="7">
        <f>'[8]Production Summary'!T23</f>
        <v>2690222</v>
      </c>
      <c r="L22" s="8">
        <f t="shared" si="25"/>
        <v>2.6902219999999999</v>
      </c>
      <c r="M22" s="10">
        <f t="shared" si="26"/>
        <v>8.2589815399999988</v>
      </c>
      <c r="N22" s="21"/>
      <c r="O22" s="7">
        <f>'[8]Production Summary'!I23</f>
        <v>10095000</v>
      </c>
      <c r="P22" s="8">
        <f t="shared" si="27"/>
        <v>10.095000000000001</v>
      </c>
      <c r="Q22" s="10">
        <f t="shared" si="28"/>
        <v>30.99165</v>
      </c>
      <c r="R22" s="7">
        <f>'[8]Production Summary'!C23</f>
        <v>10401000</v>
      </c>
      <c r="S22" s="8">
        <f t="shared" si="29"/>
        <v>10.401</v>
      </c>
      <c r="T22" s="10">
        <f t="shared" si="30"/>
        <v>31.931069999999998</v>
      </c>
      <c r="U22" s="7">
        <f>'[8]Production Summary'!F23</f>
        <v>2041000</v>
      </c>
      <c r="V22" s="8">
        <f t="shared" si="31"/>
        <v>2.0409999999999999</v>
      </c>
      <c r="W22" s="10">
        <f t="shared" si="32"/>
        <v>6.2658699999999996</v>
      </c>
      <c r="X22" s="7">
        <f>'[8]Production Summary'!AB23</f>
        <v>300000.0000000007</v>
      </c>
      <c r="Y22" s="8">
        <f t="shared" si="33"/>
        <v>0.30000000000000071</v>
      </c>
      <c r="Z22" s="10">
        <f t="shared" si="34"/>
        <v>0.92100000000000215</v>
      </c>
      <c r="AA22" s="15"/>
      <c r="AB22" s="7">
        <f>'[9]Jul Prod'!G21</f>
        <v>0</v>
      </c>
      <c r="AC22" s="8">
        <f t="shared" si="35"/>
        <v>0</v>
      </c>
      <c r="AD22" s="10">
        <f t="shared" si="36"/>
        <v>0</v>
      </c>
      <c r="AF22" s="7">
        <f t="shared" si="16"/>
        <v>40595000</v>
      </c>
      <c r="AG22" s="8">
        <f t="shared" si="17"/>
        <v>40.594999999999999</v>
      </c>
      <c r="AH22" s="8">
        <f t="shared" si="18"/>
        <v>124.62664999999998</v>
      </c>
      <c r="AI22" s="18"/>
    </row>
    <row r="23" spans="1:35" x14ac:dyDescent="0.15">
      <c r="A23" s="27">
        <v>38552</v>
      </c>
      <c r="B23" s="7">
        <f>'[8]Production Summary'!J24</f>
        <v>29100000.000000365</v>
      </c>
      <c r="C23" s="8">
        <f t="shared" si="19"/>
        <v>29.100000000000364</v>
      </c>
      <c r="D23" s="10">
        <f t="shared" si="20"/>
        <v>89.337000000001112</v>
      </c>
      <c r="E23" s="7">
        <f>'[8]Production Summary'!E24</f>
        <v>5988000</v>
      </c>
      <c r="F23" s="8">
        <f t="shared" si="21"/>
        <v>5.9880000000000004</v>
      </c>
      <c r="G23" s="10">
        <f t="shared" si="22"/>
        <v>18.38316</v>
      </c>
      <c r="H23" s="7">
        <f>'[8]Production Summary'!G24</f>
        <v>24640000</v>
      </c>
      <c r="I23" s="8">
        <f t="shared" si="23"/>
        <v>24.64</v>
      </c>
      <c r="J23" s="10">
        <f t="shared" si="24"/>
        <v>75.644800000000004</v>
      </c>
      <c r="K23" s="7">
        <f>'[8]Production Summary'!T24</f>
        <v>2751562</v>
      </c>
      <c r="L23" s="8">
        <f t="shared" si="25"/>
        <v>2.7515619999999998</v>
      </c>
      <c r="M23" s="10">
        <f t="shared" si="26"/>
        <v>8.4472953399999984</v>
      </c>
      <c r="N23" s="21"/>
      <c r="O23" s="7">
        <f>'[8]Production Summary'!I24</f>
        <v>11322000.000000004</v>
      </c>
      <c r="P23" s="8">
        <f t="shared" si="27"/>
        <v>11.322000000000005</v>
      </c>
      <c r="Q23" s="10">
        <f t="shared" si="28"/>
        <v>34.758540000000011</v>
      </c>
      <c r="R23" s="7">
        <f>'[8]Production Summary'!C24</f>
        <v>11535000</v>
      </c>
      <c r="S23" s="8">
        <f t="shared" si="29"/>
        <v>11.535</v>
      </c>
      <c r="T23" s="10">
        <f t="shared" si="30"/>
        <v>35.41245</v>
      </c>
      <c r="U23" s="7">
        <f>'[8]Production Summary'!F24</f>
        <v>2012000</v>
      </c>
      <c r="V23" s="8">
        <f t="shared" si="31"/>
        <v>2.012</v>
      </c>
      <c r="W23" s="10">
        <f t="shared" si="32"/>
        <v>6.1768399999999994</v>
      </c>
      <c r="X23" s="7">
        <f>'[8]Production Summary'!AB24</f>
        <v>206999.99999999718</v>
      </c>
      <c r="Y23" s="8">
        <f t="shared" si="33"/>
        <v>0.20699999999999719</v>
      </c>
      <c r="Z23" s="10">
        <f t="shared" si="34"/>
        <v>0.63548999999999134</v>
      </c>
      <c r="AA23" s="15"/>
      <c r="AB23" s="7">
        <f>'[9]Jul Prod'!G22</f>
        <v>0</v>
      </c>
      <c r="AC23" s="8">
        <f t="shared" si="35"/>
        <v>0</v>
      </c>
      <c r="AD23" s="10">
        <f t="shared" si="36"/>
        <v>0</v>
      </c>
      <c r="AF23" s="7">
        <f t="shared" si="16"/>
        <v>40422000.000000373</v>
      </c>
      <c r="AG23" s="8">
        <f t="shared" si="17"/>
        <v>40.422000000000367</v>
      </c>
      <c r="AH23" s="8">
        <f t="shared" si="18"/>
        <v>124.09554000000112</v>
      </c>
    </row>
    <row r="24" spans="1:35" x14ac:dyDescent="0.15">
      <c r="A24" s="27">
        <v>38553</v>
      </c>
      <c r="B24" s="7">
        <f>'[8]Production Summary'!J25</f>
        <v>29100000.000000365</v>
      </c>
      <c r="C24" s="8">
        <f t="shared" si="19"/>
        <v>29.100000000000364</v>
      </c>
      <c r="D24" s="10">
        <f t="shared" si="20"/>
        <v>89.337000000001112</v>
      </c>
      <c r="E24" s="7">
        <f>'[8]Production Summary'!E25</f>
        <v>5983000</v>
      </c>
      <c r="F24" s="8">
        <f t="shared" si="21"/>
        <v>5.9829999999999997</v>
      </c>
      <c r="G24" s="10">
        <f t="shared" si="22"/>
        <v>18.367809999999999</v>
      </c>
      <c r="H24" s="7">
        <f>'[8]Production Summary'!G25</f>
        <v>23850000</v>
      </c>
      <c r="I24" s="8">
        <f t="shared" si="23"/>
        <v>23.85</v>
      </c>
      <c r="J24" s="10">
        <f t="shared" si="24"/>
        <v>73.219499999999996</v>
      </c>
      <c r="K24" s="7">
        <f>'[8]Production Summary'!T25</f>
        <v>2560821</v>
      </c>
      <c r="L24" s="8">
        <f t="shared" si="25"/>
        <v>2.5608209999999998</v>
      </c>
      <c r="M24" s="10">
        <f t="shared" si="26"/>
        <v>7.861720469999999</v>
      </c>
      <c r="N24" s="21"/>
      <c r="O24" s="7">
        <f>'[8]Production Summary'!I25</f>
        <v>11649000</v>
      </c>
      <c r="P24" s="8">
        <f t="shared" si="27"/>
        <v>11.648999999999999</v>
      </c>
      <c r="Q24" s="10">
        <f t="shared" si="28"/>
        <v>35.762429999999995</v>
      </c>
      <c r="R24" s="7">
        <f>'[8]Production Summary'!C25</f>
        <v>11955000</v>
      </c>
      <c r="S24" s="8">
        <f t="shared" si="29"/>
        <v>11.955</v>
      </c>
      <c r="T24" s="10">
        <f t="shared" si="30"/>
        <v>36.70185</v>
      </c>
      <c r="U24" s="7">
        <f>'[8]Production Summary'!F25</f>
        <v>2017000</v>
      </c>
      <c r="V24" s="8">
        <f t="shared" si="31"/>
        <v>2.0169999999999999</v>
      </c>
      <c r="W24" s="10">
        <f t="shared" si="32"/>
        <v>6.1921899999999992</v>
      </c>
      <c r="X24" s="7">
        <f>'[8]Production Summary'!AB25</f>
        <v>300000.0000000007</v>
      </c>
      <c r="Y24" s="8">
        <f t="shared" si="33"/>
        <v>0.30000000000000071</v>
      </c>
      <c r="Z24" s="10">
        <f t="shared" si="34"/>
        <v>0.92100000000000215</v>
      </c>
      <c r="AA24" s="15"/>
      <c r="AB24" s="7">
        <f>'[9]Jul Prod'!G23</f>
        <v>0</v>
      </c>
      <c r="AC24" s="8">
        <f t="shared" si="35"/>
        <v>0</v>
      </c>
      <c r="AD24" s="10">
        <f t="shared" si="36"/>
        <v>0</v>
      </c>
      <c r="AF24" s="7">
        <f t="shared" si="16"/>
        <v>40749000.000000365</v>
      </c>
      <c r="AG24" s="8">
        <f t="shared" si="17"/>
        <v>40.749000000000365</v>
      </c>
      <c r="AH24" s="8">
        <f t="shared" si="18"/>
        <v>125.09943000000111</v>
      </c>
    </row>
    <row r="25" spans="1:35" x14ac:dyDescent="0.15">
      <c r="A25" s="27">
        <v>38554</v>
      </c>
      <c r="B25" s="7">
        <f>'[8]Production Summary'!J26</f>
        <v>29299999.999999274</v>
      </c>
      <c r="C25" s="8">
        <f t="shared" si="19"/>
        <v>29.299999999999272</v>
      </c>
      <c r="D25" s="10">
        <f t="shared" si="20"/>
        <v>89.950999999997762</v>
      </c>
      <c r="E25" s="7">
        <f>'[8]Production Summary'!E26</f>
        <v>5969000</v>
      </c>
      <c r="F25" s="8">
        <f t="shared" si="21"/>
        <v>5.9690000000000003</v>
      </c>
      <c r="G25" s="10">
        <f t="shared" si="22"/>
        <v>18.324829999999999</v>
      </c>
      <c r="H25" s="7">
        <f>'[8]Production Summary'!G26</f>
        <v>24200000</v>
      </c>
      <c r="I25" s="8">
        <f t="shared" si="23"/>
        <v>24.2</v>
      </c>
      <c r="J25" s="10">
        <f t="shared" si="24"/>
        <v>74.293999999999997</v>
      </c>
      <c r="K25" s="7">
        <f>'[8]Production Summary'!T26</f>
        <v>2581859</v>
      </c>
      <c r="L25" s="8">
        <f t="shared" si="25"/>
        <v>2.5818590000000001</v>
      </c>
      <c r="M25" s="10">
        <f t="shared" si="26"/>
        <v>7.9263071299999996</v>
      </c>
      <c r="N25" s="21"/>
      <c r="O25" s="7">
        <f>'[8]Production Summary'!I26</f>
        <v>11063000</v>
      </c>
      <c r="P25" s="8">
        <f t="shared" si="27"/>
        <v>11.063000000000001</v>
      </c>
      <c r="Q25" s="10">
        <f t="shared" si="28"/>
        <v>33.963410000000003</v>
      </c>
      <c r="R25" s="7">
        <f>'[8]Production Summary'!C26</f>
        <v>11519000</v>
      </c>
      <c r="S25" s="8">
        <f t="shared" si="29"/>
        <v>11.519</v>
      </c>
      <c r="T25" s="10">
        <f t="shared" si="30"/>
        <v>35.363329999999998</v>
      </c>
      <c r="U25" s="7">
        <f>'[8]Production Summary'!F26</f>
        <v>2031000</v>
      </c>
      <c r="V25" s="8">
        <f t="shared" si="31"/>
        <v>2.0310000000000001</v>
      </c>
      <c r="W25" s="10">
        <f t="shared" si="32"/>
        <v>6.2351700000000001</v>
      </c>
      <c r="X25" s="7">
        <f>'[8]Production Summary'!AB26</f>
        <v>448000.00000000041</v>
      </c>
      <c r="Y25" s="8">
        <f t="shared" si="33"/>
        <v>0.4480000000000004</v>
      </c>
      <c r="Z25" s="10">
        <f t="shared" si="34"/>
        <v>1.3753600000000012</v>
      </c>
      <c r="AA25" s="15"/>
      <c r="AB25" s="7">
        <f>'[9]Jul Prod'!G24</f>
        <v>0</v>
      </c>
      <c r="AC25" s="8">
        <f t="shared" si="35"/>
        <v>0</v>
      </c>
      <c r="AD25" s="10">
        <f t="shared" si="36"/>
        <v>0</v>
      </c>
      <c r="AF25" s="7">
        <f t="shared" si="16"/>
        <v>40362999.99999927</v>
      </c>
      <c r="AG25" s="8">
        <f t="shared" si="17"/>
        <v>40.362999999999275</v>
      </c>
      <c r="AH25" s="8">
        <f t="shared" si="18"/>
        <v>123.91440999999776</v>
      </c>
    </row>
    <row r="26" spans="1:35" x14ac:dyDescent="0.15">
      <c r="A26" s="27">
        <v>38555</v>
      </c>
      <c r="B26" s="7">
        <f>'[8]Production Summary'!J27</f>
        <v>28100000.000000365</v>
      </c>
      <c r="C26" s="8">
        <f t="shared" si="19"/>
        <v>28.100000000000364</v>
      </c>
      <c r="D26" s="10">
        <f t="shared" si="20"/>
        <v>86.267000000001119</v>
      </c>
      <c r="E26" s="7">
        <f>'[8]Production Summary'!E27</f>
        <v>5965000</v>
      </c>
      <c r="F26" s="8">
        <f t="shared" si="21"/>
        <v>5.9649999999999999</v>
      </c>
      <c r="G26" s="10">
        <f t="shared" si="22"/>
        <v>18.312549999999998</v>
      </c>
      <c r="H26" s="7">
        <f>'[8]Production Summary'!G27</f>
        <v>23250000</v>
      </c>
      <c r="I26" s="8">
        <f t="shared" si="23"/>
        <v>23.25</v>
      </c>
      <c r="J26" s="10">
        <f t="shared" si="24"/>
        <v>71.377499999999998</v>
      </c>
      <c r="K26" s="7">
        <f>'[8]Production Summary'!T27</f>
        <v>2444746</v>
      </c>
      <c r="L26" s="8">
        <f t="shared" si="25"/>
        <v>2.4447459999999999</v>
      </c>
      <c r="M26" s="10">
        <f t="shared" si="26"/>
        <v>7.5053702199999988</v>
      </c>
      <c r="N26" s="21"/>
      <c r="O26" s="7">
        <f>'[8]Production Summary'!I27</f>
        <v>10709000</v>
      </c>
      <c r="P26" s="8">
        <f t="shared" si="27"/>
        <v>10.709</v>
      </c>
      <c r="Q26" s="10">
        <f t="shared" si="28"/>
        <v>32.876629999999999</v>
      </c>
      <c r="R26" s="7">
        <f>'[8]Production Summary'!C27</f>
        <v>11074000</v>
      </c>
      <c r="S26" s="8">
        <f t="shared" si="29"/>
        <v>11.074</v>
      </c>
      <c r="T26" s="10">
        <f t="shared" si="30"/>
        <v>33.99718</v>
      </c>
      <c r="U26" s="7">
        <f>'[8]Production Summary'!F27</f>
        <v>2035000</v>
      </c>
      <c r="V26" s="8">
        <f t="shared" si="31"/>
        <v>2.0350000000000001</v>
      </c>
      <c r="W26" s="10">
        <f t="shared" si="32"/>
        <v>6.2474499999999997</v>
      </c>
      <c r="X26" s="7">
        <f>'[8]Production Summary'!AB27</f>
        <v>356999.9999999993</v>
      </c>
      <c r="Y26" s="8">
        <f t="shared" si="33"/>
        <v>0.35699999999999932</v>
      </c>
      <c r="Z26" s="10">
        <f t="shared" si="34"/>
        <v>1.0959899999999978</v>
      </c>
      <c r="AA26" s="15"/>
      <c r="AB26" s="7">
        <f>'[9]Jul Prod'!G25</f>
        <v>0</v>
      </c>
      <c r="AC26" s="8">
        <f t="shared" si="35"/>
        <v>0</v>
      </c>
      <c r="AD26" s="10">
        <f t="shared" si="36"/>
        <v>0</v>
      </c>
      <c r="AF26" s="7">
        <f t="shared" si="16"/>
        <v>38809000.000000365</v>
      </c>
      <c r="AG26" s="8">
        <f t="shared" si="17"/>
        <v>38.809000000000367</v>
      </c>
      <c r="AH26" s="8">
        <f t="shared" si="18"/>
        <v>119.14363000000111</v>
      </c>
    </row>
    <row r="27" spans="1:35" x14ac:dyDescent="0.15">
      <c r="A27" s="27">
        <v>38556</v>
      </c>
      <c r="B27" s="7">
        <f>'[8]Production Summary'!J28</f>
        <v>28600000.000000365</v>
      </c>
      <c r="C27" s="8">
        <f t="shared" si="19"/>
        <v>28.600000000000364</v>
      </c>
      <c r="D27" s="10">
        <f t="shared" si="20"/>
        <v>87.802000000001115</v>
      </c>
      <c r="E27" s="7">
        <f>'[8]Production Summary'!E28</f>
        <v>5985000</v>
      </c>
      <c r="F27" s="8">
        <f t="shared" si="21"/>
        <v>5.9850000000000003</v>
      </c>
      <c r="G27" s="10">
        <f t="shared" si="22"/>
        <v>18.373950000000001</v>
      </c>
      <c r="H27" s="7">
        <f>'[8]Production Summary'!G28</f>
        <v>23840000</v>
      </c>
      <c r="I27" s="8">
        <f t="shared" si="23"/>
        <v>23.84</v>
      </c>
      <c r="J27" s="10">
        <f t="shared" si="24"/>
        <v>73.188800000000001</v>
      </c>
      <c r="K27" s="7">
        <f>'[8]Production Summary'!T28</f>
        <v>2604203</v>
      </c>
      <c r="L27" s="8">
        <f t="shared" si="25"/>
        <v>2.604203</v>
      </c>
      <c r="M27" s="10">
        <f t="shared" si="26"/>
        <v>7.9949032099999995</v>
      </c>
      <c r="N27" s="21"/>
      <c r="O27" s="7">
        <f>'[8]Production Summary'!I28</f>
        <v>11712000</v>
      </c>
      <c r="P27" s="8">
        <f t="shared" si="27"/>
        <v>11.712</v>
      </c>
      <c r="Q27" s="10">
        <f t="shared" si="28"/>
        <v>35.955839999999995</v>
      </c>
      <c r="R27" s="7">
        <f>'[8]Production Summary'!C28</f>
        <v>11948000</v>
      </c>
      <c r="S27" s="8">
        <f t="shared" si="29"/>
        <v>11.948</v>
      </c>
      <c r="T27" s="10">
        <f t="shared" si="30"/>
        <v>36.68036</v>
      </c>
      <c r="U27" s="7">
        <f>'[8]Production Summary'!F28</f>
        <v>2015000</v>
      </c>
      <c r="V27" s="8">
        <f t="shared" si="31"/>
        <v>2.0150000000000001</v>
      </c>
      <c r="W27" s="10">
        <f t="shared" si="32"/>
        <v>6.1860499999999998</v>
      </c>
      <c r="X27" s="7">
        <f>'[8]Production Summary'!AB28</f>
        <v>233000.00000000055</v>
      </c>
      <c r="Y27" s="8">
        <f t="shared" si="33"/>
        <v>0.23300000000000054</v>
      </c>
      <c r="Z27" s="10">
        <f t="shared" si="34"/>
        <v>0.71531000000000167</v>
      </c>
      <c r="AA27" s="15"/>
      <c r="AB27" s="7">
        <f>'[9]Jul Prod'!G26</f>
        <v>0</v>
      </c>
      <c r="AC27" s="8">
        <f t="shared" si="35"/>
        <v>0</v>
      </c>
      <c r="AD27" s="10">
        <f t="shared" si="36"/>
        <v>0</v>
      </c>
      <c r="AF27" s="7">
        <f t="shared" si="16"/>
        <v>40312000.000000365</v>
      </c>
      <c r="AG27" s="8">
        <f t="shared" si="17"/>
        <v>40.312000000000367</v>
      </c>
      <c r="AH27" s="8">
        <f t="shared" si="18"/>
        <v>123.75784000000111</v>
      </c>
    </row>
    <row r="28" spans="1:35" x14ac:dyDescent="0.15">
      <c r="A28" s="27">
        <v>38557</v>
      </c>
      <c r="B28" s="7">
        <f>'[8]Production Summary'!J29</f>
        <v>30599999.999999456</v>
      </c>
      <c r="C28" s="8">
        <f t="shared" si="19"/>
        <v>30.599999999999458</v>
      </c>
      <c r="D28" s="10">
        <f t="shared" si="20"/>
        <v>93.94199999999833</v>
      </c>
      <c r="E28" s="7">
        <f>'[8]Production Summary'!E29</f>
        <v>5989000</v>
      </c>
      <c r="F28" s="8">
        <f t="shared" si="21"/>
        <v>5.9889999999999999</v>
      </c>
      <c r="G28" s="10">
        <f t="shared" si="22"/>
        <v>18.386229999999998</v>
      </c>
      <c r="H28" s="7">
        <f>'[8]Production Summary'!G29</f>
        <v>25710000</v>
      </c>
      <c r="I28" s="8">
        <f t="shared" si="23"/>
        <v>25.71</v>
      </c>
      <c r="J28" s="10">
        <f t="shared" si="24"/>
        <v>78.929699999999997</v>
      </c>
      <c r="K28" s="7">
        <f>'[8]Production Summary'!T29</f>
        <v>2775885</v>
      </c>
      <c r="L28" s="8">
        <f t="shared" si="25"/>
        <v>2.7758850000000002</v>
      </c>
      <c r="M28" s="10">
        <f t="shared" si="26"/>
        <v>8.5219669499999995</v>
      </c>
      <c r="N28" s="21"/>
      <c r="O28" s="7">
        <f>'[8]Production Summary'!I29</f>
        <v>11004000</v>
      </c>
      <c r="P28" s="8">
        <f t="shared" si="27"/>
        <v>11.004</v>
      </c>
      <c r="Q28" s="10">
        <f t="shared" si="28"/>
        <v>33.78228</v>
      </c>
      <c r="R28" s="7">
        <f>'[8]Production Summary'!C29</f>
        <v>11427000</v>
      </c>
      <c r="S28" s="8">
        <f t="shared" si="29"/>
        <v>11.427</v>
      </c>
      <c r="T28" s="10">
        <f t="shared" si="30"/>
        <v>35.080889999999997</v>
      </c>
      <c r="U28" s="7">
        <f>'[8]Production Summary'!F29</f>
        <v>2011000</v>
      </c>
      <c r="V28" s="8">
        <f t="shared" si="31"/>
        <v>2.0110000000000001</v>
      </c>
      <c r="W28" s="10">
        <f t="shared" si="32"/>
        <v>6.1737700000000002</v>
      </c>
      <c r="X28" s="7">
        <f>'[8]Production Summary'!AB29</f>
        <v>414999.99999999913</v>
      </c>
      <c r="Y28" s="8">
        <f t="shared" si="33"/>
        <v>0.41499999999999915</v>
      </c>
      <c r="Z28" s="10">
        <f t="shared" si="34"/>
        <v>1.2740499999999972</v>
      </c>
      <c r="AA28" s="15"/>
      <c r="AB28" s="7">
        <f>'[9]Jul Prod'!G27</f>
        <v>0</v>
      </c>
      <c r="AC28" s="8">
        <f t="shared" si="35"/>
        <v>0</v>
      </c>
      <c r="AD28" s="10">
        <f t="shared" si="36"/>
        <v>0</v>
      </c>
      <c r="AF28" s="7">
        <f t="shared" si="16"/>
        <v>41603999.999999456</v>
      </c>
      <c r="AG28" s="8">
        <f t="shared" si="17"/>
        <v>41.603999999999459</v>
      </c>
      <c r="AH28" s="8">
        <f t="shared" si="18"/>
        <v>127.72427999999833</v>
      </c>
    </row>
    <row r="29" spans="1:35" x14ac:dyDescent="0.15">
      <c r="A29" s="27">
        <v>38558</v>
      </c>
      <c r="B29" s="7">
        <f>'[8]Production Summary'!J30</f>
        <v>28100000.000000365</v>
      </c>
      <c r="C29" s="8">
        <f t="shared" si="19"/>
        <v>28.100000000000364</v>
      </c>
      <c r="D29" s="10">
        <f t="shared" si="20"/>
        <v>86.267000000001119</v>
      </c>
      <c r="E29" s="7">
        <f>'[8]Production Summary'!E30</f>
        <v>5996000</v>
      </c>
      <c r="F29" s="8">
        <f t="shared" si="21"/>
        <v>5.9960000000000004</v>
      </c>
      <c r="G29" s="10">
        <f t="shared" si="22"/>
        <v>18.407720000000001</v>
      </c>
      <c r="H29" s="7">
        <f>'[8]Production Summary'!G30</f>
        <v>22900000</v>
      </c>
      <c r="I29" s="8">
        <f t="shared" si="23"/>
        <v>22.9</v>
      </c>
      <c r="J29" s="10">
        <f t="shared" si="24"/>
        <v>70.302999999999997</v>
      </c>
      <c r="K29" s="7">
        <f>'[8]Production Summary'!T30</f>
        <v>2485298</v>
      </c>
      <c r="L29" s="8">
        <f t="shared" si="25"/>
        <v>2.4852979999999998</v>
      </c>
      <c r="M29" s="10">
        <f t="shared" si="26"/>
        <v>7.6298648599999987</v>
      </c>
      <c r="N29" s="21"/>
      <c r="O29" s="7">
        <f>'[8]Production Summary'!I30</f>
        <v>10136000</v>
      </c>
      <c r="P29" s="8">
        <f t="shared" si="27"/>
        <v>10.135999999999999</v>
      </c>
      <c r="Q29" s="10">
        <f t="shared" si="28"/>
        <v>31.117519999999995</v>
      </c>
      <c r="R29" s="7">
        <f>'[8]Production Summary'!C30</f>
        <v>10388000</v>
      </c>
      <c r="S29" s="8">
        <f t="shared" si="29"/>
        <v>10.388</v>
      </c>
      <c r="T29" s="10">
        <f t="shared" si="30"/>
        <v>31.891159999999999</v>
      </c>
      <c r="U29" s="7">
        <f>'[8]Production Summary'!F30</f>
        <v>2004000</v>
      </c>
      <c r="V29" s="8">
        <f t="shared" si="31"/>
        <v>2.004</v>
      </c>
      <c r="W29" s="10">
        <f t="shared" si="32"/>
        <v>6.1522799999999993</v>
      </c>
      <c r="X29" s="7">
        <f>'[8]Production Summary'!AB30</f>
        <v>246999.99999999988</v>
      </c>
      <c r="Y29" s="8">
        <f t="shared" si="33"/>
        <v>0.24699999999999989</v>
      </c>
      <c r="Z29" s="10">
        <f t="shared" si="34"/>
        <v>0.75828999999999958</v>
      </c>
      <c r="AA29" s="15"/>
      <c r="AB29" s="7">
        <f>'[9]Jul Prod'!G28</f>
        <v>0</v>
      </c>
      <c r="AC29" s="8">
        <f t="shared" si="35"/>
        <v>0</v>
      </c>
      <c r="AD29" s="10">
        <f t="shared" si="36"/>
        <v>0</v>
      </c>
      <c r="AF29" s="7">
        <f t="shared" si="16"/>
        <v>38236000.000000365</v>
      </c>
      <c r="AG29" s="8">
        <f t="shared" si="17"/>
        <v>38.236000000000359</v>
      </c>
      <c r="AH29" s="8">
        <f t="shared" si="18"/>
        <v>117.38452000000112</v>
      </c>
    </row>
    <row r="30" spans="1:35" x14ac:dyDescent="0.15">
      <c r="A30" s="27">
        <v>38559</v>
      </c>
      <c r="B30" s="7">
        <f>'[8]Production Summary'!J31</f>
        <v>26199999.999999817</v>
      </c>
      <c r="C30" s="8">
        <f t="shared" si="19"/>
        <v>26.199999999999818</v>
      </c>
      <c r="D30" s="10">
        <f t="shared" si="20"/>
        <v>80.433999999999443</v>
      </c>
      <c r="E30" s="7">
        <f>'[8]Production Summary'!E31</f>
        <v>5968000</v>
      </c>
      <c r="F30" s="8">
        <f t="shared" si="21"/>
        <v>5.968</v>
      </c>
      <c r="G30" s="10">
        <f t="shared" si="22"/>
        <v>18.321759999999998</v>
      </c>
      <c r="H30" s="7">
        <f>'[8]Production Summary'!G31</f>
        <v>20880000</v>
      </c>
      <c r="I30" s="8">
        <f t="shared" si="23"/>
        <v>20.88</v>
      </c>
      <c r="J30" s="10">
        <f t="shared" si="24"/>
        <v>64.101599999999991</v>
      </c>
      <c r="K30" s="7">
        <f>'[8]Production Summary'!T31</f>
        <v>2417714</v>
      </c>
      <c r="L30" s="8">
        <f t="shared" si="25"/>
        <v>2.4177140000000001</v>
      </c>
      <c r="M30" s="10">
        <f t="shared" si="26"/>
        <v>7.4223819799999999</v>
      </c>
      <c r="N30" s="21"/>
      <c r="O30" s="7">
        <f>'[8]Production Summary'!I31</f>
        <v>9153999.9999999981</v>
      </c>
      <c r="P30" s="8">
        <f t="shared" si="27"/>
        <v>9.1539999999999981</v>
      </c>
      <c r="Q30" s="10">
        <f t="shared" si="28"/>
        <v>28.102779999999992</v>
      </c>
      <c r="R30" s="7">
        <f>'[8]Production Summary'!C31</f>
        <v>9652000</v>
      </c>
      <c r="S30" s="8">
        <f t="shared" si="29"/>
        <v>9.6519999999999992</v>
      </c>
      <c r="T30" s="10">
        <f t="shared" si="30"/>
        <v>29.631639999999997</v>
      </c>
      <c r="U30" s="7">
        <f>'[8]Production Summary'!F31</f>
        <v>2032000</v>
      </c>
      <c r="V30" s="8">
        <f t="shared" si="31"/>
        <v>2.032</v>
      </c>
      <c r="W30" s="10">
        <f t="shared" si="32"/>
        <v>6.2382399999999993</v>
      </c>
      <c r="X30" s="7">
        <f>'[8]Production Summary'!AB31</f>
        <v>490000.00000000198</v>
      </c>
      <c r="Y30" s="8">
        <f t="shared" si="33"/>
        <v>0.49000000000000199</v>
      </c>
      <c r="Z30" s="10">
        <f t="shared" si="34"/>
        <v>1.504300000000006</v>
      </c>
      <c r="AA30" s="15"/>
      <c r="AB30" s="7">
        <f>'[9]Jul Prod'!G29</f>
        <v>0</v>
      </c>
      <c r="AC30" s="8">
        <f t="shared" si="35"/>
        <v>0</v>
      </c>
      <c r="AD30" s="10">
        <f t="shared" si="36"/>
        <v>0</v>
      </c>
      <c r="AF30" s="7">
        <f t="shared" si="16"/>
        <v>35353999.999999814</v>
      </c>
      <c r="AG30" s="8">
        <f t="shared" si="17"/>
        <v>35.353999999999814</v>
      </c>
      <c r="AH30" s="8">
        <f t="shared" si="18"/>
        <v>108.53677999999944</v>
      </c>
    </row>
    <row r="31" spans="1:35" x14ac:dyDescent="0.15">
      <c r="A31" s="27">
        <v>38560</v>
      </c>
      <c r="B31" s="7">
        <f>'[8]Production Summary'!J32</f>
        <v>23699999.999999817</v>
      </c>
      <c r="C31" s="8">
        <f t="shared" si="19"/>
        <v>23.699999999999818</v>
      </c>
      <c r="D31" s="10">
        <f t="shared" si="20"/>
        <v>72.758999999999432</v>
      </c>
      <c r="E31" s="7">
        <f>'[8]Production Summary'!E32</f>
        <v>5990000</v>
      </c>
      <c r="F31" s="8">
        <f t="shared" si="21"/>
        <v>5.99</v>
      </c>
      <c r="G31" s="10">
        <f t="shared" si="22"/>
        <v>18.389299999999999</v>
      </c>
      <c r="H31" s="7">
        <f>'[8]Production Summary'!G32</f>
        <v>18090000</v>
      </c>
      <c r="I31" s="8">
        <f t="shared" si="23"/>
        <v>18.09</v>
      </c>
      <c r="J31" s="10">
        <f t="shared" si="24"/>
        <v>55.536299999999997</v>
      </c>
      <c r="K31" s="7">
        <f>'[8]Production Summary'!T32</f>
        <v>2146983</v>
      </c>
      <c r="L31" s="8">
        <f t="shared" si="25"/>
        <v>2.1469830000000001</v>
      </c>
      <c r="M31" s="10">
        <f t="shared" si="26"/>
        <v>6.59123781</v>
      </c>
      <c r="N31" s="21"/>
      <c r="O31" s="7">
        <f>'[8]Production Summary'!I32</f>
        <v>8470000</v>
      </c>
      <c r="P31" s="8">
        <f t="shared" si="27"/>
        <v>8.4700000000000006</v>
      </c>
      <c r="Q31" s="10">
        <f t="shared" si="28"/>
        <v>26.0029</v>
      </c>
      <c r="R31" s="7">
        <f>'[8]Production Summary'!C32</f>
        <v>8833000</v>
      </c>
      <c r="S31" s="8">
        <f t="shared" si="29"/>
        <v>8.8330000000000002</v>
      </c>
      <c r="T31" s="10">
        <f t="shared" si="30"/>
        <v>27.11731</v>
      </c>
      <c r="U31" s="7">
        <f>'[8]Production Summary'!F32</f>
        <v>2010000</v>
      </c>
      <c r="V31" s="8">
        <f t="shared" si="31"/>
        <v>2.0099999999999998</v>
      </c>
      <c r="W31" s="10">
        <f t="shared" si="32"/>
        <v>6.1706999999999992</v>
      </c>
      <c r="X31" s="7">
        <f>'[8]Production Summary'!AB32</f>
        <v>358000.00000000052</v>
      </c>
      <c r="Y31" s="8">
        <f t="shared" si="33"/>
        <v>0.35800000000000054</v>
      </c>
      <c r="Z31" s="10">
        <f t="shared" si="34"/>
        <v>1.0990600000000017</v>
      </c>
      <c r="AA31" s="15"/>
      <c r="AB31" s="7">
        <f>'[9]Jul Prod'!G30</f>
        <v>0</v>
      </c>
      <c r="AC31" s="8">
        <f t="shared" si="35"/>
        <v>0</v>
      </c>
      <c r="AD31" s="10">
        <f t="shared" si="36"/>
        <v>0</v>
      </c>
      <c r="AF31" s="7">
        <f t="shared" si="16"/>
        <v>32169999.999999817</v>
      </c>
      <c r="AG31" s="8">
        <f t="shared" si="17"/>
        <v>32.169999999999817</v>
      </c>
      <c r="AH31" s="8">
        <f t="shared" si="18"/>
        <v>98.761899999999429</v>
      </c>
    </row>
    <row r="32" spans="1:35" x14ac:dyDescent="0.15">
      <c r="A32" s="27">
        <v>38561</v>
      </c>
      <c r="B32" s="7">
        <f>'[8]Production Summary'!J33</f>
        <v>24699999.999999817</v>
      </c>
      <c r="C32" s="8">
        <f t="shared" si="19"/>
        <v>24.699999999999818</v>
      </c>
      <c r="D32" s="10">
        <f t="shared" si="20"/>
        <v>75.828999999999439</v>
      </c>
      <c r="E32" s="7">
        <f>'[8]Production Summary'!E33</f>
        <v>6003000</v>
      </c>
      <c r="F32" s="8">
        <f t="shared" si="21"/>
        <v>6.0030000000000001</v>
      </c>
      <c r="G32" s="10">
        <f t="shared" si="22"/>
        <v>18.429209999999998</v>
      </c>
      <c r="H32" s="7">
        <f>'[8]Production Summary'!G33</f>
        <v>19890000</v>
      </c>
      <c r="I32" s="8">
        <f t="shared" si="23"/>
        <v>19.89</v>
      </c>
      <c r="J32" s="10">
        <f t="shared" si="24"/>
        <v>61.0623</v>
      </c>
      <c r="K32" s="7">
        <f>'[8]Production Summary'!T33</f>
        <v>2279093</v>
      </c>
      <c r="L32" s="8">
        <f t="shared" si="25"/>
        <v>2.279093</v>
      </c>
      <c r="M32" s="10">
        <f t="shared" si="26"/>
        <v>6.9968155099999993</v>
      </c>
      <c r="N32" s="21"/>
      <c r="O32" s="7">
        <f>'[8]Production Summary'!I33</f>
        <v>11361000</v>
      </c>
      <c r="P32" s="8">
        <f t="shared" si="27"/>
        <v>11.361000000000001</v>
      </c>
      <c r="Q32" s="10">
        <f t="shared" si="28"/>
        <v>34.878270000000001</v>
      </c>
      <c r="R32" s="7">
        <f>'[8]Production Summary'!C33</f>
        <v>11673000</v>
      </c>
      <c r="S32" s="8">
        <f t="shared" si="29"/>
        <v>11.673</v>
      </c>
      <c r="T32" s="10">
        <f t="shared" si="30"/>
        <v>35.836109999999998</v>
      </c>
      <c r="U32" s="7">
        <f>'[8]Production Summary'!F33</f>
        <v>1997000</v>
      </c>
      <c r="V32" s="8">
        <f t="shared" si="31"/>
        <v>1.9970000000000001</v>
      </c>
      <c r="W32" s="10">
        <f t="shared" si="32"/>
        <v>6.1307900000000002</v>
      </c>
      <c r="X32" s="7">
        <f>'[8]Production Summary'!AB33</f>
        <v>304999.99999999971</v>
      </c>
      <c r="Y32" s="8">
        <f t="shared" si="33"/>
        <v>0.30499999999999972</v>
      </c>
      <c r="Z32" s="10">
        <f t="shared" si="34"/>
        <v>0.93634999999999913</v>
      </c>
      <c r="AA32" s="15"/>
      <c r="AB32" s="7">
        <f>'[9]Jul Prod'!G31</f>
        <v>0</v>
      </c>
      <c r="AC32" s="8">
        <f t="shared" si="35"/>
        <v>0</v>
      </c>
      <c r="AD32" s="10">
        <f t="shared" si="36"/>
        <v>0</v>
      </c>
      <c r="AF32" s="7">
        <f t="shared" si="16"/>
        <v>36060999.999999821</v>
      </c>
      <c r="AG32" s="8">
        <f t="shared" si="17"/>
        <v>36.060999999999822</v>
      </c>
      <c r="AH32" s="8">
        <f t="shared" si="18"/>
        <v>110.70726999999944</v>
      </c>
    </row>
    <row r="33" spans="1:34" x14ac:dyDescent="0.15">
      <c r="A33" s="27">
        <v>38562</v>
      </c>
      <c r="B33" s="7">
        <f>'[8]Production Summary'!J34</f>
        <v>20500000</v>
      </c>
      <c r="C33" s="8">
        <f t="shared" si="19"/>
        <v>20.5</v>
      </c>
      <c r="D33" s="10">
        <f t="shared" si="20"/>
        <v>62.934999999999995</v>
      </c>
      <c r="E33" s="7">
        <f>'[8]Production Summary'!E34</f>
        <v>5977000</v>
      </c>
      <c r="F33" s="8">
        <f t="shared" si="21"/>
        <v>5.9770000000000003</v>
      </c>
      <c r="G33" s="10">
        <f t="shared" si="22"/>
        <v>18.34939</v>
      </c>
      <c r="H33" s="7">
        <f>'[8]Production Summary'!G34</f>
        <v>14030000</v>
      </c>
      <c r="I33" s="8">
        <f t="shared" si="23"/>
        <v>14.03</v>
      </c>
      <c r="J33" s="10">
        <f t="shared" si="24"/>
        <v>43.072099999999999</v>
      </c>
      <c r="K33" s="7">
        <f>'[8]Production Summary'!T34</f>
        <v>1908993</v>
      </c>
      <c r="L33" s="8">
        <f t="shared" si="25"/>
        <v>1.9089929999999999</v>
      </c>
      <c r="M33" s="10">
        <f t="shared" si="26"/>
        <v>5.8606085099999996</v>
      </c>
      <c r="N33" s="21"/>
      <c r="O33" s="7">
        <f>'[8]Production Summary'!I34</f>
        <v>12146000.000000002</v>
      </c>
      <c r="P33" s="8">
        <f t="shared" si="27"/>
        <v>12.146000000000003</v>
      </c>
      <c r="Q33" s="10">
        <f t="shared" si="28"/>
        <v>37.288220000000003</v>
      </c>
      <c r="R33" s="7">
        <f>'[8]Production Summary'!C34</f>
        <v>12587000</v>
      </c>
      <c r="S33" s="8">
        <f t="shared" si="29"/>
        <v>12.587</v>
      </c>
      <c r="T33" s="10">
        <f t="shared" si="30"/>
        <v>38.642089999999996</v>
      </c>
      <c r="U33" s="7">
        <f>'[8]Production Summary'!F34</f>
        <v>2023000</v>
      </c>
      <c r="V33" s="8">
        <f t="shared" si="31"/>
        <v>2.0230000000000001</v>
      </c>
      <c r="W33" s="10">
        <f t="shared" si="32"/>
        <v>6.21061</v>
      </c>
      <c r="X33" s="7">
        <f>'[8]Production Summary'!AB34</f>
        <v>434999.99999999872</v>
      </c>
      <c r="Y33" s="8">
        <f t="shared" si="33"/>
        <v>0.43499999999999872</v>
      </c>
      <c r="Z33" s="10">
        <f t="shared" si="34"/>
        <v>1.335449999999996</v>
      </c>
      <c r="AA33" s="15"/>
      <c r="AB33" s="7">
        <f>'[9]Jul Prod'!G32</f>
        <v>0</v>
      </c>
      <c r="AC33" s="8">
        <f t="shared" si="35"/>
        <v>0</v>
      </c>
      <c r="AD33" s="10">
        <f t="shared" si="36"/>
        <v>0</v>
      </c>
      <c r="AF33" s="7">
        <f t="shared" si="16"/>
        <v>32646000</v>
      </c>
      <c r="AG33" s="8">
        <f t="shared" si="17"/>
        <v>32.646000000000001</v>
      </c>
      <c r="AH33" s="8">
        <f t="shared" si="18"/>
        <v>100.22322</v>
      </c>
    </row>
    <row r="34" spans="1:34" x14ac:dyDescent="0.15">
      <c r="A34" s="27">
        <v>38563</v>
      </c>
      <c r="B34" s="7">
        <f>'[8]Production Summary'!J35</f>
        <v>20600000.000000365</v>
      </c>
      <c r="C34" s="8">
        <f t="shared" si="19"/>
        <v>20.600000000000364</v>
      </c>
      <c r="D34" s="10">
        <f t="shared" si="20"/>
        <v>63.242000000001113</v>
      </c>
      <c r="E34" s="7">
        <f>'[8]Production Summary'!E35</f>
        <v>5950000</v>
      </c>
      <c r="F34" s="8">
        <f t="shared" si="21"/>
        <v>5.95</v>
      </c>
      <c r="G34" s="10">
        <f t="shared" si="22"/>
        <v>18.266500000000001</v>
      </c>
      <c r="H34" s="7">
        <f>'[8]Production Summary'!G35</f>
        <v>13520000</v>
      </c>
      <c r="I34" s="8">
        <f t="shared" si="23"/>
        <v>13.52</v>
      </c>
      <c r="J34" s="10">
        <f t="shared" si="24"/>
        <v>41.506399999999999</v>
      </c>
      <c r="K34" s="7">
        <f>'[8]Production Summary'!T35</f>
        <v>1780240</v>
      </c>
      <c r="L34" s="8">
        <f t="shared" si="25"/>
        <v>1.78024</v>
      </c>
      <c r="M34" s="10">
        <f t="shared" si="26"/>
        <v>5.4653368000000002</v>
      </c>
      <c r="N34" s="21"/>
      <c r="O34" s="7">
        <f>'[8]Production Summary'!I35</f>
        <v>13563999.999999998</v>
      </c>
      <c r="P34" s="8">
        <f t="shared" si="27"/>
        <v>13.563999999999998</v>
      </c>
      <c r="Q34" s="10">
        <f t="shared" si="28"/>
        <v>41.641479999999994</v>
      </c>
      <c r="R34" s="7">
        <f>'[8]Production Summary'!C35</f>
        <v>13814000</v>
      </c>
      <c r="S34" s="8">
        <f t="shared" si="29"/>
        <v>13.814</v>
      </c>
      <c r="T34" s="10">
        <f t="shared" si="30"/>
        <v>42.40898</v>
      </c>
      <c r="U34" s="7">
        <f>'[8]Production Summary'!F35</f>
        <v>2050000</v>
      </c>
      <c r="V34" s="8">
        <f t="shared" si="31"/>
        <v>2.0499999999999998</v>
      </c>
      <c r="W34" s="10">
        <f t="shared" si="32"/>
        <v>6.293499999999999</v>
      </c>
      <c r="X34" s="7">
        <f>'[8]Production Summary'!AB35</f>
        <v>246000.00000000221</v>
      </c>
      <c r="Y34" s="8">
        <f t="shared" si="33"/>
        <v>0.24600000000000222</v>
      </c>
      <c r="Z34" s="10">
        <f t="shared" si="34"/>
        <v>0.75522000000000677</v>
      </c>
      <c r="AA34" s="15"/>
      <c r="AB34" s="7">
        <f>'[9]Jul Prod'!G33</f>
        <v>0</v>
      </c>
      <c r="AC34" s="8">
        <f t="shared" si="35"/>
        <v>0</v>
      </c>
      <c r="AD34" s="10">
        <f t="shared" si="36"/>
        <v>0</v>
      </c>
      <c r="AF34" s="7">
        <f t="shared" si="16"/>
        <v>34164000.000000365</v>
      </c>
      <c r="AG34" s="8">
        <f t="shared" si="17"/>
        <v>34.164000000000364</v>
      </c>
      <c r="AH34" s="8">
        <f t="shared" si="18"/>
        <v>104.8834800000011</v>
      </c>
    </row>
    <row r="35" spans="1:34" ht="14" thickBot="1" x14ac:dyDescent="0.2">
      <c r="A35" s="27">
        <v>38564</v>
      </c>
      <c r="B35" s="7">
        <f>'[8]Production Summary'!J36</f>
        <v>22399999.999999635</v>
      </c>
      <c r="C35" s="8">
        <f t="shared" si="19"/>
        <v>22.399999999999636</v>
      </c>
      <c r="D35" s="10">
        <f t="shared" si="20"/>
        <v>68.767999999998878</v>
      </c>
      <c r="E35" s="7">
        <f>'[8]Production Summary'!E36</f>
        <v>5988000</v>
      </c>
      <c r="F35" s="8">
        <f t="shared" si="21"/>
        <v>5.9880000000000004</v>
      </c>
      <c r="G35" s="10">
        <f t="shared" si="22"/>
        <v>18.38316</v>
      </c>
      <c r="H35" s="7">
        <f>'[8]Production Summary'!G36</f>
        <v>15480000</v>
      </c>
      <c r="I35" s="8">
        <f t="shared" si="23"/>
        <v>15.48</v>
      </c>
      <c r="J35" s="10">
        <f t="shared" si="24"/>
        <v>47.523600000000002</v>
      </c>
      <c r="K35" s="7">
        <f>'[8]Production Summary'!T36</f>
        <v>1918563</v>
      </c>
      <c r="L35" s="8">
        <f t="shared" si="25"/>
        <v>1.918563</v>
      </c>
      <c r="M35" s="10">
        <f t="shared" si="26"/>
        <v>5.88998841</v>
      </c>
      <c r="N35" s="21"/>
      <c r="O35" s="7">
        <f>'[8]Production Summary'!I36</f>
        <v>11599000.000000002</v>
      </c>
      <c r="P35" s="8">
        <f t="shared" si="27"/>
        <v>11.599000000000002</v>
      </c>
      <c r="Q35" s="10">
        <f t="shared" si="28"/>
        <v>35.608930000000001</v>
      </c>
      <c r="R35" s="7">
        <f>'[8]Production Summary'!C36</f>
        <v>12130000</v>
      </c>
      <c r="S35" s="8">
        <f t="shared" si="29"/>
        <v>12.13</v>
      </c>
      <c r="T35" s="10">
        <f t="shared" si="30"/>
        <v>37.239100000000001</v>
      </c>
      <c r="U35" s="7">
        <f>'[8]Production Summary'!F36</f>
        <v>2012000</v>
      </c>
      <c r="V35" s="8">
        <f t="shared" si="31"/>
        <v>2.012</v>
      </c>
      <c r="W35" s="10">
        <f t="shared" si="32"/>
        <v>6.1768399999999994</v>
      </c>
      <c r="X35" s="7">
        <f>'[8]Production Summary'!AB36</f>
        <v>521999.99999999849</v>
      </c>
      <c r="Y35" s="8">
        <f t="shared" si="33"/>
        <v>0.52199999999999847</v>
      </c>
      <c r="Z35" s="10">
        <f t="shared" si="34"/>
        <v>1.6025399999999952</v>
      </c>
      <c r="AA35" s="15"/>
      <c r="AB35" s="7">
        <f>'[9]Jul Prod'!G34</f>
        <v>0</v>
      </c>
      <c r="AC35" s="9">
        <f t="shared" si="35"/>
        <v>0</v>
      </c>
      <c r="AD35" s="11">
        <f t="shared" si="36"/>
        <v>0</v>
      </c>
      <c r="AF35" s="7">
        <f t="shared" si="16"/>
        <v>33998999.999999635</v>
      </c>
      <c r="AG35" s="8">
        <f t="shared" si="17"/>
        <v>33.99899999999964</v>
      </c>
      <c r="AH35" s="8">
        <f t="shared" si="18"/>
        <v>104.37692999999888</v>
      </c>
    </row>
    <row r="36" spans="1:34" ht="14" thickBot="1" x14ac:dyDescent="0.2">
      <c r="A36" s="14"/>
      <c r="B36" s="38"/>
      <c r="C36" s="39">
        <f>SUM(C5:C35)</f>
        <v>847.69999999999982</v>
      </c>
      <c r="D36" s="39">
        <f t="shared" ref="D36" si="37">C36*3.07</f>
        <v>2602.4389999999994</v>
      </c>
      <c r="E36" s="38"/>
      <c r="F36" s="39">
        <f>SUM(F5:F35)</f>
        <v>237.61600000000007</v>
      </c>
      <c r="G36" s="39">
        <f t="shared" ref="G36" si="38">F36*3.07</f>
        <v>729.48112000000015</v>
      </c>
      <c r="H36" s="38"/>
      <c r="I36" s="39">
        <f>SUM(I5:I35)</f>
        <v>591.63999999999987</v>
      </c>
      <c r="J36" s="39">
        <f t="shared" ref="J36" si="39">I36*3.07</f>
        <v>1816.3347999999994</v>
      </c>
      <c r="K36" s="38"/>
      <c r="L36" s="39">
        <f>SUM(L5:L35)</f>
        <v>76.54936600000002</v>
      </c>
      <c r="M36" s="39">
        <f t="shared" ref="M36" si="40">L36*3.07</f>
        <v>235.00655362000006</v>
      </c>
      <c r="N36" s="14"/>
      <c r="O36" s="38"/>
      <c r="P36" s="39">
        <f>SUM(P5:P35)</f>
        <v>341.12000000000006</v>
      </c>
      <c r="Q36" s="39">
        <f t="shared" ref="Q36" si="41">P36*3.07</f>
        <v>1047.2384000000002</v>
      </c>
      <c r="R36" s="38"/>
      <c r="S36" s="39">
        <f>SUM(S5:S35)</f>
        <v>351.41500000000002</v>
      </c>
      <c r="T36" s="39">
        <f t="shared" ref="T36" si="42">S36*3.07</f>
        <v>1078.8440499999999</v>
      </c>
      <c r="U36" s="38"/>
      <c r="V36" s="39">
        <f>SUM(V5:V35)</f>
        <v>107.38399999999999</v>
      </c>
      <c r="W36" s="39">
        <f t="shared" ref="W36" si="43">V36*3.07</f>
        <v>329.66887999999994</v>
      </c>
      <c r="X36" s="38"/>
      <c r="Y36" s="39">
        <f>SUM(Y5:Y35)</f>
        <v>10.105</v>
      </c>
      <c r="Z36" s="39">
        <f t="shared" ref="Z36" si="44">Y36*3.07</f>
        <v>31.022349999999999</v>
      </c>
      <c r="AA36" s="14"/>
      <c r="AB36" s="38"/>
      <c r="AC36" s="39">
        <f>SUM(AC5:AC35)</f>
        <v>37.811000000000178</v>
      </c>
      <c r="AD36" s="39">
        <f t="shared" si="36"/>
        <v>116.07977000000054</v>
      </c>
      <c r="AF36" s="38"/>
      <c r="AG36" s="39">
        <f>SUM(AG5:AG35)</f>
        <v>1188.8199999999997</v>
      </c>
      <c r="AH36" s="39">
        <f>AG36*3.07</f>
        <v>3649.6773999999991</v>
      </c>
    </row>
    <row r="37" spans="1:34" x14ac:dyDescent="0.15">
      <c r="C37" s="18"/>
      <c r="E37" s="3"/>
      <c r="F37" s="3"/>
      <c r="G37" s="3"/>
      <c r="H37" s="3"/>
      <c r="I37" s="3"/>
      <c r="J37" s="3"/>
      <c r="K37" s="14"/>
      <c r="L37" s="3"/>
      <c r="M37" s="3"/>
      <c r="N37" s="3"/>
      <c r="O37" s="3"/>
      <c r="P37" s="3"/>
      <c r="Q37" s="3"/>
      <c r="R37" s="3"/>
      <c r="S37" s="3"/>
      <c r="T37" s="3"/>
      <c r="U37" s="14"/>
    </row>
    <row r="38" spans="1:34" x14ac:dyDescent="0.15">
      <c r="J38" s="18"/>
    </row>
  </sheetData>
  <mergeCells count="10">
    <mergeCell ref="U3:W3"/>
    <mergeCell ref="X3:Z3"/>
    <mergeCell ref="AB3:AD3"/>
    <mergeCell ref="AF3:AH3"/>
    <mergeCell ref="B3:D3"/>
    <mergeCell ref="E3:G3"/>
    <mergeCell ref="H3:J3"/>
    <mergeCell ref="K3:M3"/>
    <mergeCell ref="O3:Q3"/>
    <mergeCell ref="R3:T3"/>
  </mergeCells>
  <pageMargins left="0.75" right="0.75" top="1" bottom="1" header="0.5" footer="0.5"/>
  <pageSetup paperSize="5" scale="50" orientation="landscape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>
    <pageSetUpPr fitToPage="1"/>
  </sheetPr>
  <dimension ref="A1:AF38"/>
  <sheetViews>
    <sheetView workbookViewId="0">
      <pane xSplit="1" ySplit="4" topLeftCell="E14" activePane="bottomRight" state="frozen"/>
      <selection pane="topRight" activeCell="B1" sqref="B1"/>
      <selection pane="bottomLeft" activeCell="A5" sqref="A5"/>
      <selection pane="bottomRight" activeCell="F35" sqref="F35"/>
    </sheetView>
  </sheetViews>
  <sheetFormatPr baseColWidth="10" defaultColWidth="8.83203125" defaultRowHeight="13" x14ac:dyDescent="0.15"/>
  <cols>
    <col min="2" max="2" width="14.5" bestFit="1" customWidth="1"/>
    <col min="5" max="5" width="12.83203125" customWidth="1"/>
    <col min="8" max="8" width="11" customWidth="1"/>
    <col min="11" max="11" width="11" customWidth="1"/>
    <col min="12" max="12" width="10.83203125" customWidth="1"/>
    <col min="15" max="15" width="11.33203125" customWidth="1"/>
    <col min="18" max="18" width="10.5" customWidth="1"/>
    <col min="21" max="21" width="10.83203125" bestFit="1" customWidth="1"/>
    <col min="22" max="22" width="10.5" customWidth="1"/>
    <col min="28" max="28" width="10.6640625" customWidth="1"/>
  </cols>
  <sheetData>
    <row r="1" spans="1:32" s="3" customFormat="1" x14ac:dyDescent="0.15">
      <c r="A1" s="42"/>
      <c r="B1" s="40"/>
      <c r="C1" s="25"/>
      <c r="D1" s="25"/>
      <c r="E1" s="25"/>
      <c r="F1" s="25"/>
      <c r="K1" s="14"/>
      <c r="U1" s="14"/>
    </row>
    <row r="2" spans="1:32" s="3" customFormat="1" ht="14" thickBot="1" x14ac:dyDescent="0.2">
      <c r="C2" s="24"/>
      <c r="K2" s="14"/>
      <c r="U2" s="14"/>
    </row>
    <row r="3" spans="1:32" s="3" customFormat="1" ht="60.75" customHeight="1" thickBot="1" x14ac:dyDescent="0.2">
      <c r="B3" s="58" t="s">
        <v>10</v>
      </c>
      <c r="C3" s="59"/>
      <c r="D3" s="60"/>
      <c r="E3" s="58" t="s">
        <v>11</v>
      </c>
      <c r="F3" s="59"/>
      <c r="G3" s="60"/>
      <c r="H3" s="58" t="s">
        <v>12</v>
      </c>
      <c r="I3" s="59"/>
      <c r="J3" s="60"/>
      <c r="K3" s="58" t="s">
        <v>13</v>
      </c>
      <c r="L3" s="59"/>
      <c r="M3" s="60"/>
      <c r="N3" s="19"/>
      <c r="O3" s="58" t="s">
        <v>4</v>
      </c>
      <c r="P3" s="59"/>
      <c r="Q3" s="60"/>
      <c r="R3" s="58" t="s">
        <v>3</v>
      </c>
      <c r="S3" s="59"/>
      <c r="T3" s="60"/>
      <c r="U3" s="58" t="s">
        <v>6</v>
      </c>
      <c r="V3" s="59"/>
      <c r="W3" s="60"/>
      <c r="X3" s="58" t="s">
        <v>7</v>
      </c>
      <c r="Y3" s="59"/>
      <c r="Z3" s="60"/>
      <c r="AA3" s="19"/>
      <c r="AB3" s="55" t="s">
        <v>8</v>
      </c>
      <c r="AC3" s="56"/>
      <c r="AD3" s="57"/>
      <c r="AF3" s="52" t="s">
        <v>9</v>
      </c>
    </row>
    <row r="4" spans="1:32" x14ac:dyDescent="0.15">
      <c r="A4" s="26"/>
      <c r="B4" s="4" t="s">
        <v>0</v>
      </c>
      <c r="C4" s="17" t="s">
        <v>1</v>
      </c>
      <c r="D4" s="6" t="s">
        <v>2</v>
      </c>
      <c r="E4" s="4" t="s">
        <v>0</v>
      </c>
      <c r="F4" s="5" t="s">
        <v>1</v>
      </c>
      <c r="G4" s="6" t="s">
        <v>2</v>
      </c>
      <c r="H4" s="4" t="s">
        <v>0</v>
      </c>
      <c r="I4" s="5" t="s">
        <v>1</v>
      </c>
      <c r="J4" s="6" t="s">
        <v>2</v>
      </c>
      <c r="K4" s="4" t="s">
        <v>0</v>
      </c>
      <c r="L4" s="5" t="s">
        <v>1</v>
      </c>
      <c r="M4" s="6" t="s">
        <v>2</v>
      </c>
      <c r="N4" s="19"/>
      <c r="O4" s="4" t="s">
        <v>0</v>
      </c>
      <c r="P4" s="5" t="s">
        <v>1</v>
      </c>
      <c r="Q4" s="6" t="s">
        <v>2</v>
      </c>
      <c r="R4" s="4" t="s">
        <v>0</v>
      </c>
      <c r="S4" s="5" t="s">
        <v>1</v>
      </c>
      <c r="T4" s="6" t="s">
        <v>2</v>
      </c>
      <c r="U4" s="4" t="s">
        <v>0</v>
      </c>
      <c r="V4" s="5" t="s">
        <v>1</v>
      </c>
      <c r="W4" s="6" t="s">
        <v>2</v>
      </c>
      <c r="X4" s="4" t="s">
        <v>0</v>
      </c>
      <c r="Y4" s="5" t="s">
        <v>1</v>
      </c>
      <c r="Z4" s="6" t="s">
        <v>2</v>
      </c>
      <c r="AA4" s="19"/>
      <c r="AB4" s="31" t="s">
        <v>0</v>
      </c>
      <c r="AC4" s="32" t="s">
        <v>1</v>
      </c>
      <c r="AD4" s="33" t="s">
        <v>2</v>
      </c>
      <c r="AF4" s="5" t="s">
        <v>2</v>
      </c>
    </row>
    <row r="5" spans="1:32" x14ac:dyDescent="0.15">
      <c r="A5" s="27">
        <v>38565</v>
      </c>
      <c r="B5" s="7">
        <f>'[8]Production Summary'!J37</f>
        <v>21200000.000000726</v>
      </c>
      <c r="C5" s="8">
        <f t="shared" ref="C5" si="0">B5/1000000</f>
        <v>21.200000000000728</v>
      </c>
      <c r="D5" s="10">
        <f t="shared" ref="D5" si="1">C5*3.07</f>
        <v>65.084000000002234</v>
      </c>
      <c r="E5" s="7">
        <f>'[8]Production Summary'!E37</f>
        <v>5985000</v>
      </c>
      <c r="F5" s="8">
        <f t="shared" ref="F5" si="2">E5/1000000</f>
        <v>5.9850000000000003</v>
      </c>
      <c r="G5" s="10">
        <f t="shared" ref="G5" si="3">F5*3.07</f>
        <v>18.373950000000001</v>
      </c>
      <c r="H5" s="7">
        <f>'[8]Production Summary'!G37</f>
        <v>15280000</v>
      </c>
      <c r="I5" s="8">
        <f t="shared" ref="I5" si="4">H5/1000000</f>
        <v>15.28</v>
      </c>
      <c r="J5" s="10">
        <f t="shared" ref="J5" si="5">I5*3.07</f>
        <v>46.909599999999998</v>
      </c>
      <c r="K5" s="7">
        <f>'[8]Production Summary'!T37</f>
        <v>1908979</v>
      </c>
      <c r="L5" s="8">
        <f t="shared" ref="L5" si="6">K5/1000000</f>
        <v>1.908979</v>
      </c>
      <c r="M5" s="10">
        <f t="shared" ref="M5" si="7">L5*3.07</f>
        <v>5.8605655299999997</v>
      </c>
      <c r="N5" s="21"/>
      <c r="O5" s="7">
        <f>'[8]Production Summary'!I37</f>
        <v>10788000</v>
      </c>
      <c r="P5" s="8">
        <f t="shared" ref="P5" si="8">O5/1000000</f>
        <v>10.788</v>
      </c>
      <c r="Q5" s="10">
        <f t="shared" ref="Q5" si="9">P5*3.07</f>
        <v>33.119160000000001</v>
      </c>
      <c r="R5" s="7">
        <f>'[8]Production Summary'!C37</f>
        <v>11176000</v>
      </c>
      <c r="S5" s="8">
        <f t="shared" ref="S5" si="10">R5/1000000</f>
        <v>11.176</v>
      </c>
      <c r="T5" s="10">
        <f t="shared" ref="T5" si="11">S5*3.07</f>
        <v>34.310319999999997</v>
      </c>
      <c r="U5" s="7">
        <f>'[8]Production Summary'!F37</f>
        <v>2015000</v>
      </c>
      <c r="V5" s="8">
        <f t="shared" ref="V5" si="12">U5/1000000</f>
        <v>2.0150000000000001</v>
      </c>
      <c r="W5" s="10">
        <f t="shared" ref="W5" si="13">V5*3.07</f>
        <v>6.1860499999999998</v>
      </c>
      <c r="X5" s="7">
        <f>'[8]Production Summary'!AB37</f>
        <v>381000.00000000023</v>
      </c>
      <c r="Y5" s="8">
        <f t="shared" ref="Y5" si="14">X5/1000000</f>
        <v>0.38100000000000023</v>
      </c>
      <c r="Z5" s="10">
        <f t="shared" ref="Z5" si="15">Y5*3.07</f>
        <v>1.1696700000000007</v>
      </c>
      <c r="AA5" s="15"/>
      <c r="AB5" s="7">
        <f>B5+O5</f>
        <v>31988000.000000726</v>
      </c>
      <c r="AC5" s="8">
        <f>C5+P5</f>
        <v>31.988000000000728</v>
      </c>
      <c r="AD5" s="8">
        <f>D5+Q5</f>
        <v>98.203160000002242</v>
      </c>
      <c r="AF5" s="8">
        <f t="shared" ref="AF5:AF14" si="16">T5-Q5-Z5</f>
        <v>2.148999999999579E-2</v>
      </c>
    </row>
    <row r="6" spans="1:32" x14ac:dyDescent="0.15">
      <c r="A6" s="27">
        <v>38566</v>
      </c>
      <c r="B6" s="7">
        <f>'[8]Production Summary'!J38</f>
        <v>25000000</v>
      </c>
      <c r="C6" s="8">
        <f t="shared" ref="C6:C35" si="17">B6/1000000</f>
        <v>25</v>
      </c>
      <c r="D6" s="10">
        <f t="shared" ref="D6:D35" si="18">C6*3.07</f>
        <v>76.75</v>
      </c>
      <c r="E6" s="7">
        <f>'[8]Production Summary'!E38</f>
        <v>6026000</v>
      </c>
      <c r="F6" s="8">
        <f t="shared" ref="F6:F35" si="19">E6/1000000</f>
        <v>6.0259999999999998</v>
      </c>
      <c r="G6" s="10">
        <f t="shared" ref="G6:G35" si="20">F6*3.07</f>
        <v>18.49982</v>
      </c>
      <c r="H6" s="7">
        <f>'[8]Production Summary'!G38</f>
        <v>19520000</v>
      </c>
      <c r="I6" s="8">
        <f t="shared" ref="I6:I35" si="21">H6/1000000</f>
        <v>19.52</v>
      </c>
      <c r="J6" s="10">
        <f t="shared" ref="J6:J35" si="22">I6*3.07</f>
        <v>59.926399999999994</v>
      </c>
      <c r="K6" s="7">
        <f>'[8]Production Summary'!T38</f>
        <v>2316598</v>
      </c>
      <c r="L6" s="8">
        <f t="shared" ref="L6:L35" si="23">K6/1000000</f>
        <v>2.3165979999999999</v>
      </c>
      <c r="M6" s="10">
        <f t="shared" ref="M6:M35" si="24">L6*3.07</f>
        <v>7.1119558599999992</v>
      </c>
      <c r="N6" s="21"/>
      <c r="O6" s="7">
        <f>'[8]Production Summary'!I38</f>
        <v>11692000</v>
      </c>
      <c r="P6" s="8">
        <f t="shared" ref="P6:P35" si="25">O6/1000000</f>
        <v>11.692</v>
      </c>
      <c r="Q6" s="10">
        <f t="shared" ref="Q6:Q35" si="26">P6*3.07</f>
        <v>35.894439999999996</v>
      </c>
      <c r="R6" s="7">
        <f>'[8]Production Summary'!C38</f>
        <v>12025000</v>
      </c>
      <c r="S6" s="8">
        <f t="shared" ref="S6:S35" si="27">R6/1000000</f>
        <v>12.025</v>
      </c>
      <c r="T6" s="10">
        <f t="shared" ref="T6:T35" si="28">S6*3.07</f>
        <v>36.91675</v>
      </c>
      <c r="U6" s="7">
        <f>'[8]Production Summary'!F38</f>
        <v>1974000</v>
      </c>
      <c r="V6" s="8">
        <f t="shared" ref="V6:V35" si="29">U6/1000000</f>
        <v>1.974</v>
      </c>
      <c r="W6" s="10">
        <f t="shared" ref="W6:W35" si="30">V6*3.07</f>
        <v>6.0601799999999999</v>
      </c>
      <c r="X6" s="7">
        <f>'[8]Production Summary'!AB38</f>
        <v>327999.99999999942</v>
      </c>
      <c r="Y6" s="8">
        <f t="shared" ref="Y6:Y35" si="31">X6/1000000</f>
        <v>0.3279999999999994</v>
      </c>
      <c r="Z6" s="10">
        <f t="shared" ref="Z6:Z35" si="32">Y6*3.07</f>
        <v>1.0069599999999981</v>
      </c>
      <c r="AA6" s="15"/>
      <c r="AB6" s="7">
        <f t="shared" ref="AB6:AD35" si="33">B6+O6</f>
        <v>36692000</v>
      </c>
      <c r="AC6" s="8">
        <f t="shared" si="33"/>
        <v>36.692</v>
      </c>
      <c r="AD6" s="8">
        <f t="shared" si="33"/>
        <v>112.64444</v>
      </c>
      <c r="AF6" s="8">
        <f t="shared" si="16"/>
        <v>1.5350000000006414E-2</v>
      </c>
    </row>
    <row r="7" spans="1:32" x14ac:dyDescent="0.15">
      <c r="A7" s="27">
        <v>38567</v>
      </c>
      <c r="B7" s="7">
        <f>'[8]Production Summary'!J39</f>
        <v>18099999.999999456</v>
      </c>
      <c r="C7" s="8">
        <f t="shared" si="17"/>
        <v>18.099999999999458</v>
      </c>
      <c r="D7" s="10">
        <f t="shared" si="18"/>
        <v>55.56699999999833</v>
      </c>
      <c r="E7" s="7">
        <f>'[8]Production Summary'!E39</f>
        <v>6072000</v>
      </c>
      <c r="F7" s="8">
        <f t="shared" si="19"/>
        <v>6.0720000000000001</v>
      </c>
      <c r="G7" s="10">
        <f t="shared" si="20"/>
        <v>18.64104</v>
      </c>
      <c r="H7" s="7">
        <f>'[8]Production Summary'!G39</f>
        <v>11770000</v>
      </c>
      <c r="I7" s="8">
        <f t="shared" si="21"/>
        <v>11.77</v>
      </c>
      <c r="J7" s="10">
        <f t="shared" si="22"/>
        <v>36.133899999999997</v>
      </c>
      <c r="K7" s="7">
        <f>'[8]Production Summary'!T39</f>
        <v>1691124</v>
      </c>
      <c r="L7" s="8">
        <f t="shared" si="23"/>
        <v>1.6911240000000001</v>
      </c>
      <c r="M7" s="10">
        <f t="shared" si="24"/>
        <v>5.1917506800000002</v>
      </c>
      <c r="N7" s="21"/>
      <c r="O7" s="7">
        <f>'[8]Production Summary'!I39</f>
        <v>11731000</v>
      </c>
      <c r="P7" s="8">
        <f t="shared" si="25"/>
        <v>11.731</v>
      </c>
      <c r="Q7" s="10">
        <f t="shared" si="26"/>
        <v>36.01417</v>
      </c>
      <c r="R7" s="7">
        <f>'[8]Production Summary'!C39</f>
        <v>12101000</v>
      </c>
      <c r="S7" s="8">
        <f t="shared" si="27"/>
        <v>12.101000000000001</v>
      </c>
      <c r="T7" s="10">
        <f t="shared" si="28"/>
        <v>37.150069999999999</v>
      </c>
      <c r="U7" s="7">
        <f>'[8]Production Summary'!F39</f>
        <v>1928000</v>
      </c>
      <c r="V7" s="8">
        <f t="shared" si="29"/>
        <v>1.9279999999999999</v>
      </c>
      <c r="W7" s="10">
        <f t="shared" si="30"/>
        <v>5.9189599999999993</v>
      </c>
      <c r="X7" s="7">
        <f>'[8]Production Summary'!AB39</f>
        <v>364000.00000000076</v>
      </c>
      <c r="Y7" s="8">
        <f t="shared" si="31"/>
        <v>0.36400000000000077</v>
      </c>
      <c r="Z7" s="10">
        <f t="shared" si="32"/>
        <v>1.1174800000000022</v>
      </c>
      <c r="AA7" s="15"/>
      <c r="AB7" s="7">
        <f t="shared" si="33"/>
        <v>29830999.999999456</v>
      </c>
      <c r="AC7" s="8">
        <f t="shared" si="33"/>
        <v>29.830999999999456</v>
      </c>
      <c r="AD7" s="8">
        <f t="shared" si="33"/>
        <v>91.581169999998338</v>
      </c>
      <c r="AF7" s="8">
        <f t="shared" si="16"/>
        <v>1.8419999999997216E-2</v>
      </c>
    </row>
    <row r="8" spans="1:32" x14ac:dyDescent="0.15">
      <c r="A8" s="27">
        <v>38568</v>
      </c>
      <c r="B8" s="7">
        <f>'[8]Production Summary'!J40</f>
        <v>19100000.000000365</v>
      </c>
      <c r="C8" s="8">
        <f t="shared" si="17"/>
        <v>19.100000000000364</v>
      </c>
      <c r="D8" s="10">
        <f t="shared" si="18"/>
        <v>58.637000000001116</v>
      </c>
      <c r="E8" s="7">
        <f>'[8]Production Summary'!E40</f>
        <v>5442000</v>
      </c>
      <c r="F8" s="8">
        <f t="shared" si="19"/>
        <v>5.4420000000000002</v>
      </c>
      <c r="G8" s="10">
        <f t="shared" si="20"/>
        <v>16.706939999999999</v>
      </c>
      <c r="H8" s="7">
        <f>'[8]Production Summary'!G40</f>
        <v>11230000</v>
      </c>
      <c r="I8" s="8">
        <f t="shared" si="21"/>
        <v>11.23</v>
      </c>
      <c r="J8" s="10">
        <f t="shared" si="22"/>
        <v>34.476100000000002</v>
      </c>
      <c r="K8" s="7">
        <f>'[8]Production Summary'!T40</f>
        <v>1612139</v>
      </c>
      <c r="L8" s="8">
        <f t="shared" si="23"/>
        <v>1.612139</v>
      </c>
      <c r="M8" s="10">
        <f t="shared" si="24"/>
        <v>4.9492667299999997</v>
      </c>
      <c r="N8" s="21"/>
      <c r="O8" s="7">
        <f>'[8]Production Summary'!I40</f>
        <v>13613000.000000002</v>
      </c>
      <c r="P8" s="8">
        <f t="shared" si="25"/>
        <v>13.613000000000001</v>
      </c>
      <c r="Q8" s="10">
        <f t="shared" si="26"/>
        <v>41.791910000000001</v>
      </c>
      <c r="R8" s="7">
        <f>'[8]Production Summary'!C40</f>
        <v>14060000</v>
      </c>
      <c r="S8" s="8">
        <f t="shared" si="27"/>
        <v>14.06</v>
      </c>
      <c r="T8" s="10">
        <f t="shared" si="28"/>
        <v>43.164200000000001</v>
      </c>
      <c r="U8" s="7">
        <f>'[8]Production Summary'!F40</f>
        <v>2558000</v>
      </c>
      <c r="V8" s="8">
        <f t="shared" si="29"/>
        <v>2.5579999999999998</v>
      </c>
      <c r="W8" s="10">
        <f t="shared" si="30"/>
        <v>7.8530599999999993</v>
      </c>
      <c r="X8" s="7">
        <f>'[8]Production Summary'!AB40</f>
        <v>439999.99999999773</v>
      </c>
      <c r="Y8" s="8">
        <f t="shared" si="31"/>
        <v>0.43999999999999773</v>
      </c>
      <c r="Z8" s="10">
        <f t="shared" si="32"/>
        <v>1.3507999999999929</v>
      </c>
      <c r="AA8" s="15"/>
      <c r="AB8" s="7">
        <f t="shared" si="33"/>
        <v>32713000.000000365</v>
      </c>
      <c r="AC8" s="8">
        <f t="shared" si="33"/>
        <v>32.713000000000363</v>
      </c>
      <c r="AD8" s="8">
        <f>D8+Q8</f>
        <v>100.42891000000111</v>
      </c>
      <c r="AF8" s="8">
        <f t="shared" si="16"/>
        <v>2.149000000000667E-2</v>
      </c>
    </row>
    <row r="9" spans="1:32" x14ac:dyDescent="0.15">
      <c r="A9" s="27">
        <v>38569</v>
      </c>
      <c r="B9" s="7">
        <f>'[8]Production Summary'!J41</f>
        <v>20899999.999999635</v>
      </c>
      <c r="C9" s="8">
        <f t="shared" si="17"/>
        <v>20.899999999999636</v>
      </c>
      <c r="D9" s="10">
        <f t="shared" si="18"/>
        <v>64.162999999998874</v>
      </c>
      <c r="E9" s="7">
        <f>'[8]Production Summary'!E41</f>
        <v>3021000</v>
      </c>
      <c r="F9" s="8">
        <f t="shared" si="19"/>
        <v>3.0209999999999999</v>
      </c>
      <c r="G9" s="10">
        <f t="shared" si="20"/>
        <v>9.2744699999999991</v>
      </c>
      <c r="H9" s="7">
        <f>'[8]Production Summary'!G41</f>
        <v>16650000</v>
      </c>
      <c r="I9" s="8">
        <f t="shared" si="21"/>
        <v>16.649999999999999</v>
      </c>
      <c r="J9" s="10">
        <f t="shared" si="22"/>
        <v>51.11549999999999</v>
      </c>
      <c r="K9" s="7">
        <f>'[8]Production Summary'!T41</f>
        <v>1897530</v>
      </c>
      <c r="L9" s="8">
        <f t="shared" si="23"/>
        <v>1.8975299999999999</v>
      </c>
      <c r="M9" s="10">
        <f t="shared" si="24"/>
        <v>5.8254170999999992</v>
      </c>
      <c r="N9" s="21"/>
      <c r="O9" s="7">
        <f>'[8]Production Summary'!I41</f>
        <v>11052999.999999998</v>
      </c>
      <c r="P9" s="8">
        <f t="shared" si="25"/>
        <v>11.052999999999997</v>
      </c>
      <c r="Q9" s="10">
        <f t="shared" si="26"/>
        <v>33.932709999999993</v>
      </c>
      <c r="R9" s="7">
        <f>'[8]Production Summary'!C41</f>
        <v>11461000</v>
      </c>
      <c r="S9" s="8">
        <f t="shared" si="27"/>
        <v>11.461</v>
      </c>
      <c r="T9" s="10">
        <f t="shared" si="28"/>
        <v>35.185269999999996</v>
      </c>
      <c r="U9" s="7">
        <f>'[8]Production Summary'!F41</f>
        <v>2979000</v>
      </c>
      <c r="V9" s="8">
        <f t="shared" si="29"/>
        <v>2.9790000000000001</v>
      </c>
      <c r="W9" s="10">
        <f t="shared" si="30"/>
        <v>9.145529999999999</v>
      </c>
      <c r="X9" s="7">
        <f>'[8]Production Summary'!AB41</f>
        <v>402000.00000000105</v>
      </c>
      <c r="Y9" s="8">
        <f t="shared" si="31"/>
        <v>0.40200000000000102</v>
      </c>
      <c r="Z9" s="10">
        <f t="shared" si="32"/>
        <v>1.2341400000000031</v>
      </c>
      <c r="AA9" s="15"/>
      <c r="AB9" s="7">
        <f t="shared" si="33"/>
        <v>31952999.999999635</v>
      </c>
      <c r="AC9" s="8">
        <f t="shared" si="33"/>
        <v>31.952999999999633</v>
      </c>
      <c r="AD9" s="8">
        <f t="shared" si="33"/>
        <v>98.09570999999886</v>
      </c>
      <c r="AF9" s="8">
        <f t="shared" si="16"/>
        <v>1.8419999999999437E-2</v>
      </c>
    </row>
    <row r="10" spans="1:32" x14ac:dyDescent="0.15">
      <c r="A10" s="27">
        <v>38570</v>
      </c>
      <c r="B10" s="7">
        <f>'[8]Production Summary'!J42</f>
        <v>17900000.000000544</v>
      </c>
      <c r="C10" s="8">
        <f t="shared" si="17"/>
        <v>17.900000000000542</v>
      </c>
      <c r="D10" s="10">
        <f t="shared" si="18"/>
        <v>54.953000000001659</v>
      </c>
      <c r="E10" s="7">
        <f>'[8]Production Summary'!E42</f>
        <v>3030000</v>
      </c>
      <c r="F10" s="8">
        <f t="shared" si="19"/>
        <v>3.03</v>
      </c>
      <c r="G10" s="10">
        <f t="shared" si="20"/>
        <v>9.3020999999999994</v>
      </c>
      <c r="H10" s="7">
        <f>'[8]Production Summary'!G42</f>
        <v>13990000</v>
      </c>
      <c r="I10" s="8">
        <f t="shared" si="21"/>
        <v>13.99</v>
      </c>
      <c r="J10" s="10">
        <f t="shared" si="22"/>
        <v>42.949300000000001</v>
      </c>
      <c r="K10" s="7">
        <f>'[8]Production Summary'!T42</f>
        <v>1759198</v>
      </c>
      <c r="L10" s="8">
        <f t="shared" si="23"/>
        <v>1.759198</v>
      </c>
      <c r="M10" s="10">
        <f t="shared" si="24"/>
        <v>5.4007378599999996</v>
      </c>
      <c r="N10" s="21"/>
      <c r="O10" s="7">
        <f>'[8]Production Summary'!I42</f>
        <v>8522999.9999999981</v>
      </c>
      <c r="P10" s="8">
        <f t="shared" si="25"/>
        <v>8.5229999999999979</v>
      </c>
      <c r="Q10" s="10">
        <f t="shared" si="26"/>
        <v>26.165609999999994</v>
      </c>
      <c r="R10" s="7">
        <f>'[8]Production Summary'!C42</f>
        <v>8895000</v>
      </c>
      <c r="S10" s="8">
        <f t="shared" si="27"/>
        <v>8.8949999999999996</v>
      </c>
      <c r="T10" s="10">
        <f t="shared" si="28"/>
        <v>27.307649999999999</v>
      </c>
      <c r="U10" s="7">
        <f>'[8]Production Summary'!F42</f>
        <v>2970000</v>
      </c>
      <c r="V10" s="8">
        <f t="shared" si="29"/>
        <v>2.97</v>
      </c>
      <c r="W10" s="10">
        <f t="shared" si="30"/>
        <v>9.1179000000000006</v>
      </c>
      <c r="X10" s="7">
        <f>'[8]Production Summary'!AB42</f>
        <v>365000.00000000198</v>
      </c>
      <c r="Y10" s="8">
        <f t="shared" si="31"/>
        <v>0.36500000000000199</v>
      </c>
      <c r="Z10" s="10">
        <f t="shared" si="32"/>
        <v>1.1205500000000062</v>
      </c>
      <c r="AA10" s="15"/>
      <c r="AB10" s="7">
        <f t="shared" si="33"/>
        <v>26423000.000000544</v>
      </c>
      <c r="AC10" s="8">
        <f t="shared" si="33"/>
        <v>26.423000000000542</v>
      </c>
      <c r="AD10" s="8">
        <f t="shared" si="33"/>
        <v>81.118610000001652</v>
      </c>
      <c r="AF10" s="8">
        <f t="shared" si="16"/>
        <v>2.1489999999998899E-2</v>
      </c>
    </row>
    <row r="11" spans="1:32" x14ac:dyDescent="0.15">
      <c r="A11" s="27">
        <v>38571</v>
      </c>
      <c r="B11" s="7">
        <f>'[8]Production Summary'!J43</f>
        <v>13599999.999999454</v>
      </c>
      <c r="C11" s="8">
        <f t="shared" si="17"/>
        <v>13.599999999999454</v>
      </c>
      <c r="D11" s="10">
        <f t="shared" si="18"/>
        <v>41.751999999998326</v>
      </c>
      <c r="E11" s="7">
        <f>'[8]Production Summary'!E43</f>
        <v>3052000</v>
      </c>
      <c r="F11" s="8">
        <f t="shared" si="19"/>
        <v>3.052</v>
      </c>
      <c r="G11" s="10">
        <f t="shared" si="20"/>
        <v>9.3696400000000004</v>
      </c>
      <c r="H11" s="7">
        <f>'[8]Production Summary'!G43</f>
        <v>10450000</v>
      </c>
      <c r="I11" s="8">
        <f t="shared" si="21"/>
        <v>10.45</v>
      </c>
      <c r="J11" s="10">
        <f t="shared" si="22"/>
        <v>32.081499999999998</v>
      </c>
      <c r="K11" s="7">
        <f>'[8]Production Summary'!T43</f>
        <v>1366771</v>
      </c>
      <c r="L11" s="8">
        <f t="shared" si="23"/>
        <v>1.366771</v>
      </c>
      <c r="M11" s="10">
        <f t="shared" si="24"/>
        <v>4.1959869699999999</v>
      </c>
      <c r="N11" s="21"/>
      <c r="O11" s="7">
        <f>'[8]Production Summary'!I43</f>
        <v>13512000</v>
      </c>
      <c r="P11" s="8">
        <f t="shared" si="25"/>
        <v>13.512</v>
      </c>
      <c r="Q11" s="10">
        <f t="shared" si="26"/>
        <v>41.481839999999998</v>
      </c>
      <c r="R11" s="7">
        <f>'[8]Production Summary'!C43</f>
        <v>13901000</v>
      </c>
      <c r="S11" s="8">
        <f t="shared" si="27"/>
        <v>13.901</v>
      </c>
      <c r="T11" s="10">
        <f t="shared" si="28"/>
        <v>42.676069999999996</v>
      </c>
      <c r="U11" s="7">
        <f>'[8]Production Summary'!F43</f>
        <v>2948000</v>
      </c>
      <c r="V11" s="8">
        <f t="shared" si="29"/>
        <v>2.948</v>
      </c>
      <c r="W11" s="10">
        <f t="shared" si="30"/>
        <v>9.0503599999999995</v>
      </c>
      <c r="X11" s="7">
        <f>'[8]Production Summary'!AB43</f>
        <v>382999.99999999913</v>
      </c>
      <c r="Y11" s="8">
        <f t="shared" si="31"/>
        <v>0.38299999999999912</v>
      </c>
      <c r="Z11" s="10">
        <f t="shared" si="32"/>
        <v>1.1758099999999971</v>
      </c>
      <c r="AA11" s="15"/>
      <c r="AB11" s="7">
        <f t="shared" si="33"/>
        <v>27111999.999999456</v>
      </c>
      <c r="AC11" s="8">
        <f t="shared" si="33"/>
        <v>27.111999999999455</v>
      </c>
      <c r="AD11" s="8">
        <f t="shared" si="33"/>
        <v>83.233839999998324</v>
      </c>
      <c r="AF11" s="8">
        <f t="shared" si="16"/>
        <v>1.8420000000000325E-2</v>
      </c>
    </row>
    <row r="12" spans="1:32" x14ac:dyDescent="0.15">
      <c r="A12" s="27">
        <v>38572</v>
      </c>
      <c r="B12" s="7">
        <f>'[8]Production Summary'!J44</f>
        <v>10400000.000000546</v>
      </c>
      <c r="C12" s="8">
        <f t="shared" si="17"/>
        <v>10.400000000000546</v>
      </c>
      <c r="D12" s="10">
        <f t="shared" si="18"/>
        <v>31.928000000001674</v>
      </c>
      <c r="E12" s="7">
        <f>'[8]Production Summary'!E44</f>
        <v>1910000</v>
      </c>
      <c r="F12" s="8">
        <f t="shared" si="19"/>
        <v>1.91</v>
      </c>
      <c r="G12" s="10">
        <f t="shared" si="20"/>
        <v>5.8636999999999997</v>
      </c>
      <c r="H12" s="7">
        <f>'[8]Production Summary'!G44</f>
        <v>3680000</v>
      </c>
      <c r="I12" s="8">
        <f t="shared" si="21"/>
        <v>3.68</v>
      </c>
      <c r="J12" s="10">
        <f t="shared" si="22"/>
        <v>11.297599999999999</v>
      </c>
      <c r="K12" s="7">
        <f>'[8]Production Summary'!T44</f>
        <v>830988</v>
      </c>
      <c r="L12" s="8">
        <f t="shared" si="23"/>
        <v>0.83098799999999995</v>
      </c>
      <c r="M12" s="10">
        <f t="shared" si="24"/>
        <v>2.5511331599999996</v>
      </c>
      <c r="N12" s="21"/>
      <c r="O12" s="7">
        <f>'[8]Production Summary'!I44</f>
        <v>9183000</v>
      </c>
      <c r="P12" s="8">
        <f t="shared" si="25"/>
        <v>9.1829999999999998</v>
      </c>
      <c r="Q12" s="10">
        <f t="shared" si="26"/>
        <v>28.191809999999997</v>
      </c>
      <c r="R12" s="7">
        <f>'[8]Production Summary'!C44</f>
        <v>9516000</v>
      </c>
      <c r="S12" s="8">
        <f t="shared" si="27"/>
        <v>9.516</v>
      </c>
      <c r="T12" s="10">
        <f t="shared" si="28"/>
        <v>29.214119999999998</v>
      </c>
      <c r="U12" s="7">
        <f>'[8]Production Summary'!F44</f>
        <v>4090000</v>
      </c>
      <c r="V12" s="8">
        <f t="shared" si="29"/>
        <v>4.09</v>
      </c>
      <c r="W12" s="10">
        <f t="shared" si="30"/>
        <v>12.556299999999998</v>
      </c>
      <c r="X12" s="7">
        <f>'[8]Production Summary'!AB44</f>
        <v>327999.99999999942</v>
      </c>
      <c r="Y12" s="8">
        <f t="shared" si="31"/>
        <v>0.3279999999999994</v>
      </c>
      <c r="Z12" s="10">
        <f t="shared" si="32"/>
        <v>1.0069599999999981</v>
      </c>
      <c r="AA12" s="15"/>
      <c r="AB12" s="7">
        <f t="shared" si="33"/>
        <v>19583000.000000544</v>
      </c>
      <c r="AC12" s="8">
        <f t="shared" si="33"/>
        <v>19.583000000000546</v>
      </c>
      <c r="AD12" s="8">
        <f t="shared" si="33"/>
        <v>60.119810000001671</v>
      </c>
      <c r="AF12" s="8">
        <f t="shared" si="16"/>
        <v>1.5350000000002861E-2</v>
      </c>
    </row>
    <row r="13" spans="1:32" x14ac:dyDescent="0.15">
      <c r="A13" s="27">
        <v>38573</v>
      </c>
      <c r="B13" s="7">
        <f>'[8]Production Summary'!J45</f>
        <v>12099999.999999454</v>
      </c>
      <c r="C13" s="8">
        <f t="shared" si="17"/>
        <v>12.099999999999454</v>
      </c>
      <c r="D13" s="10">
        <f t="shared" si="18"/>
        <v>37.146999999998322</v>
      </c>
      <c r="E13" s="7">
        <f>'[8]Production Summary'!E45</f>
        <v>124000</v>
      </c>
      <c r="F13" s="8">
        <f t="shared" si="19"/>
        <v>0.124</v>
      </c>
      <c r="G13" s="10">
        <f t="shared" si="20"/>
        <v>0.38067999999999996</v>
      </c>
      <c r="H13" s="7">
        <f>'[8]Production Summary'!G45</f>
        <v>6860000</v>
      </c>
      <c r="I13" s="8">
        <f t="shared" si="21"/>
        <v>6.86</v>
      </c>
      <c r="J13" s="10">
        <f t="shared" si="22"/>
        <v>21.060199999999998</v>
      </c>
      <c r="K13" s="7">
        <f>'[8]Production Summary'!T45</f>
        <v>1108970</v>
      </c>
      <c r="L13" s="8">
        <f t="shared" si="23"/>
        <v>1.10897</v>
      </c>
      <c r="M13" s="10">
        <f t="shared" si="24"/>
        <v>3.4045378999999998</v>
      </c>
      <c r="N13" s="21"/>
      <c r="O13" s="7">
        <f>'[8]Production Summary'!I45</f>
        <v>8873000</v>
      </c>
      <c r="P13" s="8">
        <f t="shared" si="25"/>
        <v>8.8729999999999993</v>
      </c>
      <c r="Q13" s="10">
        <f t="shared" si="26"/>
        <v>27.240109999999998</v>
      </c>
      <c r="R13" s="7">
        <f>'[8]Production Summary'!C45</f>
        <v>9178000</v>
      </c>
      <c r="S13" s="8">
        <f t="shared" si="27"/>
        <v>9.1780000000000008</v>
      </c>
      <c r="T13" s="10">
        <f t="shared" si="28"/>
        <v>28.176460000000002</v>
      </c>
      <c r="U13" s="7">
        <f>'[8]Production Summary'!F45</f>
        <v>5876000</v>
      </c>
      <c r="V13" s="8">
        <f t="shared" si="29"/>
        <v>5.8760000000000003</v>
      </c>
      <c r="W13" s="10">
        <f t="shared" si="30"/>
        <v>18.03932</v>
      </c>
      <c r="X13" s="7">
        <f>'[8]Production Summary'!AB45</f>
        <v>300000.0000000007</v>
      </c>
      <c r="Y13" s="8">
        <f t="shared" si="31"/>
        <v>0.30000000000000071</v>
      </c>
      <c r="Z13" s="10">
        <f t="shared" si="32"/>
        <v>0.92100000000000215</v>
      </c>
      <c r="AA13" s="15"/>
      <c r="AB13" s="7">
        <f t="shared" si="33"/>
        <v>20972999.999999456</v>
      </c>
      <c r="AC13" s="8">
        <f t="shared" si="33"/>
        <v>20.972999999999452</v>
      </c>
      <c r="AD13" s="8">
        <f t="shared" si="33"/>
        <v>64.387109999998316</v>
      </c>
      <c r="AF13" s="8">
        <f t="shared" si="16"/>
        <v>1.5350000000002306E-2</v>
      </c>
    </row>
    <row r="14" spans="1:32" x14ac:dyDescent="0.15">
      <c r="A14" s="27">
        <v>38574</v>
      </c>
      <c r="B14" s="7">
        <f>'[8]Production Summary'!J46</f>
        <v>12500000</v>
      </c>
      <c r="C14" s="8">
        <f t="shared" si="17"/>
        <v>12.5</v>
      </c>
      <c r="D14" s="10">
        <f t="shared" si="18"/>
        <v>38.375</v>
      </c>
      <c r="E14" s="7">
        <f>'[8]Production Summary'!E46</f>
        <v>99000</v>
      </c>
      <c r="F14" s="8">
        <f t="shared" si="19"/>
        <v>9.9000000000000005E-2</v>
      </c>
      <c r="G14" s="10">
        <f t="shared" si="20"/>
        <v>0.30392999999999998</v>
      </c>
      <c r="H14" s="7">
        <f>'[8]Production Summary'!G46</f>
        <v>6370000</v>
      </c>
      <c r="I14" s="8">
        <f t="shared" si="21"/>
        <v>6.37</v>
      </c>
      <c r="J14" s="10">
        <f t="shared" si="22"/>
        <v>19.555899999999998</v>
      </c>
      <c r="K14" s="7">
        <f>'[8]Production Summary'!T46</f>
        <v>1085329</v>
      </c>
      <c r="L14" s="8">
        <f t="shared" si="23"/>
        <v>1.085329</v>
      </c>
      <c r="M14" s="10">
        <f t="shared" si="24"/>
        <v>3.3319600299999999</v>
      </c>
      <c r="N14" s="21"/>
      <c r="O14" s="7">
        <f>'[8]Production Summary'!I46</f>
        <v>11841000</v>
      </c>
      <c r="P14" s="8">
        <f t="shared" si="25"/>
        <v>11.840999999999999</v>
      </c>
      <c r="Q14" s="10">
        <f t="shared" si="26"/>
        <v>36.351869999999998</v>
      </c>
      <c r="R14" s="7">
        <f>'[8]Production Summary'!C46</f>
        <v>12149000</v>
      </c>
      <c r="S14" s="8">
        <f t="shared" si="27"/>
        <v>12.148999999999999</v>
      </c>
      <c r="T14" s="10">
        <f t="shared" si="28"/>
        <v>37.297429999999999</v>
      </c>
      <c r="U14" s="7">
        <f>'[8]Production Summary'!F46</f>
        <v>5901000</v>
      </c>
      <c r="V14" s="8">
        <f t="shared" si="29"/>
        <v>5.9009999999999998</v>
      </c>
      <c r="W14" s="10">
        <f t="shared" si="30"/>
        <v>18.116069999999997</v>
      </c>
      <c r="X14" s="7">
        <f>'[8]Production Summary'!AB46</f>
        <v>301999.99999999959</v>
      </c>
      <c r="Y14" s="8">
        <f t="shared" si="31"/>
        <v>0.3019999999999996</v>
      </c>
      <c r="Z14" s="10">
        <f t="shared" si="32"/>
        <v>0.92713999999999874</v>
      </c>
      <c r="AA14" s="15"/>
      <c r="AB14" s="7">
        <f t="shared" si="33"/>
        <v>24341000</v>
      </c>
      <c r="AC14" s="8">
        <f t="shared" si="33"/>
        <v>24.341000000000001</v>
      </c>
      <c r="AD14" s="8">
        <f t="shared" si="33"/>
        <v>74.726869999999991</v>
      </c>
      <c r="AF14" s="8">
        <f t="shared" si="16"/>
        <v>1.8420000000001657E-2</v>
      </c>
    </row>
    <row r="15" spans="1:32" x14ac:dyDescent="0.15">
      <c r="A15" s="27">
        <v>38575</v>
      </c>
      <c r="B15" s="7">
        <f>'[8]Production Summary'!J47</f>
        <v>11100000.000000363</v>
      </c>
      <c r="C15" s="8">
        <f t="shared" si="17"/>
        <v>11.100000000000364</v>
      </c>
      <c r="D15" s="10">
        <f t="shared" si="18"/>
        <v>34.077000000001114</v>
      </c>
      <c r="E15" s="7">
        <f>'[8]Production Summary'!E47</f>
        <v>129000</v>
      </c>
      <c r="F15" s="8">
        <f t="shared" si="19"/>
        <v>0.129</v>
      </c>
      <c r="G15" s="10">
        <f t="shared" si="20"/>
        <v>0.39602999999999999</v>
      </c>
      <c r="H15" s="7">
        <f>'[8]Production Summary'!G47</f>
        <v>6430000</v>
      </c>
      <c r="I15" s="8">
        <f t="shared" si="21"/>
        <v>6.43</v>
      </c>
      <c r="J15" s="10">
        <f t="shared" si="22"/>
        <v>19.740099999999998</v>
      </c>
      <c r="K15" s="7">
        <f>'[8]Production Summary'!T47</f>
        <v>1029557</v>
      </c>
      <c r="L15" s="8">
        <f t="shared" si="23"/>
        <v>1.0295570000000001</v>
      </c>
      <c r="M15" s="10">
        <f t="shared" si="24"/>
        <v>3.1607399900000002</v>
      </c>
      <c r="N15" s="21"/>
      <c r="O15" s="7">
        <f>'[8]Production Summary'!I47</f>
        <v>11913000</v>
      </c>
      <c r="P15" s="8">
        <f t="shared" si="25"/>
        <v>11.913</v>
      </c>
      <c r="Q15" s="10">
        <f t="shared" si="26"/>
        <v>36.57291</v>
      </c>
      <c r="R15" s="7">
        <f>'[8]Production Summary'!C47</f>
        <v>12412000</v>
      </c>
      <c r="S15" s="8">
        <f t="shared" si="27"/>
        <v>12.412000000000001</v>
      </c>
      <c r="T15" s="10">
        <f t="shared" si="28"/>
        <v>38.104840000000003</v>
      </c>
      <c r="U15" s="7">
        <f>'[8]Production Summary'!F47</f>
        <v>5871000</v>
      </c>
      <c r="V15" s="8">
        <f t="shared" si="29"/>
        <v>5.8710000000000004</v>
      </c>
      <c r="W15" s="10">
        <f t="shared" si="30"/>
        <v>18.023970000000002</v>
      </c>
      <c r="X15" s="7">
        <f>'[8]Production Summary'!AB47</f>
        <v>490999.99999999965</v>
      </c>
      <c r="Y15" s="8">
        <f t="shared" si="31"/>
        <v>0.49099999999999966</v>
      </c>
      <c r="Z15" s="10">
        <f t="shared" si="32"/>
        <v>1.5073699999999988</v>
      </c>
      <c r="AA15" s="15"/>
      <c r="AB15" s="7">
        <f t="shared" si="33"/>
        <v>23013000.000000365</v>
      </c>
      <c r="AC15" s="8">
        <f t="shared" si="33"/>
        <v>23.013000000000364</v>
      </c>
      <c r="AD15" s="8">
        <f t="shared" si="33"/>
        <v>70.649910000001114</v>
      </c>
      <c r="AF15" s="8">
        <f>T15-Q15-Z15</f>
        <v>2.4560000000003912E-2</v>
      </c>
    </row>
    <row r="16" spans="1:32" x14ac:dyDescent="0.15">
      <c r="A16" s="27">
        <v>38576</v>
      </c>
      <c r="B16" s="7">
        <f>'[8]Production Summary'!J48</f>
        <v>17699999.999999817</v>
      </c>
      <c r="C16" s="8">
        <f t="shared" si="17"/>
        <v>17.699999999999818</v>
      </c>
      <c r="D16" s="10">
        <f t="shared" si="18"/>
        <v>54.338999999999437</v>
      </c>
      <c r="E16" s="7">
        <f>'[8]Production Summary'!E48</f>
        <v>26000</v>
      </c>
      <c r="F16" s="8">
        <f t="shared" si="19"/>
        <v>2.5999999999999999E-2</v>
      </c>
      <c r="G16" s="10">
        <f t="shared" si="20"/>
        <v>7.9819999999999988E-2</v>
      </c>
      <c r="H16" s="7">
        <f>'[8]Production Summary'!G48</f>
        <v>13090000</v>
      </c>
      <c r="I16" s="8">
        <f t="shared" si="21"/>
        <v>13.09</v>
      </c>
      <c r="J16" s="10">
        <f t="shared" si="22"/>
        <v>40.186299999999996</v>
      </c>
      <c r="K16" s="7">
        <f>'[8]Production Summary'!T48</f>
        <v>1583255</v>
      </c>
      <c r="L16" s="8">
        <f t="shared" si="23"/>
        <v>1.5832550000000001</v>
      </c>
      <c r="M16" s="10">
        <f t="shared" si="24"/>
        <v>4.8605928499999997</v>
      </c>
      <c r="N16" s="21"/>
      <c r="O16" s="7">
        <f>'[8]Production Summary'!I48</f>
        <v>12204000.000000002</v>
      </c>
      <c r="P16" s="8">
        <f t="shared" si="25"/>
        <v>12.204000000000002</v>
      </c>
      <c r="Q16" s="10">
        <f t="shared" si="26"/>
        <v>37.466280000000005</v>
      </c>
      <c r="R16" s="7">
        <f>'[8]Production Summary'!C48</f>
        <v>12646000</v>
      </c>
      <c r="S16" s="8">
        <f t="shared" si="27"/>
        <v>12.646000000000001</v>
      </c>
      <c r="T16" s="10">
        <f t="shared" si="28"/>
        <v>38.823219999999999</v>
      </c>
      <c r="U16" s="7">
        <f>'[8]Production Summary'!F48</f>
        <v>5974000</v>
      </c>
      <c r="V16" s="8">
        <f t="shared" si="29"/>
        <v>5.9740000000000002</v>
      </c>
      <c r="W16" s="10">
        <f t="shared" si="30"/>
        <v>18.34018</v>
      </c>
      <c r="X16" s="7">
        <f>'[8]Production Summary'!AB48</f>
        <v>434999.99999999872</v>
      </c>
      <c r="Y16" s="8">
        <f t="shared" si="31"/>
        <v>0.43499999999999872</v>
      </c>
      <c r="Z16" s="10">
        <f t="shared" si="32"/>
        <v>1.335449999999996</v>
      </c>
      <c r="AA16" s="15"/>
      <c r="AB16" s="7">
        <f t="shared" si="33"/>
        <v>29903999.999999821</v>
      </c>
      <c r="AC16" s="8">
        <f t="shared" si="33"/>
        <v>29.903999999999819</v>
      </c>
      <c r="AD16" s="8">
        <f t="shared" si="33"/>
        <v>91.805279999999442</v>
      </c>
      <c r="AF16" s="8">
        <f>T16-Q16-Z16</f>
        <v>2.1489999999998455E-2</v>
      </c>
    </row>
    <row r="17" spans="1:32" x14ac:dyDescent="0.15">
      <c r="A17" s="27">
        <v>38577</v>
      </c>
      <c r="B17" s="7">
        <f>'[8]Production Summary'!J49</f>
        <v>11899999.999999637</v>
      </c>
      <c r="C17" s="8">
        <f t="shared" si="17"/>
        <v>11.899999999999636</v>
      </c>
      <c r="D17" s="10">
        <f t="shared" si="18"/>
        <v>36.532999999998879</v>
      </c>
      <c r="E17" s="7">
        <f>'[8]Production Summary'!E49</f>
        <v>168000</v>
      </c>
      <c r="F17" s="8">
        <f t="shared" si="19"/>
        <v>0.16800000000000001</v>
      </c>
      <c r="G17" s="10">
        <f t="shared" si="20"/>
        <v>0.51576</v>
      </c>
      <c r="H17" s="7">
        <f>'[8]Production Summary'!G49</f>
        <v>7320000</v>
      </c>
      <c r="I17" s="8">
        <f t="shared" si="21"/>
        <v>7.32</v>
      </c>
      <c r="J17" s="10">
        <f t="shared" si="22"/>
        <v>22.4724</v>
      </c>
      <c r="K17" s="7">
        <f>'[8]Production Summary'!T49</f>
        <v>1240076</v>
      </c>
      <c r="L17" s="8">
        <f t="shared" si="23"/>
        <v>1.240076</v>
      </c>
      <c r="M17" s="10">
        <f t="shared" si="24"/>
        <v>3.8070333199999995</v>
      </c>
      <c r="N17" s="21"/>
      <c r="O17" s="7">
        <f>'[8]Production Summary'!I49</f>
        <v>10274999.999999998</v>
      </c>
      <c r="P17" s="8">
        <f t="shared" si="25"/>
        <v>10.274999999999999</v>
      </c>
      <c r="Q17" s="10">
        <f t="shared" si="26"/>
        <v>31.544249999999995</v>
      </c>
      <c r="R17" s="7">
        <f>'[8]Production Summary'!C49</f>
        <v>10555000</v>
      </c>
      <c r="S17" s="8">
        <f t="shared" si="27"/>
        <v>10.555</v>
      </c>
      <c r="T17" s="10">
        <f t="shared" si="28"/>
        <v>32.403849999999998</v>
      </c>
      <c r="U17" s="7">
        <f>'[8]Production Summary'!F49</f>
        <v>5832000</v>
      </c>
      <c r="V17" s="8">
        <f t="shared" si="29"/>
        <v>5.8319999999999999</v>
      </c>
      <c r="W17" s="10">
        <f t="shared" si="30"/>
        <v>17.904239999999998</v>
      </c>
      <c r="X17" s="7">
        <f>'[8]Production Summary'!AB49</f>
        <v>275000.00000000215</v>
      </c>
      <c r="Y17" s="8">
        <f t="shared" si="31"/>
        <v>0.27500000000000213</v>
      </c>
      <c r="Z17" s="10">
        <f t="shared" si="32"/>
        <v>0.8442500000000065</v>
      </c>
      <c r="AA17" s="15"/>
      <c r="AB17" s="7">
        <f t="shared" si="33"/>
        <v>22174999.999999635</v>
      </c>
      <c r="AC17" s="8">
        <f t="shared" si="33"/>
        <v>22.174999999999635</v>
      </c>
      <c r="AD17" s="8">
        <f t="shared" si="33"/>
        <v>68.07724999999887</v>
      </c>
      <c r="AF17" s="8">
        <f>T17-Q17-Z17</f>
        <v>1.5349999999997421E-2</v>
      </c>
    </row>
    <row r="18" spans="1:32" x14ac:dyDescent="0.15">
      <c r="A18" s="27">
        <v>38578</v>
      </c>
      <c r="B18" s="7">
        <f>'[8]Production Summary'!J50</f>
        <v>16700000.000000728</v>
      </c>
      <c r="C18" s="8">
        <f t="shared" si="17"/>
        <v>16.700000000000728</v>
      </c>
      <c r="D18" s="10">
        <f t="shared" si="18"/>
        <v>51.269000000002229</v>
      </c>
      <c r="E18" s="7">
        <f>'[8]Production Summary'!E50</f>
        <v>76000</v>
      </c>
      <c r="F18" s="8">
        <f t="shared" si="19"/>
        <v>7.5999999999999998E-2</v>
      </c>
      <c r="G18" s="10">
        <f t="shared" si="20"/>
        <v>0.23331999999999997</v>
      </c>
      <c r="H18" s="7">
        <f>'[8]Production Summary'!G50</f>
        <v>11030000</v>
      </c>
      <c r="I18" s="8">
        <f t="shared" si="21"/>
        <v>11.03</v>
      </c>
      <c r="J18" s="10">
        <f t="shared" si="22"/>
        <v>33.862099999999998</v>
      </c>
      <c r="K18" s="7">
        <f>'[8]Production Summary'!T50</f>
        <v>1402866</v>
      </c>
      <c r="L18" s="8">
        <f t="shared" si="23"/>
        <v>1.4028659999999999</v>
      </c>
      <c r="M18" s="10">
        <f t="shared" si="24"/>
        <v>4.3067986199999995</v>
      </c>
      <c r="N18" s="21"/>
      <c r="O18" s="7">
        <f>'[8]Production Summary'!I50</f>
        <v>13173000</v>
      </c>
      <c r="P18" s="8">
        <f t="shared" si="25"/>
        <v>13.173</v>
      </c>
      <c r="Q18" s="10">
        <f t="shared" si="26"/>
        <v>40.441109999999995</v>
      </c>
      <c r="R18" s="7">
        <f>'[8]Production Summary'!C50</f>
        <v>13537000</v>
      </c>
      <c r="S18" s="8">
        <f t="shared" si="27"/>
        <v>13.537000000000001</v>
      </c>
      <c r="T18" s="10">
        <f t="shared" si="28"/>
        <v>41.558590000000002</v>
      </c>
      <c r="U18" s="7">
        <f>'[8]Production Summary'!F50</f>
        <v>5924000</v>
      </c>
      <c r="V18" s="8">
        <f t="shared" si="29"/>
        <v>5.9240000000000004</v>
      </c>
      <c r="W18" s="10">
        <f t="shared" si="30"/>
        <v>18.186679999999999</v>
      </c>
      <c r="X18" s="7">
        <f>'[8]Production Summary'!AB50</f>
        <v>358000.00000000052</v>
      </c>
      <c r="Y18" s="8">
        <f t="shared" si="31"/>
        <v>0.35800000000000054</v>
      </c>
      <c r="Z18" s="10">
        <f t="shared" si="32"/>
        <v>1.0990600000000017</v>
      </c>
      <c r="AA18" s="15"/>
      <c r="AB18" s="7">
        <f t="shared" si="33"/>
        <v>29873000.00000073</v>
      </c>
      <c r="AC18" s="8">
        <f t="shared" si="33"/>
        <v>29.873000000000729</v>
      </c>
      <c r="AD18" s="8">
        <f t="shared" si="33"/>
        <v>91.710110000002231</v>
      </c>
      <c r="AF18" s="8">
        <f>T18-Q18-Z18</f>
        <v>1.8420000000005876E-2</v>
      </c>
    </row>
    <row r="19" spans="1:32" x14ac:dyDescent="0.15">
      <c r="A19" s="27">
        <v>38579</v>
      </c>
      <c r="B19" s="7">
        <f>'[8]Production Summary'!J51</f>
        <v>17099999.999999456</v>
      </c>
      <c r="C19" s="8">
        <f t="shared" si="17"/>
        <v>17.099999999999458</v>
      </c>
      <c r="D19" s="10">
        <f t="shared" si="18"/>
        <v>52.49699999999833</v>
      </c>
      <c r="E19" s="7">
        <f>'[8]Production Summary'!E51</f>
        <v>99000</v>
      </c>
      <c r="F19" s="8">
        <f t="shared" si="19"/>
        <v>9.9000000000000005E-2</v>
      </c>
      <c r="G19" s="10">
        <f t="shared" si="20"/>
        <v>0.30392999999999998</v>
      </c>
      <c r="H19" s="7">
        <f>'[8]Production Summary'!G51</f>
        <v>12490000</v>
      </c>
      <c r="I19" s="8">
        <f t="shared" si="21"/>
        <v>12.49</v>
      </c>
      <c r="J19" s="10">
        <f t="shared" si="22"/>
        <v>38.344299999999997</v>
      </c>
      <c r="K19" s="7">
        <f>'[8]Production Summary'!T51</f>
        <v>1553986</v>
      </c>
      <c r="L19" s="8">
        <f t="shared" si="23"/>
        <v>1.5539860000000001</v>
      </c>
      <c r="M19" s="10">
        <f t="shared" si="24"/>
        <v>4.7707370200000003</v>
      </c>
      <c r="N19" s="21"/>
      <c r="O19" s="7">
        <f>'[8]Production Summary'!I51</f>
        <v>12824000.000000002</v>
      </c>
      <c r="P19" s="8">
        <f t="shared" si="25"/>
        <v>12.824000000000002</v>
      </c>
      <c r="Q19" s="10">
        <f t="shared" si="26"/>
        <v>39.369680000000002</v>
      </c>
      <c r="R19" s="7">
        <f>'[8]Production Summary'!C51</f>
        <v>13265000</v>
      </c>
      <c r="S19" s="8">
        <f t="shared" si="27"/>
        <v>13.265000000000001</v>
      </c>
      <c r="T19" s="10">
        <f t="shared" si="28"/>
        <v>40.723550000000003</v>
      </c>
      <c r="U19" s="7">
        <f>'[8]Production Summary'!F51</f>
        <v>5901000</v>
      </c>
      <c r="V19" s="8">
        <f t="shared" si="29"/>
        <v>5.9009999999999998</v>
      </c>
      <c r="W19" s="10">
        <f t="shared" si="30"/>
        <v>18.116069999999997</v>
      </c>
      <c r="X19" s="7">
        <f>'[8]Production Summary'!AB51</f>
        <v>433999.9999999975</v>
      </c>
      <c r="Y19" s="8">
        <f t="shared" si="31"/>
        <v>0.4339999999999975</v>
      </c>
      <c r="Z19" s="10">
        <f t="shared" si="32"/>
        <v>1.3323799999999923</v>
      </c>
      <c r="AA19" s="15"/>
      <c r="AB19" s="7">
        <f t="shared" si="33"/>
        <v>29923999.999999456</v>
      </c>
      <c r="AC19" s="8">
        <f t="shared" si="33"/>
        <v>29.923999999999459</v>
      </c>
      <c r="AD19" s="8">
        <f>D19+Q19</f>
        <v>91.866679999998325</v>
      </c>
      <c r="AF19" s="8">
        <f>T19-Q19-Z19</f>
        <v>2.1490000000008225E-2</v>
      </c>
    </row>
    <row r="20" spans="1:32" x14ac:dyDescent="0.15">
      <c r="A20" s="27">
        <v>38580</v>
      </c>
      <c r="B20" s="7">
        <f>'[8]Production Summary'!J52</f>
        <v>16500000</v>
      </c>
      <c r="C20" s="8">
        <f t="shared" si="17"/>
        <v>16.5</v>
      </c>
      <c r="D20" s="10">
        <f t="shared" si="18"/>
        <v>50.654999999999994</v>
      </c>
      <c r="E20" s="7">
        <f>'[8]Production Summary'!E52</f>
        <v>67000</v>
      </c>
      <c r="F20" s="8">
        <f t="shared" si="19"/>
        <v>6.7000000000000004E-2</v>
      </c>
      <c r="G20" s="10">
        <f t="shared" si="20"/>
        <v>0.20569000000000001</v>
      </c>
      <c r="H20" s="7">
        <f>'[8]Production Summary'!G52</f>
        <v>11430000</v>
      </c>
      <c r="I20" s="8">
        <f t="shared" si="21"/>
        <v>11.43</v>
      </c>
      <c r="J20" s="10">
        <f t="shared" si="22"/>
        <v>35.0901</v>
      </c>
      <c r="K20" s="7">
        <f>'[8]Production Summary'!T52</f>
        <v>1560763</v>
      </c>
      <c r="L20" s="8">
        <f t="shared" si="23"/>
        <v>1.5607629999999999</v>
      </c>
      <c r="M20" s="10">
        <f t="shared" si="24"/>
        <v>4.791542409999999</v>
      </c>
      <c r="N20" s="21"/>
      <c r="O20" s="7">
        <f>'[8]Production Summary'!I52</f>
        <v>11563000</v>
      </c>
      <c r="P20" s="8">
        <f t="shared" si="25"/>
        <v>11.563000000000001</v>
      </c>
      <c r="Q20" s="10">
        <f t="shared" si="26"/>
        <v>35.49841</v>
      </c>
      <c r="R20" s="7">
        <f>'[8]Production Summary'!C52</f>
        <v>12063000</v>
      </c>
      <c r="S20" s="8">
        <f t="shared" si="27"/>
        <v>12.063000000000001</v>
      </c>
      <c r="T20" s="10">
        <f t="shared" si="28"/>
        <v>37.033410000000003</v>
      </c>
      <c r="U20" s="7">
        <f>'[8]Production Summary'!F52</f>
        <v>5933000</v>
      </c>
      <c r="V20" s="8">
        <f t="shared" si="29"/>
        <v>5.9329999999999998</v>
      </c>
      <c r="W20" s="10">
        <f t="shared" si="30"/>
        <v>18.214309999999998</v>
      </c>
      <c r="X20" s="7">
        <f>'[8]Production Summary'!AB52</f>
        <v>492000.00000000087</v>
      </c>
      <c r="Y20" s="8">
        <f t="shared" si="31"/>
        <v>0.49200000000000088</v>
      </c>
      <c r="Z20" s="10">
        <f t="shared" si="32"/>
        <v>1.5104400000000027</v>
      </c>
      <c r="AA20" s="15"/>
      <c r="AB20" s="7">
        <f t="shared" si="33"/>
        <v>28063000</v>
      </c>
      <c r="AC20" s="8">
        <f t="shared" si="33"/>
        <v>28.063000000000002</v>
      </c>
      <c r="AD20" s="8">
        <f t="shared" si="33"/>
        <v>86.153409999999994</v>
      </c>
      <c r="AF20" s="8">
        <f t="shared" ref="AF20:AF35" si="34">T20-Q20-Z20</f>
        <v>2.4560000000001025E-2</v>
      </c>
    </row>
    <row r="21" spans="1:32" x14ac:dyDescent="0.15">
      <c r="A21" s="27">
        <v>38581</v>
      </c>
      <c r="B21" s="7">
        <f>'[8]Production Summary'!J53</f>
        <v>19699999.999999817</v>
      </c>
      <c r="C21" s="8">
        <f t="shared" si="17"/>
        <v>19.699999999999818</v>
      </c>
      <c r="D21" s="10">
        <f t="shared" si="18"/>
        <v>60.478999999999438</v>
      </c>
      <c r="E21" s="7">
        <f>'[8]Production Summary'!E53</f>
        <v>2000000</v>
      </c>
      <c r="F21" s="8">
        <f t="shared" si="19"/>
        <v>2</v>
      </c>
      <c r="G21" s="10">
        <f t="shared" si="20"/>
        <v>6.14</v>
      </c>
      <c r="H21" s="7">
        <f>'[8]Production Summary'!G53</f>
        <v>19350000</v>
      </c>
      <c r="I21" s="8">
        <f t="shared" si="21"/>
        <v>19.350000000000001</v>
      </c>
      <c r="J21" s="10">
        <f t="shared" si="22"/>
        <v>59.404499999999999</v>
      </c>
      <c r="K21" s="7">
        <f>'[8]Production Summary'!T53</f>
        <v>1777371</v>
      </c>
      <c r="L21" s="8">
        <f t="shared" si="23"/>
        <v>1.777371</v>
      </c>
      <c r="M21" s="10">
        <f t="shared" si="24"/>
        <v>5.4565289699999999</v>
      </c>
      <c r="N21" s="21"/>
      <c r="O21" s="7">
        <f>'[8]Production Summary'!I53</f>
        <v>10784999.999999998</v>
      </c>
      <c r="P21" s="8">
        <f t="shared" si="25"/>
        <v>10.784999999999998</v>
      </c>
      <c r="Q21" s="10">
        <f t="shared" si="26"/>
        <v>33.109949999999991</v>
      </c>
      <c r="R21" s="7">
        <f>'[8]Production Summary'!C53</f>
        <v>11230000</v>
      </c>
      <c r="S21" s="8">
        <f t="shared" si="27"/>
        <v>11.23</v>
      </c>
      <c r="T21" s="10">
        <f t="shared" si="28"/>
        <v>34.476100000000002</v>
      </c>
      <c r="U21" s="7">
        <f>'[8]Production Summary'!F53</f>
        <v>7249000</v>
      </c>
      <c r="V21" s="8">
        <f t="shared" si="29"/>
        <v>7.2489999999999997</v>
      </c>
      <c r="W21" s="10">
        <f t="shared" si="30"/>
        <v>22.254429999999999</v>
      </c>
      <c r="X21" s="7">
        <f>'[8]Production Summary'!AB53</f>
        <v>437000.00000000116</v>
      </c>
      <c r="Y21" s="8">
        <f t="shared" si="31"/>
        <v>0.43700000000000117</v>
      </c>
      <c r="Z21" s="10">
        <f t="shared" si="32"/>
        <v>1.3415900000000036</v>
      </c>
      <c r="AA21" s="15"/>
      <c r="AB21" s="7">
        <f t="shared" si="33"/>
        <v>30484999.999999814</v>
      </c>
      <c r="AC21" s="8">
        <f t="shared" si="33"/>
        <v>30.484999999999815</v>
      </c>
      <c r="AD21" s="8">
        <f t="shared" si="33"/>
        <v>93.588949999999429</v>
      </c>
      <c r="AF21" s="8">
        <f t="shared" si="34"/>
        <v>2.4560000000008131E-2</v>
      </c>
    </row>
    <row r="22" spans="1:32" x14ac:dyDescent="0.15">
      <c r="A22" s="27">
        <v>38582</v>
      </c>
      <c r="B22" s="7">
        <f>'[8]Production Summary'!J54</f>
        <v>22200000.000000726</v>
      </c>
      <c r="C22" s="8">
        <f t="shared" si="17"/>
        <v>22.200000000000728</v>
      </c>
      <c r="D22" s="10">
        <f t="shared" si="18"/>
        <v>68.154000000002227</v>
      </c>
      <c r="E22" s="7">
        <f>'[8]Production Summary'!E54</f>
        <v>0</v>
      </c>
      <c r="F22" s="8">
        <f t="shared" si="19"/>
        <v>0</v>
      </c>
      <c r="G22" s="10">
        <f t="shared" si="20"/>
        <v>0</v>
      </c>
      <c r="H22" s="7">
        <f>'[8]Production Summary'!G54</f>
        <v>24710000</v>
      </c>
      <c r="I22" s="8">
        <f t="shared" si="21"/>
        <v>24.71</v>
      </c>
      <c r="J22" s="10">
        <f t="shared" si="22"/>
        <v>75.859700000000004</v>
      </c>
      <c r="K22" s="7">
        <f>'[8]Production Summary'!T54</f>
        <v>1980101</v>
      </c>
      <c r="L22" s="8">
        <f t="shared" si="23"/>
        <v>1.9801009999999999</v>
      </c>
      <c r="M22" s="10">
        <f t="shared" si="24"/>
        <v>6.0789100699999992</v>
      </c>
      <c r="N22" s="21"/>
      <c r="O22" s="7">
        <f>'[8]Production Summary'!I54</f>
        <v>10606000.000000002</v>
      </c>
      <c r="P22" s="8">
        <f t="shared" si="25"/>
        <v>10.606000000000002</v>
      </c>
      <c r="Q22" s="10">
        <f t="shared" si="26"/>
        <v>32.560420000000001</v>
      </c>
      <c r="R22" s="7">
        <f>'[8]Production Summary'!C54</f>
        <v>10825000</v>
      </c>
      <c r="S22" s="8">
        <f t="shared" si="27"/>
        <v>10.824999999999999</v>
      </c>
      <c r="T22" s="10">
        <f t="shared" si="28"/>
        <v>33.232749999999996</v>
      </c>
      <c r="U22" s="7">
        <f>'[8]Production Summary'!F54</f>
        <v>7966000</v>
      </c>
      <c r="V22" s="8">
        <f t="shared" si="29"/>
        <v>7.9660000000000002</v>
      </c>
      <c r="W22" s="10">
        <f t="shared" si="30"/>
        <v>24.45562</v>
      </c>
      <c r="X22" s="7">
        <f>'[8]Production Summary'!AB54</f>
        <v>215999.99999999753</v>
      </c>
      <c r="Y22" s="8">
        <f t="shared" si="31"/>
        <v>0.21599999999999753</v>
      </c>
      <c r="Z22" s="10">
        <f t="shared" si="32"/>
        <v>0.66311999999999238</v>
      </c>
      <c r="AA22" s="15"/>
      <c r="AB22" s="7">
        <f t="shared" si="33"/>
        <v>32806000.00000073</v>
      </c>
      <c r="AC22" s="8">
        <f t="shared" si="33"/>
        <v>32.806000000000729</v>
      </c>
      <c r="AD22" s="8">
        <f t="shared" si="33"/>
        <v>100.71442000000224</v>
      </c>
      <c r="AF22" s="8">
        <f t="shared" si="34"/>
        <v>9.210000000002827E-3</v>
      </c>
    </row>
    <row r="23" spans="1:32" x14ac:dyDescent="0.15">
      <c r="A23" s="27">
        <v>38583</v>
      </c>
      <c r="B23" s="7">
        <f>'[8]Production Summary'!J55</f>
        <v>22799999.999999274</v>
      </c>
      <c r="C23" s="8">
        <f t="shared" si="17"/>
        <v>22.799999999999272</v>
      </c>
      <c r="D23" s="10">
        <f t="shared" si="18"/>
        <v>69.995999999997764</v>
      </c>
      <c r="E23" s="7">
        <f>'[8]Production Summary'!E55</f>
        <v>0</v>
      </c>
      <c r="F23" s="8">
        <f t="shared" si="19"/>
        <v>0</v>
      </c>
      <c r="G23" s="10">
        <f t="shared" si="20"/>
        <v>0</v>
      </c>
      <c r="H23" s="7">
        <f>'[8]Production Summary'!G55</f>
        <v>25450000</v>
      </c>
      <c r="I23" s="8">
        <f t="shared" si="21"/>
        <v>25.45</v>
      </c>
      <c r="J23" s="10">
        <f t="shared" si="22"/>
        <v>78.131499999999988</v>
      </c>
      <c r="K23" s="7">
        <f>'[8]Production Summary'!T55</f>
        <v>2061048</v>
      </c>
      <c r="L23" s="8">
        <f t="shared" si="23"/>
        <v>2.061048</v>
      </c>
      <c r="M23" s="10">
        <f t="shared" si="24"/>
        <v>6.3274173599999992</v>
      </c>
      <c r="N23" s="21"/>
      <c r="O23" s="7">
        <f>'[8]Production Summary'!I55</f>
        <v>11591000</v>
      </c>
      <c r="P23" s="8">
        <f t="shared" si="25"/>
        <v>11.590999999999999</v>
      </c>
      <c r="Q23" s="10">
        <f t="shared" si="26"/>
        <v>35.584369999999993</v>
      </c>
      <c r="R23" s="7">
        <f>'[8]Production Summary'!C55</f>
        <v>12038000</v>
      </c>
      <c r="S23" s="8">
        <f t="shared" si="27"/>
        <v>12.038</v>
      </c>
      <c r="T23" s="10">
        <f t="shared" si="28"/>
        <v>36.956659999999999</v>
      </c>
      <c r="U23" s="7">
        <f>'[8]Production Summary'!F55</f>
        <v>8000000</v>
      </c>
      <c r="V23" s="8">
        <f t="shared" si="29"/>
        <v>8</v>
      </c>
      <c r="W23" s="10">
        <f t="shared" si="30"/>
        <v>24.56</v>
      </c>
      <c r="X23" s="7">
        <f>'[8]Production Summary'!AB55</f>
        <v>439000.00000000006</v>
      </c>
      <c r="Y23" s="8">
        <f t="shared" si="31"/>
        <v>0.43900000000000006</v>
      </c>
      <c r="Z23" s="10">
        <f t="shared" si="32"/>
        <v>1.3477300000000001</v>
      </c>
      <c r="AA23" s="15"/>
      <c r="AB23" s="7">
        <f t="shared" si="33"/>
        <v>34390999.99999927</v>
      </c>
      <c r="AC23" s="8">
        <f t="shared" si="33"/>
        <v>34.390999999999273</v>
      </c>
      <c r="AD23" s="8">
        <f t="shared" si="33"/>
        <v>105.58036999999776</v>
      </c>
      <c r="AF23" s="8">
        <f t="shared" si="34"/>
        <v>2.4560000000006577E-2</v>
      </c>
    </row>
    <row r="24" spans="1:32" x14ac:dyDescent="0.15">
      <c r="A24" s="27">
        <v>38584</v>
      </c>
      <c r="B24" s="7">
        <f>'[8]Production Summary'!J56</f>
        <v>22500000</v>
      </c>
      <c r="C24" s="8">
        <f t="shared" si="17"/>
        <v>22.5</v>
      </c>
      <c r="D24" s="10">
        <f t="shared" si="18"/>
        <v>69.075000000000003</v>
      </c>
      <c r="E24" s="7">
        <f>'[8]Production Summary'!E56</f>
        <v>0</v>
      </c>
      <c r="F24" s="8">
        <f t="shared" si="19"/>
        <v>0</v>
      </c>
      <c r="G24" s="10">
        <f t="shared" si="20"/>
        <v>0</v>
      </c>
      <c r="H24" s="7">
        <f>'[8]Production Summary'!G56</f>
        <v>25090000</v>
      </c>
      <c r="I24" s="8">
        <f t="shared" si="21"/>
        <v>25.09</v>
      </c>
      <c r="J24" s="10">
        <f t="shared" si="22"/>
        <v>77.026299999999992</v>
      </c>
      <c r="K24" s="7">
        <f>'[8]Production Summary'!T56</f>
        <v>2049681</v>
      </c>
      <c r="L24" s="8">
        <f t="shared" si="23"/>
        <v>2.0496810000000001</v>
      </c>
      <c r="M24" s="10">
        <f t="shared" si="24"/>
        <v>6.29252067</v>
      </c>
      <c r="N24" s="21"/>
      <c r="O24" s="7">
        <f>'[8]Production Summary'!I56</f>
        <v>10386999.999999996</v>
      </c>
      <c r="P24" s="8">
        <f t="shared" si="25"/>
        <v>10.386999999999997</v>
      </c>
      <c r="Q24" s="10">
        <f t="shared" si="26"/>
        <v>31.888089999999988</v>
      </c>
      <c r="R24" s="7">
        <f>'[8]Production Summary'!C56</f>
        <v>10720000</v>
      </c>
      <c r="S24" s="8">
        <f t="shared" si="27"/>
        <v>10.72</v>
      </c>
      <c r="T24" s="10">
        <f t="shared" si="28"/>
        <v>32.910400000000003</v>
      </c>
      <c r="U24" s="7">
        <f>'[8]Production Summary'!F56</f>
        <v>8051000</v>
      </c>
      <c r="V24" s="8">
        <f t="shared" si="29"/>
        <v>8.0510000000000002</v>
      </c>
      <c r="W24" s="10">
        <f t="shared" si="30"/>
        <v>24.716570000000001</v>
      </c>
      <c r="X24" s="7">
        <f>'[8]Production Summary'!AB56</f>
        <v>328000.00000000297</v>
      </c>
      <c r="Y24" s="8">
        <f t="shared" si="31"/>
        <v>0.32800000000000296</v>
      </c>
      <c r="Z24" s="10">
        <f t="shared" si="32"/>
        <v>1.006960000000009</v>
      </c>
      <c r="AA24" s="15"/>
      <c r="AB24" s="7">
        <f t="shared" si="33"/>
        <v>32886999.999999996</v>
      </c>
      <c r="AC24" s="8">
        <f t="shared" si="33"/>
        <v>32.887</v>
      </c>
      <c r="AD24" s="8">
        <f>D24+Q24</f>
        <v>100.96308999999999</v>
      </c>
      <c r="AF24" s="8">
        <f t="shared" si="34"/>
        <v>1.5350000000006192E-2</v>
      </c>
    </row>
    <row r="25" spans="1:32" x14ac:dyDescent="0.15">
      <c r="A25" s="27">
        <v>38585</v>
      </c>
      <c r="B25" s="7">
        <f>'[8]Production Summary'!J57</f>
        <v>23500000</v>
      </c>
      <c r="C25" s="8">
        <f t="shared" si="17"/>
        <v>23.5</v>
      </c>
      <c r="D25" s="10">
        <f t="shared" si="18"/>
        <v>72.144999999999996</v>
      </c>
      <c r="E25" s="7">
        <f>'[8]Production Summary'!E57</f>
        <v>0</v>
      </c>
      <c r="F25" s="8">
        <f t="shared" si="19"/>
        <v>0</v>
      </c>
      <c r="G25" s="10">
        <f t="shared" si="20"/>
        <v>0</v>
      </c>
      <c r="H25" s="7">
        <f>'[8]Production Summary'!G57</f>
        <v>26220000</v>
      </c>
      <c r="I25" s="8">
        <f t="shared" si="21"/>
        <v>26.22</v>
      </c>
      <c r="J25" s="10">
        <f t="shared" si="22"/>
        <v>80.495399999999989</v>
      </c>
      <c r="K25" s="7">
        <f>'[8]Production Summary'!T57</f>
        <v>2172960</v>
      </c>
      <c r="L25" s="8">
        <f t="shared" si="23"/>
        <v>2.1729599999999998</v>
      </c>
      <c r="M25" s="10">
        <f t="shared" si="24"/>
        <v>6.670987199999999</v>
      </c>
      <c r="N25" s="21"/>
      <c r="O25" s="7">
        <f>'[8]Production Summary'!I57</f>
        <v>11175000</v>
      </c>
      <c r="P25" s="8">
        <f t="shared" si="25"/>
        <v>11.175000000000001</v>
      </c>
      <c r="Q25" s="10">
        <f t="shared" si="26"/>
        <v>34.307250000000003</v>
      </c>
      <c r="R25" s="7">
        <f>'[8]Production Summary'!C57</f>
        <v>11615000</v>
      </c>
      <c r="S25" s="8">
        <f t="shared" si="27"/>
        <v>11.615</v>
      </c>
      <c r="T25" s="10">
        <f t="shared" si="28"/>
        <v>35.658049999999996</v>
      </c>
      <c r="U25" s="7">
        <f>'[8]Production Summary'!F57</f>
        <v>8113000</v>
      </c>
      <c r="V25" s="8">
        <f t="shared" si="29"/>
        <v>8.1129999999999995</v>
      </c>
      <c r="W25" s="10">
        <f t="shared" si="30"/>
        <v>24.906909999999996</v>
      </c>
      <c r="X25" s="7">
        <f>'[8]Production Summary'!AB57</f>
        <v>432999.99999999983</v>
      </c>
      <c r="Y25" s="8">
        <f t="shared" si="31"/>
        <v>0.43299999999999983</v>
      </c>
      <c r="Z25" s="10">
        <f t="shared" si="32"/>
        <v>1.3293099999999993</v>
      </c>
      <c r="AA25" s="15"/>
      <c r="AB25" s="7">
        <f t="shared" si="33"/>
        <v>34675000</v>
      </c>
      <c r="AC25" s="8">
        <f t="shared" si="33"/>
        <v>34.674999999999997</v>
      </c>
      <c r="AD25" s="8">
        <f t="shared" si="33"/>
        <v>106.45224999999999</v>
      </c>
      <c r="AF25" s="8">
        <f t="shared" si="34"/>
        <v>2.1489999999993126E-2</v>
      </c>
    </row>
    <row r="26" spans="1:32" x14ac:dyDescent="0.15">
      <c r="A26" s="27">
        <v>38586</v>
      </c>
      <c r="B26" s="7">
        <f>'[8]Production Summary'!J58</f>
        <v>23800000.000000183</v>
      </c>
      <c r="C26" s="8">
        <f t="shared" si="17"/>
        <v>23.800000000000182</v>
      </c>
      <c r="D26" s="10">
        <f t="shared" si="18"/>
        <v>73.066000000000557</v>
      </c>
      <c r="E26" s="7">
        <f>'[8]Production Summary'!E58</f>
        <v>0</v>
      </c>
      <c r="F26" s="8">
        <f t="shared" si="19"/>
        <v>0</v>
      </c>
      <c r="G26" s="10">
        <f t="shared" si="20"/>
        <v>0</v>
      </c>
      <c r="H26" s="7">
        <f>'[8]Production Summary'!G58</f>
        <v>26560000</v>
      </c>
      <c r="I26" s="8">
        <f t="shared" si="21"/>
        <v>26.56</v>
      </c>
      <c r="J26" s="10">
        <f t="shared" si="22"/>
        <v>81.539199999999994</v>
      </c>
      <c r="K26" s="7">
        <f>'[8]Production Summary'!T58</f>
        <v>2160829</v>
      </c>
      <c r="L26" s="8">
        <f t="shared" si="23"/>
        <v>2.1608290000000001</v>
      </c>
      <c r="M26" s="10">
        <f t="shared" si="24"/>
        <v>6.63374503</v>
      </c>
      <c r="N26" s="21"/>
      <c r="O26" s="7">
        <f>'[8]Production Summary'!I58</f>
        <v>10080000.000000002</v>
      </c>
      <c r="P26" s="8">
        <f t="shared" si="25"/>
        <v>10.080000000000002</v>
      </c>
      <c r="Q26" s="10">
        <f t="shared" si="26"/>
        <v>30.945600000000002</v>
      </c>
      <c r="R26" s="7">
        <f>'[8]Production Summary'!C58</f>
        <v>10526000</v>
      </c>
      <c r="S26" s="8">
        <f t="shared" si="27"/>
        <v>10.526</v>
      </c>
      <c r="T26" s="10">
        <f t="shared" si="28"/>
        <v>32.314819999999997</v>
      </c>
      <c r="U26" s="7">
        <f>'[8]Production Summary'!F58</f>
        <v>8005000</v>
      </c>
      <c r="V26" s="8">
        <f t="shared" si="29"/>
        <v>8.0050000000000008</v>
      </c>
      <c r="W26" s="10">
        <f t="shared" si="30"/>
        <v>24.57535</v>
      </c>
      <c r="X26" s="7">
        <f>'[8]Production Summary'!AB58</f>
        <v>437999.99999999884</v>
      </c>
      <c r="Y26" s="8">
        <f t="shared" si="31"/>
        <v>0.43799999999999883</v>
      </c>
      <c r="Z26" s="10">
        <f t="shared" si="32"/>
        <v>1.3446599999999964</v>
      </c>
      <c r="AA26" s="15"/>
      <c r="AB26" s="7">
        <f t="shared" si="33"/>
        <v>33880000.000000186</v>
      </c>
      <c r="AC26" s="8">
        <f t="shared" si="33"/>
        <v>33.88000000000018</v>
      </c>
      <c r="AD26" s="8">
        <f t="shared" si="33"/>
        <v>104.01160000000056</v>
      </c>
      <c r="AF26" s="8">
        <f t="shared" si="34"/>
        <v>2.4559999999998583E-2</v>
      </c>
    </row>
    <row r="27" spans="1:32" x14ac:dyDescent="0.15">
      <c r="A27" s="27">
        <v>38587</v>
      </c>
      <c r="B27" s="7">
        <f>'[8]Production Summary'!J59</f>
        <v>24400000.000000544</v>
      </c>
      <c r="C27" s="8">
        <f t="shared" si="17"/>
        <v>24.400000000000542</v>
      </c>
      <c r="D27" s="10">
        <f t="shared" si="18"/>
        <v>74.908000000001664</v>
      </c>
      <c r="E27" s="7">
        <f>'[8]Production Summary'!E59</f>
        <v>0</v>
      </c>
      <c r="F27" s="8">
        <f t="shared" si="19"/>
        <v>0</v>
      </c>
      <c r="G27" s="10">
        <f t="shared" si="20"/>
        <v>0</v>
      </c>
      <c r="H27" s="7">
        <f>'[8]Production Summary'!G59</f>
        <v>26400000</v>
      </c>
      <c r="I27" s="8">
        <f t="shared" si="21"/>
        <v>26.4</v>
      </c>
      <c r="J27" s="10">
        <f t="shared" si="22"/>
        <v>81.047999999999988</v>
      </c>
      <c r="K27" s="7">
        <f>'[8]Production Summary'!T59</f>
        <v>2117126</v>
      </c>
      <c r="L27" s="8">
        <f t="shared" si="23"/>
        <v>2.1171259999999998</v>
      </c>
      <c r="M27" s="10">
        <f t="shared" si="24"/>
        <v>6.4995768199999988</v>
      </c>
      <c r="N27" s="21"/>
      <c r="O27" s="7">
        <f>'[8]Production Summary'!I59</f>
        <v>9715000</v>
      </c>
      <c r="P27" s="8">
        <f t="shared" si="25"/>
        <v>9.7149999999999999</v>
      </c>
      <c r="Q27" s="10">
        <f t="shared" si="26"/>
        <v>29.825049999999997</v>
      </c>
      <c r="R27" s="7">
        <f>'[8]Production Summary'!C59</f>
        <v>10078000</v>
      </c>
      <c r="S27" s="8">
        <f t="shared" si="27"/>
        <v>10.077999999999999</v>
      </c>
      <c r="T27" s="10">
        <f t="shared" si="28"/>
        <v>30.939459999999997</v>
      </c>
      <c r="U27" s="7">
        <f>'[8]Production Summary'!F59</f>
        <v>8123000</v>
      </c>
      <c r="V27" s="8">
        <f t="shared" si="29"/>
        <v>8.1229999999999993</v>
      </c>
      <c r="W27" s="10">
        <f t="shared" si="30"/>
        <v>24.937609999999996</v>
      </c>
      <c r="X27" s="7">
        <f>'[8]Production Summary'!AB59</f>
        <v>356999.9999999993</v>
      </c>
      <c r="Y27" s="8">
        <f t="shared" si="31"/>
        <v>0.35699999999999932</v>
      </c>
      <c r="Z27" s="10">
        <f t="shared" si="32"/>
        <v>1.0959899999999978</v>
      </c>
      <c r="AA27" s="15"/>
      <c r="AB27" s="7">
        <f t="shared" si="33"/>
        <v>34115000.000000544</v>
      </c>
      <c r="AC27" s="8">
        <f t="shared" si="33"/>
        <v>34.115000000000542</v>
      </c>
      <c r="AD27" s="8">
        <f t="shared" si="33"/>
        <v>104.73305000000167</v>
      </c>
      <c r="AF27" s="8">
        <f>T27-Q27-Z27</f>
        <v>1.8420000000001657E-2</v>
      </c>
    </row>
    <row r="28" spans="1:32" x14ac:dyDescent="0.15">
      <c r="A28" s="27">
        <v>38588</v>
      </c>
      <c r="B28" s="7">
        <f>'[8]Production Summary'!J60</f>
        <v>22500000</v>
      </c>
      <c r="C28" s="8">
        <f t="shared" si="17"/>
        <v>22.5</v>
      </c>
      <c r="D28" s="10">
        <f t="shared" si="18"/>
        <v>69.075000000000003</v>
      </c>
      <c r="E28" s="7">
        <f>'[8]Production Summary'!E60</f>
        <v>0</v>
      </c>
      <c r="F28" s="8">
        <f t="shared" si="19"/>
        <v>0</v>
      </c>
      <c r="G28" s="10">
        <f t="shared" si="20"/>
        <v>0</v>
      </c>
      <c r="H28" s="7">
        <f>'[8]Production Summary'!G60</f>
        <v>25010000</v>
      </c>
      <c r="I28" s="8">
        <f t="shared" si="21"/>
        <v>25.01</v>
      </c>
      <c r="J28" s="10">
        <f t="shared" si="22"/>
        <v>76.780699999999996</v>
      </c>
      <c r="K28" s="7">
        <f>'[8]Production Summary'!T60</f>
        <v>2074912</v>
      </c>
      <c r="L28" s="8">
        <f t="shared" si="23"/>
        <v>2.0749119999999999</v>
      </c>
      <c r="M28" s="10">
        <f t="shared" si="24"/>
        <v>6.3699798399999992</v>
      </c>
      <c r="N28" s="21"/>
      <c r="O28" s="7">
        <f>'[8]Production Summary'!I60</f>
        <v>9855000</v>
      </c>
      <c r="P28" s="8">
        <f t="shared" si="25"/>
        <v>9.8550000000000004</v>
      </c>
      <c r="Q28" s="10">
        <f t="shared" si="26"/>
        <v>30.254850000000001</v>
      </c>
      <c r="R28" s="7">
        <f>'[8]Production Summary'!C60</f>
        <v>9991000</v>
      </c>
      <c r="S28" s="8">
        <f t="shared" si="27"/>
        <v>9.9909999999999997</v>
      </c>
      <c r="T28" s="10">
        <f t="shared" si="28"/>
        <v>30.672369999999997</v>
      </c>
      <c r="U28" s="7">
        <f>'[8]Production Summary'!F60</f>
        <v>8049000</v>
      </c>
      <c r="V28" s="8">
        <f t="shared" si="29"/>
        <v>8.0489999999999995</v>
      </c>
      <c r="W28" s="10">
        <f t="shared" si="30"/>
        <v>24.710429999999999</v>
      </c>
      <c r="X28" s="7">
        <f>'[8]Production Summary'!AB60</f>
        <v>134000.00000000035</v>
      </c>
      <c r="Y28" s="8">
        <f t="shared" si="31"/>
        <v>0.13400000000000034</v>
      </c>
      <c r="Z28" s="10">
        <f t="shared" si="32"/>
        <v>0.41138000000000102</v>
      </c>
      <c r="AA28" s="15"/>
      <c r="AB28" s="7">
        <f t="shared" si="33"/>
        <v>32355000</v>
      </c>
      <c r="AC28" s="8">
        <f t="shared" si="33"/>
        <v>32.355000000000004</v>
      </c>
      <c r="AD28" s="8">
        <f t="shared" si="33"/>
        <v>99.329850000000008</v>
      </c>
      <c r="AF28" s="8">
        <f t="shared" si="34"/>
        <v>6.1399999999950938E-3</v>
      </c>
    </row>
    <row r="29" spans="1:32" x14ac:dyDescent="0.15">
      <c r="A29" s="27">
        <v>38589</v>
      </c>
      <c r="B29" s="7">
        <f>'[8]Production Summary'!J61</f>
        <v>26199999.999999817</v>
      </c>
      <c r="C29" s="8">
        <f t="shared" si="17"/>
        <v>26.199999999999818</v>
      </c>
      <c r="D29" s="10">
        <f t="shared" si="18"/>
        <v>80.433999999999443</v>
      </c>
      <c r="E29" s="7">
        <f>'[8]Production Summary'!E61</f>
        <v>0</v>
      </c>
      <c r="F29" s="8">
        <f t="shared" si="19"/>
        <v>0</v>
      </c>
      <c r="G29" s="10">
        <f t="shared" si="20"/>
        <v>0</v>
      </c>
      <c r="H29" s="7">
        <f>'[8]Production Summary'!G61</f>
        <v>28540000</v>
      </c>
      <c r="I29" s="8">
        <f t="shared" si="21"/>
        <v>28.54</v>
      </c>
      <c r="J29" s="10">
        <f t="shared" si="22"/>
        <v>87.617799999999988</v>
      </c>
      <c r="K29" s="7">
        <f>'[8]Production Summary'!T61</f>
        <v>2216968</v>
      </c>
      <c r="L29" s="8">
        <f t="shared" si="23"/>
        <v>2.216968</v>
      </c>
      <c r="M29" s="10">
        <f t="shared" si="24"/>
        <v>6.8060917600000002</v>
      </c>
      <c r="N29" s="21"/>
      <c r="O29" s="7">
        <f>'[8]Production Summary'!I61</f>
        <v>7603000</v>
      </c>
      <c r="P29" s="8">
        <f t="shared" si="25"/>
        <v>7.6029999999999998</v>
      </c>
      <c r="Q29" s="10">
        <f t="shared" si="26"/>
        <v>23.341209999999997</v>
      </c>
      <c r="R29" s="7">
        <f>'[8]Production Summary'!C61</f>
        <v>7881000</v>
      </c>
      <c r="S29" s="8">
        <f t="shared" si="27"/>
        <v>7.8810000000000002</v>
      </c>
      <c r="T29" s="10">
        <f t="shared" si="28"/>
        <v>24.194669999999999</v>
      </c>
      <c r="U29" s="7">
        <f>'[8]Production Summary'!F61</f>
        <v>6375000</v>
      </c>
      <c r="V29" s="8">
        <f t="shared" si="29"/>
        <v>6.375</v>
      </c>
      <c r="W29" s="10">
        <f t="shared" si="30"/>
        <v>19.571249999999999</v>
      </c>
      <c r="X29" s="7">
        <f>'[8]Production Summary'!AB61</f>
        <v>272999.99999999971</v>
      </c>
      <c r="Y29" s="8">
        <f t="shared" si="31"/>
        <v>0.27299999999999969</v>
      </c>
      <c r="Z29" s="10">
        <f t="shared" si="32"/>
        <v>0.83810999999999902</v>
      </c>
      <c r="AA29" s="15"/>
      <c r="AB29" s="7">
        <f t="shared" si="33"/>
        <v>33802999.999999821</v>
      </c>
      <c r="AC29" s="8">
        <f t="shared" si="33"/>
        <v>33.80299999999982</v>
      </c>
      <c r="AD29" s="8">
        <f t="shared" si="33"/>
        <v>103.77520999999945</v>
      </c>
      <c r="AF29" s="8">
        <f t="shared" si="34"/>
        <v>1.5350000000002861E-2</v>
      </c>
    </row>
    <row r="30" spans="1:32" x14ac:dyDescent="0.15">
      <c r="A30" s="27">
        <v>38590</v>
      </c>
      <c r="B30" s="7">
        <f>'[8]Production Summary'!J62</f>
        <v>25800000.000000183</v>
      </c>
      <c r="C30" s="8">
        <f t="shared" si="17"/>
        <v>25.800000000000182</v>
      </c>
      <c r="D30" s="10">
        <f t="shared" si="18"/>
        <v>79.206000000000557</v>
      </c>
      <c r="E30" s="7">
        <f>'[8]Production Summary'!E62</f>
        <v>0</v>
      </c>
      <c r="F30" s="8">
        <f t="shared" si="19"/>
        <v>0</v>
      </c>
      <c r="G30" s="10">
        <f t="shared" si="20"/>
        <v>0</v>
      </c>
      <c r="H30" s="7">
        <f>'[8]Production Summary'!G62</f>
        <v>29420000</v>
      </c>
      <c r="I30" s="8">
        <f t="shared" si="21"/>
        <v>29.42</v>
      </c>
      <c r="J30" s="10">
        <f t="shared" si="22"/>
        <v>90.319400000000002</v>
      </c>
      <c r="K30" s="7">
        <f>'[8]Production Summary'!T62</f>
        <v>2287632</v>
      </c>
      <c r="L30" s="8">
        <f t="shared" si="23"/>
        <v>2.2876319999999999</v>
      </c>
      <c r="M30" s="10">
        <f t="shared" si="24"/>
        <v>7.0230302399999989</v>
      </c>
      <c r="N30" s="21"/>
      <c r="O30" s="7">
        <f>'[8]Production Summary'!I62</f>
        <v>9525000</v>
      </c>
      <c r="P30" s="8">
        <f t="shared" si="25"/>
        <v>9.5250000000000004</v>
      </c>
      <c r="Q30" s="10">
        <f t="shared" si="26"/>
        <v>29.24175</v>
      </c>
      <c r="R30" s="7">
        <f>'[8]Production Summary'!C62</f>
        <v>9880000</v>
      </c>
      <c r="S30" s="8">
        <f t="shared" si="27"/>
        <v>9.8800000000000008</v>
      </c>
      <c r="T30" s="10">
        <f t="shared" si="28"/>
        <v>30.331600000000002</v>
      </c>
      <c r="U30" s="7">
        <f>'[8]Production Summary'!F62</f>
        <v>7969000</v>
      </c>
      <c r="V30" s="8">
        <f t="shared" si="29"/>
        <v>7.9690000000000003</v>
      </c>
      <c r="W30" s="10">
        <f t="shared" si="30"/>
        <v>24.464829999999999</v>
      </c>
      <c r="X30" s="7">
        <f>'[8]Production Summary'!AB62</f>
        <v>350999.99999999907</v>
      </c>
      <c r="Y30" s="8">
        <f t="shared" si="31"/>
        <v>0.35099999999999909</v>
      </c>
      <c r="Z30" s="10">
        <f t="shared" si="32"/>
        <v>1.0775699999999973</v>
      </c>
      <c r="AA30" s="15"/>
      <c r="AB30" s="7">
        <f t="shared" si="33"/>
        <v>35325000.000000179</v>
      </c>
      <c r="AC30" s="8">
        <f t="shared" si="33"/>
        <v>35.32500000000018</v>
      </c>
      <c r="AD30" s="8">
        <f>D30+Q30</f>
        <v>108.44775000000055</v>
      </c>
      <c r="AF30" s="8">
        <f t="shared" si="34"/>
        <v>1.2280000000004732E-2</v>
      </c>
    </row>
    <row r="31" spans="1:32" x14ac:dyDescent="0.15">
      <c r="A31" s="27">
        <v>38591</v>
      </c>
      <c r="B31" s="7">
        <f>'[8]Production Summary'!J63</f>
        <v>28399999.999999635</v>
      </c>
      <c r="C31" s="8">
        <f t="shared" si="17"/>
        <v>28.399999999999636</v>
      </c>
      <c r="D31" s="10">
        <f t="shared" si="18"/>
        <v>87.18799999999888</v>
      </c>
      <c r="E31" s="7">
        <f>'[8]Production Summary'!E63</f>
        <v>0</v>
      </c>
      <c r="F31" s="8">
        <f t="shared" si="19"/>
        <v>0</v>
      </c>
      <c r="G31" s="10">
        <f t="shared" si="20"/>
        <v>0</v>
      </c>
      <c r="H31" s="7">
        <f>'[8]Production Summary'!G63</f>
        <v>30220000</v>
      </c>
      <c r="I31" s="8">
        <f t="shared" si="21"/>
        <v>30.22</v>
      </c>
      <c r="J31" s="10">
        <f t="shared" si="22"/>
        <v>92.775399999999991</v>
      </c>
      <c r="K31" s="7">
        <f>'[8]Production Summary'!T63</f>
        <v>2305465</v>
      </c>
      <c r="L31" s="8">
        <f t="shared" si="23"/>
        <v>2.3054649999999999</v>
      </c>
      <c r="M31" s="10">
        <f t="shared" si="24"/>
        <v>7.0777775499999995</v>
      </c>
      <c r="N31" s="21"/>
      <c r="O31" s="7">
        <f>'[8]Production Summary'!I63</f>
        <v>9791999.9999999963</v>
      </c>
      <c r="P31" s="8">
        <f t="shared" si="25"/>
        <v>9.7919999999999963</v>
      </c>
      <c r="Q31" s="10">
        <f t="shared" si="26"/>
        <v>30.061439999999987</v>
      </c>
      <c r="R31" s="7">
        <f>'[8]Production Summary'!C63</f>
        <v>10101000</v>
      </c>
      <c r="S31" s="8">
        <f t="shared" si="27"/>
        <v>10.101000000000001</v>
      </c>
      <c r="T31" s="10">
        <f t="shared" si="28"/>
        <v>31.010070000000002</v>
      </c>
      <c r="U31" s="7">
        <f>'[8]Production Summary'!F63</f>
        <v>8000000</v>
      </c>
      <c r="V31" s="8">
        <f t="shared" si="29"/>
        <v>8</v>
      </c>
      <c r="W31" s="10">
        <f t="shared" si="30"/>
        <v>24.56</v>
      </c>
      <c r="X31" s="7">
        <f>'[8]Production Summary'!AB63</f>
        <v>302000.00000000314</v>
      </c>
      <c r="Y31" s="8">
        <f t="shared" si="31"/>
        <v>0.30200000000000315</v>
      </c>
      <c r="Z31" s="10">
        <f t="shared" si="32"/>
        <v>0.92714000000000962</v>
      </c>
      <c r="AA31" s="15"/>
      <c r="AB31" s="7">
        <f t="shared" si="33"/>
        <v>38191999.999999627</v>
      </c>
      <c r="AC31" s="8">
        <f t="shared" si="33"/>
        <v>38.191999999999631</v>
      </c>
      <c r="AD31" s="8">
        <f t="shared" si="33"/>
        <v>117.24943999999887</v>
      </c>
      <c r="AF31" s="8">
        <f t="shared" si="34"/>
        <v>2.1490000000006004E-2</v>
      </c>
    </row>
    <row r="32" spans="1:32" x14ac:dyDescent="0.15">
      <c r="A32" s="27">
        <v>38592</v>
      </c>
      <c r="B32" s="7">
        <f>'[8]Production Summary'!J64</f>
        <v>25500000</v>
      </c>
      <c r="C32" s="8">
        <f t="shared" si="17"/>
        <v>25.5</v>
      </c>
      <c r="D32" s="10">
        <f t="shared" si="18"/>
        <v>78.284999999999997</v>
      </c>
      <c r="E32" s="7">
        <f>'[8]Production Summary'!E64</f>
        <v>0</v>
      </c>
      <c r="F32" s="8">
        <f t="shared" si="19"/>
        <v>0</v>
      </c>
      <c r="G32" s="10">
        <f t="shared" si="20"/>
        <v>0</v>
      </c>
      <c r="H32" s="7">
        <f>'[8]Production Summary'!G64</f>
        <v>28880000</v>
      </c>
      <c r="I32" s="8">
        <f t="shared" si="21"/>
        <v>28.88</v>
      </c>
      <c r="J32" s="10">
        <f t="shared" si="22"/>
        <v>88.661599999999993</v>
      </c>
      <c r="K32" s="7">
        <f>'[8]Production Summary'!T64</f>
        <v>2206560</v>
      </c>
      <c r="L32" s="8">
        <f t="shared" si="23"/>
        <v>2.2065600000000001</v>
      </c>
      <c r="M32" s="10">
        <f t="shared" si="24"/>
        <v>6.7741391999999996</v>
      </c>
      <c r="N32" s="21"/>
      <c r="O32" s="7">
        <f>'[8]Production Summary'!I64</f>
        <v>9763000.0000000037</v>
      </c>
      <c r="P32" s="8">
        <f t="shared" si="25"/>
        <v>9.7630000000000035</v>
      </c>
      <c r="Q32" s="10">
        <f t="shared" si="26"/>
        <v>29.972410000000011</v>
      </c>
      <c r="R32" s="7">
        <f>'[8]Production Summary'!C64</f>
        <v>10028000</v>
      </c>
      <c r="S32" s="8">
        <f t="shared" si="27"/>
        <v>10.028</v>
      </c>
      <c r="T32" s="10">
        <f t="shared" si="28"/>
        <v>30.785959999999999</v>
      </c>
      <c r="U32" s="7">
        <f>'[8]Production Summary'!F64</f>
        <v>8049000</v>
      </c>
      <c r="V32" s="8">
        <f t="shared" si="29"/>
        <v>8.0489999999999995</v>
      </c>
      <c r="W32" s="10">
        <f t="shared" si="30"/>
        <v>24.710429999999999</v>
      </c>
      <c r="X32" s="7">
        <f>'[8]Production Summary'!AB64</f>
        <v>258999.9999999968</v>
      </c>
      <c r="Y32" s="8">
        <f t="shared" si="31"/>
        <v>0.25899999999999679</v>
      </c>
      <c r="Z32" s="10">
        <f t="shared" si="32"/>
        <v>0.79512999999999012</v>
      </c>
      <c r="AA32" s="15"/>
      <c r="AB32" s="7">
        <f t="shared" si="33"/>
        <v>35263000</v>
      </c>
      <c r="AC32" s="8">
        <f t="shared" si="33"/>
        <v>35.263000000000005</v>
      </c>
      <c r="AD32" s="8">
        <f t="shared" si="33"/>
        <v>108.25741000000001</v>
      </c>
      <c r="AF32" s="8">
        <f t="shared" si="34"/>
        <v>1.8419999999998549E-2</v>
      </c>
    </row>
    <row r="33" spans="1:32" x14ac:dyDescent="0.15">
      <c r="A33" s="27">
        <v>38593</v>
      </c>
      <c r="B33" s="7">
        <f>'[8]Production Summary'!J65</f>
        <v>25800000.000000183</v>
      </c>
      <c r="C33" s="8">
        <f t="shared" si="17"/>
        <v>25.800000000000182</v>
      </c>
      <c r="D33" s="10">
        <f t="shared" si="18"/>
        <v>79.206000000000557</v>
      </c>
      <c r="E33" s="7">
        <f>'[8]Production Summary'!E65</f>
        <v>0</v>
      </c>
      <c r="F33" s="8">
        <f t="shared" si="19"/>
        <v>0</v>
      </c>
      <c r="G33" s="10">
        <f t="shared" si="20"/>
        <v>0</v>
      </c>
      <c r="H33" s="7">
        <f>'[8]Production Summary'!G65</f>
        <v>28640000</v>
      </c>
      <c r="I33" s="8">
        <f t="shared" si="21"/>
        <v>28.64</v>
      </c>
      <c r="J33" s="10">
        <f t="shared" si="22"/>
        <v>87.924799999999991</v>
      </c>
      <c r="K33" s="7">
        <f>'[8]Production Summary'!T65</f>
        <v>2241092</v>
      </c>
      <c r="L33" s="8">
        <f t="shared" si="23"/>
        <v>2.2410920000000001</v>
      </c>
      <c r="M33" s="10">
        <f t="shared" si="24"/>
        <v>6.8801524399999998</v>
      </c>
      <c r="N33" s="21"/>
      <c r="O33" s="7">
        <f>'[8]Production Summary'!I65</f>
        <v>9700000</v>
      </c>
      <c r="P33" s="8">
        <f t="shared" si="25"/>
        <v>9.6999999999999993</v>
      </c>
      <c r="Q33" s="10">
        <f t="shared" si="26"/>
        <v>29.778999999999996</v>
      </c>
      <c r="R33" s="7">
        <f>'[8]Production Summary'!C65</f>
        <v>9989000</v>
      </c>
      <c r="S33" s="8">
        <f t="shared" si="27"/>
        <v>9.9890000000000008</v>
      </c>
      <c r="T33" s="10">
        <f t="shared" si="28"/>
        <v>30.666230000000002</v>
      </c>
      <c r="U33" s="7">
        <f>'[8]Production Summary'!F65</f>
        <v>8000000</v>
      </c>
      <c r="V33" s="8">
        <f t="shared" si="29"/>
        <v>8</v>
      </c>
      <c r="W33" s="10">
        <f t="shared" si="30"/>
        <v>24.56</v>
      </c>
      <c r="X33" s="7">
        <f>'[8]Production Summary'!AB65</f>
        <v>285000.00000000012</v>
      </c>
      <c r="Y33" s="8">
        <f t="shared" si="31"/>
        <v>0.28500000000000014</v>
      </c>
      <c r="Z33" s="10">
        <f t="shared" si="32"/>
        <v>0.87495000000000034</v>
      </c>
      <c r="AA33" s="15"/>
      <c r="AB33" s="7">
        <f t="shared" si="33"/>
        <v>35500000.000000179</v>
      </c>
      <c r="AC33" s="8">
        <f t="shared" si="33"/>
        <v>35.500000000000185</v>
      </c>
      <c r="AD33" s="8">
        <f t="shared" si="33"/>
        <v>108.98500000000055</v>
      </c>
      <c r="AF33" s="8">
        <f t="shared" si="34"/>
        <v>1.228000000000562E-2</v>
      </c>
    </row>
    <row r="34" spans="1:32" x14ac:dyDescent="0.15">
      <c r="A34" s="27">
        <v>38594</v>
      </c>
      <c r="B34" s="7">
        <f>'[8]Production Summary'!J66</f>
        <v>25899999.999999635</v>
      </c>
      <c r="C34" s="8">
        <f t="shared" si="17"/>
        <v>25.899999999999636</v>
      </c>
      <c r="D34" s="10">
        <f t="shared" si="18"/>
        <v>79.512999999998883</v>
      </c>
      <c r="E34" s="7">
        <f>'[8]Production Summary'!E66</f>
        <v>0</v>
      </c>
      <c r="F34" s="8">
        <f t="shared" si="19"/>
        <v>0</v>
      </c>
      <c r="G34" s="10">
        <f t="shared" si="20"/>
        <v>0</v>
      </c>
      <c r="H34" s="7">
        <f>'[8]Production Summary'!G66</f>
        <v>28130000</v>
      </c>
      <c r="I34" s="8">
        <f t="shared" si="21"/>
        <v>28.13</v>
      </c>
      <c r="J34" s="10">
        <f t="shared" si="22"/>
        <v>86.359099999999998</v>
      </c>
      <c r="K34" s="7">
        <f>'[8]Production Summary'!T66</f>
        <v>2142027</v>
      </c>
      <c r="L34" s="8">
        <f t="shared" si="23"/>
        <v>2.1420270000000001</v>
      </c>
      <c r="M34" s="10">
        <f t="shared" si="24"/>
        <v>6.57602289</v>
      </c>
      <c r="N34" s="21"/>
      <c r="O34" s="7">
        <f>'[8]Production Summary'!I66</f>
        <v>8440999.9999999981</v>
      </c>
      <c r="P34" s="8">
        <f t="shared" si="25"/>
        <v>8.4409999999999989</v>
      </c>
      <c r="Q34" s="10">
        <f t="shared" si="26"/>
        <v>25.913869999999996</v>
      </c>
      <c r="R34" s="7">
        <f>'[8]Production Summary'!C66</f>
        <v>8699000</v>
      </c>
      <c r="S34" s="8">
        <f t="shared" si="27"/>
        <v>8.6989999999999998</v>
      </c>
      <c r="T34" s="10">
        <f t="shared" si="28"/>
        <v>26.705929999999999</v>
      </c>
      <c r="U34" s="7">
        <f>'[8]Production Summary'!F66</f>
        <v>8049000</v>
      </c>
      <c r="V34" s="8">
        <f t="shared" si="29"/>
        <v>8.0489999999999995</v>
      </c>
      <c r="W34" s="10">
        <f t="shared" si="30"/>
        <v>24.710429999999999</v>
      </c>
      <c r="X34" s="7">
        <f>'[8]Production Summary'!AB66</f>
        <v>255000.00000000256</v>
      </c>
      <c r="Y34" s="8">
        <f t="shared" si="31"/>
        <v>0.25500000000000256</v>
      </c>
      <c r="Z34" s="10">
        <f t="shared" si="32"/>
        <v>0.78285000000000782</v>
      </c>
      <c r="AA34" s="15"/>
      <c r="AB34" s="7">
        <f t="shared" si="33"/>
        <v>34340999.999999635</v>
      </c>
      <c r="AC34" s="8">
        <f t="shared" si="33"/>
        <v>34.340999999999639</v>
      </c>
      <c r="AD34" s="8">
        <f t="shared" si="33"/>
        <v>105.42686999999887</v>
      </c>
      <c r="AF34" s="8">
        <f t="shared" si="34"/>
        <v>9.2099999999950555E-3</v>
      </c>
    </row>
    <row r="35" spans="1:32" ht="14" thickBot="1" x14ac:dyDescent="0.2">
      <c r="A35" s="27">
        <v>38595</v>
      </c>
      <c r="B35" s="7">
        <f>'[8]Production Summary'!J67</f>
        <v>27400000.000000544</v>
      </c>
      <c r="C35" s="8">
        <f t="shared" si="17"/>
        <v>27.400000000000542</v>
      </c>
      <c r="D35" s="10">
        <f t="shared" si="18"/>
        <v>84.118000000001658</v>
      </c>
      <c r="E35" s="7">
        <f>'[8]Production Summary'!E67</f>
        <v>4000000</v>
      </c>
      <c r="F35" s="8">
        <f t="shared" si="19"/>
        <v>4</v>
      </c>
      <c r="G35" s="10">
        <f t="shared" si="20"/>
        <v>12.28</v>
      </c>
      <c r="H35" s="7">
        <f>'[8]Production Summary'!G67</f>
        <v>26180000</v>
      </c>
      <c r="I35" s="8">
        <f t="shared" si="21"/>
        <v>26.18</v>
      </c>
      <c r="J35" s="10">
        <f t="shared" si="22"/>
        <v>80.372599999999991</v>
      </c>
      <c r="K35" s="7">
        <f>'[8]Production Summary'!T67</f>
        <v>2331197</v>
      </c>
      <c r="L35" s="8">
        <f t="shared" si="23"/>
        <v>2.331197</v>
      </c>
      <c r="M35" s="10">
        <f t="shared" si="24"/>
        <v>7.1567747899999992</v>
      </c>
      <c r="N35" s="21"/>
      <c r="O35" s="7">
        <f>'[8]Production Summary'!I67</f>
        <v>6241000.0000000019</v>
      </c>
      <c r="P35" s="8">
        <f t="shared" si="25"/>
        <v>6.2410000000000014</v>
      </c>
      <c r="Q35" s="10">
        <f t="shared" si="26"/>
        <v>19.159870000000005</v>
      </c>
      <c r="R35" s="7">
        <f>'[8]Production Summary'!C67</f>
        <v>6516000</v>
      </c>
      <c r="S35" s="8">
        <f t="shared" si="27"/>
        <v>6.516</v>
      </c>
      <c r="T35" s="10">
        <f t="shared" si="28"/>
        <v>20.00412</v>
      </c>
      <c r="U35" s="7">
        <f>'[8]Production Summary'!F67</f>
        <v>7141000</v>
      </c>
      <c r="V35" s="8">
        <f t="shared" si="29"/>
        <v>7.141</v>
      </c>
      <c r="W35" s="10">
        <f t="shared" si="30"/>
        <v>21.92287</v>
      </c>
      <c r="X35" s="7">
        <f>'[8]Production Summary'!AB67</f>
        <v>268999.99999999837</v>
      </c>
      <c r="Y35" s="8">
        <f t="shared" si="31"/>
        <v>0.26899999999999835</v>
      </c>
      <c r="Z35" s="10">
        <f t="shared" si="32"/>
        <v>0.82582999999999485</v>
      </c>
      <c r="AA35" s="15"/>
      <c r="AB35" s="7">
        <f t="shared" si="33"/>
        <v>33641000.000000544</v>
      </c>
      <c r="AC35" s="8">
        <f t="shared" si="33"/>
        <v>33.641000000000545</v>
      </c>
      <c r="AD35" s="8">
        <f t="shared" si="33"/>
        <v>103.27787000000166</v>
      </c>
      <c r="AF35" s="8">
        <f t="shared" si="34"/>
        <v>1.8420000000000436E-2</v>
      </c>
    </row>
    <row r="36" spans="1:32" ht="14" thickBot="1" x14ac:dyDescent="0.2">
      <c r="A36" s="14"/>
      <c r="B36" s="38"/>
      <c r="C36" s="39">
        <f>SUM(C5:C35)</f>
        <v>628.20000000000073</v>
      </c>
      <c r="D36" s="39">
        <f t="shared" ref="D36" si="35">C36*3.07</f>
        <v>1928.5740000000021</v>
      </c>
      <c r="E36" s="38"/>
      <c r="F36" s="39">
        <f>SUM(F5:F35)</f>
        <v>41.325999999999993</v>
      </c>
      <c r="G36" s="39">
        <f t="shared" ref="G36" si="36">F36*3.07</f>
        <v>126.87081999999997</v>
      </c>
      <c r="H36" s="38"/>
      <c r="I36" s="39">
        <f>SUM(I5:I35)</f>
        <v>576.38999999999987</v>
      </c>
      <c r="J36" s="39">
        <f t="shared" ref="J36" si="37">I36*3.07</f>
        <v>1769.5172999999995</v>
      </c>
      <c r="K36" s="38"/>
      <c r="L36" s="39">
        <f>SUM(L5:L35)</f>
        <v>56.073098000000002</v>
      </c>
      <c r="M36" s="39">
        <f t="shared" ref="M36" si="38">L36*3.07</f>
        <v>172.14441085999999</v>
      </c>
      <c r="N36" s="14"/>
      <c r="O36" s="38"/>
      <c r="P36" s="39">
        <f>SUM(P5:P35)</f>
        <v>328.01999999999992</v>
      </c>
      <c r="Q36" s="39">
        <f t="shared" ref="Q36" si="39">P36*3.07</f>
        <v>1007.0213999999997</v>
      </c>
      <c r="R36" s="38"/>
      <c r="S36" s="39">
        <f>SUM(S5:S35)</f>
        <v>339.05699999999996</v>
      </c>
      <c r="T36" s="39">
        <f t="shared" ref="T36" si="40">S36*3.07</f>
        <v>1040.9049899999998</v>
      </c>
      <c r="U36" s="38"/>
      <c r="V36" s="39">
        <f>SUM(V5:V35)</f>
        <v>185.81299999999999</v>
      </c>
      <c r="W36" s="39">
        <f t="shared" ref="W36" si="41">V36*3.07</f>
        <v>570.44590999999991</v>
      </c>
      <c r="X36" s="38"/>
      <c r="Y36" s="39">
        <f>SUM(Y5:Y35)</f>
        <v>10.853999999999999</v>
      </c>
      <c r="Z36" s="39">
        <f t="shared" ref="Z36" si="42">Y36*3.07</f>
        <v>33.321779999999997</v>
      </c>
      <c r="AA36" s="14"/>
      <c r="AB36" s="38"/>
      <c r="AC36" s="39">
        <f>SUM(AC5:AC35)</f>
        <v>956.22000000000094</v>
      </c>
      <c r="AD36" s="39">
        <f>AC36*3.07</f>
        <v>2935.5954000000029</v>
      </c>
      <c r="AF36" s="39">
        <f>SUM(AF5:AF35)</f>
        <v>0.56181000000005199</v>
      </c>
    </row>
    <row r="37" spans="1:32" x14ac:dyDescent="0.15">
      <c r="C37" s="18"/>
      <c r="E37" s="3"/>
      <c r="F37" s="3"/>
      <c r="G37" s="3"/>
      <c r="H37" s="3"/>
      <c r="I37" s="3"/>
      <c r="J37" s="3"/>
      <c r="K37" s="14"/>
      <c r="L37" s="3"/>
      <c r="M37" s="3"/>
      <c r="N37" s="3"/>
      <c r="O37" s="3"/>
      <c r="P37" s="3"/>
      <c r="Q37" s="3"/>
      <c r="R37" s="3"/>
      <c r="S37" s="3"/>
      <c r="T37" s="3"/>
      <c r="U37" s="14"/>
    </row>
    <row r="38" spans="1:32" x14ac:dyDescent="0.15">
      <c r="G38" s="15"/>
    </row>
  </sheetData>
  <mergeCells count="9">
    <mergeCell ref="AB3:AD3"/>
    <mergeCell ref="R3:T3"/>
    <mergeCell ref="U3:W3"/>
    <mergeCell ref="X3:Z3"/>
    <mergeCell ref="B3:D3"/>
    <mergeCell ref="E3:G3"/>
    <mergeCell ref="H3:J3"/>
    <mergeCell ref="O3:Q3"/>
    <mergeCell ref="K3:M3"/>
  </mergeCells>
  <phoneticPr fontId="1" type="noConversion"/>
  <pageMargins left="0.75" right="0.75" top="1" bottom="1" header="0.5" footer="0.5"/>
  <pageSetup scale="37" orientation="landscape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>
    <pageSetUpPr fitToPage="1"/>
  </sheetPr>
  <dimension ref="A1:AF38"/>
  <sheetViews>
    <sheetView workbookViewId="0">
      <pane xSplit="1" ySplit="4" topLeftCell="E18" activePane="bottomRight" state="frozen"/>
      <selection activeCell="T39" sqref="T39"/>
      <selection pane="topRight" activeCell="T39" sqref="T39"/>
      <selection pane="bottomLeft" activeCell="T39" sqref="T39"/>
      <selection pane="bottomRight" activeCell="V33" sqref="V33:V34"/>
    </sheetView>
  </sheetViews>
  <sheetFormatPr baseColWidth="10" defaultColWidth="8.83203125" defaultRowHeight="13" x14ac:dyDescent="0.15"/>
  <cols>
    <col min="2" max="2" width="12.5" customWidth="1"/>
    <col min="5" max="5" width="11.33203125" customWidth="1"/>
    <col min="8" max="8" width="11.33203125" customWidth="1"/>
    <col min="11" max="11" width="14.5" customWidth="1"/>
    <col min="12" max="12" width="10.5" customWidth="1"/>
    <col min="13" max="13" width="10.1640625" customWidth="1"/>
    <col min="15" max="15" width="13.5" customWidth="1"/>
    <col min="18" max="18" width="11.1640625" customWidth="1"/>
    <col min="22" max="22" width="11" customWidth="1"/>
    <col min="28" max="28" width="11.1640625" customWidth="1"/>
  </cols>
  <sheetData>
    <row r="1" spans="1:32" x14ac:dyDescent="0.15">
      <c r="A1" s="42"/>
      <c r="B1" s="40"/>
      <c r="C1" s="25"/>
      <c r="D1" s="25"/>
      <c r="E1" s="25"/>
      <c r="F1" s="25"/>
      <c r="G1" s="3"/>
      <c r="H1" s="3"/>
      <c r="I1" s="3"/>
      <c r="J1" s="3"/>
      <c r="K1" s="14"/>
      <c r="L1" s="3"/>
      <c r="M1" s="3"/>
      <c r="N1" s="3"/>
      <c r="O1" s="3"/>
      <c r="P1" s="3"/>
      <c r="Q1" s="3"/>
      <c r="R1" s="3"/>
      <c r="S1" s="3"/>
      <c r="T1" s="3"/>
      <c r="U1" s="14"/>
      <c r="V1" s="3"/>
      <c r="W1" s="3"/>
      <c r="X1" s="3"/>
    </row>
    <row r="2" spans="1:32" ht="14" thickBot="1" x14ac:dyDescent="0.2">
      <c r="A2" s="3"/>
      <c r="B2" s="3"/>
      <c r="C2" s="24"/>
      <c r="D2" s="3"/>
      <c r="E2" s="3"/>
      <c r="F2" s="3"/>
      <c r="G2" s="3"/>
      <c r="H2" s="3"/>
      <c r="I2" s="3"/>
      <c r="J2" s="3"/>
      <c r="K2" s="14"/>
      <c r="L2" s="3"/>
      <c r="M2" s="3"/>
      <c r="N2" s="3"/>
      <c r="O2" s="3"/>
      <c r="P2" s="3"/>
      <c r="Q2" s="3"/>
      <c r="R2" s="3"/>
      <c r="S2" s="3"/>
      <c r="T2" s="3"/>
      <c r="U2" s="14"/>
      <c r="V2" s="3"/>
      <c r="W2" s="3"/>
      <c r="X2" s="3"/>
    </row>
    <row r="3" spans="1:32" ht="60.75" customHeight="1" thickBot="1" x14ac:dyDescent="0.2">
      <c r="A3" s="3"/>
      <c r="B3" s="58" t="s">
        <v>10</v>
      </c>
      <c r="C3" s="59"/>
      <c r="D3" s="60"/>
      <c r="E3" s="58" t="s">
        <v>11</v>
      </c>
      <c r="F3" s="59"/>
      <c r="G3" s="60"/>
      <c r="H3" s="58" t="s">
        <v>12</v>
      </c>
      <c r="I3" s="59"/>
      <c r="J3" s="60"/>
      <c r="K3" s="58" t="s">
        <v>13</v>
      </c>
      <c r="L3" s="59"/>
      <c r="M3" s="60"/>
      <c r="N3" s="19"/>
      <c r="O3" s="58" t="s">
        <v>4</v>
      </c>
      <c r="P3" s="59"/>
      <c r="Q3" s="60"/>
      <c r="R3" s="58" t="s">
        <v>3</v>
      </c>
      <c r="S3" s="59"/>
      <c r="T3" s="60"/>
      <c r="U3" s="58" t="s">
        <v>6</v>
      </c>
      <c r="V3" s="59"/>
      <c r="W3" s="60"/>
      <c r="X3" s="58" t="s">
        <v>7</v>
      </c>
      <c r="Y3" s="59"/>
      <c r="Z3" s="60"/>
      <c r="AA3" s="19"/>
      <c r="AB3" s="55" t="s">
        <v>8</v>
      </c>
      <c r="AC3" s="56"/>
      <c r="AD3" s="57"/>
      <c r="AF3" s="34" t="s">
        <v>9</v>
      </c>
    </row>
    <row r="4" spans="1:32" x14ac:dyDescent="0.15">
      <c r="A4" s="26"/>
      <c r="B4" s="4" t="s">
        <v>0</v>
      </c>
      <c r="C4" s="17" t="s">
        <v>1</v>
      </c>
      <c r="D4" s="6" t="s">
        <v>2</v>
      </c>
      <c r="E4" s="4" t="s">
        <v>0</v>
      </c>
      <c r="F4" s="5" t="s">
        <v>1</v>
      </c>
      <c r="G4" s="6" t="s">
        <v>2</v>
      </c>
      <c r="H4" s="4" t="s">
        <v>0</v>
      </c>
      <c r="I4" s="5" t="s">
        <v>1</v>
      </c>
      <c r="J4" s="6" t="s">
        <v>2</v>
      </c>
      <c r="K4" s="4" t="s">
        <v>0</v>
      </c>
      <c r="L4" s="5" t="s">
        <v>1</v>
      </c>
      <c r="M4" s="6" t="s">
        <v>2</v>
      </c>
      <c r="N4" s="19"/>
      <c r="O4" s="4" t="s">
        <v>0</v>
      </c>
      <c r="P4" s="5" t="s">
        <v>1</v>
      </c>
      <c r="Q4" s="6" t="s">
        <v>2</v>
      </c>
      <c r="R4" s="4" t="s">
        <v>0</v>
      </c>
      <c r="S4" s="5" t="s">
        <v>1</v>
      </c>
      <c r="T4" s="6" t="s">
        <v>2</v>
      </c>
      <c r="U4" s="4" t="s">
        <v>0</v>
      </c>
      <c r="V4" s="5" t="s">
        <v>1</v>
      </c>
      <c r="W4" s="6" t="s">
        <v>2</v>
      </c>
      <c r="X4" s="4" t="s">
        <v>0</v>
      </c>
      <c r="Y4" s="5" t="s">
        <v>1</v>
      </c>
      <c r="Z4" s="6" t="s">
        <v>2</v>
      </c>
      <c r="AA4" s="19"/>
      <c r="AB4" s="31" t="s">
        <v>0</v>
      </c>
      <c r="AC4" s="32" t="s">
        <v>1</v>
      </c>
      <c r="AD4" s="33" t="s">
        <v>2</v>
      </c>
      <c r="AF4" s="5" t="s">
        <v>2</v>
      </c>
    </row>
    <row r="5" spans="1:32" x14ac:dyDescent="0.15">
      <c r="A5" s="27">
        <v>38596</v>
      </c>
      <c r="B5" s="7">
        <f>'[8]Production Summary'!J68</f>
        <v>27799999.999999274</v>
      </c>
      <c r="C5" s="8">
        <f t="shared" ref="C5" si="0">B5/1000000</f>
        <v>27.799999999999272</v>
      </c>
      <c r="D5" s="10">
        <f t="shared" ref="D5" si="1">C5*3.07</f>
        <v>85.345999999997758</v>
      </c>
      <c r="E5" s="7">
        <f>'[8]Production Summary'!E68</f>
        <v>9000000</v>
      </c>
      <c r="F5" s="8">
        <f t="shared" ref="F5" si="2">E5/1000000</f>
        <v>9</v>
      </c>
      <c r="G5" s="10">
        <f t="shared" ref="G5" si="3">F5*3.07</f>
        <v>27.63</v>
      </c>
      <c r="H5" s="7">
        <f>'[8]Production Summary'!G68</f>
        <v>21920000</v>
      </c>
      <c r="I5" s="8">
        <f t="shared" ref="I5" si="4">H5/1000000</f>
        <v>21.92</v>
      </c>
      <c r="J5" s="10">
        <f t="shared" ref="J5" si="5">I5*3.07</f>
        <v>67.294399999999996</v>
      </c>
      <c r="K5" s="7">
        <f>'[8]Production Summary'!T68</f>
        <v>2357858</v>
      </c>
      <c r="L5" s="8">
        <f t="shared" ref="L5" si="6">K5/1000000</f>
        <v>2.3578579999999998</v>
      </c>
      <c r="M5" s="10">
        <f t="shared" ref="M5" si="7">L5*3.07</f>
        <v>7.2386240599999994</v>
      </c>
      <c r="N5" s="21"/>
      <c r="O5" s="7">
        <f>'[8]Production Summary'!I68</f>
        <v>7603000.0000000028</v>
      </c>
      <c r="P5" s="8">
        <f t="shared" ref="P5" si="8">O5/1000000</f>
        <v>7.6030000000000024</v>
      </c>
      <c r="Q5" s="10">
        <f t="shared" ref="Q5" si="9">P5*3.07</f>
        <v>23.341210000000007</v>
      </c>
      <c r="R5" s="7">
        <f>'[8]Production Summary'!C68</f>
        <v>7783000</v>
      </c>
      <c r="S5" s="8">
        <f t="shared" ref="S5" si="10">R5/1000000</f>
        <v>7.7830000000000004</v>
      </c>
      <c r="T5" s="10">
        <f t="shared" ref="T5" si="11">S5*3.07</f>
        <v>23.893809999999998</v>
      </c>
      <c r="U5" s="7">
        <f>'[8]Production Summary'!F68</f>
        <v>6048000</v>
      </c>
      <c r="V5" s="8">
        <f t="shared" ref="V5" si="12">U5/1000000</f>
        <v>6.048</v>
      </c>
      <c r="W5" s="10">
        <f t="shared" ref="W5" si="13">V5*3.07</f>
        <v>18.567360000000001</v>
      </c>
      <c r="X5" s="7">
        <f>'[8]Production Summary'!AB68</f>
        <v>174999.99999999715</v>
      </c>
      <c r="Y5" s="8">
        <f t="shared" ref="Y5" si="14">X5/1000000</f>
        <v>0.17499999999999716</v>
      </c>
      <c r="Z5" s="10">
        <f t="shared" ref="Z5" si="15">Y5*3.07</f>
        <v>0.53724999999999123</v>
      </c>
      <c r="AA5" s="15"/>
      <c r="AB5" s="7">
        <f>B5+O5</f>
        <v>35402999.999999277</v>
      </c>
      <c r="AC5" s="8">
        <f>C5+P5</f>
        <v>35.402999999999274</v>
      </c>
      <c r="AD5" s="8">
        <f>D5+Q5</f>
        <v>108.68720999999776</v>
      </c>
      <c r="AF5" s="8">
        <f>T5-Q5-Z5</f>
        <v>1.5349999999999864E-2</v>
      </c>
    </row>
    <row r="6" spans="1:32" x14ac:dyDescent="0.15">
      <c r="A6" s="27">
        <v>38597</v>
      </c>
      <c r="B6" s="7">
        <f>'[8]Production Summary'!J69</f>
        <v>29400000.000000544</v>
      </c>
      <c r="C6" s="8">
        <f t="shared" ref="C6:C34" si="16">B6/1000000</f>
        <v>29.400000000000542</v>
      </c>
      <c r="D6" s="10">
        <f t="shared" ref="D6:D34" si="17">C6*3.07</f>
        <v>90.258000000001658</v>
      </c>
      <c r="E6" s="7">
        <f>'[8]Production Summary'!E69</f>
        <v>9000000</v>
      </c>
      <c r="F6" s="8">
        <f t="shared" ref="F6:F34" si="18">E6/1000000</f>
        <v>9</v>
      </c>
      <c r="G6" s="10">
        <f t="shared" ref="G6:G34" si="19">F6*3.07</f>
        <v>27.63</v>
      </c>
      <c r="H6" s="7">
        <f>'[8]Production Summary'!G69</f>
        <v>23250000</v>
      </c>
      <c r="I6" s="8">
        <f t="shared" ref="I6:I34" si="20">H6/1000000</f>
        <v>23.25</v>
      </c>
      <c r="J6" s="10">
        <f t="shared" ref="J6:J34" si="21">I6*3.07</f>
        <v>71.377499999999998</v>
      </c>
      <c r="K6" s="7">
        <f>'[8]Production Summary'!T69</f>
        <v>2492595</v>
      </c>
      <c r="L6" s="8">
        <f t="shared" ref="L6:L34" si="22">K6/1000000</f>
        <v>2.4925950000000001</v>
      </c>
      <c r="M6" s="10">
        <f t="shared" ref="M6:M34" si="23">L6*3.07</f>
        <v>7.6522666499999996</v>
      </c>
      <c r="N6" s="21"/>
      <c r="O6" s="7">
        <f>'[8]Production Summary'!I69</f>
        <v>6861999.9999999981</v>
      </c>
      <c r="P6" s="8">
        <f t="shared" ref="P6:P34" si="24">O6/1000000</f>
        <v>6.8619999999999983</v>
      </c>
      <c r="Q6" s="10">
        <f t="shared" ref="Q6:Q34" si="25">P6*3.07</f>
        <v>21.066339999999993</v>
      </c>
      <c r="R6" s="7">
        <f>'[8]Production Summary'!C69</f>
        <v>6989000</v>
      </c>
      <c r="S6" s="8">
        <f t="shared" ref="S6:S34" si="26">R6/1000000</f>
        <v>6.9889999999999999</v>
      </c>
      <c r="T6" s="10">
        <f t="shared" ref="T6:T34" si="27">S6*3.07</f>
        <v>21.456229999999998</v>
      </c>
      <c r="U6" s="7">
        <f>'[8]Production Summary'!F69</f>
        <v>6019000</v>
      </c>
      <c r="V6" s="8">
        <f t="shared" ref="V6:V34" si="28">U6/1000000</f>
        <v>6.0190000000000001</v>
      </c>
      <c r="W6" s="10">
        <f t="shared" ref="W6:W34" si="29">V6*3.07</f>
        <v>18.47833</v>
      </c>
      <c r="X6" s="7">
        <f>'[8]Production Summary'!AB69</f>
        <v>124000.00000000233</v>
      </c>
      <c r="Y6" s="8">
        <f t="shared" ref="Y6:Y34" si="30">X6/1000000</f>
        <v>0.12400000000000233</v>
      </c>
      <c r="Z6" s="10">
        <f t="shared" ref="Z6:Z34" si="31">Y6*3.07</f>
        <v>0.38068000000000712</v>
      </c>
      <c r="AA6" s="15"/>
      <c r="AB6" s="7">
        <f t="shared" ref="AB6:AD35" si="32">B6+O6</f>
        <v>36262000.000000544</v>
      </c>
      <c r="AC6" s="8">
        <f t="shared" si="32"/>
        <v>36.26200000000054</v>
      </c>
      <c r="AD6" s="8">
        <f t="shared" si="32"/>
        <v>111.32434000000165</v>
      </c>
      <c r="AF6" s="8">
        <f t="shared" ref="AF6:AF14" si="33">T6-Q6-Z6</f>
        <v>9.209999999997609E-3</v>
      </c>
    </row>
    <row r="7" spans="1:32" x14ac:dyDescent="0.15">
      <c r="A7" s="27">
        <v>38598</v>
      </c>
      <c r="B7" s="7">
        <f>'[8]Production Summary'!J70</f>
        <v>28699999.999999817</v>
      </c>
      <c r="C7" s="8">
        <f t="shared" si="16"/>
        <v>28.699999999999818</v>
      </c>
      <c r="D7" s="10">
        <f t="shared" si="17"/>
        <v>88.10899999999944</v>
      </c>
      <c r="E7" s="7">
        <f>'[8]Production Summary'!E70</f>
        <v>9000000</v>
      </c>
      <c r="F7" s="8">
        <f t="shared" si="18"/>
        <v>9</v>
      </c>
      <c r="G7" s="10">
        <f t="shared" si="19"/>
        <v>27.63</v>
      </c>
      <c r="H7" s="7">
        <f>'[8]Production Summary'!G70</f>
        <v>22500000</v>
      </c>
      <c r="I7" s="8">
        <f t="shared" si="20"/>
        <v>22.5</v>
      </c>
      <c r="J7" s="10">
        <f t="shared" si="21"/>
        <v>69.075000000000003</v>
      </c>
      <c r="K7" s="7">
        <f>'[8]Production Summary'!T70</f>
        <v>2526870</v>
      </c>
      <c r="L7" s="8">
        <f t="shared" si="22"/>
        <v>2.5268700000000002</v>
      </c>
      <c r="M7" s="10">
        <f t="shared" si="23"/>
        <v>7.7574909000000005</v>
      </c>
      <c r="N7" s="21"/>
      <c r="O7" s="7">
        <f>'[8]Production Summary'!I70</f>
        <v>6873000</v>
      </c>
      <c r="P7" s="8">
        <f t="shared" si="24"/>
        <v>6.8730000000000002</v>
      </c>
      <c r="Q7" s="10">
        <f t="shared" si="25"/>
        <v>21.100110000000001</v>
      </c>
      <c r="R7" s="7">
        <f>'[8]Production Summary'!C70</f>
        <v>7008000</v>
      </c>
      <c r="S7" s="8">
        <f t="shared" si="26"/>
        <v>7.008</v>
      </c>
      <c r="T7" s="10">
        <f t="shared" si="27"/>
        <v>21.514559999999999</v>
      </c>
      <c r="U7" s="7">
        <f>'[8]Production Summary'!F70</f>
        <v>6034000</v>
      </c>
      <c r="V7" s="8">
        <f t="shared" si="28"/>
        <v>6.0339999999999998</v>
      </c>
      <c r="W7" s="10">
        <f t="shared" si="29"/>
        <v>18.524379999999997</v>
      </c>
      <c r="X7" s="7">
        <f>'[8]Production Summary'!AB70</f>
        <v>131000.00000000023</v>
      </c>
      <c r="Y7" s="8">
        <f t="shared" si="30"/>
        <v>0.13100000000000023</v>
      </c>
      <c r="Z7" s="10">
        <f t="shared" si="31"/>
        <v>0.40217000000000069</v>
      </c>
      <c r="AA7" s="15"/>
      <c r="AB7" s="7">
        <f t="shared" si="32"/>
        <v>35572999.999999821</v>
      </c>
      <c r="AC7" s="8">
        <f t="shared" si="32"/>
        <v>35.572999999999816</v>
      </c>
      <c r="AD7" s="8">
        <f t="shared" si="32"/>
        <v>109.20910999999944</v>
      </c>
      <c r="AF7" s="8">
        <f t="shared" si="33"/>
        <v>1.2279999999997959E-2</v>
      </c>
    </row>
    <row r="8" spans="1:32" x14ac:dyDescent="0.15">
      <c r="A8" s="27">
        <v>38599</v>
      </c>
      <c r="B8" s="7">
        <f>'[8]Production Summary'!J71</f>
        <v>28600000.000000365</v>
      </c>
      <c r="C8" s="8">
        <f t="shared" si="16"/>
        <v>28.600000000000364</v>
      </c>
      <c r="D8" s="10">
        <f t="shared" si="17"/>
        <v>87.802000000001115</v>
      </c>
      <c r="E8" s="7">
        <f>'[8]Production Summary'!E71</f>
        <v>9000000</v>
      </c>
      <c r="F8" s="8">
        <f t="shared" si="18"/>
        <v>9</v>
      </c>
      <c r="G8" s="10">
        <f t="shared" si="19"/>
        <v>27.63</v>
      </c>
      <c r="H8" s="7">
        <f>'[8]Production Summary'!G71</f>
        <v>22390000</v>
      </c>
      <c r="I8" s="8">
        <f t="shared" si="20"/>
        <v>22.39</v>
      </c>
      <c r="J8" s="10">
        <f t="shared" si="21"/>
        <v>68.737300000000005</v>
      </c>
      <c r="K8" s="7">
        <f>'[8]Production Summary'!T71</f>
        <v>2407281</v>
      </c>
      <c r="L8" s="8">
        <f t="shared" si="22"/>
        <v>2.4072809999999998</v>
      </c>
      <c r="M8" s="10">
        <f t="shared" si="23"/>
        <v>7.3903526699999986</v>
      </c>
      <c r="N8" s="21"/>
      <c r="O8" s="7">
        <f>'[8]Production Summary'!I71</f>
        <v>6791999.9999999981</v>
      </c>
      <c r="P8" s="8">
        <f t="shared" si="24"/>
        <v>6.791999999999998</v>
      </c>
      <c r="Q8" s="10">
        <f t="shared" si="25"/>
        <v>20.851439999999993</v>
      </c>
      <c r="R8" s="7">
        <f>'[8]Production Summary'!C71</f>
        <v>6907000</v>
      </c>
      <c r="S8" s="8">
        <f t="shared" si="26"/>
        <v>6.907</v>
      </c>
      <c r="T8" s="10">
        <f t="shared" si="27"/>
        <v>21.20449</v>
      </c>
      <c r="U8" s="7">
        <f>'[8]Production Summary'!F71</f>
        <v>5948000</v>
      </c>
      <c r="V8" s="8">
        <f t="shared" si="28"/>
        <v>5.9480000000000004</v>
      </c>
      <c r="W8" s="10">
        <f t="shared" si="29"/>
        <v>18.260359999999999</v>
      </c>
      <c r="X8" s="7">
        <f>'[8]Production Summary'!AB71</f>
        <v>112000.00000000188</v>
      </c>
      <c r="Y8" s="8">
        <f t="shared" si="30"/>
        <v>0.11200000000000188</v>
      </c>
      <c r="Z8" s="10">
        <f t="shared" si="31"/>
        <v>0.34384000000000575</v>
      </c>
      <c r="AA8" s="15"/>
      <c r="AB8" s="7">
        <f t="shared" si="32"/>
        <v>35392000.000000365</v>
      </c>
      <c r="AC8" s="8">
        <f t="shared" si="32"/>
        <v>35.392000000000365</v>
      </c>
      <c r="AD8" s="8">
        <f>D8+Q8</f>
        <v>108.65344000000111</v>
      </c>
      <c r="AF8" s="8">
        <f t="shared" si="33"/>
        <v>9.2100000000009952E-3</v>
      </c>
    </row>
    <row r="9" spans="1:32" x14ac:dyDescent="0.15">
      <c r="A9" s="27">
        <v>38600</v>
      </c>
      <c r="B9" s="7">
        <f>'[8]Production Summary'!J72</f>
        <v>28099999.999999456</v>
      </c>
      <c r="C9" s="8">
        <f t="shared" si="16"/>
        <v>28.099999999999458</v>
      </c>
      <c r="D9" s="10">
        <f t="shared" si="17"/>
        <v>86.266999999998333</v>
      </c>
      <c r="E9" s="7">
        <f>'[8]Production Summary'!E72</f>
        <v>9000000</v>
      </c>
      <c r="F9" s="8">
        <f t="shared" si="18"/>
        <v>9</v>
      </c>
      <c r="G9" s="10">
        <f t="shared" si="19"/>
        <v>27.63</v>
      </c>
      <c r="H9" s="7">
        <f>'[8]Production Summary'!G72</f>
        <v>22420000</v>
      </c>
      <c r="I9" s="8">
        <f t="shared" si="20"/>
        <v>22.42</v>
      </c>
      <c r="J9" s="10">
        <f t="shared" si="21"/>
        <v>68.829400000000007</v>
      </c>
      <c r="K9" s="7">
        <f>'[8]Production Summary'!T72</f>
        <v>2388987</v>
      </c>
      <c r="L9" s="8">
        <f t="shared" si="22"/>
        <v>2.3889870000000002</v>
      </c>
      <c r="M9" s="10">
        <f t="shared" si="23"/>
        <v>7.3341900899999999</v>
      </c>
      <c r="N9" s="21"/>
      <c r="O9" s="7">
        <f>'[8]Production Summary'!I72</f>
        <v>6862000.0000000019</v>
      </c>
      <c r="P9" s="8">
        <f t="shared" si="24"/>
        <v>6.8620000000000019</v>
      </c>
      <c r="Q9" s="10">
        <f t="shared" si="25"/>
        <v>21.066340000000004</v>
      </c>
      <c r="R9" s="7">
        <f>'[8]Production Summary'!C72</f>
        <v>7060000</v>
      </c>
      <c r="S9" s="8">
        <f t="shared" si="26"/>
        <v>7.06</v>
      </c>
      <c r="T9" s="10">
        <f t="shared" si="27"/>
        <v>21.674199999999999</v>
      </c>
      <c r="U9" s="7">
        <f>'[8]Production Summary'!F72</f>
        <v>6088000</v>
      </c>
      <c r="V9" s="8">
        <f t="shared" si="28"/>
        <v>6.0880000000000001</v>
      </c>
      <c r="W9" s="10">
        <f t="shared" si="29"/>
        <v>18.690159999999999</v>
      </c>
      <c r="X9" s="7">
        <f>'[8]Production Summary'!AB72</f>
        <v>192999.99999999785</v>
      </c>
      <c r="Y9" s="8">
        <f t="shared" si="30"/>
        <v>0.19299999999999784</v>
      </c>
      <c r="Z9" s="10">
        <f t="shared" si="31"/>
        <v>0.59250999999999332</v>
      </c>
      <c r="AA9" s="15"/>
      <c r="AB9" s="7">
        <f t="shared" si="32"/>
        <v>34961999.999999456</v>
      </c>
      <c r="AC9" s="8">
        <f t="shared" si="32"/>
        <v>34.961999999999463</v>
      </c>
      <c r="AD9" s="8">
        <f t="shared" si="32"/>
        <v>107.33333999999834</v>
      </c>
      <c r="AF9" s="8">
        <f t="shared" si="33"/>
        <v>1.5350000000001862E-2</v>
      </c>
    </row>
    <row r="10" spans="1:32" x14ac:dyDescent="0.15">
      <c r="A10" s="27">
        <v>38601</v>
      </c>
      <c r="B10" s="7">
        <f>'[8]Production Summary'!J73</f>
        <v>28100000.000000365</v>
      </c>
      <c r="C10" s="8">
        <f t="shared" si="16"/>
        <v>28.100000000000364</v>
      </c>
      <c r="D10" s="10">
        <f t="shared" si="17"/>
        <v>86.267000000001119</v>
      </c>
      <c r="E10" s="7">
        <f>'[8]Production Summary'!E73</f>
        <v>9000000</v>
      </c>
      <c r="F10" s="8">
        <f t="shared" si="18"/>
        <v>9</v>
      </c>
      <c r="G10" s="10">
        <f t="shared" si="19"/>
        <v>27.63</v>
      </c>
      <c r="H10" s="7">
        <f>'[8]Production Summary'!G73</f>
        <v>21160000</v>
      </c>
      <c r="I10" s="8">
        <f t="shared" si="20"/>
        <v>21.16</v>
      </c>
      <c r="J10" s="10">
        <f t="shared" si="21"/>
        <v>64.961199999999991</v>
      </c>
      <c r="K10" s="7">
        <f>'[8]Production Summary'!T73</f>
        <v>2328696</v>
      </c>
      <c r="L10" s="8">
        <f t="shared" si="22"/>
        <v>2.3286959999999999</v>
      </c>
      <c r="M10" s="10">
        <f t="shared" si="23"/>
        <v>7.1490967199999993</v>
      </c>
      <c r="N10" s="21"/>
      <c r="O10" s="7">
        <f>'[8]Production Summary'!I73</f>
        <v>6863999.9999999963</v>
      </c>
      <c r="P10" s="8">
        <f t="shared" si="24"/>
        <v>6.8639999999999963</v>
      </c>
      <c r="Q10" s="10">
        <f t="shared" si="25"/>
        <v>21.072479999999988</v>
      </c>
      <c r="R10" s="7">
        <f>'[8]Production Summary'!C73</f>
        <v>7040000</v>
      </c>
      <c r="S10" s="8">
        <f t="shared" si="26"/>
        <v>7.04</v>
      </c>
      <c r="T10" s="10">
        <f t="shared" si="27"/>
        <v>21.6128</v>
      </c>
      <c r="U10" s="7">
        <f>'[8]Production Summary'!F73</f>
        <v>6000000</v>
      </c>
      <c r="V10" s="8">
        <f t="shared" si="28"/>
        <v>6</v>
      </c>
      <c r="W10" s="10">
        <f t="shared" si="29"/>
        <v>18.419999999999998</v>
      </c>
      <c r="X10" s="7">
        <f>'[8]Production Summary'!AB73</f>
        <v>172000.00000000416</v>
      </c>
      <c r="Y10" s="8">
        <f t="shared" si="30"/>
        <v>0.17200000000000415</v>
      </c>
      <c r="Z10" s="10">
        <f t="shared" si="31"/>
        <v>0.52804000000001272</v>
      </c>
      <c r="AA10" s="15"/>
      <c r="AB10" s="7">
        <f t="shared" si="32"/>
        <v>34964000.000000358</v>
      </c>
      <c r="AC10" s="8">
        <f t="shared" si="32"/>
        <v>34.964000000000361</v>
      </c>
      <c r="AD10" s="8">
        <f t="shared" si="32"/>
        <v>107.3394800000011</v>
      </c>
      <c r="AF10" s="8">
        <f t="shared" si="33"/>
        <v>1.227999999999918E-2</v>
      </c>
    </row>
    <row r="11" spans="1:32" x14ac:dyDescent="0.15">
      <c r="A11" s="27">
        <v>38602</v>
      </c>
      <c r="B11" s="7">
        <f>'[8]Production Summary'!J74</f>
        <v>27699999.999999817</v>
      </c>
      <c r="C11" s="8">
        <f t="shared" si="16"/>
        <v>27.699999999999818</v>
      </c>
      <c r="D11" s="10">
        <f t="shared" si="17"/>
        <v>85.038999999999433</v>
      </c>
      <c r="E11" s="7">
        <f>'[8]Production Summary'!E74</f>
        <v>9000000</v>
      </c>
      <c r="F11" s="8">
        <f t="shared" si="18"/>
        <v>9</v>
      </c>
      <c r="G11" s="10">
        <f t="shared" si="19"/>
        <v>27.63</v>
      </c>
      <c r="H11" s="7">
        <f>'[8]Production Summary'!G74</f>
        <v>20900000</v>
      </c>
      <c r="I11" s="8">
        <f t="shared" si="20"/>
        <v>20.9</v>
      </c>
      <c r="J11" s="10">
        <f t="shared" si="21"/>
        <v>64.162999999999997</v>
      </c>
      <c r="K11" s="7">
        <f>'[8]Production Summary'!T74</f>
        <v>2406165</v>
      </c>
      <c r="L11" s="8">
        <f t="shared" si="22"/>
        <v>2.4061650000000001</v>
      </c>
      <c r="M11" s="10">
        <f t="shared" si="23"/>
        <v>7.3869265500000001</v>
      </c>
      <c r="N11" s="21"/>
      <c r="O11" s="7">
        <f>'[8]Production Summary'!I74</f>
        <v>6890000.0000000047</v>
      </c>
      <c r="P11" s="8">
        <f t="shared" si="24"/>
        <v>6.890000000000005</v>
      </c>
      <c r="Q11" s="10">
        <f t="shared" si="25"/>
        <v>21.152300000000015</v>
      </c>
      <c r="R11" s="7">
        <f>'[8]Production Summary'!C74</f>
        <v>7024000</v>
      </c>
      <c r="S11" s="8">
        <f t="shared" si="26"/>
        <v>7.024</v>
      </c>
      <c r="T11" s="10">
        <f t="shared" si="27"/>
        <v>21.563679999999998</v>
      </c>
      <c r="U11" s="7">
        <f>'[8]Production Summary'!F74</f>
        <v>5424000</v>
      </c>
      <c r="V11" s="8">
        <f t="shared" si="28"/>
        <v>5.4240000000000004</v>
      </c>
      <c r="W11" s="10">
        <f t="shared" si="29"/>
        <v>16.651679999999999</v>
      </c>
      <c r="X11" s="7">
        <f>'[8]Production Summary'!AB74</f>
        <v>129999.99999999546</v>
      </c>
      <c r="Y11" s="8">
        <f t="shared" si="30"/>
        <v>0.12999999999999545</v>
      </c>
      <c r="Z11" s="10">
        <f t="shared" si="31"/>
        <v>0.39909999999998602</v>
      </c>
      <c r="AA11" s="15"/>
      <c r="AB11" s="7">
        <f t="shared" si="32"/>
        <v>34589999.999999821</v>
      </c>
      <c r="AC11" s="8">
        <f t="shared" si="32"/>
        <v>34.589999999999826</v>
      </c>
      <c r="AD11" s="8">
        <f t="shared" si="32"/>
        <v>106.19129999999944</v>
      </c>
      <c r="AF11" s="8">
        <f t="shared" si="33"/>
        <v>1.2279999999997404E-2</v>
      </c>
    </row>
    <row r="12" spans="1:32" x14ac:dyDescent="0.15">
      <c r="A12" s="27">
        <v>38603</v>
      </c>
      <c r="B12" s="7">
        <f>'[8]Production Summary'!J75</f>
        <v>26500000</v>
      </c>
      <c r="C12" s="8">
        <f t="shared" si="16"/>
        <v>26.5</v>
      </c>
      <c r="D12" s="10">
        <f t="shared" si="17"/>
        <v>81.35499999999999</v>
      </c>
      <c r="E12" s="7">
        <f>'[8]Production Summary'!E75</f>
        <v>10000000</v>
      </c>
      <c r="F12" s="8">
        <f t="shared" si="18"/>
        <v>10</v>
      </c>
      <c r="G12" s="10">
        <f t="shared" si="19"/>
        <v>30.7</v>
      </c>
      <c r="H12" s="7">
        <f>'[8]Production Summary'!G75</f>
        <v>20210000</v>
      </c>
      <c r="I12" s="8">
        <f t="shared" si="20"/>
        <v>20.21</v>
      </c>
      <c r="J12" s="10">
        <f t="shared" si="21"/>
        <v>62.044699999999999</v>
      </c>
      <c r="K12" s="7">
        <f>'[8]Production Summary'!T75</f>
        <v>2363807</v>
      </c>
      <c r="L12" s="8">
        <f t="shared" si="22"/>
        <v>2.363807</v>
      </c>
      <c r="M12" s="10">
        <f t="shared" si="23"/>
        <v>7.2568874899999996</v>
      </c>
      <c r="N12" s="21"/>
      <c r="O12" s="7">
        <f>'[8]Production Summary'!I75</f>
        <v>6822999.9999999981</v>
      </c>
      <c r="P12" s="8">
        <f t="shared" si="24"/>
        <v>6.8229999999999977</v>
      </c>
      <c r="Q12" s="10">
        <f t="shared" si="25"/>
        <v>20.946609999999993</v>
      </c>
      <c r="R12" s="7">
        <f>'[8]Production Summary'!C75</f>
        <v>6950000</v>
      </c>
      <c r="S12" s="8">
        <f t="shared" si="26"/>
        <v>6.95</v>
      </c>
      <c r="T12" s="10">
        <f t="shared" si="27"/>
        <v>21.336500000000001</v>
      </c>
      <c r="U12" s="7">
        <f>'[8]Production Summary'!F75</f>
        <v>4609000</v>
      </c>
      <c r="V12" s="8">
        <f t="shared" si="28"/>
        <v>4.609</v>
      </c>
      <c r="W12" s="10">
        <f t="shared" si="29"/>
        <v>14.149629999999998</v>
      </c>
      <c r="X12" s="7">
        <f>'[8]Production Summary'!AB75</f>
        <v>124000.00000000233</v>
      </c>
      <c r="Y12" s="8">
        <f t="shared" si="30"/>
        <v>0.12400000000000233</v>
      </c>
      <c r="Z12" s="10">
        <f t="shared" si="31"/>
        <v>0.38068000000000712</v>
      </c>
      <c r="AA12" s="15"/>
      <c r="AB12" s="7">
        <f t="shared" si="32"/>
        <v>33323000</v>
      </c>
      <c r="AC12" s="8">
        <f t="shared" si="32"/>
        <v>33.323</v>
      </c>
      <c r="AD12" s="8">
        <f t="shared" si="32"/>
        <v>102.30160999999998</v>
      </c>
      <c r="AF12" s="8">
        <f t="shared" si="33"/>
        <v>9.2100000000011617E-3</v>
      </c>
    </row>
    <row r="13" spans="1:32" x14ac:dyDescent="0.15">
      <c r="A13" s="27">
        <v>38604</v>
      </c>
      <c r="B13" s="7">
        <f>'[8]Production Summary'!J76</f>
        <v>25800000.000000183</v>
      </c>
      <c r="C13" s="8">
        <f t="shared" si="16"/>
        <v>25.800000000000182</v>
      </c>
      <c r="D13" s="10">
        <f t="shared" si="17"/>
        <v>79.206000000000557</v>
      </c>
      <c r="E13" s="7">
        <f>'[8]Production Summary'!E76</f>
        <v>8000000</v>
      </c>
      <c r="F13" s="8">
        <f t="shared" si="18"/>
        <v>8</v>
      </c>
      <c r="G13" s="10">
        <f t="shared" si="19"/>
        <v>24.56</v>
      </c>
      <c r="H13" s="7">
        <f>'[8]Production Summary'!G76</f>
        <v>19210000</v>
      </c>
      <c r="I13" s="8">
        <f t="shared" si="20"/>
        <v>19.21</v>
      </c>
      <c r="J13" s="10">
        <f t="shared" si="21"/>
        <v>58.974699999999999</v>
      </c>
      <c r="K13" s="7">
        <f>'[8]Production Summary'!T76</f>
        <v>2172061</v>
      </c>
      <c r="L13" s="8">
        <f t="shared" si="22"/>
        <v>2.1720609999999998</v>
      </c>
      <c r="M13" s="10">
        <f t="shared" si="23"/>
        <v>6.6682272699999992</v>
      </c>
      <c r="N13" s="21"/>
      <c r="O13" s="7">
        <f>'[8]Production Summary'!I76</f>
        <v>8694999.9999999981</v>
      </c>
      <c r="P13" s="8">
        <f t="shared" si="24"/>
        <v>8.6949999999999985</v>
      </c>
      <c r="Q13" s="10">
        <f t="shared" si="25"/>
        <v>26.693649999999995</v>
      </c>
      <c r="R13" s="7">
        <f>'[8]Production Summary'!C76</f>
        <v>8810000</v>
      </c>
      <c r="S13" s="8">
        <f t="shared" si="26"/>
        <v>8.81</v>
      </c>
      <c r="T13" s="10">
        <f t="shared" si="27"/>
        <v>27.046700000000001</v>
      </c>
      <c r="U13" s="7">
        <f>'[8]Production Summary'!F76</f>
        <v>4008000</v>
      </c>
      <c r="V13" s="8">
        <f t="shared" si="28"/>
        <v>4.008</v>
      </c>
      <c r="W13" s="10">
        <f t="shared" si="29"/>
        <v>12.304559999999999</v>
      </c>
      <c r="X13" s="7">
        <f>'[8]Production Summary'!AB76</f>
        <v>112000.00000000188</v>
      </c>
      <c r="Y13" s="8">
        <f t="shared" si="30"/>
        <v>0.11200000000000188</v>
      </c>
      <c r="Z13" s="10">
        <f t="shared" si="31"/>
        <v>0.34384000000000575</v>
      </c>
      <c r="AA13" s="15"/>
      <c r="AB13" s="7">
        <f t="shared" si="32"/>
        <v>34495000.000000179</v>
      </c>
      <c r="AC13" s="8">
        <f t="shared" si="32"/>
        <v>34.495000000000182</v>
      </c>
      <c r="AD13" s="8">
        <f t="shared" si="32"/>
        <v>105.89965000000055</v>
      </c>
      <c r="AF13" s="8">
        <f t="shared" si="33"/>
        <v>9.2100000000009952E-3</v>
      </c>
    </row>
    <row r="14" spans="1:32" x14ac:dyDescent="0.15">
      <c r="A14" s="27">
        <v>38605</v>
      </c>
      <c r="B14" s="7">
        <f>'[8]Production Summary'!J77</f>
        <v>26599999.999999456</v>
      </c>
      <c r="C14" s="8">
        <f t="shared" si="16"/>
        <v>26.599999999999458</v>
      </c>
      <c r="D14" s="10">
        <f t="shared" si="17"/>
        <v>81.661999999998329</v>
      </c>
      <c r="E14" s="7">
        <f>'[8]Production Summary'!E77</f>
        <v>10000000</v>
      </c>
      <c r="F14" s="8">
        <f t="shared" si="18"/>
        <v>10</v>
      </c>
      <c r="G14" s="10">
        <f t="shared" si="19"/>
        <v>30.7</v>
      </c>
      <c r="H14" s="7">
        <f>'[8]Production Summary'!G77</f>
        <v>19010000</v>
      </c>
      <c r="I14" s="8">
        <f t="shared" si="20"/>
        <v>19.010000000000002</v>
      </c>
      <c r="J14" s="10">
        <f t="shared" si="21"/>
        <v>58.360700000000001</v>
      </c>
      <c r="K14" s="7">
        <f>'[8]Production Summary'!T77</f>
        <v>2343469</v>
      </c>
      <c r="L14" s="8">
        <f t="shared" si="22"/>
        <v>2.3434689999999998</v>
      </c>
      <c r="M14" s="10">
        <f t="shared" si="23"/>
        <v>7.194449829999999</v>
      </c>
      <c r="N14" s="21"/>
      <c r="O14" s="7">
        <f>'[8]Production Summary'!I77</f>
        <v>9692000</v>
      </c>
      <c r="P14" s="8">
        <f t="shared" si="24"/>
        <v>9.6920000000000002</v>
      </c>
      <c r="Q14" s="10">
        <f t="shared" si="25"/>
        <v>29.754439999999999</v>
      </c>
      <c r="R14" s="7">
        <f>'[8]Production Summary'!C77</f>
        <v>10002000</v>
      </c>
      <c r="S14" s="8">
        <f t="shared" si="26"/>
        <v>10.002000000000001</v>
      </c>
      <c r="T14" s="10">
        <f t="shared" si="27"/>
        <v>30.706140000000001</v>
      </c>
      <c r="U14" s="7">
        <f>'[8]Production Summary'!F77</f>
        <v>4014000</v>
      </c>
      <c r="V14" s="8">
        <f t="shared" si="28"/>
        <v>4.0140000000000002</v>
      </c>
      <c r="W14" s="10">
        <f t="shared" si="29"/>
        <v>12.322979999999999</v>
      </c>
      <c r="X14" s="7">
        <f>'[8]Production Summary'!AB77</f>
        <v>301999.99999999959</v>
      </c>
      <c r="Y14" s="8">
        <f t="shared" si="30"/>
        <v>0.3019999999999996</v>
      </c>
      <c r="Z14" s="10">
        <f t="shared" si="31"/>
        <v>0.92713999999999874</v>
      </c>
      <c r="AA14" s="15"/>
      <c r="AB14" s="7">
        <f t="shared" si="32"/>
        <v>36291999.999999456</v>
      </c>
      <c r="AC14" s="8">
        <f t="shared" si="32"/>
        <v>36.291999999999462</v>
      </c>
      <c r="AD14" s="8">
        <f t="shared" si="32"/>
        <v>111.41643999999833</v>
      </c>
      <c r="AF14" s="8">
        <f t="shared" si="33"/>
        <v>2.456000000000369E-2</v>
      </c>
    </row>
    <row r="15" spans="1:32" x14ac:dyDescent="0.15">
      <c r="A15" s="27">
        <v>38606</v>
      </c>
      <c r="B15" s="7">
        <f>'[8]Production Summary'!J78</f>
        <v>25100000.000000365</v>
      </c>
      <c r="C15" s="8">
        <f t="shared" si="16"/>
        <v>25.100000000000364</v>
      </c>
      <c r="D15" s="10">
        <f t="shared" si="17"/>
        <v>77.057000000001111</v>
      </c>
      <c r="E15" s="7">
        <f>'[8]Production Summary'!E78</f>
        <v>10000000</v>
      </c>
      <c r="F15" s="8">
        <f t="shared" si="18"/>
        <v>10</v>
      </c>
      <c r="G15" s="10">
        <f t="shared" si="19"/>
        <v>30.7</v>
      </c>
      <c r="H15" s="7">
        <f>'[8]Production Summary'!G78</f>
        <v>17710000</v>
      </c>
      <c r="I15" s="8">
        <f t="shared" si="20"/>
        <v>17.71</v>
      </c>
      <c r="J15" s="10">
        <f t="shared" si="21"/>
        <v>54.369700000000002</v>
      </c>
      <c r="K15" s="7">
        <f>'[8]Production Summary'!T78</f>
        <v>2167199</v>
      </c>
      <c r="L15" s="8">
        <f t="shared" si="22"/>
        <v>2.1671990000000001</v>
      </c>
      <c r="M15" s="10">
        <f t="shared" si="23"/>
        <v>6.6533009300000003</v>
      </c>
      <c r="N15" s="21"/>
      <c r="O15" s="7">
        <f>'[8]Production Summary'!I78</f>
        <v>10670000.000000004</v>
      </c>
      <c r="P15" s="8">
        <f t="shared" si="24"/>
        <v>10.670000000000003</v>
      </c>
      <c r="Q15" s="10">
        <f t="shared" si="25"/>
        <v>32.756900000000009</v>
      </c>
      <c r="R15" s="7">
        <f>'[8]Production Summary'!C78</f>
        <v>10978000</v>
      </c>
      <c r="S15" s="8">
        <f t="shared" si="26"/>
        <v>10.978</v>
      </c>
      <c r="T15" s="10">
        <f t="shared" si="27"/>
        <v>33.702459999999995</v>
      </c>
      <c r="U15" s="7">
        <f>'[8]Production Summary'!F78</f>
        <v>3485000</v>
      </c>
      <c r="V15" s="8">
        <f t="shared" si="28"/>
        <v>3.4849999999999999</v>
      </c>
      <c r="W15" s="10">
        <f t="shared" si="29"/>
        <v>10.698949999999998</v>
      </c>
      <c r="X15" s="7">
        <f>'[8]Production Summary'!AB78</f>
        <v>299999.99999999715</v>
      </c>
      <c r="Y15" s="8">
        <f t="shared" si="30"/>
        <v>0.29999999999999716</v>
      </c>
      <c r="Z15" s="10">
        <f t="shared" si="31"/>
        <v>0.92099999999999127</v>
      </c>
      <c r="AA15" s="15"/>
      <c r="AB15" s="7">
        <f t="shared" si="32"/>
        <v>35770000.000000373</v>
      </c>
      <c r="AC15" s="8">
        <f t="shared" si="32"/>
        <v>35.770000000000366</v>
      </c>
      <c r="AD15" s="8">
        <f t="shared" si="32"/>
        <v>109.81390000000113</v>
      </c>
      <c r="AF15" s="8">
        <f>T15-Q15-Z15</f>
        <v>2.4559999999994919E-2</v>
      </c>
    </row>
    <row r="16" spans="1:32" x14ac:dyDescent="0.15">
      <c r="A16" s="27">
        <v>38607</v>
      </c>
      <c r="B16" s="7">
        <f>'[8]Production Summary'!J79</f>
        <v>25399999.999999635</v>
      </c>
      <c r="C16" s="8">
        <f t="shared" si="16"/>
        <v>25.399999999999636</v>
      </c>
      <c r="D16" s="10">
        <f t="shared" si="17"/>
        <v>77.977999999998886</v>
      </c>
      <c r="E16" s="7">
        <f>'[8]Production Summary'!E79</f>
        <v>10000000</v>
      </c>
      <c r="F16" s="8">
        <f t="shared" si="18"/>
        <v>10</v>
      </c>
      <c r="G16" s="10">
        <f t="shared" si="19"/>
        <v>30.7</v>
      </c>
      <c r="H16" s="7">
        <f>'[8]Production Summary'!G79</f>
        <v>17490000</v>
      </c>
      <c r="I16" s="8">
        <f t="shared" si="20"/>
        <v>17.489999999999998</v>
      </c>
      <c r="J16" s="10">
        <f t="shared" si="21"/>
        <v>53.694299999999991</v>
      </c>
      <c r="K16" s="7">
        <f>'[8]Production Summary'!T79</f>
        <v>2090532</v>
      </c>
      <c r="L16" s="8">
        <f t="shared" si="22"/>
        <v>2.0905320000000001</v>
      </c>
      <c r="M16" s="10">
        <f t="shared" si="23"/>
        <v>6.41793324</v>
      </c>
      <c r="N16" s="21"/>
      <c r="O16" s="7">
        <f>'[8]Production Summary'!I79</f>
        <v>9145999.9999999981</v>
      </c>
      <c r="P16" s="8">
        <f t="shared" si="24"/>
        <v>9.145999999999999</v>
      </c>
      <c r="Q16" s="10">
        <f t="shared" si="25"/>
        <v>28.078219999999995</v>
      </c>
      <c r="R16" s="7">
        <f>'[8]Production Summary'!C79</f>
        <v>9273000</v>
      </c>
      <c r="S16" s="8">
        <f t="shared" si="26"/>
        <v>9.2729999999999997</v>
      </c>
      <c r="T16" s="10">
        <f t="shared" si="27"/>
        <v>28.468109999999996</v>
      </c>
      <c r="U16" s="7">
        <f>'[8]Production Summary'!F79</f>
        <v>3003000</v>
      </c>
      <c r="V16" s="8">
        <f t="shared" si="28"/>
        <v>3.0030000000000001</v>
      </c>
      <c r="W16" s="10">
        <f t="shared" si="29"/>
        <v>9.2192100000000003</v>
      </c>
      <c r="X16" s="7">
        <f>'[8]Production Summary'!AB79</f>
        <v>124000.00000000233</v>
      </c>
      <c r="Y16" s="8">
        <f t="shared" si="30"/>
        <v>0.12400000000000233</v>
      </c>
      <c r="Z16" s="10">
        <f t="shared" si="31"/>
        <v>0.38068000000000712</v>
      </c>
      <c r="AA16" s="15"/>
      <c r="AB16" s="7">
        <f t="shared" si="32"/>
        <v>34545999.999999635</v>
      </c>
      <c r="AC16" s="8">
        <f t="shared" si="32"/>
        <v>34.545999999999637</v>
      </c>
      <c r="AD16" s="8">
        <f t="shared" si="32"/>
        <v>106.05621999999889</v>
      </c>
      <c r="AF16" s="8">
        <f>T16-Q16-Z16</f>
        <v>9.2099999999940563E-3</v>
      </c>
    </row>
    <row r="17" spans="1:32" x14ac:dyDescent="0.15">
      <c r="A17" s="27">
        <v>38608</v>
      </c>
      <c r="B17" s="7">
        <f>'[8]Production Summary'!J80</f>
        <v>23900000.000000544</v>
      </c>
      <c r="C17" s="8">
        <f t="shared" si="16"/>
        <v>23.900000000000542</v>
      </c>
      <c r="D17" s="10">
        <f t="shared" si="17"/>
        <v>73.373000000001667</v>
      </c>
      <c r="E17" s="7">
        <f>'[8]Production Summary'!E80</f>
        <v>10000000</v>
      </c>
      <c r="F17" s="8">
        <f t="shared" si="18"/>
        <v>10</v>
      </c>
      <c r="G17" s="10">
        <f t="shared" si="19"/>
        <v>30.7</v>
      </c>
      <c r="H17" s="7">
        <f>'[8]Production Summary'!G80</f>
        <v>16150000</v>
      </c>
      <c r="I17" s="8">
        <f t="shared" si="20"/>
        <v>16.149999999999999</v>
      </c>
      <c r="J17" s="10">
        <f t="shared" si="21"/>
        <v>49.580499999999994</v>
      </c>
      <c r="K17" s="7">
        <f>'[8]Production Summary'!T80</f>
        <v>2015482</v>
      </c>
      <c r="L17" s="8">
        <f t="shared" si="22"/>
        <v>2.015482</v>
      </c>
      <c r="M17" s="10">
        <f t="shared" si="23"/>
        <v>6.1875297399999996</v>
      </c>
      <c r="N17" s="21"/>
      <c r="O17" s="7">
        <f>'[8]Production Summary'!I80</f>
        <v>8581000.0000000037</v>
      </c>
      <c r="P17" s="8">
        <f t="shared" si="24"/>
        <v>8.5810000000000031</v>
      </c>
      <c r="Q17" s="10">
        <f t="shared" si="25"/>
        <v>26.343670000000007</v>
      </c>
      <c r="R17" s="7">
        <f>'[8]Production Summary'!C80</f>
        <v>8777000</v>
      </c>
      <c r="S17" s="8">
        <f t="shared" si="26"/>
        <v>8.7769999999999992</v>
      </c>
      <c r="T17" s="10">
        <f t="shared" si="27"/>
        <v>26.945389999999996</v>
      </c>
      <c r="U17" s="7">
        <f>'[8]Production Summary'!F80</f>
        <v>3003000</v>
      </c>
      <c r="V17" s="8">
        <f t="shared" si="28"/>
        <v>3.0030000000000001</v>
      </c>
      <c r="W17" s="10">
        <f t="shared" si="29"/>
        <v>9.2192100000000003</v>
      </c>
      <c r="X17" s="7">
        <f>'[8]Production Summary'!AB80</f>
        <v>190999.9999999954</v>
      </c>
      <c r="Y17" s="8">
        <f t="shared" si="30"/>
        <v>0.1909999999999954</v>
      </c>
      <c r="Z17" s="10">
        <f t="shared" si="31"/>
        <v>0.58636999999998585</v>
      </c>
      <c r="AA17" s="15"/>
      <c r="AB17" s="7">
        <f t="shared" si="32"/>
        <v>32481000.000000548</v>
      </c>
      <c r="AC17" s="8">
        <f t="shared" si="32"/>
        <v>32.481000000000549</v>
      </c>
      <c r="AD17" s="8">
        <f t="shared" si="32"/>
        <v>99.71667000000167</v>
      </c>
      <c r="AF17" s="8">
        <f>T17-Q17-Z17</f>
        <v>1.535000000000375E-2</v>
      </c>
    </row>
    <row r="18" spans="1:32" x14ac:dyDescent="0.15">
      <c r="A18" s="27">
        <v>38609</v>
      </c>
      <c r="B18" s="7">
        <f>'[8]Production Summary'!J81</f>
        <v>26099999.999999456</v>
      </c>
      <c r="C18" s="8">
        <f t="shared" si="16"/>
        <v>26.099999999999458</v>
      </c>
      <c r="D18" s="10">
        <f t="shared" si="17"/>
        <v>80.126999999998333</v>
      </c>
      <c r="E18" s="7">
        <f>'[8]Production Summary'!E81</f>
        <v>10000000</v>
      </c>
      <c r="F18" s="8">
        <f t="shared" si="18"/>
        <v>10</v>
      </c>
      <c r="G18" s="10">
        <f t="shared" si="19"/>
        <v>30.7</v>
      </c>
      <c r="H18" s="7">
        <f>'[8]Production Summary'!G81</f>
        <v>17790000</v>
      </c>
      <c r="I18" s="8">
        <f t="shared" si="20"/>
        <v>17.79</v>
      </c>
      <c r="J18" s="10">
        <f t="shared" si="21"/>
        <v>54.615299999999998</v>
      </c>
      <c r="K18" s="7">
        <f>'[8]Production Summary'!T81</f>
        <v>2125050</v>
      </c>
      <c r="L18" s="8">
        <f t="shared" si="22"/>
        <v>2.1250499999999999</v>
      </c>
      <c r="M18" s="10">
        <f t="shared" si="23"/>
        <v>6.5239034999999994</v>
      </c>
      <c r="N18" s="21"/>
      <c r="O18" s="7">
        <f>'[8]Production Summary'!I81</f>
        <v>9611999.9999999963</v>
      </c>
      <c r="P18" s="8">
        <f t="shared" si="24"/>
        <v>9.6119999999999965</v>
      </c>
      <c r="Q18" s="10">
        <f t="shared" si="25"/>
        <v>29.508839999999989</v>
      </c>
      <c r="R18" s="7">
        <f>'[8]Production Summary'!C81</f>
        <v>9926000</v>
      </c>
      <c r="S18" s="8">
        <f t="shared" si="26"/>
        <v>9.9260000000000002</v>
      </c>
      <c r="T18" s="10">
        <f t="shared" si="27"/>
        <v>30.472819999999999</v>
      </c>
      <c r="U18" s="7">
        <f>'[8]Production Summary'!F81</f>
        <v>2986000</v>
      </c>
      <c r="V18" s="8">
        <f t="shared" si="28"/>
        <v>2.9860000000000002</v>
      </c>
      <c r="W18" s="10">
        <f t="shared" si="29"/>
        <v>9.1670200000000008</v>
      </c>
      <c r="X18" s="7">
        <f>'[8]Production Summary'!AB81</f>
        <v>306000.00000000448</v>
      </c>
      <c r="Y18" s="8">
        <f t="shared" si="30"/>
        <v>0.30600000000000449</v>
      </c>
      <c r="Z18" s="10">
        <f t="shared" si="31"/>
        <v>0.93942000000001369</v>
      </c>
      <c r="AA18" s="15"/>
      <c r="AB18" s="7">
        <f t="shared" si="32"/>
        <v>35711999.999999449</v>
      </c>
      <c r="AC18" s="8">
        <f t="shared" si="32"/>
        <v>35.711999999999456</v>
      </c>
      <c r="AD18" s="8">
        <f t="shared" si="32"/>
        <v>109.63583999999832</v>
      </c>
      <c r="AF18" s="8">
        <f>T18-Q18-Z18</f>
        <v>2.4559999999996363E-2</v>
      </c>
    </row>
    <row r="19" spans="1:32" x14ac:dyDescent="0.15">
      <c r="A19" s="27">
        <v>38610</v>
      </c>
      <c r="B19" s="7">
        <f>'[8]Production Summary'!J82</f>
        <v>25900000.000000544</v>
      </c>
      <c r="C19" s="8">
        <f t="shared" si="16"/>
        <v>25.900000000000542</v>
      </c>
      <c r="D19" s="10">
        <f t="shared" si="17"/>
        <v>79.513000000001654</v>
      </c>
      <c r="E19" s="7">
        <f>'[8]Production Summary'!E82</f>
        <v>12000000</v>
      </c>
      <c r="F19" s="8">
        <f t="shared" si="18"/>
        <v>12</v>
      </c>
      <c r="G19" s="10">
        <f t="shared" si="19"/>
        <v>36.839999999999996</v>
      </c>
      <c r="H19" s="7">
        <f>'[8]Production Summary'!G82</f>
        <v>15360000</v>
      </c>
      <c r="I19" s="8">
        <f t="shared" si="20"/>
        <v>15.36</v>
      </c>
      <c r="J19" s="10">
        <f t="shared" si="21"/>
        <v>47.155199999999994</v>
      </c>
      <c r="K19" s="7">
        <f>'[8]Production Summary'!T82</f>
        <v>2229488</v>
      </c>
      <c r="L19" s="8">
        <f t="shared" si="22"/>
        <v>2.2294879999999999</v>
      </c>
      <c r="M19" s="10">
        <f t="shared" si="23"/>
        <v>6.8445281599999994</v>
      </c>
      <c r="N19" s="21"/>
      <c r="O19" s="7">
        <f>'[8]Production Summary'!I82</f>
        <v>8250000</v>
      </c>
      <c r="P19" s="8">
        <f t="shared" si="24"/>
        <v>8.25</v>
      </c>
      <c r="Q19" s="10">
        <f t="shared" si="25"/>
        <v>25.327499999999997</v>
      </c>
      <c r="R19" s="7">
        <f>'[8]Production Summary'!C82</f>
        <v>8495000</v>
      </c>
      <c r="S19" s="8">
        <f t="shared" si="26"/>
        <v>8.4949999999999992</v>
      </c>
      <c r="T19" s="10">
        <f t="shared" si="27"/>
        <v>26.079649999999997</v>
      </c>
      <c r="U19" s="7">
        <f>'[8]Production Summary'!F82</f>
        <v>4142000</v>
      </c>
      <c r="V19" s="8">
        <f t="shared" si="28"/>
        <v>4.1420000000000003</v>
      </c>
      <c r="W19" s="10">
        <f t="shared" si="29"/>
        <v>12.71594</v>
      </c>
      <c r="X19" s="7">
        <f>'[8]Production Summary'!AB82</f>
        <v>237999.99999999953</v>
      </c>
      <c r="Y19" s="8">
        <f t="shared" si="30"/>
        <v>0.23799999999999955</v>
      </c>
      <c r="Z19" s="10">
        <f t="shared" si="31"/>
        <v>0.73065999999999853</v>
      </c>
      <c r="AA19" s="15"/>
      <c r="AB19" s="7">
        <f t="shared" si="32"/>
        <v>34150000.000000544</v>
      </c>
      <c r="AC19" s="8">
        <f t="shared" si="32"/>
        <v>34.150000000000546</v>
      </c>
      <c r="AD19" s="8">
        <f>D19+Q19</f>
        <v>104.84050000000165</v>
      </c>
      <c r="AF19" s="8">
        <f>T19-Q19-Z19</f>
        <v>2.1490000000001785E-2</v>
      </c>
    </row>
    <row r="20" spans="1:32" x14ac:dyDescent="0.15">
      <c r="A20" s="27">
        <v>38611</v>
      </c>
      <c r="B20" s="7">
        <f>'[8]Production Summary'!J83</f>
        <v>28199999.999999817</v>
      </c>
      <c r="C20" s="8">
        <f t="shared" si="16"/>
        <v>28.199999999999818</v>
      </c>
      <c r="D20" s="10">
        <f t="shared" si="17"/>
        <v>86.573999999999444</v>
      </c>
      <c r="E20" s="7">
        <f>'[8]Production Summary'!E83</f>
        <v>18000000</v>
      </c>
      <c r="F20" s="8">
        <f t="shared" si="18"/>
        <v>18</v>
      </c>
      <c r="G20" s="10">
        <f t="shared" si="19"/>
        <v>55.26</v>
      </c>
      <c r="H20" s="7">
        <f>'[8]Production Summary'!G83</f>
        <v>13140000</v>
      </c>
      <c r="I20" s="8">
        <f t="shared" si="20"/>
        <v>13.14</v>
      </c>
      <c r="J20" s="10">
        <f t="shared" si="21"/>
        <v>40.339799999999997</v>
      </c>
      <c r="K20" s="7">
        <f>'[8]Production Summary'!T83</f>
        <v>2348026</v>
      </c>
      <c r="L20" s="8">
        <f t="shared" si="22"/>
        <v>2.3480259999999999</v>
      </c>
      <c r="M20" s="10">
        <f t="shared" si="23"/>
        <v>7.2084398199999997</v>
      </c>
      <c r="N20" s="21"/>
      <c r="O20" s="7">
        <f>'[8]Production Summary'!I83</f>
        <v>6878000.0000000019</v>
      </c>
      <c r="P20" s="8">
        <f t="shared" si="24"/>
        <v>6.8780000000000019</v>
      </c>
      <c r="Q20" s="10">
        <f t="shared" si="25"/>
        <v>21.115460000000006</v>
      </c>
      <c r="R20" s="7">
        <f>'[8]Production Summary'!C83</f>
        <v>7076000</v>
      </c>
      <c r="S20" s="8">
        <f t="shared" si="26"/>
        <v>7.0759999999999996</v>
      </c>
      <c r="T20" s="10">
        <f t="shared" si="27"/>
        <v>21.723319999999998</v>
      </c>
      <c r="U20" s="7">
        <f>'[8]Production Summary'!F83</f>
        <v>5035000</v>
      </c>
      <c r="V20" s="8">
        <f t="shared" si="28"/>
        <v>5.0350000000000001</v>
      </c>
      <c r="W20" s="10">
        <f t="shared" si="29"/>
        <v>15.45745</v>
      </c>
      <c r="X20" s="7">
        <f>'[8]Production Summary'!AB83</f>
        <v>192999.99999999785</v>
      </c>
      <c r="Y20" s="8">
        <f t="shared" si="30"/>
        <v>0.19299999999999784</v>
      </c>
      <c r="Z20" s="10">
        <f t="shared" si="31"/>
        <v>0.59250999999999332</v>
      </c>
      <c r="AA20" s="15"/>
      <c r="AB20" s="7">
        <f t="shared" si="32"/>
        <v>35077999.999999821</v>
      </c>
      <c r="AC20" s="8">
        <f t="shared" si="32"/>
        <v>35.077999999999818</v>
      </c>
      <c r="AD20" s="8">
        <f t="shared" si="32"/>
        <v>107.68945999999946</v>
      </c>
      <c r="AF20" s="8">
        <f t="shared" ref="AF20:AF35" si="34">T20-Q20-Z20</f>
        <v>1.5349999999998309E-2</v>
      </c>
    </row>
    <row r="21" spans="1:32" x14ac:dyDescent="0.15">
      <c r="A21" s="27">
        <v>38612</v>
      </c>
      <c r="B21" s="7">
        <f>'[8]Production Summary'!J84</f>
        <v>23300000.000000183</v>
      </c>
      <c r="C21" s="8">
        <f t="shared" si="16"/>
        <v>23.300000000000182</v>
      </c>
      <c r="D21" s="10">
        <f t="shared" si="17"/>
        <v>71.53100000000056</v>
      </c>
      <c r="E21" s="7">
        <f>'[8]Production Summary'!E84</f>
        <v>12000000</v>
      </c>
      <c r="F21" s="8">
        <f t="shared" si="18"/>
        <v>12</v>
      </c>
      <c r="G21" s="10">
        <f t="shared" si="19"/>
        <v>36.839999999999996</v>
      </c>
      <c r="H21" s="7">
        <f>'[8]Production Summary'!G84</f>
        <v>12870000</v>
      </c>
      <c r="I21" s="8">
        <f t="shared" si="20"/>
        <v>12.87</v>
      </c>
      <c r="J21" s="10">
        <f t="shared" si="21"/>
        <v>39.510899999999992</v>
      </c>
      <c r="K21" s="7">
        <f>'[8]Production Summary'!T84</f>
        <v>2043140</v>
      </c>
      <c r="L21" s="8">
        <f t="shared" si="22"/>
        <v>2.0431400000000002</v>
      </c>
      <c r="M21" s="10">
        <f t="shared" si="23"/>
        <v>6.2724397999999999</v>
      </c>
      <c r="N21" s="21"/>
      <c r="O21" s="7">
        <f>'[8]Production Summary'!I84</f>
        <v>7257000</v>
      </c>
      <c r="P21" s="8">
        <f t="shared" si="24"/>
        <v>7.2569999999999997</v>
      </c>
      <c r="Q21" s="10">
        <f t="shared" si="25"/>
        <v>22.278989999999997</v>
      </c>
      <c r="R21" s="7">
        <f>'[8]Production Summary'!C84</f>
        <v>7257000</v>
      </c>
      <c r="S21" s="8">
        <f t="shared" si="26"/>
        <v>7.2569999999999997</v>
      </c>
      <c r="T21" s="10">
        <f t="shared" si="27"/>
        <v>22.278989999999997</v>
      </c>
      <c r="U21" s="7">
        <f>'[8]Production Summary'!F84</f>
        <v>4926000</v>
      </c>
      <c r="V21" s="8">
        <f t="shared" si="28"/>
        <v>4.9260000000000002</v>
      </c>
      <c r="W21" s="10">
        <f t="shared" si="29"/>
        <v>15.122819999999999</v>
      </c>
      <c r="X21" s="7">
        <f>'[8]Production Summary'!AB84</f>
        <v>0</v>
      </c>
      <c r="Y21" s="8">
        <f t="shared" si="30"/>
        <v>0</v>
      </c>
      <c r="Z21" s="10">
        <f t="shared" si="31"/>
        <v>0</v>
      </c>
      <c r="AA21" s="15"/>
      <c r="AB21" s="7">
        <f t="shared" si="32"/>
        <v>30557000.000000183</v>
      </c>
      <c r="AC21" s="8">
        <f t="shared" si="32"/>
        <v>30.55700000000018</v>
      </c>
      <c r="AD21" s="8">
        <f t="shared" si="32"/>
        <v>93.809990000000553</v>
      </c>
      <c r="AF21" s="8">
        <f t="shared" si="34"/>
        <v>0</v>
      </c>
    </row>
    <row r="22" spans="1:32" x14ac:dyDescent="0.15">
      <c r="A22" s="27">
        <v>38613</v>
      </c>
      <c r="B22" s="7">
        <f>'[8]Production Summary'!J85</f>
        <v>23000000</v>
      </c>
      <c r="C22" s="8">
        <f t="shared" si="16"/>
        <v>23</v>
      </c>
      <c r="D22" s="10">
        <f t="shared" si="17"/>
        <v>70.61</v>
      </c>
      <c r="E22" s="7">
        <f>'[8]Production Summary'!E85</f>
        <v>12000000</v>
      </c>
      <c r="F22" s="8">
        <f t="shared" si="18"/>
        <v>12</v>
      </c>
      <c r="G22" s="10">
        <f t="shared" si="19"/>
        <v>36.839999999999996</v>
      </c>
      <c r="H22" s="7">
        <f>'[8]Production Summary'!G85</f>
        <v>13510000</v>
      </c>
      <c r="I22" s="8">
        <f t="shared" si="20"/>
        <v>13.51</v>
      </c>
      <c r="J22" s="10">
        <f t="shared" si="21"/>
        <v>41.475699999999996</v>
      </c>
      <c r="K22" s="7">
        <f>'[8]Production Summary'!T85</f>
        <v>2093815</v>
      </c>
      <c r="L22" s="8">
        <f t="shared" si="22"/>
        <v>2.0938150000000002</v>
      </c>
      <c r="M22" s="10">
        <f t="shared" si="23"/>
        <v>6.4280120500000004</v>
      </c>
      <c r="N22" s="21"/>
      <c r="O22" s="7">
        <f>'[8]Production Summary'!I85</f>
        <v>8625000</v>
      </c>
      <c r="P22" s="8">
        <f t="shared" si="24"/>
        <v>8.625</v>
      </c>
      <c r="Q22" s="10">
        <f t="shared" si="25"/>
        <v>26.478749999999998</v>
      </c>
      <c r="R22" s="7">
        <f>'[8]Production Summary'!C85</f>
        <v>8803000</v>
      </c>
      <c r="S22" s="8">
        <f t="shared" si="26"/>
        <v>8.8030000000000008</v>
      </c>
      <c r="T22" s="10">
        <f t="shared" si="27"/>
        <v>27.025210000000001</v>
      </c>
      <c r="U22" s="7">
        <f>'[8]Production Summary'!F85</f>
        <v>5018000</v>
      </c>
      <c r="V22" s="8">
        <f t="shared" si="28"/>
        <v>5.0179999999999998</v>
      </c>
      <c r="W22" s="10">
        <f t="shared" si="29"/>
        <v>15.405259999999998</v>
      </c>
      <c r="X22" s="7">
        <f>'[8]Production Summary'!AB85</f>
        <v>173999.99999999948</v>
      </c>
      <c r="Y22" s="8">
        <f t="shared" si="30"/>
        <v>0.17399999999999949</v>
      </c>
      <c r="Z22" s="10">
        <f t="shared" si="31"/>
        <v>0.53417999999999843</v>
      </c>
      <c r="AA22" s="15"/>
      <c r="AB22" s="7">
        <f t="shared" si="32"/>
        <v>31625000</v>
      </c>
      <c r="AC22" s="8">
        <f t="shared" si="32"/>
        <v>31.625</v>
      </c>
      <c r="AD22" s="8">
        <f t="shared" si="32"/>
        <v>97.088750000000005</v>
      </c>
      <c r="AF22" s="8">
        <f t="shared" si="34"/>
        <v>1.2280000000004843E-2</v>
      </c>
    </row>
    <row r="23" spans="1:32" x14ac:dyDescent="0.15">
      <c r="A23" s="27">
        <v>38614</v>
      </c>
      <c r="B23" s="7">
        <f>'[8]Production Summary'!J86</f>
        <v>26000000</v>
      </c>
      <c r="C23" s="8">
        <f t="shared" si="16"/>
        <v>26</v>
      </c>
      <c r="D23" s="10">
        <f t="shared" si="17"/>
        <v>79.819999999999993</v>
      </c>
      <c r="E23" s="7">
        <f>'[8]Production Summary'!E86</f>
        <v>16000000</v>
      </c>
      <c r="F23" s="8">
        <f t="shared" si="18"/>
        <v>16</v>
      </c>
      <c r="G23" s="10">
        <f t="shared" si="19"/>
        <v>49.12</v>
      </c>
      <c r="H23" s="7">
        <f>'[8]Production Summary'!G86</f>
        <v>12900000</v>
      </c>
      <c r="I23" s="8">
        <f t="shared" si="20"/>
        <v>12.9</v>
      </c>
      <c r="J23" s="10">
        <f t="shared" si="21"/>
        <v>39.603000000000002</v>
      </c>
      <c r="K23" s="7">
        <f>'[8]Production Summary'!T86</f>
        <v>2423172</v>
      </c>
      <c r="L23" s="8">
        <f t="shared" si="22"/>
        <v>2.4231720000000001</v>
      </c>
      <c r="M23" s="10">
        <f t="shared" si="23"/>
        <v>7.4391380399999996</v>
      </c>
      <c r="N23" s="21"/>
      <c r="O23" s="7">
        <f>'[8]Production Summary'!I86</f>
        <v>6683999.9999999972</v>
      </c>
      <c r="P23" s="8">
        <f t="shared" si="24"/>
        <v>6.6839999999999975</v>
      </c>
      <c r="Q23" s="10">
        <f t="shared" si="25"/>
        <v>20.51987999999999</v>
      </c>
      <c r="R23" s="7">
        <f>'[8]Production Summary'!C86</f>
        <v>6949000</v>
      </c>
      <c r="S23" s="8">
        <f t="shared" si="26"/>
        <v>6.9489999999999998</v>
      </c>
      <c r="T23" s="10">
        <f t="shared" si="27"/>
        <v>21.33343</v>
      </c>
      <c r="U23" s="7">
        <f>'[8]Production Summary'!F86</f>
        <v>4943000</v>
      </c>
      <c r="V23" s="8">
        <f t="shared" si="28"/>
        <v>4.9429999999999996</v>
      </c>
      <c r="W23" s="10">
        <f t="shared" si="29"/>
        <v>15.175009999999999</v>
      </c>
      <c r="X23" s="7">
        <f>'[8]Production Summary'!AB86</f>
        <v>258000.00000000268</v>
      </c>
      <c r="Y23" s="8">
        <f t="shared" si="30"/>
        <v>0.25800000000000267</v>
      </c>
      <c r="Z23" s="10">
        <f t="shared" si="31"/>
        <v>0.7920600000000082</v>
      </c>
      <c r="AA23" s="15"/>
      <c r="AB23" s="7">
        <f t="shared" si="32"/>
        <v>32683999.999999996</v>
      </c>
      <c r="AC23" s="8">
        <f t="shared" si="32"/>
        <v>32.683999999999997</v>
      </c>
      <c r="AD23" s="8">
        <f t="shared" si="32"/>
        <v>100.33987999999998</v>
      </c>
      <c r="AF23" s="8">
        <f t="shared" si="34"/>
        <v>2.1490000000001785E-2</v>
      </c>
    </row>
    <row r="24" spans="1:32" x14ac:dyDescent="0.15">
      <c r="A24" s="27">
        <v>38615</v>
      </c>
      <c r="B24" s="7">
        <f>'[8]Production Summary'!J87</f>
        <v>27899999.999999635</v>
      </c>
      <c r="C24" s="8">
        <f t="shared" si="16"/>
        <v>27.899999999999636</v>
      </c>
      <c r="D24" s="10">
        <f t="shared" si="17"/>
        <v>85.652999999998883</v>
      </c>
      <c r="E24" s="7">
        <f>'[8]Production Summary'!E87</f>
        <v>17000000</v>
      </c>
      <c r="F24" s="8">
        <f t="shared" si="18"/>
        <v>17</v>
      </c>
      <c r="G24" s="10">
        <f t="shared" si="19"/>
        <v>52.19</v>
      </c>
      <c r="H24" s="7">
        <f>'[8]Production Summary'!G87</f>
        <v>12990000</v>
      </c>
      <c r="I24" s="8">
        <f t="shared" si="20"/>
        <v>12.99</v>
      </c>
      <c r="J24" s="10">
        <f t="shared" si="21"/>
        <v>39.879300000000001</v>
      </c>
      <c r="K24" s="7">
        <f>'[8]Production Summary'!T87</f>
        <v>2377328</v>
      </c>
      <c r="L24" s="8">
        <f t="shared" si="22"/>
        <v>2.3773279999999999</v>
      </c>
      <c r="M24" s="10">
        <f t="shared" si="23"/>
        <v>7.2983969599999989</v>
      </c>
      <c r="N24" s="21"/>
      <c r="O24" s="7">
        <f>'[8]Production Summary'!I87</f>
        <v>6795000.0000000047</v>
      </c>
      <c r="P24" s="8">
        <f t="shared" si="24"/>
        <v>6.7950000000000044</v>
      </c>
      <c r="Q24" s="10">
        <f t="shared" si="25"/>
        <v>20.860650000000014</v>
      </c>
      <c r="R24" s="7">
        <f>'[8]Production Summary'!C87</f>
        <v>6994000</v>
      </c>
      <c r="S24" s="8">
        <f t="shared" si="26"/>
        <v>6.9939999999999998</v>
      </c>
      <c r="T24" s="10">
        <f t="shared" si="27"/>
        <v>21.471579999999999</v>
      </c>
      <c r="U24" s="7">
        <f>'[8]Production Summary'!F87</f>
        <v>4977000</v>
      </c>
      <c r="V24" s="8">
        <f t="shared" si="28"/>
        <v>4.9770000000000003</v>
      </c>
      <c r="W24" s="10">
        <f t="shared" si="29"/>
        <v>15.279389999999999</v>
      </c>
      <c r="X24" s="7">
        <f>'[8]Production Summary'!AB87</f>
        <v>193999.99999999552</v>
      </c>
      <c r="Y24" s="8">
        <f t="shared" si="30"/>
        <v>0.19399999999999551</v>
      </c>
      <c r="Z24" s="10">
        <f t="shared" si="31"/>
        <v>0.59557999999998623</v>
      </c>
      <c r="AA24" s="15"/>
      <c r="AB24" s="7">
        <f t="shared" si="32"/>
        <v>34694999.999999642</v>
      </c>
      <c r="AC24" s="8">
        <f t="shared" si="32"/>
        <v>34.694999999999638</v>
      </c>
      <c r="AD24" s="8">
        <f>D24+Q24</f>
        <v>106.5136499999989</v>
      </c>
      <c r="AF24" s="8">
        <f t="shared" si="34"/>
        <v>1.5349999999999309E-2</v>
      </c>
    </row>
    <row r="25" spans="1:32" x14ac:dyDescent="0.15">
      <c r="A25" s="27">
        <v>38616</v>
      </c>
      <c r="B25" s="7">
        <f>'[8]Production Summary'!J88</f>
        <v>26100000.000000365</v>
      </c>
      <c r="C25" s="8">
        <f t="shared" si="16"/>
        <v>26.100000000000364</v>
      </c>
      <c r="D25" s="10">
        <f t="shared" si="17"/>
        <v>80.127000000001118</v>
      </c>
      <c r="E25" s="7">
        <f>'[8]Production Summary'!E88</f>
        <v>16000000</v>
      </c>
      <c r="F25" s="8">
        <f t="shared" si="18"/>
        <v>16</v>
      </c>
      <c r="G25" s="10">
        <f t="shared" si="19"/>
        <v>49.12</v>
      </c>
      <c r="H25" s="7">
        <f>'[8]Production Summary'!G88</f>
        <v>13030000</v>
      </c>
      <c r="I25" s="8">
        <f t="shared" si="20"/>
        <v>13.03</v>
      </c>
      <c r="J25" s="10">
        <f t="shared" si="21"/>
        <v>40.002099999999999</v>
      </c>
      <c r="K25" s="7">
        <f>'[8]Production Summary'!T88</f>
        <v>2400473</v>
      </c>
      <c r="L25" s="8">
        <f t="shared" si="22"/>
        <v>2.4004729999999999</v>
      </c>
      <c r="M25" s="10">
        <f t="shared" si="23"/>
        <v>7.3694521099999992</v>
      </c>
      <c r="N25" s="21"/>
      <c r="O25" s="7">
        <f>'[8]Production Summary'!I88</f>
        <v>6839999.9999999963</v>
      </c>
      <c r="P25" s="8">
        <f t="shared" si="24"/>
        <v>6.8399999999999963</v>
      </c>
      <c r="Q25" s="10">
        <f t="shared" si="25"/>
        <v>20.998799999999989</v>
      </c>
      <c r="R25" s="7">
        <f>'[8]Production Summary'!C88</f>
        <v>7016000</v>
      </c>
      <c r="S25" s="8">
        <f t="shared" si="26"/>
        <v>7.016</v>
      </c>
      <c r="T25" s="10">
        <f t="shared" si="27"/>
        <v>21.53912</v>
      </c>
      <c r="U25" s="7">
        <f>'[8]Production Summary'!F88</f>
        <v>5000000</v>
      </c>
      <c r="V25" s="8">
        <f t="shared" si="28"/>
        <v>5</v>
      </c>
      <c r="W25" s="10">
        <f t="shared" si="29"/>
        <v>15.35</v>
      </c>
      <c r="X25" s="7">
        <f>'[8]Production Summary'!AB88</f>
        <v>172000.00000000416</v>
      </c>
      <c r="Y25" s="8">
        <f t="shared" si="30"/>
        <v>0.17200000000000415</v>
      </c>
      <c r="Z25" s="10">
        <f t="shared" si="31"/>
        <v>0.52804000000001272</v>
      </c>
      <c r="AA25" s="15"/>
      <c r="AB25" s="7">
        <f t="shared" si="32"/>
        <v>32940000.000000361</v>
      </c>
      <c r="AC25" s="8">
        <f t="shared" si="32"/>
        <v>32.94000000000036</v>
      </c>
      <c r="AD25" s="8">
        <f t="shared" si="32"/>
        <v>101.12580000000111</v>
      </c>
      <c r="AF25" s="8">
        <f t="shared" si="34"/>
        <v>1.227999999999918E-2</v>
      </c>
    </row>
    <row r="26" spans="1:32" x14ac:dyDescent="0.15">
      <c r="A26" s="27">
        <v>38617</v>
      </c>
      <c r="B26" s="7">
        <f>'[8]Production Summary'!J89</f>
        <v>23000000</v>
      </c>
      <c r="C26" s="8">
        <f t="shared" si="16"/>
        <v>23</v>
      </c>
      <c r="D26" s="10">
        <f t="shared" si="17"/>
        <v>70.61</v>
      </c>
      <c r="E26" s="7">
        <f>'[8]Production Summary'!E89</f>
        <v>14000000</v>
      </c>
      <c r="F26" s="8">
        <f t="shared" si="18"/>
        <v>14</v>
      </c>
      <c r="G26" s="10">
        <f t="shared" si="19"/>
        <v>42.98</v>
      </c>
      <c r="H26" s="7">
        <f>'[8]Production Summary'!G89</f>
        <v>11150000</v>
      </c>
      <c r="I26" s="8">
        <f t="shared" si="20"/>
        <v>11.15</v>
      </c>
      <c r="J26" s="10">
        <f t="shared" si="21"/>
        <v>34.230499999999999</v>
      </c>
      <c r="K26" s="7">
        <f>'[8]Production Summary'!T89</f>
        <v>2049767</v>
      </c>
      <c r="L26" s="8">
        <f t="shared" si="22"/>
        <v>2.0497670000000001</v>
      </c>
      <c r="M26" s="10">
        <f t="shared" si="23"/>
        <v>6.2927846900000004</v>
      </c>
      <c r="N26" s="21"/>
      <c r="O26" s="7">
        <f>'[8]Production Summary'!I89</f>
        <v>6930000</v>
      </c>
      <c r="P26" s="8">
        <f t="shared" si="24"/>
        <v>6.93</v>
      </c>
      <c r="Q26" s="10">
        <f t="shared" si="25"/>
        <v>21.275099999999998</v>
      </c>
      <c r="R26" s="7">
        <f>'[8]Production Summary'!C89</f>
        <v>6930000</v>
      </c>
      <c r="S26" s="8">
        <f t="shared" si="26"/>
        <v>6.93</v>
      </c>
      <c r="T26" s="10">
        <f t="shared" si="27"/>
        <v>21.275099999999998</v>
      </c>
      <c r="U26" s="7">
        <f>'[8]Production Summary'!F89</f>
        <v>4932000</v>
      </c>
      <c r="V26" s="8">
        <f t="shared" si="28"/>
        <v>4.9320000000000004</v>
      </c>
      <c r="W26" s="10">
        <f t="shared" si="29"/>
        <v>15.14124</v>
      </c>
      <c r="X26" s="7">
        <f>'[8]Production Summary'!AB89</f>
        <v>0</v>
      </c>
      <c r="Y26" s="8">
        <f t="shared" si="30"/>
        <v>0</v>
      </c>
      <c r="Z26" s="10">
        <f t="shared" si="31"/>
        <v>0</v>
      </c>
      <c r="AA26" s="15"/>
      <c r="AB26" s="7">
        <f t="shared" si="32"/>
        <v>29930000</v>
      </c>
      <c r="AC26" s="8">
        <f t="shared" si="32"/>
        <v>29.93</v>
      </c>
      <c r="AD26" s="8">
        <f t="shared" si="32"/>
        <v>91.885099999999994</v>
      </c>
      <c r="AF26" s="8">
        <f t="shared" si="34"/>
        <v>0</v>
      </c>
    </row>
    <row r="27" spans="1:32" x14ac:dyDescent="0.15">
      <c r="A27" s="27">
        <v>38618</v>
      </c>
      <c r="B27" s="7">
        <f>'[8]Production Summary'!J90</f>
        <v>20399999.999999635</v>
      </c>
      <c r="C27" s="8">
        <f t="shared" si="16"/>
        <v>20.399999999999636</v>
      </c>
      <c r="D27" s="10">
        <f t="shared" si="17"/>
        <v>62.627999999998877</v>
      </c>
      <c r="E27" s="7">
        <f>'[8]Production Summary'!E90</f>
        <v>14000000</v>
      </c>
      <c r="F27" s="8">
        <f t="shared" si="18"/>
        <v>14</v>
      </c>
      <c r="G27" s="10">
        <f t="shared" si="19"/>
        <v>42.98</v>
      </c>
      <c r="H27" s="7">
        <f>'[8]Production Summary'!G90</f>
        <v>8020000</v>
      </c>
      <c r="I27" s="8">
        <f t="shared" si="20"/>
        <v>8.02</v>
      </c>
      <c r="J27" s="10">
        <f t="shared" si="21"/>
        <v>24.621399999999998</v>
      </c>
      <c r="K27" s="7">
        <f>'[8]Production Summary'!T90</f>
        <v>1779020</v>
      </c>
      <c r="L27" s="8">
        <f t="shared" si="22"/>
        <v>1.77902</v>
      </c>
      <c r="M27" s="10">
        <f t="shared" si="23"/>
        <v>5.4615913999999997</v>
      </c>
      <c r="N27" s="21"/>
      <c r="O27" s="7">
        <f>'[8]Production Summary'!I90</f>
        <v>6223000</v>
      </c>
      <c r="P27" s="8">
        <f t="shared" si="24"/>
        <v>6.2229999999999999</v>
      </c>
      <c r="Q27" s="10">
        <f t="shared" si="25"/>
        <v>19.104609999999997</v>
      </c>
      <c r="R27" s="7">
        <f>'[8]Production Summary'!C90</f>
        <v>6420000</v>
      </c>
      <c r="S27" s="8">
        <f t="shared" si="26"/>
        <v>6.42</v>
      </c>
      <c r="T27" s="10">
        <f t="shared" si="27"/>
        <v>19.709399999999999</v>
      </c>
      <c r="U27" s="7">
        <f>'[8]Production Summary'!F90</f>
        <v>4992000</v>
      </c>
      <c r="V27" s="8">
        <f t="shared" si="28"/>
        <v>4.992</v>
      </c>
      <c r="W27" s="10">
        <f t="shared" si="29"/>
        <v>15.325439999999999</v>
      </c>
      <c r="X27" s="7">
        <f>'[8]Production Summary'!AB90</f>
        <v>192000.00000000017</v>
      </c>
      <c r="Y27" s="8">
        <f t="shared" si="30"/>
        <v>0.19200000000000017</v>
      </c>
      <c r="Z27" s="10">
        <f t="shared" si="31"/>
        <v>0.58944000000000052</v>
      </c>
      <c r="AA27" s="15"/>
      <c r="AB27" s="7">
        <f t="shared" si="32"/>
        <v>26622999.999999635</v>
      </c>
      <c r="AC27" s="8">
        <f t="shared" si="32"/>
        <v>26.622999999999635</v>
      </c>
      <c r="AD27" s="8">
        <f t="shared" si="32"/>
        <v>81.732609999998871</v>
      </c>
      <c r="AF27" s="8">
        <f t="shared" si="34"/>
        <v>1.5350000000000752E-2</v>
      </c>
    </row>
    <row r="28" spans="1:32" x14ac:dyDescent="0.15">
      <c r="A28" s="27">
        <v>38619</v>
      </c>
      <c r="B28" s="7">
        <f>'[8]Production Summary'!J91</f>
        <v>14900000.000000546</v>
      </c>
      <c r="C28" s="8">
        <f t="shared" si="16"/>
        <v>14.900000000000546</v>
      </c>
      <c r="D28" s="10">
        <f t="shared" si="17"/>
        <v>45.743000000001672</v>
      </c>
      <c r="E28" s="7">
        <f>'[8]Production Summary'!E91</f>
        <v>9000000</v>
      </c>
      <c r="F28" s="8">
        <f t="shared" si="18"/>
        <v>9</v>
      </c>
      <c r="G28" s="10">
        <f t="shared" si="19"/>
        <v>27.63</v>
      </c>
      <c r="H28" s="7">
        <f>'[8]Production Summary'!G91</f>
        <v>7300000</v>
      </c>
      <c r="I28" s="8">
        <f t="shared" si="20"/>
        <v>7.3</v>
      </c>
      <c r="J28" s="10">
        <f t="shared" si="21"/>
        <v>22.410999999999998</v>
      </c>
      <c r="K28" s="7">
        <f>'[8]Production Summary'!T91</f>
        <v>1432691</v>
      </c>
      <c r="L28" s="8">
        <f t="shared" si="22"/>
        <v>1.4326909999999999</v>
      </c>
      <c r="M28" s="10">
        <f t="shared" si="23"/>
        <v>4.3983613699999999</v>
      </c>
      <c r="N28" s="21"/>
      <c r="O28" s="7">
        <f>'[8]Production Summary'!I91</f>
        <v>5819999.9999999981</v>
      </c>
      <c r="P28" s="8">
        <f t="shared" si="24"/>
        <v>5.8199999999999985</v>
      </c>
      <c r="Q28" s="10">
        <f t="shared" si="25"/>
        <v>17.867399999999993</v>
      </c>
      <c r="R28" s="7">
        <f>'[8]Production Summary'!C91</f>
        <v>6004000</v>
      </c>
      <c r="S28" s="8">
        <f t="shared" si="26"/>
        <v>6.0039999999999996</v>
      </c>
      <c r="T28" s="10">
        <f t="shared" si="27"/>
        <v>18.432279999999999</v>
      </c>
      <c r="U28" s="7">
        <f>'[8]Production Summary'!F91</f>
        <v>4986000</v>
      </c>
      <c r="V28" s="8">
        <f t="shared" si="28"/>
        <v>4.9859999999999998</v>
      </c>
      <c r="W28" s="10">
        <f t="shared" si="29"/>
        <v>15.307019999999998</v>
      </c>
      <c r="X28" s="7">
        <f>'[8]Production Summary'!AB91</f>
        <v>179000.00000000204</v>
      </c>
      <c r="Y28" s="8">
        <f t="shared" si="30"/>
        <v>0.17900000000000205</v>
      </c>
      <c r="Z28" s="10">
        <f t="shared" si="31"/>
        <v>0.54953000000000629</v>
      </c>
      <c r="AA28" s="15"/>
      <c r="AB28" s="7">
        <f t="shared" si="32"/>
        <v>20720000.000000544</v>
      </c>
      <c r="AC28" s="8">
        <f t="shared" si="32"/>
        <v>20.720000000000546</v>
      </c>
      <c r="AD28" s="8">
        <f t="shared" si="32"/>
        <v>63.610400000001661</v>
      </c>
      <c r="AF28" s="8">
        <f t="shared" si="34"/>
        <v>1.5349999999999531E-2</v>
      </c>
    </row>
    <row r="29" spans="1:32" x14ac:dyDescent="0.15">
      <c r="A29" s="27">
        <v>38620</v>
      </c>
      <c r="B29" s="7">
        <f>'[8]Production Summary'!J92</f>
        <v>15000000</v>
      </c>
      <c r="C29" s="8">
        <f t="shared" si="16"/>
        <v>15</v>
      </c>
      <c r="D29" s="10">
        <f t="shared" si="17"/>
        <v>46.05</v>
      </c>
      <c r="E29" s="7">
        <f>'[8]Production Summary'!E92</f>
        <v>11000000</v>
      </c>
      <c r="F29" s="8">
        <f t="shared" si="18"/>
        <v>11</v>
      </c>
      <c r="G29" s="10">
        <f t="shared" si="19"/>
        <v>33.769999999999996</v>
      </c>
      <c r="H29" s="7">
        <f>'[8]Production Summary'!G92</f>
        <v>6010000</v>
      </c>
      <c r="I29" s="8">
        <f t="shared" si="20"/>
        <v>6.01</v>
      </c>
      <c r="J29" s="10">
        <f t="shared" si="21"/>
        <v>18.450699999999998</v>
      </c>
      <c r="K29" s="7">
        <f>'[8]Production Summary'!T92</f>
        <v>1437497</v>
      </c>
      <c r="L29" s="8">
        <f t="shared" si="22"/>
        <v>1.437497</v>
      </c>
      <c r="M29" s="10">
        <f t="shared" si="23"/>
        <v>4.41311579</v>
      </c>
      <c r="N29" s="21"/>
      <c r="O29" s="7">
        <f>'[8]Production Summary'!I92</f>
        <v>5909000.0000000047</v>
      </c>
      <c r="P29" s="8">
        <f t="shared" si="24"/>
        <v>5.9090000000000042</v>
      </c>
      <c r="Q29" s="10">
        <f t="shared" si="25"/>
        <v>18.140630000000012</v>
      </c>
      <c r="R29" s="7">
        <f>'[8]Production Summary'!C92</f>
        <v>6036000</v>
      </c>
      <c r="S29" s="8">
        <f t="shared" si="26"/>
        <v>6.0359999999999996</v>
      </c>
      <c r="T29" s="10">
        <f t="shared" si="27"/>
        <v>18.530519999999999</v>
      </c>
      <c r="U29" s="7">
        <f>'[8]Production Summary'!F92</f>
        <v>4599000</v>
      </c>
      <c r="V29" s="8">
        <f t="shared" si="28"/>
        <v>4.5990000000000002</v>
      </c>
      <c r="W29" s="10">
        <f t="shared" si="29"/>
        <v>14.118930000000001</v>
      </c>
      <c r="X29" s="7">
        <f>'[8]Production Summary'!AB92</f>
        <v>123999.99999999523</v>
      </c>
      <c r="Y29" s="8">
        <f t="shared" si="30"/>
        <v>0.12399999999999523</v>
      </c>
      <c r="Z29" s="10">
        <f t="shared" si="31"/>
        <v>0.38067999999998531</v>
      </c>
      <c r="AA29" s="15"/>
      <c r="AB29" s="7">
        <f t="shared" si="32"/>
        <v>20909000.000000004</v>
      </c>
      <c r="AC29" s="8">
        <f t="shared" si="32"/>
        <v>20.909000000000006</v>
      </c>
      <c r="AD29" s="8">
        <f t="shared" si="32"/>
        <v>64.190630000000013</v>
      </c>
      <c r="AF29" s="8">
        <f t="shared" si="34"/>
        <v>9.2100000000016613E-3</v>
      </c>
    </row>
    <row r="30" spans="1:32" x14ac:dyDescent="0.15">
      <c r="A30" s="27">
        <v>38621</v>
      </c>
      <c r="B30" s="7">
        <f>'[8]Production Summary'!J93</f>
        <v>17699999.999999817</v>
      </c>
      <c r="C30" s="8">
        <f t="shared" si="16"/>
        <v>17.699999999999818</v>
      </c>
      <c r="D30" s="10">
        <f t="shared" si="17"/>
        <v>54.338999999999437</v>
      </c>
      <c r="E30" s="7">
        <f>'[8]Production Summary'!E93</f>
        <v>11000000</v>
      </c>
      <c r="F30" s="8">
        <f t="shared" si="18"/>
        <v>11</v>
      </c>
      <c r="G30" s="10">
        <f t="shared" si="19"/>
        <v>33.769999999999996</v>
      </c>
      <c r="H30" s="7">
        <f>'[8]Production Summary'!G93</f>
        <v>6470000</v>
      </c>
      <c r="I30" s="8">
        <f t="shared" si="20"/>
        <v>6.47</v>
      </c>
      <c r="J30" s="10">
        <f t="shared" si="21"/>
        <v>19.8629</v>
      </c>
      <c r="K30" s="7">
        <f>'[8]Production Summary'!T93</f>
        <v>1456002</v>
      </c>
      <c r="L30" s="8">
        <f t="shared" si="22"/>
        <v>1.456002</v>
      </c>
      <c r="M30" s="10">
        <f t="shared" si="23"/>
        <v>4.4699261400000001</v>
      </c>
      <c r="N30" s="21"/>
      <c r="O30" s="7">
        <f>'[8]Production Summary'!I93</f>
        <v>5932000</v>
      </c>
      <c r="P30" s="8">
        <f t="shared" si="24"/>
        <v>5.9320000000000004</v>
      </c>
      <c r="Q30" s="10">
        <f t="shared" si="25"/>
        <v>18.21124</v>
      </c>
      <c r="R30" s="7">
        <f>'[8]Production Summary'!C93</f>
        <v>5995000</v>
      </c>
      <c r="S30" s="8">
        <f t="shared" si="26"/>
        <v>5.9950000000000001</v>
      </c>
      <c r="T30" s="10">
        <f t="shared" si="27"/>
        <v>18.40465</v>
      </c>
      <c r="U30" s="7">
        <f>'[8]Production Summary'!F93</f>
        <v>3994000</v>
      </c>
      <c r="V30" s="8">
        <f t="shared" si="28"/>
        <v>3.9940000000000002</v>
      </c>
      <c r="W30" s="10">
        <f t="shared" si="29"/>
        <v>12.26158</v>
      </c>
      <c r="X30" s="7">
        <f>'[8]Production Summary'!AB93</f>
        <v>60999.999999999942</v>
      </c>
      <c r="Y30" s="8">
        <f t="shared" si="30"/>
        <v>6.0999999999999943E-2</v>
      </c>
      <c r="Z30" s="10">
        <f t="shared" si="31"/>
        <v>0.18726999999999983</v>
      </c>
      <c r="AA30" s="15"/>
      <c r="AB30" s="7">
        <f t="shared" si="32"/>
        <v>23631999.999999817</v>
      </c>
      <c r="AC30" s="8">
        <f t="shared" si="32"/>
        <v>23.63199999999982</v>
      </c>
      <c r="AD30" s="8">
        <f>D30+Q30</f>
        <v>72.550239999999434</v>
      </c>
      <c r="AF30" s="8">
        <f t="shared" si="34"/>
        <v>6.1400000000002564E-3</v>
      </c>
    </row>
    <row r="31" spans="1:32" x14ac:dyDescent="0.15">
      <c r="A31" s="27">
        <v>38622</v>
      </c>
      <c r="B31" s="7">
        <f>'[8]Production Summary'!J94</f>
        <v>14399999.999999637</v>
      </c>
      <c r="C31" s="8">
        <f t="shared" si="16"/>
        <v>14.399999999999636</v>
      </c>
      <c r="D31" s="10">
        <f t="shared" si="17"/>
        <v>44.207999999998883</v>
      </c>
      <c r="E31" s="7">
        <f>'[8]Production Summary'!E94</f>
        <v>11000000</v>
      </c>
      <c r="F31" s="8">
        <f t="shared" si="18"/>
        <v>11</v>
      </c>
      <c r="G31" s="10">
        <f t="shared" si="19"/>
        <v>33.769999999999996</v>
      </c>
      <c r="H31" s="7">
        <f>'[8]Production Summary'!G94</f>
        <v>5620000</v>
      </c>
      <c r="I31" s="8">
        <f t="shared" si="20"/>
        <v>5.62</v>
      </c>
      <c r="J31" s="10">
        <f t="shared" si="21"/>
        <v>17.253399999999999</v>
      </c>
      <c r="K31" s="7">
        <f>'[8]Production Summary'!T94</f>
        <v>1234228</v>
      </c>
      <c r="L31" s="8">
        <f t="shared" si="22"/>
        <v>1.2342280000000001</v>
      </c>
      <c r="M31" s="10">
        <f t="shared" si="23"/>
        <v>3.78907996</v>
      </c>
      <c r="N31" s="21"/>
      <c r="O31" s="7">
        <f>'[8]Production Summary'!I94</f>
        <v>5332999.9999999953</v>
      </c>
      <c r="P31" s="8">
        <f t="shared" si="24"/>
        <v>5.3329999999999957</v>
      </c>
      <c r="Q31" s="10">
        <f t="shared" si="25"/>
        <v>16.372309999999985</v>
      </c>
      <c r="R31" s="7">
        <f>'[8]Production Summary'!C94</f>
        <v>5403000</v>
      </c>
      <c r="S31" s="8">
        <f t="shared" si="26"/>
        <v>5.4029999999999996</v>
      </c>
      <c r="T31" s="10">
        <f t="shared" si="27"/>
        <v>16.587209999999999</v>
      </c>
      <c r="U31" s="7">
        <f>'[8]Production Summary'!F94</f>
        <v>3972000</v>
      </c>
      <c r="V31" s="8">
        <f t="shared" si="28"/>
        <v>3.972</v>
      </c>
      <c r="W31" s="10">
        <f t="shared" si="29"/>
        <v>12.194039999999999</v>
      </c>
      <c r="X31" s="7">
        <f>'[8]Production Summary'!AB94</f>
        <v>68000.000000004948</v>
      </c>
      <c r="Y31" s="8">
        <f t="shared" si="30"/>
        <v>6.8000000000004945E-2</v>
      </c>
      <c r="Z31" s="10">
        <f t="shared" si="31"/>
        <v>0.20876000000001518</v>
      </c>
      <c r="AA31" s="15"/>
      <c r="AB31" s="7">
        <f t="shared" si="32"/>
        <v>19732999.999999631</v>
      </c>
      <c r="AC31" s="8">
        <f t="shared" si="32"/>
        <v>19.732999999999631</v>
      </c>
      <c r="AD31" s="8">
        <f t="shared" si="32"/>
        <v>60.580309999998867</v>
      </c>
      <c r="AF31" s="8">
        <f>T31-Q31-Z31</f>
        <v>6.1399999999991184E-3</v>
      </c>
    </row>
    <row r="32" spans="1:32" x14ac:dyDescent="0.15">
      <c r="A32" s="27">
        <v>38623</v>
      </c>
      <c r="B32" s="7">
        <f>'[8]Production Summary'!J95</f>
        <v>15500000</v>
      </c>
      <c r="C32" s="8">
        <f t="shared" si="16"/>
        <v>15.5</v>
      </c>
      <c r="D32" s="10">
        <f t="shared" si="17"/>
        <v>47.585000000000001</v>
      </c>
      <c r="E32" s="7">
        <f>'[8]Production Summary'!E95</f>
        <v>10000000</v>
      </c>
      <c r="F32" s="8">
        <f t="shared" si="18"/>
        <v>10</v>
      </c>
      <c r="G32" s="10">
        <f t="shared" si="19"/>
        <v>30.7</v>
      </c>
      <c r="H32" s="7">
        <f>'[8]Production Summary'!G95</f>
        <v>6190000</v>
      </c>
      <c r="I32" s="8">
        <f t="shared" si="20"/>
        <v>6.19</v>
      </c>
      <c r="J32" s="10">
        <f t="shared" si="21"/>
        <v>19.003299999999999</v>
      </c>
      <c r="K32" s="7">
        <f>'[8]Production Summary'!T95</f>
        <v>1366931</v>
      </c>
      <c r="L32" s="8">
        <f t="shared" si="22"/>
        <v>1.3669309999999999</v>
      </c>
      <c r="M32" s="10">
        <f t="shared" si="23"/>
        <v>4.1964781699999998</v>
      </c>
      <c r="N32" s="21"/>
      <c r="O32" s="7">
        <f>'[8]Production Summary'!I95</f>
        <v>2004000</v>
      </c>
      <c r="P32" s="8">
        <f t="shared" si="24"/>
        <v>2.004</v>
      </c>
      <c r="Q32" s="10">
        <f t="shared" si="25"/>
        <v>6.1522799999999993</v>
      </c>
      <c r="R32" s="7">
        <f>'[8]Production Summary'!C95</f>
        <v>2004000</v>
      </c>
      <c r="S32" s="8">
        <f t="shared" si="26"/>
        <v>2.004</v>
      </c>
      <c r="T32" s="10">
        <f t="shared" si="27"/>
        <v>6.1522799999999993</v>
      </c>
      <c r="U32" s="7">
        <f>'[8]Production Summary'!F95</f>
        <v>3462000</v>
      </c>
      <c r="V32" s="8">
        <f t="shared" si="28"/>
        <v>3.4620000000000002</v>
      </c>
      <c r="W32" s="10">
        <f t="shared" si="29"/>
        <v>10.62834</v>
      </c>
      <c r="X32" s="7">
        <f>'[8]Production Summary'!AB95</f>
        <v>0</v>
      </c>
      <c r="Y32" s="8">
        <f t="shared" si="30"/>
        <v>0</v>
      </c>
      <c r="Z32" s="10">
        <f t="shared" si="31"/>
        <v>0</v>
      </c>
      <c r="AA32" s="15"/>
      <c r="AB32" s="7">
        <f t="shared" si="32"/>
        <v>17504000</v>
      </c>
      <c r="AC32" s="8">
        <f t="shared" si="32"/>
        <v>17.504000000000001</v>
      </c>
      <c r="AD32" s="8">
        <f t="shared" si="32"/>
        <v>53.737279999999998</v>
      </c>
      <c r="AF32" s="8">
        <f t="shared" si="34"/>
        <v>0</v>
      </c>
    </row>
    <row r="33" spans="1:32" x14ac:dyDescent="0.15">
      <c r="A33" s="27">
        <v>38624</v>
      </c>
      <c r="B33" s="7">
        <f>'[8]Production Summary'!J96</f>
        <v>18199999.999999817</v>
      </c>
      <c r="C33" s="8">
        <f t="shared" si="16"/>
        <v>18.199999999999818</v>
      </c>
      <c r="D33" s="10">
        <f t="shared" si="17"/>
        <v>55.873999999999441</v>
      </c>
      <c r="E33" s="7">
        <f>'[8]Production Summary'!E96</f>
        <v>10000000</v>
      </c>
      <c r="F33" s="8">
        <f t="shared" si="18"/>
        <v>10</v>
      </c>
      <c r="G33" s="10">
        <f t="shared" si="19"/>
        <v>30.7</v>
      </c>
      <c r="H33" s="7">
        <f>'[8]Production Summary'!G96</f>
        <v>9500000</v>
      </c>
      <c r="I33" s="8">
        <f t="shared" si="20"/>
        <v>9.5</v>
      </c>
      <c r="J33" s="10">
        <f t="shared" si="21"/>
        <v>29.164999999999999</v>
      </c>
      <c r="K33" s="7">
        <f>'[8]Production Summary'!T96</f>
        <v>1495907</v>
      </c>
      <c r="L33" s="8">
        <f t="shared" si="22"/>
        <v>1.4959070000000001</v>
      </c>
      <c r="M33" s="10">
        <f t="shared" si="23"/>
        <v>4.5924344900000005</v>
      </c>
      <c r="N33" s="21"/>
      <c r="O33" s="7">
        <f>'[8]Production Summary'!I96</f>
        <v>0</v>
      </c>
      <c r="P33" s="8">
        <f t="shared" si="24"/>
        <v>0</v>
      </c>
      <c r="Q33" s="10">
        <f t="shared" si="25"/>
        <v>0</v>
      </c>
      <c r="R33" s="7">
        <f>'[8]Production Summary'!C96</f>
        <v>0</v>
      </c>
      <c r="S33" s="8">
        <f t="shared" si="26"/>
        <v>0</v>
      </c>
      <c r="T33" s="10">
        <f t="shared" si="27"/>
        <v>0</v>
      </c>
      <c r="U33" s="7">
        <f>'[8]Production Summary'!F96</f>
        <v>1864000</v>
      </c>
      <c r="V33" s="8">
        <f t="shared" si="28"/>
        <v>1.8640000000000001</v>
      </c>
      <c r="W33" s="10">
        <f t="shared" si="29"/>
        <v>5.72248</v>
      </c>
      <c r="X33" s="7">
        <f>'[8]Production Summary'!AB96</f>
        <v>0</v>
      </c>
      <c r="Y33" s="8">
        <f t="shared" si="30"/>
        <v>0</v>
      </c>
      <c r="Z33" s="10">
        <f t="shared" si="31"/>
        <v>0</v>
      </c>
      <c r="AA33" s="15"/>
      <c r="AB33" s="7">
        <f t="shared" si="32"/>
        <v>18199999.999999817</v>
      </c>
      <c r="AC33" s="8">
        <f t="shared" si="32"/>
        <v>18.199999999999818</v>
      </c>
      <c r="AD33" s="8">
        <f t="shared" si="32"/>
        <v>55.873999999999441</v>
      </c>
      <c r="AF33" s="8">
        <f t="shared" si="34"/>
        <v>0</v>
      </c>
    </row>
    <row r="34" spans="1:32" ht="14" thickBot="1" x14ac:dyDescent="0.2">
      <c r="A34" s="27">
        <v>38625</v>
      </c>
      <c r="B34" s="7">
        <f>'[8]Production Summary'!J97</f>
        <v>18200000.000000726</v>
      </c>
      <c r="C34" s="8">
        <f t="shared" si="16"/>
        <v>18.200000000000728</v>
      </c>
      <c r="D34" s="10">
        <f t="shared" si="17"/>
        <v>55.874000000002233</v>
      </c>
      <c r="E34" s="7">
        <f>'[8]Production Summary'!E97</f>
        <v>10000000</v>
      </c>
      <c r="F34" s="8">
        <f t="shared" si="18"/>
        <v>10</v>
      </c>
      <c r="G34" s="10">
        <f t="shared" si="19"/>
        <v>30.7</v>
      </c>
      <c r="H34" s="7">
        <f>'[8]Production Summary'!G97</f>
        <v>9540000</v>
      </c>
      <c r="I34" s="8">
        <f t="shared" si="20"/>
        <v>9.5399999999999991</v>
      </c>
      <c r="J34" s="10">
        <f t="shared" si="21"/>
        <v>29.287799999999997</v>
      </c>
      <c r="K34" s="7">
        <f>'[8]Production Summary'!T97</f>
        <v>1570339</v>
      </c>
      <c r="L34" s="8">
        <f t="shared" si="22"/>
        <v>1.5703389999999999</v>
      </c>
      <c r="M34" s="10">
        <f t="shared" si="23"/>
        <v>4.8209407299999993</v>
      </c>
      <c r="N34" s="21"/>
      <c r="O34" s="7">
        <f>'[8]Production Summary'!I97</f>
        <v>0</v>
      </c>
      <c r="P34" s="8">
        <f t="shared" si="24"/>
        <v>0</v>
      </c>
      <c r="Q34" s="10">
        <f t="shared" si="25"/>
        <v>0</v>
      </c>
      <c r="R34" s="7">
        <f>'[8]Production Summary'!C97</f>
        <v>0</v>
      </c>
      <c r="S34" s="8">
        <f t="shared" si="26"/>
        <v>0</v>
      </c>
      <c r="T34" s="10">
        <f t="shared" si="27"/>
        <v>0</v>
      </c>
      <c r="U34" s="7">
        <f>'[8]Production Summary'!F97</f>
        <v>4933000</v>
      </c>
      <c r="V34" s="8">
        <f t="shared" si="28"/>
        <v>4.9329999999999998</v>
      </c>
      <c r="W34" s="10">
        <f t="shared" si="29"/>
        <v>15.144309999999999</v>
      </c>
      <c r="X34" s="7">
        <f>'[8]Production Summary'!AB97</f>
        <v>0</v>
      </c>
      <c r="Y34" s="8">
        <f t="shared" si="30"/>
        <v>0</v>
      </c>
      <c r="Z34" s="10">
        <f t="shared" si="31"/>
        <v>0</v>
      </c>
      <c r="AA34" s="15"/>
      <c r="AB34" s="7">
        <f t="shared" si="32"/>
        <v>18200000.000000726</v>
      </c>
      <c r="AC34" s="8">
        <f t="shared" si="32"/>
        <v>18.200000000000728</v>
      </c>
      <c r="AD34" s="8">
        <f t="shared" si="32"/>
        <v>55.874000000002233</v>
      </c>
      <c r="AF34" s="8">
        <f t="shared" si="34"/>
        <v>0</v>
      </c>
    </row>
    <row r="35" spans="1:32" ht="14" thickBot="1" x14ac:dyDescent="0.2">
      <c r="A35" s="3"/>
      <c r="B35" s="38">
        <f t="shared" ref="B35:I35" si="35">SUM(B5:B34)</f>
        <v>715500000</v>
      </c>
      <c r="C35" s="39">
        <f t="shared" si="35"/>
        <v>715.5</v>
      </c>
      <c r="D35" s="39">
        <f t="shared" si="35"/>
        <v>2196.5849999999996</v>
      </c>
      <c r="E35" s="38">
        <f t="shared" si="35"/>
        <v>334000000</v>
      </c>
      <c r="F35" s="39">
        <f t="shared" si="35"/>
        <v>334</v>
      </c>
      <c r="G35" s="39">
        <f t="shared" si="35"/>
        <v>1025.3800000000001</v>
      </c>
      <c r="H35" s="38">
        <f t="shared" si="35"/>
        <v>445710000</v>
      </c>
      <c r="I35" s="39">
        <f t="shared" si="35"/>
        <v>445.71000000000004</v>
      </c>
      <c r="J35" s="39">
        <f t="shared" ref="J35" si="36">I35*3.07</f>
        <v>1368.3297</v>
      </c>
      <c r="K35" s="38">
        <f>SUM(K5:K34)</f>
        <v>61923876</v>
      </c>
      <c r="L35" s="39">
        <f>SUM(L5:L34)</f>
        <v>61.923875999999993</v>
      </c>
      <c r="M35" s="39">
        <f t="shared" ref="M35" si="37">L35*3.07</f>
        <v>190.10629931999998</v>
      </c>
      <c r="N35" s="14"/>
      <c r="O35" s="38">
        <f>SUM(O5:O34)</f>
        <v>201445000</v>
      </c>
      <c r="P35" s="39">
        <f>SUM(P5:P34)</f>
        <v>201.44500000000002</v>
      </c>
      <c r="Q35" s="39">
        <f t="shared" ref="Q35" si="38">P35*3.07</f>
        <v>618.43615</v>
      </c>
      <c r="R35" s="38"/>
      <c r="S35" s="39">
        <f>SUM(S5:S34)</f>
        <v>205.90899999999996</v>
      </c>
      <c r="T35" s="39">
        <f t="shared" ref="T35" si="39">S35*3.07</f>
        <v>632.14062999999987</v>
      </c>
      <c r="U35" s="38">
        <f>SUM(U5:U34)</f>
        <v>138444000</v>
      </c>
      <c r="V35" s="39">
        <f>SUM(V5:V34)</f>
        <v>138.44400000000002</v>
      </c>
      <c r="W35" s="39">
        <f t="shared" ref="W35" si="40">V35*3.07</f>
        <v>425.02308000000005</v>
      </c>
      <c r="X35" s="38"/>
      <c r="Y35" s="39">
        <f>SUM(Y5:Y34)</f>
        <v>4.3490000000000038</v>
      </c>
      <c r="Z35" s="39">
        <f t="shared" ref="Z35" si="41">Y35*3.07</f>
        <v>13.351430000000011</v>
      </c>
      <c r="AA35" s="14"/>
      <c r="AB35" s="38">
        <f>B35+O35</f>
        <v>916945000</v>
      </c>
      <c r="AC35" s="39">
        <f t="shared" si="32"/>
        <v>916.94500000000005</v>
      </c>
      <c r="AD35" s="39">
        <f t="shared" si="32"/>
        <v>2815.0211499999996</v>
      </c>
      <c r="AF35" s="8">
        <f t="shared" si="34"/>
        <v>0.35304999999986464</v>
      </c>
    </row>
    <row r="36" spans="1:32" x14ac:dyDescent="0.15">
      <c r="C36" s="18"/>
      <c r="E36" s="3"/>
      <c r="F36" s="3"/>
      <c r="G36" s="3"/>
      <c r="H36" s="3"/>
      <c r="I36" s="3"/>
      <c r="J36" s="3"/>
      <c r="K36" s="14"/>
      <c r="L36" s="3"/>
      <c r="M36" s="3"/>
      <c r="N36" s="3"/>
      <c r="O36" s="3"/>
      <c r="P36" s="3"/>
      <c r="Q36" s="3"/>
      <c r="R36" s="3"/>
      <c r="S36" s="3"/>
      <c r="T36" s="3"/>
      <c r="U36" s="14"/>
      <c r="AB36" s="30"/>
      <c r="AC36" s="30"/>
      <c r="AD36" s="23"/>
      <c r="AF36" s="30"/>
    </row>
    <row r="37" spans="1:32" x14ac:dyDescent="0.15">
      <c r="Q37" s="18"/>
    </row>
    <row r="38" spans="1:32" x14ac:dyDescent="0.15">
      <c r="Q38" s="18"/>
    </row>
  </sheetData>
  <mergeCells count="9">
    <mergeCell ref="AB3:AD3"/>
    <mergeCell ref="R3:T3"/>
    <mergeCell ref="U3:W3"/>
    <mergeCell ref="X3:Z3"/>
    <mergeCell ref="B3:D3"/>
    <mergeCell ref="E3:G3"/>
    <mergeCell ref="H3:J3"/>
    <mergeCell ref="O3:Q3"/>
    <mergeCell ref="K3:M3"/>
  </mergeCells>
  <phoneticPr fontId="1" type="noConversion"/>
  <pageMargins left="0.75" right="0.75" top="1" bottom="1" header="0.5" footer="0.5"/>
  <pageSetup scale="37" orientation="landscape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/>
  <dimension ref="A1:AF37"/>
  <sheetViews>
    <sheetView workbookViewId="0">
      <pane xSplit="1" ySplit="4" topLeftCell="M20" activePane="bottomRight" state="frozen"/>
      <selection pane="topRight" activeCell="B1" sqref="B1"/>
      <selection pane="bottomLeft" activeCell="A5" sqref="A5"/>
      <selection pane="bottomRight" activeCell="AD37" sqref="AD37"/>
    </sheetView>
  </sheetViews>
  <sheetFormatPr baseColWidth="10" defaultColWidth="8.83203125" defaultRowHeight="13" x14ac:dyDescent="0.15"/>
  <cols>
    <col min="2" max="2" width="11" customWidth="1"/>
    <col min="5" max="5" width="11.33203125" customWidth="1"/>
    <col min="8" max="8" width="14.33203125" customWidth="1"/>
    <col min="11" max="11" width="15.5" customWidth="1"/>
    <col min="12" max="12" width="10.6640625" customWidth="1"/>
    <col min="13" max="13" width="12.1640625" customWidth="1"/>
    <col min="15" max="15" width="11.6640625" customWidth="1"/>
    <col min="18" max="18" width="10.6640625" customWidth="1"/>
    <col min="21" max="21" width="10.1640625" bestFit="1" customWidth="1"/>
    <col min="22" max="22" width="10.6640625" customWidth="1"/>
    <col min="28" max="28" width="13.5" customWidth="1"/>
  </cols>
  <sheetData>
    <row r="1" spans="1:32" x14ac:dyDescent="0.15">
      <c r="A1" s="42"/>
      <c r="B1" s="54" t="s">
        <v>17</v>
      </c>
      <c r="C1" s="41"/>
      <c r="D1" s="41"/>
      <c r="E1" s="25"/>
      <c r="F1" s="25"/>
      <c r="G1" s="3"/>
      <c r="H1" s="3"/>
      <c r="I1" s="3"/>
      <c r="J1" s="3"/>
      <c r="K1" s="14"/>
      <c r="L1" s="3"/>
      <c r="M1" s="3"/>
      <c r="N1" s="3"/>
      <c r="O1" s="3"/>
      <c r="P1" s="3"/>
      <c r="Q1" s="3"/>
      <c r="R1" s="3"/>
      <c r="S1" s="3"/>
      <c r="T1" s="3"/>
      <c r="U1" s="14"/>
      <c r="V1" s="3"/>
      <c r="W1" s="3"/>
      <c r="X1" s="3"/>
    </row>
    <row r="2" spans="1:32" ht="14" thickBot="1" x14ac:dyDescent="0.2">
      <c r="A2" s="3"/>
      <c r="B2" s="3"/>
      <c r="C2" s="24"/>
      <c r="D2" s="3"/>
      <c r="E2" s="3"/>
      <c r="F2" s="3"/>
      <c r="G2" s="3"/>
      <c r="H2" s="3"/>
      <c r="I2" s="3"/>
      <c r="J2" s="3"/>
      <c r="K2" s="14"/>
      <c r="L2" s="3"/>
      <c r="M2" s="3"/>
      <c r="N2" s="3"/>
      <c r="O2" s="3"/>
      <c r="P2" s="3"/>
      <c r="Q2" s="3"/>
      <c r="R2" s="3"/>
      <c r="S2" s="3"/>
      <c r="T2" s="3"/>
      <c r="U2" s="14"/>
      <c r="V2" s="3"/>
      <c r="W2" s="3"/>
      <c r="X2" s="3"/>
    </row>
    <row r="3" spans="1:32" ht="60.75" customHeight="1" thickBot="1" x14ac:dyDescent="0.2">
      <c r="A3" s="3"/>
      <c r="B3" s="58" t="s">
        <v>10</v>
      </c>
      <c r="C3" s="59"/>
      <c r="D3" s="60"/>
      <c r="E3" s="58" t="s">
        <v>11</v>
      </c>
      <c r="F3" s="59"/>
      <c r="G3" s="60"/>
      <c r="H3" s="58" t="s">
        <v>12</v>
      </c>
      <c r="I3" s="59"/>
      <c r="J3" s="60"/>
      <c r="K3" s="58" t="s">
        <v>13</v>
      </c>
      <c r="L3" s="59"/>
      <c r="M3" s="60"/>
      <c r="N3" s="19"/>
      <c r="O3" s="58" t="s">
        <v>4</v>
      </c>
      <c r="P3" s="59"/>
      <c r="Q3" s="60"/>
      <c r="R3" s="58" t="s">
        <v>3</v>
      </c>
      <c r="S3" s="59"/>
      <c r="T3" s="60"/>
      <c r="U3" s="58" t="s">
        <v>6</v>
      </c>
      <c r="V3" s="59"/>
      <c r="W3" s="60"/>
      <c r="X3" s="58" t="s">
        <v>7</v>
      </c>
      <c r="Y3" s="59"/>
      <c r="Z3" s="60"/>
      <c r="AA3" s="19"/>
      <c r="AB3" s="55" t="s">
        <v>8</v>
      </c>
      <c r="AC3" s="56"/>
      <c r="AD3" s="57"/>
      <c r="AF3" s="34" t="s">
        <v>9</v>
      </c>
    </row>
    <row r="4" spans="1:32" x14ac:dyDescent="0.15">
      <c r="A4" s="26"/>
      <c r="B4" s="4" t="s">
        <v>0</v>
      </c>
      <c r="C4" s="17" t="s">
        <v>1</v>
      </c>
      <c r="D4" s="6" t="s">
        <v>2</v>
      </c>
      <c r="E4" s="4" t="s">
        <v>0</v>
      </c>
      <c r="F4" s="5" t="s">
        <v>1</v>
      </c>
      <c r="G4" s="6" t="s">
        <v>2</v>
      </c>
      <c r="H4" s="4" t="s">
        <v>0</v>
      </c>
      <c r="I4" s="5" t="s">
        <v>1</v>
      </c>
      <c r="J4" s="6" t="s">
        <v>2</v>
      </c>
      <c r="K4" s="4" t="s">
        <v>0</v>
      </c>
      <c r="L4" s="5" t="s">
        <v>1</v>
      </c>
      <c r="M4" s="6" t="s">
        <v>2</v>
      </c>
      <c r="N4" s="19"/>
      <c r="O4" s="4" t="s">
        <v>0</v>
      </c>
      <c r="P4" s="5" t="s">
        <v>1</v>
      </c>
      <c r="Q4" s="6" t="s">
        <v>2</v>
      </c>
      <c r="R4" s="4" t="s">
        <v>0</v>
      </c>
      <c r="S4" s="5" t="s">
        <v>1</v>
      </c>
      <c r="T4" s="6" t="s">
        <v>2</v>
      </c>
      <c r="U4" s="4" t="s">
        <v>0</v>
      </c>
      <c r="V4" s="5" t="s">
        <v>1</v>
      </c>
      <c r="W4" s="6" t="s">
        <v>2</v>
      </c>
      <c r="X4" s="4" t="s">
        <v>0</v>
      </c>
      <c r="Y4" s="5" t="s">
        <v>1</v>
      </c>
      <c r="Z4" s="6" t="s">
        <v>2</v>
      </c>
      <c r="AA4" s="19"/>
      <c r="AB4" s="31" t="s">
        <v>0</v>
      </c>
      <c r="AC4" s="32" t="s">
        <v>1</v>
      </c>
      <c r="AD4" s="33" t="s">
        <v>2</v>
      </c>
      <c r="AF4" s="5" t="s">
        <v>2</v>
      </c>
    </row>
    <row r="5" spans="1:32" x14ac:dyDescent="0.15">
      <c r="A5" s="27">
        <v>38626</v>
      </c>
      <c r="B5" s="7">
        <f>'[10]Production Summary'!J6</f>
        <v>17899999.999999635</v>
      </c>
      <c r="C5" s="8">
        <f t="shared" ref="C5" si="0">B5/1000000</f>
        <v>17.899999999999636</v>
      </c>
      <c r="D5" s="10">
        <f t="shared" ref="D5" si="1">C5*3.07</f>
        <v>54.95299999999888</v>
      </c>
      <c r="E5" s="7">
        <f>'[10]Production Summary'!E6</f>
        <v>12000000</v>
      </c>
      <c r="F5" s="8">
        <f t="shared" ref="F5" si="2">E5/1000000</f>
        <v>12</v>
      </c>
      <c r="G5" s="10">
        <f t="shared" ref="G5" si="3">F5*3.07</f>
        <v>36.839999999999996</v>
      </c>
      <c r="H5" s="7">
        <f>'[10]Production Summary'!G6</f>
        <v>7490000</v>
      </c>
      <c r="I5" s="8">
        <f t="shared" ref="I5" si="4">H5/1000000</f>
        <v>7.49</v>
      </c>
      <c r="J5" s="10">
        <f t="shared" ref="J5" si="5">I5*3.07</f>
        <v>22.994299999999999</v>
      </c>
      <c r="K5" s="7">
        <f>'[10]Production Summary'!T6</f>
        <v>1686883</v>
      </c>
      <c r="L5" s="8">
        <f t="shared" ref="L5" si="6">K5/1000000</f>
        <v>1.6868829999999999</v>
      </c>
      <c r="M5" s="10">
        <f t="shared" ref="M5" si="7">L5*3.07</f>
        <v>5.1787308099999994</v>
      </c>
      <c r="N5" s="21"/>
      <c r="O5" s="7">
        <f>'[10]Production Summary'!I6</f>
        <v>0</v>
      </c>
      <c r="P5" s="8">
        <f t="shared" ref="P5" si="8">O5/1000000</f>
        <v>0</v>
      </c>
      <c r="Q5" s="10">
        <f t="shared" ref="Q5" si="9">P5*3.07</f>
        <v>0</v>
      </c>
      <c r="R5" s="7">
        <f>'[10]Production Summary'!C6</f>
        <v>0</v>
      </c>
      <c r="S5" s="8">
        <f t="shared" ref="S5" si="10">R5/1000000</f>
        <v>0</v>
      </c>
      <c r="T5" s="10">
        <f t="shared" ref="T5" si="11">S5*3.07</f>
        <v>0</v>
      </c>
      <c r="U5" s="7">
        <f>'[10]Production Summary'!F6</f>
        <v>7991000</v>
      </c>
      <c r="V5" s="8">
        <f t="shared" ref="V5" si="12">U5/1000000</f>
        <v>7.9909999999999997</v>
      </c>
      <c r="W5" s="10">
        <f t="shared" ref="W5" si="13">V5*3.07</f>
        <v>24.532369999999997</v>
      </c>
      <c r="X5" s="7">
        <f>'[10]Production Summary'!AB6</f>
        <v>0</v>
      </c>
      <c r="Y5" s="8">
        <f t="shared" ref="Y5" si="14">X5/1000000</f>
        <v>0</v>
      </c>
      <c r="Z5" s="10">
        <f t="shared" ref="Z5" si="15">Y5*3.07</f>
        <v>0</v>
      </c>
      <c r="AA5" s="15"/>
      <c r="AB5" s="7">
        <f>B5+O5</f>
        <v>17899999.999999635</v>
      </c>
      <c r="AC5" s="8">
        <f>C5+P5</f>
        <v>17.899999999999636</v>
      </c>
      <c r="AD5" s="8">
        <f>D5+Q5</f>
        <v>54.95299999999888</v>
      </c>
      <c r="AF5" s="8">
        <f>T5-Q5-Z5</f>
        <v>0</v>
      </c>
    </row>
    <row r="6" spans="1:32" x14ac:dyDescent="0.15">
      <c r="A6" s="27">
        <v>38627</v>
      </c>
      <c r="B6" s="7">
        <f>'[10]Production Summary'!J7</f>
        <v>18500000</v>
      </c>
      <c r="C6" s="8">
        <f t="shared" ref="C6:C35" si="16">B6/1000000</f>
        <v>18.5</v>
      </c>
      <c r="D6" s="10">
        <f t="shared" ref="D6:D35" si="17">C6*3.07</f>
        <v>56.794999999999995</v>
      </c>
      <c r="E6" s="7">
        <f>'[10]Production Summary'!E7</f>
        <v>12000000</v>
      </c>
      <c r="F6" s="8">
        <f t="shared" ref="F6:F35" si="18">E6/1000000</f>
        <v>12</v>
      </c>
      <c r="G6" s="10">
        <f t="shared" ref="G6:G35" si="19">F6*3.07</f>
        <v>36.839999999999996</v>
      </c>
      <c r="H6" s="7">
        <f>'[10]Production Summary'!G7</f>
        <v>8620000</v>
      </c>
      <c r="I6" s="8">
        <f t="shared" ref="I6:I35" si="20">H6/1000000</f>
        <v>8.6199999999999992</v>
      </c>
      <c r="J6" s="10">
        <f t="shared" ref="J6:J35" si="21">I6*3.07</f>
        <v>26.463399999999996</v>
      </c>
      <c r="K6" s="7">
        <f>'[10]Production Summary'!T7</f>
        <v>1737288</v>
      </c>
      <c r="L6" s="8">
        <f t="shared" ref="L6:L35" si="22">K6/1000000</f>
        <v>1.7372879999999999</v>
      </c>
      <c r="M6" s="10">
        <f t="shared" ref="M6:M35" si="23">L6*3.07</f>
        <v>5.3334741599999997</v>
      </c>
      <c r="N6" s="21"/>
      <c r="O6" s="7">
        <f>'[10]Production Summary'!I7</f>
        <v>0</v>
      </c>
      <c r="P6" s="8">
        <f t="shared" ref="P6:P35" si="24">O6/1000000</f>
        <v>0</v>
      </c>
      <c r="Q6" s="10">
        <f t="shared" ref="Q6:Q35" si="25">P6*3.07</f>
        <v>0</v>
      </c>
      <c r="R6" s="7">
        <f>'[10]Production Summary'!C7</f>
        <v>0</v>
      </c>
      <c r="S6" s="8">
        <f t="shared" ref="S6:S35" si="26">R6/1000000</f>
        <v>0</v>
      </c>
      <c r="T6" s="10">
        <f t="shared" ref="T6:T35" si="27">S6*3.07</f>
        <v>0</v>
      </c>
      <c r="U6" s="7">
        <f>'[10]Production Summary'!F7</f>
        <v>7991000</v>
      </c>
      <c r="V6" s="8">
        <f t="shared" ref="V6:V35" si="28">U6/1000000</f>
        <v>7.9909999999999997</v>
      </c>
      <c r="W6" s="10">
        <f t="shared" ref="W6:W35" si="29">V6*3.07</f>
        <v>24.532369999999997</v>
      </c>
      <c r="X6" s="7">
        <f>'[10]Production Summary'!AB7</f>
        <v>0</v>
      </c>
      <c r="Y6" s="8">
        <f t="shared" ref="Y6:Y35" si="30">X6/1000000</f>
        <v>0</v>
      </c>
      <c r="Z6" s="10">
        <f t="shared" ref="Z6:Z35" si="31">Y6*3.07</f>
        <v>0</v>
      </c>
      <c r="AA6" s="15"/>
      <c r="AB6" s="7">
        <f t="shared" ref="AB6:AD35" si="32">B6+O6</f>
        <v>18500000</v>
      </c>
      <c r="AC6" s="8">
        <f t="shared" si="32"/>
        <v>18.5</v>
      </c>
      <c r="AD6" s="8">
        <f t="shared" si="32"/>
        <v>56.794999999999995</v>
      </c>
      <c r="AF6" s="8">
        <f>T6-Q6-Z6</f>
        <v>0</v>
      </c>
    </row>
    <row r="7" spans="1:32" x14ac:dyDescent="0.15">
      <c r="A7" s="27">
        <v>38628</v>
      </c>
      <c r="B7" s="7">
        <f>'[10]Production Summary'!J8</f>
        <v>17899999.999999635</v>
      </c>
      <c r="C7" s="8">
        <f t="shared" si="16"/>
        <v>17.899999999999636</v>
      </c>
      <c r="D7" s="10">
        <f t="shared" si="17"/>
        <v>54.95299999999888</v>
      </c>
      <c r="E7" s="7">
        <f>'[10]Production Summary'!E8</f>
        <v>12000000</v>
      </c>
      <c r="F7" s="8">
        <f t="shared" si="18"/>
        <v>12</v>
      </c>
      <c r="G7" s="10">
        <f t="shared" si="19"/>
        <v>36.839999999999996</v>
      </c>
      <c r="H7" s="7">
        <f>'[10]Production Summary'!G8</f>
        <v>6680000</v>
      </c>
      <c r="I7" s="8">
        <f t="shared" si="20"/>
        <v>6.68</v>
      </c>
      <c r="J7" s="10">
        <f t="shared" si="21"/>
        <v>20.507599999999996</v>
      </c>
      <c r="K7" s="7">
        <f>'[10]Production Summary'!T8</f>
        <v>1530144</v>
      </c>
      <c r="L7" s="8">
        <f t="shared" si="22"/>
        <v>1.5301439999999999</v>
      </c>
      <c r="M7" s="10">
        <f t="shared" si="23"/>
        <v>4.6975420799999998</v>
      </c>
      <c r="N7" s="21"/>
      <c r="O7" s="7">
        <f>'[10]Production Summary'!I8</f>
        <v>0</v>
      </c>
      <c r="P7" s="8">
        <f t="shared" si="24"/>
        <v>0</v>
      </c>
      <c r="Q7" s="10">
        <f t="shared" si="25"/>
        <v>0</v>
      </c>
      <c r="R7" s="7">
        <f>'[10]Production Summary'!C8</f>
        <v>0</v>
      </c>
      <c r="S7" s="8">
        <f t="shared" si="26"/>
        <v>0</v>
      </c>
      <c r="T7" s="10">
        <f t="shared" si="27"/>
        <v>0</v>
      </c>
      <c r="U7" s="7">
        <f>'[10]Production Summary'!F8</f>
        <v>8158000</v>
      </c>
      <c r="V7" s="8">
        <f t="shared" si="28"/>
        <v>8.1579999999999995</v>
      </c>
      <c r="W7" s="10">
        <f t="shared" si="29"/>
        <v>25.045059999999996</v>
      </c>
      <c r="X7" s="7">
        <f>'[10]Production Summary'!AB8</f>
        <v>0</v>
      </c>
      <c r="Y7" s="8">
        <f t="shared" si="30"/>
        <v>0</v>
      </c>
      <c r="Z7" s="10">
        <f t="shared" si="31"/>
        <v>0</v>
      </c>
      <c r="AA7" s="15"/>
      <c r="AB7" s="7">
        <f t="shared" si="32"/>
        <v>17899999.999999635</v>
      </c>
      <c r="AC7" s="8">
        <f t="shared" si="32"/>
        <v>17.899999999999636</v>
      </c>
      <c r="AD7" s="8">
        <f t="shared" si="32"/>
        <v>54.95299999999888</v>
      </c>
      <c r="AF7" s="8">
        <f t="shared" ref="AF7:AF14" si="33">T7-Q7-Z7</f>
        <v>0</v>
      </c>
    </row>
    <row r="8" spans="1:32" x14ac:dyDescent="0.15">
      <c r="A8" s="27">
        <v>38629</v>
      </c>
      <c r="B8" s="7">
        <f>'[10]Production Summary'!J9</f>
        <v>16200000.000000728</v>
      </c>
      <c r="C8" s="8">
        <f t="shared" si="16"/>
        <v>16.200000000000728</v>
      </c>
      <c r="D8" s="10">
        <f t="shared" si="17"/>
        <v>49.734000000002233</v>
      </c>
      <c r="E8" s="7">
        <f>'[10]Production Summary'!E9</f>
        <v>12000000</v>
      </c>
      <c r="F8" s="8">
        <f t="shared" si="18"/>
        <v>12</v>
      </c>
      <c r="G8" s="10">
        <f t="shared" si="19"/>
        <v>36.839999999999996</v>
      </c>
      <c r="H8" s="7">
        <f>'[10]Production Summary'!G9</f>
        <v>5500000</v>
      </c>
      <c r="I8" s="8">
        <f t="shared" si="20"/>
        <v>5.5</v>
      </c>
      <c r="J8" s="10">
        <f t="shared" si="21"/>
        <v>16.884999999999998</v>
      </c>
      <c r="K8" s="7">
        <f>'[10]Production Summary'!T9</f>
        <v>1373984</v>
      </c>
      <c r="L8" s="8">
        <f t="shared" si="22"/>
        <v>1.3739840000000001</v>
      </c>
      <c r="M8" s="10">
        <f t="shared" si="23"/>
        <v>4.2181308800000004</v>
      </c>
      <c r="N8" s="21"/>
      <c r="O8" s="7">
        <f>'[10]Production Summary'!I9</f>
        <v>0</v>
      </c>
      <c r="P8" s="8">
        <f t="shared" si="24"/>
        <v>0</v>
      </c>
      <c r="Q8" s="10">
        <f t="shared" si="25"/>
        <v>0</v>
      </c>
      <c r="R8" s="7">
        <f>'[10]Production Summary'!C9</f>
        <v>0</v>
      </c>
      <c r="S8" s="8">
        <f t="shared" si="26"/>
        <v>0</v>
      </c>
      <c r="T8" s="10">
        <f t="shared" si="27"/>
        <v>0</v>
      </c>
      <c r="U8" s="7">
        <f>'[10]Production Summary'!F9</f>
        <v>8000000</v>
      </c>
      <c r="V8" s="8">
        <f t="shared" si="28"/>
        <v>8</v>
      </c>
      <c r="W8" s="10">
        <f t="shared" si="29"/>
        <v>24.56</v>
      </c>
      <c r="X8" s="7">
        <f>'[10]Production Summary'!AB9</f>
        <v>0</v>
      </c>
      <c r="Y8" s="8">
        <f t="shared" si="30"/>
        <v>0</v>
      </c>
      <c r="Z8" s="10">
        <f t="shared" si="31"/>
        <v>0</v>
      </c>
      <c r="AA8" s="15"/>
      <c r="AB8" s="7">
        <f t="shared" si="32"/>
        <v>16200000.000000728</v>
      </c>
      <c r="AC8" s="8">
        <f t="shared" si="32"/>
        <v>16.200000000000728</v>
      </c>
      <c r="AD8" s="8">
        <f>D8+Q8</f>
        <v>49.734000000002233</v>
      </c>
      <c r="AF8" s="8">
        <f t="shared" si="33"/>
        <v>0</v>
      </c>
    </row>
    <row r="9" spans="1:32" x14ac:dyDescent="0.15">
      <c r="A9" s="27">
        <v>38630</v>
      </c>
      <c r="B9" s="7">
        <f>'[10]Production Summary'!J10</f>
        <v>15599999.999999454</v>
      </c>
      <c r="C9" s="8">
        <f t="shared" si="16"/>
        <v>15.599999999999454</v>
      </c>
      <c r="D9" s="10">
        <f t="shared" si="17"/>
        <v>47.891999999998319</v>
      </c>
      <c r="E9" s="7">
        <f>'[10]Production Summary'!E10</f>
        <v>12000000</v>
      </c>
      <c r="F9" s="8">
        <f t="shared" si="18"/>
        <v>12</v>
      </c>
      <c r="G9" s="10">
        <f t="shared" si="19"/>
        <v>36.839999999999996</v>
      </c>
      <c r="H9" s="7">
        <f>'[10]Production Summary'!G10</f>
        <v>5500000</v>
      </c>
      <c r="I9" s="8">
        <f t="shared" si="20"/>
        <v>5.5</v>
      </c>
      <c r="J9" s="10">
        <f t="shared" si="21"/>
        <v>16.884999999999998</v>
      </c>
      <c r="K9" s="7">
        <f>'[10]Production Summary'!T10</f>
        <v>1393644</v>
      </c>
      <c r="L9" s="8">
        <f t="shared" si="22"/>
        <v>1.3936440000000001</v>
      </c>
      <c r="M9" s="10">
        <f t="shared" si="23"/>
        <v>4.2784870799999997</v>
      </c>
      <c r="N9" s="21"/>
      <c r="O9" s="7">
        <f>'[10]Production Summary'!I10</f>
        <v>0</v>
      </c>
      <c r="P9" s="8">
        <f t="shared" si="24"/>
        <v>0</v>
      </c>
      <c r="Q9" s="10">
        <f t="shared" si="25"/>
        <v>0</v>
      </c>
      <c r="R9" s="7">
        <f>'[10]Production Summary'!C10</f>
        <v>0</v>
      </c>
      <c r="S9" s="8">
        <f t="shared" si="26"/>
        <v>0</v>
      </c>
      <c r="T9" s="10">
        <f t="shared" si="27"/>
        <v>0</v>
      </c>
      <c r="U9" s="7">
        <f>'[10]Production Summary'!F10</f>
        <v>8050000</v>
      </c>
      <c r="V9" s="8">
        <f t="shared" si="28"/>
        <v>8.0500000000000007</v>
      </c>
      <c r="W9" s="10">
        <f t="shared" si="29"/>
        <v>24.7135</v>
      </c>
      <c r="X9" s="7">
        <f>'[10]Production Summary'!AB10</f>
        <v>0</v>
      </c>
      <c r="Y9" s="8">
        <f t="shared" si="30"/>
        <v>0</v>
      </c>
      <c r="Z9" s="10">
        <f t="shared" si="31"/>
        <v>0</v>
      </c>
      <c r="AA9" s="15"/>
      <c r="AB9" s="7">
        <f t="shared" si="32"/>
        <v>15599999.999999454</v>
      </c>
      <c r="AC9" s="8">
        <f t="shared" si="32"/>
        <v>15.599999999999454</v>
      </c>
      <c r="AD9" s="8">
        <f t="shared" si="32"/>
        <v>47.891999999998319</v>
      </c>
      <c r="AF9" s="8">
        <f t="shared" si="33"/>
        <v>0</v>
      </c>
    </row>
    <row r="10" spans="1:32" x14ac:dyDescent="0.15">
      <c r="A10" s="27">
        <v>38631</v>
      </c>
      <c r="B10" s="7">
        <f>'[10]Production Summary'!J11</f>
        <v>16600000.000000363</v>
      </c>
      <c r="C10" s="8">
        <f t="shared" si="16"/>
        <v>16.600000000000364</v>
      </c>
      <c r="D10" s="10">
        <f t="shared" si="17"/>
        <v>50.962000000001112</v>
      </c>
      <c r="E10" s="7">
        <f>'[10]Production Summary'!E11</f>
        <v>12000000</v>
      </c>
      <c r="F10" s="8">
        <f t="shared" si="18"/>
        <v>12</v>
      </c>
      <c r="G10" s="10">
        <f t="shared" si="19"/>
        <v>36.839999999999996</v>
      </c>
      <c r="H10" s="7">
        <f>'[10]Production Summary'!G11</f>
        <v>5490000</v>
      </c>
      <c r="I10" s="8">
        <f t="shared" si="20"/>
        <v>5.49</v>
      </c>
      <c r="J10" s="10">
        <f t="shared" si="21"/>
        <v>16.854299999999999</v>
      </c>
      <c r="K10" s="7">
        <f>'[10]Production Summary'!T11</f>
        <v>1429176</v>
      </c>
      <c r="L10" s="8">
        <f t="shared" si="22"/>
        <v>1.429176</v>
      </c>
      <c r="M10" s="10">
        <f t="shared" si="23"/>
        <v>4.38757032</v>
      </c>
      <c r="N10" s="21"/>
      <c r="O10" s="7">
        <f>'[10]Production Summary'!I11</f>
        <v>0</v>
      </c>
      <c r="P10" s="8">
        <f t="shared" si="24"/>
        <v>0</v>
      </c>
      <c r="Q10" s="10">
        <f t="shared" si="25"/>
        <v>0</v>
      </c>
      <c r="R10" s="7">
        <f>'[10]Production Summary'!C11</f>
        <v>0</v>
      </c>
      <c r="S10" s="8">
        <f t="shared" si="26"/>
        <v>0</v>
      </c>
      <c r="T10" s="10">
        <f t="shared" si="27"/>
        <v>0</v>
      </c>
      <c r="U10" s="7">
        <f>'[10]Production Summary'!F11</f>
        <v>8123000</v>
      </c>
      <c r="V10" s="8">
        <f t="shared" si="28"/>
        <v>8.1229999999999993</v>
      </c>
      <c r="W10" s="10">
        <f t="shared" si="29"/>
        <v>24.937609999999996</v>
      </c>
      <c r="X10" s="7">
        <f>'[10]Production Summary'!AB11</f>
        <v>0</v>
      </c>
      <c r="Y10" s="8">
        <f t="shared" si="30"/>
        <v>0</v>
      </c>
      <c r="Z10" s="10">
        <f t="shared" si="31"/>
        <v>0</v>
      </c>
      <c r="AA10" s="15"/>
      <c r="AB10" s="7">
        <f t="shared" si="32"/>
        <v>16600000.000000363</v>
      </c>
      <c r="AC10" s="8">
        <f t="shared" si="32"/>
        <v>16.600000000000364</v>
      </c>
      <c r="AD10" s="8">
        <f t="shared" si="32"/>
        <v>50.962000000001112</v>
      </c>
      <c r="AF10" s="8">
        <f t="shared" si="33"/>
        <v>0</v>
      </c>
    </row>
    <row r="11" spans="1:32" x14ac:dyDescent="0.15">
      <c r="A11" s="27">
        <v>38632</v>
      </c>
      <c r="B11" s="7">
        <f>'[10]Production Summary'!J12</f>
        <v>16000000</v>
      </c>
      <c r="C11" s="8">
        <f t="shared" si="16"/>
        <v>16</v>
      </c>
      <c r="D11" s="10">
        <f t="shared" si="17"/>
        <v>49.12</v>
      </c>
      <c r="E11" s="7">
        <f>'[10]Production Summary'!E12</f>
        <v>12000000</v>
      </c>
      <c r="F11" s="8">
        <f t="shared" si="18"/>
        <v>12</v>
      </c>
      <c r="G11" s="10">
        <f t="shared" si="19"/>
        <v>36.839999999999996</v>
      </c>
      <c r="H11" s="7">
        <f>'[10]Production Summary'!G12</f>
        <v>5490000</v>
      </c>
      <c r="I11" s="8">
        <f t="shared" si="20"/>
        <v>5.49</v>
      </c>
      <c r="J11" s="10">
        <f t="shared" si="21"/>
        <v>16.854299999999999</v>
      </c>
      <c r="K11" s="7">
        <f>'[10]Production Summary'!T12</f>
        <v>1401634</v>
      </c>
      <c r="L11" s="8">
        <f t="shared" si="22"/>
        <v>1.401634</v>
      </c>
      <c r="M11" s="10">
        <f t="shared" si="23"/>
        <v>4.3030163799999999</v>
      </c>
      <c r="N11" s="21"/>
      <c r="O11" s="7">
        <f>'[10]Production Summary'!I12</f>
        <v>0</v>
      </c>
      <c r="P11" s="8">
        <f t="shared" si="24"/>
        <v>0</v>
      </c>
      <c r="Q11" s="10">
        <f t="shared" si="25"/>
        <v>0</v>
      </c>
      <c r="R11" s="7">
        <f>'[10]Production Summary'!C12</f>
        <v>0</v>
      </c>
      <c r="S11" s="8">
        <f t="shared" si="26"/>
        <v>0</v>
      </c>
      <c r="T11" s="10">
        <f t="shared" si="27"/>
        <v>0</v>
      </c>
      <c r="U11" s="7">
        <f>'[10]Production Summary'!F12</f>
        <v>8081000</v>
      </c>
      <c r="V11" s="8">
        <f t="shared" si="28"/>
        <v>8.0809999999999995</v>
      </c>
      <c r="W11" s="10">
        <f t="shared" si="29"/>
        <v>24.808669999999996</v>
      </c>
      <c r="X11" s="7">
        <f>'[10]Production Summary'!AB12</f>
        <v>0</v>
      </c>
      <c r="Y11" s="8">
        <f t="shared" si="30"/>
        <v>0</v>
      </c>
      <c r="Z11" s="10">
        <f t="shared" si="31"/>
        <v>0</v>
      </c>
      <c r="AA11" s="15"/>
      <c r="AB11" s="7">
        <f t="shared" si="32"/>
        <v>16000000</v>
      </c>
      <c r="AC11" s="8">
        <f t="shared" si="32"/>
        <v>16</v>
      </c>
      <c r="AD11" s="8">
        <f t="shared" si="32"/>
        <v>49.12</v>
      </c>
      <c r="AF11" s="8">
        <f t="shared" si="33"/>
        <v>0</v>
      </c>
    </row>
    <row r="12" spans="1:32" x14ac:dyDescent="0.15">
      <c r="A12" s="27">
        <v>38633</v>
      </c>
      <c r="B12" s="7">
        <f>'[10]Production Summary'!J13</f>
        <v>15699999.999999817</v>
      </c>
      <c r="C12" s="8">
        <f t="shared" si="16"/>
        <v>15.699999999999818</v>
      </c>
      <c r="D12" s="10">
        <f t="shared" si="17"/>
        <v>48.198999999999437</v>
      </c>
      <c r="E12" s="7">
        <f>'[10]Production Summary'!E13</f>
        <v>12000000</v>
      </c>
      <c r="F12" s="8">
        <f t="shared" si="18"/>
        <v>12</v>
      </c>
      <c r="G12" s="10">
        <f t="shared" si="19"/>
        <v>36.839999999999996</v>
      </c>
      <c r="H12" s="7">
        <f>'[10]Production Summary'!G13</f>
        <v>5000000</v>
      </c>
      <c r="I12" s="8">
        <f t="shared" si="20"/>
        <v>5</v>
      </c>
      <c r="J12" s="10">
        <f t="shared" si="21"/>
        <v>15.35</v>
      </c>
      <c r="K12" s="7">
        <f>'[10]Production Summary'!T13</f>
        <v>1371214</v>
      </c>
      <c r="L12" s="8">
        <f t="shared" si="22"/>
        <v>1.3712139999999999</v>
      </c>
      <c r="M12" s="10">
        <f t="shared" si="23"/>
        <v>4.2096269799999995</v>
      </c>
      <c r="N12" s="21"/>
      <c r="O12" s="7">
        <f>'[10]Production Summary'!I13</f>
        <v>0</v>
      </c>
      <c r="P12" s="8">
        <f t="shared" si="24"/>
        <v>0</v>
      </c>
      <c r="Q12" s="10">
        <f t="shared" si="25"/>
        <v>0</v>
      </c>
      <c r="R12" s="7">
        <f>'[10]Production Summary'!C13</f>
        <v>0</v>
      </c>
      <c r="S12" s="8">
        <f t="shared" si="26"/>
        <v>0</v>
      </c>
      <c r="T12" s="10">
        <f t="shared" si="27"/>
        <v>0</v>
      </c>
      <c r="U12" s="7">
        <f>'[10]Production Summary'!F13</f>
        <v>8100000</v>
      </c>
      <c r="V12" s="8">
        <f t="shared" si="28"/>
        <v>8.1</v>
      </c>
      <c r="W12" s="10">
        <f t="shared" si="29"/>
        <v>24.866999999999997</v>
      </c>
      <c r="X12" s="7">
        <f>'[10]Production Summary'!AB13</f>
        <v>0</v>
      </c>
      <c r="Y12" s="8">
        <f t="shared" si="30"/>
        <v>0</v>
      </c>
      <c r="Z12" s="10">
        <f t="shared" si="31"/>
        <v>0</v>
      </c>
      <c r="AA12" s="15"/>
      <c r="AB12" s="7">
        <f t="shared" si="32"/>
        <v>15699999.999999817</v>
      </c>
      <c r="AC12" s="8">
        <f t="shared" si="32"/>
        <v>15.699999999999818</v>
      </c>
      <c r="AD12" s="8">
        <f t="shared" si="32"/>
        <v>48.198999999999437</v>
      </c>
      <c r="AF12" s="8">
        <f t="shared" si="33"/>
        <v>0</v>
      </c>
    </row>
    <row r="13" spans="1:32" x14ac:dyDescent="0.15">
      <c r="A13" s="27">
        <v>38634</v>
      </c>
      <c r="B13" s="7">
        <f>'[10]Production Summary'!J14</f>
        <v>15000000</v>
      </c>
      <c r="C13" s="8">
        <f t="shared" si="16"/>
        <v>15</v>
      </c>
      <c r="D13" s="10">
        <f t="shared" si="17"/>
        <v>46.05</v>
      </c>
      <c r="E13" s="7">
        <f>'[10]Production Summary'!E14</f>
        <v>11000000</v>
      </c>
      <c r="F13" s="8">
        <f t="shared" si="18"/>
        <v>11</v>
      </c>
      <c r="G13" s="10">
        <f t="shared" si="19"/>
        <v>33.769999999999996</v>
      </c>
      <c r="H13" s="7">
        <f>'[10]Production Summary'!G14</f>
        <v>4990000</v>
      </c>
      <c r="I13" s="8">
        <f t="shared" si="20"/>
        <v>4.99</v>
      </c>
      <c r="J13" s="10">
        <f t="shared" si="21"/>
        <v>15.3193</v>
      </c>
      <c r="K13" s="7">
        <f>'[10]Production Summary'!T14</f>
        <v>1390704</v>
      </c>
      <c r="L13" s="8">
        <f t="shared" si="22"/>
        <v>1.3907039999999999</v>
      </c>
      <c r="M13" s="10">
        <f t="shared" si="23"/>
        <v>4.2694612799999998</v>
      </c>
      <c r="N13" s="21"/>
      <c r="O13" s="7">
        <f>'[10]Production Summary'!I14</f>
        <v>0</v>
      </c>
      <c r="P13" s="8">
        <f t="shared" si="24"/>
        <v>0</v>
      </c>
      <c r="Q13" s="10">
        <f t="shared" si="25"/>
        <v>0</v>
      </c>
      <c r="R13" s="7">
        <f>'[10]Production Summary'!C14</f>
        <v>0</v>
      </c>
      <c r="S13" s="8">
        <f t="shared" si="26"/>
        <v>0</v>
      </c>
      <c r="T13" s="10">
        <f t="shared" si="27"/>
        <v>0</v>
      </c>
      <c r="U13" s="7">
        <f>'[10]Production Summary'!F14</f>
        <v>8130000</v>
      </c>
      <c r="V13" s="8">
        <f t="shared" si="28"/>
        <v>8.1300000000000008</v>
      </c>
      <c r="W13" s="10">
        <f t="shared" si="29"/>
        <v>24.959099999999999</v>
      </c>
      <c r="X13" s="7">
        <f>'[10]Production Summary'!AB14</f>
        <v>0</v>
      </c>
      <c r="Y13" s="8">
        <f t="shared" si="30"/>
        <v>0</v>
      </c>
      <c r="Z13" s="10">
        <f t="shared" si="31"/>
        <v>0</v>
      </c>
      <c r="AA13" s="15"/>
      <c r="AB13" s="7">
        <f t="shared" si="32"/>
        <v>15000000</v>
      </c>
      <c r="AC13" s="8">
        <f t="shared" si="32"/>
        <v>15</v>
      </c>
      <c r="AD13" s="8">
        <f t="shared" si="32"/>
        <v>46.05</v>
      </c>
      <c r="AF13" s="8">
        <f t="shared" si="33"/>
        <v>0</v>
      </c>
    </row>
    <row r="14" spans="1:32" x14ac:dyDescent="0.15">
      <c r="A14" s="27">
        <v>38635</v>
      </c>
      <c r="B14" s="7">
        <f>'[10]Production Summary'!J15</f>
        <v>11899999.999999637</v>
      </c>
      <c r="C14" s="8">
        <f t="shared" si="16"/>
        <v>11.899999999999636</v>
      </c>
      <c r="D14" s="10">
        <f t="shared" si="17"/>
        <v>36.532999999998879</v>
      </c>
      <c r="E14" s="7">
        <f>'[10]Production Summary'!E15</f>
        <v>9000000</v>
      </c>
      <c r="F14" s="8">
        <f t="shared" si="18"/>
        <v>9</v>
      </c>
      <c r="G14" s="10">
        <f t="shared" si="19"/>
        <v>27.63</v>
      </c>
      <c r="H14" s="7">
        <f>'[10]Production Summary'!G15</f>
        <v>4990000</v>
      </c>
      <c r="I14" s="8">
        <f t="shared" si="20"/>
        <v>4.99</v>
      </c>
      <c r="J14" s="10">
        <f t="shared" si="21"/>
        <v>15.3193</v>
      </c>
      <c r="K14" s="7">
        <f>'[10]Production Summary'!T15</f>
        <v>1093715</v>
      </c>
      <c r="L14" s="8">
        <f t="shared" si="22"/>
        <v>1.093715</v>
      </c>
      <c r="M14" s="10">
        <f t="shared" si="23"/>
        <v>3.3577050499999999</v>
      </c>
      <c r="N14" s="21"/>
      <c r="O14" s="7">
        <f>'[10]Production Summary'!I15</f>
        <v>0</v>
      </c>
      <c r="P14" s="8">
        <f t="shared" si="24"/>
        <v>0</v>
      </c>
      <c r="Q14" s="10">
        <f t="shared" si="25"/>
        <v>0</v>
      </c>
      <c r="R14" s="7">
        <f>'[10]Production Summary'!C15</f>
        <v>0</v>
      </c>
      <c r="S14" s="8">
        <f t="shared" si="26"/>
        <v>0</v>
      </c>
      <c r="T14" s="10">
        <f t="shared" si="27"/>
        <v>0</v>
      </c>
      <c r="U14" s="7">
        <f>'[10]Production Summary'!F15</f>
        <v>6500000</v>
      </c>
      <c r="V14" s="8">
        <f t="shared" si="28"/>
        <v>6.5</v>
      </c>
      <c r="W14" s="10">
        <f t="shared" si="29"/>
        <v>19.954999999999998</v>
      </c>
      <c r="X14" s="7">
        <f>'[10]Production Summary'!AB15</f>
        <v>0</v>
      </c>
      <c r="Y14" s="8">
        <f t="shared" si="30"/>
        <v>0</v>
      </c>
      <c r="Z14" s="10">
        <f t="shared" si="31"/>
        <v>0</v>
      </c>
      <c r="AA14" s="15"/>
      <c r="AB14" s="7">
        <f t="shared" si="32"/>
        <v>11899999.999999637</v>
      </c>
      <c r="AC14" s="8">
        <f t="shared" si="32"/>
        <v>11.899999999999636</v>
      </c>
      <c r="AD14" s="8">
        <f t="shared" si="32"/>
        <v>36.532999999998879</v>
      </c>
      <c r="AF14" s="8">
        <f t="shared" si="33"/>
        <v>0</v>
      </c>
    </row>
    <row r="15" spans="1:32" x14ac:dyDescent="0.15">
      <c r="A15" s="27">
        <v>38636</v>
      </c>
      <c r="B15" s="7">
        <f>'[10]Production Summary'!J16</f>
        <v>11200000.000000728</v>
      </c>
      <c r="C15" s="8">
        <f t="shared" si="16"/>
        <v>11.200000000000728</v>
      </c>
      <c r="D15" s="10">
        <f t="shared" si="17"/>
        <v>34.384000000002231</v>
      </c>
      <c r="E15" s="7">
        <f>'[10]Production Summary'!E16</f>
        <v>7000000</v>
      </c>
      <c r="F15" s="8">
        <f t="shared" si="18"/>
        <v>7</v>
      </c>
      <c r="G15" s="10">
        <f t="shared" si="19"/>
        <v>21.49</v>
      </c>
      <c r="H15" s="7">
        <f>'[10]Production Summary'!G16</f>
        <v>5030000</v>
      </c>
      <c r="I15" s="8">
        <f t="shared" si="20"/>
        <v>5.03</v>
      </c>
      <c r="J15" s="10">
        <f t="shared" si="21"/>
        <v>15.4421</v>
      </c>
      <c r="K15" s="7">
        <f>'[10]Production Summary'!T16</f>
        <v>991582</v>
      </c>
      <c r="L15" s="8">
        <f t="shared" si="22"/>
        <v>0.99158199999999996</v>
      </c>
      <c r="M15" s="10">
        <f t="shared" si="23"/>
        <v>3.0441567399999996</v>
      </c>
      <c r="N15" s="21"/>
      <c r="O15" s="7">
        <f>'[10]Production Summary'!I16</f>
        <v>0</v>
      </c>
      <c r="P15" s="8">
        <f t="shared" si="24"/>
        <v>0</v>
      </c>
      <c r="Q15" s="10">
        <f t="shared" si="25"/>
        <v>0</v>
      </c>
      <c r="R15" s="7">
        <f>'[10]Production Summary'!C16</f>
        <v>0</v>
      </c>
      <c r="S15" s="8">
        <f t="shared" si="26"/>
        <v>0</v>
      </c>
      <c r="T15" s="10">
        <f t="shared" si="27"/>
        <v>0</v>
      </c>
      <c r="U15" s="7">
        <f>'[10]Production Summary'!F16</f>
        <v>5000000</v>
      </c>
      <c r="V15" s="8">
        <f t="shared" si="28"/>
        <v>5</v>
      </c>
      <c r="W15" s="10">
        <f t="shared" si="29"/>
        <v>15.35</v>
      </c>
      <c r="X15" s="7">
        <f>'[10]Production Summary'!AB16</f>
        <v>0</v>
      </c>
      <c r="Y15" s="8">
        <f t="shared" si="30"/>
        <v>0</v>
      </c>
      <c r="Z15" s="10">
        <f t="shared" si="31"/>
        <v>0</v>
      </c>
      <c r="AA15" s="15"/>
      <c r="AB15" s="7">
        <f t="shared" si="32"/>
        <v>11200000.000000728</v>
      </c>
      <c r="AC15" s="8">
        <f t="shared" si="32"/>
        <v>11.200000000000728</v>
      </c>
      <c r="AD15" s="8">
        <f t="shared" si="32"/>
        <v>34.384000000002231</v>
      </c>
      <c r="AF15" s="8">
        <f>T15-Q15-Z15</f>
        <v>0</v>
      </c>
    </row>
    <row r="16" spans="1:32" x14ac:dyDescent="0.15">
      <c r="A16" s="27">
        <v>38637</v>
      </c>
      <c r="B16" s="7">
        <f>'[10]Production Summary'!J17</f>
        <v>10199999.999999817</v>
      </c>
      <c r="C16" s="8">
        <f t="shared" si="16"/>
        <v>10.199999999999818</v>
      </c>
      <c r="D16" s="10">
        <f t="shared" si="17"/>
        <v>31.313999999999439</v>
      </c>
      <c r="E16" s="7">
        <f>'[10]Production Summary'!E17</f>
        <v>7000000</v>
      </c>
      <c r="F16" s="8">
        <f t="shared" si="18"/>
        <v>7</v>
      </c>
      <c r="G16" s="10">
        <f t="shared" si="19"/>
        <v>21.49</v>
      </c>
      <c r="H16" s="7">
        <f>'[10]Production Summary'!G17</f>
        <v>4970000</v>
      </c>
      <c r="I16" s="8">
        <f t="shared" si="20"/>
        <v>4.97</v>
      </c>
      <c r="J16" s="10">
        <f t="shared" si="21"/>
        <v>15.257899999999998</v>
      </c>
      <c r="K16" s="7">
        <f>'[10]Production Summary'!T17</f>
        <v>1074911</v>
      </c>
      <c r="L16" s="8">
        <f t="shared" si="22"/>
        <v>1.0749109999999999</v>
      </c>
      <c r="M16" s="10">
        <f t="shared" si="23"/>
        <v>3.2999767699999998</v>
      </c>
      <c r="N16" s="21"/>
      <c r="O16" s="7">
        <f>'[10]Production Summary'!I17</f>
        <v>0</v>
      </c>
      <c r="P16" s="8">
        <f t="shared" si="24"/>
        <v>0</v>
      </c>
      <c r="Q16" s="10">
        <f t="shared" si="25"/>
        <v>0</v>
      </c>
      <c r="R16" s="7">
        <f>'[10]Production Summary'!C17</f>
        <v>0</v>
      </c>
      <c r="S16" s="8">
        <f t="shared" si="26"/>
        <v>0</v>
      </c>
      <c r="T16" s="10">
        <f t="shared" si="27"/>
        <v>0</v>
      </c>
      <c r="U16" s="7">
        <f>'[10]Production Summary'!F17</f>
        <v>4947000</v>
      </c>
      <c r="V16" s="8">
        <f t="shared" si="28"/>
        <v>4.9470000000000001</v>
      </c>
      <c r="W16" s="10">
        <f t="shared" si="29"/>
        <v>15.187289999999999</v>
      </c>
      <c r="X16" s="7">
        <f>'[10]Production Summary'!AB17</f>
        <v>0</v>
      </c>
      <c r="Y16" s="8">
        <f t="shared" si="30"/>
        <v>0</v>
      </c>
      <c r="Z16" s="10">
        <f t="shared" si="31"/>
        <v>0</v>
      </c>
      <c r="AA16" s="15"/>
      <c r="AB16" s="7">
        <f t="shared" si="32"/>
        <v>10199999.999999817</v>
      </c>
      <c r="AC16" s="8">
        <f t="shared" si="32"/>
        <v>10.199999999999818</v>
      </c>
      <c r="AD16" s="8">
        <f t="shared" si="32"/>
        <v>31.313999999999439</v>
      </c>
      <c r="AF16" s="8">
        <f>T16-Q16-Z16</f>
        <v>0</v>
      </c>
    </row>
    <row r="17" spans="1:32" x14ac:dyDescent="0.15">
      <c r="A17" s="27">
        <v>38638</v>
      </c>
      <c r="B17" s="7">
        <f>'[10]Production Summary'!J18</f>
        <v>11500000</v>
      </c>
      <c r="C17" s="8">
        <f t="shared" si="16"/>
        <v>11.5</v>
      </c>
      <c r="D17" s="10">
        <f t="shared" si="17"/>
        <v>35.305</v>
      </c>
      <c r="E17" s="7">
        <f>'[10]Production Summary'!E18</f>
        <v>6000000</v>
      </c>
      <c r="F17" s="8">
        <f t="shared" si="18"/>
        <v>6</v>
      </c>
      <c r="G17" s="10">
        <f t="shared" si="19"/>
        <v>18.419999999999998</v>
      </c>
      <c r="H17" s="7">
        <f>'[10]Production Summary'!G18</f>
        <v>5870000</v>
      </c>
      <c r="I17" s="8">
        <f t="shared" si="20"/>
        <v>5.87</v>
      </c>
      <c r="J17" s="10">
        <f t="shared" si="21"/>
        <v>18.020900000000001</v>
      </c>
      <c r="K17" s="7">
        <f>'[10]Production Summary'!T18</f>
        <v>1022486</v>
      </c>
      <c r="L17" s="8">
        <f t="shared" si="22"/>
        <v>1.022486</v>
      </c>
      <c r="M17" s="10">
        <f t="shared" si="23"/>
        <v>3.1390320199999997</v>
      </c>
      <c r="N17" s="21"/>
      <c r="O17" s="7">
        <f>'[10]Production Summary'!I18</f>
        <v>0</v>
      </c>
      <c r="P17" s="8">
        <f t="shared" si="24"/>
        <v>0</v>
      </c>
      <c r="Q17" s="10">
        <f t="shared" si="25"/>
        <v>0</v>
      </c>
      <c r="R17" s="7">
        <f>'[10]Production Summary'!C18</f>
        <v>0</v>
      </c>
      <c r="S17" s="8">
        <f t="shared" si="26"/>
        <v>0</v>
      </c>
      <c r="T17" s="10">
        <f t="shared" si="27"/>
        <v>0</v>
      </c>
      <c r="U17" s="7">
        <f>'[10]Production Summary'!F18</f>
        <v>4820000</v>
      </c>
      <c r="V17" s="8">
        <f t="shared" si="28"/>
        <v>4.82</v>
      </c>
      <c r="W17" s="10">
        <f t="shared" si="29"/>
        <v>14.7974</v>
      </c>
      <c r="X17" s="7">
        <f>'[10]Production Summary'!AB18</f>
        <v>0</v>
      </c>
      <c r="Y17" s="8">
        <f t="shared" si="30"/>
        <v>0</v>
      </c>
      <c r="Z17" s="10">
        <f t="shared" si="31"/>
        <v>0</v>
      </c>
      <c r="AA17" s="15"/>
      <c r="AB17" s="7">
        <f t="shared" si="32"/>
        <v>11500000</v>
      </c>
      <c r="AC17" s="8">
        <f t="shared" si="32"/>
        <v>11.5</v>
      </c>
      <c r="AD17" s="8">
        <f t="shared" si="32"/>
        <v>35.305</v>
      </c>
      <c r="AF17" s="8">
        <f>T17-Q17-Z17</f>
        <v>0</v>
      </c>
    </row>
    <row r="18" spans="1:32" x14ac:dyDescent="0.15">
      <c r="A18" s="27">
        <v>38639</v>
      </c>
      <c r="B18" s="7">
        <f>'[10]Production Summary'!J19</f>
        <v>14099999.999999454</v>
      </c>
      <c r="C18" s="8">
        <f t="shared" si="16"/>
        <v>14.099999999999454</v>
      </c>
      <c r="D18" s="10">
        <f t="shared" si="17"/>
        <v>43.286999999998322</v>
      </c>
      <c r="E18" s="7">
        <f>'[10]Production Summary'!E19</f>
        <v>7000000</v>
      </c>
      <c r="F18" s="8">
        <f t="shared" si="18"/>
        <v>7</v>
      </c>
      <c r="G18" s="10">
        <f t="shared" si="19"/>
        <v>21.49</v>
      </c>
      <c r="H18" s="7">
        <f>'[10]Production Summary'!G19</f>
        <v>8640000</v>
      </c>
      <c r="I18" s="8">
        <f t="shared" si="20"/>
        <v>8.64</v>
      </c>
      <c r="J18" s="10">
        <f t="shared" si="21"/>
        <v>26.524799999999999</v>
      </c>
      <c r="K18" s="7">
        <f>'[10]Production Summary'!T19</f>
        <v>1310059</v>
      </c>
      <c r="L18" s="8">
        <f t="shared" si="22"/>
        <v>1.3100590000000001</v>
      </c>
      <c r="M18" s="10">
        <f t="shared" si="23"/>
        <v>4.0218811299999997</v>
      </c>
      <c r="N18" s="21"/>
      <c r="O18" s="7">
        <f>'[10]Production Summary'!I19</f>
        <v>0</v>
      </c>
      <c r="P18" s="8">
        <f t="shared" si="24"/>
        <v>0</v>
      </c>
      <c r="Q18" s="10">
        <f t="shared" si="25"/>
        <v>0</v>
      </c>
      <c r="R18" s="7">
        <f>'[10]Production Summary'!C19</f>
        <v>0</v>
      </c>
      <c r="S18" s="8">
        <f t="shared" si="26"/>
        <v>0</v>
      </c>
      <c r="T18" s="10">
        <f t="shared" si="27"/>
        <v>0</v>
      </c>
      <c r="U18" s="7">
        <f>'[10]Production Summary'!F19</f>
        <v>4922000</v>
      </c>
      <c r="V18" s="8">
        <f t="shared" si="28"/>
        <v>4.9219999999999997</v>
      </c>
      <c r="W18" s="10">
        <f t="shared" si="29"/>
        <v>15.110539999999999</v>
      </c>
      <c r="X18" s="7">
        <f>'[10]Production Summary'!AB19</f>
        <v>0</v>
      </c>
      <c r="Y18" s="8">
        <f t="shared" si="30"/>
        <v>0</v>
      </c>
      <c r="Z18" s="10">
        <f t="shared" si="31"/>
        <v>0</v>
      </c>
      <c r="AA18" s="15"/>
      <c r="AB18" s="7">
        <f t="shared" si="32"/>
        <v>14099999.999999454</v>
      </c>
      <c r="AC18" s="8">
        <f t="shared" si="32"/>
        <v>14.099999999999454</v>
      </c>
      <c r="AD18" s="8">
        <f t="shared" si="32"/>
        <v>43.286999999998322</v>
      </c>
      <c r="AF18" s="8">
        <f>T18-Q18-Z18</f>
        <v>0</v>
      </c>
    </row>
    <row r="19" spans="1:32" x14ac:dyDescent="0.15">
      <c r="A19" s="27">
        <v>38640</v>
      </c>
      <c r="B19" s="7">
        <f>'[10]Production Summary'!J20</f>
        <v>15800000.000000183</v>
      </c>
      <c r="C19" s="8">
        <f t="shared" si="16"/>
        <v>15.800000000000182</v>
      </c>
      <c r="D19" s="10">
        <f t="shared" si="17"/>
        <v>48.506000000000554</v>
      </c>
      <c r="E19" s="7">
        <f>'[10]Production Summary'!E20</f>
        <v>7000000</v>
      </c>
      <c r="F19" s="8">
        <f t="shared" si="18"/>
        <v>7</v>
      </c>
      <c r="G19" s="10">
        <f t="shared" si="19"/>
        <v>21.49</v>
      </c>
      <c r="H19" s="7">
        <f>'[10]Production Summary'!G20</f>
        <v>9990000</v>
      </c>
      <c r="I19" s="8">
        <f t="shared" si="20"/>
        <v>9.99</v>
      </c>
      <c r="J19" s="10">
        <f t="shared" si="21"/>
        <v>30.6693</v>
      </c>
      <c r="K19" s="7">
        <f>'[10]Production Summary'!T20</f>
        <v>1462445</v>
      </c>
      <c r="L19" s="8">
        <f t="shared" si="22"/>
        <v>1.462445</v>
      </c>
      <c r="M19" s="10">
        <f t="shared" si="23"/>
        <v>4.48970615</v>
      </c>
      <c r="N19" s="21"/>
      <c r="O19" s="7">
        <f>'[10]Production Summary'!I20</f>
        <v>0</v>
      </c>
      <c r="P19" s="8">
        <f t="shared" si="24"/>
        <v>0</v>
      </c>
      <c r="Q19" s="10">
        <f t="shared" si="25"/>
        <v>0</v>
      </c>
      <c r="R19" s="7">
        <f>'[10]Production Summary'!C20</f>
        <v>0</v>
      </c>
      <c r="S19" s="8">
        <f t="shared" si="26"/>
        <v>0</v>
      </c>
      <c r="T19" s="10">
        <f t="shared" si="27"/>
        <v>0</v>
      </c>
      <c r="U19" s="7">
        <f>'[10]Production Summary'!F20</f>
        <v>4912000</v>
      </c>
      <c r="V19" s="8">
        <f t="shared" si="28"/>
        <v>4.9119999999999999</v>
      </c>
      <c r="W19" s="10">
        <f t="shared" si="29"/>
        <v>15.079839999999999</v>
      </c>
      <c r="X19" s="7">
        <f>'[10]Production Summary'!AB20</f>
        <v>0</v>
      </c>
      <c r="Y19" s="8">
        <f t="shared" si="30"/>
        <v>0</v>
      </c>
      <c r="Z19" s="10">
        <f t="shared" si="31"/>
        <v>0</v>
      </c>
      <c r="AA19" s="15"/>
      <c r="AB19" s="7">
        <f t="shared" si="32"/>
        <v>15800000.000000183</v>
      </c>
      <c r="AC19" s="8">
        <f t="shared" si="32"/>
        <v>15.800000000000182</v>
      </c>
      <c r="AD19" s="8">
        <f>D19+Q19</f>
        <v>48.506000000000554</v>
      </c>
      <c r="AF19" s="8">
        <f>T19-Q19-Z19</f>
        <v>0</v>
      </c>
    </row>
    <row r="20" spans="1:32" x14ac:dyDescent="0.15">
      <c r="A20" s="27">
        <v>38641</v>
      </c>
      <c r="B20" s="7">
        <f>'[10]Production Summary'!J21</f>
        <v>14000000</v>
      </c>
      <c r="C20" s="8">
        <f t="shared" si="16"/>
        <v>14</v>
      </c>
      <c r="D20" s="10">
        <f t="shared" si="17"/>
        <v>42.98</v>
      </c>
      <c r="E20" s="7">
        <f>'[10]Production Summary'!E21</f>
        <v>7000000</v>
      </c>
      <c r="F20" s="8">
        <f t="shared" si="18"/>
        <v>7</v>
      </c>
      <c r="G20" s="10">
        <f t="shared" si="19"/>
        <v>21.49</v>
      </c>
      <c r="H20" s="7">
        <f>'[10]Production Summary'!G21</f>
        <v>8950000</v>
      </c>
      <c r="I20" s="8">
        <f t="shared" si="20"/>
        <v>8.9499999999999993</v>
      </c>
      <c r="J20" s="10">
        <f t="shared" si="21"/>
        <v>27.476499999999998</v>
      </c>
      <c r="K20" s="7">
        <f>'[10]Production Summary'!T21</f>
        <v>1395675</v>
      </c>
      <c r="L20" s="8">
        <f t="shared" si="22"/>
        <v>1.395675</v>
      </c>
      <c r="M20" s="10">
        <f t="shared" si="23"/>
        <v>4.2847222499999997</v>
      </c>
      <c r="N20" s="21"/>
      <c r="O20" s="7">
        <f>'[10]Production Summary'!I21</f>
        <v>0</v>
      </c>
      <c r="P20" s="8">
        <f t="shared" si="24"/>
        <v>0</v>
      </c>
      <c r="Q20" s="10">
        <f t="shared" si="25"/>
        <v>0</v>
      </c>
      <c r="R20" s="7">
        <f>'[10]Production Summary'!C21</f>
        <v>0</v>
      </c>
      <c r="S20" s="8">
        <f t="shared" si="26"/>
        <v>0</v>
      </c>
      <c r="T20" s="10">
        <f t="shared" si="27"/>
        <v>0</v>
      </c>
      <c r="U20" s="7">
        <f>'[10]Production Summary'!F21</f>
        <v>4871000</v>
      </c>
      <c r="V20" s="8">
        <f t="shared" si="28"/>
        <v>4.8710000000000004</v>
      </c>
      <c r="W20" s="10">
        <f t="shared" si="29"/>
        <v>14.95397</v>
      </c>
      <c r="X20" s="7">
        <f>'[10]Production Summary'!AB21</f>
        <v>0</v>
      </c>
      <c r="Y20" s="8">
        <f t="shared" si="30"/>
        <v>0</v>
      </c>
      <c r="Z20" s="10">
        <f t="shared" si="31"/>
        <v>0</v>
      </c>
      <c r="AA20" s="15"/>
      <c r="AB20" s="7">
        <f t="shared" si="32"/>
        <v>14000000</v>
      </c>
      <c r="AC20" s="8">
        <f t="shared" si="32"/>
        <v>14</v>
      </c>
      <c r="AD20" s="8">
        <f t="shared" si="32"/>
        <v>42.98</v>
      </c>
      <c r="AF20" s="8">
        <f t="shared" ref="AF20:AF35" si="34">T20-Q20-Z20</f>
        <v>0</v>
      </c>
    </row>
    <row r="21" spans="1:32" x14ac:dyDescent="0.15">
      <c r="A21" s="27">
        <v>38642</v>
      </c>
      <c r="B21" s="7">
        <f>'[10]Production Summary'!J22</f>
        <v>14800000.000000183</v>
      </c>
      <c r="C21" s="8">
        <f t="shared" si="16"/>
        <v>14.800000000000182</v>
      </c>
      <c r="D21" s="10">
        <f t="shared" si="17"/>
        <v>45.436000000000554</v>
      </c>
      <c r="E21" s="7">
        <f>'[10]Production Summary'!E22</f>
        <v>7000000</v>
      </c>
      <c r="F21" s="8">
        <f t="shared" si="18"/>
        <v>7</v>
      </c>
      <c r="G21" s="10">
        <f t="shared" si="19"/>
        <v>21.49</v>
      </c>
      <c r="H21" s="7">
        <f>'[10]Production Summary'!G22</f>
        <v>9390000</v>
      </c>
      <c r="I21" s="8">
        <f t="shared" si="20"/>
        <v>9.39</v>
      </c>
      <c r="J21" s="10">
        <f t="shared" si="21"/>
        <v>28.827300000000001</v>
      </c>
      <c r="K21" s="7">
        <f>'[10]Production Summary'!T22</f>
        <v>1292227</v>
      </c>
      <c r="L21" s="8">
        <f t="shared" si="22"/>
        <v>1.292227</v>
      </c>
      <c r="M21" s="10">
        <f t="shared" si="23"/>
        <v>3.9671368899999999</v>
      </c>
      <c r="N21" s="21"/>
      <c r="O21" s="7">
        <f>'[10]Production Summary'!I22</f>
        <v>0</v>
      </c>
      <c r="P21" s="8">
        <f t="shared" si="24"/>
        <v>0</v>
      </c>
      <c r="Q21" s="10">
        <f t="shared" si="25"/>
        <v>0</v>
      </c>
      <c r="R21" s="7">
        <f>'[10]Production Summary'!C22</f>
        <v>0</v>
      </c>
      <c r="S21" s="8">
        <f t="shared" si="26"/>
        <v>0</v>
      </c>
      <c r="T21" s="10">
        <f t="shared" si="27"/>
        <v>0</v>
      </c>
      <c r="U21" s="7">
        <f>'[10]Production Summary'!F22</f>
        <v>4851000</v>
      </c>
      <c r="V21" s="8">
        <f t="shared" si="28"/>
        <v>4.851</v>
      </c>
      <c r="W21" s="10">
        <f t="shared" si="29"/>
        <v>14.892569999999999</v>
      </c>
      <c r="X21" s="7">
        <f>'[10]Production Summary'!AB22</f>
        <v>0</v>
      </c>
      <c r="Y21" s="8">
        <f t="shared" si="30"/>
        <v>0</v>
      </c>
      <c r="Z21" s="10">
        <f t="shared" si="31"/>
        <v>0</v>
      </c>
      <c r="AA21" s="15"/>
      <c r="AB21" s="7">
        <f t="shared" si="32"/>
        <v>14800000.000000183</v>
      </c>
      <c r="AC21" s="8">
        <f t="shared" si="32"/>
        <v>14.800000000000182</v>
      </c>
      <c r="AD21" s="8">
        <f t="shared" si="32"/>
        <v>45.436000000000554</v>
      </c>
      <c r="AF21" s="8">
        <f t="shared" si="34"/>
        <v>0</v>
      </c>
    </row>
    <row r="22" spans="1:32" x14ac:dyDescent="0.15">
      <c r="A22" s="27">
        <v>38643</v>
      </c>
      <c r="B22" s="7">
        <f>'[10]Production Summary'!J23</f>
        <v>13399999.999999637</v>
      </c>
      <c r="C22" s="8">
        <f t="shared" si="16"/>
        <v>13.399999999999636</v>
      </c>
      <c r="D22" s="10">
        <f t="shared" si="17"/>
        <v>41.137999999998883</v>
      </c>
      <c r="E22" s="7">
        <f>'[10]Production Summary'!E23</f>
        <v>7000000</v>
      </c>
      <c r="F22" s="8">
        <f t="shared" si="18"/>
        <v>7</v>
      </c>
      <c r="G22" s="10">
        <f t="shared" si="19"/>
        <v>21.49</v>
      </c>
      <c r="H22" s="7">
        <f>'[10]Production Summary'!G23</f>
        <v>8040000</v>
      </c>
      <c r="I22" s="8">
        <f t="shared" si="20"/>
        <v>8.0399999999999991</v>
      </c>
      <c r="J22" s="10">
        <f t="shared" si="21"/>
        <v>24.682799999999997</v>
      </c>
      <c r="K22" s="7">
        <f>'[10]Production Summary'!T23</f>
        <v>1170364</v>
      </c>
      <c r="L22" s="8">
        <f t="shared" si="22"/>
        <v>1.170364</v>
      </c>
      <c r="M22" s="10">
        <f t="shared" si="23"/>
        <v>3.5930174799999999</v>
      </c>
      <c r="N22" s="21"/>
      <c r="O22" s="7">
        <f>'[10]Production Summary'!I23</f>
        <v>0</v>
      </c>
      <c r="P22" s="8">
        <f t="shared" si="24"/>
        <v>0</v>
      </c>
      <c r="Q22" s="10">
        <f t="shared" si="25"/>
        <v>0</v>
      </c>
      <c r="R22" s="7">
        <f>'[10]Production Summary'!C23</f>
        <v>0</v>
      </c>
      <c r="S22" s="8">
        <f t="shared" si="26"/>
        <v>0</v>
      </c>
      <c r="T22" s="10">
        <f t="shared" si="27"/>
        <v>0</v>
      </c>
      <c r="U22" s="7">
        <f>'[10]Production Summary'!F23</f>
        <v>4893000</v>
      </c>
      <c r="V22" s="8">
        <f t="shared" si="28"/>
        <v>4.8929999999999998</v>
      </c>
      <c r="W22" s="10">
        <f t="shared" si="29"/>
        <v>15.021509999999999</v>
      </c>
      <c r="X22" s="7">
        <f>'[10]Production Summary'!AB23</f>
        <v>0</v>
      </c>
      <c r="Y22" s="8">
        <f t="shared" si="30"/>
        <v>0</v>
      </c>
      <c r="Z22" s="10">
        <f t="shared" si="31"/>
        <v>0</v>
      </c>
      <c r="AA22" s="15"/>
      <c r="AB22" s="7">
        <f t="shared" si="32"/>
        <v>13399999.999999637</v>
      </c>
      <c r="AC22" s="8">
        <f t="shared" si="32"/>
        <v>13.399999999999636</v>
      </c>
      <c r="AD22" s="8">
        <f t="shared" si="32"/>
        <v>41.137999999998883</v>
      </c>
      <c r="AF22" s="8">
        <f t="shared" si="34"/>
        <v>0</v>
      </c>
    </row>
    <row r="23" spans="1:32" x14ac:dyDescent="0.15">
      <c r="A23" s="27">
        <v>38644</v>
      </c>
      <c r="B23" s="7">
        <f>'[10]Production Summary'!J24</f>
        <v>13800000.000000183</v>
      </c>
      <c r="C23" s="8">
        <f t="shared" si="16"/>
        <v>13.800000000000182</v>
      </c>
      <c r="D23" s="10">
        <f t="shared" si="17"/>
        <v>42.366000000000554</v>
      </c>
      <c r="E23" s="7">
        <f>'[10]Production Summary'!E24</f>
        <v>7000000</v>
      </c>
      <c r="F23" s="8">
        <f t="shared" si="18"/>
        <v>7</v>
      </c>
      <c r="G23" s="10">
        <f t="shared" si="19"/>
        <v>21.49</v>
      </c>
      <c r="H23" s="7">
        <f>'[10]Production Summary'!G24</f>
        <v>8120000</v>
      </c>
      <c r="I23" s="8">
        <f t="shared" si="20"/>
        <v>8.1199999999999992</v>
      </c>
      <c r="J23" s="10">
        <f t="shared" si="21"/>
        <v>24.928399999999996</v>
      </c>
      <c r="K23" s="7">
        <f>'[10]Production Summary'!T24</f>
        <v>1302594</v>
      </c>
      <c r="L23" s="8">
        <f t="shared" si="22"/>
        <v>1.302594</v>
      </c>
      <c r="M23" s="10">
        <f t="shared" si="23"/>
        <v>3.9989635799999999</v>
      </c>
      <c r="N23" s="21"/>
      <c r="O23" s="7">
        <f>'[10]Production Summary'!I24</f>
        <v>0</v>
      </c>
      <c r="P23" s="8">
        <f t="shared" si="24"/>
        <v>0</v>
      </c>
      <c r="Q23" s="10">
        <f t="shared" si="25"/>
        <v>0</v>
      </c>
      <c r="R23" s="7">
        <f>'[10]Production Summary'!C24</f>
        <v>0</v>
      </c>
      <c r="S23" s="8">
        <f t="shared" si="26"/>
        <v>0</v>
      </c>
      <c r="T23" s="10">
        <f t="shared" si="27"/>
        <v>0</v>
      </c>
      <c r="U23" s="7">
        <f>'[10]Production Summary'!F24</f>
        <v>5002000</v>
      </c>
      <c r="V23" s="8">
        <f t="shared" si="28"/>
        <v>5.0019999999999998</v>
      </c>
      <c r="W23" s="10">
        <f t="shared" si="29"/>
        <v>15.356139999999998</v>
      </c>
      <c r="X23" s="7">
        <f>'[10]Production Summary'!AB24</f>
        <v>0</v>
      </c>
      <c r="Y23" s="8">
        <f t="shared" si="30"/>
        <v>0</v>
      </c>
      <c r="Z23" s="10">
        <f t="shared" si="31"/>
        <v>0</v>
      </c>
      <c r="AA23" s="15"/>
      <c r="AB23" s="7">
        <f t="shared" si="32"/>
        <v>13800000.000000183</v>
      </c>
      <c r="AC23" s="8">
        <f t="shared" si="32"/>
        <v>13.800000000000182</v>
      </c>
      <c r="AD23" s="8">
        <f t="shared" si="32"/>
        <v>42.366000000000554</v>
      </c>
      <c r="AF23" s="8">
        <f t="shared" si="34"/>
        <v>0</v>
      </c>
    </row>
    <row r="24" spans="1:32" x14ac:dyDescent="0.15">
      <c r="A24" s="27">
        <v>38645</v>
      </c>
      <c r="B24" s="7">
        <f>'[10]Production Summary'!J25</f>
        <v>14699999.999999817</v>
      </c>
      <c r="C24" s="8">
        <f t="shared" si="16"/>
        <v>14.699999999999818</v>
      </c>
      <c r="D24" s="10">
        <f t="shared" si="17"/>
        <v>45.128999999999436</v>
      </c>
      <c r="E24" s="7">
        <f>'[10]Production Summary'!E25</f>
        <v>7000000</v>
      </c>
      <c r="F24" s="8">
        <f t="shared" si="18"/>
        <v>7</v>
      </c>
      <c r="G24" s="10">
        <f t="shared" si="19"/>
        <v>21.49</v>
      </c>
      <c r="H24" s="7">
        <f>'[10]Production Summary'!G25</f>
        <v>9520000</v>
      </c>
      <c r="I24" s="8">
        <f t="shared" si="20"/>
        <v>9.52</v>
      </c>
      <c r="J24" s="10">
        <f t="shared" si="21"/>
        <v>29.226399999999998</v>
      </c>
      <c r="K24" s="7">
        <f>'[10]Production Summary'!T25</f>
        <v>1435339</v>
      </c>
      <c r="L24" s="8">
        <f t="shared" si="22"/>
        <v>1.4353389999999999</v>
      </c>
      <c r="M24" s="10">
        <f t="shared" si="23"/>
        <v>4.4064907299999998</v>
      </c>
      <c r="N24" s="21"/>
      <c r="O24" s="7">
        <f>'[10]Production Summary'!I25</f>
        <v>0</v>
      </c>
      <c r="P24" s="8">
        <f t="shared" si="24"/>
        <v>0</v>
      </c>
      <c r="Q24" s="10">
        <f t="shared" si="25"/>
        <v>0</v>
      </c>
      <c r="R24" s="7">
        <f>'[10]Production Summary'!C25</f>
        <v>0</v>
      </c>
      <c r="S24" s="8">
        <f t="shared" si="26"/>
        <v>0</v>
      </c>
      <c r="T24" s="10">
        <f t="shared" si="27"/>
        <v>0</v>
      </c>
      <c r="U24" s="7">
        <f>'[10]Production Summary'!F25</f>
        <v>4852000</v>
      </c>
      <c r="V24" s="8">
        <f t="shared" si="28"/>
        <v>4.8520000000000003</v>
      </c>
      <c r="W24" s="10">
        <f t="shared" si="29"/>
        <v>14.89564</v>
      </c>
      <c r="X24" s="7">
        <f>'[10]Production Summary'!AB25</f>
        <v>0</v>
      </c>
      <c r="Y24" s="8">
        <f t="shared" si="30"/>
        <v>0</v>
      </c>
      <c r="Z24" s="10">
        <f t="shared" si="31"/>
        <v>0</v>
      </c>
      <c r="AA24" s="15"/>
      <c r="AB24" s="7">
        <f t="shared" si="32"/>
        <v>14699999.999999817</v>
      </c>
      <c r="AC24" s="8">
        <f t="shared" si="32"/>
        <v>14.699999999999818</v>
      </c>
      <c r="AD24" s="8">
        <f>D24+Q24</f>
        <v>45.128999999999436</v>
      </c>
      <c r="AF24" s="8">
        <f t="shared" si="34"/>
        <v>0</v>
      </c>
    </row>
    <row r="25" spans="1:32" x14ac:dyDescent="0.15">
      <c r="A25" s="27">
        <v>38646</v>
      </c>
      <c r="B25" s="7">
        <f>'[10]Production Summary'!J26</f>
        <v>13100000.000000363</v>
      </c>
      <c r="C25" s="8">
        <f t="shared" si="16"/>
        <v>13.100000000000364</v>
      </c>
      <c r="D25" s="10">
        <f t="shared" si="17"/>
        <v>40.217000000001114</v>
      </c>
      <c r="E25" s="7">
        <f>'[10]Production Summary'!E26</f>
        <v>7000000</v>
      </c>
      <c r="F25" s="8">
        <f t="shared" si="18"/>
        <v>7</v>
      </c>
      <c r="G25" s="10">
        <f t="shared" si="19"/>
        <v>21.49</v>
      </c>
      <c r="H25" s="7">
        <f>'[10]Production Summary'!G26</f>
        <v>7000000</v>
      </c>
      <c r="I25" s="8">
        <f t="shared" si="20"/>
        <v>7</v>
      </c>
      <c r="J25" s="10">
        <f t="shared" si="21"/>
        <v>21.49</v>
      </c>
      <c r="K25" s="7">
        <f>'[10]Production Summary'!T26</f>
        <v>1100033</v>
      </c>
      <c r="L25" s="8">
        <f t="shared" si="22"/>
        <v>1.100033</v>
      </c>
      <c r="M25" s="10">
        <f t="shared" si="23"/>
        <v>3.37710131</v>
      </c>
      <c r="N25" s="21"/>
      <c r="O25" s="7">
        <f>'[10]Production Summary'!I26</f>
        <v>0</v>
      </c>
      <c r="P25" s="8">
        <f t="shared" si="24"/>
        <v>0</v>
      </c>
      <c r="Q25" s="10">
        <f t="shared" si="25"/>
        <v>0</v>
      </c>
      <c r="R25" s="7">
        <f>'[10]Production Summary'!C26</f>
        <v>0</v>
      </c>
      <c r="S25" s="8">
        <f t="shared" si="26"/>
        <v>0</v>
      </c>
      <c r="T25" s="10">
        <f t="shared" si="27"/>
        <v>0</v>
      </c>
      <c r="U25" s="7">
        <f>'[10]Production Summary'!F26</f>
        <v>5002000</v>
      </c>
      <c r="V25" s="8">
        <f t="shared" si="28"/>
        <v>5.0019999999999998</v>
      </c>
      <c r="W25" s="10">
        <f t="shared" si="29"/>
        <v>15.356139999999998</v>
      </c>
      <c r="X25" s="7">
        <f>'[10]Production Summary'!AB26</f>
        <v>0</v>
      </c>
      <c r="Y25" s="8">
        <f t="shared" si="30"/>
        <v>0</v>
      </c>
      <c r="Z25" s="10">
        <f t="shared" si="31"/>
        <v>0</v>
      </c>
      <c r="AA25" s="15"/>
      <c r="AB25" s="7">
        <f t="shared" si="32"/>
        <v>13100000.000000363</v>
      </c>
      <c r="AC25" s="8">
        <f t="shared" si="32"/>
        <v>13.100000000000364</v>
      </c>
      <c r="AD25" s="8">
        <f t="shared" si="32"/>
        <v>40.217000000001114</v>
      </c>
      <c r="AF25" s="8">
        <f t="shared" si="34"/>
        <v>0</v>
      </c>
    </row>
    <row r="26" spans="1:32" x14ac:dyDescent="0.15">
      <c r="A26" s="27">
        <v>38647</v>
      </c>
      <c r="B26" s="7">
        <f>'[10]Production Summary'!J27</f>
        <v>13300000.000000183</v>
      </c>
      <c r="C26" s="8">
        <f t="shared" si="16"/>
        <v>13.300000000000182</v>
      </c>
      <c r="D26" s="10">
        <f t="shared" si="17"/>
        <v>40.831000000000557</v>
      </c>
      <c r="E26" s="7">
        <f>'[10]Production Summary'!E27</f>
        <v>7000000</v>
      </c>
      <c r="F26" s="8">
        <f t="shared" si="18"/>
        <v>7</v>
      </c>
      <c r="G26" s="10">
        <f t="shared" si="19"/>
        <v>21.49</v>
      </c>
      <c r="H26" s="7">
        <f>'[10]Production Summary'!G27</f>
        <v>7850000</v>
      </c>
      <c r="I26" s="8">
        <f t="shared" si="20"/>
        <v>7.85</v>
      </c>
      <c r="J26" s="10">
        <f t="shared" si="21"/>
        <v>24.099499999999999</v>
      </c>
      <c r="K26" s="7">
        <f>'[10]Production Summary'!T27</f>
        <v>1213687</v>
      </c>
      <c r="L26" s="8">
        <f t="shared" si="22"/>
        <v>1.213687</v>
      </c>
      <c r="M26" s="10">
        <f t="shared" si="23"/>
        <v>3.7260190899999999</v>
      </c>
      <c r="N26" s="21"/>
      <c r="O26" s="7">
        <f>'[10]Production Summary'!I27</f>
        <v>0</v>
      </c>
      <c r="P26" s="8">
        <f t="shared" si="24"/>
        <v>0</v>
      </c>
      <c r="Q26" s="10">
        <f t="shared" si="25"/>
        <v>0</v>
      </c>
      <c r="R26" s="7">
        <f>'[10]Production Summary'!C27</f>
        <v>0</v>
      </c>
      <c r="S26" s="8">
        <f t="shared" si="26"/>
        <v>0</v>
      </c>
      <c r="T26" s="10">
        <f t="shared" si="27"/>
        <v>0</v>
      </c>
      <c r="U26" s="7">
        <f>'[10]Production Summary'!F27</f>
        <v>5009000</v>
      </c>
      <c r="V26" s="8">
        <f t="shared" si="28"/>
        <v>5.0090000000000003</v>
      </c>
      <c r="W26" s="10">
        <f t="shared" si="29"/>
        <v>15.37763</v>
      </c>
      <c r="X26" s="7">
        <f>'[10]Production Summary'!AB27</f>
        <v>0</v>
      </c>
      <c r="Y26" s="8">
        <f t="shared" si="30"/>
        <v>0</v>
      </c>
      <c r="Z26" s="10">
        <f t="shared" si="31"/>
        <v>0</v>
      </c>
      <c r="AA26" s="15"/>
      <c r="AB26" s="7">
        <f t="shared" si="32"/>
        <v>13300000.000000183</v>
      </c>
      <c r="AC26" s="8">
        <f t="shared" si="32"/>
        <v>13.300000000000182</v>
      </c>
      <c r="AD26" s="8">
        <f t="shared" si="32"/>
        <v>40.831000000000557</v>
      </c>
      <c r="AF26" s="8">
        <f t="shared" si="34"/>
        <v>0</v>
      </c>
    </row>
    <row r="27" spans="1:32" x14ac:dyDescent="0.15">
      <c r="A27" s="27">
        <v>38648</v>
      </c>
      <c r="B27" s="7">
        <f>'[10]Production Summary'!J28</f>
        <v>14000000</v>
      </c>
      <c r="C27" s="8">
        <f t="shared" si="16"/>
        <v>14</v>
      </c>
      <c r="D27" s="10">
        <f t="shared" si="17"/>
        <v>42.98</v>
      </c>
      <c r="E27" s="7">
        <f>'[10]Production Summary'!E28</f>
        <v>7000000</v>
      </c>
      <c r="F27" s="8">
        <f t="shared" si="18"/>
        <v>7</v>
      </c>
      <c r="G27" s="10">
        <f t="shared" si="19"/>
        <v>21.49</v>
      </c>
      <c r="H27" s="7">
        <f>'[10]Production Summary'!G28</f>
        <v>8970000</v>
      </c>
      <c r="I27" s="8">
        <f t="shared" si="20"/>
        <v>8.9700000000000006</v>
      </c>
      <c r="J27" s="10">
        <f t="shared" si="21"/>
        <v>27.5379</v>
      </c>
      <c r="K27" s="7">
        <f>'[10]Production Summary'!T28</f>
        <v>1293693</v>
      </c>
      <c r="L27" s="8">
        <f t="shared" si="22"/>
        <v>1.293693</v>
      </c>
      <c r="M27" s="10">
        <f t="shared" si="23"/>
        <v>3.9716375099999999</v>
      </c>
      <c r="N27" s="21"/>
      <c r="O27" s="7">
        <f>'[10]Production Summary'!I28</f>
        <v>0</v>
      </c>
      <c r="P27" s="8">
        <f t="shared" si="24"/>
        <v>0</v>
      </c>
      <c r="Q27" s="10">
        <f t="shared" si="25"/>
        <v>0</v>
      </c>
      <c r="R27" s="7">
        <f>'[10]Production Summary'!C28</f>
        <v>0</v>
      </c>
      <c r="S27" s="8">
        <f t="shared" si="26"/>
        <v>0</v>
      </c>
      <c r="T27" s="10">
        <f t="shared" si="27"/>
        <v>0</v>
      </c>
      <c r="U27" s="7">
        <f>'[10]Production Summary'!F28</f>
        <v>3558000</v>
      </c>
      <c r="V27" s="8">
        <f t="shared" si="28"/>
        <v>3.5579999999999998</v>
      </c>
      <c r="W27" s="10">
        <f t="shared" si="29"/>
        <v>10.92306</v>
      </c>
      <c r="X27" s="7">
        <f>'[10]Production Summary'!AB28</f>
        <v>0</v>
      </c>
      <c r="Y27" s="8">
        <f t="shared" si="30"/>
        <v>0</v>
      </c>
      <c r="Z27" s="10">
        <f t="shared" si="31"/>
        <v>0</v>
      </c>
      <c r="AA27" s="15"/>
      <c r="AB27" s="7">
        <f t="shared" si="32"/>
        <v>14000000</v>
      </c>
      <c r="AC27" s="8">
        <f t="shared" si="32"/>
        <v>14</v>
      </c>
      <c r="AD27" s="8">
        <f t="shared" si="32"/>
        <v>42.98</v>
      </c>
      <c r="AF27" s="8">
        <f t="shared" si="34"/>
        <v>0</v>
      </c>
    </row>
    <row r="28" spans="1:32" x14ac:dyDescent="0.15">
      <c r="A28" s="27">
        <v>38649</v>
      </c>
      <c r="B28" s="7">
        <f>'[10]Production Summary'!J29</f>
        <v>15000000</v>
      </c>
      <c r="C28" s="8">
        <f t="shared" si="16"/>
        <v>15</v>
      </c>
      <c r="D28" s="10">
        <f t="shared" si="17"/>
        <v>46.05</v>
      </c>
      <c r="E28" s="7">
        <f>'[10]Production Summary'!E29</f>
        <v>7000000</v>
      </c>
      <c r="F28" s="8">
        <f t="shared" si="18"/>
        <v>7</v>
      </c>
      <c r="G28" s="10">
        <f t="shared" si="19"/>
        <v>21.49</v>
      </c>
      <c r="H28" s="7">
        <f>'[10]Production Summary'!G29</f>
        <v>9010000</v>
      </c>
      <c r="I28" s="8">
        <f t="shared" si="20"/>
        <v>9.01</v>
      </c>
      <c r="J28" s="10">
        <f t="shared" si="21"/>
        <v>27.660699999999999</v>
      </c>
      <c r="K28" s="7">
        <f>'[10]Production Summary'!T29</f>
        <v>1308425</v>
      </c>
      <c r="L28" s="8">
        <f t="shared" si="22"/>
        <v>1.3084249999999999</v>
      </c>
      <c r="M28" s="10">
        <f t="shared" si="23"/>
        <v>4.0168647499999999</v>
      </c>
      <c r="N28" s="21"/>
      <c r="O28" s="7">
        <f>'[10]Production Summary'!I29</f>
        <v>0</v>
      </c>
      <c r="P28" s="8">
        <f t="shared" si="24"/>
        <v>0</v>
      </c>
      <c r="Q28" s="10">
        <f t="shared" si="25"/>
        <v>0</v>
      </c>
      <c r="R28" s="7">
        <f>'[10]Production Summary'!C29</f>
        <v>0</v>
      </c>
      <c r="S28" s="8">
        <f t="shared" si="26"/>
        <v>0</v>
      </c>
      <c r="T28" s="10">
        <f t="shared" si="27"/>
        <v>0</v>
      </c>
      <c r="U28" s="7">
        <f>'[10]Production Summary'!F29</f>
        <v>2998000</v>
      </c>
      <c r="V28" s="8">
        <f t="shared" si="28"/>
        <v>2.9980000000000002</v>
      </c>
      <c r="W28" s="10">
        <f t="shared" si="29"/>
        <v>9.2038600000000006</v>
      </c>
      <c r="X28" s="7">
        <f>'[10]Production Summary'!AB29</f>
        <v>0</v>
      </c>
      <c r="Y28" s="8">
        <f t="shared" si="30"/>
        <v>0</v>
      </c>
      <c r="Z28" s="10">
        <f t="shared" si="31"/>
        <v>0</v>
      </c>
      <c r="AA28" s="15"/>
      <c r="AB28" s="7">
        <f t="shared" si="32"/>
        <v>15000000</v>
      </c>
      <c r="AC28" s="8">
        <f t="shared" si="32"/>
        <v>15</v>
      </c>
      <c r="AD28" s="8">
        <f t="shared" si="32"/>
        <v>46.05</v>
      </c>
      <c r="AF28" s="8">
        <f t="shared" si="34"/>
        <v>0</v>
      </c>
    </row>
    <row r="29" spans="1:32" x14ac:dyDescent="0.15">
      <c r="A29" s="27">
        <v>38650</v>
      </c>
      <c r="B29" s="7">
        <f>'[10]Production Summary'!J30</f>
        <v>12800000.000000183</v>
      </c>
      <c r="C29" s="8">
        <f t="shared" si="16"/>
        <v>12.800000000000182</v>
      </c>
      <c r="D29" s="10">
        <f t="shared" si="17"/>
        <v>39.296000000000554</v>
      </c>
      <c r="E29" s="7">
        <f>'[10]Production Summary'!E30</f>
        <v>7000000</v>
      </c>
      <c r="F29" s="8">
        <f t="shared" si="18"/>
        <v>7</v>
      </c>
      <c r="G29" s="10">
        <f t="shared" si="19"/>
        <v>21.49</v>
      </c>
      <c r="H29" s="7">
        <f>'[10]Production Summary'!G30</f>
        <v>7420000</v>
      </c>
      <c r="I29" s="8">
        <f t="shared" si="20"/>
        <v>7.42</v>
      </c>
      <c r="J29" s="10">
        <f t="shared" si="21"/>
        <v>22.779399999999999</v>
      </c>
      <c r="K29" s="7">
        <f>'[10]Production Summary'!T30</f>
        <v>1176154</v>
      </c>
      <c r="L29" s="8">
        <f t="shared" si="22"/>
        <v>1.1761539999999999</v>
      </c>
      <c r="M29" s="10">
        <f t="shared" si="23"/>
        <v>3.6107927799999997</v>
      </c>
      <c r="N29" s="21"/>
      <c r="O29" s="7">
        <f>'[10]Production Summary'!I30</f>
        <v>0</v>
      </c>
      <c r="P29" s="8">
        <f t="shared" si="24"/>
        <v>0</v>
      </c>
      <c r="Q29" s="10">
        <f t="shared" si="25"/>
        <v>0</v>
      </c>
      <c r="R29" s="7">
        <f>'[10]Production Summary'!C30</f>
        <v>0</v>
      </c>
      <c r="S29" s="8">
        <f t="shared" si="26"/>
        <v>0</v>
      </c>
      <c r="T29" s="10">
        <f t="shared" si="27"/>
        <v>0</v>
      </c>
      <c r="U29" s="7">
        <f>'[10]Production Summary'!F30</f>
        <v>3104000</v>
      </c>
      <c r="V29" s="8">
        <f t="shared" si="28"/>
        <v>3.1040000000000001</v>
      </c>
      <c r="W29" s="10">
        <f t="shared" si="29"/>
        <v>9.52928</v>
      </c>
      <c r="X29" s="7">
        <f>'[10]Production Summary'!AB30</f>
        <v>0</v>
      </c>
      <c r="Y29" s="8">
        <f t="shared" si="30"/>
        <v>0</v>
      </c>
      <c r="Z29" s="10">
        <f t="shared" si="31"/>
        <v>0</v>
      </c>
      <c r="AA29" s="15"/>
      <c r="AB29" s="7">
        <f t="shared" si="32"/>
        <v>12800000.000000183</v>
      </c>
      <c r="AC29" s="8">
        <f t="shared" si="32"/>
        <v>12.800000000000182</v>
      </c>
      <c r="AD29" s="8">
        <f t="shared" si="32"/>
        <v>39.296000000000554</v>
      </c>
      <c r="AF29" s="8">
        <f t="shared" si="34"/>
        <v>0</v>
      </c>
    </row>
    <row r="30" spans="1:32" x14ac:dyDescent="0.15">
      <c r="A30" s="27">
        <v>38651</v>
      </c>
      <c r="B30" s="7">
        <f>'[10]Production Summary'!J31</f>
        <v>16199999.999999817</v>
      </c>
      <c r="C30" s="8">
        <f t="shared" si="16"/>
        <v>16.199999999999818</v>
      </c>
      <c r="D30" s="10">
        <f t="shared" si="17"/>
        <v>49.73399999999944</v>
      </c>
      <c r="E30" s="7">
        <f>'[10]Production Summary'!E31</f>
        <v>7000000</v>
      </c>
      <c r="F30" s="8">
        <f t="shared" si="18"/>
        <v>7</v>
      </c>
      <c r="G30" s="10">
        <f t="shared" si="19"/>
        <v>21.49</v>
      </c>
      <c r="H30" s="7">
        <f>'[10]Production Summary'!G31</f>
        <v>7740000</v>
      </c>
      <c r="I30" s="8">
        <f t="shared" si="20"/>
        <v>7.74</v>
      </c>
      <c r="J30" s="10">
        <f t="shared" si="21"/>
        <v>23.761800000000001</v>
      </c>
      <c r="K30" s="7">
        <f>'[10]Production Summary'!T31</f>
        <v>1198980</v>
      </c>
      <c r="L30" s="8">
        <f t="shared" si="22"/>
        <v>1.1989799999999999</v>
      </c>
      <c r="M30" s="10">
        <f t="shared" si="23"/>
        <v>3.6808685999999997</v>
      </c>
      <c r="N30" s="21"/>
      <c r="O30" s="7">
        <f>'[10]Production Summary'!I31</f>
        <v>0</v>
      </c>
      <c r="P30" s="8">
        <f t="shared" si="24"/>
        <v>0</v>
      </c>
      <c r="Q30" s="10">
        <f t="shared" si="25"/>
        <v>0</v>
      </c>
      <c r="R30" s="7">
        <f>'[10]Production Summary'!C31</f>
        <v>0</v>
      </c>
      <c r="S30" s="8">
        <f t="shared" si="26"/>
        <v>0</v>
      </c>
      <c r="T30" s="10">
        <f t="shared" si="27"/>
        <v>0</v>
      </c>
      <c r="U30" s="7">
        <f>'[10]Production Summary'!F31</f>
        <v>3095000</v>
      </c>
      <c r="V30" s="8">
        <f t="shared" si="28"/>
        <v>3.0950000000000002</v>
      </c>
      <c r="W30" s="10">
        <f t="shared" si="29"/>
        <v>9.5016499999999997</v>
      </c>
      <c r="X30" s="7">
        <f>'[10]Production Summary'!AB31</f>
        <v>0</v>
      </c>
      <c r="Y30" s="8">
        <f t="shared" si="30"/>
        <v>0</v>
      </c>
      <c r="Z30" s="10">
        <f t="shared" si="31"/>
        <v>0</v>
      </c>
      <c r="AA30" s="15"/>
      <c r="AB30" s="7">
        <f t="shared" si="32"/>
        <v>16199999.999999817</v>
      </c>
      <c r="AC30" s="8">
        <f t="shared" si="32"/>
        <v>16.199999999999818</v>
      </c>
      <c r="AD30" s="8">
        <f>D30+Q30</f>
        <v>49.73399999999944</v>
      </c>
      <c r="AF30" s="8">
        <f t="shared" si="34"/>
        <v>0</v>
      </c>
    </row>
    <row r="31" spans="1:32" x14ac:dyDescent="0.15">
      <c r="A31" s="27">
        <v>38652</v>
      </c>
      <c r="B31" s="7">
        <f>'[10]Production Summary'!J32</f>
        <v>9500000</v>
      </c>
      <c r="C31" s="8">
        <f t="shared" si="16"/>
        <v>9.5</v>
      </c>
      <c r="D31" s="10">
        <f t="shared" si="17"/>
        <v>29.164999999999999</v>
      </c>
      <c r="E31" s="7">
        <f>'[10]Production Summary'!E32</f>
        <v>7000000</v>
      </c>
      <c r="F31" s="8">
        <f t="shared" si="18"/>
        <v>7</v>
      </c>
      <c r="G31" s="10">
        <f t="shared" si="19"/>
        <v>21.49</v>
      </c>
      <c r="H31" s="7">
        <f>'[10]Production Summary'!G32</f>
        <v>7560000</v>
      </c>
      <c r="I31" s="8">
        <f t="shared" si="20"/>
        <v>7.56</v>
      </c>
      <c r="J31" s="10">
        <f t="shared" si="21"/>
        <v>23.209199999999999</v>
      </c>
      <c r="K31" s="7">
        <f>'[10]Production Summary'!T32</f>
        <v>1186404</v>
      </c>
      <c r="L31" s="8">
        <f t="shared" si="22"/>
        <v>1.186404</v>
      </c>
      <c r="M31" s="10">
        <f t="shared" si="23"/>
        <v>3.6422602799999999</v>
      </c>
      <c r="N31" s="21"/>
      <c r="O31" s="7">
        <f>'[10]Production Summary'!I32</f>
        <v>0</v>
      </c>
      <c r="P31" s="8">
        <f t="shared" si="24"/>
        <v>0</v>
      </c>
      <c r="Q31" s="10">
        <f t="shared" si="25"/>
        <v>0</v>
      </c>
      <c r="R31" s="7">
        <f>'[10]Production Summary'!C32</f>
        <v>0</v>
      </c>
      <c r="S31" s="8">
        <f t="shared" si="26"/>
        <v>0</v>
      </c>
      <c r="T31" s="10">
        <f t="shared" si="27"/>
        <v>0</v>
      </c>
      <c r="U31" s="7">
        <f>'[10]Production Summary'!F32</f>
        <v>3014000</v>
      </c>
      <c r="V31" s="8">
        <f t="shared" si="28"/>
        <v>3.0139999999999998</v>
      </c>
      <c r="W31" s="10">
        <f t="shared" si="29"/>
        <v>9.2529799999999991</v>
      </c>
      <c r="X31" s="7">
        <f>'[10]Production Summary'!AB32</f>
        <v>0</v>
      </c>
      <c r="Y31" s="8">
        <f t="shared" si="30"/>
        <v>0</v>
      </c>
      <c r="Z31" s="10">
        <f t="shared" si="31"/>
        <v>0</v>
      </c>
      <c r="AA31" s="15"/>
      <c r="AB31" s="7">
        <f t="shared" si="32"/>
        <v>9500000</v>
      </c>
      <c r="AC31" s="8">
        <f t="shared" si="32"/>
        <v>9.5</v>
      </c>
      <c r="AD31" s="8">
        <f t="shared" si="32"/>
        <v>29.164999999999999</v>
      </c>
      <c r="AF31" s="8">
        <f>T31-Q31-Z31</f>
        <v>0</v>
      </c>
    </row>
    <row r="32" spans="1:32" x14ac:dyDescent="0.15">
      <c r="A32" s="27">
        <v>38653</v>
      </c>
      <c r="B32" s="7">
        <f>'[10]Production Summary'!J33</f>
        <v>10899999.999999637</v>
      </c>
      <c r="C32" s="8">
        <f t="shared" si="16"/>
        <v>10.899999999999636</v>
      </c>
      <c r="D32" s="10">
        <f t="shared" si="17"/>
        <v>33.462999999998878</v>
      </c>
      <c r="E32" s="7">
        <f>'[10]Production Summary'!E33</f>
        <v>7000000</v>
      </c>
      <c r="F32" s="8">
        <f t="shared" si="18"/>
        <v>7</v>
      </c>
      <c r="G32" s="10">
        <f t="shared" si="19"/>
        <v>21.49</v>
      </c>
      <c r="H32" s="7">
        <f>'[10]Production Summary'!G33</f>
        <v>5190000</v>
      </c>
      <c r="I32" s="8">
        <f t="shared" si="20"/>
        <v>5.19</v>
      </c>
      <c r="J32" s="10">
        <f t="shared" si="21"/>
        <v>15.933300000000001</v>
      </c>
      <c r="K32" s="7">
        <f>'[10]Production Summary'!T33</f>
        <v>1001908</v>
      </c>
      <c r="L32" s="8">
        <f t="shared" si="22"/>
        <v>1.001908</v>
      </c>
      <c r="M32" s="10">
        <f t="shared" si="23"/>
        <v>3.0758575599999998</v>
      </c>
      <c r="N32" s="21"/>
      <c r="O32" s="7">
        <f>'[10]Production Summary'!I33</f>
        <v>0</v>
      </c>
      <c r="P32" s="8">
        <f t="shared" si="24"/>
        <v>0</v>
      </c>
      <c r="Q32" s="10">
        <f t="shared" si="25"/>
        <v>0</v>
      </c>
      <c r="R32" s="7">
        <f>'[10]Production Summary'!C33</f>
        <v>0</v>
      </c>
      <c r="S32" s="8">
        <f t="shared" si="26"/>
        <v>0</v>
      </c>
      <c r="T32" s="10">
        <f t="shared" si="27"/>
        <v>0</v>
      </c>
      <c r="U32" s="7">
        <f>'[10]Production Summary'!F33</f>
        <v>3201000</v>
      </c>
      <c r="V32" s="8">
        <f t="shared" si="28"/>
        <v>3.2010000000000001</v>
      </c>
      <c r="W32" s="10">
        <f t="shared" si="29"/>
        <v>9.8270699999999991</v>
      </c>
      <c r="X32" s="7">
        <f>'[10]Production Summary'!AB33</f>
        <v>0</v>
      </c>
      <c r="Y32" s="8">
        <f t="shared" si="30"/>
        <v>0</v>
      </c>
      <c r="Z32" s="10">
        <f t="shared" si="31"/>
        <v>0</v>
      </c>
      <c r="AA32" s="15"/>
      <c r="AB32" s="7">
        <f t="shared" si="32"/>
        <v>10899999.999999637</v>
      </c>
      <c r="AC32" s="8">
        <f t="shared" si="32"/>
        <v>10.899999999999636</v>
      </c>
      <c r="AD32" s="8">
        <f t="shared" si="32"/>
        <v>33.462999999998878</v>
      </c>
      <c r="AF32" s="8">
        <f t="shared" si="34"/>
        <v>0</v>
      </c>
    </row>
    <row r="33" spans="1:32" x14ac:dyDescent="0.15">
      <c r="A33" s="27">
        <v>38654</v>
      </c>
      <c r="B33" s="7">
        <f>'[10]Production Summary'!J34</f>
        <v>11400000.000000546</v>
      </c>
      <c r="C33" s="8">
        <f t="shared" si="16"/>
        <v>11.400000000000546</v>
      </c>
      <c r="D33" s="10">
        <f t="shared" si="17"/>
        <v>34.998000000001674</v>
      </c>
      <c r="E33" s="7">
        <f>'[10]Production Summary'!E34</f>
        <v>7000000</v>
      </c>
      <c r="F33" s="8">
        <f t="shared" si="18"/>
        <v>7</v>
      </c>
      <c r="G33" s="10">
        <f t="shared" si="19"/>
        <v>21.49</v>
      </c>
      <c r="H33" s="7">
        <f>'[10]Production Summary'!G34</f>
        <v>5780000</v>
      </c>
      <c r="I33" s="8">
        <f t="shared" si="20"/>
        <v>5.78</v>
      </c>
      <c r="J33" s="10">
        <f t="shared" si="21"/>
        <v>17.744599999999998</v>
      </c>
      <c r="K33" s="7">
        <f>'[10]Production Summary'!T34</f>
        <v>1029002</v>
      </c>
      <c r="L33" s="8">
        <f t="shared" si="22"/>
        <v>1.029002</v>
      </c>
      <c r="M33" s="10">
        <f t="shared" si="23"/>
        <v>3.1590361399999995</v>
      </c>
      <c r="N33" s="21"/>
      <c r="O33" s="7">
        <f>'[10]Production Summary'!I34</f>
        <v>0</v>
      </c>
      <c r="P33" s="8">
        <f t="shared" si="24"/>
        <v>0</v>
      </c>
      <c r="Q33" s="10">
        <f t="shared" si="25"/>
        <v>0</v>
      </c>
      <c r="R33" s="7">
        <f>'[10]Production Summary'!C34</f>
        <v>0</v>
      </c>
      <c r="S33" s="8">
        <f t="shared" si="26"/>
        <v>0</v>
      </c>
      <c r="T33" s="10">
        <f t="shared" si="27"/>
        <v>0</v>
      </c>
      <c r="U33" s="7">
        <f>'[10]Production Summary'!F34</f>
        <v>3097000</v>
      </c>
      <c r="V33" s="8">
        <f t="shared" si="28"/>
        <v>3.097</v>
      </c>
      <c r="W33" s="10">
        <f t="shared" si="29"/>
        <v>9.50779</v>
      </c>
      <c r="X33" s="7">
        <f>'[10]Production Summary'!AB34</f>
        <v>0</v>
      </c>
      <c r="Y33" s="8">
        <f t="shared" si="30"/>
        <v>0</v>
      </c>
      <c r="Z33" s="10">
        <f t="shared" si="31"/>
        <v>0</v>
      </c>
      <c r="AA33" s="15"/>
      <c r="AB33" s="7">
        <f t="shared" si="32"/>
        <v>11400000.000000546</v>
      </c>
      <c r="AC33" s="8">
        <f t="shared" si="32"/>
        <v>11.400000000000546</v>
      </c>
      <c r="AD33" s="8">
        <f t="shared" si="32"/>
        <v>34.998000000001674</v>
      </c>
      <c r="AF33" s="8">
        <f t="shared" si="34"/>
        <v>0</v>
      </c>
    </row>
    <row r="34" spans="1:32" x14ac:dyDescent="0.15">
      <c r="A34" s="27">
        <v>38655</v>
      </c>
      <c r="B34" s="7">
        <f>'[10]Production Summary'!J35</f>
        <v>12799999.999999272</v>
      </c>
      <c r="C34" s="8">
        <f t="shared" si="16"/>
        <v>12.799999999999272</v>
      </c>
      <c r="D34" s="10">
        <f t="shared" si="17"/>
        <v>39.295999999997761</v>
      </c>
      <c r="E34" s="7">
        <f>'[10]Production Summary'!E35</f>
        <v>7000000</v>
      </c>
      <c r="F34" s="8">
        <f t="shared" si="18"/>
        <v>7</v>
      </c>
      <c r="G34" s="10">
        <f t="shared" si="19"/>
        <v>21.49</v>
      </c>
      <c r="H34" s="7">
        <f>'[10]Production Summary'!G35</f>
        <v>6920000</v>
      </c>
      <c r="I34" s="8">
        <f t="shared" si="20"/>
        <v>6.92</v>
      </c>
      <c r="J34" s="10">
        <f t="shared" si="21"/>
        <v>21.244399999999999</v>
      </c>
      <c r="K34" s="7">
        <f>'[10]Production Summary'!T35</f>
        <v>1170893</v>
      </c>
      <c r="L34" s="8">
        <f t="shared" si="22"/>
        <v>1.170893</v>
      </c>
      <c r="M34" s="10">
        <f t="shared" si="23"/>
        <v>3.5946415099999998</v>
      </c>
      <c r="N34" s="21"/>
      <c r="O34" s="7">
        <f>'[10]Production Summary'!I35</f>
        <v>0</v>
      </c>
      <c r="P34" s="8">
        <f t="shared" si="24"/>
        <v>0</v>
      </c>
      <c r="Q34" s="10">
        <f t="shared" si="25"/>
        <v>0</v>
      </c>
      <c r="R34" s="7">
        <f>'[10]Production Summary'!C35</f>
        <v>0</v>
      </c>
      <c r="S34" s="8">
        <f t="shared" si="26"/>
        <v>0</v>
      </c>
      <c r="T34" s="10">
        <f t="shared" si="27"/>
        <v>0</v>
      </c>
      <c r="U34" s="7">
        <f>'[10]Production Summary'!F35</f>
        <v>3066000</v>
      </c>
      <c r="V34" s="8">
        <f t="shared" si="28"/>
        <v>3.0659999999999998</v>
      </c>
      <c r="W34" s="10">
        <f t="shared" si="29"/>
        <v>9.4126199999999987</v>
      </c>
      <c r="X34" s="7">
        <f>'[10]Production Summary'!AB35</f>
        <v>0</v>
      </c>
      <c r="Y34" s="8">
        <f t="shared" si="30"/>
        <v>0</v>
      </c>
      <c r="Z34" s="10">
        <f t="shared" si="31"/>
        <v>0</v>
      </c>
      <c r="AA34" s="15"/>
      <c r="AB34" s="7">
        <f t="shared" si="32"/>
        <v>12799999.999999272</v>
      </c>
      <c r="AC34" s="8">
        <f t="shared" si="32"/>
        <v>12.799999999999272</v>
      </c>
      <c r="AD34" s="8">
        <f t="shared" si="32"/>
        <v>39.295999999997761</v>
      </c>
      <c r="AF34" s="8">
        <f t="shared" si="34"/>
        <v>0</v>
      </c>
    </row>
    <row r="35" spans="1:32" ht="14" thickBot="1" x14ac:dyDescent="0.2">
      <c r="A35" s="27">
        <v>38656</v>
      </c>
      <c r="B35" s="7">
        <f>'[10]Production Summary'!J36</f>
        <v>12200000.000000728</v>
      </c>
      <c r="C35" s="8">
        <f t="shared" si="16"/>
        <v>12.200000000000728</v>
      </c>
      <c r="D35" s="10">
        <f t="shared" si="17"/>
        <v>37.454000000002232</v>
      </c>
      <c r="E35" s="7">
        <f>'[10]Production Summary'!E36</f>
        <v>7000000</v>
      </c>
      <c r="F35" s="8">
        <f t="shared" si="18"/>
        <v>7</v>
      </c>
      <c r="G35" s="10">
        <f t="shared" si="19"/>
        <v>21.49</v>
      </c>
      <c r="H35" s="7">
        <f>'[10]Production Summary'!G36</f>
        <v>6940000</v>
      </c>
      <c r="I35" s="8">
        <f t="shared" si="20"/>
        <v>6.94</v>
      </c>
      <c r="J35" s="10">
        <f t="shared" si="21"/>
        <v>21.305800000000001</v>
      </c>
      <c r="K35" s="7">
        <f>'[10]Production Summary'!T36</f>
        <v>1210115</v>
      </c>
      <c r="L35" s="8">
        <f t="shared" si="22"/>
        <v>1.2101150000000001</v>
      </c>
      <c r="M35" s="10">
        <f t="shared" si="23"/>
        <v>3.7150530499999999</v>
      </c>
      <c r="N35" s="21"/>
      <c r="O35" s="7">
        <f>'[10]Production Summary'!I36</f>
        <v>0</v>
      </c>
      <c r="P35" s="8">
        <f t="shared" si="24"/>
        <v>0</v>
      </c>
      <c r="Q35" s="10">
        <f t="shared" si="25"/>
        <v>0</v>
      </c>
      <c r="R35" s="7">
        <f>'[10]Production Summary'!C36</f>
        <v>0</v>
      </c>
      <c r="S35" s="8">
        <f t="shared" si="26"/>
        <v>0</v>
      </c>
      <c r="T35" s="10">
        <f t="shared" si="27"/>
        <v>0</v>
      </c>
      <c r="U35" s="7">
        <f>'[10]Production Summary'!F36</f>
        <v>3190000</v>
      </c>
      <c r="V35" s="8">
        <f t="shared" si="28"/>
        <v>3.19</v>
      </c>
      <c r="W35" s="10">
        <f t="shared" si="29"/>
        <v>9.7932999999999986</v>
      </c>
      <c r="X35" s="7">
        <f>'[10]Production Summary'!AB36</f>
        <v>0</v>
      </c>
      <c r="Y35" s="8">
        <f t="shared" si="30"/>
        <v>0</v>
      </c>
      <c r="Z35" s="10">
        <f t="shared" si="31"/>
        <v>0</v>
      </c>
      <c r="AA35" s="15"/>
      <c r="AB35" s="7">
        <f t="shared" si="32"/>
        <v>12200000.000000728</v>
      </c>
      <c r="AC35" s="8">
        <f t="shared" si="32"/>
        <v>12.200000000000728</v>
      </c>
      <c r="AD35" s="8">
        <f t="shared" si="32"/>
        <v>37.454000000002232</v>
      </c>
      <c r="AF35" s="8">
        <f t="shared" si="34"/>
        <v>0</v>
      </c>
    </row>
    <row r="36" spans="1:32" ht="14" thickBot="1" x14ac:dyDescent="0.2">
      <c r="A36" s="14"/>
      <c r="B36" s="38"/>
      <c r="C36" s="39">
        <f>SUM(C5:C35)</f>
        <v>436</v>
      </c>
      <c r="D36" s="39">
        <f>SUM(D5:D35)</f>
        <v>1338.5199999999998</v>
      </c>
      <c r="E36" s="38"/>
      <c r="F36" s="39">
        <f>SUM(F5:F35)</f>
        <v>262</v>
      </c>
      <c r="G36" s="39">
        <f>SUM(G5:G35)</f>
        <v>804.34000000000015</v>
      </c>
      <c r="H36" s="38"/>
      <c r="I36" s="39">
        <f>SUM(I5:I35)</f>
        <v>218.64999999999998</v>
      </c>
      <c r="J36" s="39">
        <f>SUM(J5:J35)</f>
        <v>671.25549999999998</v>
      </c>
      <c r="K36" s="38"/>
      <c r="L36" s="39">
        <f>SUM(L5:L35)</f>
        <v>39.755361999999998</v>
      </c>
      <c r="M36" s="39">
        <f>SUM(M5:M35)</f>
        <v>122.04896133999999</v>
      </c>
      <c r="N36" s="14"/>
      <c r="O36" s="38"/>
      <c r="P36" s="39">
        <f>SUM(P5:P35)</f>
        <v>0</v>
      </c>
      <c r="Q36" s="39">
        <f>SUM(Q5:Q35)</f>
        <v>0</v>
      </c>
      <c r="R36" s="38"/>
      <c r="S36" s="39">
        <f>SUM(S5:S35)</f>
        <v>0</v>
      </c>
      <c r="T36" s="39">
        <f>SUM(T5:T35)</f>
        <v>0</v>
      </c>
      <c r="U36" s="38"/>
      <c r="V36" s="39">
        <f>SUM(V5:V35)</f>
        <v>166.52799999999999</v>
      </c>
      <c r="W36" s="39">
        <f>SUM(W5:W35)</f>
        <v>511.24095999999997</v>
      </c>
      <c r="X36" s="38"/>
      <c r="Y36" s="39">
        <f>SUM(Y5:Y35)</f>
        <v>0</v>
      </c>
      <c r="Z36" s="39">
        <f>SUM(Z5:Z35)</f>
        <v>0</v>
      </c>
      <c r="AA36" s="14"/>
      <c r="AB36" s="38"/>
      <c r="AC36" s="39">
        <f>SUM(AC5:AC35)</f>
        <v>436</v>
      </c>
      <c r="AD36" s="39">
        <f>AC36*3.07</f>
        <v>1338.52</v>
      </c>
      <c r="AF36" s="39">
        <f>SUM(AF5:AF35)</f>
        <v>0</v>
      </c>
    </row>
    <row r="37" spans="1:32" x14ac:dyDescent="0.15">
      <c r="A37" s="3"/>
      <c r="B37" s="3"/>
      <c r="C37" s="24"/>
      <c r="D37" s="3"/>
      <c r="E37" s="3"/>
      <c r="F37" s="3"/>
      <c r="G37" s="3"/>
      <c r="H37" s="3"/>
      <c r="I37" s="3"/>
      <c r="J37" s="3"/>
      <c r="K37" s="14"/>
      <c r="L37" s="3"/>
      <c r="M37" s="3"/>
      <c r="N37" s="3"/>
      <c r="O37" s="3"/>
      <c r="P37" s="3"/>
      <c r="Q37" s="3"/>
      <c r="R37" s="3"/>
      <c r="S37" s="3"/>
      <c r="T37" s="3"/>
      <c r="U37" s="14"/>
      <c r="V37" s="3"/>
      <c r="W37" s="3"/>
      <c r="X37" s="3"/>
    </row>
  </sheetData>
  <mergeCells count="9">
    <mergeCell ref="AB3:AD3"/>
    <mergeCell ref="R3:T3"/>
    <mergeCell ref="U3:W3"/>
    <mergeCell ref="X3:Z3"/>
    <mergeCell ref="B3:D3"/>
    <mergeCell ref="E3:G3"/>
    <mergeCell ref="H3:J3"/>
    <mergeCell ref="O3:Q3"/>
    <mergeCell ref="K3:M3"/>
  </mergeCells>
  <phoneticPr fontId="1" type="noConversion"/>
  <pageMargins left="0.75" right="0.75" top="1" bottom="1" header="0.5" footer="0.5"/>
  <pageSetup orientation="portrait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/>
  <dimension ref="A1:K17"/>
  <sheetViews>
    <sheetView workbookViewId="0">
      <selection activeCell="B17" sqref="B17:I17"/>
    </sheetView>
  </sheetViews>
  <sheetFormatPr baseColWidth="10" defaultColWidth="9.1640625" defaultRowHeight="13" x14ac:dyDescent="0.15"/>
  <cols>
    <col min="1" max="1" width="9.1640625" style="50"/>
    <col min="2" max="2" width="16" style="50" bestFit="1" customWidth="1"/>
    <col min="3" max="3" width="16.33203125" style="50" bestFit="1" customWidth="1"/>
    <col min="4" max="4" width="16.83203125" style="50" bestFit="1" customWidth="1"/>
    <col min="5" max="5" width="15.6640625" style="50" bestFit="1" customWidth="1"/>
    <col min="6" max="6" width="13.83203125" style="50" bestFit="1" customWidth="1"/>
    <col min="7" max="7" width="21.83203125" style="50" bestFit="1" customWidth="1"/>
    <col min="8" max="8" width="14.1640625" style="50" bestFit="1" customWidth="1"/>
    <col min="9" max="9" width="13.5" style="50" bestFit="1" customWidth="1"/>
    <col min="10" max="16384" width="9.1640625" style="50"/>
  </cols>
  <sheetData>
    <row r="1" spans="1:11" s="43" customFormat="1" x14ac:dyDescent="0.15">
      <c r="B1" s="44" t="s">
        <v>10</v>
      </c>
      <c r="C1" s="44" t="s">
        <v>11</v>
      </c>
      <c r="D1" s="44" t="s">
        <v>12</v>
      </c>
      <c r="E1" s="44" t="s">
        <v>13</v>
      </c>
      <c r="F1" s="44" t="s">
        <v>4</v>
      </c>
      <c r="G1" s="44" t="s">
        <v>3</v>
      </c>
      <c r="H1" s="44" t="s">
        <v>6</v>
      </c>
      <c r="I1" s="44" t="s">
        <v>7</v>
      </c>
      <c r="J1" s="44"/>
      <c r="K1" s="44"/>
    </row>
    <row r="2" spans="1:11" s="45" customFormat="1" x14ac:dyDescent="0.15">
      <c r="B2" s="46" t="s">
        <v>2</v>
      </c>
      <c r="C2" s="46" t="s">
        <v>2</v>
      </c>
      <c r="D2" s="46" t="s">
        <v>2</v>
      </c>
      <c r="E2" s="46" t="s">
        <v>2</v>
      </c>
      <c r="F2" s="46" t="s">
        <v>2</v>
      </c>
      <c r="G2" s="46" t="s">
        <v>2</v>
      </c>
      <c r="H2" s="46" t="s">
        <v>2</v>
      </c>
      <c r="I2" s="46" t="s">
        <v>2</v>
      </c>
      <c r="J2" s="47"/>
      <c r="K2" s="47"/>
    </row>
    <row r="3" spans="1:11" x14ac:dyDescent="0.15">
      <c r="A3" s="48">
        <v>42675</v>
      </c>
      <c r="B3" s="49">
        <f>November!D35</f>
        <v>725.44099999999992</v>
      </c>
      <c r="C3" s="49">
        <f>November!G35</f>
        <v>239.45999999999992</v>
      </c>
      <c r="D3" s="49">
        <f>November!J35</f>
        <v>720.86669999999992</v>
      </c>
      <c r="E3" s="49">
        <f>November!M35</f>
        <v>205.56684694999996</v>
      </c>
      <c r="F3" s="49">
        <f>November!Q35</f>
        <v>478.26301999999998</v>
      </c>
      <c r="G3" s="49">
        <f>November!T35</f>
        <v>489.60359999999991</v>
      </c>
      <c r="H3" s="49">
        <f>November!W35</f>
        <v>0</v>
      </c>
      <c r="I3" s="49">
        <f>November!Z35</f>
        <v>13.873330000000017</v>
      </c>
    </row>
    <row r="4" spans="1:11" x14ac:dyDescent="0.15">
      <c r="A4" s="48">
        <v>42705</v>
      </c>
      <c r="B4" s="49">
        <f>December!D36</f>
        <v>0</v>
      </c>
      <c r="C4" s="49">
        <f>December!G36</f>
        <v>9.2099999999999991</v>
      </c>
      <c r="D4" s="49">
        <f>December!J36</f>
        <v>0</v>
      </c>
      <c r="E4" s="49">
        <f>December!M36</f>
        <v>12.976874649999999</v>
      </c>
      <c r="F4" s="49">
        <f>December!Q36</f>
        <v>1155.71378</v>
      </c>
      <c r="G4" s="49">
        <f>December!T36</f>
        <v>1193.6344199999999</v>
      </c>
      <c r="H4" s="49">
        <f>December!W36</f>
        <v>0</v>
      </c>
      <c r="I4" s="49">
        <f>December!Z36</f>
        <v>38.058789999999995</v>
      </c>
    </row>
    <row r="5" spans="1:11" x14ac:dyDescent="0.15">
      <c r="A5" s="48">
        <v>42736</v>
      </c>
      <c r="B5" s="49">
        <f>January!D36</f>
        <v>0</v>
      </c>
      <c r="C5" s="49">
        <f>January!G36</f>
        <v>0</v>
      </c>
      <c r="D5" s="49">
        <f>January!J36</f>
        <v>6.0785999999999998</v>
      </c>
      <c r="E5" s="49">
        <f>January!M36</f>
        <v>0.50383918999999988</v>
      </c>
      <c r="F5" s="49">
        <f>January!Q36</f>
        <v>1124.5010900000002</v>
      </c>
      <c r="G5" s="49">
        <f>January!T36</f>
        <v>1160.9512</v>
      </c>
      <c r="H5" s="49">
        <f>January!W36</f>
        <v>0</v>
      </c>
      <c r="I5" s="49">
        <f>January!Z36</f>
        <v>36.450110000000009</v>
      </c>
    </row>
    <row r="6" spans="1:11" x14ac:dyDescent="0.15">
      <c r="A6" s="48">
        <v>42767</v>
      </c>
      <c r="B6" s="49">
        <f>February!D34</f>
        <v>0</v>
      </c>
      <c r="C6" s="49">
        <f>February!G34</f>
        <v>0</v>
      </c>
      <c r="D6" s="49">
        <f>February!J34</f>
        <v>0</v>
      </c>
      <c r="E6" s="49">
        <f>February!M34</f>
        <v>2.1170566499999999</v>
      </c>
      <c r="F6" s="49">
        <f>February!Q34</f>
        <v>1022.9700499999999</v>
      </c>
      <c r="G6" s="49">
        <f>February!T34</f>
        <v>1053.6086500000001</v>
      </c>
      <c r="H6" s="49">
        <f>February!W34</f>
        <v>0</v>
      </c>
      <c r="I6" s="49">
        <f>February!Z34</f>
        <v>30.864244999999986</v>
      </c>
    </row>
    <row r="7" spans="1:11" x14ac:dyDescent="0.15">
      <c r="A7" s="48">
        <v>42795</v>
      </c>
      <c r="B7" s="49">
        <f>March!D36</f>
        <v>199.14844400000169</v>
      </c>
      <c r="C7" s="49">
        <f>March!G36</f>
        <v>153.49999999999997</v>
      </c>
      <c r="D7" s="49">
        <f>March!J36</f>
        <v>184.5684</v>
      </c>
      <c r="E7" s="49">
        <f>March!M36</f>
        <v>126.19646994</v>
      </c>
      <c r="F7" s="49">
        <f>March!Q36</f>
        <v>1062.4840199999999</v>
      </c>
      <c r="G7" s="49">
        <f>March!T36</f>
        <v>1083.5718499999996</v>
      </c>
      <c r="H7" s="49">
        <f>March!W36</f>
        <v>1.0407299999999999</v>
      </c>
      <c r="I7" s="49">
        <f>March!Z36</f>
        <v>22.12856</v>
      </c>
    </row>
    <row r="8" spans="1:11" x14ac:dyDescent="0.15">
      <c r="A8" s="48">
        <v>42826</v>
      </c>
      <c r="B8" s="49">
        <f>April!D35</f>
        <v>1447.1980000000008</v>
      </c>
      <c r="C8" s="49">
        <f>April!G35</f>
        <v>828.89999999999952</v>
      </c>
      <c r="D8" s="49">
        <f>April!J35</f>
        <v>793.34939999999995</v>
      </c>
      <c r="E8" s="49">
        <f>April!M35</f>
        <v>131.92446365999999</v>
      </c>
      <c r="F8" s="49">
        <f>April!Q35</f>
        <v>0</v>
      </c>
      <c r="G8" s="49">
        <f>April!T35</f>
        <v>0</v>
      </c>
      <c r="H8" s="49">
        <f>April!W35</f>
        <v>828.89999999999952</v>
      </c>
      <c r="I8" s="49">
        <f>April!Z35</f>
        <v>0</v>
      </c>
    </row>
    <row r="9" spans="1:11" x14ac:dyDescent="0.15">
      <c r="A9" s="48">
        <v>42856</v>
      </c>
      <c r="B9" s="49">
        <f>May!D36</f>
        <v>1591.7949999999985</v>
      </c>
      <c r="C9" s="49">
        <f>May!G36</f>
        <v>1062.22</v>
      </c>
      <c r="D9" s="49">
        <f>May!J36</f>
        <v>715.30999999999983</v>
      </c>
      <c r="E9" s="49">
        <f>May!M36</f>
        <v>148.00770246000002</v>
      </c>
      <c r="F9" s="49">
        <f>May!Q36</f>
        <v>142.82344871999999</v>
      </c>
      <c r="G9" s="49">
        <f>May!T36</f>
        <v>159.7321</v>
      </c>
      <c r="H9" s="49">
        <f>May!W36</f>
        <v>1062.22</v>
      </c>
      <c r="I9" s="49">
        <f>May!Z36</f>
        <v>1.9977042599999997</v>
      </c>
    </row>
    <row r="10" spans="1:11" x14ac:dyDescent="0.15">
      <c r="A10" s="48">
        <v>42887</v>
      </c>
      <c r="B10" s="49">
        <f>June!D35</f>
        <v>2194.4360000000006</v>
      </c>
      <c r="C10" s="49">
        <f>June!G35</f>
        <v>1703.93289</v>
      </c>
      <c r="D10" s="49">
        <f>June!J35</f>
        <v>506.3350999999999</v>
      </c>
      <c r="E10" s="49">
        <f>June!M35</f>
        <v>199.22106484999998</v>
      </c>
      <c r="F10" s="49">
        <f>June!Q35</f>
        <v>715.16877999999997</v>
      </c>
      <c r="G10" s="49">
        <f>June!T35</f>
        <v>739.93139999999994</v>
      </c>
      <c r="H10" s="49">
        <f>June!W35</f>
        <v>208.67711</v>
      </c>
      <c r="I10" s="49">
        <f>June!Z35</f>
        <v>24.302119999999999</v>
      </c>
    </row>
    <row r="11" spans="1:11" x14ac:dyDescent="0.15">
      <c r="A11" s="48">
        <v>42917</v>
      </c>
      <c r="B11" s="49">
        <f>July!D36</f>
        <v>2602.4389999999994</v>
      </c>
      <c r="C11" s="49">
        <f>June!G35</f>
        <v>1703.93289</v>
      </c>
      <c r="D11" s="49">
        <f>July!J36</f>
        <v>1816.3347999999994</v>
      </c>
      <c r="E11" s="49">
        <f>July!M36</f>
        <v>235.00655362000006</v>
      </c>
      <c r="F11" s="49">
        <f>July!Q36</f>
        <v>1047.2384000000002</v>
      </c>
      <c r="G11" s="49">
        <f>July!T36</f>
        <v>1078.8440499999999</v>
      </c>
      <c r="H11" s="49">
        <f>July!W36</f>
        <v>329.66887999999994</v>
      </c>
      <c r="I11" s="49">
        <f>July!Z36</f>
        <v>31.022349999999999</v>
      </c>
    </row>
    <row r="12" spans="1:11" x14ac:dyDescent="0.15">
      <c r="A12" s="48">
        <v>42948</v>
      </c>
      <c r="B12" s="49">
        <f>August!D36</f>
        <v>1928.5740000000021</v>
      </c>
      <c r="C12" s="49">
        <f>August!G36</f>
        <v>126.87081999999997</v>
      </c>
      <c r="D12" s="49">
        <f>August!J36</f>
        <v>1769.5172999999995</v>
      </c>
      <c r="E12" s="49">
        <f>August!M36</f>
        <v>172.14441085999999</v>
      </c>
      <c r="F12" s="49">
        <f>August!Q36</f>
        <v>1007.0213999999997</v>
      </c>
      <c r="G12" s="49">
        <f>August!T36</f>
        <v>1040.9049899999998</v>
      </c>
      <c r="H12" s="49">
        <f>August!W36</f>
        <v>570.44590999999991</v>
      </c>
      <c r="I12" s="49">
        <f>August!Z36</f>
        <v>33.321779999999997</v>
      </c>
    </row>
    <row r="13" spans="1:11" x14ac:dyDescent="0.15">
      <c r="A13" s="48">
        <v>42979</v>
      </c>
      <c r="B13" s="49">
        <f>September!D35</f>
        <v>2196.5849999999996</v>
      </c>
      <c r="C13" s="49">
        <f>September!G35</f>
        <v>1025.3800000000001</v>
      </c>
      <c r="D13" s="49">
        <f>September!J35</f>
        <v>1368.3297</v>
      </c>
      <c r="E13" s="49">
        <f>September!M35</f>
        <v>190.10629931999998</v>
      </c>
      <c r="F13" s="49">
        <f>September!Q35</f>
        <v>618.43615</v>
      </c>
      <c r="G13" s="49">
        <f>September!T35</f>
        <v>632.14062999999987</v>
      </c>
      <c r="H13" s="49">
        <f>September!W35</f>
        <v>425.02308000000005</v>
      </c>
      <c r="I13" s="49">
        <f>September!Z35</f>
        <v>13.351430000000011</v>
      </c>
    </row>
    <row r="14" spans="1:11" x14ac:dyDescent="0.15">
      <c r="A14" s="48">
        <v>43009</v>
      </c>
      <c r="B14" s="49">
        <f>October!D36</f>
        <v>1338.5199999999998</v>
      </c>
      <c r="C14" s="49">
        <f>October!G36</f>
        <v>804.34000000000015</v>
      </c>
      <c r="D14" s="49">
        <f>October!J36</f>
        <v>671.25549999999998</v>
      </c>
      <c r="E14" s="49">
        <f>October!M36</f>
        <v>122.04896133999999</v>
      </c>
      <c r="F14" s="49">
        <f>October!Q36</f>
        <v>0</v>
      </c>
      <c r="G14" s="49">
        <f>October!T36</f>
        <v>0</v>
      </c>
      <c r="H14" s="49">
        <f>October!W36</f>
        <v>511.24095999999997</v>
      </c>
      <c r="I14" s="49">
        <f>October!Z36</f>
        <v>0</v>
      </c>
    </row>
    <row r="15" spans="1:11" x14ac:dyDescent="0.15">
      <c r="A15" s="48">
        <v>43040</v>
      </c>
      <c r="B15" s="49">
        <v>970.11999999999989</v>
      </c>
      <c r="C15" s="49">
        <v>282.44</v>
      </c>
      <c r="D15" s="49">
        <v>792.76610000000005</v>
      </c>
      <c r="E15" s="49">
        <v>9.5784959374999978</v>
      </c>
      <c r="F15" s="49">
        <v>182.87682999999998</v>
      </c>
      <c r="G15" s="49">
        <v>187.38359</v>
      </c>
      <c r="H15" s="49">
        <v>50.762449999999994</v>
      </c>
      <c r="I15" s="49">
        <v>6.5083999999999911</v>
      </c>
    </row>
    <row r="16" spans="1:11" x14ac:dyDescent="0.15">
      <c r="A16" s="48">
        <v>43070</v>
      </c>
      <c r="B16" s="49">
        <v>0</v>
      </c>
      <c r="C16" s="49">
        <v>67.539999999999992</v>
      </c>
      <c r="D16" s="49">
        <v>65.759399999999999</v>
      </c>
      <c r="E16" s="49">
        <v>7.2082679000000001</v>
      </c>
      <c r="F16" s="49">
        <v>1186.7330599999996</v>
      </c>
      <c r="G16" s="49">
        <v>1211.35139</v>
      </c>
      <c r="H16" s="49">
        <v>0</v>
      </c>
      <c r="I16" s="49">
        <v>23.970559999999995</v>
      </c>
    </row>
    <row r="17" spans="1:9" x14ac:dyDescent="0.15">
      <c r="A17" s="51" t="s">
        <v>14</v>
      </c>
      <c r="B17" s="49">
        <f>SUM(B5:B16)</f>
        <v>14468.815444000003</v>
      </c>
      <c r="C17" s="49">
        <f t="shared" ref="C17:I17" si="0">SUM(C5:C16)</f>
        <v>7759.056599999999</v>
      </c>
      <c r="D17" s="49">
        <f t="shared" si="0"/>
        <v>8689.6043000000009</v>
      </c>
      <c r="E17" s="49">
        <f t="shared" si="0"/>
        <v>1344.0635857275001</v>
      </c>
      <c r="F17" s="49">
        <f t="shared" si="0"/>
        <v>8110.2532287199992</v>
      </c>
      <c r="G17" s="49">
        <f t="shared" si="0"/>
        <v>8348.4198500000002</v>
      </c>
      <c r="H17" s="49">
        <f t="shared" si="0"/>
        <v>3987.9791199999995</v>
      </c>
      <c r="I17" s="49">
        <f t="shared" si="0"/>
        <v>223.91725926000001</v>
      </c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69E3D5A97D13E42A3FA97F9F6490356" ma:contentTypeVersion="7" ma:contentTypeDescription="Create a new document." ma:contentTypeScope="" ma:versionID="28c826bd0c557c42625fe5e73ffe2532">
  <xsd:schema xmlns:xsd="http://www.w3.org/2001/XMLSchema" xmlns:xs="http://www.w3.org/2001/XMLSchema" xmlns:p="http://schemas.microsoft.com/office/2006/metadata/properties" xmlns:ns2="c3ceea8c-8d7b-4050-a6dd-ca802b319f33" targetNamespace="http://schemas.microsoft.com/office/2006/metadata/properties" ma:root="true" ma:fieldsID="11134dd55bc57a9ac07ab25088c1a3a5" ns2:_="">
    <xsd:import namespace="c3ceea8c-8d7b-4050-a6dd-ca802b319f3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3ceea8c-8d7b-4050-a6dd-ca802b319f3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B754E091-16A3-4514-8FAF-89F6A02D8F8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CEDE869F-3926-4080-8E99-31F9645B00E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3ceea8c-8d7b-4050-a6dd-ca802b319f3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EC9A0EC0-8336-4B63-AD50-E819C7987E32}">
  <ds:schemaRefs>
    <ds:schemaRef ds:uri="http://schemas.microsoft.com/office/2006/metadata/properties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12</vt:i4>
      </vt:variant>
    </vt:vector>
  </HeadingPairs>
  <TitlesOfParts>
    <vt:vector size="25" baseType="lpstr">
      <vt:lpstr>November</vt:lpstr>
      <vt:lpstr>December</vt:lpstr>
      <vt:lpstr>January</vt:lpstr>
      <vt:lpstr>February</vt:lpstr>
      <vt:lpstr>March</vt:lpstr>
      <vt:lpstr>April</vt:lpstr>
      <vt:lpstr>May</vt:lpstr>
      <vt:lpstr>June</vt:lpstr>
      <vt:lpstr>July</vt:lpstr>
      <vt:lpstr>August</vt:lpstr>
      <vt:lpstr>September</vt:lpstr>
      <vt:lpstr>October</vt:lpstr>
      <vt:lpstr>Summary</vt:lpstr>
      <vt:lpstr>February!Print_Area</vt:lpstr>
      <vt:lpstr>May!Print_Area</vt:lpstr>
      <vt:lpstr>November!Print_Area</vt:lpstr>
      <vt:lpstr>April!Print_Titles</vt:lpstr>
      <vt:lpstr>August!Print_Titles</vt:lpstr>
      <vt:lpstr>February!Print_Titles</vt:lpstr>
      <vt:lpstr>January!Print_Titles</vt:lpstr>
      <vt:lpstr>July!Print_Titles</vt:lpstr>
      <vt:lpstr>June!Print_Titles</vt:lpstr>
      <vt:lpstr>March!Print_Titles</vt:lpstr>
      <vt:lpstr>May!Print_Titles</vt:lpstr>
      <vt:lpstr>September!Print_Titles</vt:lpstr>
    </vt:vector>
  </TitlesOfParts>
  <Company>City of Thornton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mpacheco</dc:creator>
  <cp:lastModifiedBy>Microsoft Office User</cp:lastModifiedBy>
  <cp:lastPrinted>2017-06-20T17:00:43Z</cp:lastPrinted>
  <dcterms:created xsi:type="dcterms:W3CDTF">2004-01-27T20:05:57Z</dcterms:created>
  <dcterms:modified xsi:type="dcterms:W3CDTF">2020-12-24T16:39:11Z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0x010100C69E3D5A97D13E42A3FA97F9F6490356</vt:lpwstr>
  </property>
</Properties>
</file>