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1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0.xml" ContentType="application/vnd.openxmlformats-officedocument.spreadsheetml.externalLink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comments1.xml" ContentType="application/vnd.openxmlformats-officedocument.spreadsheetml.comments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1.xml" ContentType="application/vnd.openxmlformats-officedocument.spreadsheetml.externalLink+xml"/>
  <Override PartName="/docProps/app.xml" ContentType="application/vnd.openxmlformats-officedocument.extended-properties+xml"/>
  <Override PartName="/docProps/core.xml" ContentType="application/vnd.openxmlformats-package.core-properties+xml"/>
  <Override PartName="/xl/calcChain.xml" ContentType="application/vnd.openxmlformats-officedocument.spreadsheetml.calcChain+xml"/>
  <Override PartName="/xl/externalLinks/externalLink9.xml" ContentType="application/vnd.openxmlformats-officedocument.spreadsheetml.externalLink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S:\ID\WR\Accounting\WY2015\Production\"/>
    </mc:Choice>
  </mc:AlternateContent>
  <bookViews>
    <workbookView xWindow="11352" yWindow="120" windowWidth="16740" windowHeight="11520" tabRatio="706" firstSheet="1" activeTab="12"/>
  </bookViews>
  <sheets>
    <sheet name="November" sheetId="14" r:id="rId1"/>
    <sheet name="December" sheetId="13" r:id="rId2"/>
    <sheet name="January" sheetId="1" r:id="rId3"/>
    <sheet name="February" sheetId="4" r:id="rId4"/>
    <sheet name="March" sheetId="6" r:id="rId5"/>
    <sheet name="April" sheetId="7" r:id="rId6"/>
    <sheet name="May" sheetId="8" r:id="rId7"/>
    <sheet name="June" sheetId="9" r:id="rId8"/>
    <sheet name="July" sheetId="16" r:id="rId9"/>
    <sheet name="August" sheetId="11" r:id="rId10"/>
    <sheet name="September" sheetId="12" r:id="rId11"/>
    <sheet name="October" sheetId="5" r:id="rId12"/>
    <sheet name="Summary" sheetId="15" r:id="rId13"/>
  </sheets>
  <externalReferences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</externalReferences>
  <definedNames>
    <definedName name="_xlnm._FilterDatabase" localSheetId="10" hidden="1">September!$AC$1:$AC$38</definedName>
    <definedName name="_xlnm.Print_Area" localSheetId="3">February!$A$1:$M$34</definedName>
    <definedName name="_xlnm.Print_Area" localSheetId="6">May!$A$1:$Z$36</definedName>
    <definedName name="_xlnm.Print_Area" localSheetId="0">November!$O$1:$AD$36</definedName>
    <definedName name="_xlnm.Print_Titles" localSheetId="5">April!$A:$A</definedName>
    <definedName name="_xlnm.Print_Titles" localSheetId="9">August!$A:$A</definedName>
    <definedName name="_xlnm.Print_Titles" localSheetId="3">February!$A:$A</definedName>
    <definedName name="_xlnm.Print_Titles" localSheetId="2">January!$A:$A</definedName>
    <definedName name="_xlnm.Print_Titles" localSheetId="8">July!$A:$A</definedName>
    <definedName name="_xlnm.Print_Titles" localSheetId="7">June!$A:$A</definedName>
    <definedName name="_xlnm.Print_Titles" localSheetId="4">March!$A:$A</definedName>
    <definedName name="_xlnm.Print_Titles" localSheetId="6">May!$A:$A</definedName>
    <definedName name="_xlnm.Print_Titles" localSheetId="10">September!$A:$A</definedName>
  </definedNames>
  <calcPr calcId="162913"/>
</workbook>
</file>

<file path=xl/calcChain.xml><?xml version="1.0" encoding="utf-8"?>
<calcChain xmlns="http://schemas.openxmlformats.org/spreadsheetml/2006/main">
  <c r="I16" i="15" l="1"/>
  <c r="H16" i="15"/>
  <c r="G16" i="15"/>
  <c r="F16" i="15"/>
  <c r="E16" i="15"/>
  <c r="D16" i="15"/>
  <c r="C16" i="15"/>
  <c r="I15" i="15"/>
  <c r="H15" i="15"/>
  <c r="G15" i="15"/>
  <c r="F15" i="15"/>
  <c r="E15" i="15"/>
  <c r="D15" i="15"/>
  <c r="C15" i="15"/>
  <c r="B16" i="15"/>
  <c r="B15" i="15"/>
  <c r="X35" i="5" l="1"/>
  <c r="U35" i="5"/>
  <c r="R35" i="5"/>
  <c r="O35" i="5"/>
  <c r="X34" i="5"/>
  <c r="U34" i="5"/>
  <c r="R34" i="5"/>
  <c r="O34" i="5"/>
  <c r="X33" i="5"/>
  <c r="U33" i="5"/>
  <c r="R33" i="5"/>
  <c r="O33" i="5"/>
  <c r="X32" i="5"/>
  <c r="U32" i="5"/>
  <c r="R32" i="5"/>
  <c r="O32" i="5"/>
  <c r="X31" i="5"/>
  <c r="U31" i="5"/>
  <c r="R31" i="5"/>
  <c r="O31" i="5"/>
  <c r="X30" i="5"/>
  <c r="U30" i="5"/>
  <c r="R30" i="5"/>
  <c r="O30" i="5"/>
  <c r="X29" i="5"/>
  <c r="U29" i="5"/>
  <c r="R29" i="5"/>
  <c r="O29" i="5"/>
  <c r="X28" i="5"/>
  <c r="U28" i="5"/>
  <c r="R28" i="5"/>
  <c r="O28" i="5"/>
  <c r="X27" i="5"/>
  <c r="U27" i="5"/>
  <c r="R27" i="5"/>
  <c r="O27" i="5"/>
  <c r="X26" i="5"/>
  <c r="U26" i="5"/>
  <c r="R26" i="5"/>
  <c r="O26" i="5"/>
  <c r="X25" i="5"/>
  <c r="U25" i="5"/>
  <c r="R25" i="5"/>
  <c r="O25" i="5"/>
  <c r="X24" i="5"/>
  <c r="U24" i="5"/>
  <c r="R24" i="5"/>
  <c r="O24" i="5"/>
  <c r="X23" i="5"/>
  <c r="U23" i="5"/>
  <c r="R23" i="5"/>
  <c r="O23" i="5"/>
  <c r="X22" i="5"/>
  <c r="U22" i="5"/>
  <c r="R22" i="5"/>
  <c r="O22" i="5"/>
  <c r="X21" i="5"/>
  <c r="U21" i="5"/>
  <c r="R21" i="5"/>
  <c r="O21" i="5"/>
  <c r="X20" i="5"/>
  <c r="U20" i="5"/>
  <c r="R20" i="5"/>
  <c r="O20" i="5"/>
  <c r="X19" i="5"/>
  <c r="U19" i="5"/>
  <c r="R19" i="5"/>
  <c r="O19" i="5"/>
  <c r="X18" i="5"/>
  <c r="U18" i="5"/>
  <c r="R18" i="5"/>
  <c r="O18" i="5"/>
  <c r="X17" i="5"/>
  <c r="U17" i="5"/>
  <c r="R17" i="5"/>
  <c r="O17" i="5"/>
  <c r="X16" i="5"/>
  <c r="U16" i="5"/>
  <c r="R16" i="5"/>
  <c r="O16" i="5"/>
  <c r="X15" i="5"/>
  <c r="U15" i="5"/>
  <c r="R15" i="5"/>
  <c r="O15" i="5"/>
  <c r="X14" i="5"/>
  <c r="U14" i="5"/>
  <c r="R14" i="5"/>
  <c r="O14" i="5"/>
  <c r="X13" i="5"/>
  <c r="U13" i="5"/>
  <c r="R13" i="5"/>
  <c r="O13" i="5"/>
  <c r="X12" i="5"/>
  <c r="U12" i="5"/>
  <c r="R12" i="5"/>
  <c r="O12" i="5"/>
  <c r="X11" i="5"/>
  <c r="U11" i="5"/>
  <c r="R11" i="5"/>
  <c r="O11" i="5"/>
  <c r="X10" i="5"/>
  <c r="U10" i="5"/>
  <c r="R10" i="5"/>
  <c r="O10" i="5"/>
  <c r="X9" i="5"/>
  <c r="U9" i="5"/>
  <c r="R9" i="5"/>
  <c r="O9" i="5"/>
  <c r="X8" i="5"/>
  <c r="U8" i="5"/>
  <c r="R8" i="5"/>
  <c r="O8" i="5"/>
  <c r="X7" i="5"/>
  <c r="U7" i="5"/>
  <c r="R7" i="5"/>
  <c r="O7" i="5"/>
  <c r="X6" i="5"/>
  <c r="U6" i="5"/>
  <c r="R6" i="5"/>
  <c r="O6" i="5"/>
  <c r="X5" i="5"/>
  <c r="U5" i="5"/>
  <c r="R5" i="5"/>
  <c r="O5" i="5"/>
  <c r="K35" i="5"/>
  <c r="H35" i="5"/>
  <c r="E35" i="5"/>
  <c r="B35" i="5"/>
  <c r="K34" i="5"/>
  <c r="H34" i="5"/>
  <c r="E34" i="5"/>
  <c r="B34" i="5"/>
  <c r="K33" i="5"/>
  <c r="H33" i="5"/>
  <c r="E33" i="5"/>
  <c r="B33" i="5"/>
  <c r="K32" i="5"/>
  <c r="H32" i="5"/>
  <c r="E32" i="5"/>
  <c r="B32" i="5"/>
  <c r="K31" i="5"/>
  <c r="H31" i="5"/>
  <c r="E31" i="5"/>
  <c r="B31" i="5"/>
  <c r="K30" i="5"/>
  <c r="H30" i="5"/>
  <c r="E30" i="5"/>
  <c r="B30" i="5"/>
  <c r="K29" i="5"/>
  <c r="H29" i="5"/>
  <c r="E29" i="5"/>
  <c r="B29" i="5"/>
  <c r="K28" i="5"/>
  <c r="H28" i="5"/>
  <c r="E28" i="5"/>
  <c r="B28" i="5"/>
  <c r="K27" i="5"/>
  <c r="H27" i="5"/>
  <c r="E27" i="5"/>
  <c r="B27" i="5"/>
  <c r="K26" i="5"/>
  <c r="H26" i="5"/>
  <c r="E26" i="5"/>
  <c r="B26" i="5"/>
  <c r="K25" i="5"/>
  <c r="H25" i="5"/>
  <c r="E25" i="5"/>
  <c r="B25" i="5"/>
  <c r="K24" i="5"/>
  <c r="H24" i="5"/>
  <c r="E24" i="5"/>
  <c r="B24" i="5"/>
  <c r="K23" i="5"/>
  <c r="H23" i="5"/>
  <c r="E23" i="5"/>
  <c r="B23" i="5"/>
  <c r="K22" i="5"/>
  <c r="H22" i="5"/>
  <c r="E22" i="5"/>
  <c r="B22" i="5"/>
  <c r="K21" i="5"/>
  <c r="H21" i="5"/>
  <c r="E21" i="5"/>
  <c r="B21" i="5"/>
  <c r="K20" i="5"/>
  <c r="H20" i="5"/>
  <c r="E20" i="5"/>
  <c r="B20" i="5"/>
  <c r="K19" i="5"/>
  <c r="H19" i="5"/>
  <c r="E19" i="5"/>
  <c r="B19" i="5"/>
  <c r="K18" i="5"/>
  <c r="H18" i="5"/>
  <c r="E18" i="5"/>
  <c r="B18" i="5"/>
  <c r="K17" i="5"/>
  <c r="H17" i="5"/>
  <c r="E17" i="5"/>
  <c r="B17" i="5"/>
  <c r="K16" i="5"/>
  <c r="H16" i="5"/>
  <c r="E16" i="5"/>
  <c r="B16" i="5"/>
  <c r="K15" i="5"/>
  <c r="H15" i="5"/>
  <c r="E15" i="5"/>
  <c r="B15" i="5"/>
  <c r="K14" i="5"/>
  <c r="H14" i="5"/>
  <c r="E14" i="5"/>
  <c r="B14" i="5"/>
  <c r="K13" i="5"/>
  <c r="H13" i="5"/>
  <c r="E13" i="5"/>
  <c r="B13" i="5"/>
  <c r="K12" i="5"/>
  <c r="H12" i="5"/>
  <c r="E12" i="5"/>
  <c r="B12" i="5"/>
  <c r="K11" i="5"/>
  <c r="H11" i="5"/>
  <c r="E11" i="5"/>
  <c r="B11" i="5"/>
  <c r="K10" i="5"/>
  <c r="H10" i="5"/>
  <c r="E10" i="5"/>
  <c r="B10" i="5"/>
  <c r="K9" i="5"/>
  <c r="H9" i="5"/>
  <c r="E9" i="5"/>
  <c r="B9" i="5"/>
  <c r="K8" i="5"/>
  <c r="H8" i="5"/>
  <c r="E8" i="5"/>
  <c r="B8" i="5"/>
  <c r="K7" i="5"/>
  <c r="H7" i="5"/>
  <c r="E7" i="5"/>
  <c r="B7" i="5"/>
  <c r="K6" i="5"/>
  <c r="H6" i="5"/>
  <c r="E6" i="5"/>
  <c r="B6" i="5"/>
  <c r="K5" i="5"/>
  <c r="H5" i="5"/>
  <c r="E5" i="5"/>
  <c r="B5" i="5"/>
  <c r="X34" i="12"/>
  <c r="U34" i="12"/>
  <c r="R34" i="12"/>
  <c r="O34" i="12"/>
  <c r="X33" i="12"/>
  <c r="U33" i="12"/>
  <c r="R33" i="12"/>
  <c r="O33" i="12"/>
  <c r="X32" i="12"/>
  <c r="U32" i="12"/>
  <c r="R32" i="12"/>
  <c r="O32" i="12"/>
  <c r="X31" i="12"/>
  <c r="U31" i="12"/>
  <c r="R31" i="12"/>
  <c r="O31" i="12"/>
  <c r="X30" i="12"/>
  <c r="U30" i="12"/>
  <c r="R30" i="12"/>
  <c r="O30" i="12"/>
  <c r="X29" i="12"/>
  <c r="U29" i="12"/>
  <c r="R29" i="12"/>
  <c r="O29" i="12"/>
  <c r="X28" i="12"/>
  <c r="U28" i="12"/>
  <c r="R28" i="12"/>
  <c r="O28" i="12"/>
  <c r="X27" i="12"/>
  <c r="U27" i="12"/>
  <c r="R27" i="12"/>
  <c r="O27" i="12"/>
  <c r="X26" i="12"/>
  <c r="U26" i="12"/>
  <c r="R26" i="12"/>
  <c r="O26" i="12"/>
  <c r="X25" i="12"/>
  <c r="U25" i="12"/>
  <c r="R25" i="12"/>
  <c r="O25" i="12"/>
  <c r="X24" i="12"/>
  <c r="U24" i="12"/>
  <c r="R24" i="12"/>
  <c r="O24" i="12"/>
  <c r="X23" i="12"/>
  <c r="U23" i="12"/>
  <c r="R23" i="12"/>
  <c r="O23" i="12"/>
  <c r="X22" i="12"/>
  <c r="U22" i="12"/>
  <c r="R22" i="12"/>
  <c r="O22" i="12"/>
  <c r="X21" i="12"/>
  <c r="U21" i="12"/>
  <c r="R21" i="12"/>
  <c r="O21" i="12"/>
  <c r="X20" i="12"/>
  <c r="U20" i="12"/>
  <c r="R20" i="12"/>
  <c r="O20" i="12"/>
  <c r="X19" i="12"/>
  <c r="U19" i="12"/>
  <c r="R19" i="12"/>
  <c r="O19" i="12"/>
  <c r="X18" i="12"/>
  <c r="U18" i="12"/>
  <c r="R18" i="12"/>
  <c r="O18" i="12"/>
  <c r="X17" i="12"/>
  <c r="U17" i="12"/>
  <c r="R17" i="12"/>
  <c r="O17" i="12"/>
  <c r="X16" i="12"/>
  <c r="U16" i="12"/>
  <c r="R16" i="12"/>
  <c r="O16" i="12"/>
  <c r="X15" i="12"/>
  <c r="U15" i="12"/>
  <c r="R15" i="12"/>
  <c r="O15" i="12"/>
  <c r="X14" i="12"/>
  <c r="U14" i="12"/>
  <c r="R14" i="12"/>
  <c r="O14" i="12"/>
  <c r="X13" i="12"/>
  <c r="U13" i="12"/>
  <c r="R13" i="12"/>
  <c r="O13" i="12"/>
  <c r="X12" i="12"/>
  <c r="U12" i="12"/>
  <c r="R12" i="12"/>
  <c r="O12" i="12"/>
  <c r="X11" i="12"/>
  <c r="U11" i="12"/>
  <c r="R11" i="12"/>
  <c r="O11" i="12"/>
  <c r="X10" i="12"/>
  <c r="U10" i="12"/>
  <c r="R10" i="12"/>
  <c r="O10" i="12"/>
  <c r="X9" i="12"/>
  <c r="U9" i="12"/>
  <c r="R9" i="12"/>
  <c r="O9" i="12"/>
  <c r="X8" i="12"/>
  <c r="U8" i="12"/>
  <c r="R8" i="12"/>
  <c r="O8" i="12"/>
  <c r="X7" i="12"/>
  <c r="U7" i="12"/>
  <c r="R7" i="12"/>
  <c r="O7" i="12"/>
  <c r="X6" i="12"/>
  <c r="U6" i="12"/>
  <c r="R6" i="12"/>
  <c r="O6" i="12"/>
  <c r="X5" i="12"/>
  <c r="U5" i="12"/>
  <c r="R5" i="12"/>
  <c r="O5" i="12"/>
  <c r="K34" i="12"/>
  <c r="H34" i="12"/>
  <c r="E34" i="12"/>
  <c r="B34" i="12"/>
  <c r="K33" i="12"/>
  <c r="H33" i="12"/>
  <c r="E33" i="12"/>
  <c r="B33" i="12"/>
  <c r="K32" i="12"/>
  <c r="H32" i="12"/>
  <c r="E32" i="12"/>
  <c r="B32" i="12"/>
  <c r="K31" i="12"/>
  <c r="H31" i="12"/>
  <c r="E31" i="12"/>
  <c r="B31" i="12"/>
  <c r="K30" i="12"/>
  <c r="H30" i="12"/>
  <c r="E30" i="12"/>
  <c r="B30" i="12"/>
  <c r="K29" i="12"/>
  <c r="H29" i="12"/>
  <c r="E29" i="12"/>
  <c r="B29" i="12"/>
  <c r="K28" i="12"/>
  <c r="H28" i="12"/>
  <c r="E28" i="12"/>
  <c r="B28" i="12"/>
  <c r="K27" i="12"/>
  <c r="H27" i="12"/>
  <c r="E27" i="12"/>
  <c r="B27" i="12"/>
  <c r="K26" i="12"/>
  <c r="H26" i="12"/>
  <c r="E26" i="12"/>
  <c r="B26" i="12"/>
  <c r="K25" i="12"/>
  <c r="H25" i="12"/>
  <c r="E25" i="12"/>
  <c r="B25" i="12"/>
  <c r="K24" i="12"/>
  <c r="H24" i="12"/>
  <c r="E24" i="12"/>
  <c r="B24" i="12"/>
  <c r="K23" i="12"/>
  <c r="H23" i="12"/>
  <c r="E23" i="12"/>
  <c r="B23" i="12"/>
  <c r="K22" i="12"/>
  <c r="H22" i="12"/>
  <c r="E22" i="12"/>
  <c r="B22" i="12"/>
  <c r="K21" i="12"/>
  <c r="H21" i="12"/>
  <c r="E21" i="12"/>
  <c r="B21" i="12"/>
  <c r="K20" i="12"/>
  <c r="H20" i="12"/>
  <c r="E20" i="12"/>
  <c r="B20" i="12"/>
  <c r="K19" i="12"/>
  <c r="H19" i="12"/>
  <c r="E19" i="12"/>
  <c r="B19" i="12"/>
  <c r="K18" i="12"/>
  <c r="H18" i="12"/>
  <c r="E18" i="12"/>
  <c r="B18" i="12"/>
  <c r="K17" i="12"/>
  <c r="H17" i="12"/>
  <c r="E17" i="12"/>
  <c r="B17" i="12"/>
  <c r="K16" i="12"/>
  <c r="H16" i="12"/>
  <c r="E16" i="12"/>
  <c r="B16" i="12"/>
  <c r="K15" i="12"/>
  <c r="H15" i="12"/>
  <c r="E15" i="12"/>
  <c r="B15" i="12"/>
  <c r="K14" i="12"/>
  <c r="H14" i="12"/>
  <c r="E14" i="12"/>
  <c r="B14" i="12"/>
  <c r="K13" i="12"/>
  <c r="H13" i="12"/>
  <c r="E13" i="12"/>
  <c r="B13" i="12"/>
  <c r="K12" i="12"/>
  <c r="H12" i="12"/>
  <c r="E12" i="12"/>
  <c r="B12" i="12"/>
  <c r="K11" i="12"/>
  <c r="H11" i="12"/>
  <c r="E11" i="12"/>
  <c r="B11" i="12"/>
  <c r="K10" i="12"/>
  <c r="H10" i="12"/>
  <c r="E10" i="12"/>
  <c r="B10" i="12"/>
  <c r="K9" i="12"/>
  <c r="H9" i="12"/>
  <c r="E9" i="12"/>
  <c r="B9" i="12"/>
  <c r="K8" i="12"/>
  <c r="H8" i="12"/>
  <c r="E8" i="12"/>
  <c r="B8" i="12"/>
  <c r="K7" i="12"/>
  <c r="H7" i="12"/>
  <c r="E7" i="12"/>
  <c r="B7" i="12"/>
  <c r="K6" i="12"/>
  <c r="H6" i="12"/>
  <c r="E6" i="12"/>
  <c r="B6" i="12"/>
  <c r="K5" i="12"/>
  <c r="H5" i="12"/>
  <c r="E5" i="12"/>
  <c r="B5" i="12"/>
  <c r="X35" i="11"/>
  <c r="U35" i="11"/>
  <c r="R35" i="11"/>
  <c r="O35" i="11"/>
  <c r="X34" i="11"/>
  <c r="U34" i="11"/>
  <c r="R34" i="11"/>
  <c r="O34" i="11"/>
  <c r="X33" i="11"/>
  <c r="U33" i="11"/>
  <c r="R33" i="11"/>
  <c r="O33" i="11"/>
  <c r="X32" i="11"/>
  <c r="U32" i="11"/>
  <c r="R32" i="11"/>
  <c r="O32" i="11"/>
  <c r="X31" i="11"/>
  <c r="U31" i="11"/>
  <c r="R31" i="11"/>
  <c r="O31" i="11"/>
  <c r="X30" i="11"/>
  <c r="U30" i="11"/>
  <c r="R30" i="11"/>
  <c r="O30" i="11"/>
  <c r="X29" i="11"/>
  <c r="U29" i="11"/>
  <c r="R29" i="11"/>
  <c r="O29" i="11"/>
  <c r="X28" i="11"/>
  <c r="U28" i="11"/>
  <c r="R28" i="11"/>
  <c r="O28" i="11"/>
  <c r="X27" i="11"/>
  <c r="U27" i="11"/>
  <c r="R27" i="11"/>
  <c r="O27" i="11"/>
  <c r="X26" i="11"/>
  <c r="U26" i="11"/>
  <c r="R26" i="11"/>
  <c r="O26" i="11"/>
  <c r="X25" i="11"/>
  <c r="U25" i="11"/>
  <c r="R25" i="11"/>
  <c r="O25" i="11"/>
  <c r="X24" i="11"/>
  <c r="U24" i="11"/>
  <c r="R24" i="11"/>
  <c r="O24" i="11"/>
  <c r="X23" i="11"/>
  <c r="U23" i="11"/>
  <c r="R23" i="11"/>
  <c r="O23" i="11"/>
  <c r="X22" i="11"/>
  <c r="U22" i="11"/>
  <c r="R22" i="11"/>
  <c r="O22" i="11"/>
  <c r="X21" i="11"/>
  <c r="U21" i="11"/>
  <c r="R21" i="11"/>
  <c r="O21" i="11"/>
  <c r="X20" i="11"/>
  <c r="U20" i="11"/>
  <c r="R20" i="11"/>
  <c r="O20" i="11"/>
  <c r="X19" i="11"/>
  <c r="U19" i="11"/>
  <c r="R19" i="11"/>
  <c r="O19" i="11"/>
  <c r="X18" i="11"/>
  <c r="U18" i="11"/>
  <c r="R18" i="11"/>
  <c r="O18" i="11"/>
  <c r="X17" i="11"/>
  <c r="U17" i="11"/>
  <c r="R17" i="11"/>
  <c r="O17" i="11"/>
  <c r="X16" i="11"/>
  <c r="U16" i="11"/>
  <c r="R16" i="11"/>
  <c r="O16" i="11"/>
  <c r="X15" i="11"/>
  <c r="U15" i="11"/>
  <c r="R15" i="11"/>
  <c r="O15" i="11"/>
  <c r="X14" i="11"/>
  <c r="U14" i="11"/>
  <c r="R14" i="11"/>
  <c r="O14" i="11"/>
  <c r="X13" i="11"/>
  <c r="U13" i="11"/>
  <c r="R13" i="11"/>
  <c r="O13" i="11"/>
  <c r="X12" i="11"/>
  <c r="U12" i="11"/>
  <c r="R12" i="11"/>
  <c r="O12" i="11"/>
  <c r="X11" i="11"/>
  <c r="U11" i="11"/>
  <c r="R11" i="11"/>
  <c r="O11" i="11"/>
  <c r="X10" i="11"/>
  <c r="U10" i="11"/>
  <c r="R10" i="11"/>
  <c r="O10" i="11"/>
  <c r="X9" i="11"/>
  <c r="U9" i="11"/>
  <c r="R9" i="11"/>
  <c r="O9" i="11"/>
  <c r="X8" i="11"/>
  <c r="U8" i="11"/>
  <c r="R8" i="11"/>
  <c r="O8" i="11"/>
  <c r="X7" i="11"/>
  <c r="U7" i="11"/>
  <c r="R7" i="11"/>
  <c r="O7" i="11"/>
  <c r="X6" i="11"/>
  <c r="U6" i="11"/>
  <c r="R6" i="11"/>
  <c r="O6" i="11"/>
  <c r="X5" i="11"/>
  <c r="U5" i="11"/>
  <c r="R5" i="11"/>
  <c r="O5" i="11"/>
  <c r="K35" i="11"/>
  <c r="H35" i="11"/>
  <c r="E35" i="11"/>
  <c r="B35" i="11"/>
  <c r="K34" i="11"/>
  <c r="H34" i="11"/>
  <c r="E34" i="11"/>
  <c r="B34" i="11"/>
  <c r="K33" i="11"/>
  <c r="H33" i="11"/>
  <c r="E33" i="11"/>
  <c r="B33" i="11"/>
  <c r="K32" i="11"/>
  <c r="H32" i="11"/>
  <c r="E32" i="11"/>
  <c r="B32" i="11"/>
  <c r="K31" i="11"/>
  <c r="H31" i="11"/>
  <c r="E31" i="11"/>
  <c r="B31" i="11"/>
  <c r="K30" i="11"/>
  <c r="H30" i="11"/>
  <c r="E30" i="11"/>
  <c r="B30" i="11"/>
  <c r="K29" i="11"/>
  <c r="H29" i="11"/>
  <c r="E29" i="11"/>
  <c r="B29" i="11"/>
  <c r="K28" i="11"/>
  <c r="H28" i="11"/>
  <c r="E28" i="11"/>
  <c r="B28" i="11"/>
  <c r="K27" i="11"/>
  <c r="H27" i="11"/>
  <c r="E27" i="11"/>
  <c r="B27" i="11"/>
  <c r="K26" i="11"/>
  <c r="H26" i="11"/>
  <c r="E26" i="11"/>
  <c r="B26" i="11"/>
  <c r="K25" i="11"/>
  <c r="H25" i="11"/>
  <c r="E25" i="11"/>
  <c r="B25" i="11"/>
  <c r="K24" i="11"/>
  <c r="H24" i="11"/>
  <c r="E24" i="11"/>
  <c r="B24" i="11"/>
  <c r="K23" i="11"/>
  <c r="H23" i="11"/>
  <c r="E23" i="11"/>
  <c r="B23" i="11"/>
  <c r="K22" i="11"/>
  <c r="H22" i="11"/>
  <c r="E22" i="11"/>
  <c r="B22" i="11"/>
  <c r="K21" i="11"/>
  <c r="H21" i="11"/>
  <c r="E21" i="11"/>
  <c r="B21" i="11"/>
  <c r="K20" i="11"/>
  <c r="H20" i="11"/>
  <c r="E20" i="11"/>
  <c r="B20" i="11"/>
  <c r="K19" i="11"/>
  <c r="H19" i="11"/>
  <c r="E19" i="11"/>
  <c r="B19" i="11"/>
  <c r="K18" i="11"/>
  <c r="H18" i="11"/>
  <c r="E18" i="11"/>
  <c r="B18" i="11"/>
  <c r="K17" i="11"/>
  <c r="H17" i="11"/>
  <c r="E17" i="11"/>
  <c r="B17" i="11"/>
  <c r="K16" i="11"/>
  <c r="H16" i="11"/>
  <c r="E16" i="11"/>
  <c r="B16" i="11"/>
  <c r="K15" i="11"/>
  <c r="H15" i="11"/>
  <c r="E15" i="11"/>
  <c r="B15" i="11"/>
  <c r="K14" i="11"/>
  <c r="H14" i="11"/>
  <c r="E14" i="11"/>
  <c r="B14" i="11"/>
  <c r="K13" i="11"/>
  <c r="H13" i="11"/>
  <c r="E13" i="11"/>
  <c r="B13" i="11"/>
  <c r="K12" i="11"/>
  <c r="H12" i="11"/>
  <c r="E12" i="11"/>
  <c r="B12" i="11"/>
  <c r="K11" i="11"/>
  <c r="H11" i="11"/>
  <c r="E11" i="11"/>
  <c r="B11" i="11"/>
  <c r="K10" i="11"/>
  <c r="H10" i="11"/>
  <c r="E10" i="11"/>
  <c r="B10" i="11"/>
  <c r="K9" i="11"/>
  <c r="H9" i="11"/>
  <c r="E9" i="11"/>
  <c r="B9" i="11"/>
  <c r="K8" i="11"/>
  <c r="H8" i="11"/>
  <c r="E8" i="11"/>
  <c r="B8" i="11"/>
  <c r="K7" i="11"/>
  <c r="H7" i="11"/>
  <c r="E7" i="11"/>
  <c r="B7" i="11"/>
  <c r="K6" i="11"/>
  <c r="H6" i="11"/>
  <c r="E6" i="11"/>
  <c r="B6" i="11"/>
  <c r="K5" i="11"/>
  <c r="H5" i="11"/>
  <c r="E5" i="11"/>
  <c r="B5" i="11"/>
  <c r="B5" i="16" l="1"/>
  <c r="C5" i="16" s="1"/>
  <c r="D5" i="16" s="1"/>
  <c r="E5" i="16"/>
  <c r="F5" i="16" s="1"/>
  <c r="G5" i="16" s="1"/>
  <c r="H5" i="16"/>
  <c r="I5" i="16" s="1"/>
  <c r="J5" i="16" s="1"/>
  <c r="K5" i="16"/>
  <c r="L5" i="16" s="1"/>
  <c r="M5" i="16" s="1"/>
  <c r="O5" i="16"/>
  <c r="P5" i="16" s="1"/>
  <c r="R5" i="16"/>
  <c r="S5" i="16" s="1"/>
  <c r="T5" i="16" s="1"/>
  <c r="U5" i="16"/>
  <c r="V5" i="16" s="1"/>
  <c r="W5" i="16" s="1"/>
  <c r="X5" i="16"/>
  <c r="Y5" i="16" s="1"/>
  <c r="Z5" i="16" s="1"/>
  <c r="AB5" i="16"/>
  <c r="AC5" i="16" s="1"/>
  <c r="AD5" i="16" s="1"/>
  <c r="B6" i="16"/>
  <c r="C6" i="16" s="1"/>
  <c r="D6" i="16" s="1"/>
  <c r="E6" i="16"/>
  <c r="F6" i="16" s="1"/>
  <c r="G6" i="16" s="1"/>
  <c r="H6" i="16"/>
  <c r="I6" i="16" s="1"/>
  <c r="J6" i="16" s="1"/>
  <c r="K6" i="16"/>
  <c r="L6" i="16" s="1"/>
  <c r="M6" i="16" s="1"/>
  <c r="O6" i="16"/>
  <c r="P6" i="16" s="1"/>
  <c r="Q6" i="16" s="1"/>
  <c r="R6" i="16"/>
  <c r="S6" i="16" s="1"/>
  <c r="T6" i="16" s="1"/>
  <c r="U6" i="16"/>
  <c r="V6" i="16" s="1"/>
  <c r="W6" i="16" s="1"/>
  <c r="X6" i="16"/>
  <c r="Y6" i="16" s="1"/>
  <c r="Z6" i="16" s="1"/>
  <c r="AB6" i="16"/>
  <c r="AC6" i="16" s="1"/>
  <c r="AD6" i="16" s="1"/>
  <c r="B7" i="16"/>
  <c r="C7" i="16" s="1"/>
  <c r="D7" i="16" s="1"/>
  <c r="E7" i="16"/>
  <c r="F7" i="16" s="1"/>
  <c r="G7" i="16" s="1"/>
  <c r="H7" i="16"/>
  <c r="I7" i="16" s="1"/>
  <c r="J7" i="16" s="1"/>
  <c r="K7" i="16"/>
  <c r="L7" i="16" s="1"/>
  <c r="M7" i="16" s="1"/>
  <c r="O7" i="16"/>
  <c r="R7" i="16"/>
  <c r="S7" i="16" s="1"/>
  <c r="T7" i="16" s="1"/>
  <c r="U7" i="16"/>
  <c r="V7" i="16" s="1"/>
  <c r="W7" i="16" s="1"/>
  <c r="X7" i="16"/>
  <c r="Y7" i="16" s="1"/>
  <c r="Z7" i="16" s="1"/>
  <c r="AB7" i="16"/>
  <c r="AC7" i="16" s="1"/>
  <c r="AD7" i="16" s="1"/>
  <c r="B8" i="16"/>
  <c r="C8" i="16" s="1"/>
  <c r="D8" i="16" s="1"/>
  <c r="E8" i="16"/>
  <c r="F8" i="16" s="1"/>
  <c r="G8" i="16" s="1"/>
  <c r="H8" i="16"/>
  <c r="I8" i="16" s="1"/>
  <c r="J8" i="16" s="1"/>
  <c r="K8" i="16"/>
  <c r="L8" i="16" s="1"/>
  <c r="M8" i="16" s="1"/>
  <c r="O8" i="16"/>
  <c r="P8" i="16" s="1"/>
  <c r="Q8" i="16" s="1"/>
  <c r="R8" i="16"/>
  <c r="S8" i="16" s="1"/>
  <c r="T8" i="16" s="1"/>
  <c r="U8" i="16"/>
  <c r="V8" i="16" s="1"/>
  <c r="W8" i="16" s="1"/>
  <c r="X8" i="16"/>
  <c r="Y8" i="16" s="1"/>
  <c r="Z8" i="16" s="1"/>
  <c r="AB8" i="16"/>
  <c r="AC8" i="16" s="1"/>
  <c r="AD8" i="16" s="1"/>
  <c r="B9" i="16"/>
  <c r="C9" i="16" s="1"/>
  <c r="E9" i="16"/>
  <c r="F9" i="16" s="1"/>
  <c r="G9" i="16" s="1"/>
  <c r="H9" i="16"/>
  <c r="I9" i="16" s="1"/>
  <c r="J9" i="16" s="1"/>
  <c r="K9" i="16"/>
  <c r="L9" i="16" s="1"/>
  <c r="M9" i="16" s="1"/>
  <c r="O9" i="16"/>
  <c r="P9" i="16" s="1"/>
  <c r="Q9" i="16" s="1"/>
  <c r="R9" i="16"/>
  <c r="S9" i="16" s="1"/>
  <c r="T9" i="16" s="1"/>
  <c r="U9" i="16"/>
  <c r="V9" i="16" s="1"/>
  <c r="W9" i="16" s="1"/>
  <c r="X9" i="16"/>
  <c r="Y9" i="16" s="1"/>
  <c r="Z9" i="16" s="1"/>
  <c r="AB9" i="16"/>
  <c r="AC9" i="16" s="1"/>
  <c r="AD9" i="16" s="1"/>
  <c r="B10" i="16"/>
  <c r="C10" i="16" s="1"/>
  <c r="E10" i="16"/>
  <c r="F10" i="16" s="1"/>
  <c r="G10" i="16" s="1"/>
  <c r="H10" i="16"/>
  <c r="I10" i="16" s="1"/>
  <c r="J10" i="16" s="1"/>
  <c r="K10" i="16"/>
  <c r="L10" i="16" s="1"/>
  <c r="M10" i="16" s="1"/>
  <c r="O10" i="16"/>
  <c r="P10" i="16" s="1"/>
  <c r="Q10" i="16" s="1"/>
  <c r="R10" i="16"/>
  <c r="S10" i="16" s="1"/>
  <c r="T10" i="16" s="1"/>
  <c r="U10" i="16"/>
  <c r="V10" i="16" s="1"/>
  <c r="W10" i="16" s="1"/>
  <c r="X10" i="16"/>
  <c r="Y10" i="16" s="1"/>
  <c r="Z10" i="16" s="1"/>
  <c r="AB10" i="16"/>
  <c r="AC10" i="16" s="1"/>
  <c r="AD10" i="16" s="1"/>
  <c r="B11" i="16"/>
  <c r="C11" i="16" s="1"/>
  <c r="E11" i="16"/>
  <c r="F11" i="16" s="1"/>
  <c r="G11" i="16" s="1"/>
  <c r="H11" i="16"/>
  <c r="I11" i="16" s="1"/>
  <c r="J11" i="16" s="1"/>
  <c r="K11" i="16"/>
  <c r="L11" i="16" s="1"/>
  <c r="M11" i="16" s="1"/>
  <c r="O11" i="16"/>
  <c r="P11" i="16" s="1"/>
  <c r="Q11" i="16" s="1"/>
  <c r="R11" i="16"/>
  <c r="S11" i="16" s="1"/>
  <c r="T11" i="16" s="1"/>
  <c r="U11" i="16"/>
  <c r="V11" i="16" s="1"/>
  <c r="W11" i="16" s="1"/>
  <c r="X11" i="16"/>
  <c r="Y11" i="16" s="1"/>
  <c r="Z11" i="16" s="1"/>
  <c r="AB11" i="16"/>
  <c r="AC11" i="16" s="1"/>
  <c r="AD11" i="16" s="1"/>
  <c r="B12" i="16"/>
  <c r="C12" i="16" s="1"/>
  <c r="D12" i="16" s="1"/>
  <c r="E12" i="16"/>
  <c r="F12" i="16" s="1"/>
  <c r="G12" i="16" s="1"/>
  <c r="H12" i="16"/>
  <c r="I12" i="16" s="1"/>
  <c r="J12" i="16" s="1"/>
  <c r="K12" i="16"/>
  <c r="L12" i="16" s="1"/>
  <c r="M12" i="16" s="1"/>
  <c r="O12" i="16"/>
  <c r="P12" i="16" s="1"/>
  <c r="Q12" i="16" s="1"/>
  <c r="R12" i="16"/>
  <c r="S12" i="16" s="1"/>
  <c r="T12" i="16" s="1"/>
  <c r="U12" i="16"/>
  <c r="V12" i="16" s="1"/>
  <c r="W12" i="16" s="1"/>
  <c r="X12" i="16"/>
  <c r="Y12" i="16" s="1"/>
  <c r="Z12" i="16" s="1"/>
  <c r="AB12" i="16"/>
  <c r="AC12" i="16" s="1"/>
  <c r="AD12" i="16" s="1"/>
  <c r="B13" i="16"/>
  <c r="C13" i="16" s="1"/>
  <c r="E13" i="16"/>
  <c r="F13" i="16" s="1"/>
  <c r="G13" i="16" s="1"/>
  <c r="H13" i="16"/>
  <c r="I13" i="16" s="1"/>
  <c r="J13" i="16" s="1"/>
  <c r="K13" i="16"/>
  <c r="L13" i="16" s="1"/>
  <c r="M13" i="16" s="1"/>
  <c r="O13" i="16"/>
  <c r="P13" i="16" s="1"/>
  <c r="Q13" i="16" s="1"/>
  <c r="R13" i="16"/>
  <c r="S13" i="16" s="1"/>
  <c r="T13" i="16" s="1"/>
  <c r="U13" i="16"/>
  <c r="V13" i="16" s="1"/>
  <c r="W13" i="16" s="1"/>
  <c r="X13" i="16"/>
  <c r="Y13" i="16" s="1"/>
  <c r="Z13" i="16" s="1"/>
  <c r="AB13" i="16"/>
  <c r="AC13" i="16" s="1"/>
  <c r="AD13" i="16" s="1"/>
  <c r="B14" i="16"/>
  <c r="C14" i="16" s="1"/>
  <c r="D14" i="16" s="1"/>
  <c r="E14" i="16"/>
  <c r="F14" i="16" s="1"/>
  <c r="G14" i="16" s="1"/>
  <c r="H14" i="16"/>
  <c r="I14" i="16" s="1"/>
  <c r="J14" i="16" s="1"/>
  <c r="K14" i="16"/>
  <c r="L14" i="16" s="1"/>
  <c r="M14" i="16" s="1"/>
  <c r="O14" i="16"/>
  <c r="P14" i="16" s="1"/>
  <c r="Q14" i="16" s="1"/>
  <c r="R14" i="16"/>
  <c r="S14" i="16" s="1"/>
  <c r="T14" i="16" s="1"/>
  <c r="U14" i="16"/>
  <c r="V14" i="16" s="1"/>
  <c r="W14" i="16" s="1"/>
  <c r="X14" i="16"/>
  <c r="Y14" i="16" s="1"/>
  <c r="Z14" i="16" s="1"/>
  <c r="AB14" i="16"/>
  <c r="AC14" i="16" s="1"/>
  <c r="AD14" i="16" s="1"/>
  <c r="B15" i="16"/>
  <c r="C15" i="16" s="1"/>
  <c r="D15" i="16" s="1"/>
  <c r="E15" i="16"/>
  <c r="F15" i="16" s="1"/>
  <c r="G15" i="16" s="1"/>
  <c r="H15" i="16"/>
  <c r="I15" i="16" s="1"/>
  <c r="J15" i="16" s="1"/>
  <c r="K15" i="16"/>
  <c r="L15" i="16" s="1"/>
  <c r="M15" i="16" s="1"/>
  <c r="O15" i="16"/>
  <c r="AF15" i="16" s="1"/>
  <c r="R15" i="16"/>
  <c r="S15" i="16" s="1"/>
  <c r="T15" i="16" s="1"/>
  <c r="U15" i="16"/>
  <c r="V15" i="16" s="1"/>
  <c r="W15" i="16" s="1"/>
  <c r="X15" i="16"/>
  <c r="Y15" i="16" s="1"/>
  <c r="Z15" i="16" s="1"/>
  <c r="AB15" i="16"/>
  <c r="AC15" i="16" s="1"/>
  <c r="AD15" i="16" s="1"/>
  <c r="B16" i="16"/>
  <c r="C16" i="16" s="1"/>
  <c r="D16" i="16" s="1"/>
  <c r="E16" i="16"/>
  <c r="F16" i="16" s="1"/>
  <c r="G16" i="16" s="1"/>
  <c r="H16" i="16"/>
  <c r="I16" i="16" s="1"/>
  <c r="J16" i="16" s="1"/>
  <c r="K16" i="16"/>
  <c r="L16" i="16" s="1"/>
  <c r="M16" i="16" s="1"/>
  <c r="O16" i="16"/>
  <c r="P16" i="16" s="1"/>
  <c r="Q16" i="16" s="1"/>
  <c r="R16" i="16"/>
  <c r="S16" i="16" s="1"/>
  <c r="T16" i="16" s="1"/>
  <c r="U16" i="16"/>
  <c r="V16" i="16" s="1"/>
  <c r="W16" i="16" s="1"/>
  <c r="X16" i="16"/>
  <c r="Y16" i="16" s="1"/>
  <c r="Z16" i="16" s="1"/>
  <c r="AB16" i="16"/>
  <c r="AC16" i="16" s="1"/>
  <c r="AD16" i="16" s="1"/>
  <c r="B17" i="16"/>
  <c r="C17" i="16" s="1"/>
  <c r="E17" i="16"/>
  <c r="F17" i="16" s="1"/>
  <c r="G17" i="16" s="1"/>
  <c r="H17" i="16"/>
  <c r="I17" i="16" s="1"/>
  <c r="J17" i="16" s="1"/>
  <c r="K17" i="16"/>
  <c r="L17" i="16" s="1"/>
  <c r="M17" i="16" s="1"/>
  <c r="O17" i="16"/>
  <c r="P17" i="16" s="1"/>
  <c r="Q17" i="16" s="1"/>
  <c r="R17" i="16"/>
  <c r="S17" i="16" s="1"/>
  <c r="T17" i="16" s="1"/>
  <c r="U17" i="16"/>
  <c r="V17" i="16" s="1"/>
  <c r="W17" i="16" s="1"/>
  <c r="X17" i="16"/>
  <c r="Y17" i="16" s="1"/>
  <c r="Z17" i="16" s="1"/>
  <c r="AB17" i="16"/>
  <c r="AC17" i="16" s="1"/>
  <c r="AD17" i="16" s="1"/>
  <c r="B18" i="16"/>
  <c r="E18" i="16"/>
  <c r="F18" i="16" s="1"/>
  <c r="G18" i="16" s="1"/>
  <c r="H18" i="16"/>
  <c r="I18" i="16" s="1"/>
  <c r="J18" i="16" s="1"/>
  <c r="K18" i="16"/>
  <c r="L18" i="16" s="1"/>
  <c r="M18" i="16" s="1"/>
  <c r="O18" i="16"/>
  <c r="P18" i="16" s="1"/>
  <c r="Q18" i="16" s="1"/>
  <c r="R18" i="16"/>
  <c r="S18" i="16" s="1"/>
  <c r="T18" i="16" s="1"/>
  <c r="U18" i="16"/>
  <c r="V18" i="16" s="1"/>
  <c r="W18" i="16" s="1"/>
  <c r="X18" i="16"/>
  <c r="Y18" i="16" s="1"/>
  <c r="Z18" i="16" s="1"/>
  <c r="AB18" i="16"/>
  <c r="AC18" i="16" s="1"/>
  <c r="AD18" i="16" s="1"/>
  <c r="B19" i="16"/>
  <c r="C19" i="16" s="1"/>
  <c r="E19" i="16"/>
  <c r="F19" i="16" s="1"/>
  <c r="G19" i="16" s="1"/>
  <c r="H19" i="16"/>
  <c r="I19" i="16" s="1"/>
  <c r="J19" i="16" s="1"/>
  <c r="K19" i="16"/>
  <c r="L19" i="16" s="1"/>
  <c r="M19" i="16" s="1"/>
  <c r="O19" i="16"/>
  <c r="P19" i="16" s="1"/>
  <c r="Q19" i="16" s="1"/>
  <c r="R19" i="16"/>
  <c r="S19" i="16" s="1"/>
  <c r="T19" i="16" s="1"/>
  <c r="U19" i="16"/>
  <c r="V19" i="16" s="1"/>
  <c r="W19" i="16" s="1"/>
  <c r="X19" i="16"/>
  <c r="Y19" i="16" s="1"/>
  <c r="Z19" i="16" s="1"/>
  <c r="AB19" i="16"/>
  <c r="AC19" i="16" s="1"/>
  <c r="AD19" i="16" s="1"/>
  <c r="B20" i="16"/>
  <c r="C20" i="16" s="1"/>
  <c r="E20" i="16"/>
  <c r="F20" i="16" s="1"/>
  <c r="G20" i="16" s="1"/>
  <c r="H20" i="16"/>
  <c r="I20" i="16" s="1"/>
  <c r="J20" i="16" s="1"/>
  <c r="K20" i="16"/>
  <c r="L20" i="16" s="1"/>
  <c r="M20" i="16" s="1"/>
  <c r="O20" i="16"/>
  <c r="P20" i="16" s="1"/>
  <c r="Q20" i="16" s="1"/>
  <c r="R20" i="16"/>
  <c r="S20" i="16" s="1"/>
  <c r="T20" i="16" s="1"/>
  <c r="U20" i="16"/>
  <c r="V20" i="16" s="1"/>
  <c r="W20" i="16" s="1"/>
  <c r="X20" i="16"/>
  <c r="Y20" i="16" s="1"/>
  <c r="Z20" i="16" s="1"/>
  <c r="AB20" i="16"/>
  <c r="AC20" i="16" s="1"/>
  <c r="AD20" i="16" s="1"/>
  <c r="B21" i="16"/>
  <c r="E21" i="16"/>
  <c r="F21" i="16" s="1"/>
  <c r="G21" i="16" s="1"/>
  <c r="H21" i="16"/>
  <c r="I21" i="16" s="1"/>
  <c r="J21" i="16" s="1"/>
  <c r="K21" i="16"/>
  <c r="L21" i="16" s="1"/>
  <c r="M21" i="16" s="1"/>
  <c r="O21" i="16"/>
  <c r="P21" i="16" s="1"/>
  <c r="Q21" i="16" s="1"/>
  <c r="R21" i="16"/>
  <c r="S21" i="16" s="1"/>
  <c r="T21" i="16" s="1"/>
  <c r="U21" i="16"/>
  <c r="V21" i="16" s="1"/>
  <c r="W21" i="16" s="1"/>
  <c r="X21" i="16"/>
  <c r="Y21" i="16" s="1"/>
  <c r="Z21" i="16" s="1"/>
  <c r="AB21" i="16"/>
  <c r="AC21" i="16" s="1"/>
  <c r="AD21" i="16" s="1"/>
  <c r="B22" i="16"/>
  <c r="E22" i="16"/>
  <c r="F22" i="16" s="1"/>
  <c r="G22" i="16" s="1"/>
  <c r="H22" i="16"/>
  <c r="I22" i="16" s="1"/>
  <c r="J22" i="16" s="1"/>
  <c r="K22" i="16"/>
  <c r="L22" i="16" s="1"/>
  <c r="M22" i="16" s="1"/>
  <c r="O22" i="16"/>
  <c r="P22" i="16" s="1"/>
  <c r="Q22" i="16" s="1"/>
  <c r="R22" i="16"/>
  <c r="S22" i="16" s="1"/>
  <c r="T22" i="16" s="1"/>
  <c r="U22" i="16"/>
  <c r="V22" i="16" s="1"/>
  <c r="W22" i="16" s="1"/>
  <c r="X22" i="16"/>
  <c r="Y22" i="16" s="1"/>
  <c r="Z22" i="16" s="1"/>
  <c r="AB22" i="16"/>
  <c r="AC22" i="16" s="1"/>
  <c r="AD22" i="16" s="1"/>
  <c r="B23" i="16"/>
  <c r="C23" i="16" s="1"/>
  <c r="E23" i="16"/>
  <c r="F23" i="16" s="1"/>
  <c r="G23" i="16" s="1"/>
  <c r="H23" i="16"/>
  <c r="I23" i="16" s="1"/>
  <c r="J23" i="16" s="1"/>
  <c r="K23" i="16"/>
  <c r="L23" i="16" s="1"/>
  <c r="M23" i="16" s="1"/>
  <c r="O23" i="16"/>
  <c r="P23" i="16" s="1"/>
  <c r="Q23" i="16" s="1"/>
  <c r="R23" i="16"/>
  <c r="S23" i="16" s="1"/>
  <c r="T23" i="16" s="1"/>
  <c r="U23" i="16"/>
  <c r="V23" i="16" s="1"/>
  <c r="W23" i="16" s="1"/>
  <c r="X23" i="16"/>
  <c r="Y23" i="16" s="1"/>
  <c r="Z23" i="16" s="1"/>
  <c r="AB23" i="16"/>
  <c r="AC23" i="16" s="1"/>
  <c r="AD23" i="16" s="1"/>
  <c r="B24" i="16"/>
  <c r="E24" i="16"/>
  <c r="F24" i="16" s="1"/>
  <c r="G24" i="16" s="1"/>
  <c r="H24" i="16"/>
  <c r="I24" i="16" s="1"/>
  <c r="J24" i="16" s="1"/>
  <c r="K24" i="16"/>
  <c r="L24" i="16" s="1"/>
  <c r="M24" i="16" s="1"/>
  <c r="O24" i="16"/>
  <c r="P24" i="16" s="1"/>
  <c r="Q24" i="16" s="1"/>
  <c r="R24" i="16"/>
  <c r="S24" i="16" s="1"/>
  <c r="T24" i="16" s="1"/>
  <c r="U24" i="16"/>
  <c r="V24" i="16" s="1"/>
  <c r="W24" i="16" s="1"/>
  <c r="X24" i="16"/>
  <c r="Y24" i="16" s="1"/>
  <c r="Z24" i="16" s="1"/>
  <c r="AB24" i="16"/>
  <c r="AC24" i="16" s="1"/>
  <c r="AD24" i="16" s="1"/>
  <c r="B25" i="16"/>
  <c r="C25" i="16" s="1"/>
  <c r="E25" i="16"/>
  <c r="F25" i="16" s="1"/>
  <c r="G25" i="16" s="1"/>
  <c r="H25" i="16"/>
  <c r="I25" i="16" s="1"/>
  <c r="J25" i="16" s="1"/>
  <c r="K25" i="16"/>
  <c r="L25" i="16" s="1"/>
  <c r="M25" i="16" s="1"/>
  <c r="O25" i="16"/>
  <c r="P25" i="16" s="1"/>
  <c r="Q25" i="16" s="1"/>
  <c r="R25" i="16"/>
  <c r="S25" i="16" s="1"/>
  <c r="T25" i="16" s="1"/>
  <c r="U25" i="16"/>
  <c r="V25" i="16" s="1"/>
  <c r="W25" i="16" s="1"/>
  <c r="X25" i="16"/>
  <c r="Y25" i="16" s="1"/>
  <c r="Z25" i="16" s="1"/>
  <c r="AB25" i="16"/>
  <c r="AC25" i="16" s="1"/>
  <c r="AD25" i="16" s="1"/>
  <c r="B26" i="16"/>
  <c r="E26" i="16"/>
  <c r="F26" i="16" s="1"/>
  <c r="G26" i="16" s="1"/>
  <c r="H26" i="16"/>
  <c r="I26" i="16" s="1"/>
  <c r="J26" i="16" s="1"/>
  <c r="K26" i="16"/>
  <c r="L26" i="16" s="1"/>
  <c r="M26" i="16" s="1"/>
  <c r="O26" i="16"/>
  <c r="P26" i="16" s="1"/>
  <c r="Q26" i="16" s="1"/>
  <c r="R26" i="16"/>
  <c r="S26" i="16" s="1"/>
  <c r="T26" i="16" s="1"/>
  <c r="U26" i="16"/>
  <c r="V26" i="16" s="1"/>
  <c r="W26" i="16" s="1"/>
  <c r="X26" i="16"/>
  <c r="Y26" i="16" s="1"/>
  <c r="Z26" i="16" s="1"/>
  <c r="AB26" i="16"/>
  <c r="AC26" i="16" s="1"/>
  <c r="AD26" i="16" s="1"/>
  <c r="B27" i="16"/>
  <c r="C27" i="16" s="1"/>
  <c r="E27" i="16"/>
  <c r="F27" i="16" s="1"/>
  <c r="G27" i="16" s="1"/>
  <c r="H27" i="16"/>
  <c r="I27" i="16" s="1"/>
  <c r="K27" i="16"/>
  <c r="L27" i="16" s="1"/>
  <c r="M27" i="16" s="1"/>
  <c r="O27" i="16"/>
  <c r="P27" i="16" s="1"/>
  <c r="Q27" i="16" s="1"/>
  <c r="R27" i="16"/>
  <c r="S27" i="16" s="1"/>
  <c r="T27" i="16" s="1"/>
  <c r="U27" i="16"/>
  <c r="V27" i="16" s="1"/>
  <c r="W27" i="16" s="1"/>
  <c r="X27" i="16"/>
  <c r="Y27" i="16" s="1"/>
  <c r="AB27" i="16"/>
  <c r="AC27" i="16" s="1"/>
  <c r="AD27" i="16" s="1"/>
  <c r="B28" i="16"/>
  <c r="C28" i="16" s="1"/>
  <c r="D28" i="16" s="1"/>
  <c r="E28" i="16"/>
  <c r="F28" i="16" s="1"/>
  <c r="H28" i="16"/>
  <c r="I28" i="16" s="1"/>
  <c r="J28" i="16" s="1"/>
  <c r="K28" i="16"/>
  <c r="L28" i="16" s="1"/>
  <c r="M28" i="16" s="1"/>
  <c r="O28" i="16"/>
  <c r="P28" i="16" s="1"/>
  <c r="Q28" i="16" s="1"/>
  <c r="R28" i="16"/>
  <c r="S28" i="16" s="1"/>
  <c r="T28" i="16" s="1"/>
  <c r="U28" i="16"/>
  <c r="V28" i="16" s="1"/>
  <c r="X28" i="16"/>
  <c r="Y28" i="16" s="1"/>
  <c r="Z28" i="16" s="1"/>
  <c r="AB28" i="16"/>
  <c r="AC28" i="16" s="1"/>
  <c r="AD28" i="16" s="1"/>
  <c r="B29" i="16"/>
  <c r="C29" i="16" s="1"/>
  <c r="D29" i="16" s="1"/>
  <c r="E29" i="16"/>
  <c r="F29" i="16" s="1"/>
  <c r="G29" i="16" s="1"/>
  <c r="H29" i="16"/>
  <c r="I29" i="16" s="1"/>
  <c r="J29" i="16" s="1"/>
  <c r="K29" i="16"/>
  <c r="L29" i="16" s="1"/>
  <c r="M29" i="16" s="1"/>
  <c r="O29" i="16"/>
  <c r="P29" i="16" s="1"/>
  <c r="R29" i="16"/>
  <c r="S29" i="16" s="1"/>
  <c r="T29" i="16" s="1"/>
  <c r="U29" i="16"/>
  <c r="V29" i="16" s="1"/>
  <c r="W29" i="16" s="1"/>
  <c r="X29" i="16"/>
  <c r="Y29" i="16" s="1"/>
  <c r="Z29" i="16" s="1"/>
  <c r="AB29" i="16"/>
  <c r="AC29" i="16" s="1"/>
  <c r="AD29" i="16" s="1"/>
  <c r="B30" i="16"/>
  <c r="E30" i="16"/>
  <c r="F30" i="16" s="1"/>
  <c r="G30" i="16" s="1"/>
  <c r="H30" i="16"/>
  <c r="I30" i="16" s="1"/>
  <c r="J30" i="16" s="1"/>
  <c r="K30" i="16"/>
  <c r="L30" i="16" s="1"/>
  <c r="M30" i="16" s="1"/>
  <c r="O30" i="16"/>
  <c r="P30" i="16" s="1"/>
  <c r="Q30" i="16" s="1"/>
  <c r="R30" i="16"/>
  <c r="S30" i="16" s="1"/>
  <c r="T30" i="16" s="1"/>
  <c r="U30" i="16"/>
  <c r="V30" i="16" s="1"/>
  <c r="W30" i="16" s="1"/>
  <c r="X30" i="16"/>
  <c r="Y30" i="16" s="1"/>
  <c r="Z30" i="16" s="1"/>
  <c r="AB30" i="16"/>
  <c r="AC30" i="16" s="1"/>
  <c r="AD30" i="16" s="1"/>
  <c r="B31" i="16"/>
  <c r="C31" i="16" s="1"/>
  <c r="D31" i="16" s="1"/>
  <c r="E31" i="16"/>
  <c r="F31" i="16" s="1"/>
  <c r="G31" i="16" s="1"/>
  <c r="H31" i="16"/>
  <c r="I31" i="16" s="1"/>
  <c r="J31" i="16" s="1"/>
  <c r="K31" i="16"/>
  <c r="L31" i="16" s="1"/>
  <c r="M31" i="16" s="1"/>
  <c r="O31" i="16"/>
  <c r="P31" i="16" s="1"/>
  <c r="Q31" i="16" s="1"/>
  <c r="R31" i="16"/>
  <c r="S31" i="16" s="1"/>
  <c r="T31" i="16" s="1"/>
  <c r="U31" i="16"/>
  <c r="V31" i="16" s="1"/>
  <c r="W31" i="16" s="1"/>
  <c r="X31" i="16"/>
  <c r="Y31" i="16" s="1"/>
  <c r="Z31" i="16" s="1"/>
  <c r="AB31" i="16"/>
  <c r="AC31" i="16" s="1"/>
  <c r="AD31" i="16" s="1"/>
  <c r="B32" i="16"/>
  <c r="C32" i="16" s="1"/>
  <c r="D32" i="16" s="1"/>
  <c r="E32" i="16"/>
  <c r="F32" i="16" s="1"/>
  <c r="G32" i="16" s="1"/>
  <c r="H32" i="16"/>
  <c r="I32" i="16" s="1"/>
  <c r="J32" i="16" s="1"/>
  <c r="K32" i="16"/>
  <c r="L32" i="16" s="1"/>
  <c r="M32" i="16" s="1"/>
  <c r="O32" i="16"/>
  <c r="P32" i="16" s="1"/>
  <c r="Q32" i="16" s="1"/>
  <c r="R32" i="16"/>
  <c r="S32" i="16" s="1"/>
  <c r="U32" i="16"/>
  <c r="V32" i="16" s="1"/>
  <c r="W32" i="16" s="1"/>
  <c r="X32" i="16"/>
  <c r="Y32" i="16" s="1"/>
  <c r="Z32" i="16" s="1"/>
  <c r="AB32" i="16"/>
  <c r="AC32" i="16" s="1"/>
  <c r="AD32" i="16" s="1"/>
  <c r="B33" i="16"/>
  <c r="C33" i="16" s="1"/>
  <c r="E33" i="16"/>
  <c r="F33" i="16" s="1"/>
  <c r="G33" i="16" s="1"/>
  <c r="H33" i="16"/>
  <c r="I33" i="16" s="1"/>
  <c r="J33" i="16" s="1"/>
  <c r="K33" i="16"/>
  <c r="L33" i="16" s="1"/>
  <c r="M33" i="16" s="1"/>
  <c r="O33" i="16"/>
  <c r="P33" i="16" s="1"/>
  <c r="Q33" i="16" s="1"/>
  <c r="R33" i="16"/>
  <c r="S33" i="16" s="1"/>
  <c r="T33" i="16" s="1"/>
  <c r="U33" i="16"/>
  <c r="V33" i="16" s="1"/>
  <c r="W33" i="16" s="1"/>
  <c r="X33" i="16"/>
  <c r="Y33" i="16" s="1"/>
  <c r="Z33" i="16" s="1"/>
  <c r="AB33" i="16"/>
  <c r="AC33" i="16" s="1"/>
  <c r="AD33" i="16" s="1"/>
  <c r="B34" i="16"/>
  <c r="C34" i="16" s="1"/>
  <c r="D34" i="16" s="1"/>
  <c r="E34" i="16"/>
  <c r="F34" i="16" s="1"/>
  <c r="G34" i="16" s="1"/>
  <c r="H34" i="16"/>
  <c r="I34" i="16" s="1"/>
  <c r="J34" i="16" s="1"/>
  <c r="K34" i="16"/>
  <c r="L34" i="16" s="1"/>
  <c r="M34" i="16" s="1"/>
  <c r="O34" i="16"/>
  <c r="P34" i="16" s="1"/>
  <c r="R34" i="16"/>
  <c r="S34" i="16" s="1"/>
  <c r="T34" i="16" s="1"/>
  <c r="U34" i="16"/>
  <c r="V34" i="16" s="1"/>
  <c r="W34" i="16" s="1"/>
  <c r="X34" i="16"/>
  <c r="Y34" i="16" s="1"/>
  <c r="Z34" i="16" s="1"/>
  <c r="AB34" i="16"/>
  <c r="AC34" i="16" s="1"/>
  <c r="AD34" i="16" s="1"/>
  <c r="B35" i="16"/>
  <c r="C35" i="16" s="1"/>
  <c r="E35" i="16"/>
  <c r="F35" i="16" s="1"/>
  <c r="G35" i="16" s="1"/>
  <c r="H35" i="16"/>
  <c r="I35" i="16" s="1"/>
  <c r="J35" i="16" s="1"/>
  <c r="K35" i="16"/>
  <c r="L35" i="16" s="1"/>
  <c r="M35" i="16" s="1"/>
  <c r="O35" i="16"/>
  <c r="P35" i="16" s="1"/>
  <c r="Q35" i="16" s="1"/>
  <c r="R35" i="16"/>
  <c r="S35" i="16" s="1"/>
  <c r="T35" i="16" s="1"/>
  <c r="U35" i="16"/>
  <c r="V35" i="16" s="1"/>
  <c r="W35" i="16" s="1"/>
  <c r="X35" i="16"/>
  <c r="Y35" i="16" s="1"/>
  <c r="Z35" i="16" s="1"/>
  <c r="AB35" i="16"/>
  <c r="AC35" i="16" s="1"/>
  <c r="AD35" i="16" s="1"/>
  <c r="AG20" i="16" l="1"/>
  <c r="AJ12" i="16"/>
  <c r="AF7" i="16"/>
  <c r="AF8" i="16"/>
  <c r="AJ16" i="16"/>
  <c r="AF21" i="16"/>
  <c r="AF11" i="16"/>
  <c r="AF25" i="16"/>
  <c r="C21" i="16"/>
  <c r="D21" i="16" s="1"/>
  <c r="AH21" i="16" s="1"/>
  <c r="D20" i="16"/>
  <c r="AH20" i="16" s="1"/>
  <c r="AJ24" i="16"/>
  <c r="AF18" i="16"/>
  <c r="AG16" i="16"/>
  <c r="D10" i="16"/>
  <c r="AH10" i="16" s="1"/>
  <c r="AG10" i="16"/>
  <c r="AJ19" i="16"/>
  <c r="P15" i="16"/>
  <c r="Q15" i="16" s="1"/>
  <c r="AH15" i="16" s="1"/>
  <c r="AF31" i="16"/>
  <c r="AF29" i="16"/>
  <c r="AG11" i="16"/>
  <c r="AJ28" i="16"/>
  <c r="AF35" i="16"/>
  <c r="AG35" i="16"/>
  <c r="AJ20" i="16"/>
  <c r="AJ30" i="16"/>
  <c r="AJ33" i="16"/>
  <c r="AJ26" i="16"/>
  <c r="AF5" i="16"/>
  <c r="AH32" i="16"/>
  <c r="AF28" i="16"/>
  <c r="AF23" i="16"/>
  <c r="AF20" i="16"/>
  <c r="AF19" i="16"/>
  <c r="C18" i="16"/>
  <c r="D18" i="16" s="1"/>
  <c r="AH18" i="16" s="1"/>
  <c r="AF13" i="16"/>
  <c r="AG12" i="16"/>
  <c r="AF10" i="16"/>
  <c r="AG8" i="16"/>
  <c r="P7" i="16"/>
  <c r="Q7" i="16" s="1"/>
  <c r="AH7" i="16" s="1"/>
  <c r="AG27" i="16"/>
  <c r="AG21" i="16"/>
  <c r="AH16" i="16"/>
  <c r="AJ14" i="16"/>
  <c r="AJ35" i="16"/>
  <c r="AF30" i="16"/>
  <c r="AF27" i="16"/>
  <c r="AJ25" i="16"/>
  <c r="AJ23" i="16"/>
  <c r="AJ17" i="16"/>
  <c r="AF16" i="16"/>
  <c r="AJ11" i="16"/>
  <c r="W28" i="16"/>
  <c r="V36" i="16"/>
  <c r="W36" i="16" s="1"/>
  <c r="H11" i="15" s="1"/>
  <c r="Z27" i="16"/>
  <c r="AJ27" i="16" s="1"/>
  <c r="Y36" i="16"/>
  <c r="Z36" i="16" s="1"/>
  <c r="I11" i="15" s="1"/>
  <c r="J27" i="16"/>
  <c r="I36" i="16"/>
  <c r="J36" i="16" s="1"/>
  <c r="D11" i="15" s="1"/>
  <c r="G28" i="16"/>
  <c r="F36" i="16"/>
  <c r="G36" i="16" s="1"/>
  <c r="AG34" i="16"/>
  <c r="Q34" i="16"/>
  <c r="AH34" i="16" s="1"/>
  <c r="D33" i="16"/>
  <c r="AH33" i="16" s="1"/>
  <c r="AG33" i="16"/>
  <c r="T32" i="16"/>
  <c r="AJ32" i="16" s="1"/>
  <c r="S36" i="16"/>
  <c r="T36" i="16" s="1"/>
  <c r="G11" i="15" s="1"/>
  <c r="AJ31" i="16"/>
  <c r="AH31" i="16"/>
  <c r="Q29" i="16"/>
  <c r="AJ29" i="16" s="1"/>
  <c r="AF33" i="16"/>
  <c r="AG32" i="16"/>
  <c r="AG31" i="16"/>
  <c r="AH28" i="16"/>
  <c r="C26" i="16"/>
  <c r="AF26" i="16"/>
  <c r="AF24" i="16"/>
  <c r="C24" i="16"/>
  <c r="AJ18" i="16"/>
  <c r="D13" i="16"/>
  <c r="AH13" i="16" s="1"/>
  <c r="AG13" i="16"/>
  <c r="D9" i="16"/>
  <c r="AH9" i="16" s="1"/>
  <c r="AG9" i="16"/>
  <c r="AJ8" i="16"/>
  <c r="AC36" i="16"/>
  <c r="AD36" i="16" s="1"/>
  <c r="L36" i="16"/>
  <c r="M36" i="16" s="1"/>
  <c r="E11" i="15" s="1"/>
  <c r="D35" i="16"/>
  <c r="AH35" i="16" s="1"/>
  <c r="AF34" i="16"/>
  <c r="AF32" i="16"/>
  <c r="AG29" i="16"/>
  <c r="D27" i="16"/>
  <c r="AH27" i="16" s="1"/>
  <c r="D17" i="16"/>
  <c r="AH17" i="16" s="1"/>
  <c r="AG17" i="16"/>
  <c r="AJ10" i="16"/>
  <c r="AJ6" i="16"/>
  <c r="C30" i="16"/>
  <c r="AG28" i="16"/>
  <c r="D23" i="16"/>
  <c r="AH23" i="16" s="1"/>
  <c r="AG23" i="16"/>
  <c r="AJ22" i="16"/>
  <c r="AJ13" i="16"/>
  <c r="AJ9" i="16"/>
  <c r="AH6" i="16"/>
  <c r="Q5" i="16"/>
  <c r="AH5" i="16" s="1"/>
  <c r="AG5" i="16"/>
  <c r="AG25" i="16"/>
  <c r="D25" i="16"/>
  <c r="AH25" i="16" s="1"/>
  <c r="C22" i="16"/>
  <c r="AF22" i="16"/>
  <c r="AJ21" i="16"/>
  <c r="AG19" i="16"/>
  <c r="D19" i="16"/>
  <c r="AH19" i="16" s="1"/>
  <c r="AH14" i="16"/>
  <c r="AH8" i="16"/>
  <c r="AF14" i="16"/>
  <c r="AF12" i="16"/>
  <c r="AF6" i="16"/>
  <c r="AF17" i="16"/>
  <c r="AG14" i="16"/>
  <c r="AH12" i="16"/>
  <c r="AF9" i="16"/>
  <c r="AG6" i="16"/>
  <c r="D11" i="16"/>
  <c r="AH11" i="16" s="1"/>
  <c r="P36" i="16" l="1"/>
  <c r="Q36" i="16" s="1"/>
  <c r="F11" i="15" s="1"/>
  <c r="AG18" i="16"/>
  <c r="AJ15" i="16"/>
  <c r="AG7" i="16"/>
  <c r="AG15" i="16"/>
  <c r="AJ7" i="16"/>
  <c r="D22" i="16"/>
  <c r="AH22" i="16" s="1"/>
  <c r="AG22" i="16"/>
  <c r="D30" i="16"/>
  <c r="AH30" i="16" s="1"/>
  <c r="AG30" i="16"/>
  <c r="AJ34" i="16"/>
  <c r="AJ5" i="16"/>
  <c r="C36" i="16"/>
  <c r="D36" i="16" s="1"/>
  <c r="B11" i="15" s="1"/>
  <c r="D26" i="16"/>
  <c r="AH26" i="16" s="1"/>
  <c r="AG26" i="16"/>
  <c r="D24" i="16"/>
  <c r="AH24" i="16" s="1"/>
  <c r="AG24" i="16"/>
  <c r="AH29" i="16"/>
  <c r="AG36" i="16" l="1"/>
  <c r="AH36" i="16" s="1"/>
  <c r="AJ36" i="16"/>
  <c r="K24" i="9" l="1"/>
  <c r="L24" i="9" s="1"/>
  <c r="M24" i="9" s="1"/>
  <c r="K25" i="9"/>
  <c r="L25" i="9" s="1"/>
  <c r="M25" i="9" s="1"/>
  <c r="K26" i="9"/>
  <c r="L26" i="9" s="1"/>
  <c r="M26" i="9" s="1"/>
  <c r="K27" i="9"/>
  <c r="L27" i="9" s="1"/>
  <c r="M27" i="9" s="1"/>
  <c r="K28" i="9"/>
  <c r="L28" i="9" s="1"/>
  <c r="M28" i="9" s="1"/>
  <c r="K29" i="9"/>
  <c r="L29" i="9" s="1"/>
  <c r="M29" i="9" s="1"/>
  <c r="K30" i="9"/>
  <c r="L30" i="9" s="1"/>
  <c r="M30" i="9" s="1"/>
  <c r="K31" i="9"/>
  <c r="L31" i="9" s="1"/>
  <c r="M31" i="9" s="1"/>
  <c r="K32" i="9"/>
  <c r="L32" i="9" s="1"/>
  <c r="M32" i="9" s="1"/>
  <c r="K33" i="9"/>
  <c r="L33" i="9" s="1"/>
  <c r="M33" i="9" s="1"/>
  <c r="X34" i="9" l="1"/>
  <c r="U34" i="9"/>
  <c r="R34" i="9"/>
  <c r="O34" i="9"/>
  <c r="X33" i="9"/>
  <c r="U33" i="9"/>
  <c r="R33" i="9"/>
  <c r="O33" i="9"/>
  <c r="X32" i="9"/>
  <c r="U32" i="9"/>
  <c r="R32" i="9"/>
  <c r="O32" i="9"/>
  <c r="X31" i="9"/>
  <c r="U31" i="9"/>
  <c r="R31" i="9"/>
  <c r="O31" i="9"/>
  <c r="X30" i="9"/>
  <c r="U30" i="9"/>
  <c r="R30" i="9"/>
  <c r="O30" i="9"/>
  <c r="X29" i="9"/>
  <c r="U29" i="9"/>
  <c r="R29" i="9"/>
  <c r="O29" i="9"/>
  <c r="X28" i="9"/>
  <c r="U28" i="9"/>
  <c r="R28" i="9"/>
  <c r="O28" i="9"/>
  <c r="X27" i="9"/>
  <c r="U27" i="9"/>
  <c r="R27" i="9"/>
  <c r="O27" i="9"/>
  <c r="X26" i="9"/>
  <c r="U26" i="9"/>
  <c r="R26" i="9"/>
  <c r="O26" i="9"/>
  <c r="X25" i="9"/>
  <c r="U25" i="9"/>
  <c r="R25" i="9"/>
  <c r="O25" i="9"/>
  <c r="X24" i="9"/>
  <c r="U24" i="9"/>
  <c r="R24" i="9"/>
  <c r="O24" i="9"/>
  <c r="X23" i="9"/>
  <c r="U23" i="9"/>
  <c r="R23" i="9"/>
  <c r="O23" i="9"/>
  <c r="X22" i="9"/>
  <c r="U22" i="9"/>
  <c r="R22" i="9"/>
  <c r="O22" i="9"/>
  <c r="X21" i="9"/>
  <c r="U21" i="9"/>
  <c r="R21" i="9"/>
  <c r="O21" i="9"/>
  <c r="X20" i="9"/>
  <c r="U20" i="9"/>
  <c r="R20" i="9"/>
  <c r="O20" i="9"/>
  <c r="X19" i="9"/>
  <c r="U19" i="9"/>
  <c r="R19" i="9"/>
  <c r="O19" i="9"/>
  <c r="X18" i="9"/>
  <c r="U18" i="9"/>
  <c r="R18" i="9"/>
  <c r="O18" i="9"/>
  <c r="X17" i="9"/>
  <c r="U17" i="9"/>
  <c r="R17" i="9"/>
  <c r="O17" i="9"/>
  <c r="X16" i="9"/>
  <c r="U16" i="9"/>
  <c r="R16" i="9"/>
  <c r="O16" i="9"/>
  <c r="X15" i="9"/>
  <c r="U15" i="9"/>
  <c r="R15" i="9"/>
  <c r="O15" i="9"/>
  <c r="X14" i="9"/>
  <c r="U14" i="9"/>
  <c r="R14" i="9"/>
  <c r="O14" i="9"/>
  <c r="X13" i="9"/>
  <c r="U13" i="9"/>
  <c r="R13" i="9"/>
  <c r="O13" i="9"/>
  <c r="X12" i="9"/>
  <c r="U12" i="9"/>
  <c r="R12" i="9"/>
  <c r="O12" i="9"/>
  <c r="X11" i="9"/>
  <c r="U11" i="9"/>
  <c r="R11" i="9"/>
  <c r="O11" i="9"/>
  <c r="X10" i="9"/>
  <c r="U10" i="9"/>
  <c r="R10" i="9"/>
  <c r="O10" i="9"/>
  <c r="X9" i="9"/>
  <c r="U9" i="9"/>
  <c r="R9" i="9"/>
  <c r="O9" i="9"/>
  <c r="X8" i="9"/>
  <c r="U8" i="9"/>
  <c r="R8" i="9"/>
  <c r="O8" i="9"/>
  <c r="X7" i="9"/>
  <c r="U7" i="9"/>
  <c r="R7" i="9"/>
  <c r="O7" i="9"/>
  <c r="X6" i="9"/>
  <c r="U6" i="9"/>
  <c r="R6" i="9"/>
  <c r="O6" i="9"/>
  <c r="X5" i="9"/>
  <c r="U5" i="9"/>
  <c r="R5" i="9"/>
  <c r="O5" i="9"/>
  <c r="K34" i="9"/>
  <c r="H34" i="9"/>
  <c r="E34" i="9"/>
  <c r="B34" i="9"/>
  <c r="H33" i="9"/>
  <c r="E33" i="9"/>
  <c r="B33" i="9"/>
  <c r="H32" i="9"/>
  <c r="E32" i="9"/>
  <c r="B32" i="9"/>
  <c r="H31" i="9"/>
  <c r="E31" i="9"/>
  <c r="B31" i="9"/>
  <c r="H30" i="9"/>
  <c r="E30" i="9"/>
  <c r="B30" i="9"/>
  <c r="H29" i="9"/>
  <c r="E29" i="9"/>
  <c r="B29" i="9"/>
  <c r="H28" i="9"/>
  <c r="E28" i="9"/>
  <c r="B28" i="9"/>
  <c r="H27" i="9"/>
  <c r="E27" i="9"/>
  <c r="B27" i="9"/>
  <c r="H26" i="9"/>
  <c r="E26" i="9"/>
  <c r="B26" i="9"/>
  <c r="H25" i="9"/>
  <c r="E25" i="9"/>
  <c r="B25" i="9"/>
  <c r="H24" i="9"/>
  <c r="E24" i="9"/>
  <c r="B24" i="9"/>
  <c r="K23" i="9"/>
  <c r="H23" i="9"/>
  <c r="E23" i="9"/>
  <c r="B23" i="9"/>
  <c r="K22" i="9"/>
  <c r="H22" i="9"/>
  <c r="E22" i="9"/>
  <c r="B22" i="9"/>
  <c r="K21" i="9"/>
  <c r="H21" i="9"/>
  <c r="E21" i="9"/>
  <c r="B21" i="9"/>
  <c r="K20" i="9"/>
  <c r="H20" i="9"/>
  <c r="E20" i="9"/>
  <c r="B20" i="9"/>
  <c r="K19" i="9"/>
  <c r="H19" i="9"/>
  <c r="E19" i="9"/>
  <c r="B19" i="9"/>
  <c r="K18" i="9"/>
  <c r="H18" i="9"/>
  <c r="E18" i="9"/>
  <c r="B18" i="9"/>
  <c r="K17" i="9"/>
  <c r="H17" i="9"/>
  <c r="E17" i="9"/>
  <c r="B17" i="9"/>
  <c r="K16" i="9"/>
  <c r="H16" i="9"/>
  <c r="E16" i="9"/>
  <c r="B16" i="9"/>
  <c r="K15" i="9"/>
  <c r="H15" i="9"/>
  <c r="E15" i="9"/>
  <c r="B15" i="9"/>
  <c r="K14" i="9"/>
  <c r="H14" i="9"/>
  <c r="E14" i="9"/>
  <c r="B14" i="9"/>
  <c r="K13" i="9"/>
  <c r="H13" i="9"/>
  <c r="E13" i="9"/>
  <c r="B13" i="9"/>
  <c r="K12" i="9"/>
  <c r="H12" i="9"/>
  <c r="E12" i="9"/>
  <c r="B12" i="9"/>
  <c r="K11" i="9"/>
  <c r="H11" i="9"/>
  <c r="E11" i="9"/>
  <c r="B11" i="9"/>
  <c r="K10" i="9"/>
  <c r="H10" i="9"/>
  <c r="E10" i="9"/>
  <c r="B10" i="9"/>
  <c r="K9" i="9"/>
  <c r="H9" i="9"/>
  <c r="E9" i="9"/>
  <c r="B9" i="9"/>
  <c r="K8" i="9"/>
  <c r="H8" i="9"/>
  <c r="E8" i="9"/>
  <c r="B8" i="9"/>
  <c r="K7" i="9"/>
  <c r="H7" i="9"/>
  <c r="E7" i="9"/>
  <c r="B7" i="9"/>
  <c r="K6" i="9"/>
  <c r="H6" i="9"/>
  <c r="E6" i="9"/>
  <c r="B6" i="9"/>
  <c r="K5" i="9"/>
  <c r="H5" i="9"/>
  <c r="E5" i="9"/>
  <c r="B5" i="9"/>
  <c r="X35" i="8"/>
  <c r="U35" i="8"/>
  <c r="R35" i="8"/>
  <c r="O35" i="8"/>
  <c r="X34" i="8"/>
  <c r="U34" i="8"/>
  <c r="R34" i="8"/>
  <c r="O34" i="8"/>
  <c r="X33" i="8"/>
  <c r="U33" i="8"/>
  <c r="R33" i="8"/>
  <c r="O33" i="8"/>
  <c r="X32" i="8"/>
  <c r="U32" i="8"/>
  <c r="R32" i="8"/>
  <c r="O32" i="8"/>
  <c r="X31" i="8"/>
  <c r="U31" i="8"/>
  <c r="R31" i="8"/>
  <c r="O31" i="8"/>
  <c r="X30" i="8"/>
  <c r="U30" i="8"/>
  <c r="R30" i="8"/>
  <c r="O30" i="8"/>
  <c r="X29" i="8"/>
  <c r="U29" i="8"/>
  <c r="R29" i="8"/>
  <c r="O29" i="8"/>
  <c r="X28" i="8"/>
  <c r="U28" i="8"/>
  <c r="R28" i="8"/>
  <c r="O28" i="8"/>
  <c r="X27" i="8"/>
  <c r="U27" i="8"/>
  <c r="R27" i="8"/>
  <c r="O27" i="8"/>
  <c r="X26" i="8"/>
  <c r="U26" i="8"/>
  <c r="R26" i="8"/>
  <c r="O26" i="8"/>
  <c r="X25" i="8"/>
  <c r="U25" i="8"/>
  <c r="R25" i="8"/>
  <c r="O25" i="8"/>
  <c r="X24" i="8"/>
  <c r="U24" i="8"/>
  <c r="R24" i="8"/>
  <c r="O24" i="8"/>
  <c r="X23" i="8"/>
  <c r="U23" i="8"/>
  <c r="R23" i="8"/>
  <c r="O23" i="8"/>
  <c r="X22" i="8"/>
  <c r="U22" i="8"/>
  <c r="R22" i="8"/>
  <c r="O22" i="8"/>
  <c r="X21" i="8"/>
  <c r="U21" i="8"/>
  <c r="R21" i="8"/>
  <c r="O21" i="8"/>
  <c r="X20" i="8"/>
  <c r="U20" i="8"/>
  <c r="R20" i="8"/>
  <c r="O20" i="8"/>
  <c r="X19" i="8"/>
  <c r="U19" i="8"/>
  <c r="R19" i="8"/>
  <c r="O19" i="8"/>
  <c r="X18" i="8"/>
  <c r="U18" i="8"/>
  <c r="R18" i="8"/>
  <c r="O18" i="8"/>
  <c r="X17" i="8"/>
  <c r="U17" i="8"/>
  <c r="R17" i="8"/>
  <c r="O17" i="8"/>
  <c r="X16" i="8"/>
  <c r="U16" i="8"/>
  <c r="R16" i="8"/>
  <c r="O16" i="8"/>
  <c r="X15" i="8"/>
  <c r="U15" i="8"/>
  <c r="R15" i="8"/>
  <c r="O15" i="8"/>
  <c r="X14" i="8"/>
  <c r="U14" i="8"/>
  <c r="R14" i="8"/>
  <c r="O14" i="8"/>
  <c r="X13" i="8"/>
  <c r="U13" i="8"/>
  <c r="R13" i="8"/>
  <c r="O13" i="8"/>
  <c r="X12" i="8"/>
  <c r="U12" i="8"/>
  <c r="R12" i="8"/>
  <c r="O12" i="8"/>
  <c r="X11" i="8"/>
  <c r="U11" i="8"/>
  <c r="R11" i="8"/>
  <c r="O11" i="8"/>
  <c r="X10" i="8"/>
  <c r="U10" i="8"/>
  <c r="R10" i="8"/>
  <c r="O10" i="8"/>
  <c r="X9" i="8"/>
  <c r="U9" i="8"/>
  <c r="R9" i="8"/>
  <c r="O9" i="8"/>
  <c r="X8" i="8"/>
  <c r="U8" i="8"/>
  <c r="R8" i="8"/>
  <c r="O8" i="8"/>
  <c r="X7" i="8"/>
  <c r="U7" i="8"/>
  <c r="R7" i="8"/>
  <c r="O7" i="8"/>
  <c r="X6" i="8"/>
  <c r="U6" i="8"/>
  <c r="R6" i="8"/>
  <c r="O6" i="8"/>
  <c r="X5" i="8"/>
  <c r="U5" i="8"/>
  <c r="R5" i="8"/>
  <c r="O5" i="8"/>
  <c r="K35" i="8"/>
  <c r="H35" i="8"/>
  <c r="E35" i="8"/>
  <c r="B35" i="8"/>
  <c r="K34" i="8"/>
  <c r="H34" i="8"/>
  <c r="E34" i="8"/>
  <c r="B34" i="8"/>
  <c r="K33" i="8"/>
  <c r="H33" i="8"/>
  <c r="E33" i="8"/>
  <c r="B33" i="8"/>
  <c r="K32" i="8"/>
  <c r="H32" i="8"/>
  <c r="E32" i="8"/>
  <c r="B32" i="8"/>
  <c r="K31" i="8"/>
  <c r="H31" i="8"/>
  <c r="E31" i="8"/>
  <c r="B31" i="8"/>
  <c r="K30" i="8"/>
  <c r="H30" i="8"/>
  <c r="E30" i="8"/>
  <c r="B30" i="8"/>
  <c r="K29" i="8"/>
  <c r="H29" i="8"/>
  <c r="E29" i="8"/>
  <c r="B29" i="8"/>
  <c r="K28" i="8"/>
  <c r="H28" i="8"/>
  <c r="E28" i="8"/>
  <c r="B28" i="8"/>
  <c r="K27" i="8"/>
  <c r="H27" i="8"/>
  <c r="E27" i="8"/>
  <c r="B27" i="8"/>
  <c r="K26" i="8"/>
  <c r="H26" i="8"/>
  <c r="E26" i="8"/>
  <c r="B26" i="8"/>
  <c r="K25" i="8"/>
  <c r="H25" i="8"/>
  <c r="E25" i="8"/>
  <c r="B25" i="8"/>
  <c r="K24" i="8"/>
  <c r="H24" i="8"/>
  <c r="E24" i="8"/>
  <c r="B24" i="8"/>
  <c r="K23" i="8"/>
  <c r="H23" i="8"/>
  <c r="E23" i="8"/>
  <c r="B23" i="8"/>
  <c r="K22" i="8"/>
  <c r="H22" i="8"/>
  <c r="E22" i="8"/>
  <c r="B22" i="8"/>
  <c r="K21" i="8"/>
  <c r="H21" i="8"/>
  <c r="E21" i="8"/>
  <c r="B21" i="8"/>
  <c r="K20" i="8"/>
  <c r="H20" i="8"/>
  <c r="E20" i="8"/>
  <c r="B20" i="8"/>
  <c r="K19" i="8"/>
  <c r="H19" i="8"/>
  <c r="E19" i="8"/>
  <c r="B19" i="8"/>
  <c r="K18" i="8"/>
  <c r="H18" i="8"/>
  <c r="E18" i="8"/>
  <c r="B18" i="8"/>
  <c r="K17" i="8"/>
  <c r="H17" i="8"/>
  <c r="E17" i="8"/>
  <c r="B17" i="8"/>
  <c r="K16" i="8"/>
  <c r="H16" i="8"/>
  <c r="E16" i="8"/>
  <c r="B16" i="8"/>
  <c r="K15" i="8"/>
  <c r="H15" i="8"/>
  <c r="E15" i="8"/>
  <c r="B15" i="8"/>
  <c r="K14" i="8"/>
  <c r="H14" i="8"/>
  <c r="E14" i="8"/>
  <c r="B14" i="8"/>
  <c r="K13" i="8"/>
  <c r="H13" i="8"/>
  <c r="E13" i="8"/>
  <c r="B13" i="8"/>
  <c r="K12" i="8"/>
  <c r="H12" i="8"/>
  <c r="E12" i="8"/>
  <c r="B12" i="8"/>
  <c r="K11" i="8"/>
  <c r="H11" i="8"/>
  <c r="E11" i="8"/>
  <c r="B11" i="8"/>
  <c r="K10" i="8"/>
  <c r="H10" i="8"/>
  <c r="E10" i="8"/>
  <c r="B10" i="8"/>
  <c r="K9" i="8"/>
  <c r="H9" i="8"/>
  <c r="E9" i="8"/>
  <c r="B9" i="8"/>
  <c r="K8" i="8"/>
  <c r="H8" i="8"/>
  <c r="E8" i="8"/>
  <c r="B8" i="8"/>
  <c r="K7" i="8"/>
  <c r="H7" i="8"/>
  <c r="E7" i="8"/>
  <c r="B7" i="8"/>
  <c r="K6" i="8"/>
  <c r="H6" i="8"/>
  <c r="E6" i="8"/>
  <c r="B6" i="8"/>
  <c r="K5" i="8"/>
  <c r="H5" i="8"/>
  <c r="E5" i="8"/>
  <c r="B5" i="8"/>
  <c r="X34" i="7"/>
  <c r="U34" i="7"/>
  <c r="R34" i="7"/>
  <c r="O34" i="7"/>
  <c r="X33" i="7"/>
  <c r="U33" i="7"/>
  <c r="R33" i="7"/>
  <c r="O33" i="7"/>
  <c r="X32" i="7"/>
  <c r="U32" i="7"/>
  <c r="R32" i="7"/>
  <c r="O32" i="7"/>
  <c r="X31" i="7"/>
  <c r="U31" i="7"/>
  <c r="R31" i="7"/>
  <c r="O31" i="7"/>
  <c r="X30" i="7"/>
  <c r="U30" i="7"/>
  <c r="R30" i="7"/>
  <c r="O30" i="7"/>
  <c r="X29" i="7"/>
  <c r="U29" i="7"/>
  <c r="R29" i="7"/>
  <c r="O29" i="7"/>
  <c r="X28" i="7"/>
  <c r="U28" i="7"/>
  <c r="R28" i="7"/>
  <c r="O28" i="7"/>
  <c r="X27" i="7"/>
  <c r="U27" i="7"/>
  <c r="R27" i="7"/>
  <c r="O27" i="7"/>
  <c r="X26" i="7"/>
  <c r="U26" i="7"/>
  <c r="R26" i="7"/>
  <c r="O26" i="7"/>
  <c r="X25" i="7"/>
  <c r="U25" i="7"/>
  <c r="R25" i="7"/>
  <c r="O25" i="7"/>
  <c r="X24" i="7"/>
  <c r="U24" i="7"/>
  <c r="R24" i="7"/>
  <c r="O24" i="7"/>
  <c r="X23" i="7"/>
  <c r="U23" i="7"/>
  <c r="R23" i="7"/>
  <c r="O23" i="7"/>
  <c r="X22" i="7"/>
  <c r="U22" i="7"/>
  <c r="R22" i="7"/>
  <c r="O22" i="7"/>
  <c r="X21" i="7"/>
  <c r="U21" i="7"/>
  <c r="R21" i="7"/>
  <c r="O21" i="7"/>
  <c r="X20" i="7"/>
  <c r="U20" i="7"/>
  <c r="R20" i="7"/>
  <c r="O20" i="7"/>
  <c r="X19" i="7"/>
  <c r="U19" i="7"/>
  <c r="R19" i="7"/>
  <c r="O19" i="7"/>
  <c r="X18" i="7"/>
  <c r="U18" i="7"/>
  <c r="R18" i="7"/>
  <c r="O18" i="7"/>
  <c r="X17" i="7"/>
  <c r="U17" i="7"/>
  <c r="R17" i="7"/>
  <c r="O17" i="7"/>
  <c r="X16" i="7"/>
  <c r="U16" i="7"/>
  <c r="R16" i="7"/>
  <c r="O16" i="7"/>
  <c r="X15" i="7"/>
  <c r="U15" i="7"/>
  <c r="R15" i="7"/>
  <c r="O15" i="7"/>
  <c r="X14" i="7"/>
  <c r="U14" i="7"/>
  <c r="R14" i="7"/>
  <c r="O14" i="7"/>
  <c r="X13" i="7"/>
  <c r="U13" i="7"/>
  <c r="R13" i="7"/>
  <c r="O13" i="7"/>
  <c r="X12" i="7"/>
  <c r="U12" i="7"/>
  <c r="R12" i="7"/>
  <c r="O12" i="7"/>
  <c r="X11" i="7"/>
  <c r="U11" i="7"/>
  <c r="R11" i="7"/>
  <c r="O11" i="7"/>
  <c r="X10" i="7"/>
  <c r="U10" i="7"/>
  <c r="R10" i="7"/>
  <c r="O10" i="7"/>
  <c r="X9" i="7"/>
  <c r="U9" i="7"/>
  <c r="R9" i="7"/>
  <c r="O9" i="7"/>
  <c r="X8" i="7"/>
  <c r="U8" i="7"/>
  <c r="R8" i="7"/>
  <c r="O8" i="7"/>
  <c r="X7" i="7"/>
  <c r="U7" i="7"/>
  <c r="R7" i="7"/>
  <c r="O7" i="7"/>
  <c r="X6" i="7"/>
  <c r="U6" i="7"/>
  <c r="R6" i="7"/>
  <c r="O6" i="7"/>
  <c r="X5" i="7"/>
  <c r="U5" i="7"/>
  <c r="R5" i="7"/>
  <c r="O5" i="7"/>
  <c r="K34" i="7"/>
  <c r="H34" i="7"/>
  <c r="E34" i="7"/>
  <c r="B34" i="7"/>
  <c r="K33" i="7"/>
  <c r="H33" i="7"/>
  <c r="E33" i="7"/>
  <c r="B33" i="7"/>
  <c r="K32" i="7"/>
  <c r="H32" i="7"/>
  <c r="E32" i="7"/>
  <c r="B32" i="7"/>
  <c r="K31" i="7"/>
  <c r="H31" i="7"/>
  <c r="E31" i="7"/>
  <c r="B31" i="7"/>
  <c r="K30" i="7"/>
  <c r="H30" i="7"/>
  <c r="E30" i="7"/>
  <c r="B30" i="7"/>
  <c r="K29" i="7"/>
  <c r="H29" i="7"/>
  <c r="E29" i="7"/>
  <c r="B29" i="7"/>
  <c r="K28" i="7"/>
  <c r="H28" i="7"/>
  <c r="E28" i="7"/>
  <c r="B28" i="7"/>
  <c r="K27" i="7"/>
  <c r="H27" i="7"/>
  <c r="E27" i="7"/>
  <c r="B27" i="7"/>
  <c r="K26" i="7"/>
  <c r="H26" i="7"/>
  <c r="E26" i="7"/>
  <c r="B26" i="7"/>
  <c r="K25" i="7"/>
  <c r="H25" i="7"/>
  <c r="E25" i="7"/>
  <c r="B25" i="7"/>
  <c r="K24" i="7"/>
  <c r="H24" i="7"/>
  <c r="E24" i="7"/>
  <c r="B24" i="7"/>
  <c r="K23" i="7"/>
  <c r="H23" i="7"/>
  <c r="E23" i="7"/>
  <c r="B23" i="7"/>
  <c r="K22" i="7"/>
  <c r="H22" i="7"/>
  <c r="E22" i="7"/>
  <c r="B22" i="7"/>
  <c r="K21" i="7"/>
  <c r="H21" i="7"/>
  <c r="E21" i="7"/>
  <c r="B21" i="7"/>
  <c r="K20" i="7"/>
  <c r="H20" i="7"/>
  <c r="E20" i="7"/>
  <c r="B20" i="7"/>
  <c r="K19" i="7"/>
  <c r="H19" i="7"/>
  <c r="E19" i="7"/>
  <c r="B19" i="7"/>
  <c r="K18" i="7"/>
  <c r="H18" i="7"/>
  <c r="E18" i="7"/>
  <c r="B18" i="7"/>
  <c r="K17" i="7"/>
  <c r="H17" i="7"/>
  <c r="E17" i="7"/>
  <c r="B17" i="7"/>
  <c r="K16" i="7"/>
  <c r="H16" i="7"/>
  <c r="E16" i="7"/>
  <c r="B16" i="7"/>
  <c r="K15" i="7"/>
  <c r="H15" i="7"/>
  <c r="E15" i="7"/>
  <c r="B15" i="7"/>
  <c r="K14" i="7"/>
  <c r="H14" i="7"/>
  <c r="E14" i="7"/>
  <c r="B14" i="7"/>
  <c r="K13" i="7"/>
  <c r="H13" i="7"/>
  <c r="E13" i="7"/>
  <c r="B13" i="7"/>
  <c r="K12" i="7"/>
  <c r="H12" i="7"/>
  <c r="E12" i="7"/>
  <c r="B12" i="7"/>
  <c r="K11" i="7"/>
  <c r="H11" i="7"/>
  <c r="E11" i="7"/>
  <c r="B11" i="7"/>
  <c r="K10" i="7"/>
  <c r="H10" i="7"/>
  <c r="E10" i="7"/>
  <c r="B10" i="7"/>
  <c r="K9" i="7"/>
  <c r="H9" i="7"/>
  <c r="E9" i="7"/>
  <c r="B9" i="7"/>
  <c r="K8" i="7"/>
  <c r="H8" i="7"/>
  <c r="E8" i="7"/>
  <c r="B8" i="7"/>
  <c r="K7" i="7"/>
  <c r="H7" i="7"/>
  <c r="E7" i="7"/>
  <c r="B7" i="7"/>
  <c r="K6" i="7"/>
  <c r="H6" i="7"/>
  <c r="E6" i="7"/>
  <c r="B6" i="7"/>
  <c r="K5" i="7"/>
  <c r="H5" i="7"/>
  <c r="E5" i="7"/>
  <c r="B5" i="7"/>
  <c r="X35" i="6"/>
  <c r="U35" i="6"/>
  <c r="R35" i="6"/>
  <c r="O35" i="6"/>
  <c r="X34" i="6"/>
  <c r="U34" i="6"/>
  <c r="R34" i="6"/>
  <c r="O34" i="6"/>
  <c r="X33" i="6"/>
  <c r="U33" i="6"/>
  <c r="R33" i="6"/>
  <c r="O33" i="6"/>
  <c r="X32" i="6"/>
  <c r="U32" i="6"/>
  <c r="R32" i="6"/>
  <c r="O32" i="6"/>
  <c r="X31" i="6"/>
  <c r="U31" i="6"/>
  <c r="R31" i="6"/>
  <c r="O31" i="6"/>
  <c r="X30" i="6"/>
  <c r="U30" i="6"/>
  <c r="R30" i="6"/>
  <c r="O30" i="6"/>
  <c r="X29" i="6"/>
  <c r="U29" i="6"/>
  <c r="R29" i="6"/>
  <c r="O29" i="6"/>
  <c r="X28" i="6"/>
  <c r="U28" i="6"/>
  <c r="R28" i="6"/>
  <c r="O28" i="6"/>
  <c r="X27" i="6"/>
  <c r="U27" i="6"/>
  <c r="R27" i="6"/>
  <c r="O27" i="6"/>
  <c r="X26" i="6"/>
  <c r="U26" i="6"/>
  <c r="R26" i="6"/>
  <c r="O26" i="6"/>
  <c r="X25" i="6"/>
  <c r="U25" i="6"/>
  <c r="R25" i="6"/>
  <c r="O25" i="6"/>
  <c r="X24" i="6"/>
  <c r="U24" i="6"/>
  <c r="R24" i="6"/>
  <c r="O24" i="6"/>
  <c r="X23" i="6"/>
  <c r="U23" i="6"/>
  <c r="R23" i="6"/>
  <c r="O23" i="6"/>
  <c r="X22" i="6"/>
  <c r="U22" i="6"/>
  <c r="R22" i="6"/>
  <c r="O22" i="6"/>
  <c r="X21" i="6"/>
  <c r="U21" i="6"/>
  <c r="R21" i="6"/>
  <c r="O21" i="6"/>
  <c r="X20" i="6"/>
  <c r="U20" i="6"/>
  <c r="R20" i="6"/>
  <c r="O20" i="6"/>
  <c r="X19" i="6"/>
  <c r="U19" i="6"/>
  <c r="R19" i="6"/>
  <c r="O19" i="6"/>
  <c r="X18" i="6"/>
  <c r="U18" i="6"/>
  <c r="R18" i="6"/>
  <c r="O18" i="6"/>
  <c r="X17" i="6"/>
  <c r="U17" i="6"/>
  <c r="R17" i="6"/>
  <c r="O17" i="6"/>
  <c r="X16" i="6"/>
  <c r="U16" i="6"/>
  <c r="R16" i="6"/>
  <c r="O16" i="6"/>
  <c r="X15" i="6"/>
  <c r="U15" i="6"/>
  <c r="R15" i="6"/>
  <c r="O15" i="6"/>
  <c r="X14" i="6"/>
  <c r="U14" i="6"/>
  <c r="R14" i="6"/>
  <c r="O14" i="6"/>
  <c r="X13" i="6"/>
  <c r="U13" i="6"/>
  <c r="R13" i="6"/>
  <c r="O13" i="6"/>
  <c r="X12" i="6"/>
  <c r="U12" i="6"/>
  <c r="R12" i="6"/>
  <c r="O12" i="6"/>
  <c r="X11" i="6"/>
  <c r="U11" i="6"/>
  <c r="R11" i="6"/>
  <c r="O11" i="6"/>
  <c r="X10" i="6"/>
  <c r="U10" i="6"/>
  <c r="R10" i="6"/>
  <c r="O10" i="6"/>
  <c r="X9" i="6"/>
  <c r="U9" i="6"/>
  <c r="R9" i="6"/>
  <c r="O9" i="6"/>
  <c r="X8" i="6"/>
  <c r="U8" i="6"/>
  <c r="R8" i="6"/>
  <c r="O8" i="6"/>
  <c r="X7" i="6"/>
  <c r="U7" i="6"/>
  <c r="R7" i="6"/>
  <c r="O7" i="6"/>
  <c r="X6" i="6"/>
  <c r="U6" i="6"/>
  <c r="R6" i="6"/>
  <c r="O6" i="6"/>
  <c r="X5" i="6"/>
  <c r="U5" i="6"/>
  <c r="R5" i="6"/>
  <c r="O5" i="6"/>
  <c r="K35" i="6"/>
  <c r="H35" i="6"/>
  <c r="E35" i="6"/>
  <c r="B35" i="6"/>
  <c r="K34" i="6"/>
  <c r="H34" i="6"/>
  <c r="E34" i="6"/>
  <c r="B34" i="6"/>
  <c r="K33" i="6"/>
  <c r="H33" i="6"/>
  <c r="E33" i="6"/>
  <c r="B33" i="6"/>
  <c r="K32" i="6"/>
  <c r="H32" i="6"/>
  <c r="E32" i="6"/>
  <c r="B32" i="6"/>
  <c r="K31" i="6"/>
  <c r="H31" i="6"/>
  <c r="E31" i="6"/>
  <c r="B31" i="6"/>
  <c r="K30" i="6"/>
  <c r="H30" i="6"/>
  <c r="E30" i="6"/>
  <c r="B30" i="6"/>
  <c r="K29" i="6"/>
  <c r="H29" i="6"/>
  <c r="E29" i="6"/>
  <c r="B29" i="6"/>
  <c r="K28" i="6"/>
  <c r="H28" i="6"/>
  <c r="E28" i="6"/>
  <c r="B28" i="6"/>
  <c r="K27" i="6"/>
  <c r="H27" i="6"/>
  <c r="E27" i="6"/>
  <c r="B27" i="6"/>
  <c r="K26" i="6"/>
  <c r="H26" i="6"/>
  <c r="E26" i="6"/>
  <c r="B26" i="6"/>
  <c r="K25" i="6"/>
  <c r="H25" i="6"/>
  <c r="E25" i="6"/>
  <c r="B25" i="6"/>
  <c r="K24" i="6"/>
  <c r="H24" i="6"/>
  <c r="E24" i="6"/>
  <c r="B24" i="6"/>
  <c r="K23" i="6"/>
  <c r="H23" i="6"/>
  <c r="E23" i="6"/>
  <c r="B23" i="6"/>
  <c r="K22" i="6"/>
  <c r="H22" i="6"/>
  <c r="E22" i="6"/>
  <c r="B22" i="6"/>
  <c r="K21" i="6"/>
  <c r="H21" i="6"/>
  <c r="E21" i="6"/>
  <c r="B21" i="6"/>
  <c r="K20" i="6"/>
  <c r="H20" i="6"/>
  <c r="E20" i="6"/>
  <c r="B20" i="6"/>
  <c r="K19" i="6"/>
  <c r="H19" i="6"/>
  <c r="E19" i="6"/>
  <c r="B19" i="6"/>
  <c r="K18" i="6"/>
  <c r="H18" i="6"/>
  <c r="E18" i="6"/>
  <c r="B18" i="6"/>
  <c r="K17" i="6"/>
  <c r="H17" i="6"/>
  <c r="E17" i="6"/>
  <c r="B17" i="6"/>
  <c r="K16" i="6"/>
  <c r="H16" i="6"/>
  <c r="E16" i="6"/>
  <c r="B16" i="6"/>
  <c r="K15" i="6"/>
  <c r="H15" i="6"/>
  <c r="E15" i="6"/>
  <c r="B15" i="6"/>
  <c r="K14" i="6"/>
  <c r="H14" i="6"/>
  <c r="E14" i="6"/>
  <c r="B14" i="6"/>
  <c r="K13" i="6"/>
  <c r="H13" i="6"/>
  <c r="E13" i="6"/>
  <c r="B13" i="6"/>
  <c r="K12" i="6"/>
  <c r="H12" i="6"/>
  <c r="E12" i="6"/>
  <c r="B12" i="6"/>
  <c r="K11" i="6"/>
  <c r="H11" i="6"/>
  <c r="E11" i="6"/>
  <c r="B11" i="6"/>
  <c r="K10" i="6"/>
  <c r="H10" i="6"/>
  <c r="E10" i="6"/>
  <c r="B10" i="6"/>
  <c r="K9" i="6"/>
  <c r="H9" i="6"/>
  <c r="E9" i="6"/>
  <c r="B9" i="6"/>
  <c r="K8" i="6"/>
  <c r="H8" i="6"/>
  <c r="E8" i="6"/>
  <c r="B8" i="6"/>
  <c r="K7" i="6"/>
  <c r="H7" i="6"/>
  <c r="E7" i="6"/>
  <c r="B7" i="6"/>
  <c r="K6" i="6"/>
  <c r="H6" i="6"/>
  <c r="E6" i="6"/>
  <c r="B6" i="6"/>
  <c r="K5" i="6"/>
  <c r="H5" i="6"/>
  <c r="E5" i="6"/>
  <c r="B5" i="6"/>
  <c r="X32" i="4"/>
  <c r="U32" i="4"/>
  <c r="R32" i="4"/>
  <c r="O32" i="4"/>
  <c r="X31" i="4"/>
  <c r="U31" i="4"/>
  <c r="R31" i="4"/>
  <c r="O31" i="4"/>
  <c r="X30" i="4"/>
  <c r="U30" i="4"/>
  <c r="R30" i="4"/>
  <c r="O30" i="4"/>
  <c r="X29" i="4"/>
  <c r="U29" i="4"/>
  <c r="R29" i="4"/>
  <c r="O29" i="4"/>
  <c r="X28" i="4"/>
  <c r="U28" i="4"/>
  <c r="R28" i="4"/>
  <c r="O28" i="4"/>
  <c r="X27" i="4"/>
  <c r="U27" i="4"/>
  <c r="R27" i="4"/>
  <c r="O27" i="4"/>
  <c r="X26" i="4"/>
  <c r="U26" i="4"/>
  <c r="R26" i="4"/>
  <c r="O26" i="4"/>
  <c r="X25" i="4"/>
  <c r="U25" i="4"/>
  <c r="R25" i="4"/>
  <c r="O25" i="4"/>
  <c r="X24" i="4"/>
  <c r="U24" i="4"/>
  <c r="R24" i="4"/>
  <c r="O24" i="4"/>
  <c r="X23" i="4"/>
  <c r="U23" i="4"/>
  <c r="R23" i="4"/>
  <c r="O23" i="4"/>
  <c r="X22" i="4"/>
  <c r="U22" i="4"/>
  <c r="R22" i="4"/>
  <c r="O22" i="4"/>
  <c r="X21" i="4"/>
  <c r="U21" i="4"/>
  <c r="R21" i="4"/>
  <c r="O21" i="4"/>
  <c r="X20" i="4"/>
  <c r="U20" i="4"/>
  <c r="R20" i="4"/>
  <c r="O20" i="4"/>
  <c r="X19" i="4"/>
  <c r="U19" i="4"/>
  <c r="R19" i="4"/>
  <c r="O19" i="4"/>
  <c r="X18" i="4"/>
  <c r="U18" i="4"/>
  <c r="R18" i="4"/>
  <c r="O18" i="4"/>
  <c r="X17" i="4"/>
  <c r="U17" i="4"/>
  <c r="R17" i="4"/>
  <c r="O17" i="4"/>
  <c r="X16" i="4"/>
  <c r="U16" i="4"/>
  <c r="R16" i="4"/>
  <c r="O16" i="4"/>
  <c r="X15" i="4"/>
  <c r="U15" i="4"/>
  <c r="R15" i="4"/>
  <c r="O15" i="4"/>
  <c r="X14" i="4"/>
  <c r="U14" i="4"/>
  <c r="R14" i="4"/>
  <c r="O14" i="4"/>
  <c r="X13" i="4"/>
  <c r="U13" i="4"/>
  <c r="R13" i="4"/>
  <c r="O13" i="4"/>
  <c r="X12" i="4"/>
  <c r="U12" i="4"/>
  <c r="R12" i="4"/>
  <c r="O12" i="4"/>
  <c r="X11" i="4"/>
  <c r="U11" i="4"/>
  <c r="R11" i="4"/>
  <c r="O11" i="4"/>
  <c r="X10" i="4"/>
  <c r="U10" i="4"/>
  <c r="R10" i="4"/>
  <c r="O10" i="4"/>
  <c r="X9" i="4"/>
  <c r="U9" i="4"/>
  <c r="R9" i="4"/>
  <c r="O9" i="4"/>
  <c r="X8" i="4"/>
  <c r="U8" i="4"/>
  <c r="R8" i="4"/>
  <c r="O8" i="4"/>
  <c r="X7" i="4"/>
  <c r="U7" i="4"/>
  <c r="R7" i="4"/>
  <c r="O7" i="4"/>
  <c r="X6" i="4"/>
  <c r="U6" i="4"/>
  <c r="R6" i="4"/>
  <c r="O6" i="4"/>
  <c r="X5" i="4"/>
  <c r="U5" i="4"/>
  <c r="R5" i="4"/>
  <c r="O5" i="4"/>
  <c r="K32" i="4"/>
  <c r="H32" i="4"/>
  <c r="E32" i="4"/>
  <c r="B32" i="4"/>
  <c r="K31" i="4"/>
  <c r="H31" i="4"/>
  <c r="E31" i="4"/>
  <c r="B31" i="4"/>
  <c r="K30" i="4"/>
  <c r="H30" i="4"/>
  <c r="E30" i="4"/>
  <c r="B30" i="4"/>
  <c r="K29" i="4"/>
  <c r="H29" i="4"/>
  <c r="E29" i="4"/>
  <c r="B29" i="4"/>
  <c r="K28" i="4"/>
  <c r="H28" i="4"/>
  <c r="E28" i="4"/>
  <c r="B28" i="4"/>
  <c r="K27" i="4"/>
  <c r="H27" i="4"/>
  <c r="E27" i="4"/>
  <c r="B27" i="4"/>
  <c r="K26" i="4"/>
  <c r="H26" i="4"/>
  <c r="E26" i="4"/>
  <c r="B26" i="4"/>
  <c r="K25" i="4"/>
  <c r="H25" i="4"/>
  <c r="E25" i="4"/>
  <c r="B25" i="4"/>
  <c r="K24" i="4"/>
  <c r="H24" i="4"/>
  <c r="E24" i="4"/>
  <c r="B24" i="4"/>
  <c r="K23" i="4"/>
  <c r="H23" i="4"/>
  <c r="E23" i="4"/>
  <c r="B23" i="4"/>
  <c r="K22" i="4"/>
  <c r="H22" i="4"/>
  <c r="E22" i="4"/>
  <c r="B22" i="4"/>
  <c r="K21" i="4"/>
  <c r="H21" i="4"/>
  <c r="E21" i="4"/>
  <c r="B21" i="4"/>
  <c r="K20" i="4"/>
  <c r="H20" i="4"/>
  <c r="E20" i="4"/>
  <c r="B20" i="4"/>
  <c r="K19" i="4"/>
  <c r="H19" i="4"/>
  <c r="E19" i="4"/>
  <c r="B19" i="4"/>
  <c r="K18" i="4"/>
  <c r="H18" i="4"/>
  <c r="E18" i="4"/>
  <c r="B18" i="4"/>
  <c r="K17" i="4"/>
  <c r="H17" i="4"/>
  <c r="E17" i="4"/>
  <c r="B17" i="4"/>
  <c r="K16" i="4"/>
  <c r="H16" i="4"/>
  <c r="E16" i="4"/>
  <c r="B16" i="4"/>
  <c r="K15" i="4"/>
  <c r="H15" i="4"/>
  <c r="E15" i="4"/>
  <c r="B15" i="4"/>
  <c r="K14" i="4"/>
  <c r="H14" i="4"/>
  <c r="E14" i="4"/>
  <c r="B14" i="4"/>
  <c r="K13" i="4"/>
  <c r="H13" i="4"/>
  <c r="E13" i="4"/>
  <c r="B13" i="4"/>
  <c r="K12" i="4"/>
  <c r="H12" i="4"/>
  <c r="E12" i="4"/>
  <c r="B12" i="4"/>
  <c r="K11" i="4"/>
  <c r="H11" i="4"/>
  <c r="E11" i="4"/>
  <c r="B11" i="4"/>
  <c r="K10" i="4"/>
  <c r="H10" i="4"/>
  <c r="E10" i="4"/>
  <c r="B10" i="4"/>
  <c r="K9" i="4"/>
  <c r="H9" i="4"/>
  <c r="E9" i="4"/>
  <c r="B9" i="4"/>
  <c r="K8" i="4"/>
  <c r="H8" i="4"/>
  <c r="E8" i="4"/>
  <c r="B8" i="4"/>
  <c r="K7" i="4"/>
  <c r="H7" i="4"/>
  <c r="E7" i="4"/>
  <c r="B7" i="4"/>
  <c r="K6" i="4"/>
  <c r="H6" i="4"/>
  <c r="E6" i="4"/>
  <c r="B6" i="4"/>
  <c r="K5" i="4"/>
  <c r="H5" i="4"/>
  <c r="E5" i="4"/>
  <c r="B5" i="4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X35" i="1"/>
  <c r="U35" i="1"/>
  <c r="R35" i="1"/>
  <c r="O35" i="1"/>
  <c r="X34" i="1"/>
  <c r="U34" i="1"/>
  <c r="R34" i="1"/>
  <c r="O34" i="1"/>
  <c r="X33" i="1"/>
  <c r="U33" i="1"/>
  <c r="R33" i="1"/>
  <c r="O33" i="1"/>
  <c r="X32" i="1"/>
  <c r="U32" i="1"/>
  <c r="R32" i="1"/>
  <c r="O32" i="1"/>
  <c r="X31" i="1"/>
  <c r="U31" i="1"/>
  <c r="R31" i="1"/>
  <c r="O31" i="1"/>
  <c r="X30" i="1"/>
  <c r="U30" i="1"/>
  <c r="R30" i="1"/>
  <c r="O30" i="1"/>
  <c r="X29" i="1"/>
  <c r="U29" i="1"/>
  <c r="R29" i="1"/>
  <c r="O29" i="1"/>
  <c r="X28" i="1"/>
  <c r="U28" i="1"/>
  <c r="R28" i="1"/>
  <c r="O28" i="1"/>
  <c r="X27" i="1"/>
  <c r="U27" i="1"/>
  <c r="R27" i="1"/>
  <c r="O27" i="1"/>
  <c r="X26" i="1"/>
  <c r="U26" i="1"/>
  <c r="R26" i="1"/>
  <c r="O26" i="1"/>
  <c r="X25" i="1"/>
  <c r="U25" i="1"/>
  <c r="R25" i="1"/>
  <c r="O25" i="1"/>
  <c r="X24" i="1"/>
  <c r="U24" i="1"/>
  <c r="R24" i="1"/>
  <c r="O24" i="1"/>
  <c r="X23" i="1"/>
  <c r="U23" i="1"/>
  <c r="R23" i="1"/>
  <c r="O23" i="1"/>
  <c r="X22" i="1"/>
  <c r="U22" i="1"/>
  <c r="R22" i="1"/>
  <c r="O22" i="1"/>
  <c r="X21" i="1"/>
  <c r="U21" i="1"/>
  <c r="R21" i="1"/>
  <c r="O21" i="1"/>
  <c r="X20" i="1"/>
  <c r="U20" i="1"/>
  <c r="R20" i="1"/>
  <c r="O20" i="1"/>
  <c r="X19" i="1"/>
  <c r="U19" i="1"/>
  <c r="R19" i="1"/>
  <c r="O19" i="1"/>
  <c r="X18" i="1"/>
  <c r="U18" i="1"/>
  <c r="R18" i="1"/>
  <c r="O18" i="1"/>
  <c r="X17" i="1"/>
  <c r="U17" i="1"/>
  <c r="R17" i="1"/>
  <c r="O17" i="1"/>
  <c r="X16" i="1"/>
  <c r="U16" i="1"/>
  <c r="R16" i="1"/>
  <c r="O16" i="1"/>
  <c r="X15" i="1"/>
  <c r="U15" i="1"/>
  <c r="R15" i="1"/>
  <c r="O15" i="1"/>
  <c r="X14" i="1"/>
  <c r="U14" i="1"/>
  <c r="R14" i="1"/>
  <c r="O14" i="1"/>
  <c r="X13" i="1"/>
  <c r="U13" i="1"/>
  <c r="R13" i="1"/>
  <c r="O13" i="1"/>
  <c r="X12" i="1"/>
  <c r="U12" i="1"/>
  <c r="R12" i="1"/>
  <c r="O12" i="1"/>
  <c r="X11" i="1"/>
  <c r="U11" i="1"/>
  <c r="R11" i="1"/>
  <c r="O11" i="1"/>
  <c r="X10" i="1"/>
  <c r="U10" i="1"/>
  <c r="R10" i="1"/>
  <c r="O10" i="1"/>
  <c r="X9" i="1"/>
  <c r="U9" i="1"/>
  <c r="R9" i="1"/>
  <c r="O9" i="1"/>
  <c r="X8" i="1"/>
  <c r="U8" i="1"/>
  <c r="R8" i="1"/>
  <c r="O8" i="1"/>
  <c r="X7" i="1"/>
  <c r="U7" i="1"/>
  <c r="R7" i="1"/>
  <c r="O7" i="1"/>
  <c r="X6" i="1"/>
  <c r="U6" i="1"/>
  <c r="R6" i="1"/>
  <c r="O6" i="1"/>
  <c r="X5" i="1"/>
  <c r="U5" i="1"/>
  <c r="R5" i="1"/>
  <c r="O5" i="1"/>
  <c r="K35" i="1"/>
  <c r="E35" i="1"/>
  <c r="B35" i="1"/>
  <c r="K34" i="1"/>
  <c r="B34" i="1"/>
  <c r="K33" i="1"/>
  <c r="E33" i="1"/>
  <c r="B33" i="1"/>
  <c r="K32" i="1"/>
  <c r="E32" i="1"/>
  <c r="B32" i="1"/>
  <c r="K31" i="1"/>
  <c r="E31" i="1"/>
  <c r="B31" i="1"/>
  <c r="K30" i="1"/>
  <c r="E30" i="1"/>
  <c r="B30" i="1"/>
  <c r="K29" i="1"/>
  <c r="E29" i="1"/>
  <c r="B29" i="1"/>
  <c r="K28" i="1"/>
  <c r="E28" i="1"/>
  <c r="B28" i="1"/>
  <c r="K27" i="1"/>
  <c r="E27" i="1"/>
  <c r="B27" i="1"/>
  <c r="K26" i="1"/>
  <c r="E26" i="1"/>
  <c r="B26" i="1"/>
  <c r="K25" i="1"/>
  <c r="E25" i="1"/>
  <c r="B25" i="1"/>
  <c r="K24" i="1"/>
  <c r="E24" i="1"/>
  <c r="B24" i="1"/>
  <c r="K23" i="1"/>
  <c r="E23" i="1"/>
  <c r="B23" i="1"/>
  <c r="K22" i="1"/>
  <c r="E22" i="1"/>
  <c r="B22" i="1"/>
  <c r="K21" i="1"/>
  <c r="E21" i="1"/>
  <c r="B21" i="1"/>
  <c r="K20" i="1"/>
  <c r="E20" i="1"/>
  <c r="B20" i="1"/>
  <c r="K19" i="1"/>
  <c r="E19" i="1"/>
  <c r="B19" i="1"/>
  <c r="K18" i="1"/>
  <c r="E18" i="1"/>
  <c r="B18" i="1"/>
  <c r="K17" i="1"/>
  <c r="E17" i="1"/>
  <c r="B17" i="1"/>
  <c r="K16" i="1"/>
  <c r="E16" i="1"/>
  <c r="B16" i="1"/>
  <c r="K15" i="1"/>
  <c r="E15" i="1"/>
  <c r="B15" i="1"/>
  <c r="K14" i="1"/>
  <c r="E14" i="1"/>
  <c r="B14" i="1"/>
  <c r="K13" i="1"/>
  <c r="H13" i="1"/>
  <c r="E13" i="1"/>
  <c r="B13" i="1"/>
  <c r="K12" i="1"/>
  <c r="H12" i="1"/>
  <c r="E12" i="1"/>
  <c r="B12" i="1"/>
  <c r="K11" i="1"/>
  <c r="H11" i="1"/>
  <c r="E11" i="1"/>
  <c r="B11" i="1"/>
  <c r="K10" i="1"/>
  <c r="H10" i="1"/>
  <c r="E10" i="1"/>
  <c r="B10" i="1"/>
  <c r="K9" i="1"/>
  <c r="H9" i="1"/>
  <c r="E9" i="1"/>
  <c r="B9" i="1"/>
  <c r="K8" i="1"/>
  <c r="H8" i="1"/>
  <c r="E8" i="1"/>
  <c r="B8" i="1"/>
  <c r="K7" i="1"/>
  <c r="H7" i="1"/>
  <c r="E7" i="1"/>
  <c r="B7" i="1"/>
  <c r="K6" i="1"/>
  <c r="H6" i="1"/>
  <c r="E6" i="1"/>
  <c r="B6" i="1"/>
  <c r="K5" i="1"/>
  <c r="H5" i="1"/>
  <c r="E5" i="1"/>
  <c r="B5" i="1"/>
  <c r="X35" i="13" l="1"/>
  <c r="U35" i="13"/>
  <c r="R35" i="13"/>
  <c r="O35" i="13"/>
  <c r="X34" i="13"/>
  <c r="U34" i="13"/>
  <c r="R34" i="13"/>
  <c r="O34" i="13"/>
  <c r="X33" i="13"/>
  <c r="U33" i="13"/>
  <c r="R33" i="13"/>
  <c r="O33" i="13"/>
  <c r="X32" i="13"/>
  <c r="U32" i="13"/>
  <c r="R32" i="13"/>
  <c r="O32" i="13"/>
  <c r="X31" i="13"/>
  <c r="U31" i="13"/>
  <c r="R31" i="13"/>
  <c r="O31" i="13"/>
  <c r="X30" i="13"/>
  <c r="U30" i="13"/>
  <c r="R30" i="13"/>
  <c r="O30" i="13"/>
  <c r="X29" i="13"/>
  <c r="U29" i="13"/>
  <c r="R29" i="13"/>
  <c r="O29" i="13"/>
  <c r="X28" i="13"/>
  <c r="U28" i="13"/>
  <c r="R28" i="13"/>
  <c r="O28" i="13"/>
  <c r="X27" i="13"/>
  <c r="U27" i="13"/>
  <c r="R27" i="13"/>
  <c r="O27" i="13"/>
  <c r="X26" i="13"/>
  <c r="U26" i="13"/>
  <c r="R26" i="13"/>
  <c r="O26" i="13"/>
  <c r="X25" i="13"/>
  <c r="U25" i="13"/>
  <c r="R25" i="13"/>
  <c r="O25" i="13"/>
  <c r="X24" i="13"/>
  <c r="U24" i="13"/>
  <c r="R24" i="13"/>
  <c r="O24" i="13"/>
  <c r="X23" i="13"/>
  <c r="U23" i="13"/>
  <c r="R23" i="13"/>
  <c r="O23" i="13"/>
  <c r="X22" i="13"/>
  <c r="U22" i="13"/>
  <c r="R22" i="13"/>
  <c r="O22" i="13"/>
  <c r="X21" i="13"/>
  <c r="U21" i="13"/>
  <c r="R21" i="13"/>
  <c r="O21" i="13"/>
  <c r="X20" i="13"/>
  <c r="U20" i="13"/>
  <c r="R20" i="13"/>
  <c r="O20" i="13"/>
  <c r="X19" i="13"/>
  <c r="U19" i="13"/>
  <c r="R19" i="13"/>
  <c r="O19" i="13"/>
  <c r="X18" i="13"/>
  <c r="U18" i="13"/>
  <c r="R18" i="13"/>
  <c r="O18" i="13"/>
  <c r="X17" i="13"/>
  <c r="U17" i="13"/>
  <c r="R17" i="13"/>
  <c r="O17" i="13"/>
  <c r="X16" i="13"/>
  <c r="U16" i="13"/>
  <c r="R16" i="13"/>
  <c r="O16" i="13"/>
  <c r="X15" i="13"/>
  <c r="U15" i="13"/>
  <c r="R15" i="13"/>
  <c r="O15" i="13"/>
  <c r="X14" i="13"/>
  <c r="U14" i="13"/>
  <c r="R14" i="13"/>
  <c r="O14" i="13"/>
  <c r="X13" i="13"/>
  <c r="U13" i="13"/>
  <c r="R13" i="13"/>
  <c r="O13" i="13"/>
  <c r="X12" i="13"/>
  <c r="U12" i="13"/>
  <c r="R12" i="13"/>
  <c r="O12" i="13"/>
  <c r="X11" i="13"/>
  <c r="U11" i="13"/>
  <c r="R11" i="13"/>
  <c r="O11" i="13"/>
  <c r="X10" i="13"/>
  <c r="U10" i="13"/>
  <c r="R10" i="13"/>
  <c r="O10" i="13"/>
  <c r="X9" i="13"/>
  <c r="U9" i="13"/>
  <c r="R9" i="13"/>
  <c r="O9" i="13"/>
  <c r="X8" i="13"/>
  <c r="U8" i="13"/>
  <c r="R8" i="13"/>
  <c r="O8" i="13"/>
  <c r="X7" i="13"/>
  <c r="U7" i="13"/>
  <c r="R7" i="13"/>
  <c r="O7" i="13"/>
  <c r="X6" i="13"/>
  <c r="U6" i="13"/>
  <c r="R6" i="13"/>
  <c r="O6" i="13"/>
  <c r="X5" i="13"/>
  <c r="U5" i="13"/>
  <c r="R5" i="13"/>
  <c r="O5" i="13"/>
  <c r="K35" i="13"/>
  <c r="H35" i="13"/>
  <c r="E35" i="13"/>
  <c r="B35" i="13"/>
  <c r="K34" i="13"/>
  <c r="H34" i="13"/>
  <c r="E34" i="13"/>
  <c r="B34" i="13"/>
  <c r="K33" i="13"/>
  <c r="H33" i="13"/>
  <c r="E33" i="13"/>
  <c r="B33" i="13"/>
  <c r="K32" i="13"/>
  <c r="H32" i="13"/>
  <c r="E32" i="13"/>
  <c r="B32" i="13"/>
  <c r="K31" i="13"/>
  <c r="H31" i="13"/>
  <c r="E31" i="13"/>
  <c r="B31" i="13"/>
  <c r="K30" i="13"/>
  <c r="H30" i="13"/>
  <c r="E30" i="13"/>
  <c r="B30" i="13"/>
  <c r="K29" i="13"/>
  <c r="H29" i="13"/>
  <c r="E29" i="13"/>
  <c r="B29" i="13"/>
  <c r="K28" i="13"/>
  <c r="H28" i="13"/>
  <c r="E28" i="13"/>
  <c r="B28" i="13"/>
  <c r="K27" i="13"/>
  <c r="H27" i="13"/>
  <c r="E27" i="13"/>
  <c r="B27" i="13"/>
  <c r="K26" i="13"/>
  <c r="H26" i="13"/>
  <c r="E26" i="13"/>
  <c r="B26" i="13"/>
  <c r="K25" i="13"/>
  <c r="H25" i="13"/>
  <c r="E25" i="13"/>
  <c r="B25" i="13"/>
  <c r="K24" i="13"/>
  <c r="H24" i="13"/>
  <c r="E24" i="13"/>
  <c r="B24" i="13"/>
  <c r="K23" i="13"/>
  <c r="H23" i="13"/>
  <c r="E23" i="13"/>
  <c r="B23" i="13"/>
  <c r="K22" i="13"/>
  <c r="H22" i="13"/>
  <c r="E22" i="13"/>
  <c r="B22" i="13"/>
  <c r="K21" i="13"/>
  <c r="H21" i="13"/>
  <c r="E21" i="13"/>
  <c r="B21" i="13"/>
  <c r="K20" i="13"/>
  <c r="H20" i="13"/>
  <c r="E20" i="13"/>
  <c r="B20" i="13"/>
  <c r="K19" i="13"/>
  <c r="H19" i="13"/>
  <c r="E19" i="13"/>
  <c r="B19" i="13"/>
  <c r="K18" i="13"/>
  <c r="H18" i="13"/>
  <c r="E18" i="13"/>
  <c r="B18" i="13"/>
  <c r="K17" i="13"/>
  <c r="H17" i="13"/>
  <c r="E17" i="13"/>
  <c r="B17" i="13"/>
  <c r="K16" i="13"/>
  <c r="H16" i="13"/>
  <c r="E16" i="13"/>
  <c r="B16" i="13"/>
  <c r="K15" i="13"/>
  <c r="H15" i="13"/>
  <c r="E15" i="13"/>
  <c r="B15" i="13"/>
  <c r="K14" i="13"/>
  <c r="H14" i="13"/>
  <c r="E14" i="13"/>
  <c r="B14" i="13"/>
  <c r="K13" i="13"/>
  <c r="H13" i="13"/>
  <c r="E13" i="13"/>
  <c r="B13" i="13"/>
  <c r="K12" i="13"/>
  <c r="H12" i="13"/>
  <c r="E12" i="13"/>
  <c r="B12" i="13"/>
  <c r="K11" i="13"/>
  <c r="H11" i="13"/>
  <c r="E11" i="13"/>
  <c r="B11" i="13"/>
  <c r="K10" i="13"/>
  <c r="H10" i="13"/>
  <c r="E10" i="13"/>
  <c r="B10" i="13"/>
  <c r="K9" i="13"/>
  <c r="H9" i="13"/>
  <c r="E9" i="13"/>
  <c r="B9" i="13"/>
  <c r="K8" i="13"/>
  <c r="H8" i="13"/>
  <c r="E8" i="13"/>
  <c r="B8" i="13"/>
  <c r="K7" i="13"/>
  <c r="H7" i="13"/>
  <c r="E7" i="13"/>
  <c r="B7" i="13"/>
  <c r="K6" i="13"/>
  <c r="H6" i="13"/>
  <c r="E6" i="13"/>
  <c r="B6" i="13"/>
  <c r="K5" i="13"/>
  <c r="H5" i="13"/>
  <c r="E5" i="13"/>
  <c r="B5" i="13"/>
  <c r="X34" i="14"/>
  <c r="U34" i="14"/>
  <c r="R34" i="14"/>
  <c r="O34" i="14"/>
  <c r="X33" i="14"/>
  <c r="U33" i="14"/>
  <c r="R33" i="14"/>
  <c r="O33" i="14"/>
  <c r="X32" i="14"/>
  <c r="U32" i="14"/>
  <c r="R32" i="14"/>
  <c r="O32" i="14"/>
  <c r="X31" i="14"/>
  <c r="U31" i="14"/>
  <c r="R31" i="14"/>
  <c r="O31" i="14"/>
  <c r="X30" i="14"/>
  <c r="U30" i="14"/>
  <c r="R30" i="14"/>
  <c r="O30" i="14"/>
  <c r="X29" i="14"/>
  <c r="U29" i="14"/>
  <c r="R29" i="14"/>
  <c r="O29" i="14"/>
  <c r="X28" i="14"/>
  <c r="U28" i="14"/>
  <c r="R28" i="14"/>
  <c r="O28" i="14"/>
  <c r="X27" i="14"/>
  <c r="U27" i="14"/>
  <c r="R27" i="14"/>
  <c r="O27" i="14"/>
  <c r="X26" i="14"/>
  <c r="U26" i="14"/>
  <c r="R26" i="14"/>
  <c r="O26" i="14"/>
  <c r="X25" i="14"/>
  <c r="U25" i="14"/>
  <c r="R25" i="14"/>
  <c r="O25" i="14"/>
  <c r="X24" i="14"/>
  <c r="U24" i="14"/>
  <c r="R24" i="14"/>
  <c r="O24" i="14"/>
  <c r="X23" i="14"/>
  <c r="U23" i="14"/>
  <c r="R23" i="14"/>
  <c r="O23" i="14"/>
  <c r="X22" i="14"/>
  <c r="U22" i="14"/>
  <c r="R22" i="14"/>
  <c r="O22" i="14"/>
  <c r="X21" i="14"/>
  <c r="U21" i="14"/>
  <c r="R21" i="14"/>
  <c r="O21" i="14"/>
  <c r="X20" i="14"/>
  <c r="U20" i="14"/>
  <c r="R20" i="14"/>
  <c r="O20" i="14"/>
  <c r="X19" i="14"/>
  <c r="U19" i="14"/>
  <c r="R19" i="14"/>
  <c r="O19" i="14"/>
  <c r="X18" i="14"/>
  <c r="U18" i="14"/>
  <c r="R18" i="14"/>
  <c r="O18" i="14"/>
  <c r="X17" i="14"/>
  <c r="U17" i="14"/>
  <c r="R17" i="14"/>
  <c r="O17" i="14"/>
  <c r="X16" i="14"/>
  <c r="U16" i="14"/>
  <c r="R16" i="14"/>
  <c r="O16" i="14"/>
  <c r="X15" i="14"/>
  <c r="U15" i="14"/>
  <c r="R15" i="14"/>
  <c r="O15" i="14"/>
  <c r="X14" i="14"/>
  <c r="U14" i="14"/>
  <c r="R14" i="14"/>
  <c r="O14" i="14"/>
  <c r="X13" i="14"/>
  <c r="U13" i="14"/>
  <c r="R13" i="14"/>
  <c r="O13" i="14"/>
  <c r="X12" i="14"/>
  <c r="U12" i="14"/>
  <c r="R12" i="14"/>
  <c r="O12" i="14"/>
  <c r="X11" i="14"/>
  <c r="U11" i="14"/>
  <c r="R11" i="14"/>
  <c r="O11" i="14"/>
  <c r="X10" i="14"/>
  <c r="U10" i="14"/>
  <c r="R10" i="14"/>
  <c r="O10" i="14"/>
  <c r="X9" i="14"/>
  <c r="U9" i="14"/>
  <c r="R9" i="14"/>
  <c r="O9" i="14"/>
  <c r="X8" i="14"/>
  <c r="U8" i="14"/>
  <c r="R8" i="14"/>
  <c r="O8" i="14"/>
  <c r="X7" i="14"/>
  <c r="U7" i="14"/>
  <c r="R7" i="14"/>
  <c r="O7" i="14"/>
  <c r="X6" i="14"/>
  <c r="U6" i="14"/>
  <c r="R6" i="14"/>
  <c r="O6" i="14"/>
  <c r="X5" i="14"/>
  <c r="U5" i="14"/>
  <c r="R5" i="14"/>
  <c r="O5" i="14"/>
  <c r="K34" i="14"/>
  <c r="H34" i="14"/>
  <c r="E34" i="14"/>
  <c r="B34" i="14"/>
  <c r="K33" i="14"/>
  <c r="H33" i="14"/>
  <c r="E33" i="14"/>
  <c r="B33" i="14"/>
  <c r="K32" i="14"/>
  <c r="H32" i="14"/>
  <c r="E32" i="14"/>
  <c r="B32" i="14"/>
  <c r="K31" i="14"/>
  <c r="H31" i="14"/>
  <c r="E31" i="14"/>
  <c r="B31" i="14"/>
  <c r="K30" i="14"/>
  <c r="H30" i="14"/>
  <c r="E30" i="14"/>
  <c r="B30" i="14"/>
  <c r="K29" i="14"/>
  <c r="H29" i="14"/>
  <c r="E29" i="14"/>
  <c r="B29" i="14"/>
  <c r="K28" i="14"/>
  <c r="H28" i="14"/>
  <c r="E28" i="14"/>
  <c r="B28" i="14"/>
  <c r="K27" i="14"/>
  <c r="H27" i="14"/>
  <c r="E27" i="14"/>
  <c r="B27" i="14"/>
  <c r="K26" i="14"/>
  <c r="H26" i="14"/>
  <c r="E26" i="14"/>
  <c r="B26" i="14"/>
  <c r="K25" i="14"/>
  <c r="H25" i="14"/>
  <c r="E25" i="14"/>
  <c r="B25" i="14"/>
  <c r="K24" i="14"/>
  <c r="H24" i="14"/>
  <c r="E24" i="14"/>
  <c r="B24" i="14"/>
  <c r="K23" i="14"/>
  <c r="H23" i="14"/>
  <c r="E23" i="14"/>
  <c r="B23" i="14"/>
  <c r="K22" i="14"/>
  <c r="H22" i="14"/>
  <c r="E22" i="14"/>
  <c r="B22" i="14"/>
  <c r="K21" i="14"/>
  <c r="H21" i="14"/>
  <c r="E21" i="14"/>
  <c r="B21" i="14"/>
  <c r="K20" i="14"/>
  <c r="H20" i="14"/>
  <c r="E20" i="14"/>
  <c r="B20" i="14"/>
  <c r="K19" i="14"/>
  <c r="H19" i="14"/>
  <c r="E19" i="14"/>
  <c r="B19" i="14"/>
  <c r="K18" i="14"/>
  <c r="H18" i="14"/>
  <c r="E18" i="14"/>
  <c r="B18" i="14"/>
  <c r="K17" i="14"/>
  <c r="H17" i="14"/>
  <c r="E17" i="14"/>
  <c r="B17" i="14"/>
  <c r="K16" i="14"/>
  <c r="H16" i="14"/>
  <c r="E16" i="14"/>
  <c r="B16" i="14"/>
  <c r="K15" i="14"/>
  <c r="H15" i="14"/>
  <c r="E15" i="14"/>
  <c r="B15" i="14"/>
  <c r="K14" i="14"/>
  <c r="H14" i="14"/>
  <c r="E14" i="14"/>
  <c r="B14" i="14"/>
  <c r="K13" i="14"/>
  <c r="H13" i="14"/>
  <c r="E13" i="14"/>
  <c r="B13" i="14"/>
  <c r="K12" i="14"/>
  <c r="H12" i="14"/>
  <c r="E12" i="14"/>
  <c r="B12" i="14"/>
  <c r="K11" i="14"/>
  <c r="H11" i="14"/>
  <c r="E11" i="14"/>
  <c r="B11" i="14"/>
  <c r="K10" i="14"/>
  <c r="H10" i="14"/>
  <c r="E10" i="14"/>
  <c r="B10" i="14"/>
  <c r="K9" i="14"/>
  <c r="H9" i="14"/>
  <c r="E9" i="14"/>
  <c r="B9" i="14"/>
  <c r="K8" i="14"/>
  <c r="H8" i="14"/>
  <c r="E8" i="14"/>
  <c r="B8" i="14"/>
  <c r="K7" i="14"/>
  <c r="H7" i="14"/>
  <c r="E7" i="14"/>
  <c r="B7" i="14"/>
  <c r="K6" i="14"/>
  <c r="H6" i="14"/>
  <c r="E6" i="14"/>
  <c r="B6" i="14"/>
  <c r="K5" i="14"/>
  <c r="H5" i="14"/>
  <c r="E5" i="14"/>
  <c r="B5" i="14"/>
  <c r="L14" i="11" l="1"/>
  <c r="M14" i="11" s="1"/>
  <c r="L15" i="11"/>
  <c r="M15" i="11" s="1"/>
  <c r="L16" i="11"/>
  <c r="L13" i="11"/>
  <c r="M13" i="11" s="1"/>
  <c r="L18" i="4" l="1"/>
  <c r="M18" i="4" s="1"/>
  <c r="L19" i="4"/>
  <c r="M19" i="4" s="1"/>
  <c r="L20" i="4"/>
  <c r="M20" i="4" s="1"/>
  <c r="L34" i="11" l="1"/>
  <c r="M34" i="11" s="1"/>
  <c r="L35" i="11"/>
  <c r="M35" i="11" s="1"/>
  <c r="I5" i="14"/>
  <c r="I6" i="14"/>
  <c r="I7" i="14"/>
  <c r="I8" i="14"/>
  <c r="I9" i="14"/>
  <c r="I10" i="14"/>
  <c r="I11" i="14"/>
  <c r="I12" i="14"/>
  <c r="I13" i="14"/>
  <c r="I14" i="14"/>
  <c r="I15" i="14"/>
  <c r="I16" i="14"/>
  <c r="I17" i="14"/>
  <c r="I18" i="14"/>
  <c r="I19" i="14"/>
  <c r="I34" i="14"/>
  <c r="I33" i="14"/>
  <c r="I32" i="14"/>
  <c r="I31" i="14"/>
  <c r="I30" i="14"/>
  <c r="I29" i="14"/>
  <c r="I28" i="14"/>
  <c r="I27" i="14"/>
  <c r="I26" i="14"/>
  <c r="I25" i="14"/>
  <c r="I24" i="14"/>
  <c r="I23" i="14"/>
  <c r="I22" i="14"/>
  <c r="I21" i="14"/>
  <c r="I20" i="14"/>
  <c r="L33" i="5" l="1"/>
  <c r="M33" i="5" s="1"/>
  <c r="L34" i="5"/>
  <c r="M34" i="5" s="1"/>
  <c r="L35" i="5"/>
  <c r="M35" i="5" s="1"/>
  <c r="P6" i="12" l="1"/>
  <c r="Q6" i="12" s="1"/>
  <c r="S6" i="12"/>
  <c r="T6" i="12" s="1"/>
  <c r="V6" i="12"/>
  <c r="W6" i="12" s="1"/>
  <c r="P7" i="12"/>
  <c r="Q7" i="12" s="1"/>
  <c r="S7" i="12"/>
  <c r="T7" i="12" s="1"/>
  <c r="V7" i="12"/>
  <c r="W7" i="12" s="1"/>
  <c r="P8" i="12"/>
  <c r="Q8" i="12" s="1"/>
  <c r="S8" i="12"/>
  <c r="T8" i="12" s="1"/>
  <c r="V8" i="12"/>
  <c r="W8" i="12" s="1"/>
  <c r="P9" i="12"/>
  <c r="Q9" i="12" s="1"/>
  <c r="S9" i="12"/>
  <c r="T9" i="12" s="1"/>
  <c r="V9" i="12"/>
  <c r="W9" i="12" s="1"/>
  <c r="P10" i="12"/>
  <c r="Q10" i="12" s="1"/>
  <c r="S10" i="12"/>
  <c r="T10" i="12" s="1"/>
  <c r="V10" i="12"/>
  <c r="W10" i="12" s="1"/>
  <c r="P11" i="12"/>
  <c r="Q11" i="12" s="1"/>
  <c r="S11" i="12"/>
  <c r="T11" i="12" s="1"/>
  <c r="V11" i="12"/>
  <c r="W11" i="12" s="1"/>
  <c r="P12" i="12"/>
  <c r="Q12" i="12" s="1"/>
  <c r="S12" i="12"/>
  <c r="T12" i="12" s="1"/>
  <c r="V12" i="12"/>
  <c r="W12" i="12" s="1"/>
  <c r="P13" i="12"/>
  <c r="Q13" i="12" s="1"/>
  <c r="S13" i="12"/>
  <c r="T13" i="12" s="1"/>
  <c r="V13" i="12"/>
  <c r="W13" i="12" s="1"/>
  <c r="P14" i="12"/>
  <c r="Q14" i="12" s="1"/>
  <c r="S14" i="12"/>
  <c r="T14" i="12" s="1"/>
  <c r="V14" i="12"/>
  <c r="W14" i="12" s="1"/>
  <c r="P15" i="12"/>
  <c r="Q15" i="12" s="1"/>
  <c r="S15" i="12"/>
  <c r="T15" i="12" s="1"/>
  <c r="V15" i="12"/>
  <c r="W15" i="12" s="1"/>
  <c r="P16" i="12"/>
  <c r="Q16" i="12" s="1"/>
  <c r="S16" i="12"/>
  <c r="T16" i="12" s="1"/>
  <c r="V16" i="12"/>
  <c r="W16" i="12" s="1"/>
  <c r="P17" i="12"/>
  <c r="Q17" i="12" s="1"/>
  <c r="S17" i="12"/>
  <c r="T17" i="12" s="1"/>
  <c r="V17" i="12"/>
  <c r="W17" i="12" s="1"/>
  <c r="P18" i="12"/>
  <c r="Q18" i="12" s="1"/>
  <c r="S18" i="12"/>
  <c r="T18" i="12" s="1"/>
  <c r="V18" i="12"/>
  <c r="W18" i="12" s="1"/>
  <c r="P19" i="12"/>
  <c r="Q19" i="12" s="1"/>
  <c r="S19" i="12"/>
  <c r="T19" i="12" s="1"/>
  <c r="V19" i="12"/>
  <c r="W19" i="12" s="1"/>
  <c r="P20" i="12"/>
  <c r="Q20" i="12" s="1"/>
  <c r="S20" i="12"/>
  <c r="T20" i="12" s="1"/>
  <c r="V20" i="12"/>
  <c r="W20" i="12" s="1"/>
  <c r="P21" i="12"/>
  <c r="Q21" i="12" s="1"/>
  <c r="S21" i="12"/>
  <c r="T21" i="12" s="1"/>
  <c r="V21" i="12"/>
  <c r="W21" i="12" s="1"/>
  <c r="P22" i="12"/>
  <c r="Q22" i="12" s="1"/>
  <c r="S22" i="12"/>
  <c r="T22" i="12" s="1"/>
  <c r="V22" i="12"/>
  <c r="W22" i="12" s="1"/>
  <c r="P23" i="12"/>
  <c r="Q23" i="12" s="1"/>
  <c r="S23" i="12"/>
  <c r="T23" i="12" s="1"/>
  <c r="V23" i="12"/>
  <c r="W23" i="12" s="1"/>
  <c r="P24" i="12"/>
  <c r="Q24" i="12" s="1"/>
  <c r="S24" i="12"/>
  <c r="T24" i="12" s="1"/>
  <c r="V24" i="12"/>
  <c r="W24" i="12" s="1"/>
  <c r="P25" i="12"/>
  <c r="Q25" i="12" s="1"/>
  <c r="S25" i="12"/>
  <c r="T25" i="12" s="1"/>
  <c r="V25" i="12"/>
  <c r="W25" i="12" s="1"/>
  <c r="P26" i="12"/>
  <c r="Q26" i="12" s="1"/>
  <c r="S26" i="12"/>
  <c r="T26" i="12" s="1"/>
  <c r="V26" i="12"/>
  <c r="W26" i="12" s="1"/>
  <c r="P27" i="12"/>
  <c r="Q27" i="12" s="1"/>
  <c r="S27" i="12"/>
  <c r="T27" i="12" s="1"/>
  <c r="V27" i="12"/>
  <c r="W27" i="12" s="1"/>
  <c r="P28" i="12"/>
  <c r="Q28" i="12" s="1"/>
  <c r="S28" i="12"/>
  <c r="T28" i="12" s="1"/>
  <c r="V28" i="12"/>
  <c r="W28" i="12" s="1"/>
  <c r="P29" i="12"/>
  <c r="Q29" i="12" s="1"/>
  <c r="S29" i="12"/>
  <c r="T29" i="12" s="1"/>
  <c r="V29" i="12"/>
  <c r="W29" i="12" s="1"/>
  <c r="P30" i="12"/>
  <c r="Q30" i="12" s="1"/>
  <c r="S30" i="12"/>
  <c r="T30" i="12" s="1"/>
  <c r="V30" i="12"/>
  <c r="W30" i="12" s="1"/>
  <c r="P31" i="12"/>
  <c r="Q31" i="12" s="1"/>
  <c r="S31" i="12"/>
  <c r="T31" i="12" s="1"/>
  <c r="V31" i="12"/>
  <c r="W31" i="12" s="1"/>
  <c r="P32" i="12"/>
  <c r="Q32" i="12" s="1"/>
  <c r="S32" i="12"/>
  <c r="T32" i="12" s="1"/>
  <c r="V32" i="12"/>
  <c r="W32" i="12" s="1"/>
  <c r="P33" i="12"/>
  <c r="Q33" i="12" s="1"/>
  <c r="S33" i="12"/>
  <c r="T33" i="12" s="1"/>
  <c r="V33" i="12"/>
  <c r="W33" i="12" s="1"/>
  <c r="P34" i="12"/>
  <c r="Q34" i="12" s="1"/>
  <c r="S34" i="12"/>
  <c r="T34" i="12" s="1"/>
  <c r="V34" i="12"/>
  <c r="W34" i="12" s="1"/>
  <c r="C6" i="12" l="1"/>
  <c r="D6" i="12" s="1"/>
  <c r="F6" i="12"/>
  <c r="G6" i="12" s="1"/>
  <c r="I6" i="12"/>
  <c r="J6" i="12" s="1"/>
  <c r="L6" i="12"/>
  <c r="M6" i="12" s="1"/>
  <c r="C7" i="12"/>
  <c r="D7" i="12" s="1"/>
  <c r="F7" i="12"/>
  <c r="G7" i="12" s="1"/>
  <c r="I7" i="12"/>
  <c r="J7" i="12" s="1"/>
  <c r="L7" i="12"/>
  <c r="M7" i="12" s="1"/>
  <c r="C8" i="12"/>
  <c r="D8" i="12" s="1"/>
  <c r="F8" i="12"/>
  <c r="G8" i="12" s="1"/>
  <c r="I8" i="12"/>
  <c r="J8" i="12" s="1"/>
  <c r="L8" i="12"/>
  <c r="M8" i="12" s="1"/>
  <c r="C9" i="12"/>
  <c r="D9" i="12" s="1"/>
  <c r="F9" i="12"/>
  <c r="G9" i="12" s="1"/>
  <c r="I9" i="12"/>
  <c r="J9" i="12" s="1"/>
  <c r="L9" i="12"/>
  <c r="M9" i="12" s="1"/>
  <c r="C10" i="12"/>
  <c r="D10" i="12" s="1"/>
  <c r="F10" i="12"/>
  <c r="G10" i="12" s="1"/>
  <c r="I10" i="12"/>
  <c r="J10" i="12" s="1"/>
  <c r="L10" i="12"/>
  <c r="M10" i="12" s="1"/>
  <c r="C11" i="12"/>
  <c r="D11" i="12" s="1"/>
  <c r="F11" i="12"/>
  <c r="G11" i="12" s="1"/>
  <c r="I11" i="12"/>
  <c r="J11" i="12" s="1"/>
  <c r="L11" i="12"/>
  <c r="M11" i="12" s="1"/>
  <c r="C12" i="12"/>
  <c r="D12" i="12" s="1"/>
  <c r="F12" i="12"/>
  <c r="G12" i="12" s="1"/>
  <c r="I12" i="12"/>
  <c r="J12" i="12" s="1"/>
  <c r="L12" i="12"/>
  <c r="M12" i="12" s="1"/>
  <c r="C13" i="12"/>
  <c r="D13" i="12" s="1"/>
  <c r="F13" i="12"/>
  <c r="G13" i="12" s="1"/>
  <c r="I13" i="12"/>
  <c r="J13" i="12" s="1"/>
  <c r="L13" i="12"/>
  <c r="M13" i="12" s="1"/>
  <c r="C14" i="12"/>
  <c r="D14" i="12" s="1"/>
  <c r="F14" i="12"/>
  <c r="G14" i="12" s="1"/>
  <c r="I14" i="12"/>
  <c r="J14" i="12" s="1"/>
  <c r="L14" i="12"/>
  <c r="M14" i="12" s="1"/>
  <c r="C15" i="12"/>
  <c r="D15" i="12" s="1"/>
  <c r="F15" i="12"/>
  <c r="G15" i="12" s="1"/>
  <c r="I15" i="12"/>
  <c r="J15" i="12" s="1"/>
  <c r="L15" i="12"/>
  <c r="M15" i="12" s="1"/>
  <c r="C16" i="12"/>
  <c r="D16" i="12" s="1"/>
  <c r="F16" i="12"/>
  <c r="G16" i="12" s="1"/>
  <c r="I16" i="12"/>
  <c r="J16" i="12" s="1"/>
  <c r="L16" i="12"/>
  <c r="M16" i="12" s="1"/>
  <c r="C17" i="12"/>
  <c r="D17" i="12" s="1"/>
  <c r="F17" i="12"/>
  <c r="G17" i="12" s="1"/>
  <c r="I17" i="12"/>
  <c r="J17" i="12" s="1"/>
  <c r="L17" i="12"/>
  <c r="M17" i="12" s="1"/>
  <c r="C18" i="12"/>
  <c r="D18" i="12" s="1"/>
  <c r="F18" i="12"/>
  <c r="G18" i="12" s="1"/>
  <c r="I18" i="12"/>
  <c r="J18" i="12" s="1"/>
  <c r="L18" i="12"/>
  <c r="M18" i="12" s="1"/>
  <c r="C19" i="12"/>
  <c r="D19" i="12" s="1"/>
  <c r="F19" i="12"/>
  <c r="G19" i="12" s="1"/>
  <c r="I19" i="12"/>
  <c r="J19" i="12" s="1"/>
  <c r="L19" i="12"/>
  <c r="M19" i="12" s="1"/>
  <c r="C20" i="12"/>
  <c r="D20" i="12" s="1"/>
  <c r="F20" i="12"/>
  <c r="G20" i="12" s="1"/>
  <c r="I20" i="12"/>
  <c r="J20" i="12" s="1"/>
  <c r="L20" i="12"/>
  <c r="M20" i="12" s="1"/>
  <c r="C21" i="12"/>
  <c r="D21" i="12" s="1"/>
  <c r="F21" i="12"/>
  <c r="G21" i="12" s="1"/>
  <c r="I21" i="12"/>
  <c r="J21" i="12" s="1"/>
  <c r="L21" i="12"/>
  <c r="M21" i="12" s="1"/>
  <c r="C22" i="12"/>
  <c r="D22" i="12" s="1"/>
  <c r="F22" i="12"/>
  <c r="G22" i="12" s="1"/>
  <c r="I22" i="12"/>
  <c r="J22" i="12" s="1"/>
  <c r="L22" i="12"/>
  <c r="M22" i="12" s="1"/>
  <c r="C23" i="12"/>
  <c r="D23" i="12" s="1"/>
  <c r="F23" i="12"/>
  <c r="G23" i="12" s="1"/>
  <c r="I23" i="12"/>
  <c r="J23" i="12" s="1"/>
  <c r="L23" i="12"/>
  <c r="M23" i="12" s="1"/>
  <c r="C24" i="12"/>
  <c r="D24" i="12" s="1"/>
  <c r="F24" i="12"/>
  <c r="G24" i="12" s="1"/>
  <c r="I24" i="12"/>
  <c r="J24" i="12" s="1"/>
  <c r="L24" i="12"/>
  <c r="M24" i="12" s="1"/>
  <c r="C25" i="12"/>
  <c r="D25" i="12" s="1"/>
  <c r="F25" i="12"/>
  <c r="G25" i="12" s="1"/>
  <c r="I25" i="12"/>
  <c r="J25" i="12" s="1"/>
  <c r="L25" i="12"/>
  <c r="M25" i="12" s="1"/>
  <c r="C26" i="12"/>
  <c r="D26" i="12" s="1"/>
  <c r="F26" i="12"/>
  <c r="G26" i="12" s="1"/>
  <c r="I26" i="12"/>
  <c r="J26" i="12" s="1"/>
  <c r="L26" i="12"/>
  <c r="M26" i="12" s="1"/>
  <c r="C27" i="12"/>
  <c r="D27" i="12" s="1"/>
  <c r="F27" i="12"/>
  <c r="G27" i="12" s="1"/>
  <c r="I27" i="12"/>
  <c r="J27" i="12" s="1"/>
  <c r="L27" i="12"/>
  <c r="M27" i="12" s="1"/>
  <c r="C28" i="12"/>
  <c r="D28" i="12" s="1"/>
  <c r="F28" i="12"/>
  <c r="G28" i="12" s="1"/>
  <c r="I28" i="12"/>
  <c r="J28" i="12" s="1"/>
  <c r="L28" i="12"/>
  <c r="M28" i="12" s="1"/>
  <c r="C29" i="12"/>
  <c r="D29" i="12" s="1"/>
  <c r="F29" i="12"/>
  <c r="G29" i="12" s="1"/>
  <c r="I29" i="12"/>
  <c r="J29" i="12" s="1"/>
  <c r="L29" i="12"/>
  <c r="M29" i="12" s="1"/>
  <c r="C30" i="12"/>
  <c r="D30" i="12" s="1"/>
  <c r="F30" i="12"/>
  <c r="G30" i="12" s="1"/>
  <c r="I30" i="12"/>
  <c r="J30" i="12" s="1"/>
  <c r="L30" i="12"/>
  <c r="M30" i="12" s="1"/>
  <c r="C31" i="12"/>
  <c r="D31" i="12" s="1"/>
  <c r="F31" i="12"/>
  <c r="G31" i="12" s="1"/>
  <c r="I31" i="12"/>
  <c r="J31" i="12" s="1"/>
  <c r="L31" i="12"/>
  <c r="M31" i="12" s="1"/>
  <c r="C32" i="12"/>
  <c r="D32" i="12" s="1"/>
  <c r="F32" i="12"/>
  <c r="G32" i="12" s="1"/>
  <c r="I32" i="12"/>
  <c r="J32" i="12" s="1"/>
  <c r="L32" i="12"/>
  <c r="M32" i="12" s="1"/>
  <c r="C33" i="12"/>
  <c r="D33" i="12" s="1"/>
  <c r="F33" i="12"/>
  <c r="G33" i="12" s="1"/>
  <c r="I33" i="12"/>
  <c r="J33" i="12" s="1"/>
  <c r="L33" i="12"/>
  <c r="M33" i="12" s="1"/>
  <c r="C34" i="12"/>
  <c r="D34" i="12" s="1"/>
  <c r="F34" i="12"/>
  <c r="G34" i="12" s="1"/>
  <c r="I34" i="12"/>
  <c r="J34" i="12" s="1"/>
  <c r="L34" i="12"/>
  <c r="M34" i="12" s="1"/>
  <c r="L33" i="11" l="1"/>
  <c r="M33" i="11" s="1"/>
  <c r="P6" i="11" l="1"/>
  <c r="Q6" i="11" s="1"/>
  <c r="S6" i="11"/>
  <c r="T6" i="11" s="1"/>
  <c r="V6" i="11"/>
  <c r="W6" i="11" s="1"/>
  <c r="Y6" i="11"/>
  <c r="Z6" i="11" s="1"/>
  <c r="P7" i="11"/>
  <c r="Q7" i="11" s="1"/>
  <c r="S7" i="11"/>
  <c r="T7" i="11" s="1"/>
  <c r="V7" i="11"/>
  <c r="W7" i="11" s="1"/>
  <c r="Y7" i="11"/>
  <c r="Z7" i="11" s="1"/>
  <c r="P8" i="11"/>
  <c r="Q8" i="11" s="1"/>
  <c r="S8" i="11"/>
  <c r="T8" i="11" s="1"/>
  <c r="V8" i="11"/>
  <c r="W8" i="11" s="1"/>
  <c r="Y8" i="11"/>
  <c r="Z8" i="11" s="1"/>
  <c r="P9" i="11"/>
  <c r="Q9" i="11" s="1"/>
  <c r="S9" i="11"/>
  <c r="T9" i="11" s="1"/>
  <c r="V9" i="11"/>
  <c r="W9" i="11" s="1"/>
  <c r="Y9" i="11"/>
  <c r="Z9" i="11" s="1"/>
  <c r="P10" i="11"/>
  <c r="Q10" i="11" s="1"/>
  <c r="S10" i="11"/>
  <c r="T10" i="11" s="1"/>
  <c r="V10" i="11"/>
  <c r="W10" i="11" s="1"/>
  <c r="Y10" i="11"/>
  <c r="Z10" i="11" s="1"/>
  <c r="P11" i="11"/>
  <c r="Q11" i="11" s="1"/>
  <c r="S11" i="11"/>
  <c r="T11" i="11" s="1"/>
  <c r="V11" i="11"/>
  <c r="W11" i="11" s="1"/>
  <c r="Y11" i="11"/>
  <c r="Z11" i="11" s="1"/>
  <c r="P12" i="11"/>
  <c r="Q12" i="11" s="1"/>
  <c r="S12" i="11"/>
  <c r="T12" i="11" s="1"/>
  <c r="V12" i="11"/>
  <c r="W12" i="11" s="1"/>
  <c r="Y12" i="11"/>
  <c r="Z12" i="11" s="1"/>
  <c r="P13" i="11"/>
  <c r="Q13" i="11" s="1"/>
  <c r="S13" i="11"/>
  <c r="T13" i="11" s="1"/>
  <c r="V13" i="11"/>
  <c r="W13" i="11" s="1"/>
  <c r="Y13" i="11"/>
  <c r="Z13" i="11" s="1"/>
  <c r="P14" i="11"/>
  <c r="Q14" i="11" s="1"/>
  <c r="S14" i="11"/>
  <c r="T14" i="11" s="1"/>
  <c r="V14" i="11"/>
  <c r="W14" i="11" s="1"/>
  <c r="Y14" i="11"/>
  <c r="Z14" i="11" s="1"/>
  <c r="P15" i="11"/>
  <c r="Q15" i="11" s="1"/>
  <c r="S15" i="11"/>
  <c r="T15" i="11" s="1"/>
  <c r="V15" i="11"/>
  <c r="W15" i="11" s="1"/>
  <c r="Y15" i="11"/>
  <c r="Z15" i="11" s="1"/>
  <c r="P16" i="11"/>
  <c r="Q16" i="11" s="1"/>
  <c r="S16" i="11"/>
  <c r="T16" i="11" s="1"/>
  <c r="V16" i="11"/>
  <c r="W16" i="11" s="1"/>
  <c r="Y16" i="11"/>
  <c r="Z16" i="11" s="1"/>
  <c r="P17" i="11"/>
  <c r="Q17" i="11" s="1"/>
  <c r="S17" i="11"/>
  <c r="T17" i="11" s="1"/>
  <c r="V17" i="11"/>
  <c r="W17" i="11" s="1"/>
  <c r="Y17" i="11"/>
  <c r="Z17" i="11" s="1"/>
  <c r="P18" i="11"/>
  <c r="Q18" i="11" s="1"/>
  <c r="S18" i="11"/>
  <c r="T18" i="11" s="1"/>
  <c r="V18" i="11"/>
  <c r="W18" i="11" s="1"/>
  <c r="Y18" i="11"/>
  <c r="Z18" i="11" s="1"/>
  <c r="P19" i="11"/>
  <c r="Q19" i="11" s="1"/>
  <c r="S19" i="11"/>
  <c r="T19" i="11" s="1"/>
  <c r="V19" i="11"/>
  <c r="W19" i="11" s="1"/>
  <c r="Y19" i="11"/>
  <c r="Z19" i="11" s="1"/>
  <c r="P20" i="11"/>
  <c r="Q20" i="11" s="1"/>
  <c r="S20" i="11"/>
  <c r="T20" i="11" s="1"/>
  <c r="V20" i="11"/>
  <c r="W20" i="11" s="1"/>
  <c r="Y20" i="11"/>
  <c r="Z20" i="11" s="1"/>
  <c r="P21" i="11"/>
  <c r="Q21" i="11" s="1"/>
  <c r="S21" i="11"/>
  <c r="T21" i="11" s="1"/>
  <c r="V21" i="11"/>
  <c r="W21" i="11" s="1"/>
  <c r="Y21" i="11"/>
  <c r="Z21" i="11" s="1"/>
  <c r="P22" i="11"/>
  <c r="Q22" i="11" s="1"/>
  <c r="S22" i="11"/>
  <c r="T22" i="11" s="1"/>
  <c r="V22" i="11"/>
  <c r="W22" i="11" s="1"/>
  <c r="Y22" i="11"/>
  <c r="Z22" i="11" s="1"/>
  <c r="P23" i="11"/>
  <c r="Q23" i="11" s="1"/>
  <c r="S23" i="11"/>
  <c r="T23" i="11" s="1"/>
  <c r="V23" i="11"/>
  <c r="W23" i="11" s="1"/>
  <c r="Y23" i="11"/>
  <c r="Z23" i="11" s="1"/>
  <c r="P24" i="11"/>
  <c r="Q24" i="11" s="1"/>
  <c r="S24" i="11"/>
  <c r="T24" i="11" s="1"/>
  <c r="V24" i="11"/>
  <c r="W24" i="11" s="1"/>
  <c r="Y24" i="11"/>
  <c r="Z24" i="11" s="1"/>
  <c r="P25" i="11"/>
  <c r="Q25" i="11" s="1"/>
  <c r="S25" i="11"/>
  <c r="T25" i="11" s="1"/>
  <c r="V25" i="11"/>
  <c r="W25" i="11" s="1"/>
  <c r="Y25" i="11"/>
  <c r="Z25" i="11" s="1"/>
  <c r="P26" i="11"/>
  <c r="Q26" i="11" s="1"/>
  <c r="S26" i="11"/>
  <c r="T26" i="11" s="1"/>
  <c r="V26" i="11"/>
  <c r="W26" i="11" s="1"/>
  <c r="Y26" i="11"/>
  <c r="Z26" i="11" s="1"/>
  <c r="P27" i="11"/>
  <c r="Q27" i="11" s="1"/>
  <c r="S27" i="11"/>
  <c r="T27" i="11" s="1"/>
  <c r="V27" i="11"/>
  <c r="W27" i="11" s="1"/>
  <c r="Y27" i="11"/>
  <c r="Z27" i="11" s="1"/>
  <c r="P28" i="11"/>
  <c r="Q28" i="11" s="1"/>
  <c r="S28" i="11"/>
  <c r="T28" i="11" s="1"/>
  <c r="V28" i="11"/>
  <c r="W28" i="11" s="1"/>
  <c r="Y28" i="11"/>
  <c r="Z28" i="11" s="1"/>
  <c r="P29" i="11"/>
  <c r="Q29" i="11" s="1"/>
  <c r="S29" i="11"/>
  <c r="T29" i="11" s="1"/>
  <c r="V29" i="11"/>
  <c r="W29" i="11" s="1"/>
  <c r="Y29" i="11"/>
  <c r="Z29" i="11" s="1"/>
  <c r="P30" i="11"/>
  <c r="Q30" i="11" s="1"/>
  <c r="S30" i="11"/>
  <c r="T30" i="11" s="1"/>
  <c r="V30" i="11"/>
  <c r="W30" i="11" s="1"/>
  <c r="Y30" i="11"/>
  <c r="Z30" i="11" s="1"/>
  <c r="P31" i="11"/>
  <c r="Q31" i="11" s="1"/>
  <c r="S31" i="11"/>
  <c r="T31" i="11" s="1"/>
  <c r="V31" i="11"/>
  <c r="W31" i="11" s="1"/>
  <c r="Y31" i="11"/>
  <c r="Z31" i="11" s="1"/>
  <c r="P32" i="11"/>
  <c r="Q32" i="11" s="1"/>
  <c r="S32" i="11"/>
  <c r="T32" i="11" s="1"/>
  <c r="V32" i="11"/>
  <c r="W32" i="11" s="1"/>
  <c r="Y32" i="11"/>
  <c r="Z32" i="11" s="1"/>
  <c r="P33" i="11"/>
  <c r="Q33" i="11" s="1"/>
  <c r="S33" i="11"/>
  <c r="T33" i="11" s="1"/>
  <c r="V33" i="11"/>
  <c r="W33" i="11" s="1"/>
  <c r="Y33" i="11"/>
  <c r="Z33" i="11" s="1"/>
  <c r="P34" i="11"/>
  <c r="Q34" i="11" s="1"/>
  <c r="S34" i="11"/>
  <c r="T34" i="11" s="1"/>
  <c r="V34" i="11"/>
  <c r="W34" i="11" s="1"/>
  <c r="Y34" i="11"/>
  <c r="Z34" i="11" s="1"/>
  <c r="P35" i="11"/>
  <c r="Q35" i="11" s="1"/>
  <c r="S35" i="11"/>
  <c r="T35" i="11" s="1"/>
  <c r="V35" i="11"/>
  <c r="W35" i="11" s="1"/>
  <c r="Y35" i="11"/>
  <c r="Z35" i="11" s="1"/>
  <c r="C6" i="11" l="1"/>
  <c r="D6" i="11" s="1"/>
  <c r="F6" i="11"/>
  <c r="G6" i="11" s="1"/>
  <c r="I6" i="11"/>
  <c r="J6" i="11" s="1"/>
  <c r="L6" i="11"/>
  <c r="M6" i="11" s="1"/>
  <c r="C7" i="11"/>
  <c r="D7" i="11" s="1"/>
  <c r="F7" i="11"/>
  <c r="G7" i="11" s="1"/>
  <c r="I7" i="11"/>
  <c r="J7" i="11" s="1"/>
  <c r="L7" i="11"/>
  <c r="M7" i="11" s="1"/>
  <c r="C8" i="11"/>
  <c r="D8" i="11" s="1"/>
  <c r="F8" i="11"/>
  <c r="G8" i="11" s="1"/>
  <c r="I8" i="11"/>
  <c r="J8" i="11" s="1"/>
  <c r="L8" i="11"/>
  <c r="M8" i="11" s="1"/>
  <c r="C9" i="11"/>
  <c r="D9" i="11" s="1"/>
  <c r="F9" i="11"/>
  <c r="G9" i="11" s="1"/>
  <c r="I9" i="11"/>
  <c r="J9" i="11" s="1"/>
  <c r="L9" i="11"/>
  <c r="M9" i="11" s="1"/>
  <c r="C10" i="11"/>
  <c r="D10" i="11" s="1"/>
  <c r="F10" i="11"/>
  <c r="G10" i="11" s="1"/>
  <c r="I10" i="11"/>
  <c r="J10" i="11" s="1"/>
  <c r="L10" i="11"/>
  <c r="M10" i="11" s="1"/>
  <c r="C11" i="11"/>
  <c r="D11" i="11" s="1"/>
  <c r="F11" i="11"/>
  <c r="G11" i="11" s="1"/>
  <c r="I11" i="11"/>
  <c r="J11" i="11" s="1"/>
  <c r="L11" i="11"/>
  <c r="M11" i="11" s="1"/>
  <c r="C12" i="11"/>
  <c r="D12" i="11" s="1"/>
  <c r="F12" i="11"/>
  <c r="G12" i="11" s="1"/>
  <c r="I12" i="11"/>
  <c r="J12" i="11" s="1"/>
  <c r="L12" i="11"/>
  <c r="M12" i="11" s="1"/>
  <c r="C13" i="11"/>
  <c r="D13" i="11" s="1"/>
  <c r="F13" i="11"/>
  <c r="G13" i="11" s="1"/>
  <c r="I13" i="11"/>
  <c r="J13" i="11" s="1"/>
  <c r="C14" i="11"/>
  <c r="D14" i="11" s="1"/>
  <c r="F14" i="11"/>
  <c r="G14" i="11" s="1"/>
  <c r="I14" i="11"/>
  <c r="J14" i="11" s="1"/>
  <c r="C15" i="11"/>
  <c r="D15" i="11" s="1"/>
  <c r="F15" i="11"/>
  <c r="G15" i="11" s="1"/>
  <c r="I15" i="11"/>
  <c r="J15" i="11" s="1"/>
  <c r="C16" i="11"/>
  <c r="D16" i="11" s="1"/>
  <c r="F16" i="11"/>
  <c r="G16" i="11" s="1"/>
  <c r="I16" i="11"/>
  <c r="J16" i="11" s="1"/>
  <c r="M16" i="11"/>
  <c r="C17" i="11"/>
  <c r="D17" i="11" s="1"/>
  <c r="F17" i="11"/>
  <c r="G17" i="11" s="1"/>
  <c r="I17" i="11"/>
  <c r="J17" i="11" s="1"/>
  <c r="L17" i="11"/>
  <c r="M17" i="11" s="1"/>
  <c r="C18" i="11"/>
  <c r="D18" i="11" s="1"/>
  <c r="F18" i="11"/>
  <c r="G18" i="11" s="1"/>
  <c r="I18" i="11"/>
  <c r="J18" i="11" s="1"/>
  <c r="L18" i="11"/>
  <c r="M18" i="11" s="1"/>
  <c r="C19" i="11"/>
  <c r="D19" i="11" s="1"/>
  <c r="F19" i="11"/>
  <c r="G19" i="11" s="1"/>
  <c r="I19" i="11"/>
  <c r="J19" i="11" s="1"/>
  <c r="L19" i="11"/>
  <c r="M19" i="11" s="1"/>
  <c r="C20" i="11"/>
  <c r="D20" i="11" s="1"/>
  <c r="F20" i="11"/>
  <c r="G20" i="11" s="1"/>
  <c r="I20" i="11"/>
  <c r="J20" i="11" s="1"/>
  <c r="L20" i="11"/>
  <c r="M20" i="11" s="1"/>
  <c r="C21" i="11"/>
  <c r="D21" i="11" s="1"/>
  <c r="F21" i="11"/>
  <c r="G21" i="11" s="1"/>
  <c r="I21" i="11"/>
  <c r="J21" i="11" s="1"/>
  <c r="L21" i="11"/>
  <c r="M21" i="11" s="1"/>
  <c r="C22" i="11"/>
  <c r="D22" i="11" s="1"/>
  <c r="F22" i="11"/>
  <c r="G22" i="11" s="1"/>
  <c r="I22" i="11"/>
  <c r="J22" i="11" s="1"/>
  <c r="L22" i="11"/>
  <c r="M22" i="11" s="1"/>
  <c r="C23" i="11"/>
  <c r="D23" i="11" s="1"/>
  <c r="F23" i="11"/>
  <c r="G23" i="11" s="1"/>
  <c r="I23" i="11"/>
  <c r="J23" i="11" s="1"/>
  <c r="L23" i="11"/>
  <c r="M23" i="11" s="1"/>
  <c r="C24" i="11"/>
  <c r="D24" i="11" s="1"/>
  <c r="F24" i="11"/>
  <c r="G24" i="11" s="1"/>
  <c r="I24" i="11"/>
  <c r="J24" i="11" s="1"/>
  <c r="L24" i="11"/>
  <c r="M24" i="11" s="1"/>
  <c r="C25" i="11"/>
  <c r="D25" i="11" s="1"/>
  <c r="F25" i="11"/>
  <c r="G25" i="11" s="1"/>
  <c r="I25" i="11"/>
  <c r="J25" i="11" s="1"/>
  <c r="L25" i="11"/>
  <c r="M25" i="11" s="1"/>
  <c r="C26" i="11"/>
  <c r="D26" i="11" s="1"/>
  <c r="F26" i="11"/>
  <c r="G26" i="11" s="1"/>
  <c r="I26" i="11"/>
  <c r="J26" i="11" s="1"/>
  <c r="L26" i="11"/>
  <c r="M26" i="11" s="1"/>
  <c r="C27" i="11"/>
  <c r="D27" i="11" s="1"/>
  <c r="F27" i="11"/>
  <c r="G27" i="11" s="1"/>
  <c r="I27" i="11"/>
  <c r="J27" i="11" s="1"/>
  <c r="L27" i="11"/>
  <c r="M27" i="11" s="1"/>
  <c r="C28" i="11"/>
  <c r="D28" i="11" s="1"/>
  <c r="F28" i="11"/>
  <c r="G28" i="11" s="1"/>
  <c r="I28" i="11"/>
  <c r="J28" i="11" s="1"/>
  <c r="L28" i="11"/>
  <c r="M28" i="11" s="1"/>
  <c r="C29" i="11"/>
  <c r="D29" i="11" s="1"/>
  <c r="F29" i="11"/>
  <c r="G29" i="11" s="1"/>
  <c r="I29" i="11"/>
  <c r="J29" i="11" s="1"/>
  <c r="L29" i="11"/>
  <c r="M29" i="11" s="1"/>
  <c r="C30" i="11"/>
  <c r="D30" i="11" s="1"/>
  <c r="F30" i="11"/>
  <c r="G30" i="11" s="1"/>
  <c r="I30" i="11"/>
  <c r="J30" i="11" s="1"/>
  <c r="L30" i="11"/>
  <c r="M30" i="11" s="1"/>
  <c r="C31" i="11"/>
  <c r="D31" i="11" s="1"/>
  <c r="F31" i="11"/>
  <c r="G31" i="11" s="1"/>
  <c r="I31" i="11"/>
  <c r="J31" i="11" s="1"/>
  <c r="L31" i="11"/>
  <c r="M31" i="11" s="1"/>
  <c r="C32" i="11"/>
  <c r="D32" i="11" s="1"/>
  <c r="F32" i="11"/>
  <c r="G32" i="11" s="1"/>
  <c r="I32" i="11"/>
  <c r="J32" i="11" s="1"/>
  <c r="L32" i="11"/>
  <c r="M32" i="11" s="1"/>
  <c r="C33" i="11"/>
  <c r="D33" i="11" s="1"/>
  <c r="F33" i="11"/>
  <c r="G33" i="11" s="1"/>
  <c r="I33" i="11"/>
  <c r="J33" i="11" s="1"/>
  <c r="C34" i="11"/>
  <c r="D34" i="11" s="1"/>
  <c r="F34" i="11"/>
  <c r="G34" i="11" s="1"/>
  <c r="I34" i="11"/>
  <c r="J34" i="11" s="1"/>
  <c r="C35" i="11"/>
  <c r="D35" i="11" s="1"/>
  <c r="F35" i="11"/>
  <c r="G35" i="11" s="1"/>
  <c r="I35" i="11"/>
  <c r="J35" i="11" s="1"/>
  <c r="S23" i="9" l="1"/>
  <c r="T23" i="9" s="1"/>
  <c r="I34" i="9" l="1"/>
  <c r="I33" i="9"/>
  <c r="I32" i="9"/>
  <c r="I31" i="9"/>
  <c r="I30" i="9"/>
  <c r="L11" i="7" l="1"/>
  <c r="L12" i="7"/>
  <c r="M12" i="7" l="1"/>
  <c r="M11" i="7"/>
  <c r="S8" i="7"/>
  <c r="T8" i="7" s="1"/>
  <c r="S9" i="7"/>
  <c r="T9" i="7" s="1"/>
  <c r="S10" i="7"/>
  <c r="T10" i="7" s="1"/>
  <c r="S11" i="7"/>
  <c r="T11" i="7" s="1"/>
  <c r="S12" i="7"/>
  <c r="T12" i="7" s="1"/>
  <c r="S13" i="7"/>
  <c r="T13" i="7" s="1"/>
  <c r="S14" i="7"/>
  <c r="T14" i="7" s="1"/>
  <c r="S15" i="7"/>
  <c r="T15" i="7" s="1"/>
  <c r="S16" i="7"/>
  <c r="T16" i="7" s="1"/>
  <c r="P9" i="7"/>
  <c r="P10" i="7"/>
  <c r="P11" i="7"/>
  <c r="P12" i="7"/>
  <c r="P13" i="7"/>
  <c r="Q13" i="7" l="1"/>
  <c r="Q11" i="7"/>
  <c r="Q9" i="7"/>
  <c r="Q12" i="7"/>
  <c r="Q10" i="7"/>
  <c r="I34" i="7"/>
  <c r="I33" i="7"/>
  <c r="I32" i="7"/>
  <c r="I31" i="7"/>
  <c r="I30" i="7"/>
  <c r="I29" i="7"/>
  <c r="I28" i="7"/>
  <c r="I27" i="7"/>
  <c r="I26" i="7"/>
  <c r="I25" i="7"/>
  <c r="I24" i="7"/>
  <c r="I23" i="7"/>
  <c r="I22" i="7"/>
  <c r="I21" i="7"/>
  <c r="I20" i="7"/>
  <c r="I19" i="7"/>
  <c r="I18" i="7"/>
  <c r="I17" i="7"/>
  <c r="I16" i="7"/>
  <c r="I15" i="7"/>
  <c r="I14" i="7"/>
  <c r="I13" i="7"/>
  <c r="I12" i="7"/>
  <c r="I11" i="7"/>
  <c r="I10" i="7"/>
  <c r="I9" i="7"/>
  <c r="I8" i="7"/>
  <c r="I30" i="6" l="1"/>
  <c r="I31" i="6"/>
  <c r="I32" i="6"/>
  <c r="I33" i="6"/>
  <c r="I34" i="6"/>
  <c r="I35" i="6"/>
  <c r="AB7" i="4" l="1"/>
  <c r="AB9" i="4"/>
  <c r="AB11" i="4"/>
  <c r="AB13" i="4"/>
  <c r="AB15" i="4"/>
  <c r="AB17" i="4"/>
  <c r="AB16" i="4" l="1"/>
  <c r="AB14" i="4"/>
  <c r="AB12" i="4"/>
  <c r="AB10" i="4"/>
  <c r="AB8" i="4"/>
  <c r="AB6" i="4"/>
  <c r="L21" i="1"/>
  <c r="M21" i="1" l="1"/>
  <c r="I35" i="13"/>
  <c r="I34" i="13"/>
  <c r="I30" i="13"/>
  <c r="I24" i="13"/>
  <c r="I23" i="13"/>
  <c r="I22" i="13"/>
  <c r="I21" i="13"/>
  <c r="I18" i="13"/>
  <c r="I17" i="13"/>
  <c r="I16" i="13"/>
  <c r="I15" i="13"/>
  <c r="I14" i="13"/>
  <c r="I13" i="13"/>
  <c r="I12" i="13"/>
  <c r="I11" i="13"/>
  <c r="I10" i="13"/>
  <c r="I9" i="13"/>
  <c r="I8" i="13"/>
  <c r="I7" i="13"/>
  <c r="F15" i="9" l="1"/>
  <c r="F16" i="9"/>
  <c r="I5" i="12" l="1"/>
  <c r="P34" i="9"/>
  <c r="P33" i="9"/>
  <c r="P32" i="9"/>
  <c r="P31" i="9"/>
  <c r="P30" i="9"/>
  <c r="P29" i="9"/>
  <c r="P28" i="9"/>
  <c r="P27" i="9"/>
  <c r="P26" i="9"/>
  <c r="P25" i="9"/>
  <c r="P24" i="9"/>
  <c r="P23" i="9"/>
  <c r="P22" i="9"/>
  <c r="P21" i="9"/>
  <c r="P20" i="9"/>
  <c r="P19" i="9"/>
  <c r="P18" i="9"/>
  <c r="P17" i="9"/>
  <c r="P16" i="9"/>
  <c r="P15" i="9"/>
  <c r="P14" i="9"/>
  <c r="P13" i="9"/>
  <c r="P12" i="9"/>
  <c r="P11" i="9"/>
  <c r="P10" i="9"/>
  <c r="P9" i="9"/>
  <c r="P8" i="9"/>
  <c r="P7" i="9"/>
  <c r="P6" i="9"/>
  <c r="P5" i="9"/>
  <c r="I11" i="9"/>
  <c r="I10" i="9"/>
  <c r="I35" i="8"/>
  <c r="I34" i="8"/>
  <c r="I33" i="8"/>
  <c r="I32" i="8"/>
  <c r="I31" i="8"/>
  <c r="I21" i="8"/>
  <c r="I20" i="8"/>
  <c r="J17" i="7"/>
  <c r="J16" i="7"/>
  <c r="J15" i="7"/>
  <c r="J14" i="7"/>
  <c r="I5" i="7"/>
  <c r="P35" i="9" l="1"/>
  <c r="L34" i="14"/>
  <c r="L33" i="14"/>
  <c r="L32" i="14"/>
  <c r="L31" i="14"/>
  <c r="L30" i="14"/>
  <c r="L29" i="14"/>
  <c r="L28" i="14"/>
  <c r="L27" i="14"/>
  <c r="L26" i="14"/>
  <c r="L25" i="14"/>
  <c r="L24" i="14"/>
  <c r="L23" i="14"/>
  <c r="L22" i="14"/>
  <c r="L21" i="14"/>
  <c r="L20" i="14"/>
  <c r="L19" i="14"/>
  <c r="L18" i="14"/>
  <c r="L17" i="14"/>
  <c r="L16" i="14"/>
  <c r="L15" i="14"/>
  <c r="L14" i="14"/>
  <c r="L13" i="14"/>
  <c r="L12" i="14"/>
  <c r="L11" i="14"/>
  <c r="L10" i="14"/>
  <c r="L9" i="14"/>
  <c r="L8" i="14"/>
  <c r="L7" i="14"/>
  <c r="L6" i="14"/>
  <c r="L5" i="14"/>
  <c r="V14" i="5"/>
  <c r="W14" i="5" s="1"/>
  <c r="V15" i="5"/>
  <c r="W15" i="5" s="1"/>
  <c r="V16" i="5"/>
  <c r="W16" i="5" s="1"/>
  <c r="L16" i="5"/>
  <c r="M16" i="5" s="1"/>
  <c r="L17" i="5"/>
  <c r="M17" i="5" s="1"/>
  <c r="L18" i="5"/>
  <c r="M18" i="5" s="1"/>
  <c r="L19" i="5"/>
  <c r="M19" i="5" s="1"/>
  <c r="L20" i="5"/>
  <c r="M20" i="5" s="1"/>
  <c r="AB33" i="7" l="1"/>
  <c r="AB31" i="7"/>
  <c r="AB29" i="7"/>
  <c r="AB27" i="7"/>
  <c r="AB25" i="7"/>
  <c r="AB23" i="7"/>
  <c r="AB21" i="7"/>
  <c r="AB19" i="7"/>
  <c r="AB17" i="7"/>
  <c r="AB15" i="7"/>
  <c r="AB13" i="7"/>
  <c r="AB11" i="7"/>
  <c r="AB9" i="7"/>
  <c r="AB7" i="7"/>
  <c r="AB5" i="7"/>
  <c r="AB31" i="4"/>
  <c r="AB29" i="4"/>
  <c r="AB27" i="4"/>
  <c r="AB25" i="4"/>
  <c r="AB23" i="4"/>
  <c r="AB21" i="4"/>
  <c r="AB19" i="4"/>
  <c r="AB5" i="4"/>
  <c r="AB34" i="1"/>
  <c r="AB32" i="1"/>
  <c r="AB30" i="1"/>
  <c r="AB28" i="1"/>
  <c r="AB26" i="1"/>
  <c r="AB24" i="1"/>
  <c r="AB22" i="1"/>
  <c r="AB20" i="1"/>
  <c r="AB18" i="1"/>
  <c r="AB16" i="1"/>
  <c r="AB14" i="1"/>
  <c r="AB12" i="1"/>
  <c r="AB10" i="1"/>
  <c r="AB8" i="1"/>
  <c r="AB6" i="1"/>
  <c r="AB35" i="7"/>
  <c r="AB34" i="7"/>
  <c r="AB32" i="7"/>
  <c r="AB30" i="7"/>
  <c r="AB28" i="7"/>
  <c r="AB26" i="7"/>
  <c r="AB24" i="7"/>
  <c r="AB22" i="7"/>
  <c r="AB20" i="7"/>
  <c r="AB18" i="7"/>
  <c r="AB16" i="7"/>
  <c r="AB14" i="7"/>
  <c r="AB12" i="7"/>
  <c r="AB10" i="7"/>
  <c r="AB8" i="7"/>
  <c r="AB6" i="7"/>
  <c r="AB34" i="4"/>
  <c r="AB32" i="4"/>
  <c r="AB30" i="4"/>
  <c r="AB28" i="4"/>
  <c r="AB26" i="4"/>
  <c r="AB24" i="4"/>
  <c r="AB22" i="4"/>
  <c r="AB20" i="4"/>
  <c r="AB18" i="4"/>
  <c r="AB35" i="1"/>
  <c r="AB33" i="1"/>
  <c r="AB31" i="1"/>
  <c r="AB29" i="1"/>
  <c r="AB27" i="1"/>
  <c r="AB25" i="1"/>
  <c r="AB23" i="1"/>
  <c r="AB21" i="1"/>
  <c r="AB19" i="1"/>
  <c r="AB17" i="1"/>
  <c r="AB15" i="1"/>
  <c r="AB13" i="1"/>
  <c r="AB11" i="1"/>
  <c r="AB9" i="1"/>
  <c r="AB7" i="1"/>
  <c r="AB5" i="1"/>
  <c r="AB35" i="14"/>
  <c r="S16" i="14"/>
  <c r="P16" i="14"/>
  <c r="S14" i="14"/>
  <c r="P14" i="14"/>
  <c r="S12" i="14"/>
  <c r="P12" i="14"/>
  <c r="S10" i="14"/>
  <c r="P10" i="14"/>
  <c r="S8" i="14"/>
  <c r="P8" i="14"/>
  <c r="S6" i="14"/>
  <c r="P6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AB15" i="14"/>
  <c r="AB14" i="14"/>
  <c r="AB13" i="14"/>
  <c r="AB12" i="14"/>
  <c r="AB11" i="14"/>
  <c r="AB10" i="14"/>
  <c r="AB9" i="14"/>
  <c r="AB8" i="14"/>
  <c r="AB7" i="14"/>
  <c r="AB6" i="14"/>
  <c r="AB5" i="14"/>
  <c r="S5" i="14"/>
  <c r="S7" i="14"/>
  <c r="S9" i="14"/>
  <c r="S11" i="14"/>
  <c r="S13" i="14"/>
  <c r="S15" i="14"/>
  <c r="S17" i="14"/>
  <c r="P5" i="14"/>
  <c r="P7" i="14"/>
  <c r="P9" i="14"/>
  <c r="P11" i="14"/>
  <c r="P13" i="14"/>
  <c r="P15" i="14"/>
  <c r="C5" i="5" l="1"/>
  <c r="F5" i="5"/>
  <c r="G5" i="5" s="1"/>
  <c r="I5" i="5"/>
  <c r="J5" i="5" s="1"/>
  <c r="L5" i="5"/>
  <c r="M5" i="5" s="1"/>
  <c r="P5" i="5"/>
  <c r="Q5" i="5" s="1"/>
  <c r="S5" i="5"/>
  <c r="T5" i="5" s="1"/>
  <c r="V5" i="5"/>
  <c r="W5" i="5" s="1"/>
  <c r="Y5" i="5"/>
  <c r="Z5" i="5" s="1"/>
  <c r="C6" i="5"/>
  <c r="D6" i="5" s="1"/>
  <c r="F6" i="5"/>
  <c r="G6" i="5" s="1"/>
  <c r="I6" i="5"/>
  <c r="J6" i="5" s="1"/>
  <c r="L6" i="5"/>
  <c r="M6" i="5" s="1"/>
  <c r="P6" i="5"/>
  <c r="Q6" i="5" s="1"/>
  <c r="S6" i="5"/>
  <c r="T6" i="5" s="1"/>
  <c r="V6" i="5"/>
  <c r="W6" i="5" s="1"/>
  <c r="Y6" i="5"/>
  <c r="Z6" i="5" s="1"/>
  <c r="AB6" i="5"/>
  <c r="C7" i="5"/>
  <c r="F7" i="5"/>
  <c r="G7" i="5" s="1"/>
  <c r="I7" i="5"/>
  <c r="J7" i="5" s="1"/>
  <c r="L7" i="5"/>
  <c r="M7" i="5" s="1"/>
  <c r="P7" i="5"/>
  <c r="Q7" i="5" s="1"/>
  <c r="S7" i="5"/>
  <c r="T7" i="5" s="1"/>
  <c r="V7" i="5"/>
  <c r="W7" i="5" s="1"/>
  <c r="Y7" i="5"/>
  <c r="Z7" i="5" s="1"/>
  <c r="AB7" i="5"/>
  <c r="C8" i="5"/>
  <c r="D8" i="5" s="1"/>
  <c r="F8" i="5"/>
  <c r="G8" i="5" s="1"/>
  <c r="I8" i="5"/>
  <c r="J8" i="5" s="1"/>
  <c r="L8" i="5"/>
  <c r="M8" i="5" s="1"/>
  <c r="P8" i="5"/>
  <c r="Q8" i="5" s="1"/>
  <c r="S8" i="5"/>
  <c r="T8" i="5" s="1"/>
  <c r="V8" i="5"/>
  <c r="W8" i="5" s="1"/>
  <c r="Y8" i="5"/>
  <c r="Z8" i="5" s="1"/>
  <c r="AB8" i="5"/>
  <c r="C9" i="5"/>
  <c r="F9" i="5"/>
  <c r="G9" i="5" s="1"/>
  <c r="I9" i="5"/>
  <c r="J9" i="5" s="1"/>
  <c r="L9" i="5"/>
  <c r="M9" i="5" s="1"/>
  <c r="P9" i="5"/>
  <c r="Q9" i="5" s="1"/>
  <c r="S9" i="5"/>
  <c r="T9" i="5" s="1"/>
  <c r="V9" i="5"/>
  <c r="W9" i="5" s="1"/>
  <c r="Y9" i="5"/>
  <c r="Z9" i="5" s="1"/>
  <c r="AB9" i="5"/>
  <c r="C10" i="5"/>
  <c r="D10" i="5" s="1"/>
  <c r="F10" i="5"/>
  <c r="G10" i="5" s="1"/>
  <c r="I10" i="5"/>
  <c r="J10" i="5" s="1"/>
  <c r="L10" i="5"/>
  <c r="M10" i="5" s="1"/>
  <c r="P10" i="5"/>
  <c r="Q10" i="5" s="1"/>
  <c r="S10" i="5"/>
  <c r="T10" i="5" s="1"/>
  <c r="V10" i="5"/>
  <c r="W10" i="5" s="1"/>
  <c r="Y10" i="5"/>
  <c r="Z10" i="5" s="1"/>
  <c r="AB10" i="5"/>
  <c r="C11" i="5"/>
  <c r="F11" i="5"/>
  <c r="G11" i="5" s="1"/>
  <c r="I11" i="5"/>
  <c r="J11" i="5" s="1"/>
  <c r="L11" i="5"/>
  <c r="M11" i="5" s="1"/>
  <c r="P11" i="5"/>
  <c r="Q11" i="5" s="1"/>
  <c r="S11" i="5"/>
  <c r="T11" i="5" s="1"/>
  <c r="V11" i="5"/>
  <c r="W11" i="5" s="1"/>
  <c r="Y11" i="5"/>
  <c r="Z11" i="5" s="1"/>
  <c r="AB11" i="5"/>
  <c r="C12" i="5"/>
  <c r="D12" i="5" s="1"/>
  <c r="F12" i="5"/>
  <c r="G12" i="5" s="1"/>
  <c r="I12" i="5"/>
  <c r="J12" i="5" s="1"/>
  <c r="L12" i="5"/>
  <c r="M12" i="5" s="1"/>
  <c r="P12" i="5"/>
  <c r="Q12" i="5" s="1"/>
  <c r="S12" i="5"/>
  <c r="T12" i="5" s="1"/>
  <c r="V12" i="5"/>
  <c r="W12" i="5" s="1"/>
  <c r="Y12" i="5"/>
  <c r="Z12" i="5" s="1"/>
  <c r="AB12" i="5"/>
  <c r="C13" i="5"/>
  <c r="F13" i="5"/>
  <c r="G13" i="5" s="1"/>
  <c r="I13" i="5"/>
  <c r="J13" i="5" s="1"/>
  <c r="L13" i="5"/>
  <c r="M13" i="5" s="1"/>
  <c r="P13" i="5"/>
  <c r="Q13" i="5" s="1"/>
  <c r="S13" i="5"/>
  <c r="T13" i="5" s="1"/>
  <c r="V13" i="5"/>
  <c r="W13" i="5" s="1"/>
  <c r="Y13" i="5"/>
  <c r="Z13" i="5" s="1"/>
  <c r="AB13" i="5"/>
  <c r="C14" i="5"/>
  <c r="D14" i="5" s="1"/>
  <c r="F14" i="5"/>
  <c r="G14" i="5" s="1"/>
  <c r="I14" i="5"/>
  <c r="J14" i="5" s="1"/>
  <c r="L14" i="5"/>
  <c r="M14" i="5" s="1"/>
  <c r="P14" i="5"/>
  <c r="Q14" i="5" s="1"/>
  <c r="S14" i="5"/>
  <c r="T14" i="5" s="1"/>
  <c r="Y14" i="5"/>
  <c r="Z14" i="5" s="1"/>
  <c r="AB14" i="5"/>
  <c r="C15" i="5"/>
  <c r="F15" i="5"/>
  <c r="G15" i="5" s="1"/>
  <c r="I15" i="5"/>
  <c r="J15" i="5" s="1"/>
  <c r="L15" i="5"/>
  <c r="M15" i="5" s="1"/>
  <c r="P15" i="5"/>
  <c r="Q15" i="5" s="1"/>
  <c r="S15" i="5"/>
  <c r="T15" i="5" s="1"/>
  <c r="Y15" i="5"/>
  <c r="Z15" i="5" s="1"/>
  <c r="AB15" i="5"/>
  <c r="C16" i="5"/>
  <c r="D16" i="5" s="1"/>
  <c r="F16" i="5"/>
  <c r="G16" i="5" s="1"/>
  <c r="I16" i="5"/>
  <c r="J16" i="5" s="1"/>
  <c r="P16" i="5"/>
  <c r="Q16" i="5" s="1"/>
  <c r="S16" i="5"/>
  <c r="T16" i="5" s="1"/>
  <c r="Y16" i="5"/>
  <c r="Z16" i="5" s="1"/>
  <c r="AB16" i="5"/>
  <c r="C17" i="5"/>
  <c r="F17" i="5"/>
  <c r="G17" i="5" s="1"/>
  <c r="I17" i="5"/>
  <c r="J17" i="5" s="1"/>
  <c r="P17" i="5"/>
  <c r="Q17" i="5" s="1"/>
  <c r="S17" i="5"/>
  <c r="T17" i="5" s="1"/>
  <c r="V17" i="5"/>
  <c r="W17" i="5" s="1"/>
  <c r="Y17" i="5"/>
  <c r="Z17" i="5" s="1"/>
  <c r="AB17" i="5"/>
  <c r="C18" i="5"/>
  <c r="D18" i="5" s="1"/>
  <c r="F18" i="5"/>
  <c r="G18" i="5" s="1"/>
  <c r="I18" i="5"/>
  <c r="J18" i="5" s="1"/>
  <c r="P18" i="5"/>
  <c r="Q18" i="5" s="1"/>
  <c r="S18" i="5"/>
  <c r="T18" i="5" s="1"/>
  <c r="V18" i="5"/>
  <c r="W18" i="5" s="1"/>
  <c r="Y18" i="5"/>
  <c r="Z18" i="5" s="1"/>
  <c r="AB18" i="5"/>
  <c r="C19" i="5"/>
  <c r="F19" i="5"/>
  <c r="G19" i="5" s="1"/>
  <c r="I19" i="5"/>
  <c r="J19" i="5" s="1"/>
  <c r="P19" i="5"/>
  <c r="Q19" i="5" s="1"/>
  <c r="S19" i="5"/>
  <c r="T19" i="5" s="1"/>
  <c r="V19" i="5"/>
  <c r="W19" i="5" s="1"/>
  <c r="Y19" i="5"/>
  <c r="Z19" i="5" s="1"/>
  <c r="AB19" i="5"/>
  <c r="C20" i="5"/>
  <c r="D20" i="5" s="1"/>
  <c r="F20" i="5"/>
  <c r="G20" i="5" s="1"/>
  <c r="I20" i="5"/>
  <c r="J20" i="5" s="1"/>
  <c r="P20" i="5"/>
  <c r="Q20" i="5" s="1"/>
  <c r="S20" i="5"/>
  <c r="T20" i="5" s="1"/>
  <c r="V20" i="5"/>
  <c r="W20" i="5" s="1"/>
  <c r="Y20" i="5"/>
  <c r="Z20" i="5" s="1"/>
  <c r="AB20" i="5"/>
  <c r="C21" i="5"/>
  <c r="F21" i="5"/>
  <c r="G21" i="5" s="1"/>
  <c r="I21" i="5"/>
  <c r="J21" i="5" s="1"/>
  <c r="L21" i="5"/>
  <c r="M21" i="5" s="1"/>
  <c r="P21" i="5"/>
  <c r="Q21" i="5" s="1"/>
  <c r="S21" i="5"/>
  <c r="T21" i="5" s="1"/>
  <c r="V21" i="5"/>
  <c r="W21" i="5" s="1"/>
  <c r="Y21" i="5"/>
  <c r="Z21" i="5" s="1"/>
  <c r="C22" i="5"/>
  <c r="D22" i="5" s="1"/>
  <c r="F22" i="5"/>
  <c r="G22" i="5" s="1"/>
  <c r="I22" i="5"/>
  <c r="J22" i="5" s="1"/>
  <c r="L22" i="5"/>
  <c r="M22" i="5" s="1"/>
  <c r="P22" i="5"/>
  <c r="Q22" i="5" s="1"/>
  <c r="S22" i="5"/>
  <c r="T22" i="5" s="1"/>
  <c r="V22" i="5"/>
  <c r="W22" i="5" s="1"/>
  <c r="Y22" i="5"/>
  <c r="Z22" i="5" s="1"/>
  <c r="AB22" i="5"/>
  <c r="C23" i="5"/>
  <c r="F23" i="5"/>
  <c r="G23" i="5" s="1"/>
  <c r="I23" i="5"/>
  <c r="J23" i="5" s="1"/>
  <c r="L23" i="5"/>
  <c r="M23" i="5" s="1"/>
  <c r="P23" i="5"/>
  <c r="Q23" i="5" s="1"/>
  <c r="S23" i="5"/>
  <c r="T23" i="5" s="1"/>
  <c r="V23" i="5"/>
  <c r="W23" i="5" s="1"/>
  <c r="Y23" i="5"/>
  <c r="Z23" i="5" s="1"/>
  <c r="C24" i="5"/>
  <c r="D24" i="5" s="1"/>
  <c r="F24" i="5"/>
  <c r="G24" i="5" s="1"/>
  <c r="I24" i="5"/>
  <c r="J24" i="5" s="1"/>
  <c r="L24" i="5"/>
  <c r="M24" i="5" s="1"/>
  <c r="P24" i="5"/>
  <c r="Q24" i="5" s="1"/>
  <c r="S24" i="5"/>
  <c r="T24" i="5" s="1"/>
  <c r="V24" i="5"/>
  <c r="W24" i="5" s="1"/>
  <c r="Y24" i="5"/>
  <c r="Z24" i="5" s="1"/>
  <c r="AB24" i="5"/>
  <c r="C25" i="5"/>
  <c r="F25" i="5"/>
  <c r="G25" i="5" s="1"/>
  <c r="I25" i="5"/>
  <c r="J25" i="5" s="1"/>
  <c r="L25" i="5"/>
  <c r="M25" i="5" s="1"/>
  <c r="P25" i="5"/>
  <c r="Q25" i="5" s="1"/>
  <c r="S25" i="5"/>
  <c r="T25" i="5" s="1"/>
  <c r="V25" i="5"/>
  <c r="W25" i="5" s="1"/>
  <c r="Y25" i="5"/>
  <c r="Z25" i="5" s="1"/>
  <c r="C26" i="5"/>
  <c r="D26" i="5" s="1"/>
  <c r="F26" i="5"/>
  <c r="G26" i="5" s="1"/>
  <c r="I26" i="5"/>
  <c r="J26" i="5" s="1"/>
  <c r="L26" i="5"/>
  <c r="M26" i="5" s="1"/>
  <c r="P26" i="5"/>
  <c r="Q26" i="5" s="1"/>
  <c r="S26" i="5"/>
  <c r="T26" i="5" s="1"/>
  <c r="V26" i="5"/>
  <c r="W26" i="5" s="1"/>
  <c r="Y26" i="5"/>
  <c r="Z26" i="5" s="1"/>
  <c r="AB26" i="5"/>
  <c r="C27" i="5"/>
  <c r="F27" i="5"/>
  <c r="G27" i="5" s="1"/>
  <c r="I27" i="5"/>
  <c r="J27" i="5" s="1"/>
  <c r="L27" i="5"/>
  <c r="M27" i="5" s="1"/>
  <c r="P27" i="5"/>
  <c r="Q27" i="5" s="1"/>
  <c r="S27" i="5"/>
  <c r="T27" i="5" s="1"/>
  <c r="V27" i="5"/>
  <c r="W27" i="5" s="1"/>
  <c r="Y27" i="5"/>
  <c r="Z27" i="5" s="1"/>
  <c r="C28" i="5"/>
  <c r="D28" i="5" s="1"/>
  <c r="F28" i="5"/>
  <c r="G28" i="5" s="1"/>
  <c r="I28" i="5"/>
  <c r="J28" i="5" s="1"/>
  <c r="L28" i="5"/>
  <c r="M28" i="5" s="1"/>
  <c r="P28" i="5"/>
  <c r="Q28" i="5" s="1"/>
  <c r="S28" i="5"/>
  <c r="T28" i="5" s="1"/>
  <c r="V28" i="5"/>
  <c r="W28" i="5" s="1"/>
  <c r="Y28" i="5"/>
  <c r="Z28" i="5" s="1"/>
  <c r="AB28" i="5"/>
  <c r="C29" i="5"/>
  <c r="D29" i="5" s="1"/>
  <c r="F29" i="5"/>
  <c r="G29" i="5" s="1"/>
  <c r="I29" i="5"/>
  <c r="J29" i="5" s="1"/>
  <c r="L29" i="5"/>
  <c r="M29" i="5" s="1"/>
  <c r="P29" i="5"/>
  <c r="Q29" i="5" s="1"/>
  <c r="S29" i="5"/>
  <c r="T29" i="5" s="1"/>
  <c r="V29" i="5"/>
  <c r="W29" i="5" s="1"/>
  <c r="Y29" i="5"/>
  <c r="AB29" i="5"/>
  <c r="C30" i="5"/>
  <c r="F30" i="5"/>
  <c r="G30" i="5" s="1"/>
  <c r="I30" i="5"/>
  <c r="L30" i="5"/>
  <c r="M30" i="5" s="1"/>
  <c r="P30" i="5"/>
  <c r="S30" i="5"/>
  <c r="T30" i="5" s="1"/>
  <c r="V30" i="5"/>
  <c r="Y30" i="5"/>
  <c r="Z30" i="5" s="1"/>
  <c r="AB30" i="5"/>
  <c r="C31" i="5"/>
  <c r="D31" i="5" s="1"/>
  <c r="F31" i="5"/>
  <c r="I31" i="5"/>
  <c r="J31" i="5" s="1"/>
  <c r="L31" i="5"/>
  <c r="P31" i="5"/>
  <c r="Q31" i="5" s="1"/>
  <c r="S31" i="5"/>
  <c r="V31" i="5"/>
  <c r="W31" i="5" s="1"/>
  <c r="Y31" i="5"/>
  <c r="Z31" i="5" s="1"/>
  <c r="AB31" i="5"/>
  <c r="C32" i="5"/>
  <c r="F32" i="5"/>
  <c r="G32" i="5" s="1"/>
  <c r="I32" i="5"/>
  <c r="J32" i="5" s="1"/>
  <c r="L32" i="5"/>
  <c r="M32" i="5" s="1"/>
  <c r="P32" i="5"/>
  <c r="Q32" i="5" s="1"/>
  <c r="S32" i="5"/>
  <c r="T32" i="5" s="1"/>
  <c r="V32" i="5"/>
  <c r="W32" i="5" s="1"/>
  <c r="Y32" i="5"/>
  <c r="Z32" i="5" s="1"/>
  <c r="AB32" i="5"/>
  <c r="C33" i="5"/>
  <c r="D33" i="5" s="1"/>
  <c r="F33" i="5"/>
  <c r="G33" i="5" s="1"/>
  <c r="I33" i="5"/>
  <c r="J33" i="5" s="1"/>
  <c r="P33" i="5"/>
  <c r="Q33" i="5" s="1"/>
  <c r="S33" i="5"/>
  <c r="T33" i="5" s="1"/>
  <c r="V33" i="5"/>
  <c r="W33" i="5" s="1"/>
  <c r="Y33" i="5"/>
  <c r="Z33" i="5" s="1"/>
  <c r="AB33" i="5"/>
  <c r="C34" i="5"/>
  <c r="F34" i="5"/>
  <c r="G34" i="5" s="1"/>
  <c r="I34" i="5"/>
  <c r="J34" i="5" s="1"/>
  <c r="P34" i="5"/>
  <c r="Q34" i="5" s="1"/>
  <c r="S34" i="5"/>
  <c r="T34" i="5" s="1"/>
  <c r="V34" i="5"/>
  <c r="W34" i="5" s="1"/>
  <c r="Y34" i="5"/>
  <c r="Z34" i="5" s="1"/>
  <c r="AB34" i="5"/>
  <c r="C35" i="5"/>
  <c r="D35" i="5" s="1"/>
  <c r="F35" i="5"/>
  <c r="G35" i="5" s="1"/>
  <c r="I35" i="5"/>
  <c r="J35" i="5" s="1"/>
  <c r="P35" i="5"/>
  <c r="Q35" i="5" s="1"/>
  <c r="S35" i="5"/>
  <c r="T35" i="5" s="1"/>
  <c r="V35" i="5"/>
  <c r="W35" i="5" s="1"/>
  <c r="Y35" i="5"/>
  <c r="Z35" i="5" s="1"/>
  <c r="AB35" i="5"/>
  <c r="C5" i="12"/>
  <c r="F5" i="12"/>
  <c r="G5" i="12" s="1"/>
  <c r="J5" i="12"/>
  <c r="L5" i="12"/>
  <c r="M5" i="12" s="1"/>
  <c r="P5" i="12"/>
  <c r="Q5" i="12" s="1"/>
  <c r="S5" i="12"/>
  <c r="T5" i="12" s="1"/>
  <c r="V5" i="12"/>
  <c r="W5" i="12" s="1"/>
  <c r="Y5" i="12"/>
  <c r="Z5" i="12" s="1"/>
  <c r="AB5" i="12"/>
  <c r="Y6" i="12"/>
  <c r="Z6" i="12" s="1"/>
  <c r="AB6" i="12"/>
  <c r="Y7" i="12"/>
  <c r="Z7" i="12" s="1"/>
  <c r="AB7" i="12"/>
  <c r="Y8" i="12"/>
  <c r="Z8" i="12" s="1"/>
  <c r="AB8" i="12"/>
  <c r="Y9" i="12"/>
  <c r="Z9" i="12" s="1"/>
  <c r="AB9" i="12"/>
  <c r="Y10" i="12"/>
  <c r="Z10" i="12" s="1"/>
  <c r="AB10" i="12"/>
  <c r="Y11" i="12"/>
  <c r="Z11" i="12" s="1"/>
  <c r="AB11" i="12"/>
  <c r="Y12" i="12"/>
  <c r="Z12" i="12" s="1"/>
  <c r="AB12" i="12"/>
  <c r="Y13" i="12"/>
  <c r="Z13" i="12" s="1"/>
  <c r="AB13" i="12"/>
  <c r="Y14" i="12"/>
  <c r="Z14" i="12" s="1"/>
  <c r="AB14" i="12"/>
  <c r="Y15" i="12"/>
  <c r="Z15" i="12" s="1"/>
  <c r="AB15" i="12"/>
  <c r="Y16" i="12"/>
  <c r="Z16" i="12" s="1"/>
  <c r="AB16" i="12"/>
  <c r="Y17" i="12"/>
  <c r="Z17" i="12" s="1"/>
  <c r="AB17" i="12"/>
  <c r="Y18" i="12"/>
  <c r="Z18" i="12" s="1"/>
  <c r="AB18" i="12"/>
  <c r="Y19" i="12"/>
  <c r="Z19" i="12" s="1"/>
  <c r="AB19" i="12"/>
  <c r="Y20" i="12"/>
  <c r="Z20" i="12" s="1"/>
  <c r="AB20" i="12"/>
  <c r="Y21" i="12"/>
  <c r="AB21" i="12"/>
  <c r="Y22" i="12"/>
  <c r="Z22" i="12" s="1"/>
  <c r="AB22" i="12"/>
  <c r="Y23" i="12"/>
  <c r="Z23" i="12" s="1"/>
  <c r="AB23" i="12"/>
  <c r="Y24" i="12"/>
  <c r="Z24" i="12" s="1"/>
  <c r="AB24" i="12"/>
  <c r="Y25" i="12"/>
  <c r="Z25" i="12" s="1"/>
  <c r="AB25" i="12"/>
  <c r="Y26" i="12"/>
  <c r="Z26" i="12" s="1"/>
  <c r="AB26" i="12"/>
  <c r="Y27" i="12"/>
  <c r="Z27" i="12" s="1"/>
  <c r="Y28" i="12"/>
  <c r="Z28" i="12" s="1"/>
  <c r="AB28" i="12"/>
  <c r="Y29" i="12"/>
  <c r="Z29" i="12" s="1"/>
  <c r="Y30" i="12"/>
  <c r="Z30" i="12" s="1"/>
  <c r="AB30" i="12"/>
  <c r="Y31" i="12"/>
  <c r="Z31" i="12" s="1"/>
  <c r="Y32" i="12"/>
  <c r="Z32" i="12" s="1"/>
  <c r="AB32" i="12"/>
  <c r="Y33" i="12"/>
  <c r="Z33" i="12" s="1"/>
  <c r="Y34" i="12"/>
  <c r="Z34" i="12" s="1"/>
  <c r="AB34" i="12"/>
  <c r="B35" i="12"/>
  <c r="E35" i="12"/>
  <c r="H35" i="12"/>
  <c r="K35" i="12"/>
  <c r="O35" i="12"/>
  <c r="U35" i="12"/>
  <c r="C5" i="11"/>
  <c r="F5" i="11"/>
  <c r="G5" i="11" s="1"/>
  <c r="I5" i="11"/>
  <c r="J5" i="11" s="1"/>
  <c r="L5" i="11"/>
  <c r="M5" i="11" s="1"/>
  <c r="P5" i="11"/>
  <c r="Q5" i="11" s="1"/>
  <c r="S5" i="11"/>
  <c r="T5" i="11" s="1"/>
  <c r="V5" i="11"/>
  <c r="W5" i="11" s="1"/>
  <c r="Y5" i="11"/>
  <c r="Z5" i="11" s="1"/>
  <c r="AB5" i="11"/>
  <c r="AB6" i="11"/>
  <c r="AB7" i="11"/>
  <c r="AB8" i="11"/>
  <c r="AB9" i="11"/>
  <c r="AB11" i="11"/>
  <c r="AB13" i="11"/>
  <c r="AB15" i="11"/>
  <c r="AB17" i="11"/>
  <c r="AB19" i="11"/>
  <c r="AB21" i="11"/>
  <c r="AB23" i="11"/>
  <c r="AB25" i="11"/>
  <c r="AB27" i="11"/>
  <c r="AB29" i="11"/>
  <c r="AB31" i="11"/>
  <c r="AB33" i="11"/>
  <c r="AB35" i="11"/>
  <c r="F5" i="9"/>
  <c r="G5" i="9" s="1"/>
  <c r="I5" i="9"/>
  <c r="J5" i="9" s="1"/>
  <c r="L5" i="9"/>
  <c r="M5" i="9" s="1"/>
  <c r="Q5" i="9"/>
  <c r="S5" i="9"/>
  <c r="T5" i="9" s="1"/>
  <c r="V5" i="9"/>
  <c r="W5" i="9" s="1"/>
  <c r="Y5" i="9"/>
  <c r="Z5" i="9" s="1"/>
  <c r="C6" i="9"/>
  <c r="F6" i="9"/>
  <c r="G6" i="9" s="1"/>
  <c r="I6" i="9"/>
  <c r="J6" i="9" s="1"/>
  <c r="L6" i="9"/>
  <c r="M6" i="9" s="1"/>
  <c r="Q6" i="9"/>
  <c r="S6" i="9"/>
  <c r="T6" i="9" s="1"/>
  <c r="V6" i="9"/>
  <c r="W6" i="9" s="1"/>
  <c r="Y6" i="9"/>
  <c r="Z6" i="9" s="1"/>
  <c r="AB6" i="9"/>
  <c r="F7" i="9"/>
  <c r="G7" i="9" s="1"/>
  <c r="I7" i="9"/>
  <c r="J7" i="9" s="1"/>
  <c r="L7" i="9"/>
  <c r="M7" i="9" s="1"/>
  <c r="Q7" i="9"/>
  <c r="S7" i="9"/>
  <c r="T7" i="9" s="1"/>
  <c r="V7" i="9"/>
  <c r="W7" i="9" s="1"/>
  <c r="Y7" i="9"/>
  <c r="Z7" i="9" s="1"/>
  <c r="C8" i="9"/>
  <c r="F8" i="9"/>
  <c r="G8" i="9" s="1"/>
  <c r="I8" i="9"/>
  <c r="J8" i="9" s="1"/>
  <c r="L8" i="9"/>
  <c r="M8" i="9" s="1"/>
  <c r="Q8" i="9"/>
  <c r="S8" i="9"/>
  <c r="T8" i="9" s="1"/>
  <c r="V8" i="9"/>
  <c r="W8" i="9" s="1"/>
  <c r="Y8" i="9"/>
  <c r="Z8" i="9" s="1"/>
  <c r="AB8" i="9"/>
  <c r="F9" i="9"/>
  <c r="G9" i="9" s="1"/>
  <c r="I9" i="9"/>
  <c r="J9" i="9" s="1"/>
  <c r="L9" i="9"/>
  <c r="M9" i="9" s="1"/>
  <c r="Q9" i="9"/>
  <c r="S9" i="9"/>
  <c r="T9" i="9" s="1"/>
  <c r="V9" i="9"/>
  <c r="W9" i="9" s="1"/>
  <c r="Y9" i="9"/>
  <c r="Z9" i="9" s="1"/>
  <c r="C10" i="9"/>
  <c r="F10" i="9"/>
  <c r="G10" i="9" s="1"/>
  <c r="J10" i="9"/>
  <c r="L10" i="9"/>
  <c r="M10" i="9" s="1"/>
  <c r="Q10" i="9"/>
  <c r="S10" i="9"/>
  <c r="T10" i="9" s="1"/>
  <c r="V10" i="9"/>
  <c r="W10" i="9" s="1"/>
  <c r="Y10" i="9"/>
  <c r="Z10" i="9" s="1"/>
  <c r="AB10" i="9"/>
  <c r="F11" i="9"/>
  <c r="G11" i="9" s="1"/>
  <c r="J11" i="9"/>
  <c r="L11" i="9"/>
  <c r="M11" i="9" s="1"/>
  <c r="Q11" i="9"/>
  <c r="S11" i="9"/>
  <c r="T11" i="9" s="1"/>
  <c r="V11" i="9"/>
  <c r="W11" i="9" s="1"/>
  <c r="Y11" i="9"/>
  <c r="Z11" i="9" s="1"/>
  <c r="C12" i="9"/>
  <c r="F12" i="9"/>
  <c r="G12" i="9" s="1"/>
  <c r="I12" i="9"/>
  <c r="J12" i="9" s="1"/>
  <c r="L12" i="9"/>
  <c r="M12" i="9" s="1"/>
  <c r="Q12" i="9"/>
  <c r="S12" i="9"/>
  <c r="T12" i="9" s="1"/>
  <c r="V12" i="9"/>
  <c r="W12" i="9" s="1"/>
  <c r="Y12" i="9"/>
  <c r="Z12" i="9" s="1"/>
  <c r="AB12" i="9"/>
  <c r="F13" i="9"/>
  <c r="G13" i="9" s="1"/>
  <c r="I13" i="9"/>
  <c r="J13" i="9" s="1"/>
  <c r="L13" i="9"/>
  <c r="M13" i="9" s="1"/>
  <c r="Q13" i="9"/>
  <c r="S13" i="9"/>
  <c r="T13" i="9" s="1"/>
  <c r="V13" i="9"/>
  <c r="W13" i="9" s="1"/>
  <c r="Y13" i="9"/>
  <c r="Z13" i="9" s="1"/>
  <c r="C14" i="9"/>
  <c r="F14" i="9"/>
  <c r="G14" i="9" s="1"/>
  <c r="I14" i="9"/>
  <c r="J14" i="9" s="1"/>
  <c r="L14" i="9"/>
  <c r="M14" i="9" s="1"/>
  <c r="Q14" i="9"/>
  <c r="S14" i="9"/>
  <c r="T14" i="9" s="1"/>
  <c r="V14" i="9"/>
  <c r="W14" i="9" s="1"/>
  <c r="Y14" i="9"/>
  <c r="Z14" i="9" s="1"/>
  <c r="AB14" i="9"/>
  <c r="G15" i="9"/>
  <c r="I15" i="9"/>
  <c r="J15" i="9" s="1"/>
  <c r="L15" i="9"/>
  <c r="M15" i="9" s="1"/>
  <c r="Q15" i="9"/>
  <c r="S15" i="9"/>
  <c r="T15" i="9" s="1"/>
  <c r="V15" i="9"/>
  <c r="W15" i="9" s="1"/>
  <c r="Y15" i="9"/>
  <c r="Z15" i="9" s="1"/>
  <c r="C16" i="9"/>
  <c r="G16" i="9"/>
  <c r="I16" i="9"/>
  <c r="J16" i="9" s="1"/>
  <c r="L16" i="9"/>
  <c r="M16" i="9" s="1"/>
  <c r="Q16" i="9"/>
  <c r="S16" i="9"/>
  <c r="T16" i="9" s="1"/>
  <c r="V16" i="9"/>
  <c r="W16" i="9" s="1"/>
  <c r="Y16" i="9"/>
  <c r="Z16" i="9" s="1"/>
  <c r="AB16" i="9"/>
  <c r="C17" i="9"/>
  <c r="D17" i="9" s="1"/>
  <c r="F17" i="9"/>
  <c r="G17" i="9" s="1"/>
  <c r="I17" i="9"/>
  <c r="J17" i="9" s="1"/>
  <c r="L17" i="9"/>
  <c r="M17" i="9" s="1"/>
  <c r="Q17" i="9"/>
  <c r="S17" i="9"/>
  <c r="T17" i="9" s="1"/>
  <c r="V17" i="9"/>
  <c r="W17" i="9" s="1"/>
  <c r="Y17" i="9"/>
  <c r="AB17" i="9"/>
  <c r="C18" i="9"/>
  <c r="F18" i="9"/>
  <c r="G18" i="9" s="1"/>
  <c r="I18" i="9"/>
  <c r="L18" i="9"/>
  <c r="M18" i="9" s="1"/>
  <c r="S18" i="9"/>
  <c r="T18" i="9" s="1"/>
  <c r="V18" i="9"/>
  <c r="Y18" i="9"/>
  <c r="Z18" i="9" s="1"/>
  <c r="C19" i="9"/>
  <c r="D19" i="9" s="1"/>
  <c r="F19" i="9"/>
  <c r="I19" i="9"/>
  <c r="J19" i="9" s="1"/>
  <c r="L19" i="9"/>
  <c r="Q19" i="9"/>
  <c r="S19" i="9"/>
  <c r="T19" i="9" s="1"/>
  <c r="V19" i="9"/>
  <c r="W19" i="9" s="1"/>
  <c r="Y19" i="9"/>
  <c r="Z19" i="9" s="1"/>
  <c r="AB19" i="9"/>
  <c r="C20" i="9"/>
  <c r="F20" i="9"/>
  <c r="G20" i="9" s="1"/>
  <c r="I20" i="9"/>
  <c r="J20" i="9" s="1"/>
  <c r="L20" i="9"/>
  <c r="M20" i="9" s="1"/>
  <c r="Q20" i="9"/>
  <c r="S20" i="9"/>
  <c r="T20" i="9" s="1"/>
  <c r="V20" i="9"/>
  <c r="W20" i="9" s="1"/>
  <c r="Y20" i="9"/>
  <c r="Z20" i="9" s="1"/>
  <c r="C21" i="9"/>
  <c r="D21" i="9" s="1"/>
  <c r="F21" i="9"/>
  <c r="G21" i="9" s="1"/>
  <c r="I21" i="9"/>
  <c r="J21" i="9" s="1"/>
  <c r="L21" i="9"/>
  <c r="M21" i="9" s="1"/>
  <c r="Q21" i="9"/>
  <c r="S21" i="9"/>
  <c r="T21" i="9" s="1"/>
  <c r="V21" i="9"/>
  <c r="W21" i="9" s="1"/>
  <c r="Y21" i="9"/>
  <c r="Z21" i="9" s="1"/>
  <c r="AB21" i="9"/>
  <c r="C22" i="9"/>
  <c r="F22" i="9"/>
  <c r="G22" i="9" s="1"/>
  <c r="I22" i="9"/>
  <c r="J22" i="9" s="1"/>
  <c r="L22" i="9"/>
  <c r="M22" i="9" s="1"/>
  <c r="Q22" i="9"/>
  <c r="S22" i="9"/>
  <c r="T22" i="9" s="1"/>
  <c r="V22" i="9"/>
  <c r="W22" i="9" s="1"/>
  <c r="Y22" i="9"/>
  <c r="Z22" i="9" s="1"/>
  <c r="C23" i="9"/>
  <c r="D23" i="9" s="1"/>
  <c r="F23" i="9"/>
  <c r="G23" i="9" s="1"/>
  <c r="I23" i="9"/>
  <c r="J23" i="9" s="1"/>
  <c r="L23" i="9"/>
  <c r="M23" i="9" s="1"/>
  <c r="Q23" i="9"/>
  <c r="V23" i="9"/>
  <c r="W23" i="9" s="1"/>
  <c r="Y23" i="9"/>
  <c r="Z23" i="9" s="1"/>
  <c r="AB23" i="9"/>
  <c r="C24" i="9"/>
  <c r="F24" i="9"/>
  <c r="G24" i="9" s="1"/>
  <c r="I24" i="9"/>
  <c r="J24" i="9" s="1"/>
  <c r="Q24" i="9"/>
  <c r="S24" i="9"/>
  <c r="T24" i="9" s="1"/>
  <c r="V24" i="9"/>
  <c r="W24" i="9" s="1"/>
  <c r="Y24" i="9"/>
  <c r="Z24" i="9" s="1"/>
  <c r="C25" i="9"/>
  <c r="D25" i="9" s="1"/>
  <c r="F25" i="9"/>
  <c r="G25" i="9" s="1"/>
  <c r="I25" i="9"/>
  <c r="J25" i="9" s="1"/>
  <c r="Q25" i="9"/>
  <c r="S25" i="9"/>
  <c r="T25" i="9" s="1"/>
  <c r="V25" i="9"/>
  <c r="W25" i="9" s="1"/>
  <c r="Y25" i="9"/>
  <c r="Z25" i="9" s="1"/>
  <c r="AB25" i="9"/>
  <c r="C26" i="9"/>
  <c r="F26" i="9"/>
  <c r="G26" i="9" s="1"/>
  <c r="I26" i="9"/>
  <c r="J26" i="9" s="1"/>
  <c r="Q26" i="9"/>
  <c r="S26" i="9"/>
  <c r="T26" i="9" s="1"/>
  <c r="V26" i="9"/>
  <c r="W26" i="9" s="1"/>
  <c r="Y26" i="9"/>
  <c r="Z26" i="9" s="1"/>
  <c r="C27" i="9"/>
  <c r="D27" i="9" s="1"/>
  <c r="F27" i="9"/>
  <c r="G27" i="9" s="1"/>
  <c r="I27" i="9"/>
  <c r="J27" i="9" s="1"/>
  <c r="Q27" i="9"/>
  <c r="S27" i="9"/>
  <c r="T27" i="9" s="1"/>
  <c r="V27" i="9"/>
  <c r="W27" i="9" s="1"/>
  <c r="Y27" i="9"/>
  <c r="Z27" i="9" s="1"/>
  <c r="AB27" i="9"/>
  <c r="C28" i="9"/>
  <c r="F28" i="9"/>
  <c r="G28" i="9" s="1"/>
  <c r="I28" i="9"/>
  <c r="J28" i="9" s="1"/>
  <c r="Q28" i="9"/>
  <c r="S28" i="9"/>
  <c r="T28" i="9" s="1"/>
  <c r="V28" i="9"/>
  <c r="W28" i="9" s="1"/>
  <c r="Y28" i="9"/>
  <c r="Z28" i="9" s="1"/>
  <c r="C29" i="9"/>
  <c r="D29" i="9" s="1"/>
  <c r="F29" i="9"/>
  <c r="G29" i="9" s="1"/>
  <c r="I29" i="9"/>
  <c r="J29" i="9" s="1"/>
  <c r="Q29" i="9"/>
  <c r="S29" i="9"/>
  <c r="T29" i="9" s="1"/>
  <c r="V29" i="9"/>
  <c r="W29" i="9" s="1"/>
  <c r="Y29" i="9"/>
  <c r="Z29" i="9" s="1"/>
  <c r="AB29" i="9"/>
  <c r="C30" i="9"/>
  <c r="F30" i="9"/>
  <c r="G30" i="9" s="1"/>
  <c r="J30" i="9"/>
  <c r="Q30" i="9"/>
  <c r="S30" i="9"/>
  <c r="T30" i="9" s="1"/>
  <c r="V30" i="9"/>
  <c r="W30" i="9" s="1"/>
  <c r="Y30" i="9"/>
  <c r="Z30" i="9" s="1"/>
  <c r="C31" i="9"/>
  <c r="D31" i="9" s="1"/>
  <c r="F31" i="9"/>
  <c r="G31" i="9" s="1"/>
  <c r="J31" i="9"/>
  <c r="Q31" i="9"/>
  <c r="S31" i="9"/>
  <c r="T31" i="9" s="1"/>
  <c r="V31" i="9"/>
  <c r="W31" i="9" s="1"/>
  <c r="Y31" i="9"/>
  <c r="Z31" i="9" s="1"/>
  <c r="AB31" i="9"/>
  <c r="C32" i="9"/>
  <c r="F32" i="9"/>
  <c r="G32" i="9" s="1"/>
  <c r="J32" i="9"/>
  <c r="Q32" i="9"/>
  <c r="S32" i="9"/>
  <c r="T32" i="9" s="1"/>
  <c r="V32" i="9"/>
  <c r="W32" i="9" s="1"/>
  <c r="Y32" i="9"/>
  <c r="Z32" i="9" s="1"/>
  <c r="C33" i="9"/>
  <c r="D33" i="9" s="1"/>
  <c r="F33" i="9"/>
  <c r="G33" i="9" s="1"/>
  <c r="J33" i="9"/>
  <c r="Q33" i="9"/>
  <c r="S33" i="9"/>
  <c r="T33" i="9" s="1"/>
  <c r="V33" i="9"/>
  <c r="W33" i="9" s="1"/>
  <c r="Y33" i="9"/>
  <c r="Z33" i="9" s="1"/>
  <c r="AB33" i="9"/>
  <c r="C34" i="9"/>
  <c r="F34" i="9"/>
  <c r="G34" i="9" s="1"/>
  <c r="J34" i="9"/>
  <c r="L34" i="9"/>
  <c r="M34" i="9" s="1"/>
  <c r="Q34" i="9"/>
  <c r="S34" i="9"/>
  <c r="T34" i="9" s="1"/>
  <c r="V34" i="9"/>
  <c r="W34" i="9" s="1"/>
  <c r="Y34" i="9"/>
  <c r="Z34" i="9" s="1"/>
  <c r="C5" i="8"/>
  <c r="F5" i="8"/>
  <c r="G5" i="8" s="1"/>
  <c r="I5" i="8"/>
  <c r="L5" i="8"/>
  <c r="M5" i="8" s="1"/>
  <c r="P5" i="8"/>
  <c r="S5" i="8"/>
  <c r="T5" i="8" s="1"/>
  <c r="V5" i="8"/>
  <c r="Y5" i="8"/>
  <c r="Z5" i="8" s="1"/>
  <c r="C6" i="8"/>
  <c r="F6" i="8"/>
  <c r="G6" i="8" s="1"/>
  <c r="I6" i="8"/>
  <c r="J6" i="8" s="1"/>
  <c r="L6" i="8"/>
  <c r="M6" i="8" s="1"/>
  <c r="P6" i="8"/>
  <c r="Q6" i="8" s="1"/>
  <c r="S6" i="8"/>
  <c r="T6" i="8" s="1"/>
  <c r="V6" i="8"/>
  <c r="W6" i="8" s="1"/>
  <c r="Y6" i="8"/>
  <c r="Z6" i="8" s="1"/>
  <c r="C7" i="8"/>
  <c r="F7" i="8"/>
  <c r="G7" i="8" s="1"/>
  <c r="I7" i="8"/>
  <c r="J7" i="8" s="1"/>
  <c r="L7" i="8"/>
  <c r="M7" i="8" s="1"/>
  <c r="P7" i="8"/>
  <c r="Q7" i="8" s="1"/>
  <c r="S7" i="8"/>
  <c r="T7" i="8" s="1"/>
  <c r="V7" i="8"/>
  <c r="W7" i="8" s="1"/>
  <c r="Y7" i="8"/>
  <c r="Z7" i="8" s="1"/>
  <c r="C8" i="8"/>
  <c r="F8" i="8"/>
  <c r="G8" i="8" s="1"/>
  <c r="I8" i="8"/>
  <c r="J8" i="8" s="1"/>
  <c r="L8" i="8"/>
  <c r="M8" i="8" s="1"/>
  <c r="P8" i="8"/>
  <c r="Q8" i="8" s="1"/>
  <c r="S8" i="8"/>
  <c r="T8" i="8" s="1"/>
  <c r="V8" i="8"/>
  <c r="W8" i="8" s="1"/>
  <c r="Y8" i="8"/>
  <c r="Z8" i="8" s="1"/>
  <c r="C9" i="8"/>
  <c r="F9" i="8"/>
  <c r="G9" i="8" s="1"/>
  <c r="I9" i="8"/>
  <c r="J9" i="8" s="1"/>
  <c r="L9" i="8"/>
  <c r="M9" i="8" s="1"/>
  <c r="P9" i="8"/>
  <c r="Q9" i="8" s="1"/>
  <c r="S9" i="8"/>
  <c r="T9" i="8" s="1"/>
  <c r="V9" i="8"/>
  <c r="W9" i="8" s="1"/>
  <c r="Y9" i="8"/>
  <c r="Z9" i="8" s="1"/>
  <c r="C10" i="8"/>
  <c r="F10" i="8"/>
  <c r="G10" i="8" s="1"/>
  <c r="I10" i="8"/>
  <c r="J10" i="8" s="1"/>
  <c r="L10" i="8"/>
  <c r="M10" i="8" s="1"/>
  <c r="P10" i="8"/>
  <c r="Q10" i="8" s="1"/>
  <c r="S10" i="8"/>
  <c r="T10" i="8" s="1"/>
  <c r="V10" i="8"/>
  <c r="W10" i="8" s="1"/>
  <c r="Y10" i="8"/>
  <c r="Z10" i="8" s="1"/>
  <c r="C11" i="8"/>
  <c r="F11" i="8"/>
  <c r="G11" i="8" s="1"/>
  <c r="I11" i="8"/>
  <c r="J11" i="8" s="1"/>
  <c r="L11" i="8"/>
  <c r="M11" i="8" s="1"/>
  <c r="P11" i="8"/>
  <c r="Q11" i="8" s="1"/>
  <c r="S11" i="8"/>
  <c r="T11" i="8" s="1"/>
  <c r="V11" i="8"/>
  <c r="W11" i="8" s="1"/>
  <c r="Y11" i="8"/>
  <c r="Z11" i="8" s="1"/>
  <c r="C12" i="8"/>
  <c r="F12" i="8"/>
  <c r="G12" i="8" s="1"/>
  <c r="I12" i="8"/>
  <c r="J12" i="8" s="1"/>
  <c r="L12" i="8"/>
  <c r="M12" i="8" s="1"/>
  <c r="P12" i="8"/>
  <c r="Q12" i="8" s="1"/>
  <c r="S12" i="8"/>
  <c r="T12" i="8" s="1"/>
  <c r="V12" i="8"/>
  <c r="W12" i="8" s="1"/>
  <c r="Y12" i="8"/>
  <c r="Z12" i="8" s="1"/>
  <c r="C13" i="8"/>
  <c r="F13" i="8"/>
  <c r="G13" i="8" s="1"/>
  <c r="I13" i="8"/>
  <c r="J13" i="8" s="1"/>
  <c r="L13" i="8"/>
  <c r="M13" i="8" s="1"/>
  <c r="P13" i="8"/>
  <c r="Q13" i="8" s="1"/>
  <c r="S13" i="8"/>
  <c r="T13" i="8" s="1"/>
  <c r="V13" i="8"/>
  <c r="W13" i="8" s="1"/>
  <c r="Y13" i="8"/>
  <c r="Z13" i="8" s="1"/>
  <c r="C14" i="8"/>
  <c r="F14" i="8"/>
  <c r="G14" i="8" s="1"/>
  <c r="I14" i="8"/>
  <c r="J14" i="8" s="1"/>
  <c r="L14" i="8"/>
  <c r="M14" i="8" s="1"/>
  <c r="P14" i="8"/>
  <c r="Q14" i="8" s="1"/>
  <c r="S14" i="8"/>
  <c r="T14" i="8" s="1"/>
  <c r="V14" i="8"/>
  <c r="W14" i="8" s="1"/>
  <c r="Y14" i="8"/>
  <c r="Z14" i="8" s="1"/>
  <c r="C15" i="8"/>
  <c r="F15" i="8"/>
  <c r="G15" i="8" s="1"/>
  <c r="I15" i="8"/>
  <c r="J15" i="8" s="1"/>
  <c r="L15" i="8"/>
  <c r="M15" i="8" s="1"/>
  <c r="P15" i="8"/>
  <c r="Q15" i="8" s="1"/>
  <c r="S15" i="8"/>
  <c r="T15" i="8" s="1"/>
  <c r="V15" i="8"/>
  <c r="W15" i="8" s="1"/>
  <c r="Y15" i="8"/>
  <c r="Z15" i="8" s="1"/>
  <c r="C16" i="8"/>
  <c r="F16" i="8"/>
  <c r="G16" i="8" s="1"/>
  <c r="I16" i="8"/>
  <c r="J16" i="8" s="1"/>
  <c r="L16" i="8"/>
  <c r="M16" i="8" s="1"/>
  <c r="P16" i="8"/>
  <c r="Q16" i="8" s="1"/>
  <c r="S16" i="8"/>
  <c r="T16" i="8" s="1"/>
  <c r="V16" i="8"/>
  <c r="W16" i="8" s="1"/>
  <c r="Y16" i="8"/>
  <c r="Z16" i="8" s="1"/>
  <c r="C17" i="8"/>
  <c r="F17" i="8"/>
  <c r="G17" i="8" s="1"/>
  <c r="I17" i="8"/>
  <c r="J17" i="8" s="1"/>
  <c r="L17" i="8"/>
  <c r="M17" i="8" s="1"/>
  <c r="P17" i="8"/>
  <c r="Q17" i="8" s="1"/>
  <c r="S17" i="8"/>
  <c r="T17" i="8" s="1"/>
  <c r="V17" i="8"/>
  <c r="W17" i="8" s="1"/>
  <c r="Y17" i="8"/>
  <c r="Z17" i="8" s="1"/>
  <c r="C18" i="8"/>
  <c r="F18" i="8"/>
  <c r="G18" i="8" s="1"/>
  <c r="I18" i="8"/>
  <c r="J18" i="8" s="1"/>
  <c r="L18" i="8"/>
  <c r="M18" i="8" s="1"/>
  <c r="P18" i="8"/>
  <c r="Q18" i="8" s="1"/>
  <c r="S18" i="8"/>
  <c r="T18" i="8" s="1"/>
  <c r="V18" i="8"/>
  <c r="W18" i="8" s="1"/>
  <c r="Y18" i="8"/>
  <c r="Z18" i="8" s="1"/>
  <c r="C19" i="8"/>
  <c r="F19" i="8"/>
  <c r="G19" i="8" s="1"/>
  <c r="I19" i="8"/>
  <c r="J19" i="8" s="1"/>
  <c r="L19" i="8"/>
  <c r="M19" i="8" s="1"/>
  <c r="P19" i="8"/>
  <c r="Q19" i="8" s="1"/>
  <c r="S19" i="8"/>
  <c r="T19" i="8" s="1"/>
  <c r="V19" i="8"/>
  <c r="W19" i="8" s="1"/>
  <c r="Y19" i="8"/>
  <c r="Z19" i="8" s="1"/>
  <c r="C20" i="8"/>
  <c r="F20" i="8"/>
  <c r="G20" i="8" s="1"/>
  <c r="J20" i="8"/>
  <c r="L20" i="8"/>
  <c r="M20" i="8" s="1"/>
  <c r="P20" i="8"/>
  <c r="Q20" i="8" s="1"/>
  <c r="S20" i="8"/>
  <c r="T20" i="8" s="1"/>
  <c r="V20" i="8"/>
  <c r="W20" i="8" s="1"/>
  <c r="Y20" i="8"/>
  <c r="Z20" i="8" s="1"/>
  <c r="C21" i="8"/>
  <c r="F21" i="8"/>
  <c r="G21" i="8" s="1"/>
  <c r="J21" i="8"/>
  <c r="L21" i="8"/>
  <c r="M21" i="8" s="1"/>
  <c r="P21" i="8"/>
  <c r="Q21" i="8" s="1"/>
  <c r="S21" i="8"/>
  <c r="T21" i="8" s="1"/>
  <c r="V21" i="8"/>
  <c r="W21" i="8" s="1"/>
  <c r="Y21" i="8"/>
  <c r="Z21" i="8" s="1"/>
  <c r="C22" i="8"/>
  <c r="F22" i="8"/>
  <c r="G22" i="8" s="1"/>
  <c r="I22" i="8"/>
  <c r="J22" i="8" s="1"/>
  <c r="L22" i="8"/>
  <c r="M22" i="8" s="1"/>
  <c r="P22" i="8"/>
  <c r="Q22" i="8" s="1"/>
  <c r="S22" i="8"/>
  <c r="T22" i="8" s="1"/>
  <c r="V22" i="8"/>
  <c r="W22" i="8" s="1"/>
  <c r="Y22" i="8"/>
  <c r="Z22" i="8" s="1"/>
  <c r="C23" i="8"/>
  <c r="F23" i="8"/>
  <c r="G23" i="8" s="1"/>
  <c r="I23" i="8"/>
  <c r="J23" i="8" s="1"/>
  <c r="L23" i="8"/>
  <c r="M23" i="8" s="1"/>
  <c r="P23" i="8"/>
  <c r="Q23" i="8" s="1"/>
  <c r="S23" i="8"/>
  <c r="T23" i="8" s="1"/>
  <c r="V23" i="8"/>
  <c r="W23" i="8" s="1"/>
  <c r="Y23" i="8"/>
  <c r="Z23" i="8" s="1"/>
  <c r="C24" i="8"/>
  <c r="F24" i="8"/>
  <c r="G24" i="8" s="1"/>
  <c r="I24" i="8"/>
  <c r="J24" i="8" s="1"/>
  <c r="L24" i="8"/>
  <c r="M24" i="8" s="1"/>
  <c r="P24" i="8"/>
  <c r="Q24" i="8" s="1"/>
  <c r="S24" i="8"/>
  <c r="T24" i="8" s="1"/>
  <c r="V24" i="8"/>
  <c r="W24" i="8" s="1"/>
  <c r="Y24" i="8"/>
  <c r="Z24" i="8" s="1"/>
  <c r="C25" i="8"/>
  <c r="F25" i="8"/>
  <c r="G25" i="8" s="1"/>
  <c r="I25" i="8"/>
  <c r="J25" i="8" s="1"/>
  <c r="L25" i="8"/>
  <c r="M25" i="8" s="1"/>
  <c r="P25" i="8"/>
  <c r="Q25" i="8" s="1"/>
  <c r="S25" i="8"/>
  <c r="T25" i="8" s="1"/>
  <c r="V25" i="8"/>
  <c r="W25" i="8" s="1"/>
  <c r="Y25" i="8"/>
  <c r="Z25" i="8" s="1"/>
  <c r="C26" i="8"/>
  <c r="F26" i="8"/>
  <c r="G26" i="8" s="1"/>
  <c r="I26" i="8"/>
  <c r="J26" i="8" s="1"/>
  <c r="L26" i="8"/>
  <c r="M26" i="8" s="1"/>
  <c r="P26" i="8"/>
  <c r="Q26" i="8" s="1"/>
  <c r="S26" i="8"/>
  <c r="T26" i="8" s="1"/>
  <c r="V26" i="8"/>
  <c r="W26" i="8" s="1"/>
  <c r="Y26" i="8"/>
  <c r="Z26" i="8" s="1"/>
  <c r="C27" i="8"/>
  <c r="F27" i="8"/>
  <c r="G27" i="8" s="1"/>
  <c r="I27" i="8"/>
  <c r="J27" i="8" s="1"/>
  <c r="L27" i="8"/>
  <c r="M27" i="8" s="1"/>
  <c r="P27" i="8"/>
  <c r="Q27" i="8" s="1"/>
  <c r="S27" i="8"/>
  <c r="T27" i="8" s="1"/>
  <c r="V27" i="8"/>
  <c r="W27" i="8" s="1"/>
  <c r="Y27" i="8"/>
  <c r="Z27" i="8" s="1"/>
  <c r="C28" i="8"/>
  <c r="F28" i="8"/>
  <c r="G28" i="8" s="1"/>
  <c r="I28" i="8"/>
  <c r="J28" i="8" s="1"/>
  <c r="L28" i="8"/>
  <c r="M28" i="8" s="1"/>
  <c r="P28" i="8"/>
  <c r="Q28" i="8" s="1"/>
  <c r="S28" i="8"/>
  <c r="T28" i="8" s="1"/>
  <c r="V28" i="8"/>
  <c r="W28" i="8" s="1"/>
  <c r="Y28" i="8"/>
  <c r="Z28" i="8" s="1"/>
  <c r="C29" i="8"/>
  <c r="F29" i="8"/>
  <c r="G29" i="8" s="1"/>
  <c r="I29" i="8"/>
  <c r="J29" i="8" s="1"/>
  <c r="L29" i="8"/>
  <c r="M29" i="8" s="1"/>
  <c r="P29" i="8"/>
  <c r="Q29" i="8" s="1"/>
  <c r="S29" i="8"/>
  <c r="T29" i="8" s="1"/>
  <c r="V29" i="8"/>
  <c r="W29" i="8" s="1"/>
  <c r="Y29" i="8"/>
  <c r="Z29" i="8" s="1"/>
  <c r="C30" i="8"/>
  <c r="F30" i="8"/>
  <c r="G30" i="8" s="1"/>
  <c r="I30" i="8"/>
  <c r="J30" i="8" s="1"/>
  <c r="L30" i="8"/>
  <c r="M30" i="8" s="1"/>
  <c r="P30" i="8"/>
  <c r="Q30" i="8" s="1"/>
  <c r="S30" i="8"/>
  <c r="T30" i="8" s="1"/>
  <c r="V30" i="8"/>
  <c r="W30" i="8" s="1"/>
  <c r="Y30" i="8"/>
  <c r="Z30" i="8" s="1"/>
  <c r="C31" i="8"/>
  <c r="F31" i="8"/>
  <c r="G31" i="8" s="1"/>
  <c r="J31" i="8"/>
  <c r="L31" i="8"/>
  <c r="M31" i="8" s="1"/>
  <c r="P31" i="8"/>
  <c r="Q31" i="8" s="1"/>
  <c r="S31" i="8"/>
  <c r="T31" i="8" s="1"/>
  <c r="V31" i="8"/>
  <c r="W31" i="8" s="1"/>
  <c r="Y31" i="8"/>
  <c r="Z31" i="8" s="1"/>
  <c r="C32" i="8"/>
  <c r="F32" i="8"/>
  <c r="G32" i="8" s="1"/>
  <c r="J32" i="8"/>
  <c r="L32" i="8"/>
  <c r="M32" i="8" s="1"/>
  <c r="P32" i="8"/>
  <c r="Q32" i="8" s="1"/>
  <c r="S32" i="8"/>
  <c r="T32" i="8" s="1"/>
  <c r="V32" i="8"/>
  <c r="W32" i="8" s="1"/>
  <c r="Y32" i="8"/>
  <c r="Z32" i="8" s="1"/>
  <c r="C33" i="8"/>
  <c r="F33" i="8"/>
  <c r="G33" i="8" s="1"/>
  <c r="J33" i="8"/>
  <c r="L33" i="8"/>
  <c r="M33" i="8" s="1"/>
  <c r="P33" i="8"/>
  <c r="Q33" i="8" s="1"/>
  <c r="S33" i="8"/>
  <c r="T33" i="8" s="1"/>
  <c r="V33" i="8"/>
  <c r="W33" i="8" s="1"/>
  <c r="Y33" i="8"/>
  <c r="Z33" i="8" s="1"/>
  <c r="C34" i="8"/>
  <c r="F34" i="8"/>
  <c r="G34" i="8" s="1"/>
  <c r="J34" i="8"/>
  <c r="L34" i="8"/>
  <c r="M34" i="8" s="1"/>
  <c r="P34" i="8"/>
  <c r="Q34" i="8" s="1"/>
  <c r="S34" i="8"/>
  <c r="T34" i="8" s="1"/>
  <c r="V34" i="8"/>
  <c r="W34" i="8" s="1"/>
  <c r="Y34" i="8"/>
  <c r="Z34" i="8" s="1"/>
  <c r="C35" i="8"/>
  <c r="F35" i="8"/>
  <c r="G35" i="8" s="1"/>
  <c r="J35" i="8"/>
  <c r="L35" i="8"/>
  <c r="M35" i="8" s="1"/>
  <c r="P35" i="8"/>
  <c r="Q35" i="8" s="1"/>
  <c r="S35" i="8"/>
  <c r="T35" i="8" s="1"/>
  <c r="V35" i="8"/>
  <c r="W35" i="8" s="1"/>
  <c r="Y35" i="8"/>
  <c r="Z35" i="8" s="1"/>
  <c r="C5" i="7"/>
  <c r="F5" i="7"/>
  <c r="G5" i="7" s="1"/>
  <c r="L5" i="7"/>
  <c r="P5" i="7"/>
  <c r="S5" i="7"/>
  <c r="T5" i="7" s="1"/>
  <c r="V5" i="7"/>
  <c r="Y5" i="7"/>
  <c r="C6" i="7"/>
  <c r="F6" i="7"/>
  <c r="I6" i="7"/>
  <c r="J6" i="7" s="1"/>
  <c r="L6" i="7"/>
  <c r="P6" i="7"/>
  <c r="S6" i="7"/>
  <c r="V6" i="7"/>
  <c r="W6" i="7" s="1"/>
  <c r="Y6" i="7"/>
  <c r="C7" i="7"/>
  <c r="F7" i="7"/>
  <c r="G7" i="7" s="1"/>
  <c r="I7" i="7"/>
  <c r="J7" i="7" s="1"/>
  <c r="L7" i="7"/>
  <c r="P7" i="7"/>
  <c r="S7" i="7"/>
  <c r="T7" i="7" s="1"/>
  <c r="V7" i="7"/>
  <c r="W7" i="7" s="1"/>
  <c r="Y7" i="7"/>
  <c r="C8" i="7"/>
  <c r="F8" i="7"/>
  <c r="G8" i="7" s="1"/>
  <c r="J8" i="7"/>
  <c r="L8" i="7"/>
  <c r="P8" i="7"/>
  <c r="V8" i="7"/>
  <c r="W8" i="7" s="1"/>
  <c r="Y8" i="7"/>
  <c r="C9" i="7"/>
  <c r="F9" i="7"/>
  <c r="G9" i="7" s="1"/>
  <c r="J9" i="7"/>
  <c r="L9" i="7"/>
  <c r="V9" i="7"/>
  <c r="W9" i="7" s="1"/>
  <c r="Y9" i="7"/>
  <c r="C10" i="7"/>
  <c r="F10" i="7"/>
  <c r="G10" i="7" s="1"/>
  <c r="J10" i="7"/>
  <c r="L10" i="7"/>
  <c r="V10" i="7"/>
  <c r="W10" i="7" s="1"/>
  <c r="Y10" i="7"/>
  <c r="C11" i="7"/>
  <c r="F11" i="7"/>
  <c r="G11" i="7" s="1"/>
  <c r="J11" i="7"/>
  <c r="V11" i="7"/>
  <c r="W11" i="7" s="1"/>
  <c r="Y11" i="7"/>
  <c r="C12" i="7"/>
  <c r="F12" i="7"/>
  <c r="G12" i="7" s="1"/>
  <c r="J12" i="7"/>
  <c r="V12" i="7"/>
  <c r="W12" i="7" s="1"/>
  <c r="Y12" i="7"/>
  <c r="C13" i="7"/>
  <c r="F13" i="7"/>
  <c r="G13" i="7" s="1"/>
  <c r="J13" i="7"/>
  <c r="L13" i="7"/>
  <c r="V13" i="7"/>
  <c r="W13" i="7" s="1"/>
  <c r="Y13" i="7"/>
  <c r="C14" i="7"/>
  <c r="F14" i="7"/>
  <c r="G14" i="7" s="1"/>
  <c r="L14" i="7"/>
  <c r="P14" i="7"/>
  <c r="V14" i="7"/>
  <c r="W14" i="7" s="1"/>
  <c r="Y14" i="7"/>
  <c r="C15" i="7"/>
  <c r="F15" i="7"/>
  <c r="G15" i="7" s="1"/>
  <c r="L15" i="7"/>
  <c r="P15" i="7"/>
  <c r="V15" i="7"/>
  <c r="W15" i="7" s="1"/>
  <c r="Y15" i="7"/>
  <c r="C16" i="7"/>
  <c r="F16" i="7"/>
  <c r="G16" i="7" s="1"/>
  <c r="L16" i="7"/>
  <c r="P16" i="7"/>
  <c r="V16" i="7"/>
  <c r="W16" i="7" s="1"/>
  <c r="Y16" i="7"/>
  <c r="C17" i="7"/>
  <c r="F17" i="7"/>
  <c r="G17" i="7" s="1"/>
  <c r="L17" i="7"/>
  <c r="P17" i="7"/>
  <c r="S17" i="7"/>
  <c r="T17" i="7" s="1"/>
  <c r="V17" i="7"/>
  <c r="W17" i="7" s="1"/>
  <c r="Y17" i="7"/>
  <c r="C18" i="7"/>
  <c r="F18" i="7"/>
  <c r="G18" i="7" s="1"/>
  <c r="J18" i="7"/>
  <c r="L18" i="7"/>
  <c r="P18" i="7"/>
  <c r="S18" i="7"/>
  <c r="T18" i="7" s="1"/>
  <c r="V18" i="7"/>
  <c r="W18" i="7" s="1"/>
  <c r="Y18" i="7"/>
  <c r="C19" i="7"/>
  <c r="F19" i="7"/>
  <c r="G19" i="7" s="1"/>
  <c r="J19" i="7"/>
  <c r="L19" i="7"/>
  <c r="P19" i="7"/>
  <c r="S19" i="7"/>
  <c r="T19" i="7" s="1"/>
  <c r="V19" i="7"/>
  <c r="W19" i="7" s="1"/>
  <c r="Y19" i="7"/>
  <c r="C20" i="7"/>
  <c r="F20" i="7"/>
  <c r="G20" i="7" s="1"/>
  <c r="J20" i="7"/>
  <c r="L20" i="7"/>
  <c r="P20" i="7"/>
  <c r="S20" i="7"/>
  <c r="T20" i="7" s="1"/>
  <c r="V20" i="7"/>
  <c r="W20" i="7" s="1"/>
  <c r="Y20" i="7"/>
  <c r="C21" i="7"/>
  <c r="F21" i="7"/>
  <c r="G21" i="7" s="1"/>
  <c r="J21" i="7"/>
  <c r="L21" i="7"/>
  <c r="P21" i="7"/>
  <c r="S21" i="7"/>
  <c r="T21" i="7" s="1"/>
  <c r="V21" i="7"/>
  <c r="W21" i="7" s="1"/>
  <c r="Y21" i="7"/>
  <c r="C22" i="7"/>
  <c r="F22" i="7"/>
  <c r="G22" i="7" s="1"/>
  <c r="J22" i="7"/>
  <c r="L22" i="7"/>
  <c r="P22" i="7"/>
  <c r="S22" i="7"/>
  <c r="T22" i="7" s="1"/>
  <c r="V22" i="7"/>
  <c r="W22" i="7" s="1"/>
  <c r="Y22" i="7"/>
  <c r="C23" i="7"/>
  <c r="F23" i="7"/>
  <c r="G23" i="7" s="1"/>
  <c r="J23" i="7"/>
  <c r="L23" i="7"/>
  <c r="P23" i="7"/>
  <c r="S23" i="7"/>
  <c r="T23" i="7" s="1"/>
  <c r="V23" i="7"/>
  <c r="W23" i="7" s="1"/>
  <c r="Y23" i="7"/>
  <c r="C24" i="7"/>
  <c r="F24" i="7"/>
  <c r="G24" i="7" s="1"/>
  <c r="J24" i="7"/>
  <c r="L24" i="7"/>
  <c r="P24" i="7"/>
  <c r="S24" i="7"/>
  <c r="T24" i="7" s="1"/>
  <c r="V24" i="7"/>
  <c r="W24" i="7" s="1"/>
  <c r="Y24" i="7"/>
  <c r="C25" i="7"/>
  <c r="F25" i="7"/>
  <c r="G25" i="7" s="1"/>
  <c r="J25" i="7"/>
  <c r="L25" i="7"/>
  <c r="P25" i="7"/>
  <c r="S25" i="7"/>
  <c r="T25" i="7" s="1"/>
  <c r="V25" i="7"/>
  <c r="W25" i="7" s="1"/>
  <c r="Y25" i="7"/>
  <c r="C26" i="7"/>
  <c r="F26" i="7"/>
  <c r="G26" i="7" s="1"/>
  <c r="J26" i="7"/>
  <c r="L26" i="7"/>
  <c r="P26" i="7"/>
  <c r="S26" i="7"/>
  <c r="T26" i="7" s="1"/>
  <c r="V26" i="7"/>
  <c r="W26" i="7" s="1"/>
  <c r="Y26" i="7"/>
  <c r="C27" i="7"/>
  <c r="F27" i="7"/>
  <c r="G27" i="7" s="1"/>
  <c r="J27" i="7"/>
  <c r="L27" i="7"/>
  <c r="P27" i="7"/>
  <c r="S27" i="7"/>
  <c r="T27" i="7" s="1"/>
  <c r="V27" i="7"/>
  <c r="W27" i="7" s="1"/>
  <c r="Y27" i="7"/>
  <c r="C28" i="7"/>
  <c r="F28" i="7"/>
  <c r="G28" i="7" s="1"/>
  <c r="J28" i="7"/>
  <c r="L28" i="7"/>
  <c r="P28" i="7"/>
  <c r="S28" i="7"/>
  <c r="T28" i="7" s="1"/>
  <c r="V28" i="7"/>
  <c r="W28" i="7" s="1"/>
  <c r="Y28" i="7"/>
  <c r="C29" i="7"/>
  <c r="F29" i="7"/>
  <c r="G29" i="7" s="1"/>
  <c r="J29" i="7"/>
  <c r="L29" i="7"/>
  <c r="P29" i="7"/>
  <c r="S29" i="7"/>
  <c r="T29" i="7" s="1"/>
  <c r="V29" i="7"/>
  <c r="W29" i="7" s="1"/>
  <c r="Y29" i="7"/>
  <c r="C30" i="7"/>
  <c r="F30" i="7"/>
  <c r="G30" i="7" s="1"/>
  <c r="J30" i="7"/>
  <c r="L30" i="7"/>
  <c r="P30" i="7"/>
  <c r="S30" i="7"/>
  <c r="T30" i="7" s="1"/>
  <c r="V30" i="7"/>
  <c r="W30" i="7" s="1"/>
  <c r="Y30" i="7"/>
  <c r="C31" i="7"/>
  <c r="F31" i="7"/>
  <c r="G31" i="7" s="1"/>
  <c r="J31" i="7"/>
  <c r="L31" i="7"/>
  <c r="P31" i="7"/>
  <c r="S31" i="7"/>
  <c r="T31" i="7" s="1"/>
  <c r="V31" i="7"/>
  <c r="W31" i="7" s="1"/>
  <c r="Y31" i="7"/>
  <c r="C32" i="7"/>
  <c r="F32" i="7"/>
  <c r="G32" i="7" s="1"/>
  <c r="J32" i="7"/>
  <c r="L32" i="7"/>
  <c r="P32" i="7"/>
  <c r="S32" i="7"/>
  <c r="T32" i="7" s="1"/>
  <c r="V32" i="7"/>
  <c r="W32" i="7" s="1"/>
  <c r="Y32" i="7"/>
  <c r="C33" i="7"/>
  <c r="F33" i="7"/>
  <c r="G33" i="7" s="1"/>
  <c r="J33" i="7"/>
  <c r="L33" i="7"/>
  <c r="P33" i="7"/>
  <c r="S33" i="7"/>
  <c r="T33" i="7" s="1"/>
  <c r="V33" i="7"/>
  <c r="W33" i="7" s="1"/>
  <c r="Y33" i="7"/>
  <c r="C34" i="7"/>
  <c r="F34" i="7"/>
  <c r="G34" i="7" s="1"/>
  <c r="J34" i="7"/>
  <c r="L34" i="7"/>
  <c r="P34" i="7"/>
  <c r="S34" i="7"/>
  <c r="T34" i="7" s="1"/>
  <c r="V34" i="7"/>
  <c r="W34" i="7" s="1"/>
  <c r="Y34" i="7"/>
  <c r="C5" i="6"/>
  <c r="F5" i="6"/>
  <c r="G5" i="6" s="1"/>
  <c r="I5" i="6"/>
  <c r="J5" i="6" s="1"/>
  <c r="L5" i="6"/>
  <c r="P5" i="6"/>
  <c r="S5" i="6"/>
  <c r="T5" i="6" s="1"/>
  <c r="V5" i="6"/>
  <c r="W5" i="6" s="1"/>
  <c r="Y5" i="6"/>
  <c r="AB5" i="6"/>
  <c r="C6" i="6"/>
  <c r="F6" i="6"/>
  <c r="G6" i="6" s="1"/>
  <c r="I6" i="6"/>
  <c r="J6" i="6" s="1"/>
  <c r="L6" i="6"/>
  <c r="P6" i="6"/>
  <c r="S6" i="6"/>
  <c r="T6" i="6" s="1"/>
  <c r="V6" i="6"/>
  <c r="W6" i="6" s="1"/>
  <c r="Y6" i="6"/>
  <c r="C7" i="6"/>
  <c r="F7" i="6"/>
  <c r="G7" i="6" s="1"/>
  <c r="I7" i="6"/>
  <c r="J7" i="6" s="1"/>
  <c r="L7" i="6"/>
  <c r="P7" i="6"/>
  <c r="S7" i="6"/>
  <c r="T7" i="6" s="1"/>
  <c r="V7" i="6"/>
  <c r="W7" i="6" s="1"/>
  <c r="Y7" i="6"/>
  <c r="AB7" i="6"/>
  <c r="C8" i="6"/>
  <c r="F8" i="6"/>
  <c r="G8" i="6" s="1"/>
  <c r="I8" i="6"/>
  <c r="J8" i="6" s="1"/>
  <c r="L8" i="6"/>
  <c r="P8" i="6"/>
  <c r="S8" i="6"/>
  <c r="T8" i="6" s="1"/>
  <c r="V8" i="6"/>
  <c r="W8" i="6" s="1"/>
  <c r="Y8" i="6"/>
  <c r="C9" i="6"/>
  <c r="F9" i="6"/>
  <c r="G9" i="6" s="1"/>
  <c r="I9" i="6"/>
  <c r="J9" i="6" s="1"/>
  <c r="L9" i="6"/>
  <c r="P9" i="6"/>
  <c r="S9" i="6"/>
  <c r="T9" i="6" s="1"/>
  <c r="V9" i="6"/>
  <c r="W9" i="6" s="1"/>
  <c r="Y9" i="6"/>
  <c r="AB9" i="6"/>
  <c r="C10" i="6"/>
  <c r="F10" i="6"/>
  <c r="G10" i="6" s="1"/>
  <c r="I10" i="6"/>
  <c r="J10" i="6" s="1"/>
  <c r="L10" i="6"/>
  <c r="P10" i="6"/>
  <c r="S10" i="6"/>
  <c r="T10" i="6" s="1"/>
  <c r="V10" i="6"/>
  <c r="W10" i="6" s="1"/>
  <c r="Y10" i="6"/>
  <c r="C11" i="6"/>
  <c r="F11" i="6"/>
  <c r="G11" i="6" s="1"/>
  <c r="I11" i="6"/>
  <c r="J11" i="6" s="1"/>
  <c r="L11" i="6"/>
  <c r="P11" i="6"/>
  <c r="S11" i="6"/>
  <c r="T11" i="6" s="1"/>
  <c r="V11" i="6"/>
  <c r="W11" i="6" s="1"/>
  <c r="Y11" i="6"/>
  <c r="AB11" i="6"/>
  <c r="C12" i="6"/>
  <c r="F12" i="6"/>
  <c r="G12" i="6" s="1"/>
  <c r="I12" i="6"/>
  <c r="J12" i="6" s="1"/>
  <c r="L12" i="6"/>
  <c r="P12" i="6"/>
  <c r="S12" i="6"/>
  <c r="T12" i="6" s="1"/>
  <c r="V12" i="6"/>
  <c r="W12" i="6" s="1"/>
  <c r="Y12" i="6"/>
  <c r="C13" i="6"/>
  <c r="F13" i="6"/>
  <c r="G13" i="6" s="1"/>
  <c r="I13" i="6"/>
  <c r="J13" i="6" s="1"/>
  <c r="L13" i="6"/>
  <c r="P13" i="6"/>
  <c r="S13" i="6"/>
  <c r="T13" i="6" s="1"/>
  <c r="V13" i="6"/>
  <c r="W13" i="6" s="1"/>
  <c r="Y13" i="6"/>
  <c r="AB13" i="6"/>
  <c r="C14" i="6"/>
  <c r="F14" i="6"/>
  <c r="G14" i="6" s="1"/>
  <c r="I14" i="6"/>
  <c r="J14" i="6" s="1"/>
  <c r="L14" i="6"/>
  <c r="P14" i="6"/>
  <c r="S14" i="6"/>
  <c r="T14" i="6" s="1"/>
  <c r="V14" i="6"/>
  <c r="W14" i="6" s="1"/>
  <c r="Y14" i="6"/>
  <c r="C15" i="6"/>
  <c r="F15" i="6"/>
  <c r="G15" i="6" s="1"/>
  <c r="I15" i="6"/>
  <c r="J15" i="6" s="1"/>
  <c r="L15" i="6"/>
  <c r="P15" i="6"/>
  <c r="S15" i="6"/>
  <c r="T15" i="6" s="1"/>
  <c r="V15" i="6"/>
  <c r="W15" i="6" s="1"/>
  <c r="Y15" i="6"/>
  <c r="AB15" i="6"/>
  <c r="C16" i="6"/>
  <c r="F16" i="6"/>
  <c r="G16" i="6" s="1"/>
  <c r="I16" i="6"/>
  <c r="J16" i="6" s="1"/>
  <c r="L16" i="6"/>
  <c r="P16" i="6"/>
  <c r="S16" i="6"/>
  <c r="T16" i="6" s="1"/>
  <c r="V16" i="6"/>
  <c r="W16" i="6" s="1"/>
  <c r="Y16" i="6"/>
  <c r="C17" i="6"/>
  <c r="F17" i="6"/>
  <c r="G17" i="6" s="1"/>
  <c r="I17" i="6"/>
  <c r="J17" i="6" s="1"/>
  <c r="L17" i="6"/>
  <c r="P17" i="6"/>
  <c r="S17" i="6"/>
  <c r="T17" i="6" s="1"/>
  <c r="V17" i="6"/>
  <c r="W17" i="6" s="1"/>
  <c r="Y17" i="6"/>
  <c r="AB17" i="6"/>
  <c r="F18" i="6"/>
  <c r="G18" i="6" s="1"/>
  <c r="I18" i="6"/>
  <c r="J18" i="6" s="1"/>
  <c r="L18" i="6"/>
  <c r="P18" i="6"/>
  <c r="S18" i="6"/>
  <c r="T18" i="6" s="1"/>
  <c r="V18" i="6"/>
  <c r="W18" i="6" s="1"/>
  <c r="Y18" i="6"/>
  <c r="C19" i="6"/>
  <c r="F19" i="6"/>
  <c r="G19" i="6" s="1"/>
  <c r="I19" i="6"/>
  <c r="J19" i="6" s="1"/>
  <c r="L19" i="6"/>
  <c r="P19" i="6"/>
  <c r="S19" i="6"/>
  <c r="T19" i="6" s="1"/>
  <c r="V19" i="6"/>
  <c r="W19" i="6" s="1"/>
  <c r="Y19" i="6"/>
  <c r="AB19" i="6"/>
  <c r="C20" i="6"/>
  <c r="F20" i="6"/>
  <c r="G20" i="6" s="1"/>
  <c r="I20" i="6"/>
  <c r="J20" i="6" s="1"/>
  <c r="L20" i="6"/>
  <c r="P20" i="6"/>
  <c r="S20" i="6"/>
  <c r="T20" i="6" s="1"/>
  <c r="V20" i="6"/>
  <c r="W20" i="6" s="1"/>
  <c r="Y20" i="6"/>
  <c r="AB20" i="6"/>
  <c r="C21" i="6"/>
  <c r="F21" i="6"/>
  <c r="G21" i="6" s="1"/>
  <c r="I21" i="6"/>
  <c r="L21" i="6"/>
  <c r="P21" i="6"/>
  <c r="S21" i="6"/>
  <c r="T21" i="6" s="1"/>
  <c r="V21" i="6"/>
  <c r="Y21" i="6"/>
  <c r="C22" i="6"/>
  <c r="F22" i="6"/>
  <c r="I22" i="6"/>
  <c r="J22" i="6" s="1"/>
  <c r="L22" i="6"/>
  <c r="P22" i="6"/>
  <c r="S22" i="6"/>
  <c r="V22" i="6"/>
  <c r="W22" i="6" s="1"/>
  <c r="Y22" i="6"/>
  <c r="AB22" i="6"/>
  <c r="C23" i="6"/>
  <c r="F23" i="6"/>
  <c r="G23" i="6" s="1"/>
  <c r="I23" i="6"/>
  <c r="J23" i="6" s="1"/>
  <c r="L23" i="6"/>
  <c r="P23" i="6"/>
  <c r="S23" i="6"/>
  <c r="T23" i="6" s="1"/>
  <c r="V23" i="6"/>
  <c r="W23" i="6" s="1"/>
  <c r="Y23" i="6"/>
  <c r="C24" i="6"/>
  <c r="F24" i="6"/>
  <c r="G24" i="6" s="1"/>
  <c r="I24" i="6"/>
  <c r="J24" i="6" s="1"/>
  <c r="L24" i="6"/>
  <c r="P24" i="6"/>
  <c r="S24" i="6"/>
  <c r="T24" i="6" s="1"/>
  <c r="V24" i="6"/>
  <c r="W24" i="6" s="1"/>
  <c r="Y24" i="6"/>
  <c r="AB24" i="6"/>
  <c r="C25" i="6"/>
  <c r="F25" i="6"/>
  <c r="G25" i="6" s="1"/>
  <c r="I25" i="6"/>
  <c r="J25" i="6" s="1"/>
  <c r="L25" i="6"/>
  <c r="P25" i="6"/>
  <c r="S25" i="6"/>
  <c r="T25" i="6" s="1"/>
  <c r="V25" i="6"/>
  <c r="W25" i="6" s="1"/>
  <c r="Y25" i="6"/>
  <c r="C26" i="6"/>
  <c r="F26" i="6"/>
  <c r="G26" i="6" s="1"/>
  <c r="I26" i="6"/>
  <c r="J26" i="6" s="1"/>
  <c r="L26" i="6"/>
  <c r="P26" i="6"/>
  <c r="S26" i="6"/>
  <c r="T26" i="6" s="1"/>
  <c r="V26" i="6"/>
  <c r="W26" i="6" s="1"/>
  <c r="Y26" i="6"/>
  <c r="AB26" i="6"/>
  <c r="C27" i="6"/>
  <c r="F27" i="6"/>
  <c r="G27" i="6" s="1"/>
  <c r="I27" i="6"/>
  <c r="J27" i="6" s="1"/>
  <c r="L27" i="6"/>
  <c r="P27" i="6"/>
  <c r="S27" i="6"/>
  <c r="T27" i="6" s="1"/>
  <c r="V27" i="6"/>
  <c r="W27" i="6" s="1"/>
  <c r="Y27" i="6"/>
  <c r="C28" i="6"/>
  <c r="F28" i="6"/>
  <c r="G28" i="6" s="1"/>
  <c r="I28" i="6"/>
  <c r="J28" i="6" s="1"/>
  <c r="L28" i="6"/>
  <c r="P28" i="6"/>
  <c r="S28" i="6"/>
  <c r="T28" i="6" s="1"/>
  <c r="V28" i="6"/>
  <c r="W28" i="6" s="1"/>
  <c r="Y28" i="6"/>
  <c r="AB28" i="6"/>
  <c r="C29" i="6"/>
  <c r="F29" i="6"/>
  <c r="G29" i="6" s="1"/>
  <c r="I29" i="6"/>
  <c r="J29" i="6" s="1"/>
  <c r="L29" i="6"/>
  <c r="P29" i="6"/>
  <c r="S29" i="6"/>
  <c r="T29" i="6" s="1"/>
  <c r="V29" i="6"/>
  <c r="W29" i="6" s="1"/>
  <c r="Y29" i="6"/>
  <c r="C30" i="6"/>
  <c r="F30" i="6"/>
  <c r="G30" i="6" s="1"/>
  <c r="J30" i="6"/>
  <c r="L30" i="6"/>
  <c r="P30" i="6"/>
  <c r="S30" i="6"/>
  <c r="T30" i="6" s="1"/>
  <c r="V30" i="6"/>
  <c r="W30" i="6" s="1"/>
  <c r="Y30" i="6"/>
  <c r="AB30" i="6"/>
  <c r="C31" i="6"/>
  <c r="F31" i="6"/>
  <c r="G31" i="6" s="1"/>
  <c r="J31" i="6"/>
  <c r="L31" i="6"/>
  <c r="P31" i="6"/>
  <c r="S31" i="6"/>
  <c r="T31" i="6" s="1"/>
  <c r="V31" i="6"/>
  <c r="W31" i="6" s="1"/>
  <c r="Y31" i="6"/>
  <c r="C32" i="6"/>
  <c r="F32" i="6"/>
  <c r="G32" i="6" s="1"/>
  <c r="J32" i="6"/>
  <c r="L32" i="6"/>
  <c r="P32" i="6"/>
  <c r="S32" i="6"/>
  <c r="T32" i="6" s="1"/>
  <c r="V32" i="6"/>
  <c r="W32" i="6" s="1"/>
  <c r="Y32" i="6"/>
  <c r="AB32" i="6"/>
  <c r="C33" i="6"/>
  <c r="F33" i="6"/>
  <c r="G33" i="6" s="1"/>
  <c r="J33" i="6"/>
  <c r="L33" i="6"/>
  <c r="P33" i="6"/>
  <c r="S33" i="6"/>
  <c r="T33" i="6" s="1"/>
  <c r="V33" i="6"/>
  <c r="W33" i="6" s="1"/>
  <c r="Y33" i="6"/>
  <c r="C34" i="6"/>
  <c r="F34" i="6"/>
  <c r="G34" i="6" s="1"/>
  <c r="J34" i="6"/>
  <c r="L34" i="6"/>
  <c r="P34" i="6"/>
  <c r="S34" i="6"/>
  <c r="T34" i="6" s="1"/>
  <c r="V34" i="6"/>
  <c r="W34" i="6" s="1"/>
  <c r="Y34" i="6"/>
  <c r="AB34" i="6"/>
  <c r="C35" i="6"/>
  <c r="F35" i="6"/>
  <c r="G35" i="6" s="1"/>
  <c r="J35" i="6"/>
  <c r="L35" i="6"/>
  <c r="P35" i="6"/>
  <c r="S35" i="6"/>
  <c r="T35" i="6" s="1"/>
  <c r="V35" i="6"/>
  <c r="W35" i="6" s="1"/>
  <c r="Y35" i="6"/>
  <c r="C5" i="4"/>
  <c r="F5" i="4"/>
  <c r="I5" i="4"/>
  <c r="J5" i="4" s="1"/>
  <c r="L5" i="4"/>
  <c r="P5" i="4"/>
  <c r="Q5" i="4" s="1"/>
  <c r="S5" i="4"/>
  <c r="V5" i="4"/>
  <c r="W5" i="4" s="1"/>
  <c r="Y5" i="4"/>
  <c r="C6" i="4"/>
  <c r="F6" i="4"/>
  <c r="G6" i="4" s="1"/>
  <c r="I6" i="4"/>
  <c r="L6" i="4"/>
  <c r="M6" i="4" s="1"/>
  <c r="P6" i="4"/>
  <c r="S6" i="4"/>
  <c r="T6" i="4" s="1"/>
  <c r="V6" i="4"/>
  <c r="Y6" i="4"/>
  <c r="Z6" i="4" s="1"/>
  <c r="C7" i="4"/>
  <c r="F7" i="4"/>
  <c r="G7" i="4" s="1"/>
  <c r="I7" i="4"/>
  <c r="J7" i="4" s="1"/>
  <c r="L7" i="4"/>
  <c r="M7" i="4" s="1"/>
  <c r="P7" i="4"/>
  <c r="Q7" i="4" s="1"/>
  <c r="S7" i="4"/>
  <c r="T7" i="4" s="1"/>
  <c r="V7" i="4"/>
  <c r="W7" i="4" s="1"/>
  <c r="Y7" i="4"/>
  <c r="Z7" i="4" s="1"/>
  <c r="C8" i="4"/>
  <c r="F8" i="4"/>
  <c r="G8" i="4" s="1"/>
  <c r="I8" i="4"/>
  <c r="J8" i="4" s="1"/>
  <c r="L8" i="4"/>
  <c r="M8" i="4" s="1"/>
  <c r="P8" i="4"/>
  <c r="Q8" i="4" s="1"/>
  <c r="S8" i="4"/>
  <c r="T8" i="4" s="1"/>
  <c r="V8" i="4"/>
  <c r="W8" i="4" s="1"/>
  <c r="Y8" i="4"/>
  <c r="Z8" i="4" s="1"/>
  <c r="C9" i="4"/>
  <c r="F9" i="4"/>
  <c r="G9" i="4" s="1"/>
  <c r="I9" i="4"/>
  <c r="J9" i="4" s="1"/>
  <c r="L9" i="4"/>
  <c r="M9" i="4" s="1"/>
  <c r="P9" i="4"/>
  <c r="Q9" i="4" s="1"/>
  <c r="S9" i="4"/>
  <c r="T9" i="4" s="1"/>
  <c r="V9" i="4"/>
  <c r="W9" i="4" s="1"/>
  <c r="Y9" i="4"/>
  <c r="Z9" i="4" s="1"/>
  <c r="C10" i="4"/>
  <c r="F10" i="4"/>
  <c r="G10" i="4" s="1"/>
  <c r="I10" i="4"/>
  <c r="J10" i="4" s="1"/>
  <c r="L10" i="4"/>
  <c r="M10" i="4" s="1"/>
  <c r="P10" i="4"/>
  <c r="Q10" i="4" s="1"/>
  <c r="S10" i="4"/>
  <c r="T10" i="4" s="1"/>
  <c r="V10" i="4"/>
  <c r="W10" i="4" s="1"/>
  <c r="Y10" i="4"/>
  <c r="Z10" i="4" s="1"/>
  <c r="C11" i="4"/>
  <c r="F11" i="4"/>
  <c r="G11" i="4" s="1"/>
  <c r="I11" i="4"/>
  <c r="J11" i="4" s="1"/>
  <c r="L11" i="4"/>
  <c r="M11" i="4" s="1"/>
  <c r="P11" i="4"/>
  <c r="Q11" i="4" s="1"/>
  <c r="S11" i="4"/>
  <c r="T11" i="4" s="1"/>
  <c r="V11" i="4"/>
  <c r="W11" i="4" s="1"/>
  <c r="Y11" i="4"/>
  <c r="Z11" i="4" s="1"/>
  <c r="C12" i="4"/>
  <c r="F12" i="4"/>
  <c r="G12" i="4" s="1"/>
  <c r="I12" i="4"/>
  <c r="J12" i="4" s="1"/>
  <c r="L12" i="4"/>
  <c r="M12" i="4" s="1"/>
  <c r="P12" i="4"/>
  <c r="Q12" i="4" s="1"/>
  <c r="S12" i="4"/>
  <c r="T12" i="4" s="1"/>
  <c r="V12" i="4"/>
  <c r="W12" i="4" s="1"/>
  <c r="Y12" i="4"/>
  <c r="Z12" i="4" s="1"/>
  <c r="C13" i="4"/>
  <c r="F13" i="4"/>
  <c r="G13" i="4" s="1"/>
  <c r="I13" i="4"/>
  <c r="J13" i="4" s="1"/>
  <c r="L13" i="4"/>
  <c r="M13" i="4" s="1"/>
  <c r="P13" i="4"/>
  <c r="Q13" i="4" s="1"/>
  <c r="S13" i="4"/>
  <c r="T13" i="4" s="1"/>
  <c r="V13" i="4"/>
  <c r="W13" i="4" s="1"/>
  <c r="Y13" i="4"/>
  <c r="Z13" i="4" s="1"/>
  <c r="C14" i="4"/>
  <c r="F14" i="4"/>
  <c r="G14" i="4" s="1"/>
  <c r="I14" i="4"/>
  <c r="J14" i="4" s="1"/>
  <c r="L14" i="4"/>
  <c r="M14" i="4" s="1"/>
  <c r="P14" i="4"/>
  <c r="Q14" i="4" s="1"/>
  <c r="S14" i="4"/>
  <c r="T14" i="4" s="1"/>
  <c r="V14" i="4"/>
  <c r="W14" i="4" s="1"/>
  <c r="Y14" i="4"/>
  <c r="Z14" i="4" s="1"/>
  <c r="C15" i="4"/>
  <c r="F15" i="4"/>
  <c r="G15" i="4" s="1"/>
  <c r="I15" i="4"/>
  <c r="J15" i="4" s="1"/>
  <c r="L15" i="4"/>
  <c r="M15" i="4" s="1"/>
  <c r="P15" i="4"/>
  <c r="Q15" i="4" s="1"/>
  <c r="S15" i="4"/>
  <c r="T15" i="4" s="1"/>
  <c r="V15" i="4"/>
  <c r="W15" i="4" s="1"/>
  <c r="Y15" i="4"/>
  <c r="Z15" i="4" s="1"/>
  <c r="C16" i="4"/>
  <c r="F16" i="4"/>
  <c r="G16" i="4" s="1"/>
  <c r="I16" i="4"/>
  <c r="J16" i="4" s="1"/>
  <c r="L16" i="4"/>
  <c r="M16" i="4" s="1"/>
  <c r="P16" i="4"/>
  <c r="Q16" i="4" s="1"/>
  <c r="S16" i="4"/>
  <c r="T16" i="4" s="1"/>
  <c r="V16" i="4"/>
  <c r="W16" i="4" s="1"/>
  <c r="Y16" i="4"/>
  <c r="Z16" i="4" s="1"/>
  <c r="C17" i="4"/>
  <c r="F17" i="4"/>
  <c r="G17" i="4" s="1"/>
  <c r="I17" i="4"/>
  <c r="J17" i="4" s="1"/>
  <c r="L17" i="4"/>
  <c r="M17" i="4" s="1"/>
  <c r="P17" i="4"/>
  <c r="Q17" i="4" s="1"/>
  <c r="S17" i="4"/>
  <c r="T17" i="4" s="1"/>
  <c r="V17" i="4"/>
  <c r="W17" i="4" s="1"/>
  <c r="Y17" i="4"/>
  <c r="Z17" i="4" s="1"/>
  <c r="C18" i="4"/>
  <c r="F18" i="4"/>
  <c r="G18" i="4" s="1"/>
  <c r="I18" i="4"/>
  <c r="J18" i="4" s="1"/>
  <c r="P18" i="4"/>
  <c r="Q18" i="4" s="1"/>
  <c r="S18" i="4"/>
  <c r="T18" i="4" s="1"/>
  <c r="V18" i="4"/>
  <c r="W18" i="4" s="1"/>
  <c r="Y18" i="4"/>
  <c r="Z18" i="4" s="1"/>
  <c r="C19" i="4"/>
  <c r="F19" i="4"/>
  <c r="G19" i="4" s="1"/>
  <c r="I19" i="4"/>
  <c r="J19" i="4" s="1"/>
  <c r="P19" i="4"/>
  <c r="Q19" i="4" s="1"/>
  <c r="S19" i="4"/>
  <c r="T19" i="4" s="1"/>
  <c r="V19" i="4"/>
  <c r="W19" i="4" s="1"/>
  <c r="Y19" i="4"/>
  <c r="Z19" i="4" s="1"/>
  <c r="C20" i="4"/>
  <c r="F20" i="4"/>
  <c r="G20" i="4" s="1"/>
  <c r="I20" i="4"/>
  <c r="J20" i="4" s="1"/>
  <c r="P20" i="4"/>
  <c r="Q20" i="4" s="1"/>
  <c r="S20" i="4"/>
  <c r="T20" i="4" s="1"/>
  <c r="V20" i="4"/>
  <c r="W20" i="4" s="1"/>
  <c r="Y20" i="4"/>
  <c r="Z20" i="4" s="1"/>
  <c r="C21" i="4"/>
  <c r="F21" i="4"/>
  <c r="G21" i="4" s="1"/>
  <c r="I21" i="4"/>
  <c r="J21" i="4" s="1"/>
  <c r="L21" i="4"/>
  <c r="M21" i="4" s="1"/>
  <c r="P21" i="4"/>
  <c r="Q21" i="4" s="1"/>
  <c r="S21" i="4"/>
  <c r="T21" i="4" s="1"/>
  <c r="V21" i="4"/>
  <c r="W21" i="4" s="1"/>
  <c r="Y21" i="4"/>
  <c r="Z21" i="4" s="1"/>
  <c r="C22" i="4"/>
  <c r="F22" i="4"/>
  <c r="G22" i="4" s="1"/>
  <c r="I22" i="4"/>
  <c r="J22" i="4" s="1"/>
  <c r="L22" i="4"/>
  <c r="M22" i="4" s="1"/>
  <c r="P22" i="4"/>
  <c r="Q22" i="4" s="1"/>
  <c r="S22" i="4"/>
  <c r="T22" i="4" s="1"/>
  <c r="V22" i="4"/>
  <c r="W22" i="4" s="1"/>
  <c r="Y22" i="4"/>
  <c r="Z22" i="4" s="1"/>
  <c r="C23" i="4"/>
  <c r="F23" i="4"/>
  <c r="G23" i="4" s="1"/>
  <c r="I23" i="4"/>
  <c r="J23" i="4" s="1"/>
  <c r="L23" i="4"/>
  <c r="M23" i="4" s="1"/>
  <c r="P23" i="4"/>
  <c r="Q23" i="4" s="1"/>
  <c r="S23" i="4"/>
  <c r="T23" i="4" s="1"/>
  <c r="V23" i="4"/>
  <c r="W23" i="4" s="1"/>
  <c r="Y23" i="4"/>
  <c r="Z23" i="4" s="1"/>
  <c r="C24" i="4"/>
  <c r="F24" i="4"/>
  <c r="G24" i="4" s="1"/>
  <c r="I24" i="4"/>
  <c r="J24" i="4" s="1"/>
  <c r="L24" i="4"/>
  <c r="M24" i="4" s="1"/>
  <c r="P24" i="4"/>
  <c r="Q24" i="4" s="1"/>
  <c r="S24" i="4"/>
  <c r="T24" i="4" s="1"/>
  <c r="V24" i="4"/>
  <c r="W24" i="4" s="1"/>
  <c r="Y24" i="4"/>
  <c r="Z24" i="4" s="1"/>
  <c r="C25" i="4"/>
  <c r="F25" i="4"/>
  <c r="G25" i="4" s="1"/>
  <c r="I25" i="4"/>
  <c r="J25" i="4" s="1"/>
  <c r="L25" i="4"/>
  <c r="M25" i="4" s="1"/>
  <c r="P25" i="4"/>
  <c r="Q25" i="4" s="1"/>
  <c r="S25" i="4"/>
  <c r="T25" i="4" s="1"/>
  <c r="V25" i="4"/>
  <c r="W25" i="4" s="1"/>
  <c r="Y25" i="4"/>
  <c r="Z25" i="4" s="1"/>
  <c r="C26" i="4"/>
  <c r="F26" i="4"/>
  <c r="G26" i="4" s="1"/>
  <c r="I26" i="4"/>
  <c r="J26" i="4" s="1"/>
  <c r="L26" i="4"/>
  <c r="M26" i="4" s="1"/>
  <c r="P26" i="4"/>
  <c r="Q26" i="4" s="1"/>
  <c r="S26" i="4"/>
  <c r="T26" i="4" s="1"/>
  <c r="V26" i="4"/>
  <c r="W26" i="4" s="1"/>
  <c r="Y26" i="4"/>
  <c r="Z26" i="4" s="1"/>
  <c r="C27" i="4"/>
  <c r="F27" i="4"/>
  <c r="G27" i="4" s="1"/>
  <c r="I27" i="4"/>
  <c r="J27" i="4" s="1"/>
  <c r="L27" i="4"/>
  <c r="M27" i="4" s="1"/>
  <c r="P27" i="4"/>
  <c r="Q27" i="4" s="1"/>
  <c r="S27" i="4"/>
  <c r="T27" i="4" s="1"/>
  <c r="V27" i="4"/>
  <c r="W27" i="4" s="1"/>
  <c r="Y27" i="4"/>
  <c r="Z27" i="4" s="1"/>
  <c r="C28" i="4"/>
  <c r="F28" i="4"/>
  <c r="G28" i="4" s="1"/>
  <c r="I28" i="4"/>
  <c r="J28" i="4" s="1"/>
  <c r="L28" i="4"/>
  <c r="M28" i="4" s="1"/>
  <c r="P28" i="4"/>
  <c r="Q28" i="4" s="1"/>
  <c r="S28" i="4"/>
  <c r="T28" i="4" s="1"/>
  <c r="V28" i="4"/>
  <c r="W28" i="4" s="1"/>
  <c r="Y28" i="4"/>
  <c r="Z28" i="4" s="1"/>
  <c r="C29" i="4"/>
  <c r="F29" i="4"/>
  <c r="G29" i="4" s="1"/>
  <c r="I29" i="4"/>
  <c r="J29" i="4" s="1"/>
  <c r="L29" i="4"/>
  <c r="M29" i="4" s="1"/>
  <c r="P29" i="4"/>
  <c r="Q29" i="4" s="1"/>
  <c r="S29" i="4"/>
  <c r="T29" i="4" s="1"/>
  <c r="V29" i="4"/>
  <c r="W29" i="4" s="1"/>
  <c r="Y29" i="4"/>
  <c r="Z29" i="4" s="1"/>
  <c r="C30" i="4"/>
  <c r="F30" i="4"/>
  <c r="G30" i="4" s="1"/>
  <c r="I30" i="4"/>
  <c r="J30" i="4" s="1"/>
  <c r="L30" i="4"/>
  <c r="M30" i="4" s="1"/>
  <c r="P30" i="4"/>
  <c r="Q30" i="4" s="1"/>
  <c r="S30" i="4"/>
  <c r="T30" i="4" s="1"/>
  <c r="V30" i="4"/>
  <c r="W30" i="4" s="1"/>
  <c r="Y30" i="4"/>
  <c r="Z30" i="4" s="1"/>
  <c r="C31" i="4"/>
  <c r="F31" i="4"/>
  <c r="G31" i="4" s="1"/>
  <c r="I31" i="4"/>
  <c r="J31" i="4" s="1"/>
  <c r="L31" i="4"/>
  <c r="M31" i="4" s="1"/>
  <c r="P31" i="4"/>
  <c r="Q31" i="4" s="1"/>
  <c r="S31" i="4"/>
  <c r="T31" i="4" s="1"/>
  <c r="V31" i="4"/>
  <c r="W31" i="4" s="1"/>
  <c r="Y31" i="4"/>
  <c r="Z31" i="4" s="1"/>
  <c r="C32" i="4"/>
  <c r="F32" i="4"/>
  <c r="G32" i="4" s="1"/>
  <c r="I32" i="4"/>
  <c r="J32" i="4" s="1"/>
  <c r="L32" i="4"/>
  <c r="M32" i="4" s="1"/>
  <c r="P32" i="4"/>
  <c r="Q32" i="4" s="1"/>
  <c r="S32" i="4"/>
  <c r="T32" i="4" s="1"/>
  <c r="V32" i="4"/>
  <c r="W32" i="4" s="1"/>
  <c r="Y32" i="4"/>
  <c r="Z32" i="4" s="1"/>
  <c r="C5" i="1"/>
  <c r="F5" i="1"/>
  <c r="I5" i="1"/>
  <c r="J5" i="1" s="1"/>
  <c r="L5" i="1"/>
  <c r="P5" i="1"/>
  <c r="S5" i="1"/>
  <c r="V5" i="1"/>
  <c r="W5" i="1" s="1"/>
  <c r="Y5" i="1"/>
  <c r="C6" i="1"/>
  <c r="F6" i="1"/>
  <c r="G6" i="1" s="1"/>
  <c r="I6" i="1"/>
  <c r="L6" i="1"/>
  <c r="P6" i="1"/>
  <c r="S6" i="1"/>
  <c r="T6" i="1" s="1"/>
  <c r="V6" i="1"/>
  <c r="Y6" i="1"/>
  <c r="C7" i="1"/>
  <c r="F7" i="1"/>
  <c r="G7" i="1" s="1"/>
  <c r="I7" i="1"/>
  <c r="J7" i="1" s="1"/>
  <c r="L7" i="1"/>
  <c r="P7" i="1"/>
  <c r="S7" i="1"/>
  <c r="T7" i="1" s="1"/>
  <c r="V7" i="1"/>
  <c r="W7" i="1" s="1"/>
  <c r="Y7" i="1"/>
  <c r="C8" i="1"/>
  <c r="F8" i="1"/>
  <c r="G8" i="1" s="1"/>
  <c r="I8" i="1"/>
  <c r="J8" i="1" s="1"/>
  <c r="L8" i="1"/>
  <c r="P8" i="1"/>
  <c r="S8" i="1"/>
  <c r="T8" i="1" s="1"/>
  <c r="V8" i="1"/>
  <c r="W8" i="1" s="1"/>
  <c r="Y8" i="1"/>
  <c r="C9" i="1"/>
  <c r="F9" i="1"/>
  <c r="G9" i="1" s="1"/>
  <c r="I9" i="1"/>
  <c r="J9" i="1" s="1"/>
  <c r="L9" i="1"/>
  <c r="P9" i="1"/>
  <c r="S9" i="1"/>
  <c r="T9" i="1" s="1"/>
  <c r="V9" i="1"/>
  <c r="W9" i="1" s="1"/>
  <c r="Y9" i="1"/>
  <c r="C10" i="1"/>
  <c r="F10" i="1"/>
  <c r="G10" i="1" s="1"/>
  <c r="I10" i="1"/>
  <c r="J10" i="1" s="1"/>
  <c r="L10" i="1"/>
  <c r="P10" i="1"/>
  <c r="S10" i="1"/>
  <c r="T10" i="1" s="1"/>
  <c r="V10" i="1"/>
  <c r="W10" i="1" s="1"/>
  <c r="Y10" i="1"/>
  <c r="C11" i="1"/>
  <c r="F11" i="1"/>
  <c r="G11" i="1" s="1"/>
  <c r="I11" i="1"/>
  <c r="J11" i="1" s="1"/>
  <c r="L11" i="1"/>
  <c r="P11" i="1"/>
  <c r="S11" i="1"/>
  <c r="T11" i="1" s="1"/>
  <c r="V11" i="1"/>
  <c r="W11" i="1" s="1"/>
  <c r="Y11" i="1"/>
  <c r="C12" i="1"/>
  <c r="F12" i="1"/>
  <c r="G12" i="1" s="1"/>
  <c r="I12" i="1"/>
  <c r="J12" i="1" s="1"/>
  <c r="L12" i="1"/>
  <c r="P12" i="1"/>
  <c r="S12" i="1"/>
  <c r="T12" i="1" s="1"/>
  <c r="V12" i="1"/>
  <c r="W12" i="1" s="1"/>
  <c r="Y12" i="1"/>
  <c r="C13" i="1"/>
  <c r="F13" i="1"/>
  <c r="G13" i="1" s="1"/>
  <c r="I13" i="1"/>
  <c r="J13" i="1" s="1"/>
  <c r="L13" i="1"/>
  <c r="P13" i="1"/>
  <c r="S13" i="1"/>
  <c r="T13" i="1" s="1"/>
  <c r="V13" i="1"/>
  <c r="W13" i="1" s="1"/>
  <c r="Y13" i="1"/>
  <c r="C14" i="1"/>
  <c r="F14" i="1"/>
  <c r="G14" i="1" s="1"/>
  <c r="I14" i="1"/>
  <c r="J14" i="1" s="1"/>
  <c r="L14" i="1"/>
  <c r="P14" i="1"/>
  <c r="S14" i="1"/>
  <c r="T14" i="1" s="1"/>
  <c r="V14" i="1"/>
  <c r="W14" i="1" s="1"/>
  <c r="Y14" i="1"/>
  <c r="C15" i="1"/>
  <c r="F15" i="1"/>
  <c r="G15" i="1" s="1"/>
  <c r="I15" i="1"/>
  <c r="J15" i="1" s="1"/>
  <c r="L15" i="1"/>
  <c r="P15" i="1"/>
  <c r="S15" i="1"/>
  <c r="T15" i="1" s="1"/>
  <c r="V15" i="1"/>
  <c r="W15" i="1" s="1"/>
  <c r="Y15" i="1"/>
  <c r="C16" i="1"/>
  <c r="F16" i="1"/>
  <c r="G16" i="1" s="1"/>
  <c r="I16" i="1"/>
  <c r="J16" i="1" s="1"/>
  <c r="L16" i="1"/>
  <c r="P16" i="1"/>
  <c r="S16" i="1"/>
  <c r="T16" i="1" s="1"/>
  <c r="V16" i="1"/>
  <c r="W16" i="1" s="1"/>
  <c r="Y16" i="1"/>
  <c r="C17" i="1"/>
  <c r="F17" i="1"/>
  <c r="G17" i="1" s="1"/>
  <c r="I17" i="1"/>
  <c r="J17" i="1" s="1"/>
  <c r="L17" i="1"/>
  <c r="P17" i="1"/>
  <c r="S17" i="1"/>
  <c r="T17" i="1" s="1"/>
  <c r="V17" i="1"/>
  <c r="W17" i="1" s="1"/>
  <c r="Y17" i="1"/>
  <c r="C18" i="1"/>
  <c r="F18" i="1"/>
  <c r="G18" i="1" s="1"/>
  <c r="I18" i="1"/>
  <c r="J18" i="1" s="1"/>
  <c r="L18" i="1"/>
  <c r="P18" i="1"/>
  <c r="S18" i="1"/>
  <c r="T18" i="1" s="1"/>
  <c r="V18" i="1"/>
  <c r="W18" i="1" s="1"/>
  <c r="Y18" i="1"/>
  <c r="C19" i="1"/>
  <c r="F19" i="1"/>
  <c r="G19" i="1" s="1"/>
  <c r="I19" i="1"/>
  <c r="J19" i="1" s="1"/>
  <c r="L19" i="1"/>
  <c r="P19" i="1"/>
  <c r="S19" i="1"/>
  <c r="T19" i="1" s="1"/>
  <c r="V19" i="1"/>
  <c r="W19" i="1" s="1"/>
  <c r="Y19" i="1"/>
  <c r="C20" i="1"/>
  <c r="F20" i="1"/>
  <c r="G20" i="1" s="1"/>
  <c r="I20" i="1"/>
  <c r="J20" i="1" s="1"/>
  <c r="L20" i="1"/>
  <c r="P20" i="1"/>
  <c r="S20" i="1"/>
  <c r="T20" i="1" s="1"/>
  <c r="V20" i="1"/>
  <c r="W20" i="1" s="1"/>
  <c r="Y20" i="1"/>
  <c r="C21" i="1"/>
  <c r="F21" i="1"/>
  <c r="G21" i="1" s="1"/>
  <c r="I21" i="1"/>
  <c r="J21" i="1" s="1"/>
  <c r="P21" i="1"/>
  <c r="S21" i="1"/>
  <c r="T21" i="1" s="1"/>
  <c r="V21" i="1"/>
  <c r="W21" i="1" s="1"/>
  <c r="Y21" i="1"/>
  <c r="C22" i="1"/>
  <c r="F22" i="1"/>
  <c r="G22" i="1" s="1"/>
  <c r="I22" i="1"/>
  <c r="J22" i="1" s="1"/>
  <c r="L22" i="1"/>
  <c r="P22" i="1"/>
  <c r="S22" i="1"/>
  <c r="T22" i="1" s="1"/>
  <c r="V22" i="1"/>
  <c r="W22" i="1" s="1"/>
  <c r="Y22" i="1"/>
  <c r="C23" i="1"/>
  <c r="F23" i="1"/>
  <c r="G23" i="1" s="1"/>
  <c r="I23" i="1"/>
  <c r="J23" i="1" s="1"/>
  <c r="L23" i="1"/>
  <c r="P23" i="1"/>
  <c r="S23" i="1"/>
  <c r="T23" i="1" s="1"/>
  <c r="V23" i="1"/>
  <c r="W23" i="1" s="1"/>
  <c r="Y23" i="1"/>
  <c r="C24" i="1"/>
  <c r="F24" i="1"/>
  <c r="G24" i="1" s="1"/>
  <c r="I24" i="1"/>
  <c r="J24" i="1" s="1"/>
  <c r="L24" i="1"/>
  <c r="P24" i="1"/>
  <c r="S24" i="1"/>
  <c r="T24" i="1" s="1"/>
  <c r="V24" i="1"/>
  <c r="W24" i="1" s="1"/>
  <c r="Y24" i="1"/>
  <c r="C25" i="1"/>
  <c r="F25" i="1"/>
  <c r="G25" i="1" s="1"/>
  <c r="I25" i="1"/>
  <c r="J25" i="1" s="1"/>
  <c r="L25" i="1"/>
  <c r="P25" i="1"/>
  <c r="S25" i="1"/>
  <c r="T25" i="1" s="1"/>
  <c r="V25" i="1"/>
  <c r="W25" i="1" s="1"/>
  <c r="Y25" i="1"/>
  <c r="C26" i="1"/>
  <c r="F26" i="1"/>
  <c r="G26" i="1" s="1"/>
  <c r="I26" i="1"/>
  <c r="J26" i="1" s="1"/>
  <c r="L26" i="1"/>
  <c r="P26" i="1"/>
  <c r="S26" i="1"/>
  <c r="T26" i="1" s="1"/>
  <c r="V26" i="1"/>
  <c r="W26" i="1" s="1"/>
  <c r="Y26" i="1"/>
  <c r="C27" i="1"/>
  <c r="F27" i="1"/>
  <c r="G27" i="1" s="1"/>
  <c r="I27" i="1"/>
  <c r="J27" i="1" s="1"/>
  <c r="L27" i="1"/>
  <c r="P27" i="1"/>
  <c r="S27" i="1"/>
  <c r="T27" i="1" s="1"/>
  <c r="V27" i="1"/>
  <c r="W27" i="1" s="1"/>
  <c r="Y27" i="1"/>
  <c r="C28" i="1"/>
  <c r="F28" i="1"/>
  <c r="G28" i="1" s="1"/>
  <c r="I28" i="1"/>
  <c r="J28" i="1" s="1"/>
  <c r="L28" i="1"/>
  <c r="P28" i="1"/>
  <c r="S28" i="1"/>
  <c r="T28" i="1" s="1"/>
  <c r="V28" i="1"/>
  <c r="W28" i="1" s="1"/>
  <c r="Y28" i="1"/>
  <c r="C29" i="1"/>
  <c r="F29" i="1"/>
  <c r="G29" i="1" s="1"/>
  <c r="I29" i="1"/>
  <c r="J29" i="1" s="1"/>
  <c r="L29" i="1"/>
  <c r="P29" i="1"/>
  <c r="S29" i="1"/>
  <c r="T29" i="1" s="1"/>
  <c r="V29" i="1"/>
  <c r="W29" i="1" s="1"/>
  <c r="Y29" i="1"/>
  <c r="C30" i="1"/>
  <c r="F30" i="1"/>
  <c r="G30" i="1" s="1"/>
  <c r="I30" i="1"/>
  <c r="J30" i="1" s="1"/>
  <c r="L30" i="1"/>
  <c r="P30" i="1"/>
  <c r="S30" i="1"/>
  <c r="T30" i="1" s="1"/>
  <c r="V30" i="1"/>
  <c r="W30" i="1" s="1"/>
  <c r="Y30" i="1"/>
  <c r="C31" i="1"/>
  <c r="F31" i="1"/>
  <c r="G31" i="1" s="1"/>
  <c r="I31" i="1"/>
  <c r="J31" i="1" s="1"/>
  <c r="L31" i="1"/>
  <c r="P31" i="1"/>
  <c r="S31" i="1"/>
  <c r="T31" i="1" s="1"/>
  <c r="V31" i="1"/>
  <c r="W31" i="1" s="1"/>
  <c r="Y31" i="1"/>
  <c r="C32" i="1"/>
  <c r="F32" i="1"/>
  <c r="G32" i="1" s="1"/>
  <c r="I32" i="1"/>
  <c r="J32" i="1" s="1"/>
  <c r="L32" i="1"/>
  <c r="P32" i="1"/>
  <c r="S32" i="1"/>
  <c r="T32" i="1" s="1"/>
  <c r="V32" i="1"/>
  <c r="W32" i="1" s="1"/>
  <c r="Y32" i="1"/>
  <c r="C33" i="1"/>
  <c r="F33" i="1"/>
  <c r="G33" i="1" s="1"/>
  <c r="I33" i="1"/>
  <c r="J33" i="1" s="1"/>
  <c r="L33" i="1"/>
  <c r="P33" i="1"/>
  <c r="S33" i="1"/>
  <c r="T33" i="1" s="1"/>
  <c r="V33" i="1"/>
  <c r="W33" i="1" s="1"/>
  <c r="Y33" i="1"/>
  <c r="C34" i="1"/>
  <c r="F34" i="1"/>
  <c r="G34" i="1" s="1"/>
  <c r="I34" i="1"/>
  <c r="J34" i="1" s="1"/>
  <c r="L34" i="1"/>
  <c r="P34" i="1"/>
  <c r="S34" i="1"/>
  <c r="T34" i="1" s="1"/>
  <c r="V34" i="1"/>
  <c r="W34" i="1" s="1"/>
  <c r="Y34" i="1"/>
  <c r="C35" i="1"/>
  <c r="F35" i="1"/>
  <c r="G35" i="1" s="1"/>
  <c r="I35" i="1"/>
  <c r="J35" i="1" s="1"/>
  <c r="L35" i="1"/>
  <c r="P35" i="1"/>
  <c r="S35" i="1"/>
  <c r="T35" i="1" s="1"/>
  <c r="V35" i="1"/>
  <c r="W35" i="1" s="1"/>
  <c r="Y35" i="1"/>
  <c r="F5" i="13"/>
  <c r="I5" i="13"/>
  <c r="L5" i="13"/>
  <c r="P5" i="13"/>
  <c r="S5" i="13"/>
  <c r="V5" i="13"/>
  <c r="Y5" i="13"/>
  <c r="F6" i="13"/>
  <c r="G6" i="13" s="1"/>
  <c r="I6" i="13"/>
  <c r="L6" i="13"/>
  <c r="P6" i="13"/>
  <c r="S6" i="13"/>
  <c r="T6" i="13" s="1"/>
  <c r="V6" i="13"/>
  <c r="Y6" i="13"/>
  <c r="F7" i="13"/>
  <c r="J7" i="13"/>
  <c r="L7" i="13"/>
  <c r="P7" i="13"/>
  <c r="S7" i="13"/>
  <c r="V7" i="13"/>
  <c r="W7" i="13" s="1"/>
  <c r="Y7" i="13"/>
  <c r="F8" i="13"/>
  <c r="G8" i="13" s="1"/>
  <c r="J8" i="13"/>
  <c r="L8" i="13"/>
  <c r="P8" i="13"/>
  <c r="S8" i="13"/>
  <c r="T8" i="13" s="1"/>
  <c r="V8" i="13"/>
  <c r="W8" i="13" s="1"/>
  <c r="Y8" i="13"/>
  <c r="F9" i="13"/>
  <c r="G9" i="13" s="1"/>
  <c r="J9" i="13"/>
  <c r="L9" i="13"/>
  <c r="P9" i="13"/>
  <c r="S9" i="13"/>
  <c r="T9" i="13" s="1"/>
  <c r="V9" i="13"/>
  <c r="W9" i="13" s="1"/>
  <c r="Y9" i="13"/>
  <c r="F10" i="13"/>
  <c r="G10" i="13" s="1"/>
  <c r="J10" i="13"/>
  <c r="L10" i="13"/>
  <c r="P10" i="13"/>
  <c r="S10" i="13"/>
  <c r="T10" i="13" s="1"/>
  <c r="V10" i="13"/>
  <c r="W10" i="13" s="1"/>
  <c r="Y10" i="13"/>
  <c r="F11" i="13"/>
  <c r="G11" i="13" s="1"/>
  <c r="J11" i="13"/>
  <c r="L11" i="13"/>
  <c r="P11" i="13"/>
  <c r="S11" i="13"/>
  <c r="T11" i="13" s="1"/>
  <c r="V11" i="13"/>
  <c r="W11" i="13" s="1"/>
  <c r="Y11" i="13"/>
  <c r="F12" i="13"/>
  <c r="G12" i="13" s="1"/>
  <c r="J12" i="13"/>
  <c r="L12" i="13"/>
  <c r="P12" i="13"/>
  <c r="S12" i="13"/>
  <c r="T12" i="13" s="1"/>
  <c r="V12" i="13"/>
  <c r="W12" i="13" s="1"/>
  <c r="Y12" i="13"/>
  <c r="F13" i="13"/>
  <c r="G13" i="13" s="1"/>
  <c r="J13" i="13"/>
  <c r="L13" i="13"/>
  <c r="P13" i="13"/>
  <c r="S13" i="13"/>
  <c r="T13" i="13" s="1"/>
  <c r="V13" i="13"/>
  <c r="W13" i="13" s="1"/>
  <c r="Y13" i="13"/>
  <c r="F14" i="13"/>
  <c r="G14" i="13" s="1"/>
  <c r="J14" i="13"/>
  <c r="L14" i="13"/>
  <c r="P14" i="13"/>
  <c r="S14" i="13"/>
  <c r="T14" i="13" s="1"/>
  <c r="V14" i="13"/>
  <c r="W14" i="13" s="1"/>
  <c r="Y14" i="13"/>
  <c r="F15" i="13"/>
  <c r="G15" i="13" s="1"/>
  <c r="J15" i="13"/>
  <c r="L15" i="13"/>
  <c r="P15" i="13"/>
  <c r="S15" i="13"/>
  <c r="T15" i="13" s="1"/>
  <c r="V15" i="13"/>
  <c r="W15" i="13" s="1"/>
  <c r="Y15" i="13"/>
  <c r="F16" i="13"/>
  <c r="G16" i="13" s="1"/>
  <c r="J16" i="13"/>
  <c r="L16" i="13"/>
  <c r="P16" i="13"/>
  <c r="S16" i="13"/>
  <c r="T16" i="13" s="1"/>
  <c r="V16" i="13"/>
  <c r="W16" i="13" s="1"/>
  <c r="Y16" i="13"/>
  <c r="F17" i="13"/>
  <c r="G17" i="13" s="1"/>
  <c r="J17" i="13"/>
  <c r="L17" i="13"/>
  <c r="P17" i="13"/>
  <c r="S17" i="13"/>
  <c r="T17" i="13" s="1"/>
  <c r="V17" i="13"/>
  <c r="W17" i="13" s="1"/>
  <c r="Y17" i="13"/>
  <c r="F18" i="13"/>
  <c r="G18" i="13" s="1"/>
  <c r="J18" i="13"/>
  <c r="L18" i="13"/>
  <c r="P18" i="13"/>
  <c r="S18" i="13"/>
  <c r="T18" i="13" s="1"/>
  <c r="V18" i="13"/>
  <c r="W18" i="13" s="1"/>
  <c r="Y18" i="13"/>
  <c r="F19" i="13"/>
  <c r="G19" i="13" s="1"/>
  <c r="I19" i="13"/>
  <c r="J19" i="13" s="1"/>
  <c r="L19" i="13"/>
  <c r="P19" i="13"/>
  <c r="S19" i="13"/>
  <c r="T19" i="13" s="1"/>
  <c r="V19" i="13"/>
  <c r="W19" i="13" s="1"/>
  <c r="Y19" i="13"/>
  <c r="F20" i="13"/>
  <c r="G20" i="13" s="1"/>
  <c r="I20" i="13"/>
  <c r="J20" i="13" s="1"/>
  <c r="L20" i="13"/>
  <c r="P20" i="13"/>
  <c r="S20" i="13"/>
  <c r="T20" i="13" s="1"/>
  <c r="V20" i="13"/>
  <c r="W20" i="13" s="1"/>
  <c r="Y20" i="13"/>
  <c r="F21" i="13"/>
  <c r="G21" i="13" s="1"/>
  <c r="J21" i="13"/>
  <c r="L21" i="13"/>
  <c r="P21" i="13"/>
  <c r="S21" i="13"/>
  <c r="T21" i="13" s="1"/>
  <c r="V21" i="13"/>
  <c r="W21" i="13" s="1"/>
  <c r="Y21" i="13"/>
  <c r="F22" i="13"/>
  <c r="G22" i="13" s="1"/>
  <c r="J22" i="13"/>
  <c r="L22" i="13"/>
  <c r="P22" i="13"/>
  <c r="S22" i="13"/>
  <c r="T22" i="13" s="1"/>
  <c r="V22" i="13"/>
  <c r="W22" i="13" s="1"/>
  <c r="Y22" i="13"/>
  <c r="F23" i="13"/>
  <c r="G23" i="13" s="1"/>
  <c r="J23" i="13"/>
  <c r="L23" i="13"/>
  <c r="P23" i="13"/>
  <c r="S23" i="13"/>
  <c r="T23" i="13" s="1"/>
  <c r="V23" i="13"/>
  <c r="W23" i="13" s="1"/>
  <c r="Y23" i="13"/>
  <c r="F24" i="13"/>
  <c r="G24" i="13" s="1"/>
  <c r="J24" i="13"/>
  <c r="L24" i="13"/>
  <c r="P24" i="13"/>
  <c r="S24" i="13"/>
  <c r="T24" i="13" s="1"/>
  <c r="V24" i="13"/>
  <c r="W24" i="13" s="1"/>
  <c r="Y24" i="13"/>
  <c r="F25" i="13"/>
  <c r="G25" i="13" s="1"/>
  <c r="I25" i="13"/>
  <c r="J25" i="13" s="1"/>
  <c r="L25" i="13"/>
  <c r="P25" i="13"/>
  <c r="S25" i="13"/>
  <c r="T25" i="13" s="1"/>
  <c r="V25" i="13"/>
  <c r="W25" i="13" s="1"/>
  <c r="Y25" i="13"/>
  <c r="F26" i="13"/>
  <c r="G26" i="13" s="1"/>
  <c r="I26" i="13"/>
  <c r="J26" i="13" s="1"/>
  <c r="L26" i="13"/>
  <c r="P26" i="13"/>
  <c r="S26" i="13"/>
  <c r="T26" i="13" s="1"/>
  <c r="V26" i="13"/>
  <c r="W26" i="13" s="1"/>
  <c r="Y26" i="13"/>
  <c r="F27" i="13"/>
  <c r="G27" i="13" s="1"/>
  <c r="I27" i="13"/>
  <c r="J27" i="13" s="1"/>
  <c r="L27" i="13"/>
  <c r="P27" i="13"/>
  <c r="S27" i="13"/>
  <c r="T27" i="13" s="1"/>
  <c r="V27" i="13"/>
  <c r="W27" i="13" s="1"/>
  <c r="Y27" i="13"/>
  <c r="F28" i="13"/>
  <c r="G28" i="13" s="1"/>
  <c r="I28" i="13"/>
  <c r="J28" i="13" s="1"/>
  <c r="L28" i="13"/>
  <c r="P28" i="13"/>
  <c r="S28" i="13"/>
  <c r="T28" i="13" s="1"/>
  <c r="V28" i="13"/>
  <c r="W28" i="13" s="1"/>
  <c r="Y28" i="13"/>
  <c r="F29" i="13"/>
  <c r="G29" i="13" s="1"/>
  <c r="I29" i="13"/>
  <c r="J29" i="13" s="1"/>
  <c r="L29" i="13"/>
  <c r="P29" i="13"/>
  <c r="S29" i="13"/>
  <c r="T29" i="13" s="1"/>
  <c r="V29" i="13"/>
  <c r="W29" i="13" s="1"/>
  <c r="Y29" i="13"/>
  <c r="F30" i="13"/>
  <c r="G30" i="13" s="1"/>
  <c r="J30" i="13"/>
  <c r="L30" i="13"/>
  <c r="P30" i="13"/>
  <c r="S30" i="13"/>
  <c r="T30" i="13" s="1"/>
  <c r="V30" i="13"/>
  <c r="W30" i="13" s="1"/>
  <c r="Y30" i="13"/>
  <c r="F31" i="13"/>
  <c r="G31" i="13" s="1"/>
  <c r="I31" i="13"/>
  <c r="J31" i="13" s="1"/>
  <c r="L31" i="13"/>
  <c r="P31" i="13"/>
  <c r="S31" i="13"/>
  <c r="T31" i="13" s="1"/>
  <c r="V31" i="13"/>
  <c r="W31" i="13" s="1"/>
  <c r="Y31" i="13"/>
  <c r="F32" i="13"/>
  <c r="G32" i="13" s="1"/>
  <c r="I32" i="13"/>
  <c r="J32" i="13" s="1"/>
  <c r="L32" i="13"/>
  <c r="P32" i="13"/>
  <c r="S32" i="13"/>
  <c r="T32" i="13" s="1"/>
  <c r="V32" i="13"/>
  <c r="W32" i="13" s="1"/>
  <c r="Y32" i="13"/>
  <c r="F33" i="13"/>
  <c r="G33" i="13" s="1"/>
  <c r="I33" i="13"/>
  <c r="J33" i="13" s="1"/>
  <c r="L33" i="13"/>
  <c r="P33" i="13"/>
  <c r="S33" i="13"/>
  <c r="T33" i="13" s="1"/>
  <c r="V33" i="13"/>
  <c r="W33" i="13" s="1"/>
  <c r="Y33" i="13"/>
  <c r="F34" i="13"/>
  <c r="G34" i="13" s="1"/>
  <c r="J34" i="13"/>
  <c r="L34" i="13"/>
  <c r="P34" i="13"/>
  <c r="S34" i="13"/>
  <c r="T34" i="13" s="1"/>
  <c r="V34" i="13"/>
  <c r="W34" i="13" s="1"/>
  <c r="Y34" i="13"/>
  <c r="F35" i="13"/>
  <c r="G35" i="13" s="1"/>
  <c r="J35" i="13"/>
  <c r="L35" i="13"/>
  <c r="P35" i="13"/>
  <c r="S35" i="13"/>
  <c r="T35" i="13" s="1"/>
  <c r="V35" i="13"/>
  <c r="W35" i="13" s="1"/>
  <c r="Y35" i="13"/>
  <c r="C5" i="14"/>
  <c r="AC5" i="14" s="1"/>
  <c r="F5" i="14"/>
  <c r="G5" i="14" s="1"/>
  <c r="M5" i="14"/>
  <c r="Q5" i="14"/>
  <c r="T5" i="14"/>
  <c r="V5" i="14"/>
  <c r="Y5" i="14"/>
  <c r="Z5" i="14" s="1"/>
  <c r="C6" i="14"/>
  <c r="F6" i="14"/>
  <c r="J6" i="14"/>
  <c r="Q6" i="14"/>
  <c r="T6" i="14"/>
  <c r="V6" i="14"/>
  <c r="W6" i="14" s="1"/>
  <c r="Y6" i="14"/>
  <c r="C7" i="14"/>
  <c r="F7" i="14"/>
  <c r="G7" i="14" s="1"/>
  <c r="J7" i="14"/>
  <c r="M7" i="14"/>
  <c r="Q7" i="14"/>
  <c r="T7" i="14"/>
  <c r="V7" i="14"/>
  <c r="W7" i="14" s="1"/>
  <c r="Y7" i="14"/>
  <c r="Z7" i="14" s="1"/>
  <c r="C8" i="14"/>
  <c r="F8" i="14"/>
  <c r="G8" i="14" s="1"/>
  <c r="J8" i="14"/>
  <c r="M8" i="14"/>
  <c r="Q8" i="14"/>
  <c r="T8" i="14"/>
  <c r="V8" i="14"/>
  <c r="W8" i="14" s="1"/>
  <c r="Y8" i="14"/>
  <c r="Z8" i="14" s="1"/>
  <c r="C9" i="14"/>
  <c r="F9" i="14"/>
  <c r="G9" i="14" s="1"/>
  <c r="J9" i="14"/>
  <c r="M9" i="14"/>
  <c r="Q9" i="14"/>
  <c r="T9" i="14"/>
  <c r="V9" i="14"/>
  <c r="W9" i="14" s="1"/>
  <c r="Y9" i="14"/>
  <c r="Z9" i="14" s="1"/>
  <c r="C10" i="14"/>
  <c r="F10" i="14"/>
  <c r="G10" i="14" s="1"/>
  <c r="J10" i="14"/>
  <c r="M10" i="14"/>
  <c r="Q10" i="14"/>
  <c r="T10" i="14"/>
  <c r="V10" i="14"/>
  <c r="W10" i="14" s="1"/>
  <c r="Y10" i="14"/>
  <c r="Z10" i="14" s="1"/>
  <c r="C11" i="14"/>
  <c r="F11" i="14"/>
  <c r="G11" i="14" s="1"/>
  <c r="J11" i="14"/>
  <c r="M11" i="14"/>
  <c r="Q11" i="14"/>
  <c r="T11" i="14"/>
  <c r="V11" i="14"/>
  <c r="W11" i="14" s="1"/>
  <c r="Y11" i="14"/>
  <c r="Z11" i="14" s="1"/>
  <c r="C12" i="14"/>
  <c r="F12" i="14"/>
  <c r="G12" i="14" s="1"/>
  <c r="J12" i="14"/>
  <c r="M12" i="14"/>
  <c r="Q12" i="14"/>
  <c r="T12" i="14"/>
  <c r="V12" i="14"/>
  <c r="W12" i="14" s="1"/>
  <c r="Y12" i="14"/>
  <c r="Z12" i="14" s="1"/>
  <c r="C13" i="14"/>
  <c r="F13" i="14"/>
  <c r="G13" i="14" s="1"/>
  <c r="J13" i="14"/>
  <c r="M13" i="14"/>
  <c r="Q13" i="14"/>
  <c r="T13" i="14"/>
  <c r="V13" i="14"/>
  <c r="W13" i="14" s="1"/>
  <c r="Y13" i="14"/>
  <c r="Z13" i="14" s="1"/>
  <c r="C14" i="14"/>
  <c r="F14" i="14"/>
  <c r="G14" i="14" s="1"/>
  <c r="J14" i="14"/>
  <c r="M14" i="14"/>
  <c r="Q14" i="14"/>
  <c r="T14" i="14"/>
  <c r="V14" i="14"/>
  <c r="W14" i="14" s="1"/>
  <c r="Y14" i="14"/>
  <c r="Z14" i="14" s="1"/>
  <c r="C15" i="14"/>
  <c r="F15" i="14"/>
  <c r="G15" i="14" s="1"/>
  <c r="J15" i="14"/>
  <c r="M15" i="14"/>
  <c r="Q15" i="14"/>
  <c r="T15" i="14"/>
  <c r="V15" i="14"/>
  <c r="W15" i="14" s="1"/>
  <c r="Y15" i="14"/>
  <c r="Z15" i="14" s="1"/>
  <c r="C16" i="14"/>
  <c r="F16" i="14"/>
  <c r="G16" i="14" s="1"/>
  <c r="J16" i="14"/>
  <c r="M16" i="14"/>
  <c r="Q16" i="14"/>
  <c r="T16" i="14"/>
  <c r="V16" i="14"/>
  <c r="W16" i="14" s="1"/>
  <c r="Y16" i="14"/>
  <c r="Z16" i="14" s="1"/>
  <c r="C17" i="14"/>
  <c r="F17" i="14"/>
  <c r="G17" i="14" s="1"/>
  <c r="J17" i="14"/>
  <c r="M17" i="14"/>
  <c r="P17" i="14"/>
  <c r="T17" i="14"/>
  <c r="V17" i="14"/>
  <c r="W17" i="14" s="1"/>
  <c r="Y17" i="14"/>
  <c r="Z17" i="14" s="1"/>
  <c r="C18" i="14"/>
  <c r="F18" i="14"/>
  <c r="G18" i="14" s="1"/>
  <c r="J18" i="14"/>
  <c r="M18" i="14"/>
  <c r="P18" i="14"/>
  <c r="Q18" i="14" s="1"/>
  <c r="S18" i="14"/>
  <c r="V18" i="14"/>
  <c r="W18" i="14" s="1"/>
  <c r="Y18" i="14"/>
  <c r="Z18" i="14" s="1"/>
  <c r="C19" i="14"/>
  <c r="F19" i="14"/>
  <c r="G19" i="14" s="1"/>
  <c r="J19" i="14"/>
  <c r="M19" i="14"/>
  <c r="P19" i="14"/>
  <c r="Q19" i="14" s="1"/>
  <c r="S19" i="14"/>
  <c r="T19" i="14" s="1"/>
  <c r="V19" i="14"/>
  <c r="W19" i="14" s="1"/>
  <c r="Y19" i="14"/>
  <c r="Z19" i="14" s="1"/>
  <c r="C20" i="14"/>
  <c r="F20" i="14"/>
  <c r="G20" i="14" s="1"/>
  <c r="J20" i="14"/>
  <c r="M20" i="14"/>
  <c r="P20" i="14"/>
  <c r="Q20" i="14" s="1"/>
  <c r="S20" i="14"/>
  <c r="T20" i="14" s="1"/>
  <c r="V20" i="14"/>
  <c r="W20" i="14" s="1"/>
  <c r="Y20" i="14"/>
  <c r="Z20" i="14" s="1"/>
  <c r="C21" i="14"/>
  <c r="F21" i="14"/>
  <c r="G21" i="14" s="1"/>
  <c r="J21" i="14"/>
  <c r="M21" i="14"/>
  <c r="P21" i="14"/>
  <c r="Q21" i="14" s="1"/>
  <c r="S21" i="14"/>
  <c r="T21" i="14" s="1"/>
  <c r="V21" i="14"/>
  <c r="W21" i="14" s="1"/>
  <c r="Y21" i="14"/>
  <c r="Z21" i="14" s="1"/>
  <c r="C22" i="14"/>
  <c r="F22" i="14"/>
  <c r="G22" i="14" s="1"/>
  <c r="J22" i="14"/>
  <c r="M22" i="14"/>
  <c r="P22" i="14"/>
  <c r="Q22" i="14" s="1"/>
  <c r="S22" i="14"/>
  <c r="T22" i="14" s="1"/>
  <c r="V22" i="14"/>
  <c r="W22" i="14" s="1"/>
  <c r="Y22" i="14"/>
  <c r="Z22" i="14" s="1"/>
  <c r="C23" i="14"/>
  <c r="F23" i="14"/>
  <c r="G23" i="14" s="1"/>
  <c r="J23" i="14"/>
  <c r="M23" i="14"/>
  <c r="P23" i="14"/>
  <c r="Q23" i="14" s="1"/>
  <c r="S23" i="14"/>
  <c r="T23" i="14" s="1"/>
  <c r="V23" i="14"/>
  <c r="W23" i="14" s="1"/>
  <c r="Y23" i="14"/>
  <c r="Z23" i="14" s="1"/>
  <c r="C24" i="14"/>
  <c r="F24" i="14"/>
  <c r="G24" i="14" s="1"/>
  <c r="J24" i="14"/>
  <c r="M24" i="14"/>
  <c r="P24" i="14"/>
  <c r="Q24" i="14" s="1"/>
  <c r="S24" i="14"/>
  <c r="T24" i="14" s="1"/>
  <c r="V24" i="14"/>
  <c r="W24" i="14" s="1"/>
  <c r="Y24" i="14"/>
  <c r="Z24" i="14" s="1"/>
  <c r="C25" i="14"/>
  <c r="F25" i="14"/>
  <c r="G25" i="14" s="1"/>
  <c r="J25" i="14"/>
  <c r="M25" i="14"/>
  <c r="P25" i="14"/>
  <c r="Q25" i="14" s="1"/>
  <c r="S25" i="14"/>
  <c r="T25" i="14" s="1"/>
  <c r="V25" i="14"/>
  <c r="W25" i="14" s="1"/>
  <c r="Y25" i="14"/>
  <c r="Z25" i="14" s="1"/>
  <c r="C26" i="14"/>
  <c r="F26" i="14"/>
  <c r="G26" i="14" s="1"/>
  <c r="J26" i="14"/>
  <c r="M26" i="14"/>
  <c r="P26" i="14"/>
  <c r="Q26" i="14" s="1"/>
  <c r="S26" i="14"/>
  <c r="T26" i="14" s="1"/>
  <c r="V26" i="14"/>
  <c r="W26" i="14" s="1"/>
  <c r="Y26" i="14"/>
  <c r="Z26" i="14" s="1"/>
  <c r="C27" i="14"/>
  <c r="F27" i="14"/>
  <c r="G27" i="14" s="1"/>
  <c r="J27" i="14"/>
  <c r="M27" i="14"/>
  <c r="P27" i="14"/>
  <c r="Q27" i="14" s="1"/>
  <c r="S27" i="14"/>
  <c r="T27" i="14" s="1"/>
  <c r="V27" i="14"/>
  <c r="W27" i="14" s="1"/>
  <c r="Y27" i="14"/>
  <c r="Z27" i="14" s="1"/>
  <c r="C28" i="14"/>
  <c r="F28" i="14"/>
  <c r="G28" i="14" s="1"/>
  <c r="J28" i="14"/>
  <c r="M28" i="14"/>
  <c r="P28" i="14"/>
  <c r="Q28" i="14" s="1"/>
  <c r="S28" i="14"/>
  <c r="T28" i="14" s="1"/>
  <c r="V28" i="14"/>
  <c r="W28" i="14" s="1"/>
  <c r="Y28" i="14"/>
  <c r="Z28" i="14" s="1"/>
  <c r="C29" i="14"/>
  <c r="F29" i="14"/>
  <c r="G29" i="14" s="1"/>
  <c r="J29" i="14"/>
  <c r="M29" i="14"/>
  <c r="P29" i="14"/>
  <c r="Q29" i="14" s="1"/>
  <c r="S29" i="14"/>
  <c r="T29" i="14" s="1"/>
  <c r="V29" i="14"/>
  <c r="W29" i="14" s="1"/>
  <c r="Y29" i="14"/>
  <c r="Z29" i="14" s="1"/>
  <c r="C30" i="14"/>
  <c r="F30" i="14"/>
  <c r="G30" i="14" s="1"/>
  <c r="J30" i="14"/>
  <c r="M30" i="14"/>
  <c r="P30" i="14"/>
  <c r="Q30" i="14" s="1"/>
  <c r="S30" i="14"/>
  <c r="T30" i="14" s="1"/>
  <c r="V30" i="14"/>
  <c r="W30" i="14" s="1"/>
  <c r="Y30" i="14"/>
  <c r="Z30" i="14" s="1"/>
  <c r="C31" i="14"/>
  <c r="F31" i="14"/>
  <c r="G31" i="14" s="1"/>
  <c r="J31" i="14"/>
  <c r="M31" i="14"/>
  <c r="P31" i="14"/>
  <c r="Q31" i="14" s="1"/>
  <c r="S31" i="14"/>
  <c r="T31" i="14" s="1"/>
  <c r="V31" i="14"/>
  <c r="W31" i="14" s="1"/>
  <c r="Y31" i="14"/>
  <c r="Z31" i="14" s="1"/>
  <c r="C32" i="14"/>
  <c r="F32" i="14"/>
  <c r="G32" i="14" s="1"/>
  <c r="J32" i="14"/>
  <c r="M32" i="14"/>
  <c r="P32" i="14"/>
  <c r="Q32" i="14" s="1"/>
  <c r="S32" i="14"/>
  <c r="T32" i="14" s="1"/>
  <c r="V32" i="14"/>
  <c r="W32" i="14" s="1"/>
  <c r="Y32" i="14"/>
  <c r="Z32" i="14" s="1"/>
  <c r="C33" i="14"/>
  <c r="F33" i="14"/>
  <c r="G33" i="14" s="1"/>
  <c r="J33" i="14"/>
  <c r="M33" i="14"/>
  <c r="P33" i="14"/>
  <c r="Q33" i="14" s="1"/>
  <c r="S33" i="14"/>
  <c r="T33" i="14" s="1"/>
  <c r="V33" i="14"/>
  <c r="W33" i="14" s="1"/>
  <c r="Y33" i="14"/>
  <c r="Z33" i="14" s="1"/>
  <c r="C34" i="14"/>
  <c r="F34" i="14"/>
  <c r="G34" i="14" s="1"/>
  <c r="J34" i="14"/>
  <c r="M34" i="14"/>
  <c r="P34" i="14"/>
  <c r="Q34" i="14" s="1"/>
  <c r="S34" i="14"/>
  <c r="T34" i="14" s="1"/>
  <c r="V34" i="14"/>
  <c r="W34" i="14" s="1"/>
  <c r="Y34" i="14"/>
  <c r="Z34" i="14" s="1"/>
  <c r="Q35" i="6" l="1"/>
  <c r="Z34" i="6"/>
  <c r="M34" i="6"/>
  <c r="Z33" i="6"/>
  <c r="M33" i="6"/>
  <c r="Q32" i="6"/>
  <c r="D32" i="6"/>
  <c r="Q31" i="6"/>
  <c r="Z30" i="6"/>
  <c r="M30" i="6"/>
  <c r="Z29" i="6"/>
  <c r="M29" i="6"/>
  <c r="Q28" i="6"/>
  <c r="D28" i="6"/>
  <c r="Q27" i="6"/>
  <c r="Z26" i="6"/>
  <c r="M26" i="6"/>
  <c r="Z25" i="6"/>
  <c r="M25" i="6"/>
  <c r="Q24" i="6"/>
  <c r="D24" i="6"/>
  <c r="Q23" i="6"/>
  <c r="Z21" i="6"/>
  <c r="M21" i="6"/>
  <c r="Q20" i="6"/>
  <c r="D20" i="6"/>
  <c r="Z19" i="6"/>
  <c r="M19" i="6"/>
  <c r="Z18" i="6"/>
  <c r="M18" i="6"/>
  <c r="Z17" i="6"/>
  <c r="M17" i="6"/>
  <c r="Z16" i="6"/>
  <c r="M16" i="6"/>
  <c r="Q15" i="6"/>
  <c r="D15" i="6"/>
  <c r="Q14" i="6"/>
  <c r="Z13" i="6"/>
  <c r="M13" i="6"/>
  <c r="Z12" i="6"/>
  <c r="M12" i="6"/>
  <c r="Q11" i="6"/>
  <c r="D11" i="6"/>
  <c r="Q10" i="6"/>
  <c r="Z9" i="6"/>
  <c r="M9" i="6"/>
  <c r="Z8" i="6"/>
  <c r="M8" i="6"/>
  <c r="Q7" i="6"/>
  <c r="D7" i="6"/>
  <c r="Q6" i="6"/>
  <c r="Z5" i="6"/>
  <c r="M5" i="6"/>
  <c r="Z35" i="6"/>
  <c r="M35" i="6"/>
  <c r="Q34" i="6"/>
  <c r="D34" i="6"/>
  <c r="Q33" i="6"/>
  <c r="Z32" i="6"/>
  <c r="M32" i="6"/>
  <c r="Z31" i="6"/>
  <c r="M31" i="6"/>
  <c r="Q30" i="6"/>
  <c r="D30" i="6"/>
  <c r="Q29" i="6"/>
  <c r="Z28" i="6"/>
  <c r="M28" i="6"/>
  <c r="Z27" i="6"/>
  <c r="M27" i="6"/>
  <c r="Q26" i="6"/>
  <c r="D26" i="6"/>
  <c r="Q25" i="6"/>
  <c r="Z24" i="6"/>
  <c r="M24" i="6"/>
  <c r="Z23" i="6"/>
  <c r="M23" i="6"/>
  <c r="Q22" i="6"/>
  <c r="D22" i="6"/>
  <c r="Z20" i="6"/>
  <c r="M20" i="6"/>
  <c r="Q19" i="6"/>
  <c r="Q18" i="6"/>
  <c r="Q17" i="6"/>
  <c r="AF17" i="6" s="1"/>
  <c r="Q16" i="6"/>
  <c r="D16" i="6"/>
  <c r="Z15" i="6"/>
  <c r="M15" i="6"/>
  <c r="Z14" i="6"/>
  <c r="M14" i="6"/>
  <c r="Q13" i="6"/>
  <c r="AF13" i="6" s="1"/>
  <c r="D13" i="6"/>
  <c r="Q12" i="6"/>
  <c r="AF12" i="6" s="1"/>
  <c r="Z11" i="6"/>
  <c r="M11" i="6"/>
  <c r="Z10" i="6"/>
  <c r="M10" i="6"/>
  <c r="Q9" i="6"/>
  <c r="D9" i="6"/>
  <c r="Q8" i="6"/>
  <c r="AF8" i="6" s="1"/>
  <c r="Z7" i="6"/>
  <c r="M7" i="6"/>
  <c r="Z6" i="6"/>
  <c r="M6" i="6"/>
  <c r="Q5" i="6"/>
  <c r="AF5" i="6" s="1"/>
  <c r="D5" i="6"/>
  <c r="Z35" i="13"/>
  <c r="M35" i="13"/>
  <c r="Q34" i="13"/>
  <c r="Z33" i="13"/>
  <c r="M33" i="13"/>
  <c r="Q32" i="13"/>
  <c r="Z31" i="13"/>
  <c r="M31" i="13"/>
  <c r="Q30" i="13"/>
  <c r="Z29" i="13"/>
  <c r="M29" i="13"/>
  <c r="Q28" i="13"/>
  <c r="Z27" i="13"/>
  <c r="M27" i="13"/>
  <c r="Q26" i="13"/>
  <c r="Z25" i="13"/>
  <c r="M25" i="13"/>
  <c r="Q24" i="13"/>
  <c r="Z23" i="13"/>
  <c r="M23" i="13"/>
  <c r="Q22" i="13"/>
  <c r="Z21" i="13"/>
  <c r="M21" i="13"/>
  <c r="Q20" i="13"/>
  <c r="Z19" i="13"/>
  <c r="M19" i="13"/>
  <c r="Q18" i="13"/>
  <c r="Z17" i="13"/>
  <c r="M17" i="13"/>
  <c r="Q16" i="13"/>
  <c r="Z15" i="13"/>
  <c r="M15" i="13"/>
  <c r="Q14" i="13"/>
  <c r="Z13" i="13"/>
  <c r="M13" i="13"/>
  <c r="Q12" i="13"/>
  <c r="Z11" i="13"/>
  <c r="M11" i="13"/>
  <c r="Q10" i="13"/>
  <c r="Z9" i="13"/>
  <c r="M9" i="13"/>
  <c r="Z7" i="13"/>
  <c r="M7" i="13"/>
  <c r="Q6" i="13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Z20" i="1"/>
  <c r="M20" i="1"/>
  <c r="Z19" i="1"/>
  <c r="M19" i="1"/>
  <c r="Z18" i="1"/>
  <c r="M18" i="1"/>
  <c r="Z17" i="1"/>
  <c r="M17" i="1"/>
  <c r="Z16" i="1"/>
  <c r="M16" i="1"/>
  <c r="Z15" i="1"/>
  <c r="M15" i="1"/>
  <c r="Z14" i="1"/>
  <c r="M14" i="1"/>
  <c r="Z13" i="1"/>
  <c r="M13" i="1"/>
  <c r="Z12" i="1"/>
  <c r="M12" i="1"/>
  <c r="Z11" i="1"/>
  <c r="M11" i="1"/>
  <c r="Z10" i="1"/>
  <c r="M10" i="1"/>
  <c r="Z9" i="1"/>
  <c r="M9" i="1"/>
  <c r="Z8" i="1"/>
  <c r="M8" i="1"/>
  <c r="Z7" i="1"/>
  <c r="M7" i="1"/>
  <c r="Z6" i="1"/>
  <c r="M6" i="1"/>
  <c r="Q35" i="13"/>
  <c r="Z34" i="13"/>
  <c r="M34" i="13"/>
  <c r="Q33" i="13"/>
  <c r="Z32" i="13"/>
  <c r="M32" i="13"/>
  <c r="Q31" i="13"/>
  <c r="Z30" i="13"/>
  <c r="M30" i="13"/>
  <c r="Q29" i="13"/>
  <c r="Z28" i="13"/>
  <c r="M28" i="13"/>
  <c r="Q27" i="13"/>
  <c r="Z26" i="13"/>
  <c r="M26" i="13"/>
  <c r="Q25" i="13"/>
  <c r="Z24" i="13"/>
  <c r="M24" i="13"/>
  <c r="Q23" i="13"/>
  <c r="Z22" i="13"/>
  <c r="M22" i="13"/>
  <c r="Q21" i="13"/>
  <c r="Z20" i="13"/>
  <c r="M20" i="13"/>
  <c r="Q19" i="13"/>
  <c r="Z18" i="13"/>
  <c r="M18" i="13"/>
  <c r="Q17" i="13"/>
  <c r="Z16" i="13"/>
  <c r="M16" i="13"/>
  <c r="Q15" i="13"/>
  <c r="Z14" i="13"/>
  <c r="M14" i="13"/>
  <c r="Q13" i="13"/>
  <c r="Z12" i="13"/>
  <c r="M12" i="13"/>
  <c r="Q11" i="13"/>
  <c r="Z10" i="13"/>
  <c r="M10" i="13"/>
  <c r="Q9" i="13"/>
  <c r="Z8" i="13"/>
  <c r="M8" i="13"/>
  <c r="Q7" i="13"/>
  <c r="Z6" i="13"/>
  <c r="M6" i="13"/>
  <c r="Z35" i="1"/>
  <c r="M35" i="1"/>
  <c r="Z34" i="1"/>
  <c r="M34" i="1"/>
  <c r="Z33" i="1"/>
  <c r="M33" i="1"/>
  <c r="Z32" i="1"/>
  <c r="M32" i="1"/>
  <c r="Z31" i="1"/>
  <c r="M31" i="1"/>
  <c r="Z30" i="1"/>
  <c r="M30" i="1"/>
  <c r="Z29" i="1"/>
  <c r="M29" i="1"/>
  <c r="Z28" i="1"/>
  <c r="M28" i="1"/>
  <c r="Z27" i="1"/>
  <c r="M27" i="1"/>
  <c r="Z26" i="1"/>
  <c r="M26" i="1"/>
  <c r="Z25" i="1"/>
  <c r="M25" i="1"/>
  <c r="Z24" i="1"/>
  <c r="M24" i="1"/>
  <c r="Z23" i="1"/>
  <c r="M23" i="1"/>
  <c r="Z22" i="1"/>
  <c r="M22" i="1"/>
  <c r="Z21" i="1"/>
  <c r="Q20" i="1"/>
  <c r="Q19" i="1"/>
  <c r="Q18" i="1"/>
  <c r="Q17" i="1"/>
  <c r="Q16" i="1"/>
  <c r="Q15" i="1"/>
  <c r="Q14" i="1"/>
  <c r="Q13" i="1"/>
  <c r="Q12" i="1"/>
  <c r="Q11" i="1"/>
  <c r="Q10" i="1"/>
  <c r="Q9" i="1"/>
  <c r="Q8" i="1"/>
  <c r="Q7" i="1"/>
  <c r="Q5" i="1"/>
  <c r="Z34" i="7"/>
  <c r="M34" i="7"/>
  <c r="Z33" i="7"/>
  <c r="M33" i="7"/>
  <c r="Z32" i="7"/>
  <c r="M32" i="7"/>
  <c r="Z31" i="7"/>
  <c r="M31" i="7"/>
  <c r="Z30" i="7"/>
  <c r="M30" i="7"/>
  <c r="Z29" i="7"/>
  <c r="M29" i="7"/>
  <c r="Z28" i="7"/>
  <c r="M28" i="7"/>
  <c r="Z27" i="7"/>
  <c r="M27" i="7"/>
  <c r="Z26" i="7"/>
  <c r="M26" i="7"/>
  <c r="Z25" i="7"/>
  <c r="M25" i="7"/>
  <c r="Z24" i="7"/>
  <c r="M24" i="7"/>
  <c r="Z23" i="7"/>
  <c r="M23" i="7"/>
  <c r="Z22" i="7"/>
  <c r="M22" i="7"/>
  <c r="Z21" i="7"/>
  <c r="M21" i="7"/>
  <c r="Z20" i="7"/>
  <c r="M20" i="7"/>
  <c r="Z19" i="7"/>
  <c r="M19" i="7"/>
  <c r="Z18" i="7"/>
  <c r="M18" i="7"/>
  <c r="Z17" i="7"/>
  <c r="M17" i="7"/>
  <c r="Q16" i="7"/>
  <c r="Z15" i="7"/>
  <c r="M15" i="7"/>
  <c r="M14" i="7"/>
  <c r="Q8" i="7"/>
  <c r="Q7" i="7"/>
  <c r="Q6" i="7"/>
  <c r="Q34" i="7"/>
  <c r="Q33" i="7"/>
  <c r="Q32" i="7"/>
  <c r="Q31" i="7"/>
  <c r="Q30" i="7"/>
  <c r="Q29" i="7"/>
  <c r="Q28" i="7"/>
  <c r="Q27" i="7"/>
  <c r="Q26" i="7"/>
  <c r="Q25" i="7"/>
  <c r="Q24" i="7"/>
  <c r="Q23" i="7"/>
  <c r="Q22" i="7"/>
  <c r="Q21" i="7"/>
  <c r="Q20" i="7"/>
  <c r="Q19" i="7"/>
  <c r="Q18" i="7"/>
  <c r="Q17" i="7"/>
  <c r="Z16" i="7"/>
  <c r="M16" i="7"/>
  <c r="Q15" i="7"/>
  <c r="Z14" i="7"/>
  <c r="Q14" i="7"/>
  <c r="Z13" i="7"/>
  <c r="M13" i="7"/>
  <c r="Z12" i="7"/>
  <c r="Z11" i="7"/>
  <c r="Z10" i="7"/>
  <c r="M10" i="7"/>
  <c r="Z9" i="7"/>
  <c r="M9" i="7"/>
  <c r="Z8" i="7"/>
  <c r="M8" i="7"/>
  <c r="Z7" i="7"/>
  <c r="M7" i="7"/>
  <c r="Z5" i="7"/>
  <c r="M5" i="7"/>
  <c r="AB35" i="12"/>
  <c r="AF27" i="11"/>
  <c r="AC32" i="9"/>
  <c r="AC8" i="5"/>
  <c r="AC16" i="5"/>
  <c r="AC14" i="5"/>
  <c r="AC10" i="5"/>
  <c r="AC6" i="5"/>
  <c r="AC12" i="5"/>
  <c r="AD35" i="11"/>
  <c r="AC33" i="5"/>
  <c r="AC17" i="9"/>
  <c r="T5" i="13"/>
  <c r="S36" i="13"/>
  <c r="G5" i="13"/>
  <c r="F36" i="13"/>
  <c r="Y36" i="13"/>
  <c r="L36" i="13"/>
  <c r="D34" i="14"/>
  <c r="AD34" i="14" s="1"/>
  <c r="AC34" i="14"/>
  <c r="D33" i="14"/>
  <c r="AD33" i="14" s="1"/>
  <c r="AC33" i="14"/>
  <c r="D32" i="14"/>
  <c r="AD32" i="14" s="1"/>
  <c r="AC32" i="14"/>
  <c r="D31" i="14"/>
  <c r="AD31" i="14" s="1"/>
  <c r="AC31" i="14"/>
  <c r="D30" i="14"/>
  <c r="AD30" i="14" s="1"/>
  <c r="AC30" i="14"/>
  <c r="D29" i="14"/>
  <c r="AD29" i="14" s="1"/>
  <c r="AC29" i="14"/>
  <c r="D28" i="14"/>
  <c r="AD28" i="14" s="1"/>
  <c r="AC28" i="14"/>
  <c r="D27" i="14"/>
  <c r="AD27" i="14" s="1"/>
  <c r="AC27" i="14"/>
  <c r="D26" i="14"/>
  <c r="AD26" i="14" s="1"/>
  <c r="AC26" i="14"/>
  <c r="D25" i="14"/>
  <c r="AD25" i="14" s="1"/>
  <c r="AC25" i="14"/>
  <c r="D24" i="14"/>
  <c r="AD24" i="14" s="1"/>
  <c r="AC24" i="14"/>
  <c r="D23" i="14"/>
  <c r="AD23" i="14" s="1"/>
  <c r="AC23" i="14"/>
  <c r="D22" i="14"/>
  <c r="AD22" i="14" s="1"/>
  <c r="AC22" i="14"/>
  <c r="D21" i="14"/>
  <c r="AD21" i="14" s="1"/>
  <c r="AC21" i="14"/>
  <c r="D20" i="14"/>
  <c r="AD20" i="14" s="1"/>
  <c r="AC20" i="14"/>
  <c r="D19" i="14"/>
  <c r="AD19" i="14" s="1"/>
  <c r="AC19" i="14"/>
  <c r="D18" i="14"/>
  <c r="AD18" i="14" s="1"/>
  <c r="AC18" i="14"/>
  <c r="D17" i="14"/>
  <c r="AC17" i="14"/>
  <c r="D16" i="14"/>
  <c r="AD16" i="14" s="1"/>
  <c r="AC16" i="14"/>
  <c r="D15" i="14"/>
  <c r="AD15" i="14" s="1"/>
  <c r="AC15" i="14"/>
  <c r="D14" i="14"/>
  <c r="AD14" i="14" s="1"/>
  <c r="AC14" i="14"/>
  <c r="D13" i="14"/>
  <c r="AD13" i="14" s="1"/>
  <c r="AC13" i="14"/>
  <c r="D12" i="14"/>
  <c r="AD12" i="14" s="1"/>
  <c r="AC12" i="14"/>
  <c r="D11" i="14"/>
  <c r="AD11" i="14" s="1"/>
  <c r="AC11" i="14"/>
  <c r="D10" i="14"/>
  <c r="AD10" i="14" s="1"/>
  <c r="AC10" i="14"/>
  <c r="D9" i="14"/>
  <c r="AD9" i="14" s="1"/>
  <c r="AC9" i="14"/>
  <c r="D8" i="14"/>
  <c r="AD8" i="14" s="1"/>
  <c r="AC8" i="14"/>
  <c r="D7" i="14"/>
  <c r="AD7" i="14" s="1"/>
  <c r="AC7" i="14"/>
  <c r="D6" i="14"/>
  <c r="AD6" i="14" s="1"/>
  <c r="AC6" i="14"/>
  <c r="C35" i="13"/>
  <c r="AB35" i="13"/>
  <c r="C34" i="13"/>
  <c r="AB34" i="13"/>
  <c r="C33" i="13"/>
  <c r="AB33" i="13"/>
  <c r="C32" i="13"/>
  <c r="AB32" i="13"/>
  <c r="C31" i="13"/>
  <c r="AB31" i="13"/>
  <c r="C30" i="13"/>
  <c r="AB30" i="13"/>
  <c r="C29" i="13"/>
  <c r="AB29" i="13"/>
  <c r="C28" i="13"/>
  <c r="AB28" i="13"/>
  <c r="C27" i="13"/>
  <c r="AB27" i="13"/>
  <c r="C26" i="13"/>
  <c r="AB26" i="13"/>
  <c r="C25" i="13"/>
  <c r="AB25" i="13"/>
  <c r="C24" i="13"/>
  <c r="AB24" i="13"/>
  <c r="C23" i="13"/>
  <c r="AB23" i="13"/>
  <c r="C22" i="13"/>
  <c r="AB22" i="13"/>
  <c r="C21" i="13"/>
  <c r="AB21" i="13"/>
  <c r="C20" i="13"/>
  <c r="AB20" i="13"/>
  <c r="C19" i="13"/>
  <c r="AB19" i="13"/>
  <c r="C18" i="13"/>
  <c r="AB18" i="13"/>
  <c r="C17" i="13"/>
  <c r="AB17" i="13"/>
  <c r="C16" i="13"/>
  <c r="AB16" i="13"/>
  <c r="C15" i="13"/>
  <c r="AB15" i="13"/>
  <c r="C14" i="13"/>
  <c r="AB14" i="13"/>
  <c r="C13" i="13"/>
  <c r="AB13" i="13"/>
  <c r="C12" i="13"/>
  <c r="AB12" i="13"/>
  <c r="C11" i="13"/>
  <c r="AB11" i="13"/>
  <c r="C10" i="13"/>
  <c r="AB10" i="13"/>
  <c r="C9" i="13"/>
  <c r="AB9" i="13"/>
  <c r="C8" i="13"/>
  <c r="AB8" i="13"/>
  <c r="C7" i="13"/>
  <c r="AB7" i="13"/>
  <c r="C6" i="13"/>
  <c r="AB6" i="13"/>
  <c r="W5" i="13"/>
  <c r="V36" i="13"/>
  <c r="Q5" i="13"/>
  <c r="P36" i="13"/>
  <c r="J5" i="13"/>
  <c r="I36" i="13"/>
  <c r="C5" i="13"/>
  <c r="AB5" i="13"/>
  <c r="AC35" i="5"/>
  <c r="AC31" i="5"/>
  <c r="AC20" i="5"/>
  <c r="D34" i="7"/>
  <c r="AC34" i="7"/>
  <c r="D33" i="7"/>
  <c r="AC33" i="7"/>
  <c r="D32" i="7"/>
  <c r="AC32" i="7"/>
  <c r="D31" i="7"/>
  <c r="AC31" i="7"/>
  <c r="D30" i="7"/>
  <c r="AC30" i="7"/>
  <c r="D29" i="7"/>
  <c r="AC29" i="7"/>
  <c r="D28" i="7"/>
  <c r="AC28" i="7"/>
  <c r="D27" i="7"/>
  <c r="AC27" i="7"/>
  <c r="D26" i="7"/>
  <c r="AC26" i="7"/>
  <c r="D25" i="7"/>
  <c r="AC25" i="7"/>
  <c r="D24" i="7"/>
  <c r="AC24" i="7"/>
  <c r="D23" i="7"/>
  <c r="AC23" i="7"/>
  <c r="D22" i="7"/>
  <c r="AC22" i="7"/>
  <c r="D21" i="7"/>
  <c r="AC21" i="7"/>
  <c r="D20" i="7"/>
  <c r="AC20" i="7"/>
  <c r="D19" i="7"/>
  <c r="AC19" i="7"/>
  <c r="D18" i="7"/>
  <c r="AC18" i="7"/>
  <c r="D17" i="7"/>
  <c r="AC17" i="7"/>
  <c r="D16" i="7"/>
  <c r="AC16" i="7"/>
  <c r="D15" i="7"/>
  <c r="AC15" i="7"/>
  <c r="D14" i="7"/>
  <c r="AC14" i="7"/>
  <c r="D13" i="7"/>
  <c r="AD13" i="7" s="1"/>
  <c r="AC13" i="7"/>
  <c r="D12" i="7"/>
  <c r="AD12" i="7" s="1"/>
  <c r="AC12" i="7"/>
  <c r="D11" i="7"/>
  <c r="AD11" i="7" s="1"/>
  <c r="AC11" i="7"/>
  <c r="D10" i="7"/>
  <c r="AD10" i="7" s="1"/>
  <c r="AC10" i="7"/>
  <c r="D9" i="7"/>
  <c r="AD9" i="7" s="1"/>
  <c r="AC9" i="7"/>
  <c r="D8" i="7"/>
  <c r="AC8" i="7"/>
  <c r="D7" i="7"/>
  <c r="AC7" i="7"/>
  <c r="D6" i="7"/>
  <c r="AC6" i="7"/>
  <c r="AC5" i="7"/>
  <c r="D32" i="4"/>
  <c r="AD32" i="4" s="1"/>
  <c r="AC32" i="4"/>
  <c r="D31" i="4"/>
  <c r="AD31" i="4" s="1"/>
  <c r="AC31" i="4"/>
  <c r="D30" i="4"/>
  <c r="AD30" i="4" s="1"/>
  <c r="AC30" i="4"/>
  <c r="D29" i="4"/>
  <c r="AD29" i="4" s="1"/>
  <c r="AC29" i="4"/>
  <c r="D28" i="4"/>
  <c r="AD28" i="4" s="1"/>
  <c r="AC28" i="4"/>
  <c r="D27" i="4"/>
  <c r="AD27" i="4" s="1"/>
  <c r="AC27" i="4"/>
  <c r="D26" i="4"/>
  <c r="AD26" i="4" s="1"/>
  <c r="AC26" i="4"/>
  <c r="D25" i="4"/>
  <c r="AD25" i="4" s="1"/>
  <c r="AC25" i="4"/>
  <c r="D24" i="4"/>
  <c r="AD24" i="4" s="1"/>
  <c r="AC24" i="4"/>
  <c r="D23" i="4"/>
  <c r="AD23" i="4" s="1"/>
  <c r="AC23" i="4"/>
  <c r="D22" i="4"/>
  <c r="AD22" i="4" s="1"/>
  <c r="AC22" i="4"/>
  <c r="D21" i="4"/>
  <c r="AD21" i="4" s="1"/>
  <c r="AC21" i="4"/>
  <c r="D20" i="4"/>
  <c r="AD20" i="4" s="1"/>
  <c r="AC20" i="4"/>
  <c r="D19" i="4"/>
  <c r="AD19" i="4" s="1"/>
  <c r="AC19" i="4"/>
  <c r="D18" i="4"/>
  <c r="AD18" i="4" s="1"/>
  <c r="AC18" i="4"/>
  <c r="D17" i="4"/>
  <c r="AD17" i="4" s="1"/>
  <c r="AC17" i="4"/>
  <c r="D16" i="4"/>
  <c r="AD16" i="4" s="1"/>
  <c r="AC16" i="4"/>
  <c r="D15" i="4"/>
  <c r="AD15" i="4" s="1"/>
  <c r="AC15" i="4"/>
  <c r="D14" i="4"/>
  <c r="AD14" i="4" s="1"/>
  <c r="AC14" i="4"/>
  <c r="D13" i="4"/>
  <c r="AD13" i="4" s="1"/>
  <c r="AC13" i="4"/>
  <c r="D12" i="4"/>
  <c r="AD12" i="4" s="1"/>
  <c r="AC12" i="4"/>
  <c r="D11" i="4"/>
  <c r="AD11" i="4" s="1"/>
  <c r="AC11" i="4"/>
  <c r="D10" i="4"/>
  <c r="AD10" i="4" s="1"/>
  <c r="AC10" i="4"/>
  <c r="D9" i="4"/>
  <c r="AD9" i="4" s="1"/>
  <c r="AC9" i="4"/>
  <c r="D8" i="4"/>
  <c r="AD8" i="4" s="1"/>
  <c r="AC8" i="4"/>
  <c r="D7" i="4"/>
  <c r="AD7" i="4" s="1"/>
  <c r="AC7" i="4"/>
  <c r="D5" i="4"/>
  <c r="AD5" i="4" s="1"/>
  <c r="AC5" i="4"/>
  <c r="AC6" i="4"/>
  <c r="D35" i="1"/>
  <c r="AC35" i="1"/>
  <c r="D34" i="1"/>
  <c r="AC34" i="1"/>
  <c r="D33" i="1"/>
  <c r="AC33" i="1"/>
  <c r="D32" i="1"/>
  <c r="AC32" i="1"/>
  <c r="D31" i="1"/>
  <c r="AC31" i="1"/>
  <c r="D30" i="1"/>
  <c r="AC30" i="1"/>
  <c r="D29" i="1"/>
  <c r="AC29" i="1"/>
  <c r="D28" i="1"/>
  <c r="AC28" i="1"/>
  <c r="D27" i="1"/>
  <c r="AC27" i="1"/>
  <c r="D26" i="1"/>
  <c r="AC26" i="1"/>
  <c r="D25" i="1"/>
  <c r="AC25" i="1"/>
  <c r="D24" i="1"/>
  <c r="AC24" i="1"/>
  <c r="D23" i="1"/>
  <c r="AC23" i="1"/>
  <c r="D22" i="1"/>
  <c r="AC22" i="1"/>
  <c r="D21" i="1"/>
  <c r="AC21" i="1"/>
  <c r="D20" i="1"/>
  <c r="AC20" i="1"/>
  <c r="D19" i="1"/>
  <c r="AC19" i="1"/>
  <c r="D18" i="1"/>
  <c r="AC18" i="1"/>
  <c r="D17" i="1"/>
  <c r="AC17" i="1"/>
  <c r="D16" i="1"/>
  <c r="AC16" i="1"/>
  <c r="D15" i="1"/>
  <c r="AC15" i="1"/>
  <c r="D14" i="1"/>
  <c r="AC14" i="1"/>
  <c r="D13" i="1"/>
  <c r="AC13" i="1"/>
  <c r="D12" i="1"/>
  <c r="AC12" i="1"/>
  <c r="D11" i="1"/>
  <c r="AC11" i="1"/>
  <c r="D10" i="1"/>
  <c r="AC10" i="1"/>
  <c r="D9" i="1"/>
  <c r="AC9" i="1"/>
  <c r="D8" i="1"/>
  <c r="AC8" i="1"/>
  <c r="D7" i="1"/>
  <c r="AC7" i="1"/>
  <c r="D5" i="1"/>
  <c r="AC5" i="1"/>
  <c r="AC6" i="1"/>
  <c r="S36" i="8"/>
  <c r="T36" i="8" s="1"/>
  <c r="G9" i="15" s="1"/>
  <c r="F36" i="8"/>
  <c r="G36" i="8" s="1"/>
  <c r="C9" i="15" s="1"/>
  <c r="AF7" i="9"/>
  <c r="AC20" i="6"/>
  <c r="Y36" i="8"/>
  <c r="Z36" i="8" s="1"/>
  <c r="I9" i="15" s="1"/>
  <c r="L36" i="8"/>
  <c r="M36" i="8" s="1"/>
  <c r="E9" i="15" s="1"/>
  <c r="AF15" i="9"/>
  <c r="AF9" i="9"/>
  <c r="AD28" i="5"/>
  <c r="Q8" i="13"/>
  <c r="T7" i="13"/>
  <c r="W6" i="13"/>
  <c r="Z5" i="13"/>
  <c r="AD29" i="5"/>
  <c r="G7" i="13"/>
  <c r="J6" i="13"/>
  <c r="M5" i="13"/>
  <c r="AD17" i="9"/>
  <c r="AF13" i="9"/>
  <c r="AF11" i="9"/>
  <c r="AF5" i="9"/>
  <c r="AC29" i="5"/>
  <c r="AF24" i="5"/>
  <c r="AF16" i="5"/>
  <c r="AF15" i="5"/>
  <c r="AF12" i="5"/>
  <c r="AF11" i="5"/>
  <c r="AF8" i="5"/>
  <c r="AF7" i="5"/>
  <c r="AF26" i="5"/>
  <c r="AF22" i="5"/>
  <c r="AF18" i="5"/>
  <c r="AF17" i="5"/>
  <c r="AF14" i="5"/>
  <c r="AF13" i="5"/>
  <c r="AF10" i="5"/>
  <c r="AF9" i="5"/>
  <c r="AF23" i="12"/>
  <c r="AF34" i="9"/>
  <c r="AF30" i="9"/>
  <c r="AF26" i="9"/>
  <c r="AF22" i="9"/>
  <c r="AF32" i="9"/>
  <c r="AF28" i="9"/>
  <c r="AF24" i="9"/>
  <c r="AF20" i="9"/>
  <c r="AD30" i="12"/>
  <c r="AC30" i="12"/>
  <c r="AD26" i="12"/>
  <c r="AC26" i="12"/>
  <c r="AC28" i="12"/>
  <c r="AD21" i="12"/>
  <c r="AC21" i="12"/>
  <c r="AC19" i="12"/>
  <c r="AD17" i="12"/>
  <c r="AC17" i="12"/>
  <c r="AC15" i="12"/>
  <c r="AD13" i="12"/>
  <c r="AC13" i="12"/>
  <c r="AC11" i="12"/>
  <c r="AD9" i="12"/>
  <c r="AC9" i="12"/>
  <c r="AC7" i="12"/>
  <c r="D5" i="12"/>
  <c r="AD5" i="12" s="1"/>
  <c r="AC5" i="12"/>
  <c r="AF33" i="12"/>
  <c r="AF31" i="12"/>
  <c r="AF30" i="12"/>
  <c r="AF29" i="12"/>
  <c r="AF28" i="12"/>
  <c r="AF27" i="12"/>
  <c r="AF26" i="12"/>
  <c r="AF25" i="12"/>
  <c r="AB29" i="12"/>
  <c r="AB27" i="12"/>
  <c r="I36" i="11"/>
  <c r="J36" i="11" s="1"/>
  <c r="D12" i="15" s="1"/>
  <c r="F36" i="11"/>
  <c r="G36" i="11" s="1"/>
  <c r="C12" i="15" s="1"/>
  <c r="AF6" i="11"/>
  <c r="Y36" i="11"/>
  <c r="Z36" i="11" s="1"/>
  <c r="I12" i="15" s="1"/>
  <c r="AF10" i="11"/>
  <c r="S36" i="11"/>
  <c r="T36" i="11" s="1"/>
  <c r="G12" i="15" s="1"/>
  <c r="AC7" i="11"/>
  <c r="L36" i="11"/>
  <c r="M36" i="11" s="1"/>
  <c r="E12" i="15" s="1"/>
  <c r="D5" i="11"/>
  <c r="AD5" i="11" s="1"/>
  <c r="AC5" i="11"/>
  <c r="AF34" i="11"/>
  <c r="AF32" i="11"/>
  <c r="AF30" i="11"/>
  <c r="AF28" i="11"/>
  <c r="AF26" i="11"/>
  <c r="C36" i="11"/>
  <c r="D36" i="11" s="1"/>
  <c r="B12" i="15" s="1"/>
  <c r="AF24" i="11"/>
  <c r="AF22" i="11"/>
  <c r="AF20" i="11"/>
  <c r="AF18" i="11"/>
  <c r="AF16" i="11"/>
  <c r="AF14" i="11"/>
  <c r="AF12" i="11"/>
  <c r="T18" i="14"/>
  <c r="T35" i="14" s="1"/>
  <c r="G3" i="15" s="1"/>
  <c r="S35" i="14"/>
  <c r="M6" i="14"/>
  <c r="M35" i="14" s="1"/>
  <c r="E3" i="15" s="1"/>
  <c r="L35" i="14"/>
  <c r="J5" i="14"/>
  <c r="I35" i="14"/>
  <c r="Q17" i="14"/>
  <c r="Q35" i="14" s="1"/>
  <c r="F3" i="15" s="1"/>
  <c r="P35" i="14"/>
  <c r="Z6" i="14"/>
  <c r="Z35" i="14" s="1"/>
  <c r="I3" i="15" s="1"/>
  <c r="Y35" i="14"/>
  <c r="G6" i="14"/>
  <c r="F35" i="14"/>
  <c r="W5" i="14"/>
  <c r="W35" i="14" s="1"/>
  <c r="H3" i="15" s="1"/>
  <c r="V35" i="14"/>
  <c r="D5" i="14"/>
  <c r="C35" i="14"/>
  <c r="AC35" i="14" s="1"/>
  <c r="W6" i="1"/>
  <c r="V36" i="1"/>
  <c r="J6" i="1"/>
  <c r="I36" i="1"/>
  <c r="Z5" i="1"/>
  <c r="Y36" i="1"/>
  <c r="M5" i="1"/>
  <c r="L36" i="1"/>
  <c r="W6" i="4"/>
  <c r="W34" i="4" s="1"/>
  <c r="H6" i="15" s="1"/>
  <c r="V34" i="4"/>
  <c r="J6" i="4"/>
  <c r="J34" i="4" s="1"/>
  <c r="D6" i="15" s="1"/>
  <c r="I34" i="4"/>
  <c r="Z5" i="4"/>
  <c r="Z34" i="4" s="1"/>
  <c r="I6" i="15" s="1"/>
  <c r="Y34" i="4"/>
  <c r="M5" i="4"/>
  <c r="M34" i="4" s="1"/>
  <c r="E6" i="15" s="1"/>
  <c r="L34" i="4"/>
  <c r="D35" i="6"/>
  <c r="AC35" i="6"/>
  <c r="D33" i="6"/>
  <c r="AC33" i="6"/>
  <c r="D31" i="6"/>
  <c r="AC31" i="6"/>
  <c r="D29" i="6"/>
  <c r="AC29" i="6"/>
  <c r="D27" i="6"/>
  <c r="AC27" i="6"/>
  <c r="D25" i="6"/>
  <c r="AC25" i="6"/>
  <c r="D23" i="6"/>
  <c r="AC23" i="6"/>
  <c r="Z22" i="6"/>
  <c r="Y36" i="6"/>
  <c r="M22" i="6"/>
  <c r="L36" i="6"/>
  <c r="Q21" i="6"/>
  <c r="P36" i="6"/>
  <c r="D21" i="6"/>
  <c r="AC21" i="6"/>
  <c r="Q6" i="1"/>
  <c r="P36" i="1"/>
  <c r="D6" i="1"/>
  <c r="C36" i="1"/>
  <c r="T5" i="1"/>
  <c r="S36" i="1"/>
  <c r="G5" i="1"/>
  <c r="G36" i="1" s="1"/>
  <c r="C5" i="15" s="1"/>
  <c r="F36" i="1"/>
  <c r="Q6" i="4"/>
  <c r="Q34" i="4" s="1"/>
  <c r="F6" i="15" s="1"/>
  <c r="P34" i="4"/>
  <c r="D6" i="4"/>
  <c r="C34" i="4"/>
  <c r="T5" i="4"/>
  <c r="T34" i="4" s="1"/>
  <c r="G6" i="15" s="1"/>
  <c r="S34" i="4"/>
  <c r="G5" i="4"/>
  <c r="G34" i="4" s="1"/>
  <c r="C6" i="15" s="1"/>
  <c r="F34" i="4"/>
  <c r="T22" i="6"/>
  <c r="S36" i="6"/>
  <c r="G22" i="6"/>
  <c r="F36" i="6"/>
  <c r="W21" i="6"/>
  <c r="V36" i="6"/>
  <c r="J21" i="6"/>
  <c r="I36" i="6"/>
  <c r="C18" i="6"/>
  <c r="AB18" i="6"/>
  <c r="T6" i="7"/>
  <c r="S35" i="7"/>
  <c r="G6" i="7"/>
  <c r="F35" i="7"/>
  <c r="W5" i="7"/>
  <c r="V35" i="7"/>
  <c r="J5" i="7"/>
  <c r="I35" i="7"/>
  <c r="D35" i="8"/>
  <c r="AD35" i="8" s="1"/>
  <c r="AC35" i="8"/>
  <c r="D33" i="8"/>
  <c r="AD33" i="8" s="1"/>
  <c r="AC33" i="8"/>
  <c r="D31" i="8"/>
  <c r="AD31" i="8" s="1"/>
  <c r="AC31" i="8"/>
  <c r="D29" i="8"/>
  <c r="AD29" i="8" s="1"/>
  <c r="AC29" i="8"/>
  <c r="D27" i="8"/>
  <c r="AD27" i="8" s="1"/>
  <c r="AC27" i="8"/>
  <c r="D25" i="8"/>
  <c r="AD25" i="8" s="1"/>
  <c r="AC25" i="8"/>
  <c r="D23" i="8"/>
  <c r="AD23" i="8" s="1"/>
  <c r="AC23" i="8"/>
  <c r="D21" i="8"/>
  <c r="AD21" i="8" s="1"/>
  <c r="AC21" i="8"/>
  <c r="D19" i="8"/>
  <c r="AD19" i="8" s="1"/>
  <c r="AC19" i="8"/>
  <c r="D17" i="8"/>
  <c r="AD17" i="8" s="1"/>
  <c r="AC17" i="8"/>
  <c r="D15" i="8"/>
  <c r="AD15" i="8" s="1"/>
  <c r="AC15" i="8"/>
  <c r="D13" i="8"/>
  <c r="AD13" i="8" s="1"/>
  <c r="AC13" i="8"/>
  <c r="D11" i="8"/>
  <c r="AD11" i="8" s="1"/>
  <c r="AC11" i="8"/>
  <c r="D9" i="8"/>
  <c r="AD9" i="8" s="1"/>
  <c r="AC9" i="8"/>
  <c r="D7" i="8"/>
  <c r="AD7" i="8" s="1"/>
  <c r="AC7" i="8"/>
  <c r="Q5" i="8"/>
  <c r="P36" i="8"/>
  <c r="Q36" i="8" s="1"/>
  <c r="F9" i="15" s="1"/>
  <c r="D5" i="8"/>
  <c r="AC5" i="8"/>
  <c r="C36" i="8"/>
  <c r="D36" i="8" s="1"/>
  <c r="B9" i="15" s="1"/>
  <c r="S35" i="9"/>
  <c r="T35" i="9" s="1"/>
  <c r="G10" i="15" s="1"/>
  <c r="AF19" i="9"/>
  <c r="F35" i="9"/>
  <c r="G35" i="9" s="1"/>
  <c r="G19" i="9"/>
  <c r="V35" i="9"/>
  <c r="W35" i="9" s="1"/>
  <c r="H10" i="15" s="1"/>
  <c r="W18" i="9"/>
  <c r="I35" i="9"/>
  <c r="J35" i="9" s="1"/>
  <c r="D10" i="15" s="1"/>
  <c r="J18" i="9"/>
  <c r="AB35" i="6"/>
  <c r="AC34" i="6"/>
  <c r="AB33" i="6"/>
  <c r="AC32" i="6"/>
  <c r="AB31" i="6"/>
  <c r="AC30" i="6"/>
  <c r="AB29" i="6"/>
  <c r="AC28" i="6"/>
  <c r="AB27" i="6"/>
  <c r="AC26" i="6"/>
  <c r="AB25" i="6"/>
  <c r="AC24" i="6"/>
  <c r="AB23" i="6"/>
  <c r="AC22" i="6"/>
  <c r="AB21" i="6"/>
  <c r="AC16" i="6"/>
  <c r="AF9" i="6"/>
  <c r="AF33" i="9"/>
  <c r="AF31" i="9"/>
  <c r="AF29" i="9"/>
  <c r="AF27" i="9"/>
  <c r="AF25" i="9"/>
  <c r="AF23" i="9"/>
  <c r="AF21" i="9"/>
  <c r="D19" i="6"/>
  <c r="AC19" i="6"/>
  <c r="D17" i="6"/>
  <c r="AC17" i="6"/>
  <c r="D14" i="6"/>
  <c r="AC14" i="6"/>
  <c r="D12" i="6"/>
  <c r="AC12" i="6"/>
  <c r="D10" i="6"/>
  <c r="AC10" i="6"/>
  <c r="D8" i="6"/>
  <c r="AC8" i="6"/>
  <c r="D6" i="6"/>
  <c r="AC6" i="6"/>
  <c r="Z6" i="7"/>
  <c r="Y35" i="7"/>
  <c r="M6" i="7"/>
  <c r="L35" i="7"/>
  <c r="Q5" i="7"/>
  <c r="P35" i="7"/>
  <c r="D5" i="7"/>
  <c r="C35" i="7"/>
  <c r="D34" i="8"/>
  <c r="AD34" i="8" s="1"/>
  <c r="AC34" i="8"/>
  <c r="D32" i="8"/>
  <c r="AD32" i="8" s="1"/>
  <c r="AC32" i="8"/>
  <c r="D30" i="8"/>
  <c r="AD30" i="8" s="1"/>
  <c r="AC30" i="8"/>
  <c r="D28" i="8"/>
  <c r="AD28" i="8" s="1"/>
  <c r="AC28" i="8"/>
  <c r="D26" i="8"/>
  <c r="AD26" i="8" s="1"/>
  <c r="AC26" i="8"/>
  <c r="D24" i="8"/>
  <c r="AD24" i="8" s="1"/>
  <c r="AC24" i="8"/>
  <c r="D22" i="8"/>
  <c r="AD22" i="8" s="1"/>
  <c r="AC22" i="8"/>
  <c r="D20" i="8"/>
  <c r="AD20" i="8" s="1"/>
  <c r="AC20" i="8"/>
  <c r="D18" i="8"/>
  <c r="AD18" i="8" s="1"/>
  <c r="AC18" i="8"/>
  <c r="D16" i="8"/>
  <c r="AD16" i="8" s="1"/>
  <c r="AC16" i="8"/>
  <c r="D14" i="8"/>
  <c r="AD14" i="8" s="1"/>
  <c r="AC14" i="8"/>
  <c r="D12" i="8"/>
  <c r="AD12" i="8" s="1"/>
  <c r="AC12" i="8"/>
  <c r="D10" i="8"/>
  <c r="AD10" i="8" s="1"/>
  <c r="AC10" i="8"/>
  <c r="D8" i="8"/>
  <c r="AD8" i="8" s="1"/>
  <c r="AC8" i="8"/>
  <c r="D6" i="8"/>
  <c r="AD6" i="8" s="1"/>
  <c r="AC6" i="8"/>
  <c r="W5" i="8"/>
  <c r="V36" i="8"/>
  <c r="W36" i="8" s="1"/>
  <c r="H9" i="15" s="1"/>
  <c r="J5" i="8"/>
  <c r="I36" i="8"/>
  <c r="J36" i="8" s="1"/>
  <c r="D9" i="15" s="1"/>
  <c r="D34" i="9"/>
  <c r="AD34" i="9" s="1"/>
  <c r="AC34" i="9"/>
  <c r="D32" i="9"/>
  <c r="AD32" i="9" s="1"/>
  <c r="D30" i="9"/>
  <c r="AD30" i="9" s="1"/>
  <c r="AC30" i="9"/>
  <c r="D28" i="9"/>
  <c r="AD28" i="9" s="1"/>
  <c r="AC28" i="9"/>
  <c r="D26" i="9"/>
  <c r="AD26" i="9" s="1"/>
  <c r="AC26" i="9"/>
  <c r="D24" i="9"/>
  <c r="AD24" i="9" s="1"/>
  <c r="AC24" i="9"/>
  <c r="D22" i="9"/>
  <c r="AD22" i="9" s="1"/>
  <c r="AC22" i="9"/>
  <c r="D20" i="9"/>
  <c r="AD20" i="9" s="1"/>
  <c r="AC20" i="9"/>
  <c r="L35" i="9"/>
  <c r="M35" i="9" s="1"/>
  <c r="E10" i="15" s="1"/>
  <c r="M19" i="9"/>
  <c r="Q35" i="9"/>
  <c r="F10" i="15" s="1"/>
  <c r="Q18" i="9"/>
  <c r="AF18" i="9" s="1"/>
  <c r="D18" i="9"/>
  <c r="AC18" i="9"/>
  <c r="Y35" i="9"/>
  <c r="Z35" i="9" s="1"/>
  <c r="I10" i="15" s="1"/>
  <c r="Z17" i="9"/>
  <c r="AF17" i="9" s="1"/>
  <c r="AD33" i="9"/>
  <c r="AD31" i="9"/>
  <c r="AD29" i="9"/>
  <c r="AD27" i="9"/>
  <c r="AD25" i="9"/>
  <c r="AD23" i="9"/>
  <c r="AD21" i="9"/>
  <c r="AD19" i="9"/>
  <c r="D16" i="9"/>
  <c r="AD16" i="9" s="1"/>
  <c r="AC16" i="9"/>
  <c r="D14" i="9"/>
  <c r="AD14" i="9" s="1"/>
  <c r="AC14" i="9"/>
  <c r="D12" i="9"/>
  <c r="AD12" i="9" s="1"/>
  <c r="AC12" i="9"/>
  <c r="D10" i="9"/>
  <c r="AD10" i="9" s="1"/>
  <c r="AC10" i="9"/>
  <c r="D8" i="9"/>
  <c r="AD8" i="9" s="1"/>
  <c r="AC8" i="9"/>
  <c r="D6" i="9"/>
  <c r="AD6" i="9" s="1"/>
  <c r="AC6" i="9"/>
  <c r="AF16" i="9"/>
  <c r="AF14" i="9"/>
  <c r="AF12" i="9"/>
  <c r="AF10" i="9"/>
  <c r="AF8" i="9"/>
  <c r="AF6" i="9"/>
  <c r="C15" i="9"/>
  <c r="AB15" i="9"/>
  <c r="C13" i="9"/>
  <c r="AB13" i="9"/>
  <c r="C11" i="9"/>
  <c r="AB11" i="9"/>
  <c r="C9" i="9"/>
  <c r="AB9" i="9"/>
  <c r="C7" i="9"/>
  <c r="AB7" i="9"/>
  <c r="C5" i="9"/>
  <c r="AB5" i="9"/>
  <c r="AB16" i="6"/>
  <c r="AC15" i="6"/>
  <c r="AB14" i="6"/>
  <c r="AC13" i="6"/>
  <c r="AB12" i="6"/>
  <c r="AC11" i="6"/>
  <c r="AB10" i="6"/>
  <c r="AC9" i="6"/>
  <c r="AB8" i="6"/>
  <c r="AC7" i="6"/>
  <c r="AB6" i="6"/>
  <c r="AC5" i="6"/>
  <c r="AB35" i="8"/>
  <c r="AB34" i="8"/>
  <c r="AB33" i="8"/>
  <c r="AB32" i="8"/>
  <c r="AB31" i="8"/>
  <c r="AB30" i="8"/>
  <c r="AB29" i="8"/>
  <c r="AB28" i="8"/>
  <c r="AB27" i="8"/>
  <c r="AB26" i="8"/>
  <c r="AB25" i="8"/>
  <c r="AB24" i="8"/>
  <c r="AB23" i="8"/>
  <c r="AB22" i="8"/>
  <c r="AB21" i="8"/>
  <c r="AB20" i="8"/>
  <c r="AB19" i="8"/>
  <c r="AB18" i="8"/>
  <c r="AB17" i="8"/>
  <c r="AB16" i="8"/>
  <c r="AB15" i="8"/>
  <c r="AB14" i="8"/>
  <c r="AB13" i="8"/>
  <c r="AB12" i="8"/>
  <c r="AB11" i="8"/>
  <c r="AB10" i="8"/>
  <c r="AB9" i="8"/>
  <c r="AB8" i="8"/>
  <c r="AB7" i="8"/>
  <c r="AB6" i="8"/>
  <c r="AB5" i="8"/>
  <c r="AB34" i="9"/>
  <c r="AC33" i="9"/>
  <c r="AB32" i="9"/>
  <c r="AC31" i="9"/>
  <c r="AB30" i="9"/>
  <c r="AC29" i="9"/>
  <c r="AB28" i="9"/>
  <c r="AC27" i="9"/>
  <c r="AB26" i="9"/>
  <c r="AC25" i="9"/>
  <c r="AB24" i="9"/>
  <c r="AC23" i="9"/>
  <c r="AB22" i="9"/>
  <c r="AC21" i="9"/>
  <c r="AB20" i="9"/>
  <c r="AC19" i="9"/>
  <c r="AB18" i="9"/>
  <c r="AD8" i="11"/>
  <c r="AC8" i="11"/>
  <c r="AD6" i="11"/>
  <c r="AC6" i="11"/>
  <c r="V35" i="12"/>
  <c r="W35" i="12" s="1"/>
  <c r="H13" i="15" s="1"/>
  <c r="I35" i="12"/>
  <c r="J35" i="12" s="1"/>
  <c r="D13" i="15" s="1"/>
  <c r="S35" i="12"/>
  <c r="T35" i="12" s="1"/>
  <c r="G13" i="15" s="1"/>
  <c r="V36" i="11"/>
  <c r="W36" i="11" s="1"/>
  <c r="H12" i="15" s="1"/>
  <c r="P36" i="11"/>
  <c r="Q36" i="11" s="1"/>
  <c r="F12" i="15" s="1"/>
  <c r="AF33" i="11"/>
  <c r="AF31" i="11"/>
  <c r="AF29" i="11"/>
  <c r="AF25" i="11"/>
  <c r="AF23" i="11"/>
  <c r="AF21" i="11"/>
  <c r="AF19" i="11"/>
  <c r="AF17" i="11"/>
  <c r="AF15" i="11"/>
  <c r="AF13" i="11"/>
  <c r="AF11" i="11"/>
  <c r="AF9" i="11"/>
  <c r="AF8" i="11"/>
  <c r="AF7" i="11"/>
  <c r="AF5" i="11"/>
  <c r="AF34" i="12"/>
  <c r="AF32" i="12"/>
  <c r="AD28" i="12"/>
  <c r="AF24" i="12"/>
  <c r="AD34" i="11"/>
  <c r="AC34" i="11"/>
  <c r="AD32" i="11"/>
  <c r="AC32" i="11"/>
  <c r="AD30" i="11"/>
  <c r="AC30" i="11"/>
  <c r="AD28" i="11"/>
  <c r="AC28" i="11"/>
  <c r="AD26" i="11"/>
  <c r="AC26" i="11"/>
  <c r="AD24" i="11"/>
  <c r="AC24" i="11"/>
  <c r="AD22" i="11"/>
  <c r="AC22" i="11"/>
  <c r="AD20" i="11"/>
  <c r="AC20" i="11"/>
  <c r="AD18" i="11"/>
  <c r="AC18" i="11"/>
  <c r="AD16" i="11"/>
  <c r="AC16" i="11"/>
  <c r="AD14" i="11"/>
  <c r="AC14" i="11"/>
  <c r="AD12" i="11"/>
  <c r="AC12" i="11"/>
  <c r="AD10" i="11"/>
  <c r="AC10" i="11"/>
  <c r="AD33" i="12"/>
  <c r="AC33" i="12"/>
  <c r="AD31" i="12"/>
  <c r="AC31" i="12"/>
  <c r="AD29" i="12"/>
  <c r="AC29" i="12"/>
  <c r="AD27" i="12"/>
  <c r="AC27" i="12"/>
  <c r="G35" i="12"/>
  <c r="C13" i="15" s="1"/>
  <c r="F35" i="12"/>
  <c r="AD25" i="12"/>
  <c r="AC25" i="12"/>
  <c r="L35" i="12"/>
  <c r="M35" i="12" s="1"/>
  <c r="E13" i="15" s="1"/>
  <c r="AD24" i="12"/>
  <c r="AC24" i="12"/>
  <c r="AD23" i="12"/>
  <c r="AC23" i="12"/>
  <c r="AF22" i="12"/>
  <c r="P35" i="12"/>
  <c r="Q35" i="12" s="1"/>
  <c r="F13" i="15" s="1"/>
  <c r="AC22" i="12"/>
  <c r="C35" i="12"/>
  <c r="Z21" i="12"/>
  <c r="Y35" i="12"/>
  <c r="Z35" i="12" s="1"/>
  <c r="I13" i="15" s="1"/>
  <c r="AF35" i="11"/>
  <c r="AD33" i="11"/>
  <c r="AD31" i="11"/>
  <c r="AD29" i="11"/>
  <c r="AD27" i="11"/>
  <c r="AD25" i="11"/>
  <c r="AD23" i="11"/>
  <c r="AD21" i="11"/>
  <c r="AD19" i="11"/>
  <c r="AD17" i="11"/>
  <c r="AD15" i="11"/>
  <c r="AD13" i="11"/>
  <c r="AD11" i="11"/>
  <c r="AD9" i="11"/>
  <c r="AD7" i="11"/>
  <c r="AD34" i="12"/>
  <c r="AD32" i="12"/>
  <c r="AD20" i="12"/>
  <c r="AC20" i="12"/>
  <c r="AD18" i="12"/>
  <c r="AC18" i="12"/>
  <c r="AD16" i="12"/>
  <c r="AC16" i="12"/>
  <c r="AD14" i="12"/>
  <c r="AC14" i="12"/>
  <c r="AD12" i="12"/>
  <c r="AC12" i="12"/>
  <c r="AD10" i="12"/>
  <c r="AC10" i="12"/>
  <c r="AD8" i="12"/>
  <c r="AC8" i="12"/>
  <c r="AC6" i="12"/>
  <c r="D34" i="5"/>
  <c r="AD34" i="5" s="1"/>
  <c r="AC34" i="5"/>
  <c r="D32" i="5"/>
  <c r="AD32" i="5" s="1"/>
  <c r="AC32" i="5"/>
  <c r="T31" i="5"/>
  <c r="AF31" i="5" s="1"/>
  <c r="S36" i="5"/>
  <c r="G31" i="5"/>
  <c r="G36" i="5" s="1"/>
  <c r="C14" i="15" s="1"/>
  <c r="F36" i="5"/>
  <c r="Q30" i="5"/>
  <c r="Q36" i="5" s="1"/>
  <c r="F14" i="15" s="1"/>
  <c r="P36" i="5"/>
  <c r="D30" i="5"/>
  <c r="AC30" i="5"/>
  <c r="C36" i="5"/>
  <c r="Z29" i="5"/>
  <c r="Y36" i="5"/>
  <c r="AF20" i="12"/>
  <c r="AF19" i="12"/>
  <c r="AF18" i="12"/>
  <c r="AF17" i="12"/>
  <c r="AF16" i="12"/>
  <c r="AF15" i="12"/>
  <c r="AF14" i="12"/>
  <c r="AF13" i="12"/>
  <c r="AF12" i="12"/>
  <c r="AF11" i="12"/>
  <c r="AF10" i="12"/>
  <c r="AF9" i="12"/>
  <c r="AF8" i="12"/>
  <c r="AF7" i="12"/>
  <c r="AF6" i="12"/>
  <c r="AF5" i="12"/>
  <c r="AF35" i="5"/>
  <c r="AF34" i="5"/>
  <c r="AF33" i="5"/>
  <c r="AF32" i="5"/>
  <c r="M31" i="5"/>
  <c r="M36" i="5" s="1"/>
  <c r="E14" i="15" s="1"/>
  <c r="L36" i="5"/>
  <c r="W30" i="5"/>
  <c r="W36" i="5" s="1"/>
  <c r="H14" i="15" s="1"/>
  <c r="V36" i="5"/>
  <c r="J30" i="5"/>
  <c r="J36" i="5" s="1"/>
  <c r="D14" i="15" s="1"/>
  <c r="I36" i="5"/>
  <c r="AC35" i="11"/>
  <c r="AB34" i="11"/>
  <c r="AC33" i="11"/>
  <c r="AB32" i="11"/>
  <c r="AC31" i="11"/>
  <c r="AB30" i="11"/>
  <c r="AC29" i="11"/>
  <c r="AB28" i="11"/>
  <c r="AC27" i="11"/>
  <c r="AB26" i="11"/>
  <c r="AC25" i="11"/>
  <c r="AB24" i="11"/>
  <c r="AC23" i="11"/>
  <c r="AB22" i="11"/>
  <c r="AC21" i="11"/>
  <c r="AB20" i="11"/>
  <c r="AC19" i="11"/>
  <c r="AB18" i="11"/>
  <c r="AC17" i="11"/>
  <c r="AB16" i="11"/>
  <c r="AC15" i="11"/>
  <c r="AB14" i="11"/>
  <c r="AC13" i="11"/>
  <c r="AB12" i="11"/>
  <c r="AC11" i="11"/>
  <c r="AB10" i="11"/>
  <c r="AC9" i="11"/>
  <c r="AC34" i="12"/>
  <c r="AB33" i="12"/>
  <c r="AC32" i="12"/>
  <c r="AB31" i="12"/>
  <c r="AD19" i="12"/>
  <c r="AD15" i="12"/>
  <c r="AD11" i="12"/>
  <c r="AD7" i="12"/>
  <c r="AD35" i="5"/>
  <c r="AD33" i="5"/>
  <c r="AD31" i="5"/>
  <c r="D27" i="5"/>
  <c r="AD27" i="5" s="1"/>
  <c r="AC27" i="5"/>
  <c r="D25" i="5"/>
  <c r="AD25" i="5" s="1"/>
  <c r="AC25" i="5"/>
  <c r="D23" i="5"/>
  <c r="AD23" i="5" s="1"/>
  <c r="AC23" i="5"/>
  <c r="D21" i="5"/>
  <c r="AD21" i="5" s="1"/>
  <c r="AC21" i="5"/>
  <c r="D19" i="5"/>
  <c r="AD19" i="5" s="1"/>
  <c r="AC19" i="5"/>
  <c r="D5" i="5"/>
  <c r="AC5" i="5"/>
  <c r="AF27" i="5"/>
  <c r="AD26" i="5"/>
  <c r="AF25" i="5"/>
  <c r="AD24" i="5"/>
  <c r="AF23" i="5"/>
  <c r="AD22" i="5"/>
  <c r="AF21" i="5"/>
  <c r="AF20" i="5"/>
  <c r="AF19" i="5"/>
  <c r="AD18" i="5"/>
  <c r="AD16" i="5"/>
  <c r="AD14" i="5"/>
  <c r="AD12" i="5"/>
  <c r="AD10" i="5"/>
  <c r="AD8" i="5"/>
  <c r="AD6" i="5"/>
  <c r="AF5" i="5"/>
  <c r="D17" i="5"/>
  <c r="AD17" i="5" s="1"/>
  <c r="AC17" i="5"/>
  <c r="D15" i="5"/>
  <c r="AD15" i="5" s="1"/>
  <c r="AC15" i="5"/>
  <c r="D13" i="5"/>
  <c r="AD13" i="5" s="1"/>
  <c r="AC13" i="5"/>
  <c r="D11" i="5"/>
  <c r="AD11" i="5" s="1"/>
  <c r="AC11" i="5"/>
  <c r="D9" i="5"/>
  <c r="AD9" i="5" s="1"/>
  <c r="AC9" i="5"/>
  <c r="D7" i="5"/>
  <c r="AD7" i="5" s="1"/>
  <c r="AC7" i="5"/>
  <c r="AF28" i="5"/>
  <c r="AD20" i="5"/>
  <c r="AF6" i="5"/>
  <c r="AC28" i="5"/>
  <c r="AB27" i="5"/>
  <c r="AC26" i="5"/>
  <c r="AB25" i="5"/>
  <c r="AC24" i="5"/>
  <c r="AB23" i="5"/>
  <c r="AC22" i="5"/>
  <c r="AB21" i="5"/>
  <c r="AC18" i="5"/>
  <c r="AB5" i="5"/>
  <c r="C10" i="15" l="1"/>
  <c r="C11" i="15"/>
  <c r="AD19" i="7"/>
  <c r="AD23" i="7"/>
  <c r="AD27" i="7"/>
  <c r="AD31" i="7"/>
  <c r="AF35" i="6"/>
  <c r="AF20" i="6"/>
  <c r="AD8" i="7"/>
  <c r="AD16" i="7"/>
  <c r="AF28" i="6"/>
  <c r="AD22" i="6"/>
  <c r="AD7" i="6"/>
  <c r="AD28" i="6"/>
  <c r="AD23" i="6"/>
  <c r="AD33" i="6"/>
  <c r="AD23" i="1"/>
  <c r="AD27" i="1"/>
  <c r="AD31" i="1"/>
  <c r="AD35" i="1"/>
  <c r="AF11" i="6"/>
  <c r="AF32" i="6"/>
  <c r="AD11" i="6"/>
  <c r="AF25" i="6"/>
  <c r="AF34" i="6"/>
  <c r="AF19" i="6"/>
  <c r="AF29" i="6"/>
  <c r="AF10" i="6"/>
  <c r="AF26" i="6"/>
  <c r="AD10" i="6"/>
  <c r="AF23" i="6"/>
  <c r="AF30" i="6"/>
  <c r="AD9" i="6"/>
  <c r="AD26" i="6"/>
  <c r="AD20" i="6"/>
  <c r="AF6" i="6"/>
  <c r="AF15" i="6"/>
  <c r="AF18" i="6"/>
  <c r="AF27" i="6"/>
  <c r="AD32" i="6"/>
  <c r="AD8" i="6"/>
  <c r="AD14" i="6"/>
  <c r="AD17" i="6"/>
  <c r="AD19" i="6"/>
  <c r="AD27" i="6"/>
  <c r="AD29" i="6"/>
  <c r="AD35" i="6"/>
  <c r="AD17" i="7"/>
  <c r="AD21" i="7"/>
  <c r="AD25" i="7"/>
  <c r="AD29" i="7"/>
  <c r="AD33" i="7"/>
  <c r="AD5" i="6"/>
  <c r="AF7" i="6"/>
  <c r="AF14" i="6"/>
  <c r="AF16" i="6"/>
  <c r="AD30" i="6"/>
  <c r="AD34" i="6"/>
  <c r="AD15" i="6"/>
  <c r="AD24" i="6"/>
  <c r="AF31" i="6"/>
  <c r="AF33" i="6"/>
  <c r="Q36" i="6"/>
  <c r="F7" i="15" s="1"/>
  <c r="Z36" i="6"/>
  <c r="I7" i="15" s="1"/>
  <c r="AD25" i="6"/>
  <c r="AD9" i="1"/>
  <c r="AD13" i="1"/>
  <c r="AD17" i="1"/>
  <c r="AD21" i="1"/>
  <c r="AD25" i="1"/>
  <c r="AD29" i="1"/>
  <c r="AD33" i="1"/>
  <c r="AD12" i="6"/>
  <c r="AD16" i="6"/>
  <c r="AF24" i="6"/>
  <c r="M36" i="6"/>
  <c r="E7" i="15" s="1"/>
  <c r="AD31" i="6"/>
  <c r="AD13" i="6"/>
  <c r="AD7" i="1"/>
  <c r="AD11" i="1"/>
  <c r="AD15" i="1"/>
  <c r="AC34" i="4"/>
  <c r="AD19" i="1"/>
  <c r="J35" i="7"/>
  <c r="D8" i="15" s="1"/>
  <c r="W35" i="7"/>
  <c r="H8" i="15" s="1"/>
  <c r="G35" i="7"/>
  <c r="C8" i="15" s="1"/>
  <c r="T35" i="7"/>
  <c r="G8" i="15" s="1"/>
  <c r="J36" i="6"/>
  <c r="D7" i="15" s="1"/>
  <c r="W36" i="6"/>
  <c r="H7" i="15" s="1"/>
  <c r="G36" i="6"/>
  <c r="C7" i="15" s="1"/>
  <c r="Q36" i="1"/>
  <c r="F5" i="15" s="1"/>
  <c r="Q35" i="7"/>
  <c r="F8" i="15" s="1"/>
  <c r="M36" i="13"/>
  <c r="E4" i="15" s="1"/>
  <c r="Z36" i="13"/>
  <c r="I4" i="15" s="1"/>
  <c r="AD21" i="6"/>
  <c r="M36" i="1"/>
  <c r="E5" i="15" s="1"/>
  <c r="Z36" i="1"/>
  <c r="I5" i="15" s="1"/>
  <c r="AD5" i="1"/>
  <c r="AD8" i="1"/>
  <c r="AD10" i="1"/>
  <c r="AD12" i="1"/>
  <c r="AD14" i="1"/>
  <c r="AD16" i="1"/>
  <c r="AD18" i="1"/>
  <c r="AD20" i="1"/>
  <c r="AD22" i="1"/>
  <c r="AD24" i="1"/>
  <c r="AD26" i="1"/>
  <c r="AD28" i="1"/>
  <c r="AD30" i="1"/>
  <c r="AD32" i="1"/>
  <c r="AD34" i="1"/>
  <c r="AD6" i="7"/>
  <c r="T36" i="1"/>
  <c r="G5" i="15" s="1"/>
  <c r="J36" i="1"/>
  <c r="D5" i="15" s="1"/>
  <c r="W36" i="1"/>
  <c r="H5" i="15" s="1"/>
  <c r="C36" i="13"/>
  <c r="AC8" i="13"/>
  <c r="AD7" i="7"/>
  <c r="AD14" i="7"/>
  <c r="AD15" i="7"/>
  <c r="AD18" i="7"/>
  <c r="AD20" i="7"/>
  <c r="AD22" i="7"/>
  <c r="AD24" i="7"/>
  <c r="AD26" i="7"/>
  <c r="AD28" i="7"/>
  <c r="AD30" i="7"/>
  <c r="AD32" i="7"/>
  <c r="AD34" i="7"/>
  <c r="J35" i="14"/>
  <c r="D3" i="15" s="1"/>
  <c r="G35" i="14"/>
  <c r="C3" i="15" s="1"/>
  <c r="M35" i="7"/>
  <c r="E8" i="15" s="1"/>
  <c r="Z35" i="7"/>
  <c r="I8" i="15" s="1"/>
  <c r="AD5" i="8"/>
  <c r="AD30" i="5"/>
  <c r="AD22" i="12"/>
  <c r="AC35" i="7"/>
  <c r="AF22" i="6"/>
  <c r="D8" i="13"/>
  <c r="AD8" i="13" s="1"/>
  <c r="D35" i="14"/>
  <c r="AD5" i="14"/>
  <c r="D5" i="13"/>
  <c r="AC5" i="13"/>
  <c r="D6" i="13"/>
  <c r="AD6" i="13" s="1"/>
  <c r="AC6" i="13"/>
  <c r="D7" i="13"/>
  <c r="AD7" i="13" s="1"/>
  <c r="AC7" i="13"/>
  <c r="D9" i="13"/>
  <c r="AD9" i="13" s="1"/>
  <c r="AC9" i="13"/>
  <c r="D10" i="13"/>
  <c r="AD10" i="13" s="1"/>
  <c r="AC10" i="13"/>
  <c r="D11" i="13"/>
  <c r="AD11" i="13" s="1"/>
  <c r="AC11" i="13"/>
  <c r="D12" i="13"/>
  <c r="AD12" i="13" s="1"/>
  <c r="AC12" i="13"/>
  <c r="D13" i="13"/>
  <c r="AD13" i="13" s="1"/>
  <c r="AC13" i="13"/>
  <c r="D14" i="13"/>
  <c r="AD14" i="13" s="1"/>
  <c r="AC14" i="13"/>
  <c r="D15" i="13"/>
  <c r="AD15" i="13" s="1"/>
  <c r="AC15" i="13"/>
  <c r="D16" i="13"/>
  <c r="AD16" i="13" s="1"/>
  <c r="AC16" i="13"/>
  <c r="D17" i="13"/>
  <c r="AD17" i="13" s="1"/>
  <c r="AC17" i="13"/>
  <c r="D18" i="13"/>
  <c r="AD18" i="13" s="1"/>
  <c r="AC18" i="13"/>
  <c r="D19" i="13"/>
  <c r="AD19" i="13" s="1"/>
  <c r="AC19" i="13"/>
  <c r="D20" i="13"/>
  <c r="AD20" i="13" s="1"/>
  <c r="AC20" i="13"/>
  <c r="D21" i="13"/>
  <c r="AD21" i="13" s="1"/>
  <c r="AC21" i="13"/>
  <c r="D22" i="13"/>
  <c r="AD22" i="13" s="1"/>
  <c r="AC22" i="13"/>
  <c r="D23" i="13"/>
  <c r="AD23" i="13" s="1"/>
  <c r="AC23" i="13"/>
  <c r="D24" i="13"/>
  <c r="AD24" i="13" s="1"/>
  <c r="AC24" i="13"/>
  <c r="D25" i="13"/>
  <c r="AD25" i="13" s="1"/>
  <c r="AC25" i="13"/>
  <c r="D26" i="13"/>
  <c r="AD26" i="13" s="1"/>
  <c r="AC26" i="13"/>
  <c r="D27" i="13"/>
  <c r="AD27" i="13" s="1"/>
  <c r="AC27" i="13"/>
  <c r="D28" i="13"/>
  <c r="AD28" i="13" s="1"/>
  <c r="AC28" i="13"/>
  <c r="D29" i="13"/>
  <c r="AD29" i="13" s="1"/>
  <c r="AC29" i="13"/>
  <c r="D30" i="13"/>
  <c r="AD30" i="13" s="1"/>
  <c r="AC30" i="13"/>
  <c r="D31" i="13"/>
  <c r="AD31" i="13" s="1"/>
  <c r="AC31" i="13"/>
  <c r="D32" i="13"/>
  <c r="AD32" i="13" s="1"/>
  <c r="AC32" i="13"/>
  <c r="D33" i="13"/>
  <c r="AD33" i="13" s="1"/>
  <c r="AC33" i="13"/>
  <c r="D34" i="13"/>
  <c r="AD34" i="13" s="1"/>
  <c r="AC34" i="13"/>
  <c r="D35" i="13"/>
  <c r="AD35" i="13" s="1"/>
  <c r="AC35" i="13"/>
  <c r="J36" i="13"/>
  <c r="D4" i="15" s="1"/>
  <c r="Q36" i="13"/>
  <c r="F4" i="15" s="1"/>
  <c r="W36" i="13"/>
  <c r="H4" i="15" s="1"/>
  <c r="AD17" i="14"/>
  <c r="G36" i="13"/>
  <c r="C4" i="15" s="1"/>
  <c r="T36" i="13"/>
  <c r="G4" i="15" s="1"/>
  <c r="AC36" i="1"/>
  <c r="AD36" i="1" s="1"/>
  <c r="D35" i="7"/>
  <c r="AD5" i="7"/>
  <c r="D34" i="4"/>
  <c r="AD6" i="4"/>
  <c r="D36" i="1"/>
  <c r="B5" i="15" s="1"/>
  <c r="AD6" i="1"/>
  <c r="AC36" i="5"/>
  <c r="AD36" i="5" s="1"/>
  <c r="AD18" i="9"/>
  <c r="AD5" i="5"/>
  <c r="D36" i="5"/>
  <c r="B14" i="15" s="1"/>
  <c r="AF29" i="5"/>
  <c r="Z36" i="5"/>
  <c r="I14" i="15" s="1"/>
  <c r="AC5" i="9"/>
  <c r="C35" i="9"/>
  <c r="D35" i="9" s="1"/>
  <c r="B10" i="15" s="1"/>
  <c r="D5" i="9"/>
  <c r="AD5" i="9" s="1"/>
  <c r="AC7" i="9"/>
  <c r="D7" i="9"/>
  <c r="AD7" i="9" s="1"/>
  <c r="AC9" i="9"/>
  <c r="D9" i="9"/>
  <c r="AD9" i="9" s="1"/>
  <c r="AC11" i="9"/>
  <c r="D11" i="9"/>
  <c r="AD11" i="9" s="1"/>
  <c r="AC13" i="9"/>
  <c r="D13" i="9"/>
  <c r="AD13" i="9" s="1"/>
  <c r="AC15" i="9"/>
  <c r="D15" i="9"/>
  <c r="AD15" i="9" s="1"/>
  <c r="D18" i="6"/>
  <c r="AD18" i="6" s="1"/>
  <c r="AC18" i="6"/>
  <c r="AC36" i="6" s="1"/>
  <c r="AD36" i="6" s="1"/>
  <c r="C36" i="6"/>
  <c r="T36" i="5"/>
  <c r="G14" i="15" s="1"/>
  <c r="AC35" i="12"/>
  <c r="AF35" i="12"/>
  <c r="AC36" i="11"/>
  <c r="AD36" i="11" s="1"/>
  <c r="T36" i="6"/>
  <c r="G7" i="15" s="1"/>
  <c r="AD6" i="12"/>
  <c r="D35" i="12"/>
  <c r="AD6" i="6"/>
  <c r="AF30" i="5"/>
  <c r="AF36" i="11"/>
  <c r="AF21" i="12"/>
  <c r="AF35" i="9"/>
  <c r="AC36" i="8"/>
  <c r="AD36" i="8" s="1"/>
  <c r="AF21" i="6"/>
  <c r="AF36" i="5" l="1"/>
  <c r="E17" i="15"/>
  <c r="H17" i="15"/>
  <c r="F17" i="15"/>
  <c r="I17" i="15"/>
  <c r="AF36" i="6"/>
  <c r="G17" i="15"/>
  <c r="AD35" i="14"/>
  <c r="B3" i="15"/>
  <c r="D17" i="15"/>
  <c r="AD35" i="12"/>
  <c r="B13" i="15"/>
  <c r="AD34" i="4"/>
  <c r="B6" i="15"/>
  <c r="AD35" i="7"/>
  <c r="B8" i="15"/>
  <c r="C17" i="15"/>
  <c r="AD5" i="13"/>
  <c r="AD36" i="13" s="1"/>
  <c r="D36" i="13"/>
  <c r="B4" i="15" s="1"/>
  <c r="D36" i="6"/>
  <c r="B7" i="15" s="1"/>
  <c r="AC36" i="13"/>
  <c r="AC35" i="9"/>
  <c r="AD35" i="9" s="1"/>
  <c r="B17" i="15" l="1"/>
</calcChain>
</file>

<file path=xl/comments1.xml><?xml version="1.0" encoding="utf-8"?>
<comments xmlns="http://schemas.openxmlformats.org/spreadsheetml/2006/main">
  <authors>
    <author>admin</author>
  </authors>
  <commentList>
    <comment ref="E34" authorId="0" shapeId="0">
      <text>
        <r>
          <rPr>
            <b/>
            <sz val="9"/>
            <color indexed="81"/>
            <rFont val="Tahoma"/>
            <family val="2"/>
          </rPr>
          <t>Eacker:</t>
        </r>
        <r>
          <rPr>
            <sz val="9"/>
            <color indexed="81"/>
            <rFont val="Tahoma"/>
            <family val="2"/>
          </rPr>
          <t xml:space="preserve">
Water moved to Tani from EGL#4</t>
        </r>
      </text>
    </comment>
  </commentList>
</comments>
</file>

<file path=xl/sharedStrings.xml><?xml version="1.0" encoding="utf-8"?>
<sst xmlns="http://schemas.openxmlformats.org/spreadsheetml/2006/main" count="470" uniqueCount="16">
  <si>
    <t>gallons</t>
  </si>
  <si>
    <t>MGD</t>
  </si>
  <si>
    <t>AF</t>
  </si>
  <si>
    <t>Standley Pipeline to TTP</t>
  </si>
  <si>
    <t>TTP Production</t>
  </si>
  <si>
    <t>Denver Treated Lease</t>
  </si>
  <si>
    <t>ERWPS to TTP</t>
  </si>
  <si>
    <t>TTP Backwash</t>
  </si>
  <si>
    <t>TOTAL PRODUCTION</t>
  </si>
  <si>
    <t>Water From Standley to EGL #4</t>
  </si>
  <si>
    <t>WBTP Production</t>
  </si>
  <si>
    <t>ERWPS to WBTP</t>
  </si>
  <si>
    <t>WRWPS to WBTP</t>
  </si>
  <si>
    <t>WBTP Backwash</t>
  </si>
  <si>
    <t>NEED TO RELINK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</si>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</sst>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d\-mmm;@"/>
  </numFmts>
  <fonts count="6" x14ac:knownFonts="1">
    <font>
      <sz val="10"/>
      <name val="Arial"/>
    </font>
    <font>
      <sz val="8"/>
      <name val="Arial"/>
      <family val="2"/>
    </font>
    <font>
      <b/>
      <sz val="10"/>
      <color indexed="10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/>
  </cellStyleXfs>
  <cellXfs count="64">
    <xf numFmtId="0" fontId="0" fillId="0" borderId="0" xfId="0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applyFill="1"/>
    <xf numFmtId="0" fontId="0" fillId="0" borderId="1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3" fontId="0" fillId="0" borderId="1" xfId="0" applyNumberFormat="1" applyFill="1" applyBorder="1"/>
    <xf numFmtId="2" fontId="0" fillId="0" borderId="2" xfId="0" applyNumberFormat="1" applyFill="1" applyBorder="1"/>
    <xf numFmtId="2" fontId="0" fillId="0" borderId="4" xfId="0" applyNumberFormat="1" applyFill="1" applyBorder="1"/>
    <xf numFmtId="2" fontId="0" fillId="0" borderId="3" xfId="0" applyNumberFormat="1" applyFill="1" applyBorder="1"/>
    <xf numFmtId="2" fontId="0" fillId="0" borderId="5" xfId="0" applyNumberFormat="1" applyFill="1" applyBorder="1"/>
    <xf numFmtId="16" fontId="0" fillId="0" borderId="0" xfId="0" applyNumberFormat="1" applyBorder="1"/>
    <xf numFmtId="3" fontId="0" fillId="0" borderId="0" xfId="0" applyNumberFormat="1" applyFill="1" applyBorder="1"/>
    <xf numFmtId="0" fontId="0" fillId="0" borderId="0" xfId="0" applyFill="1" applyBorder="1"/>
    <xf numFmtId="2" fontId="0" fillId="0" borderId="0" xfId="0" applyNumberFormat="1" applyFill="1" applyBorder="1"/>
    <xf numFmtId="2" fontId="0" fillId="0" borderId="0" xfId="0" applyNumberFormat="1" applyBorder="1"/>
    <xf numFmtId="2" fontId="0" fillId="0" borderId="2" xfId="0" applyNumberFormat="1" applyFill="1" applyBorder="1" applyAlignment="1">
      <alignment horizontal="center"/>
    </xf>
    <xf numFmtId="2" fontId="0" fillId="0" borderId="0" xfId="0" applyNumberFormat="1"/>
    <xf numFmtId="0" fontId="0" fillId="0" borderId="0" xfId="0" applyFill="1" applyBorder="1" applyAlignment="1">
      <alignment horizontal="center"/>
    </xf>
    <xf numFmtId="0" fontId="0" fillId="0" borderId="0" xfId="0" applyBorder="1"/>
    <xf numFmtId="164" fontId="0" fillId="0" borderId="0" xfId="0" applyNumberFormat="1" applyFill="1" applyBorder="1"/>
    <xf numFmtId="0" fontId="0" fillId="0" borderId="0" xfId="0" applyAlignment="1"/>
    <xf numFmtId="0" fontId="0" fillId="0" borderId="6" xfId="0" applyFill="1" applyBorder="1"/>
    <xf numFmtId="2" fontId="0" fillId="0" borderId="0" xfId="0" applyNumberFormat="1" applyFill="1"/>
    <xf numFmtId="0" fontId="0" fillId="0" borderId="0" xfId="0" applyFill="1" applyAlignment="1"/>
    <xf numFmtId="0" fontId="0" fillId="0" borderId="0" xfId="0" applyFill="1" applyAlignment="1">
      <alignment horizontal="center"/>
    </xf>
    <xf numFmtId="16" fontId="0" fillId="0" borderId="0" xfId="0" applyNumberFormat="1" applyFill="1"/>
    <xf numFmtId="16" fontId="0" fillId="0" borderId="0" xfId="0" applyNumberFormat="1" applyFill="1" applyBorder="1"/>
    <xf numFmtId="3" fontId="0" fillId="0" borderId="7" xfId="0" applyNumberFormat="1" applyFill="1" applyBorder="1"/>
    <xf numFmtId="2" fontId="0" fillId="0" borderId="6" xfId="0" applyNumberFormat="1" applyFill="1" applyBorder="1"/>
    <xf numFmtId="0" fontId="0" fillId="0" borderId="8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0" fillId="0" borderId="11" xfId="0" applyBorder="1" applyAlignment="1">
      <alignment horizontal="center" wrapText="1"/>
    </xf>
    <xf numFmtId="0" fontId="0" fillId="0" borderId="8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0" fillId="0" borderId="11" xfId="0" applyBorder="1"/>
    <xf numFmtId="2" fontId="0" fillId="0" borderId="11" xfId="0" applyNumberFormat="1" applyBorder="1"/>
    <xf numFmtId="0" fontId="3" fillId="0" borderId="0" xfId="0" applyFont="1" applyFill="1" applyAlignment="1"/>
    <xf numFmtId="0" fontId="3" fillId="2" borderId="0" xfId="0" applyFont="1" applyFill="1" applyAlignment="1"/>
    <xf numFmtId="0" fontId="0" fillId="2" borderId="0" xfId="0" applyFill="1" applyAlignment="1"/>
    <xf numFmtId="3" fontId="0" fillId="3" borderId="1" xfId="0" applyNumberFormat="1" applyFill="1" applyBorder="1"/>
    <xf numFmtId="0" fontId="2" fillId="3" borderId="0" xfId="0" applyFont="1" applyFill="1"/>
    <xf numFmtId="0" fontId="2" fillId="0" borderId="0" xfId="0" applyFont="1" applyFill="1"/>
    <xf numFmtId="0" fontId="3" fillId="0" borderId="0" xfId="1" applyAlignment="1">
      <alignment horizontal="left"/>
    </xf>
    <xf numFmtId="0" fontId="3" fillId="0" borderId="0" xfId="1" applyFill="1" applyBorder="1" applyAlignment="1">
      <alignment horizontal="left"/>
    </xf>
    <xf numFmtId="0" fontId="3" fillId="0" borderId="0" xfId="1" applyAlignment="1">
      <alignment horizontal="center"/>
    </xf>
    <xf numFmtId="0" fontId="3" fillId="0" borderId="0" xfId="1" applyFont="1" applyFill="1" applyBorder="1" applyAlignment="1">
      <alignment horizontal="center"/>
    </xf>
    <xf numFmtId="0" fontId="3" fillId="0" borderId="0" xfId="1" applyFill="1" applyBorder="1" applyAlignment="1">
      <alignment horizontal="center"/>
    </xf>
    <xf numFmtId="17" fontId="3" fillId="0" borderId="0" xfId="1" applyNumberFormat="1"/>
    <xf numFmtId="2" fontId="3" fillId="0" borderId="0" xfId="1" applyNumberFormat="1"/>
    <xf numFmtId="0" fontId="3" fillId="0" borderId="0" xfId="1"/>
    <xf numFmtId="0" fontId="3" fillId="0" borderId="0" xfId="1" applyFont="1"/>
    <xf numFmtId="2" fontId="0" fillId="0" borderId="18" xfId="0" applyNumberFormat="1" applyFill="1" applyBorder="1"/>
    <xf numFmtId="2" fontId="0" fillId="3" borderId="2" xfId="0" applyNumberFormat="1" applyFill="1" applyBorder="1"/>
    <xf numFmtId="2" fontId="0" fillId="3" borderId="3" xfId="0" applyNumberFormat="1" applyFill="1" applyBorder="1"/>
    <xf numFmtId="0" fontId="0" fillId="0" borderId="12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0" fillId="0" borderId="17" xfId="0" applyFill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colors>
    <mruColors>
      <color rgb="FFFDFD6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5.xml"/><Relationship Id="rId26" Type="http://schemas.openxmlformats.org/officeDocument/2006/relationships/externalLink" Target="externalLinks/externalLink13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8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4.xml"/><Relationship Id="rId25" Type="http://schemas.openxmlformats.org/officeDocument/2006/relationships/externalLink" Target="externalLinks/externalLink12.xml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externalLink" Target="externalLinks/externalLink7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1.xml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23" Type="http://schemas.openxmlformats.org/officeDocument/2006/relationships/externalLink" Target="externalLinks/externalLink10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6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openxmlformats.org/officeDocument/2006/relationships/externalLink" Target="externalLinks/externalLink9.xml"/><Relationship Id="rId27" Type="http://schemas.openxmlformats.org/officeDocument/2006/relationships/theme" Target="theme/theme1.xml"/><Relationship Id="rId30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ID/CWTP/Production%202014/November%202014%20Shift%20Shee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ID/CWTP/Production%202014/December%202014%20Shift%20Sheet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ID/CWTP/Production%202015/January%202015%20Shift%20Sheet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ID/CWTP/Production%202015/February%202015%20Shift%20Sheet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ID/CWTP/Production%202015/March%202015%20Shift%20Sheet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ID/CWTP/Production%202015/April%202015%20Shift%20Sheet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ID/CWTP/Production%202015/May%202015%20Shift%20Sheet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ID/CWTP/Production%202015/June%202015%20Shift%20Sheet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ID/CWTP/Production%202015/July%202015%20Shift%20Sheet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ID/CWTP/Production%202015/August%202015%20Shift%20Sheet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ID/CWTP/Production%202015/September%202015%20Shift%20Sheet.xlsm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ID/CWTP/Production%202015/October%202015%20Shift%20Sheet.xlsm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ID/WR/Accounting/WY2016/Production/Plant%20Production%20201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Nov Pro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>
        <row r="4">
          <cell r="C4">
            <v>0</v>
          </cell>
          <cell r="D4">
            <v>0</v>
          </cell>
          <cell r="E4">
            <v>6000000</v>
          </cell>
          <cell r="F4">
            <v>6900000</v>
          </cell>
          <cell r="H4">
            <v>0</v>
          </cell>
          <cell r="I4">
            <v>13000000</v>
          </cell>
        </row>
        <row r="5">
          <cell r="C5">
            <v>0</v>
          </cell>
          <cell r="D5">
            <v>0</v>
          </cell>
          <cell r="E5">
            <v>6000000</v>
          </cell>
          <cell r="F5">
            <v>7370000</v>
          </cell>
          <cell r="H5">
            <v>0</v>
          </cell>
          <cell r="I5">
            <v>13700000.000000728</v>
          </cell>
        </row>
        <row r="6">
          <cell r="C6">
            <v>0</v>
          </cell>
          <cell r="D6">
            <v>0</v>
          </cell>
          <cell r="E6">
            <v>6000000</v>
          </cell>
          <cell r="F6">
            <v>7000000</v>
          </cell>
          <cell r="H6">
            <v>0</v>
          </cell>
          <cell r="I6">
            <v>12799999.999999272</v>
          </cell>
        </row>
        <row r="7">
          <cell r="C7">
            <v>0</v>
          </cell>
          <cell r="D7">
            <v>0</v>
          </cell>
          <cell r="E7">
            <v>6000000</v>
          </cell>
          <cell r="F7">
            <v>7010000</v>
          </cell>
          <cell r="H7">
            <v>0</v>
          </cell>
          <cell r="I7">
            <v>12600000.000002183</v>
          </cell>
        </row>
        <row r="8">
          <cell r="C8">
            <v>0</v>
          </cell>
          <cell r="D8">
            <v>0</v>
          </cell>
          <cell r="E8">
            <v>6000000</v>
          </cell>
          <cell r="F8">
            <v>6890000</v>
          </cell>
          <cell r="H8">
            <v>0</v>
          </cell>
          <cell r="I8">
            <v>12799999.999999272</v>
          </cell>
        </row>
        <row r="9">
          <cell r="C9">
            <v>0</v>
          </cell>
          <cell r="D9">
            <v>0</v>
          </cell>
          <cell r="E9">
            <v>5000000</v>
          </cell>
          <cell r="F9">
            <v>6260000</v>
          </cell>
          <cell r="H9">
            <v>0</v>
          </cell>
          <cell r="I9">
            <v>11500000</v>
          </cell>
        </row>
        <row r="10">
          <cell r="C10">
            <v>0</v>
          </cell>
          <cell r="D10">
            <v>0</v>
          </cell>
          <cell r="E10">
            <v>6000000</v>
          </cell>
          <cell r="F10">
            <v>6210000</v>
          </cell>
          <cell r="H10">
            <v>0</v>
          </cell>
          <cell r="I10">
            <v>11099999.999998545</v>
          </cell>
        </row>
        <row r="11">
          <cell r="C11">
            <v>0</v>
          </cell>
          <cell r="D11">
            <v>0</v>
          </cell>
          <cell r="E11">
            <v>5000000</v>
          </cell>
          <cell r="F11">
            <v>6320000</v>
          </cell>
          <cell r="H11">
            <v>0</v>
          </cell>
          <cell r="I11">
            <v>12100000.000002183</v>
          </cell>
        </row>
        <row r="12">
          <cell r="C12">
            <v>0</v>
          </cell>
          <cell r="D12">
            <v>0</v>
          </cell>
          <cell r="E12">
            <v>6000000</v>
          </cell>
          <cell r="F12">
            <v>6280000</v>
          </cell>
          <cell r="H12">
            <v>0</v>
          </cell>
          <cell r="I12">
            <v>11599999.999998545</v>
          </cell>
        </row>
        <row r="13">
          <cell r="C13">
            <v>0</v>
          </cell>
          <cell r="D13">
            <v>0</v>
          </cell>
          <cell r="E13">
            <v>5000000</v>
          </cell>
          <cell r="F13">
            <v>6580000</v>
          </cell>
          <cell r="H13">
            <v>0</v>
          </cell>
          <cell r="I13">
            <v>12000000</v>
          </cell>
        </row>
        <row r="14">
          <cell r="C14">
            <v>0</v>
          </cell>
          <cell r="D14">
            <v>0</v>
          </cell>
          <cell r="E14">
            <v>6000000</v>
          </cell>
          <cell r="F14">
            <v>6410000</v>
          </cell>
          <cell r="H14">
            <v>0</v>
          </cell>
          <cell r="I14">
            <v>11599999.999998545</v>
          </cell>
        </row>
        <row r="15">
          <cell r="C15">
            <v>0</v>
          </cell>
          <cell r="D15">
            <v>0</v>
          </cell>
          <cell r="E15">
            <v>5000000</v>
          </cell>
          <cell r="F15">
            <v>6490000</v>
          </cell>
          <cell r="H15">
            <v>0</v>
          </cell>
          <cell r="I15">
            <v>11700000.000000728</v>
          </cell>
        </row>
        <row r="16">
          <cell r="C16">
            <v>0</v>
          </cell>
          <cell r="D16">
            <v>0</v>
          </cell>
          <cell r="E16">
            <v>6000000</v>
          </cell>
          <cell r="F16">
            <v>5890000</v>
          </cell>
          <cell r="H16">
            <v>0</v>
          </cell>
          <cell r="I16">
            <v>12400000.000001455</v>
          </cell>
        </row>
        <row r="17">
          <cell r="C17">
            <v>161000</v>
          </cell>
          <cell r="D17">
            <v>0</v>
          </cell>
          <cell r="E17">
            <v>5000000</v>
          </cell>
          <cell r="F17">
            <v>5290000</v>
          </cell>
          <cell r="H17">
            <v>0</v>
          </cell>
          <cell r="I17">
            <v>9299999.9999992717</v>
          </cell>
        </row>
        <row r="18">
          <cell r="C18">
            <v>0</v>
          </cell>
          <cell r="D18">
            <v>0</v>
          </cell>
          <cell r="E18">
            <v>6000000</v>
          </cell>
          <cell r="F18">
            <v>6830000</v>
          </cell>
          <cell r="H18">
            <v>0</v>
          </cell>
          <cell r="I18">
            <v>13000000</v>
          </cell>
        </row>
        <row r="19">
          <cell r="C19">
            <v>0</v>
          </cell>
          <cell r="D19">
            <v>0</v>
          </cell>
          <cell r="E19">
            <v>5000000</v>
          </cell>
          <cell r="F19">
            <v>6940000</v>
          </cell>
          <cell r="H19">
            <v>0</v>
          </cell>
          <cell r="I19">
            <v>11900000.000001455</v>
          </cell>
        </row>
        <row r="20">
          <cell r="C20">
            <v>3267000</v>
          </cell>
          <cell r="D20">
            <v>0</v>
          </cell>
          <cell r="E20">
            <v>6000000</v>
          </cell>
          <cell r="F20">
            <v>7180000</v>
          </cell>
          <cell r="H20">
            <v>3181999.9999999991</v>
          </cell>
          <cell r="I20">
            <v>12399999.999997817</v>
          </cell>
        </row>
        <row r="21">
          <cell r="C21">
            <v>6504000</v>
          </cell>
          <cell r="D21">
            <v>0</v>
          </cell>
          <cell r="E21">
            <v>0</v>
          </cell>
          <cell r="F21">
            <v>6220000</v>
          </cell>
          <cell r="H21">
            <v>6309999.9999999972</v>
          </cell>
          <cell r="I21">
            <v>6700000.0000007274</v>
          </cell>
        </row>
        <row r="22">
          <cell r="C22">
            <v>5075000</v>
          </cell>
          <cell r="D22">
            <v>0</v>
          </cell>
          <cell r="E22">
            <v>0</v>
          </cell>
          <cell r="F22">
            <v>5180000</v>
          </cell>
          <cell r="H22">
            <v>4880000</v>
          </cell>
          <cell r="I22">
            <v>5000000</v>
          </cell>
        </row>
        <row r="23">
          <cell r="C23">
            <v>6325000</v>
          </cell>
          <cell r="D23">
            <v>0</v>
          </cell>
          <cell r="E23">
            <v>0</v>
          </cell>
          <cell r="F23">
            <v>5050000</v>
          </cell>
          <cell r="H23">
            <v>6063000</v>
          </cell>
          <cell r="I23">
            <v>5299999.9999992726</v>
          </cell>
        </row>
        <row r="24">
          <cell r="C24">
            <v>6979000</v>
          </cell>
          <cell r="D24">
            <v>0</v>
          </cell>
          <cell r="E24">
            <v>0</v>
          </cell>
          <cell r="F24">
            <v>4990000</v>
          </cell>
          <cell r="H24">
            <v>6849000.0000000047</v>
          </cell>
          <cell r="I24">
            <v>5400000.0000014547</v>
          </cell>
        </row>
        <row r="25">
          <cell r="C25">
            <v>7032000</v>
          </cell>
          <cell r="D25">
            <v>0</v>
          </cell>
          <cell r="E25">
            <v>0</v>
          </cell>
          <cell r="F25">
            <v>6620000</v>
          </cell>
          <cell r="H25">
            <v>6631999.9999999944</v>
          </cell>
          <cell r="I25">
            <v>6899999.999997817</v>
          </cell>
        </row>
        <row r="26">
          <cell r="C26">
            <v>4976000</v>
          </cell>
          <cell r="D26">
            <v>0</v>
          </cell>
          <cell r="E26">
            <v>0</v>
          </cell>
          <cell r="F26">
            <v>5950000</v>
          </cell>
          <cell r="H26">
            <v>4642000.0000000037</v>
          </cell>
          <cell r="I26">
            <v>5900000.0000014547</v>
          </cell>
        </row>
        <row r="27">
          <cell r="C27">
            <v>6647500</v>
          </cell>
          <cell r="D27">
            <v>0</v>
          </cell>
          <cell r="E27">
            <v>0</v>
          </cell>
          <cell r="F27">
            <v>6480000</v>
          </cell>
          <cell r="H27">
            <v>6347499.9999999953</v>
          </cell>
          <cell r="I27">
            <v>6900000.0000014547</v>
          </cell>
        </row>
        <row r="28">
          <cell r="C28">
            <v>7486000</v>
          </cell>
          <cell r="D28">
            <v>0</v>
          </cell>
          <cell r="E28">
            <v>0</v>
          </cell>
          <cell r="F28">
            <v>5380000</v>
          </cell>
          <cell r="H28">
            <v>7186000</v>
          </cell>
          <cell r="I28">
            <v>5299999.9999992726</v>
          </cell>
        </row>
        <row r="29">
          <cell r="C29">
            <v>8967000</v>
          </cell>
          <cell r="D29">
            <v>0</v>
          </cell>
          <cell r="E29">
            <v>0</v>
          </cell>
          <cell r="F29">
            <v>5970000</v>
          </cell>
          <cell r="H29">
            <v>8554000</v>
          </cell>
          <cell r="I29">
            <v>5500000</v>
          </cell>
        </row>
        <row r="30">
          <cell r="C30">
            <v>5317000</v>
          </cell>
          <cell r="D30">
            <v>0</v>
          </cell>
          <cell r="E30">
            <v>0</v>
          </cell>
          <cell r="F30">
            <v>5300000</v>
          </cell>
          <cell r="H30">
            <v>4834000</v>
          </cell>
          <cell r="I30">
            <v>5799999.9999992726</v>
          </cell>
        </row>
        <row r="31">
          <cell r="C31">
            <v>5546000</v>
          </cell>
          <cell r="D31">
            <v>0</v>
          </cell>
          <cell r="E31">
            <v>0</v>
          </cell>
          <cell r="F31">
            <v>4980000</v>
          </cell>
          <cell r="H31">
            <v>5345000</v>
          </cell>
          <cell r="I31">
            <v>5400000.0000014547</v>
          </cell>
        </row>
        <row r="32">
          <cell r="C32">
            <v>6675000</v>
          </cell>
          <cell r="D32">
            <v>0</v>
          </cell>
          <cell r="E32">
            <v>0</v>
          </cell>
          <cell r="F32">
            <v>5630000</v>
          </cell>
          <cell r="H32">
            <v>6300000</v>
          </cell>
          <cell r="I32">
            <v>6000000</v>
          </cell>
        </row>
        <row r="33">
          <cell r="C33">
            <v>7166000</v>
          </cell>
          <cell r="D33">
            <v>0</v>
          </cell>
          <cell r="E33">
            <v>0</v>
          </cell>
          <cell r="F33">
            <v>5040000</v>
          </cell>
          <cell r="H33">
            <v>6824000</v>
          </cell>
          <cell r="I33">
            <v>4599999.9999985453</v>
          </cell>
        </row>
        <row r="252">
          <cell r="D252">
            <v>0</v>
          </cell>
          <cell r="H252">
            <v>1048999</v>
          </cell>
        </row>
        <row r="253">
          <cell r="D253">
            <v>0</v>
          </cell>
          <cell r="H253">
            <v>1051120</v>
          </cell>
        </row>
        <row r="254">
          <cell r="D254">
            <v>0</v>
          </cell>
          <cell r="H254">
            <v>1081011</v>
          </cell>
        </row>
        <row r="255">
          <cell r="D255">
            <v>0</v>
          </cell>
          <cell r="H255">
            <v>1060220</v>
          </cell>
        </row>
        <row r="256">
          <cell r="D256">
            <v>0</v>
          </cell>
          <cell r="H256">
            <v>1186761</v>
          </cell>
        </row>
        <row r="257">
          <cell r="D257">
            <v>0</v>
          </cell>
          <cell r="H257">
            <v>957010</v>
          </cell>
        </row>
        <row r="258">
          <cell r="D258">
            <v>0</v>
          </cell>
          <cell r="H258">
            <v>869936</v>
          </cell>
        </row>
        <row r="259">
          <cell r="D259">
            <v>0</v>
          </cell>
          <cell r="H259">
            <v>1004185</v>
          </cell>
        </row>
        <row r="260">
          <cell r="D260">
            <v>0</v>
          </cell>
          <cell r="H260">
            <v>987998</v>
          </cell>
        </row>
        <row r="261">
          <cell r="D261">
            <v>5000.0000000025575</v>
          </cell>
          <cell r="H261">
            <v>988132</v>
          </cell>
        </row>
        <row r="262">
          <cell r="D262">
            <v>0</v>
          </cell>
          <cell r="H262">
            <v>1005744</v>
          </cell>
        </row>
        <row r="263">
          <cell r="D263">
            <v>60999.999999999942</v>
          </cell>
          <cell r="H263">
            <v>971199</v>
          </cell>
        </row>
        <row r="264">
          <cell r="D264">
            <v>324999.99999999575</v>
          </cell>
          <cell r="H264">
            <v>988358</v>
          </cell>
        </row>
        <row r="265">
          <cell r="D265">
            <v>0</v>
          </cell>
          <cell r="H265">
            <v>957895</v>
          </cell>
        </row>
        <row r="266">
          <cell r="D266">
            <v>0</v>
          </cell>
          <cell r="H266">
            <v>103256</v>
          </cell>
        </row>
        <row r="267">
          <cell r="D267">
            <v>0</v>
          </cell>
          <cell r="H267">
            <v>1045339</v>
          </cell>
        </row>
        <row r="268">
          <cell r="D268">
            <v>85000.000000000859</v>
          </cell>
          <cell r="H268">
            <v>1028391</v>
          </cell>
        </row>
        <row r="269">
          <cell r="D269">
            <v>194000.00000000262</v>
          </cell>
          <cell r="H269">
            <v>527919</v>
          </cell>
        </row>
        <row r="270">
          <cell r="D270">
            <v>195000.00000000029</v>
          </cell>
          <cell r="H270">
            <v>480849</v>
          </cell>
        </row>
        <row r="271">
          <cell r="D271">
            <v>262000.00000000047</v>
          </cell>
          <cell r="H271">
            <v>546871</v>
          </cell>
        </row>
        <row r="272">
          <cell r="D272">
            <v>129999.99999999546</v>
          </cell>
          <cell r="H272">
            <v>434893</v>
          </cell>
        </row>
        <row r="273">
          <cell r="D273">
            <v>400000.0000000057</v>
          </cell>
          <cell r="H273">
            <v>633858</v>
          </cell>
        </row>
        <row r="274">
          <cell r="D274">
            <v>333999.9999999961</v>
          </cell>
          <cell r="H274">
            <v>858952</v>
          </cell>
        </row>
        <row r="275">
          <cell r="D275">
            <v>300000.00000000425</v>
          </cell>
          <cell r="H275">
            <v>592162</v>
          </cell>
        </row>
        <row r="276">
          <cell r="D276">
            <v>300000</v>
          </cell>
          <cell r="H276">
            <v>569153</v>
          </cell>
        </row>
        <row r="277">
          <cell r="D277">
            <v>413000</v>
          </cell>
          <cell r="H277">
            <v>601037</v>
          </cell>
        </row>
        <row r="278">
          <cell r="D278">
            <v>483000.00000000012</v>
          </cell>
          <cell r="H278">
            <v>513337</v>
          </cell>
        </row>
        <row r="279">
          <cell r="D279">
            <v>200999.99999999985</v>
          </cell>
          <cell r="H279">
            <v>431934</v>
          </cell>
        </row>
        <row r="280">
          <cell r="D280">
            <v>375000</v>
          </cell>
          <cell r="H280">
            <v>563992</v>
          </cell>
        </row>
        <row r="281">
          <cell r="D281">
            <v>341999.99999999988</v>
          </cell>
          <cell r="H281">
            <v>440202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Dec Pro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4">
          <cell r="C4">
            <v>7337000</v>
          </cell>
          <cell r="D4">
            <v>0</v>
          </cell>
          <cell r="E4">
            <v>0</v>
          </cell>
          <cell r="F4">
            <v>6150000</v>
          </cell>
          <cell r="H4">
            <v>7126000</v>
          </cell>
          <cell r="I4">
            <v>6900000.0000014547</v>
          </cell>
        </row>
        <row r="5">
          <cell r="C5">
            <v>6689000</v>
          </cell>
          <cell r="D5">
            <v>0</v>
          </cell>
          <cell r="E5">
            <v>0</v>
          </cell>
          <cell r="F5">
            <v>3220000</v>
          </cell>
          <cell r="H5">
            <v>6406000</v>
          </cell>
          <cell r="I5">
            <v>3599999.9999985448</v>
          </cell>
        </row>
        <row r="6">
          <cell r="C6">
            <v>9621000</v>
          </cell>
          <cell r="D6">
            <v>0</v>
          </cell>
          <cell r="E6">
            <v>0</v>
          </cell>
          <cell r="F6">
            <v>0</v>
          </cell>
          <cell r="H6">
            <v>9223000</v>
          </cell>
          <cell r="I6">
            <v>1599999.9999985448</v>
          </cell>
        </row>
        <row r="7">
          <cell r="C7">
            <v>11005000</v>
          </cell>
          <cell r="D7">
            <v>0</v>
          </cell>
          <cell r="E7">
            <v>0</v>
          </cell>
          <cell r="F7">
            <v>0</v>
          </cell>
          <cell r="H7">
            <v>10608000</v>
          </cell>
          <cell r="I7">
            <v>0</v>
          </cell>
        </row>
        <row r="8">
          <cell r="C8">
            <v>12043000</v>
          </cell>
          <cell r="D8">
            <v>0</v>
          </cell>
          <cell r="E8">
            <v>0</v>
          </cell>
          <cell r="F8">
            <v>0</v>
          </cell>
          <cell r="H8">
            <v>11646000</v>
          </cell>
          <cell r="I8">
            <v>0</v>
          </cell>
        </row>
        <row r="9">
          <cell r="C9">
            <v>12546000</v>
          </cell>
          <cell r="D9">
            <v>0</v>
          </cell>
          <cell r="E9">
            <v>0</v>
          </cell>
          <cell r="F9">
            <v>0</v>
          </cell>
          <cell r="H9">
            <v>12137000</v>
          </cell>
          <cell r="I9">
            <v>0</v>
          </cell>
        </row>
        <row r="10">
          <cell r="C10">
            <v>12723000</v>
          </cell>
          <cell r="D10">
            <v>0</v>
          </cell>
          <cell r="E10">
            <v>0</v>
          </cell>
          <cell r="F10">
            <v>0</v>
          </cell>
          <cell r="H10">
            <v>12192000</v>
          </cell>
          <cell r="I10">
            <v>0</v>
          </cell>
        </row>
        <row r="11">
          <cell r="C11">
            <v>13032000</v>
          </cell>
          <cell r="D11">
            <v>0</v>
          </cell>
          <cell r="E11">
            <v>0</v>
          </cell>
          <cell r="F11">
            <v>0</v>
          </cell>
          <cell r="H11">
            <v>12501000</v>
          </cell>
          <cell r="I11">
            <v>0</v>
          </cell>
        </row>
        <row r="12">
          <cell r="C12">
            <v>13241000</v>
          </cell>
          <cell r="D12">
            <v>0</v>
          </cell>
          <cell r="E12">
            <v>0</v>
          </cell>
          <cell r="F12">
            <v>0</v>
          </cell>
          <cell r="H12">
            <v>12850000</v>
          </cell>
          <cell r="I12">
            <v>0</v>
          </cell>
        </row>
        <row r="13">
          <cell r="C13">
            <v>12176000</v>
          </cell>
          <cell r="D13">
            <v>0</v>
          </cell>
          <cell r="E13">
            <v>0</v>
          </cell>
          <cell r="F13">
            <v>0</v>
          </cell>
          <cell r="H13">
            <v>11646000</v>
          </cell>
          <cell r="I13">
            <v>0</v>
          </cell>
        </row>
        <row r="14">
          <cell r="C14">
            <v>11280000</v>
          </cell>
          <cell r="D14">
            <v>0</v>
          </cell>
          <cell r="E14">
            <v>0</v>
          </cell>
          <cell r="F14">
            <v>0</v>
          </cell>
          <cell r="H14">
            <v>10865000</v>
          </cell>
          <cell r="I14">
            <v>0</v>
          </cell>
        </row>
        <row r="15">
          <cell r="C15">
            <v>12069000</v>
          </cell>
          <cell r="D15">
            <v>0</v>
          </cell>
          <cell r="E15">
            <v>0</v>
          </cell>
          <cell r="F15">
            <v>0</v>
          </cell>
          <cell r="H15">
            <v>11719000</v>
          </cell>
          <cell r="I15">
            <v>0</v>
          </cell>
        </row>
        <row r="16">
          <cell r="C16">
            <v>11407000</v>
          </cell>
          <cell r="D16">
            <v>0</v>
          </cell>
          <cell r="E16">
            <v>0</v>
          </cell>
          <cell r="F16">
            <v>0</v>
          </cell>
          <cell r="H16">
            <v>11044000</v>
          </cell>
          <cell r="I16">
            <v>0</v>
          </cell>
        </row>
        <row r="17">
          <cell r="C17">
            <v>13107000</v>
          </cell>
          <cell r="D17">
            <v>0</v>
          </cell>
          <cell r="E17">
            <v>0</v>
          </cell>
          <cell r="F17">
            <v>0</v>
          </cell>
          <cell r="H17">
            <v>12602000</v>
          </cell>
          <cell r="I17">
            <v>0</v>
          </cell>
        </row>
        <row r="18">
          <cell r="C18">
            <v>13252000</v>
          </cell>
          <cell r="D18">
            <v>0</v>
          </cell>
          <cell r="E18">
            <v>0</v>
          </cell>
          <cell r="F18">
            <v>0</v>
          </cell>
          <cell r="H18">
            <v>12859999.999999998</v>
          </cell>
          <cell r="I18">
            <v>0</v>
          </cell>
        </row>
        <row r="19">
          <cell r="C19">
            <v>10316000</v>
          </cell>
          <cell r="D19">
            <v>0</v>
          </cell>
          <cell r="E19">
            <v>0</v>
          </cell>
          <cell r="F19">
            <v>0</v>
          </cell>
          <cell r="H19">
            <v>9943000</v>
          </cell>
          <cell r="I19">
            <v>0</v>
          </cell>
        </row>
        <row r="20">
          <cell r="C20">
            <v>12975000</v>
          </cell>
          <cell r="D20">
            <v>0</v>
          </cell>
          <cell r="E20">
            <v>0</v>
          </cell>
          <cell r="F20">
            <v>0</v>
          </cell>
          <cell r="H20">
            <v>12510000</v>
          </cell>
          <cell r="I20">
            <v>0</v>
          </cell>
        </row>
        <row r="21">
          <cell r="C21">
            <v>11333000</v>
          </cell>
          <cell r="D21">
            <v>0</v>
          </cell>
          <cell r="E21">
            <v>0</v>
          </cell>
          <cell r="F21">
            <v>0</v>
          </cell>
          <cell r="H21">
            <v>10935000</v>
          </cell>
          <cell r="I21">
            <v>0</v>
          </cell>
        </row>
        <row r="22">
          <cell r="C22">
            <v>11652000</v>
          </cell>
          <cell r="D22">
            <v>0</v>
          </cell>
          <cell r="E22">
            <v>0</v>
          </cell>
          <cell r="F22">
            <v>0</v>
          </cell>
          <cell r="H22">
            <v>11268000</v>
          </cell>
          <cell r="I22">
            <v>0</v>
          </cell>
        </row>
        <row r="23">
          <cell r="C23">
            <v>12769000</v>
          </cell>
          <cell r="D23">
            <v>0</v>
          </cell>
          <cell r="E23">
            <v>0</v>
          </cell>
          <cell r="F23">
            <v>0</v>
          </cell>
          <cell r="H23">
            <v>12440000</v>
          </cell>
          <cell r="I23">
            <v>0</v>
          </cell>
        </row>
        <row r="24">
          <cell r="C24">
            <v>11789000</v>
          </cell>
          <cell r="D24">
            <v>0</v>
          </cell>
          <cell r="E24">
            <v>0</v>
          </cell>
          <cell r="F24">
            <v>0</v>
          </cell>
          <cell r="H24">
            <v>11462000</v>
          </cell>
          <cell r="I24">
            <v>0</v>
          </cell>
        </row>
        <row r="25">
          <cell r="C25">
            <v>10495000</v>
          </cell>
          <cell r="D25">
            <v>0</v>
          </cell>
          <cell r="E25">
            <v>0</v>
          </cell>
          <cell r="F25">
            <v>0</v>
          </cell>
          <cell r="H25">
            <v>10168000</v>
          </cell>
          <cell r="I25">
            <v>0</v>
          </cell>
        </row>
        <row r="26">
          <cell r="C26">
            <v>11336000</v>
          </cell>
          <cell r="D26">
            <v>0</v>
          </cell>
          <cell r="E26">
            <v>0</v>
          </cell>
          <cell r="F26">
            <v>0</v>
          </cell>
          <cell r="H26">
            <v>11020000.000000002</v>
          </cell>
          <cell r="I26">
            <v>0</v>
          </cell>
        </row>
        <row r="27">
          <cell r="C27">
            <v>12349000</v>
          </cell>
          <cell r="D27">
            <v>0</v>
          </cell>
          <cell r="E27">
            <v>0</v>
          </cell>
          <cell r="F27">
            <v>0</v>
          </cell>
          <cell r="H27">
            <v>11965000</v>
          </cell>
          <cell r="I27">
            <v>0</v>
          </cell>
        </row>
        <row r="28">
          <cell r="C28">
            <v>11785000</v>
          </cell>
          <cell r="D28">
            <v>0</v>
          </cell>
          <cell r="E28">
            <v>0</v>
          </cell>
          <cell r="F28">
            <v>0</v>
          </cell>
          <cell r="H28">
            <v>11331000</v>
          </cell>
          <cell r="I28">
            <v>0</v>
          </cell>
        </row>
        <row r="29">
          <cell r="C29">
            <v>10272000</v>
          </cell>
          <cell r="D29">
            <v>0</v>
          </cell>
          <cell r="E29">
            <v>0</v>
          </cell>
          <cell r="F29">
            <v>0</v>
          </cell>
          <cell r="H29">
            <v>9944000</v>
          </cell>
          <cell r="I29">
            <v>0</v>
          </cell>
        </row>
        <row r="30">
          <cell r="C30">
            <v>11464000</v>
          </cell>
          <cell r="D30">
            <v>0</v>
          </cell>
          <cell r="E30">
            <v>0</v>
          </cell>
          <cell r="F30">
            <v>0</v>
          </cell>
          <cell r="H30">
            <v>11273000</v>
          </cell>
          <cell r="I30">
            <v>0</v>
          </cell>
        </row>
        <row r="31">
          <cell r="C31">
            <v>12034000</v>
          </cell>
          <cell r="D31">
            <v>0</v>
          </cell>
          <cell r="E31">
            <v>0</v>
          </cell>
          <cell r="F31">
            <v>0</v>
          </cell>
          <cell r="H31">
            <v>11579000</v>
          </cell>
          <cell r="I31">
            <v>0</v>
          </cell>
        </row>
        <row r="32">
          <cell r="C32">
            <v>12639000</v>
          </cell>
          <cell r="D32">
            <v>0</v>
          </cell>
          <cell r="E32">
            <v>0</v>
          </cell>
          <cell r="F32">
            <v>0</v>
          </cell>
          <cell r="H32">
            <v>12184000</v>
          </cell>
          <cell r="I32">
            <v>0</v>
          </cell>
        </row>
        <row r="33">
          <cell r="C33">
            <v>12380000</v>
          </cell>
          <cell r="D33">
            <v>0</v>
          </cell>
          <cell r="E33">
            <v>0</v>
          </cell>
          <cell r="F33">
            <v>0</v>
          </cell>
          <cell r="H33">
            <v>11927000</v>
          </cell>
          <cell r="I33">
            <v>0</v>
          </cell>
        </row>
        <row r="34">
          <cell r="C34">
            <v>12369000</v>
          </cell>
          <cell r="D34">
            <v>0</v>
          </cell>
          <cell r="E34">
            <v>0</v>
          </cell>
          <cell r="F34">
            <v>0</v>
          </cell>
          <cell r="H34">
            <v>12098000.000000002</v>
          </cell>
          <cell r="I34">
            <v>0</v>
          </cell>
        </row>
        <row r="259">
          <cell r="D259">
            <v>211000.00000000029</v>
          </cell>
          <cell r="H259">
            <v>584417</v>
          </cell>
        </row>
        <row r="260">
          <cell r="D260">
            <v>282999.99999999994</v>
          </cell>
          <cell r="H260">
            <v>318210</v>
          </cell>
        </row>
        <row r="261">
          <cell r="D261">
            <v>398000.00000000012</v>
          </cell>
          <cell r="H261">
            <v>84550</v>
          </cell>
        </row>
        <row r="262">
          <cell r="D262">
            <v>396999.99999999983</v>
          </cell>
          <cell r="H262">
            <v>7436</v>
          </cell>
        </row>
        <row r="263">
          <cell r="D263">
            <v>397000.00000000023</v>
          </cell>
          <cell r="H263">
            <v>8500</v>
          </cell>
        </row>
        <row r="264">
          <cell r="D264">
            <v>408999.99999999983</v>
          </cell>
          <cell r="H264">
            <v>75234</v>
          </cell>
        </row>
        <row r="265">
          <cell r="D265">
            <v>530999.99999999965</v>
          </cell>
          <cell r="H265">
            <v>74605</v>
          </cell>
        </row>
        <row r="266">
          <cell r="D266">
            <v>531000.00000000058</v>
          </cell>
          <cell r="H266">
            <v>74605</v>
          </cell>
        </row>
        <row r="267">
          <cell r="D267">
            <v>391000</v>
          </cell>
          <cell r="H267">
            <v>74605</v>
          </cell>
        </row>
        <row r="268">
          <cell r="D268">
            <v>529999.99999999942</v>
          </cell>
          <cell r="H268">
            <v>80608</v>
          </cell>
        </row>
        <row r="269">
          <cell r="D269">
            <v>415000.00000000006</v>
          </cell>
          <cell r="H269">
            <v>0</v>
          </cell>
        </row>
        <row r="270">
          <cell r="D270">
            <v>350000.00000000052</v>
          </cell>
          <cell r="H270">
            <v>0</v>
          </cell>
        </row>
        <row r="271">
          <cell r="D271">
            <v>362999.99999999953</v>
          </cell>
          <cell r="H271">
            <v>0</v>
          </cell>
        </row>
        <row r="272">
          <cell r="D272">
            <v>504999.99999999988</v>
          </cell>
          <cell r="H272">
            <v>0</v>
          </cell>
        </row>
        <row r="273">
          <cell r="D273">
            <v>392000.00000000122</v>
          </cell>
          <cell r="H273">
            <v>0</v>
          </cell>
        </row>
        <row r="274">
          <cell r="D274">
            <v>372999.99999999936</v>
          </cell>
          <cell r="H274">
            <v>54373</v>
          </cell>
        </row>
        <row r="275">
          <cell r="D275">
            <v>464999.99999999988</v>
          </cell>
          <cell r="H275">
            <v>74418</v>
          </cell>
        </row>
        <row r="276">
          <cell r="D276">
            <v>397999.99999999971</v>
          </cell>
          <cell r="H276">
            <v>0</v>
          </cell>
        </row>
        <row r="277">
          <cell r="D277">
            <v>384000.00000000035</v>
          </cell>
          <cell r="H277">
            <v>0</v>
          </cell>
        </row>
        <row r="278">
          <cell r="D278">
            <v>329000.00000000064</v>
          </cell>
          <cell r="H278">
            <v>0</v>
          </cell>
        </row>
        <row r="279">
          <cell r="D279">
            <v>326999.99999999994</v>
          </cell>
          <cell r="H279">
            <v>0</v>
          </cell>
        </row>
        <row r="280">
          <cell r="D280">
            <v>326999.99999999994</v>
          </cell>
          <cell r="H280">
            <v>0</v>
          </cell>
        </row>
        <row r="281">
          <cell r="D281">
            <v>315999.99999999895</v>
          </cell>
          <cell r="H281">
            <v>0</v>
          </cell>
        </row>
        <row r="282">
          <cell r="D282">
            <v>384000.00000000035</v>
          </cell>
          <cell r="H282">
            <v>0</v>
          </cell>
        </row>
        <row r="283">
          <cell r="D283">
            <v>454000.00000000064</v>
          </cell>
          <cell r="H283">
            <v>0</v>
          </cell>
        </row>
        <row r="284">
          <cell r="D284">
            <v>327999.99999999942</v>
          </cell>
          <cell r="H284">
            <v>0</v>
          </cell>
        </row>
        <row r="285">
          <cell r="D285">
            <v>191000.00000000073</v>
          </cell>
          <cell r="H285">
            <v>0</v>
          </cell>
        </row>
        <row r="286">
          <cell r="D286">
            <v>455000.00000000006</v>
          </cell>
          <cell r="H286">
            <v>0</v>
          </cell>
        </row>
        <row r="287">
          <cell r="D287">
            <v>455000.00000000006</v>
          </cell>
          <cell r="H287">
            <v>0</v>
          </cell>
        </row>
        <row r="288">
          <cell r="D288">
            <v>452999.99999999942</v>
          </cell>
          <cell r="H288">
            <v>0</v>
          </cell>
        </row>
        <row r="289">
          <cell r="D289">
            <v>270999.99999999901</v>
          </cell>
          <cell r="H289">
            <v>0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Jan Pro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4">
          <cell r="C4">
            <v>11809000</v>
          </cell>
          <cell r="D4">
            <v>0</v>
          </cell>
          <cell r="E4">
            <v>0</v>
          </cell>
          <cell r="F4">
            <v>0</v>
          </cell>
          <cell r="H4">
            <v>11458999.999999998</v>
          </cell>
          <cell r="I4">
            <v>0</v>
          </cell>
        </row>
        <row r="5">
          <cell r="C5">
            <v>10936000</v>
          </cell>
          <cell r="D5">
            <v>0</v>
          </cell>
          <cell r="E5">
            <v>0</v>
          </cell>
          <cell r="F5">
            <v>0</v>
          </cell>
          <cell r="H5">
            <v>10638000</v>
          </cell>
          <cell r="I5">
            <v>0</v>
          </cell>
        </row>
        <row r="6">
          <cell r="C6">
            <v>11342000</v>
          </cell>
          <cell r="D6">
            <v>0</v>
          </cell>
          <cell r="E6">
            <v>0</v>
          </cell>
          <cell r="F6">
            <v>0</v>
          </cell>
          <cell r="H6">
            <v>10876000</v>
          </cell>
          <cell r="I6">
            <v>0</v>
          </cell>
        </row>
        <row r="7">
          <cell r="C7">
            <v>12926000</v>
          </cell>
          <cell r="D7">
            <v>0</v>
          </cell>
          <cell r="E7">
            <v>0</v>
          </cell>
          <cell r="F7">
            <v>0</v>
          </cell>
          <cell r="H7">
            <v>12472000</v>
          </cell>
          <cell r="I7">
            <v>0</v>
          </cell>
        </row>
        <row r="8">
          <cell r="C8">
            <v>12824000</v>
          </cell>
          <cell r="D8">
            <v>0</v>
          </cell>
          <cell r="E8">
            <v>0</v>
          </cell>
          <cell r="F8">
            <v>0</v>
          </cell>
          <cell r="H8">
            <v>12506000</v>
          </cell>
          <cell r="I8">
            <v>0</v>
          </cell>
        </row>
        <row r="9">
          <cell r="C9">
            <v>12489000</v>
          </cell>
          <cell r="D9">
            <v>0</v>
          </cell>
          <cell r="E9">
            <v>0</v>
          </cell>
          <cell r="F9">
            <v>0</v>
          </cell>
          <cell r="H9">
            <v>12150000.000000002</v>
          </cell>
          <cell r="I9">
            <v>0</v>
          </cell>
        </row>
        <row r="10">
          <cell r="C10">
            <v>10896000</v>
          </cell>
          <cell r="D10">
            <v>0</v>
          </cell>
          <cell r="E10">
            <v>0</v>
          </cell>
          <cell r="F10">
            <v>0</v>
          </cell>
          <cell r="H10">
            <v>10486000</v>
          </cell>
          <cell r="I10">
            <v>0</v>
          </cell>
        </row>
        <row r="11">
          <cell r="C11">
            <v>11837000</v>
          </cell>
          <cell r="D11">
            <v>0</v>
          </cell>
          <cell r="E11">
            <v>0</v>
          </cell>
          <cell r="F11">
            <v>0</v>
          </cell>
          <cell r="H11">
            <v>11424999.999999998</v>
          </cell>
          <cell r="I11">
            <v>0</v>
          </cell>
        </row>
        <row r="12">
          <cell r="C12">
            <v>11830000</v>
          </cell>
          <cell r="D12">
            <v>0</v>
          </cell>
          <cell r="E12">
            <v>0</v>
          </cell>
          <cell r="F12">
            <v>10000</v>
          </cell>
          <cell r="H12">
            <v>11551000</v>
          </cell>
          <cell r="I12">
            <v>0</v>
          </cell>
        </row>
        <row r="13">
          <cell r="C13">
            <v>12094000</v>
          </cell>
          <cell r="D13">
            <v>0</v>
          </cell>
          <cell r="E13">
            <v>0</v>
          </cell>
          <cell r="F13">
            <v>0</v>
          </cell>
          <cell r="H13">
            <v>11634000.000000004</v>
          </cell>
          <cell r="I13">
            <v>0</v>
          </cell>
        </row>
        <row r="14">
          <cell r="C14">
            <v>11922000</v>
          </cell>
          <cell r="D14">
            <v>0</v>
          </cell>
          <cell r="E14">
            <v>0</v>
          </cell>
          <cell r="F14">
            <v>10000</v>
          </cell>
          <cell r="H14">
            <v>11635999.999999998</v>
          </cell>
          <cell r="I14">
            <v>0</v>
          </cell>
        </row>
        <row r="15">
          <cell r="C15">
            <v>13155000</v>
          </cell>
          <cell r="D15">
            <v>0</v>
          </cell>
          <cell r="E15">
            <v>0</v>
          </cell>
          <cell r="F15">
            <v>0</v>
          </cell>
          <cell r="H15">
            <v>12796000.000000002</v>
          </cell>
          <cell r="I15">
            <v>0</v>
          </cell>
        </row>
        <row r="16">
          <cell r="C16">
            <v>13087000</v>
          </cell>
          <cell r="D16">
            <v>0</v>
          </cell>
          <cell r="E16">
            <v>0</v>
          </cell>
          <cell r="F16">
            <v>20000</v>
          </cell>
          <cell r="H16">
            <v>12537000</v>
          </cell>
          <cell r="I16">
            <v>0</v>
          </cell>
        </row>
        <row r="17">
          <cell r="C17">
            <v>11699000</v>
          </cell>
          <cell r="D17">
            <v>0</v>
          </cell>
          <cell r="E17">
            <v>0</v>
          </cell>
          <cell r="F17">
            <v>10000</v>
          </cell>
          <cell r="H17">
            <v>11318999.999999998</v>
          </cell>
          <cell r="I17">
            <v>0</v>
          </cell>
        </row>
        <row r="18">
          <cell r="C18">
            <v>10197000</v>
          </cell>
          <cell r="D18">
            <v>0</v>
          </cell>
          <cell r="E18">
            <v>0</v>
          </cell>
          <cell r="F18">
            <v>20000</v>
          </cell>
          <cell r="H18">
            <v>9908000.0000000019</v>
          </cell>
          <cell r="I18">
            <v>0</v>
          </cell>
        </row>
        <row r="19">
          <cell r="C19">
            <v>12104000</v>
          </cell>
          <cell r="D19">
            <v>0</v>
          </cell>
          <cell r="E19">
            <v>0</v>
          </cell>
          <cell r="F19">
            <v>20000</v>
          </cell>
          <cell r="H19">
            <v>11695999.999999998</v>
          </cell>
          <cell r="I19">
            <v>0</v>
          </cell>
        </row>
        <row r="20">
          <cell r="C20">
            <v>11988000</v>
          </cell>
          <cell r="D20">
            <v>0</v>
          </cell>
          <cell r="E20">
            <v>0</v>
          </cell>
          <cell r="F20">
            <v>30000</v>
          </cell>
          <cell r="H20">
            <v>11580000.000000002</v>
          </cell>
          <cell r="I20">
            <v>0</v>
          </cell>
        </row>
        <row r="21">
          <cell r="C21">
            <v>13127000</v>
          </cell>
          <cell r="D21">
            <v>0</v>
          </cell>
          <cell r="E21">
            <v>0</v>
          </cell>
          <cell r="F21">
            <v>30000</v>
          </cell>
          <cell r="H21">
            <v>12702999.999999996</v>
          </cell>
          <cell r="I21">
            <v>0</v>
          </cell>
        </row>
        <row r="22">
          <cell r="C22">
            <v>12982000</v>
          </cell>
          <cell r="D22">
            <v>0</v>
          </cell>
          <cell r="E22">
            <v>0</v>
          </cell>
          <cell r="F22">
            <v>30000</v>
          </cell>
          <cell r="H22">
            <v>12645000</v>
          </cell>
          <cell r="I22">
            <v>0</v>
          </cell>
        </row>
        <row r="23">
          <cell r="C23">
            <v>12901000</v>
          </cell>
          <cell r="D23">
            <v>0</v>
          </cell>
          <cell r="E23">
            <v>0</v>
          </cell>
          <cell r="F23">
            <v>30000</v>
          </cell>
          <cell r="H23">
            <v>12356000.000000002</v>
          </cell>
          <cell r="I23">
            <v>0</v>
          </cell>
        </row>
        <row r="24">
          <cell r="C24">
            <v>12220000</v>
          </cell>
          <cell r="D24">
            <v>0</v>
          </cell>
          <cell r="E24">
            <v>0</v>
          </cell>
          <cell r="F24">
            <v>30000</v>
          </cell>
          <cell r="H24">
            <v>11755999.999999998</v>
          </cell>
          <cell r="I24">
            <v>0</v>
          </cell>
        </row>
        <row r="25">
          <cell r="C25">
            <v>12076000</v>
          </cell>
          <cell r="D25">
            <v>0</v>
          </cell>
          <cell r="E25">
            <v>0</v>
          </cell>
          <cell r="F25">
            <v>30000</v>
          </cell>
          <cell r="H25">
            <v>11793000.000000002</v>
          </cell>
          <cell r="I25">
            <v>0</v>
          </cell>
        </row>
        <row r="26">
          <cell r="C26">
            <v>11668000</v>
          </cell>
          <cell r="D26">
            <v>0</v>
          </cell>
          <cell r="E26">
            <v>0</v>
          </cell>
          <cell r="F26">
            <v>30000</v>
          </cell>
          <cell r="H26">
            <v>11229000</v>
          </cell>
          <cell r="I26">
            <v>0</v>
          </cell>
        </row>
        <row r="27">
          <cell r="C27">
            <v>10233000</v>
          </cell>
          <cell r="D27">
            <v>0</v>
          </cell>
          <cell r="E27">
            <v>0</v>
          </cell>
          <cell r="F27">
            <v>20000</v>
          </cell>
          <cell r="H27">
            <v>9808000</v>
          </cell>
          <cell r="I27">
            <v>0</v>
          </cell>
        </row>
        <row r="28">
          <cell r="C28">
            <v>12402000</v>
          </cell>
          <cell r="D28">
            <v>0</v>
          </cell>
          <cell r="E28">
            <v>0</v>
          </cell>
          <cell r="F28">
            <v>40000</v>
          </cell>
          <cell r="H28">
            <v>12068000</v>
          </cell>
          <cell r="I28">
            <v>0</v>
          </cell>
        </row>
        <row r="29">
          <cell r="C29">
            <v>13066000</v>
          </cell>
          <cell r="D29">
            <v>0</v>
          </cell>
          <cell r="E29">
            <v>0</v>
          </cell>
          <cell r="F29">
            <v>40000</v>
          </cell>
          <cell r="H29">
            <v>12532999.999999998</v>
          </cell>
          <cell r="I29">
            <v>0</v>
          </cell>
        </row>
        <row r="30">
          <cell r="C30">
            <v>13108000</v>
          </cell>
          <cell r="D30">
            <v>0</v>
          </cell>
          <cell r="E30">
            <v>0</v>
          </cell>
          <cell r="F30">
            <v>10000</v>
          </cell>
          <cell r="H30">
            <v>12821000.000000002</v>
          </cell>
          <cell r="I30">
            <v>0</v>
          </cell>
        </row>
        <row r="31">
          <cell r="C31">
            <v>11998000</v>
          </cell>
          <cell r="D31">
            <v>0</v>
          </cell>
          <cell r="E31">
            <v>0</v>
          </cell>
          <cell r="F31">
            <v>0</v>
          </cell>
          <cell r="H31">
            <v>11591000</v>
          </cell>
          <cell r="I31">
            <v>0</v>
          </cell>
        </row>
        <row r="32">
          <cell r="C32">
            <v>10522000</v>
          </cell>
          <cell r="D32">
            <v>0</v>
          </cell>
          <cell r="E32">
            <v>0</v>
          </cell>
          <cell r="F32">
            <v>0</v>
          </cell>
          <cell r="H32">
            <v>10046000</v>
          </cell>
          <cell r="I32">
            <v>0</v>
          </cell>
        </row>
        <row r="33">
          <cell r="C33">
            <v>12071000</v>
          </cell>
          <cell r="D33">
            <v>0</v>
          </cell>
          <cell r="F33">
            <v>0</v>
          </cell>
          <cell r="H33">
            <v>11726999.999999998</v>
          </cell>
          <cell r="I33">
            <v>0</v>
          </cell>
        </row>
        <row r="34">
          <cell r="C34">
            <v>13027000</v>
          </cell>
          <cell r="D34">
            <v>0</v>
          </cell>
          <cell r="E34">
            <v>0</v>
          </cell>
          <cell r="F34">
            <v>0</v>
          </cell>
          <cell r="H34">
            <v>12557999.999999998</v>
          </cell>
          <cell r="I34">
            <v>0</v>
          </cell>
        </row>
        <row r="259">
          <cell r="D259">
            <v>350000.0000000014</v>
          </cell>
          <cell r="H259">
            <v>0</v>
          </cell>
        </row>
        <row r="260">
          <cell r="D260">
            <v>298000.00000000006</v>
          </cell>
          <cell r="H260">
            <v>0</v>
          </cell>
        </row>
        <row r="261">
          <cell r="D261">
            <v>465999.9999999993</v>
          </cell>
          <cell r="H261">
            <v>0</v>
          </cell>
        </row>
        <row r="262">
          <cell r="D262">
            <v>454000.00000000064</v>
          </cell>
          <cell r="H262">
            <v>0</v>
          </cell>
        </row>
        <row r="263">
          <cell r="D263">
            <v>317999.99999999959</v>
          </cell>
          <cell r="H263">
            <v>188512</v>
          </cell>
        </row>
        <row r="264">
          <cell r="D264">
            <v>338999.99999999866</v>
          </cell>
          <cell r="H264">
            <v>0</v>
          </cell>
        </row>
        <row r="265">
          <cell r="D265">
            <v>410000.00000000012</v>
          </cell>
          <cell r="H265">
            <v>0</v>
          </cell>
        </row>
        <row r="266">
          <cell r="D266">
            <v>412000.00000000256</v>
          </cell>
          <cell r="H266">
            <v>0</v>
          </cell>
        </row>
        <row r="267">
          <cell r="D267">
            <v>278999.99999999994</v>
          </cell>
          <cell r="H267">
            <v>0</v>
          </cell>
        </row>
        <row r="268">
          <cell r="D268">
            <v>459999.99999999732</v>
          </cell>
          <cell r="H268">
            <v>0</v>
          </cell>
        </row>
        <row r="269">
          <cell r="D269">
            <v>286000.00000000134</v>
          </cell>
          <cell r="H269">
            <v>0</v>
          </cell>
        </row>
        <row r="270">
          <cell r="D270">
            <v>358999.9999999982</v>
          </cell>
          <cell r="H270">
            <v>0</v>
          </cell>
        </row>
        <row r="271">
          <cell r="D271">
            <v>550000.0000000007</v>
          </cell>
          <cell r="H271">
            <v>0</v>
          </cell>
        </row>
        <row r="272">
          <cell r="D272">
            <v>380000.00000000256</v>
          </cell>
          <cell r="H272">
            <v>0</v>
          </cell>
        </row>
        <row r="273">
          <cell r="D273">
            <v>288999.9999999979</v>
          </cell>
          <cell r="H273">
            <v>0</v>
          </cell>
        </row>
        <row r="274">
          <cell r="D274">
            <v>408000.00000000122</v>
          </cell>
          <cell r="H274">
            <v>0</v>
          </cell>
        </row>
        <row r="275">
          <cell r="D275">
            <v>407999.99999999767</v>
          </cell>
          <cell r="H275">
            <v>0</v>
          </cell>
        </row>
        <row r="276">
          <cell r="D276">
            <v>424000.00000000303</v>
          </cell>
          <cell r="H276">
            <v>0</v>
          </cell>
        </row>
        <row r="277">
          <cell r="D277">
            <v>336999.99999999977</v>
          </cell>
          <cell r="H277">
            <v>0</v>
          </cell>
        </row>
        <row r="278">
          <cell r="D278">
            <v>544999.99999999814</v>
          </cell>
          <cell r="H278">
            <v>0</v>
          </cell>
        </row>
        <row r="279">
          <cell r="D279">
            <v>464000.00000000221</v>
          </cell>
          <cell r="H279">
            <v>0</v>
          </cell>
        </row>
        <row r="280">
          <cell r="D280">
            <v>282999.99999999767</v>
          </cell>
          <cell r="H280">
            <v>0</v>
          </cell>
        </row>
        <row r="281">
          <cell r="D281">
            <v>439000.00000000006</v>
          </cell>
          <cell r="H281">
            <v>0</v>
          </cell>
        </row>
        <row r="282">
          <cell r="D282">
            <v>425000.0000000007</v>
          </cell>
          <cell r="H282">
            <v>0</v>
          </cell>
        </row>
        <row r="283">
          <cell r="D283">
            <v>333999.99999999965</v>
          </cell>
          <cell r="H283">
            <v>0</v>
          </cell>
        </row>
        <row r="284">
          <cell r="D284">
            <v>533000.00000000128</v>
          </cell>
          <cell r="H284">
            <v>0</v>
          </cell>
        </row>
        <row r="285">
          <cell r="D285">
            <v>286999.99999999901</v>
          </cell>
          <cell r="H285">
            <v>0</v>
          </cell>
        </row>
        <row r="286">
          <cell r="D286">
            <v>407000</v>
          </cell>
          <cell r="H286">
            <v>0</v>
          </cell>
        </row>
        <row r="287">
          <cell r="D287">
            <v>475999.99999999907</v>
          </cell>
          <cell r="H287">
            <v>0</v>
          </cell>
        </row>
        <row r="288">
          <cell r="D288">
            <v>344000.00000000122</v>
          </cell>
          <cell r="H288">
            <v>0</v>
          </cell>
        </row>
        <row r="289">
          <cell r="D289">
            <v>469000.00000000122</v>
          </cell>
          <cell r="H289">
            <v>0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Feb Pro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>
        <row r="4">
          <cell r="C4">
            <v>12954000</v>
          </cell>
          <cell r="D4">
            <v>0</v>
          </cell>
          <cell r="E4">
            <v>0</v>
          </cell>
          <cell r="F4">
            <v>0</v>
          </cell>
          <cell r="H4">
            <v>12683000.000000004</v>
          </cell>
          <cell r="I4">
            <v>0</v>
          </cell>
        </row>
        <row r="5">
          <cell r="C5">
            <v>11752000</v>
          </cell>
          <cell r="D5">
            <v>0</v>
          </cell>
          <cell r="E5">
            <v>0</v>
          </cell>
          <cell r="F5">
            <v>0</v>
          </cell>
          <cell r="H5">
            <v>11212999.999999998</v>
          </cell>
          <cell r="I5">
            <v>0</v>
          </cell>
        </row>
        <row r="6">
          <cell r="C6">
            <v>11067000</v>
          </cell>
          <cell r="D6">
            <v>0</v>
          </cell>
          <cell r="E6">
            <v>0</v>
          </cell>
          <cell r="F6">
            <v>0</v>
          </cell>
          <cell r="H6">
            <v>10800000</v>
          </cell>
          <cell r="I6">
            <v>0</v>
          </cell>
        </row>
        <row r="7">
          <cell r="C7">
            <v>11979000</v>
          </cell>
          <cell r="D7">
            <v>0</v>
          </cell>
          <cell r="E7">
            <v>0</v>
          </cell>
          <cell r="F7">
            <v>0</v>
          </cell>
          <cell r="H7">
            <v>11512000.000000002</v>
          </cell>
          <cell r="I7">
            <v>0</v>
          </cell>
        </row>
        <row r="8">
          <cell r="C8">
            <v>12021000</v>
          </cell>
          <cell r="D8">
            <v>0</v>
          </cell>
          <cell r="E8">
            <v>0</v>
          </cell>
          <cell r="F8">
            <v>0</v>
          </cell>
          <cell r="H8">
            <v>11628000</v>
          </cell>
          <cell r="I8">
            <v>0</v>
          </cell>
        </row>
        <row r="9">
          <cell r="C9">
            <v>11976000</v>
          </cell>
          <cell r="D9">
            <v>0</v>
          </cell>
          <cell r="E9">
            <v>0</v>
          </cell>
          <cell r="F9">
            <v>0</v>
          </cell>
          <cell r="H9">
            <v>11628999.999999998</v>
          </cell>
          <cell r="I9">
            <v>0</v>
          </cell>
        </row>
        <row r="10">
          <cell r="C10">
            <v>11319000</v>
          </cell>
          <cell r="D10">
            <v>0</v>
          </cell>
          <cell r="E10">
            <v>0</v>
          </cell>
          <cell r="F10">
            <v>0</v>
          </cell>
          <cell r="H10">
            <v>10954000.000000002</v>
          </cell>
          <cell r="I10">
            <v>0</v>
          </cell>
        </row>
        <row r="11">
          <cell r="C11">
            <v>11881000</v>
          </cell>
          <cell r="D11">
            <v>0</v>
          </cell>
          <cell r="E11">
            <v>0</v>
          </cell>
          <cell r="F11">
            <v>0</v>
          </cell>
          <cell r="H11">
            <v>11369999.999999996</v>
          </cell>
          <cell r="I11">
            <v>0</v>
          </cell>
        </row>
        <row r="12">
          <cell r="C12">
            <v>13059000</v>
          </cell>
          <cell r="D12">
            <v>0</v>
          </cell>
          <cell r="E12">
            <v>0</v>
          </cell>
          <cell r="F12">
            <v>0</v>
          </cell>
          <cell r="H12">
            <v>12584000.000000002</v>
          </cell>
          <cell r="I12">
            <v>0</v>
          </cell>
        </row>
        <row r="13">
          <cell r="C13">
            <v>13099000</v>
          </cell>
          <cell r="D13">
            <v>0</v>
          </cell>
          <cell r="E13">
            <v>0</v>
          </cell>
          <cell r="F13">
            <v>0</v>
          </cell>
          <cell r="H13">
            <v>12764000</v>
          </cell>
          <cell r="I13">
            <v>0</v>
          </cell>
        </row>
        <row r="14">
          <cell r="C14">
            <v>10763000</v>
          </cell>
          <cell r="D14">
            <v>0</v>
          </cell>
          <cell r="E14">
            <v>0</v>
          </cell>
          <cell r="F14">
            <v>0</v>
          </cell>
          <cell r="H14">
            <v>10363000.000000002</v>
          </cell>
          <cell r="I14">
            <v>0</v>
          </cell>
        </row>
        <row r="15">
          <cell r="C15">
            <v>11011000</v>
          </cell>
          <cell r="D15">
            <v>0</v>
          </cell>
          <cell r="E15">
            <v>0</v>
          </cell>
          <cell r="F15">
            <v>0</v>
          </cell>
          <cell r="H15">
            <v>10730999.999999998</v>
          </cell>
          <cell r="I15">
            <v>0</v>
          </cell>
        </row>
        <row r="16">
          <cell r="C16">
            <v>12200000</v>
          </cell>
          <cell r="D16">
            <v>0</v>
          </cell>
          <cell r="E16">
            <v>0</v>
          </cell>
          <cell r="F16">
            <v>0</v>
          </cell>
          <cell r="H16">
            <v>11797999.999999998</v>
          </cell>
          <cell r="I16">
            <v>0</v>
          </cell>
        </row>
        <row r="17">
          <cell r="C17">
            <v>11974000</v>
          </cell>
          <cell r="D17">
            <v>0</v>
          </cell>
          <cell r="E17">
            <v>0</v>
          </cell>
          <cell r="F17">
            <v>0</v>
          </cell>
          <cell r="H17">
            <v>11506000</v>
          </cell>
          <cell r="I17">
            <v>0</v>
          </cell>
        </row>
        <row r="18">
          <cell r="C18">
            <v>12936000</v>
          </cell>
          <cell r="D18">
            <v>0</v>
          </cell>
          <cell r="E18">
            <v>0</v>
          </cell>
          <cell r="F18">
            <v>0</v>
          </cell>
          <cell r="H18">
            <v>12649999.999999998</v>
          </cell>
          <cell r="I18">
            <v>0</v>
          </cell>
        </row>
        <row r="19">
          <cell r="C19">
            <v>11113000</v>
          </cell>
          <cell r="D19">
            <v>0</v>
          </cell>
          <cell r="E19">
            <v>0</v>
          </cell>
          <cell r="F19">
            <v>0</v>
          </cell>
          <cell r="H19">
            <v>10789000.000000002</v>
          </cell>
          <cell r="I19">
            <v>0</v>
          </cell>
        </row>
        <row r="20">
          <cell r="C20">
            <v>11902000</v>
          </cell>
          <cell r="D20">
            <v>0</v>
          </cell>
          <cell r="E20">
            <v>0</v>
          </cell>
          <cell r="F20">
            <v>0</v>
          </cell>
          <cell r="H20">
            <v>11707999.999999998</v>
          </cell>
          <cell r="I20">
            <v>0</v>
          </cell>
        </row>
        <row r="21">
          <cell r="C21">
            <v>12178000</v>
          </cell>
          <cell r="D21">
            <v>0</v>
          </cell>
          <cell r="E21">
            <v>0</v>
          </cell>
          <cell r="F21">
            <v>0</v>
          </cell>
          <cell r="H21">
            <v>11854000.000000002</v>
          </cell>
          <cell r="I21">
            <v>0</v>
          </cell>
        </row>
        <row r="22">
          <cell r="C22">
            <v>11840000</v>
          </cell>
          <cell r="D22">
            <v>0</v>
          </cell>
          <cell r="E22">
            <v>0</v>
          </cell>
          <cell r="F22">
            <v>0</v>
          </cell>
          <cell r="H22">
            <v>11511000</v>
          </cell>
          <cell r="I22">
            <v>0</v>
          </cell>
        </row>
        <row r="23">
          <cell r="C23">
            <v>11814000</v>
          </cell>
          <cell r="D23">
            <v>0</v>
          </cell>
          <cell r="E23">
            <v>0</v>
          </cell>
          <cell r="F23">
            <v>0</v>
          </cell>
          <cell r="H23">
            <v>11568000.000000006</v>
          </cell>
          <cell r="I23">
            <v>0</v>
          </cell>
        </row>
        <row r="24">
          <cell r="C24">
            <v>10899000</v>
          </cell>
          <cell r="D24">
            <v>0</v>
          </cell>
          <cell r="E24">
            <v>0</v>
          </cell>
          <cell r="F24">
            <v>0</v>
          </cell>
          <cell r="H24">
            <v>10628999.999999996</v>
          </cell>
          <cell r="I24">
            <v>0</v>
          </cell>
        </row>
        <row r="25">
          <cell r="C25">
            <v>12081000</v>
          </cell>
          <cell r="D25">
            <v>0</v>
          </cell>
          <cell r="E25">
            <v>0</v>
          </cell>
          <cell r="F25">
            <v>0</v>
          </cell>
          <cell r="H25">
            <v>11824000.000000002</v>
          </cell>
          <cell r="I25">
            <v>0</v>
          </cell>
        </row>
        <row r="26">
          <cell r="C26">
            <v>12845000</v>
          </cell>
          <cell r="D26">
            <v>0</v>
          </cell>
          <cell r="E26">
            <v>0</v>
          </cell>
          <cell r="F26">
            <v>0</v>
          </cell>
          <cell r="H26">
            <v>12587999.999999994</v>
          </cell>
          <cell r="I26">
            <v>0</v>
          </cell>
        </row>
        <row r="27">
          <cell r="C27">
            <v>12320000</v>
          </cell>
          <cell r="D27">
            <v>0</v>
          </cell>
          <cell r="E27">
            <v>0</v>
          </cell>
          <cell r="F27">
            <v>0</v>
          </cell>
          <cell r="H27">
            <v>11998000.000000004</v>
          </cell>
          <cell r="I27">
            <v>0</v>
          </cell>
        </row>
        <row r="28">
          <cell r="C28">
            <v>11898000</v>
          </cell>
          <cell r="D28">
            <v>0</v>
          </cell>
          <cell r="E28">
            <v>0</v>
          </cell>
          <cell r="F28">
            <v>0</v>
          </cell>
          <cell r="H28">
            <v>11636000</v>
          </cell>
          <cell r="I28">
            <v>0</v>
          </cell>
        </row>
        <row r="29">
          <cell r="C29">
            <v>11177000</v>
          </cell>
          <cell r="D29">
            <v>0</v>
          </cell>
          <cell r="E29">
            <v>0</v>
          </cell>
          <cell r="F29">
            <v>0</v>
          </cell>
          <cell r="H29">
            <v>10857000</v>
          </cell>
          <cell r="I29">
            <v>0</v>
          </cell>
        </row>
        <row r="30">
          <cell r="C30">
            <v>11069000</v>
          </cell>
          <cell r="D30">
            <v>0</v>
          </cell>
          <cell r="E30">
            <v>0</v>
          </cell>
          <cell r="F30">
            <v>0</v>
          </cell>
          <cell r="H30">
            <v>10810000</v>
          </cell>
          <cell r="I30">
            <v>0</v>
          </cell>
        </row>
        <row r="31">
          <cell r="C31">
            <v>12837000</v>
          </cell>
          <cell r="D31">
            <v>0</v>
          </cell>
          <cell r="E31">
            <v>0</v>
          </cell>
          <cell r="F31">
            <v>0</v>
          </cell>
          <cell r="H31">
            <v>12642000</v>
          </cell>
          <cell r="I31">
            <v>0</v>
          </cell>
        </row>
        <row r="245">
          <cell r="D245">
            <v>270999.99999999726</v>
          </cell>
          <cell r="H245">
            <v>0</v>
          </cell>
        </row>
        <row r="246">
          <cell r="D246">
            <v>539000.00000000151</v>
          </cell>
          <cell r="H246">
            <v>0</v>
          </cell>
        </row>
        <row r="247">
          <cell r="D247">
            <v>266999.99999999948</v>
          </cell>
          <cell r="H247">
            <v>0</v>
          </cell>
        </row>
        <row r="248">
          <cell r="D248">
            <v>466999.99999999878</v>
          </cell>
          <cell r="H248">
            <v>0</v>
          </cell>
        </row>
        <row r="249">
          <cell r="D249">
            <v>393000.0000000007</v>
          </cell>
          <cell r="H249">
            <v>0</v>
          </cell>
        </row>
        <row r="250">
          <cell r="D250">
            <v>347000.00000000128</v>
          </cell>
          <cell r="H250">
            <v>0</v>
          </cell>
        </row>
        <row r="251">
          <cell r="D251">
            <v>364999.99999999843</v>
          </cell>
          <cell r="H251">
            <v>0</v>
          </cell>
        </row>
        <row r="252">
          <cell r="D252">
            <v>511000.00000000279</v>
          </cell>
          <cell r="H252">
            <v>0</v>
          </cell>
        </row>
        <row r="253">
          <cell r="D253">
            <v>474999.99999999785</v>
          </cell>
          <cell r="H253">
            <v>74020</v>
          </cell>
        </row>
        <row r="254">
          <cell r="D254">
            <v>335000.00000000087</v>
          </cell>
          <cell r="H254">
            <v>0</v>
          </cell>
        </row>
        <row r="255">
          <cell r="D255">
            <v>399999.9999999986</v>
          </cell>
          <cell r="H255">
            <v>0</v>
          </cell>
        </row>
        <row r="256">
          <cell r="D256">
            <v>280000.00000000116</v>
          </cell>
          <cell r="H256">
            <v>0</v>
          </cell>
        </row>
        <row r="257">
          <cell r="D257">
            <v>402000.00000000105</v>
          </cell>
          <cell r="H257">
            <v>0</v>
          </cell>
        </row>
        <row r="258">
          <cell r="D258">
            <v>468000</v>
          </cell>
          <cell r="H258">
            <v>0</v>
          </cell>
        </row>
        <row r="259">
          <cell r="D259">
            <v>286000.00000000134</v>
          </cell>
          <cell r="H259">
            <v>15009</v>
          </cell>
        </row>
        <row r="260">
          <cell r="D260">
            <v>323999.99999999808</v>
          </cell>
          <cell r="H260">
            <v>0</v>
          </cell>
        </row>
        <row r="261">
          <cell r="D261">
            <v>194000.00000000262</v>
          </cell>
          <cell r="H261">
            <v>0</v>
          </cell>
        </row>
        <row r="262">
          <cell r="D262">
            <v>323999.99999999808</v>
          </cell>
          <cell r="H262">
            <v>0</v>
          </cell>
        </row>
        <row r="263">
          <cell r="D263">
            <v>329000.00000000064</v>
          </cell>
          <cell r="H263">
            <v>0</v>
          </cell>
        </row>
        <row r="264">
          <cell r="D264">
            <v>245999.99999999511</v>
          </cell>
          <cell r="H264">
            <v>76651</v>
          </cell>
        </row>
        <row r="265">
          <cell r="D265">
            <v>270000.00000000314</v>
          </cell>
          <cell r="H265">
            <v>0</v>
          </cell>
        </row>
        <row r="266">
          <cell r="D266">
            <v>256999.9999999979</v>
          </cell>
          <cell r="H266">
            <v>37670</v>
          </cell>
        </row>
        <row r="267">
          <cell r="D267">
            <v>257000.00000000501</v>
          </cell>
          <cell r="H267">
            <v>0</v>
          </cell>
        </row>
        <row r="268">
          <cell r="D268">
            <v>321999.99999999563</v>
          </cell>
          <cell r="H268">
            <v>27434</v>
          </cell>
        </row>
        <row r="269">
          <cell r="D269">
            <v>262000.00000000047</v>
          </cell>
          <cell r="H269">
            <v>0</v>
          </cell>
        </row>
        <row r="270">
          <cell r="D270">
            <v>320000.00000000029</v>
          </cell>
          <cell r="H270">
            <v>145138</v>
          </cell>
        </row>
        <row r="271">
          <cell r="D271">
            <v>259000.00000000035</v>
          </cell>
          <cell r="H271">
            <v>0</v>
          </cell>
        </row>
        <row r="272">
          <cell r="D272">
            <v>195000.00000000029</v>
          </cell>
          <cell r="H272">
            <v>0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Mar Pro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4">
          <cell r="C4">
            <v>11851000</v>
          </cell>
          <cell r="D4">
            <v>0</v>
          </cell>
          <cell r="E4">
            <v>0</v>
          </cell>
          <cell r="F4">
            <v>0</v>
          </cell>
          <cell r="H4">
            <v>11463000.000000002</v>
          </cell>
          <cell r="I4">
            <v>0</v>
          </cell>
        </row>
        <row r="5">
          <cell r="C5">
            <v>12462000</v>
          </cell>
          <cell r="D5">
            <v>0</v>
          </cell>
          <cell r="E5">
            <v>0</v>
          </cell>
          <cell r="F5">
            <v>0</v>
          </cell>
          <cell r="H5">
            <v>12267000</v>
          </cell>
          <cell r="I5">
            <v>0</v>
          </cell>
        </row>
        <row r="6">
          <cell r="C6">
            <v>12078000</v>
          </cell>
          <cell r="D6">
            <v>0</v>
          </cell>
          <cell r="E6">
            <v>0</v>
          </cell>
          <cell r="F6">
            <v>0</v>
          </cell>
          <cell r="H6">
            <v>11752999.999999996</v>
          </cell>
          <cell r="I6">
            <v>0</v>
          </cell>
        </row>
        <row r="7">
          <cell r="C7">
            <v>12010000</v>
          </cell>
          <cell r="D7">
            <v>0</v>
          </cell>
          <cell r="E7">
            <v>0</v>
          </cell>
          <cell r="F7">
            <v>0</v>
          </cell>
          <cell r="H7">
            <v>11751000</v>
          </cell>
          <cell r="I7">
            <v>0</v>
          </cell>
        </row>
        <row r="8">
          <cell r="C8">
            <v>10624000</v>
          </cell>
          <cell r="D8">
            <v>0</v>
          </cell>
          <cell r="E8">
            <v>1000000</v>
          </cell>
          <cell r="F8">
            <v>0</v>
          </cell>
          <cell r="H8">
            <v>10365000</v>
          </cell>
          <cell r="I8">
            <v>0</v>
          </cell>
        </row>
        <row r="9">
          <cell r="C9">
            <v>11933000</v>
          </cell>
          <cell r="D9">
            <v>0</v>
          </cell>
          <cell r="E9">
            <v>1000000</v>
          </cell>
          <cell r="F9">
            <v>0</v>
          </cell>
          <cell r="H9">
            <v>11617000.000000006</v>
          </cell>
          <cell r="I9">
            <v>0</v>
          </cell>
        </row>
        <row r="10">
          <cell r="C10">
            <v>12499000</v>
          </cell>
          <cell r="D10">
            <v>0</v>
          </cell>
          <cell r="E10">
            <v>0</v>
          </cell>
          <cell r="F10">
            <v>0</v>
          </cell>
          <cell r="H10">
            <v>12241999.999999994</v>
          </cell>
          <cell r="I10">
            <v>0</v>
          </cell>
        </row>
        <row r="11">
          <cell r="C11">
            <v>12312000</v>
          </cell>
          <cell r="D11">
            <v>0</v>
          </cell>
          <cell r="E11">
            <v>0</v>
          </cell>
          <cell r="F11">
            <v>0</v>
          </cell>
          <cell r="H11">
            <v>11992000</v>
          </cell>
          <cell r="I11">
            <v>0</v>
          </cell>
        </row>
        <row r="12">
          <cell r="C12">
            <v>13057000</v>
          </cell>
          <cell r="D12">
            <v>0</v>
          </cell>
          <cell r="E12">
            <v>3000000</v>
          </cell>
          <cell r="F12">
            <v>0</v>
          </cell>
          <cell r="H12">
            <v>12801000</v>
          </cell>
          <cell r="I12">
            <v>0</v>
          </cell>
        </row>
        <row r="13">
          <cell r="C13">
            <v>12921000</v>
          </cell>
          <cell r="D13">
            <v>0</v>
          </cell>
          <cell r="E13">
            <v>0</v>
          </cell>
          <cell r="F13">
            <v>0</v>
          </cell>
          <cell r="H13">
            <v>12661000.000000002</v>
          </cell>
          <cell r="I13">
            <v>0</v>
          </cell>
        </row>
        <row r="14">
          <cell r="C14">
            <v>12015000</v>
          </cell>
          <cell r="D14">
            <v>0</v>
          </cell>
          <cell r="E14">
            <v>3000000</v>
          </cell>
          <cell r="F14">
            <v>0</v>
          </cell>
          <cell r="H14">
            <v>11691000.000000002</v>
          </cell>
          <cell r="I14">
            <v>0</v>
          </cell>
        </row>
        <row r="15">
          <cell r="C15">
            <v>10167000</v>
          </cell>
          <cell r="D15">
            <v>0</v>
          </cell>
          <cell r="E15">
            <v>5000000</v>
          </cell>
          <cell r="F15">
            <v>0</v>
          </cell>
          <cell r="H15">
            <v>9843000.0000000019</v>
          </cell>
          <cell r="I15">
            <v>0</v>
          </cell>
        </row>
        <row r="16">
          <cell r="C16">
            <v>12726000</v>
          </cell>
          <cell r="D16">
            <v>0</v>
          </cell>
          <cell r="E16">
            <v>3000000</v>
          </cell>
          <cell r="F16">
            <v>0</v>
          </cell>
          <cell r="H16">
            <v>12532999.999999994</v>
          </cell>
          <cell r="I16">
            <v>0</v>
          </cell>
        </row>
        <row r="17">
          <cell r="C17">
            <v>12811000</v>
          </cell>
          <cell r="D17">
            <v>0</v>
          </cell>
          <cell r="E17">
            <v>0</v>
          </cell>
          <cell r="F17">
            <v>0</v>
          </cell>
          <cell r="H17">
            <v>12549000</v>
          </cell>
          <cell r="I17">
            <v>0</v>
          </cell>
        </row>
        <row r="18">
          <cell r="C18">
            <v>12344000</v>
          </cell>
          <cell r="D18">
            <v>0</v>
          </cell>
          <cell r="E18">
            <v>0</v>
          </cell>
          <cell r="F18">
            <v>0</v>
          </cell>
          <cell r="H18">
            <v>11950000.000000002</v>
          </cell>
          <cell r="I18">
            <v>0</v>
          </cell>
        </row>
        <row r="19">
          <cell r="C19">
            <v>10031000</v>
          </cell>
          <cell r="D19">
            <v>0</v>
          </cell>
          <cell r="E19">
            <v>3000000</v>
          </cell>
          <cell r="F19">
            <v>0</v>
          </cell>
          <cell r="H19">
            <v>9705000</v>
          </cell>
          <cell r="I19">
            <v>4100000.000002183</v>
          </cell>
        </row>
        <row r="20">
          <cell r="C20">
            <v>6578000</v>
          </cell>
          <cell r="D20">
            <v>0</v>
          </cell>
          <cell r="E20">
            <v>6000000</v>
          </cell>
          <cell r="F20">
            <v>0</v>
          </cell>
          <cell r="H20">
            <v>6450000</v>
          </cell>
          <cell r="I20">
            <v>5299999.9999992726</v>
          </cell>
        </row>
        <row r="21">
          <cell r="C21">
            <v>6588000</v>
          </cell>
          <cell r="D21">
            <v>0</v>
          </cell>
          <cell r="E21">
            <v>7000000</v>
          </cell>
          <cell r="F21">
            <v>0</v>
          </cell>
          <cell r="H21">
            <v>6263000.0000000047</v>
          </cell>
          <cell r="I21">
            <v>4500000</v>
          </cell>
        </row>
        <row r="22">
          <cell r="C22">
            <v>6491000</v>
          </cell>
          <cell r="D22">
            <v>0</v>
          </cell>
          <cell r="E22">
            <v>6000000</v>
          </cell>
          <cell r="F22">
            <v>0</v>
          </cell>
          <cell r="H22">
            <v>6424000</v>
          </cell>
          <cell r="I22">
            <v>6099999.9999985453</v>
          </cell>
        </row>
        <row r="23">
          <cell r="C23">
            <v>6472000</v>
          </cell>
          <cell r="D23">
            <v>0</v>
          </cell>
          <cell r="E23">
            <v>6000000</v>
          </cell>
          <cell r="F23">
            <v>0</v>
          </cell>
          <cell r="H23">
            <v>6339999.9999999944</v>
          </cell>
          <cell r="I23">
            <v>5800000.0000029104</v>
          </cell>
        </row>
        <row r="24">
          <cell r="C24">
            <v>7130000</v>
          </cell>
          <cell r="D24">
            <v>0</v>
          </cell>
          <cell r="E24">
            <v>7000000</v>
          </cell>
          <cell r="F24">
            <v>0</v>
          </cell>
          <cell r="H24">
            <v>7001000.0000000019</v>
          </cell>
          <cell r="I24">
            <v>3599999.9999985448</v>
          </cell>
        </row>
        <row r="25">
          <cell r="C25">
            <v>10566000</v>
          </cell>
          <cell r="D25">
            <v>0</v>
          </cell>
          <cell r="E25">
            <v>7000000</v>
          </cell>
          <cell r="F25">
            <v>0</v>
          </cell>
          <cell r="H25">
            <v>10374000</v>
          </cell>
          <cell r="I25">
            <v>2900000.0000014552</v>
          </cell>
        </row>
        <row r="26">
          <cell r="C26">
            <v>7140000</v>
          </cell>
          <cell r="D26">
            <v>0</v>
          </cell>
          <cell r="E26">
            <v>5000000</v>
          </cell>
          <cell r="F26">
            <v>0</v>
          </cell>
          <cell r="H26">
            <v>6948999.9999999972</v>
          </cell>
          <cell r="I26">
            <v>6299999.9999992726</v>
          </cell>
        </row>
        <row r="27">
          <cell r="C27">
            <v>5990000</v>
          </cell>
          <cell r="D27">
            <v>0</v>
          </cell>
          <cell r="E27">
            <v>7000000</v>
          </cell>
          <cell r="F27">
            <v>0</v>
          </cell>
          <cell r="H27">
            <v>5733000.0000000019</v>
          </cell>
          <cell r="I27">
            <v>5799999.9999992726</v>
          </cell>
        </row>
        <row r="28">
          <cell r="C28">
            <v>5366000</v>
          </cell>
          <cell r="D28">
            <v>0</v>
          </cell>
          <cell r="E28">
            <v>7000000</v>
          </cell>
          <cell r="F28">
            <v>0</v>
          </cell>
          <cell r="H28">
            <v>5104000</v>
          </cell>
          <cell r="I28">
            <v>6700000.0000007274</v>
          </cell>
        </row>
        <row r="29">
          <cell r="C29">
            <v>5636000</v>
          </cell>
          <cell r="D29">
            <v>0</v>
          </cell>
          <cell r="E29">
            <v>8000000</v>
          </cell>
          <cell r="F29">
            <v>0</v>
          </cell>
          <cell r="H29">
            <v>5569000</v>
          </cell>
          <cell r="I29">
            <v>5899999.999997817</v>
          </cell>
        </row>
        <row r="30">
          <cell r="C30">
            <v>7095000</v>
          </cell>
          <cell r="D30">
            <v>0</v>
          </cell>
          <cell r="E30">
            <v>7000000</v>
          </cell>
          <cell r="F30">
            <v>0</v>
          </cell>
          <cell r="H30">
            <v>6964000</v>
          </cell>
          <cell r="I30">
            <v>5600000.000002183</v>
          </cell>
        </row>
        <row r="31">
          <cell r="C31">
            <v>8063000</v>
          </cell>
          <cell r="D31">
            <v>0</v>
          </cell>
          <cell r="E31">
            <v>7000000</v>
          </cell>
          <cell r="F31">
            <v>0</v>
          </cell>
          <cell r="H31">
            <v>7868000</v>
          </cell>
          <cell r="I31">
            <v>6299999.9999992726</v>
          </cell>
        </row>
        <row r="32">
          <cell r="C32">
            <v>7020000</v>
          </cell>
          <cell r="D32">
            <v>0</v>
          </cell>
          <cell r="E32">
            <v>7000000</v>
          </cell>
          <cell r="F32">
            <v>0</v>
          </cell>
          <cell r="H32">
            <v>6687999.9999999991</v>
          </cell>
          <cell r="I32">
            <v>5900000.0000014547</v>
          </cell>
        </row>
        <row r="33">
          <cell r="C33">
            <v>6962000</v>
          </cell>
          <cell r="D33">
            <v>0</v>
          </cell>
          <cell r="E33">
            <v>7000000</v>
          </cell>
          <cell r="F33">
            <v>0</v>
          </cell>
          <cell r="H33">
            <v>6702000.0000000019</v>
          </cell>
          <cell r="I33">
            <v>6000000</v>
          </cell>
        </row>
        <row r="34">
          <cell r="C34">
            <v>8771000</v>
          </cell>
          <cell r="D34">
            <v>0</v>
          </cell>
          <cell r="E34">
            <v>7000000</v>
          </cell>
          <cell r="F34">
            <v>0</v>
          </cell>
          <cell r="H34">
            <v>8640000</v>
          </cell>
          <cell r="I34">
            <v>6199999.9999970896</v>
          </cell>
        </row>
        <row r="259">
          <cell r="D259">
            <v>387999.99999999814</v>
          </cell>
          <cell r="H259">
            <v>0</v>
          </cell>
        </row>
        <row r="260">
          <cell r="D260">
            <v>195000.00000000029</v>
          </cell>
          <cell r="H260">
            <v>17380</v>
          </cell>
        </row>
        <row r="261">
          <cell r="D261">
            <v>325000.00000000285</v>
          </cell>
          <cell r="H261">
            <v>0</v>
          </cell>
        </row>
        <row r="262">
          <cell r="D262">
            <v>259000.00000000035</v>
          </cell>
          <cell r="H262">
            <v>0</v>
          </cell>
        </row>
        <row r="263">
          <cell r="D263">
            <v>259000.00000000035</v>
          </cell>
          <cell r="H263">
            <v>0</v>
          </cell>
        </row>
        <row r="264">
          <cell r="D264">
            <v>315999.9999999954</v>
          </cell>
          <cell r="H264">
            <v>201924</v>
          </cell>
        </row>
        <row r="265">
          <cell r="D265">
            <v>257000.00000000501</v>
          </cell>
          <cell r="H265">
            <v>0</v>
          </cell>
        </row>
        <row r="266">
          <cell r="D266">
            <v>320000.00000000029</v>
          </cell>
          <cell r="H266">
            <v>0</v>
          </cell>
        </row>
        <row r="267">
          <cell r="D267">
            <v>256000.00000000023</v>
          </cell>
          <cell r="H267">
            <v>173831</v>
          </cell>
        </row>
        <row r="268">
          <cell r="D268">
            <v>259999.99999999802</v>
          </cell>
          <cell r="H268">
            <v>36886</v>
          </cell>
        </row>
        <row r="269">
          <cell r="D269">
            <v>323999.99999999808</v>
          </cell>
          <cell r="H269">
            <v>444813</v>
          </cell>
        </row>
        <row r="270">
          <cell r="D270">
            <v>323999.99999999808</v>
          </cell>
          <cell r="H270">
            <v>406761</v>
          </cell>
        </row>
        <row r="271">
          <cell r="D271">
            <v>193000.00000000495</v>
          </cell>
          <cell r="H271">
            <v>262345</v>
          </cell>
        </row>
        <row r="272">
          <cell r="D272">
            <v>262000.00000000047</v>
          </cell>
          <cell r="H272">
            <v>0</v>
          </cell>
        </row>
        <row r="273">
          <cell r="D273">
            <v>393999.99999999837</v>
          </cell>
          <cell r="H273">
            <v>0</v>
          </cell>
        </row>
        <row r="274">
          <cell r="D274">
            <v>326000.00000000052</v>
          </cell>
          <cell r="H274">
            <v>223585</v>
          </cell>
        </row>
        <row r="275">
          <cell r="D275">
            <v>128000.00000000012</v>
          </cell>
          <cell r="H275">
            <v>634753</v>
          </cell>
        </row>
        <row r="276">
          <cell r="D276">
            <v>324999.99999999575</v>
          </cell>
          <cell r="H276">
            <v>746435</v>
          </cell>
        </row>
        <row r="277">
          <cell r="D277">
            <v>67000.000000000175</v>
          </cell>
          <cell r="H277">
            <v>679458</v>
          </cell>
        </row>
        <row r="278">
          <cell r="D278">
            <v>132000.00000000501</v>
          </cell>
          <cell r="H278">
            <v>1194162</v>
          </cell>
        </row>
        <row r="279">
          <cell r="D279">
            <v>128999.99999999779</v>
          </cell>
          <cell r="H279">
            <v>805073</v>
          </cell>
        </row>
        <row r="280">
          <cell r="D280">
            <v>192000.00000000017</v>
          </cell>
          <cell r="H280">
            <v>602034</v>
          </cell>
        </row>
        <row r="281">
          <cell r="D281">
            <v>191000.0000000025</v>
          </cell>
          <cell r="H281">
            <v>711695</v>
          </cell>
        </row>
        <row r="282">
          <cell r="D282">
            <v>256999.9999999979</v>
          </cell>
          <cell r="H282">
            <v>787448</v>
          </cell>
        </row>
        <row r="283">
          <cell r="D283">
            <v>262000.00000000047</v>
          </cell>
          <cell r="H283">
            <v>818636</v>
          </cell>
        </row>
        <row r="284">
          <cell r="D284">
            <v>67000.000000000175</v>
          </cell>
          <cell r="H284">
            <v>786982</v>
          </cell>
        </row>
        <row r="285">
          <cell r="D285">
            <v>131000.00000000023</v>
          </cell>
          <cell r="H285">
            <v>905692</v>
          </cell>
        </row>
        <row r="286">
          <cell r="D286">
            <v>195000.00000000029</v>
          </cell>
          <cell r="H286">
            <v>749181</v>
          </cell>
        </row>
        <row r="287">
          <cell r="D287">
            <v>332000.00000000076</v>
          </cell>
          <cell r="H287">
            <v>745565</v>
          </cell>
        </row>
        <row r="288">
          <cell r="D288">
            <v>259999.99999999802</v>
          </cell>
          <cell r="H288">
            <v>828792</v>
          </cell>
        </row>
        <row r="289">
          <cell r="D289">
            <v>131000.00000000023</v>
          </cell>
          <cell r="H289">
            <v>774803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Apr Pro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>
        <row r="4">
          <cell r="C4">
            <v>8007000</v>
          </cell>
          <cell r="D4">
            <v>0</v>
          </cell>
          <cell r="E4">
            <v>7000000</v>
          </cell>
          <cell r="F4">
            <v>0</v>
          </cell>
          <cell r="H4">
            <v>7743000.0000000047</v>
          </cell>
          <cell r="I4">
            <v>5600000.000002183</v>
          </cell>
        </row>
        <row r="5">
          <cell r="C5">
            <v>6406000</v>
          </cell>
          <cell r="D5">
            <v>0</v>
          </cell>
          <cell r="E5">
            <v>7000000</v>
          </cell>
          <cell r="F5">
            <v>0</v>
          </cell>
          <cell r="H5">
            <v>6139999.9999999944</v>
          </cell>
          <cell r="I5">
            <v>5500000</v>
          </cell>
        </row>
        <row r="6">
          <cell r="C6">
            <v>5543000</v>
          </cell>
          <cell r="D6">
            <v>0</v>
          </cell>
          <cell r="E6">
            <v>7000000</v>
          </cell>
          <cell r="F6">
            <v>0</v>
          </cell>
          <cell r="H6">
            <v>5281000</v>
          </cell>
          <cell r="I6">
            <v>6299999.9999992726</v>
          </cell>
        </row>
        <row r="7">
          <cell r="C7">
            <v>6033000</v>
          </cell>
          <cell r="D7">
            <v>0</v>
          </cell>
          <cell r="E7">
            <v>8000000</v>
          </cell>
          <cell r="F7">
            <v>0</v>
          </cell>
          <cell r="H7">
            <v>5968000.0000000019</v>
          </cell>
          <cell r="I7">
            <v>5700000.0000007274</v>
          </cell>
        </row>
        <row r="8">
          <cell r="C8">
            <v>7986000</v>
          </cell>
          <cell r="D8">
            <v>0</v>
          </cell>
          <cell r="E8">
            <v>7000000</v>
          </cell>
          <cell r="F8">
            <v>0</v>
          </cell>
          <cell r="H8">
            <v>7791000</v>
          </cell>
          <cell r="I8">
            <v>6099999.9999985453</v>
          </cell>
        </row>
        <row r="9">
          <cell r="C9">
            <v>9025000</v>
          </cell>
          <cell r="D9">
            <v>0</v>
          </cell>
          <cell r="E9">
            <v>7000000</v>
          </cell>
          <cell r="F9">
            <v>0</v>
          </cell>
          <cell r="H9">
            <v>8830999.9999999981</v>
          </cell>
          <cell r="I9">
            <v>6100000.000002183</v>
          </cell>
        </row>
        <row r="10">
          <cell r="C10">
            <v>9060000</v>
          </cell>
          <cell r="D10">
            <v>0</v>
          </cell>
          <cell r="E10">
            <v>7000000</v>
          </cell>
          <cell r="F10">
            <v>0</v>
          </cell>
          <cell r="H10">
            <v>8795000</v>
          </cell>
          <cell r="I10">
            <v>5799999.9999992726</v>
          </cell>
        </row>
        <row r="11">
          <cell r="C11">
            <v>9295000</v>
          </cell>
          <cell r="D11">
            <v>0</v>
          </cell>
          <cell r="E11">
            <v>7000000</v>
          </cell>
          <cell r="F11">
            <v>0</v>
          </cell>
          <cell r="H11">
            <v>9027000.0000000075</v>
          </cell>
          <cell r="I11">
            <v>6099999.9999985453</v>
          </cell>
        </row>
        <row r="12">
          <cell r="C12">
            <v>7874000</v>
          </cell>
          <cell r="D12">
            <v>0</v>
          </cell>
          <cell r="E12">
            <v>7000000</v>
          </cell>
          <cell r="F12">
            <v>0</v>
          </cell>
          <cell r="H12">
            <v>7545999.9999999972</v>
          </cell>
          <cell r="I12">
            <v>5299999.9999992726</v>
          </cell>
        </row>
        <row r="13">
          <cell r="C13">
            <v>8227000</v>
          </cell>
          <cell r="D13">
            <v>0</v>
          </cell>
          <cell r="E13">
            <v>7000000</v>
          </cell>
          <cell r="F13">
            <v>0</v>
          </cell>
          <cell r="H13">
            <v>8032999.9999999972</v>
          </cell>
          <cell r="I13">
            <v>6500000</v>
          </cell>
        </row>
        <row r="14">
          <cell r="C14">
            <v>8266000</v>
          </cell>
          <cell r="D14">
            <v>0</v>
          </cell>
          <cell r="E14">
            <v>9000000</v>
          </cell>
          <cell r="F14">
            <v>0</v>
          </cell>
          <cell r="H14">
            <v>8002000.0000000047</v>
          </cell>
          <cell r="I14">
            <v>8000000</v>
          </cell>
        </row>
        <row r="15">
          <cell r="C15">
            <v>11049000</v>
          </cell>
          <cell r="D15">
            <v>0</v>
          </cell>
          <cell r="E15">
            <v>10000000</v>
          </cell>
          <cell r="F15">
            <v>0</v>
          </cell>
          <cell r="H15">
            <v>10790999.999999998</v>
          </cell>
          <cell r="I15">
            <v>8800000.0000029095</v>
          </cell>
        </row>
        <row r="16">
          <cell r="C16">
            <v>3806000</v>
          </cell>
          <cell r="D16">
            <v>0</v>
          </cell>
          <cell r="E16">
            <v>15000000</v>
          </cell>
          <cell r="F16">
            <v>0</v>
          </cell>
          <cell r="H16">
            <v>3491000.0000000023</v>
          </cell>
          <cell r="I16">
            <v>12199999.999997091</v>
          </cell>
        </row>
        <row r="17">
          <cell r="C17">
            <v>0</v>
          </cell>
          <cell r="D17">
            <v>0</v>
          </cell>
          <cell r="E17">
            <v>21000000</v>
          </cell>
          <cell r="F17">
            <v>70000</v>
          </cell>
          <cell r="H17">
            <v>0</v>
          </cell>
          <cell r="I17">
            <v>18900000.000001457</v>
          </cell>
        </row>
        <row r="18">
          <cell r="C18">
            <v>0</v>
          </cell>
          <cell r="D18">
            <v>0</v>
          </cell>
          <cell r="E18">
            <v>19000000</v>
          </cell>
          <cell r="F18">
            <v>220000</v>
          </cell>
          <cell r="H18">
            <v>0</v>
          </cell>
          <cell r="I18">
            <v>16799999.999999274</v>
          </cell>
        </row>
        <row r="19">
          <cell r="C19">
            <v>0</v>
          </cell>
          <cell r="D19">
            <v>0</v>
          </cell>
          <cell r="E19">
            <v>16000000</v>
          </cell>
          <cell r="F19">
            <v>0</v>
          </cell>
          <cell r="H19">
            <v>0</v>
          </cell>
          <cell r="I19">
            <v>13299999.999999272</v>
          </cell>
        </row>
        <row r="20">
          <cell r="C20">
            <v>0</v>
          </cell>
          <cell r="D20">
            <v>0</v>
          </cell>
          <cell r="E20">
            <v>13000000</v>
          </cell>
          <cell r="F20">
            <v>0</v>
          </cell>
          <cell r="H20">
            <v>0</v>
          </cell>
          <cell r="I20">
            <v>11400000.000001455</v>
          </cell>
        </row>
        <row r="21">
          <cell r="C21">
            <v>0</v>
          </cell>
          <cell r="D21">
            <v>0</v>
          </cell>
          <cell r="E21">
            <v>13000000</v>
          </cell>
          <cell r="F21">
            <v>0</v>
          </cell>
          <cell r="H21">
            <v>0</v>
          </cell>
          <cell r="I21">
            <v>11099999.999998545</v>
          </cell>
        </row>
        <row r="22">
          <cell r="C22">
            <v>0</v>
          </cell>
          <cell r="D22">
            <v>0</v>
          </cell>
          <cell r="E22">
            <v>15000000</v>
          </cell>
          <cell r="F22">
            <v>0</v>
          </cell>
          <cell r="H22">
            <v>0</v>
          </cell>
          <cell r="I22">
            <v>13400000.000001455</v>
          </cell>
        </row>
        <row r="23">
          <cell r="C23">
            <v>0</v>
          </cell>
          <cell r="D23">
            <v>0</v>
          </cell>
          <cell r="E23">
            <v>16000000</v>
          </cell>
          <cell r="F23">
            <v>0</v>
          </cell>
          <cell r="H23">
            <v>0</v>
          </cell>
          <cell r="I23">
            <v>13500000</v>
          </cell>
        </row>
        <row r="24">
          <cell r="C24">
            <v>0</v>
          </cell>
          <cell r="D24">
            <v>0</v>
          </cell>
          <cell r="E24">
            <v>16000000</v>
          </cell>
          <cell r="F24">
            <v>0</v>
          </cell>
          <cell r="H24">
            <v>0</v>
          </cell>
          <cell r="I24">
            <v>14500000</v>
          </cell>
        </row>
        <row r="25">
          <cell r="C25">
            <v>0</v>
          </cell>
          <cell r="D25">
            <v>0</v>
          </cell>
          <cell r="E25">
            <v>16000000</v>
          </cell>
          <cell r="F25">
            <v>0</v>
          </cell>
          <cell r="H25">
            <v>0</v>
          </cell>
          <cell r="I25">
            <v>13799999.999999272</v>
          </cell>
        </row>
        <row r="26">
          <cell r="C26">
            <v>3845000</v>
          </cell>
          <cell r="D26">
            <v>0</v>
          </cell>
          <cell r="E26">
            <v>17000000</v>
          </cell>
          <cell r="F26">
            <v>0</v>
          </cell>
          <cell r="H26">
            <v>3734000.0000000028</v>
          </cell>
          <cell r="I26">
            <v>15100000.000002183</v>
          </cell>
        </row>
        <row r="27">
          <cell r="C27">
            <v>5983000</v>
          </cell>
          <cell r="D27">
            <v>0</v>
          </cell>
          <cell r="E27">
            <v>12000000</v>
          </cell>
          <cell r="F27">
            <v>0</v>
          </cell>
          <cell r="H27">
            <v>5724000</v>
          </cell>
          <cell r="I27">
            <v>10099999.999998545</v>
          </cell>
        </row>
        <row r="28">
          <cell r="C28">
            <v>6054000</v>
          </cell>
          <cell r="D28">
            <v>0</v>
          </cell>
          <cell r="E28">
            <v>13000000</v>
          </cell>
          <cell r="F28">
            <v>0</v>
          </cell>
          <cell r="H28">
            <v>5731999.9999999972</v>
          </cell>
          <cell r="I28">
            <v>11200000.000000728</v>
          </cell>
        </row>
        <row r="29">
          <cell r="C29">
            <v>5935000</v>
          </cell>
          <cell r="D29">
            <v>0</v>
          </cell>
          <cell r="E29">
            <v>14000000</v>
          </cell>
          <cell r="F29">
            <v>0</v>
          </cell>
          <cell r="H29">
            <v>5870000.0000000019</v>
          </cell>
          <cell r="I29">
            <v>12200000.000000728</v>
          </cell>
        </row>
        <row r="30">
          <cell r="C30">
            <v>5976000</v>
          </cell>
          <cell r="D30">
            <v>0</v>
          </cell>
          <cell r="E30">
            <v>8000000</v>
          </cell>
          <cell r="F30">
            <v>0</v>
          </cell>
          <cell r="H30">
            <v>5574999.9999999963</v>
          </cell>
          <cell r="I30">
            <v>7099999.9999985453</v>
          </cell>
        </row>
        <row r="31">
          <cell r="C31">
            <v>6043000</v>
          </cell>
          <cell r="D31">
            <v>0</v>
          </cell>
          <cell r="E31">
            <v>7000000</v>
          </cell>
          <cell r="F31">
            <v>0</v>
          </cell>
          <cell r="H31">
            <v>5841000.0000000019</v>
          </cell>
          <cell r="I31">
            <v>5400000.0000014547</v>
          </cell>
        </row>
        <row r="32">
          <cell r="C32">
            <v>8694000</v>
          </cell>
          <cell r="D32">
            <v>0</v>
          </cell>
          <cell r="E32">
            <v>10000000</v>
          </cell>
          <cell r="F32">
            <v>0</v>
          </cell>
          <cell r="H32">
            <v>8370000.0000000019</v>
          </cell>
          <cell r="I32">
            <v>8899999.999997817</v>
          </cell>
        </row>
        <row r="33">
          <cell r="C33">
            <v>10236000</v>
          </cell>
          <cell r="D33">
            <v>0</v>
          </cell>
          <cell r="E33">
            <v>12000000</v>
          </cell>
          <cell r="F33">
            <v>0</v>
          </cell>
          <cell r="H33">
            <v>9965000</v>
          </cell>
          <cell r="I33">
            <v>10000000</v>
          </cell>
        </row>
        <row r="252">
          <cell r="D252">
            <v>263999.99999999581</v>
          </cell>
          <cell r="H252">
            <v>902590</v>
          </cell>
        </row>
        <row r="253">
          <cell r="D253">
            <v>266000.00000000536</v>
          </cell>
          <cell r="H253">
            <v>961366</v>
          </cell>
        </row>
        <row r="254">
          <cell r="D254">
            <v>262000.00000000047</v>
          </cell>
          <cell r="H254">
            <v>742568</v>
          </cell>
        </row>
        <row r="255">
          <cell r="D255">
            <v>64999.99999999773</v>
          </cell>
          <cell r="H255">
            <v>914993</v>
          </cell>
        </row>
        <row r="256">
          <cell r="D256">
            <v>195000.00000000029</v>
          </cell>
          <cell r="H256">
            <v>972848</v>
          </cell>
        </row>
        <row r="257">
          <cell r="D257">
            <v>194000.00000000262</v>
          </cell>
          <cell r="H257">
            <v>763703</v>
          </cell>
        </row>
        <row r="258">
          <cell r="D258">
            <v>265000.00000000058</v>
          </cell>
          <cell r="H258">
            <v>756866</v>
          </cell>
        </row>
        <row r="259">
          <cell r="D259">
            <v>267999.9999999936</v>
          </cell>
          <cell r="H259">
            <v>736581</v>
          </cell>
        </row>
        <row r="260">
          <cell r="D260">
            <v>328000.00000000297</v>
          </cell>
          <cell r="H260">
            <v>782463</v>
          </cell>
        </row>
        <row r="261">
          <cell r="D261">
            <v>194000.00000000262</v>
          </cell>
          <cell r="H261">
            <v>749850</v>
          </cell>
        </row>
        <row r="262">
          <cell r="D262">
            <v>263999.99999999581</v>
          </cell>
          <cell r="H262">
            <v>939109</v>
          </cell>
        </row>
        <row r="263">
          <cell r="D263">
            <v>258000.00000000268</v>
          </cell>
          <cell r="H263">
            <v>983544</v>
          </cell>
        </row>
        <row r="264">
          <cell r="D264">
            <v>314999.99999999773</v>
          </cell>
          <cell r="H264">
            <v>1510846</v>
          </cell>
        </row>
        <row r="265">
          <cell r="D265">
            <v>0</v>
          </cell>
          <cell r="H265">
            <v>2155425</v>
          </cell>
        </row>
        <row r="266">
          <cell r="D266">
            <v>0</v>
          </cell>
          <cell r="H266">
            <v>1888407</v>
          </cell>
        </row>
        <row r="267">
          <cell r="D267">
            <v>0</v>
          </cell>
          <cell r="H267">
            <v>1594633</v>
          </cell>
        </row>
        <row r="268">
          <cell r="D268">
            <v>0</v>
          </cell>
          <cell r="H268">
            <v>1438555</v>
          </cell>
        </row>
        <row r="269">
          <cell r="D269">
            <v>0</v>
          </cell>
          <cell r="H269">
            <v>1380661</v>
          </cell>
        </row>
        <row r="270">
          <cell r="D270">
            <v>0</v>
          </cell>
          <cell r="H270">
            <v>1583886</v>
          </cell>
        </row>
        <row r="271">
          <cell r="D271">
            <v>0</v>
          </cell>
          <cell r="H271">
            <v>1684104</v>
          </cell>
        </row>
        <row r="272">
          <cell r="D272">
            <v>548999.99999999953</v>
          </cell>
          <cell r="H272">
            <v>1761007</v>
          </cell>
        </row>
        <row r="273">
          <cell r="D273">
            <v>174999.99999999715</v>
          </cell>
          <cell r="H273">
            <v>1724639</v>
          </cell>
        </row>
        <row r="274">
          <cell r="D274">
            <v>110999.9999999971</v>
          </cell>
          <cell r="H274">
            <v>1786143</v>
          </cell>
        </row>
        <row r="275">
          <cell r="D275">
            <v>259000.00000000035</v>
          </cell>
          <cell r="H275">
            <v>1350828</v>
          </cell>
        </row>
        <row r="276">
          <cell r="D276">
            <v>322000.00000000274</v>
          </cell>
          <cell r="H276">
            <v>1506826</v>
          </cell>
        </row>
        <row r="277">
          <cell r="D277">
            <v>64999.99999999773</v>
          </cell>
          <cell r="H277">
            <v>1475637</v>
          </cell>
        </row>
        <row r="278">
          <cell r="D278">
            <v>401000.00000000338</v>
          </cell>
          <cell r="H278">
            <v>902312</v>
          </cell>
        </row>
        <row r="279">
          <cell r="D279">
            <v>201999.9999999982</v>
          </cell>
          <cell r="H279">
            <v>774624</v>
          </cell>
        </row>
        <row r="280">
          <cell r="D280">
            <v>323999.99999999808</v>
          </cell>
          <cell r="H280">
            <v>1280056</v>
          </cell>
        </row>
        <row r="281">
          <cell r="D281">
            <v>271000.00000000081</v>
          </cell>
          <cell r="H281">
            <v>1436812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May Pro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4">
          <cell r="C4">
            <v>6373000</v>
          </cell>
          <cell r="D4">
            <v>0</v>
          </cell>
          <cell r="E4">
            <v>9000000</v>
          </cell>
          <cell r="F4">
            <v>0</v>
          </cell>
          <cell r="H4">
            <v>6101999.9999999991</v>
          </cell>
          <cell r="I4">
            <v>7299999.9999992726</v>
          </cell>
        </row>
        <row r="5">
          <cell r="C5">
            <v>7208000</v>
          </cell>
          <cell r="D5">
            <v>0</v>
          </cell>
          <cell r="E5">
            <v>8000000</v>
          </cell>
          <cell r="F5">
            <v>0</v>
          </cell>
          <cell r="H5">
            <v>6940999.9999999972</v>
          </cell>
          <cell r="I5">
            <v>7100000.000002183</v>
          </cell>
        </row>
        <row r="6">
          <cell r="C6">
            <v>9918000</v>
          </cell>
          <cell r="D6">
            <v>0</v>
          </cell>
          <cell r="E6">
            <v>11000000</v>
          </cell>
          <cell r="F6">
            <v>0</v>
          </cell>
          <cell r="H6">
            <v>9650000</v>
          </cell>
          <cell r="I6">
            <v>9500000</v>
          </cell>
        </row>
        <row r="7">
          <cell r="C7">
            <v>8794000</v>
          </cell>
          <cell r="D7">
            <v>0</v>
          </cell>
          <cell r="E7">
            <v>11000000</v>
          </cell>
          <cell r="F7">
            <v>0</v>
          </cell>
          <cell r="H7">
            <v>8531000.0000000019</v>
          </cell>
          <cell r="I7">
            <v>9399999.999997817</v>
          </cell>
        </row>
        <row r="8">
          <cell r="C8">
            <v>6007000</v>
          </cell>
          <cell r="D8">
            <v>0</v>
          </cell>
          <cell r="E8">
            <v>10000000</v>
          </cell>
          <cell r="F8">
            <v>0</v>
          </cell>
          <cell r="H8">
            <v>5809000</v>
          </cell>
          <cell r="I8">
            <v>8500000</v>
          </cell>
        </row>
        <row r="9">
          <cell r="C9">
            <v>5953000</v>
          </cell>
          <cell r="D9">
            <v>0</v>
          </cell>
          <cell r="E9">
            <v>9000000</v>
          </cell>
          <cell r="F9">
            <v>0</v>
          </cell>
          <cell r="H9">
            <v>5687999.9999999991</v>
          </cell>
          <cell r="I9">
            <v>7600000.000002183</v>
          </cell>
        </row>
        <row r="10">
          <cell r="C10">
            <v>5991000</v>
          </cell>
          <cell r="D10">
            <v>0</v>
          </cell>
          <cell r="E10">
            <v>8000000</v>
          </cell>
          <cell r="F10">
            <v>0</v>
          </cell>
          <cell r="H10">
            <v>5789000.0000000019</v>
          </cell>
          <cell r="I10">
            <v>6799999.9999992726</v>
          </cell>
        </row>
        <row r="11">
          <cell r="C11">
            <v>7057000</v>
          </cell>
          <cell r="D11">
            <v>0</v>
          </cell>
          <cell r="E11">
            <v>8000000</v>
          </cell>
          <cell r="F11">
            <v>0</v>
          </cell>
          <cell r="H11">
            <v>6859999.9999999972</v>
          </cell>
          <cell r="I11">
            <v>6299999.9999992726</v>
          </cell>
        </row>
        <row r="12">
          <cell r="C12">
            <v>6984000</v>
          </cell>
          <cell r="D12">
            <v>0</v>
          </cell>
          <cell r="E12">
            <v>9000000</v>
          </cell>
          <cell r="F12">
            <v>0</v>
          </cell>
          <cell r="H12">
            <v>6654999.9999999991</v>
          </cell>
          <cell r="I12">
            <v>7799999.9999992726</v>
          </cell>
        </row>
        <row r="13">
          <cell r="C13">
            <v>7134000</v>
          </cell>
          <cell r="D13">
            <v>0</v>
          </cell>
          <cell r="E13">
            <v>10000000</v>
          </cell>
          <cell r="F13">
            <v>0</v>
          </cell>
          <cell r="H13">
            <v>6934000.0000000047</v>
          </cell>
          <cell r="I13">
            <v>8700000.0000007283</v>
          </cell>
        </row>
        <row r="14">
          <cell r="C14">
            <v>7357000</v>
          </cell>
          <cell r="D14">
            <v>0</v>
          </cell>
          <cell r="E14">
            <v>8000000</v>
          </cell>
          <cell r="F14">
            <v>0</v>
          </cell>
          <cell r="H14">
            <v>7159000</v>
          </cell>
          <cell r="I14">
            <v>7200000.0000007274</v>
          </cell>
        </row>
        <row r="15">
          <cell r="C15">
            <v>6930000</v>
          </cell>
          <cell r="D15">
            <v>0</v>
          </cell>
          <cell r="E15">
            <v>8000000</v>
          </cell>
          <cell r="F15">
            <v>0</v>
          </cell>
          <cell r="H15">
            <v>6668000</v>
          </cell>
          <cell r="I15">
            <v>6799999.9999992726</v>
          </cell>
        </row>
        <row r="16">
          <cell r="C16">
            <v>7201000</v>
          </cell>
          <cell r="D16">
            <v>0</v>
          </cell>
          <cell r="E16">
            <v>9000000</v>
          </cell>
          <cell r="F16">
            <v>0</v>
          </cell>
          <cell r="H16">
            <v>7003999.9999999972</v>
          </cell>
          <cell r="I16">
            <v>7000000</v>
          </cell>
        </row>
        <row r="17">
          <cell r="C17">
            <v>6931000</v>
          </cell>
          <cell r="D17">
            <v>0</v>
          </cell>
          <cell r="E17">
            <v>8000000</v>
          </cell>
          <cell r="F17">
            <v>0</v>
          </cell>
          <cell r="H17">
            <v>6732000.0000000019</v>
          </cell>
          <cell r="I17">
            <v>6700000.0000007274</v>
          </cell>
        </row>
        <row r="18">
          <cell r="C18">
            <v>7504000</v>
          </cell>
          <cell r="D18">
            <v>0</v>
          </cell>
          <cell r="E18">
            <v>7000000</v>
          </cell>
          <cell r="F18">
            <v>0</v>
          </cell>
          <cell r="H18">
            <v>7311000.0000000019</v>
          </cell>
          <cell r="I18">
            <v>6299999.9999992726</v>
          </cell>
        </row>
        <row r="19">
          <cell r="C19">
            <v>9361000</v>
          </cell>
          <cell r="D19">
            <v>0</v>
          </cell>
          <cell r="E19">
            <v>7000000</v>
          </cell>
          <cell r="F19">
            <v>0</v>
          </cell>
          <cell r="H19">
            <v>9099999.9999999963</v>
          </cell>
          <cell r="I19">
            <v>5299999.9999992726</v>
          </cell>
        </row>
        <row r="20">
          <cell r="C20">
            <v>6999000</v>
          </cell>
          <cell r="D20">
            <v>0</v>
          </cell>
          <cell r="E20">
            <v>12000000</v>
          </cell>
          <cell r="F20">
            <v>0</v>
          </cell>
          <cell r="H20">
            <v>6803000.0000000019</v>
          </cell>
          <cell r="I20">
            <v>9500000</v>
          </cell>
        </row>
        <row r="21">
          <cell r="C21">
            <v>6019000</v>
          </cell>
          <cell r="D21">
            <v>0</v>
          </cell>
          <cell r="E21">
            <v>12000000</v>
          </cell>
          <cell r="F21">
            <v>0</v>
          </cell>
          <cell r="H21">
            <v>5759000.0000000019</v>
          </cell>
          <cell r="I21">
            <v>10600000.000002183</v>
          </cell>
        </row>
        <row r="22">
          <cell r="C22">
            <v>6008000</v>
          </cell>
          <cell r="D22">
            <v>0</v>
          </cell>
          <cell r="E22">
            <v>10000000</v>
          </cell>
          <cell r="F22">
            <v>0</v>
          </cell>
          <cell r="H22">
            <v>5880000</v>
          </cell>
          <cell r="I22">
            <v>8599999.9999985453</v>
          </cell>
        </row>
        <row r="23">
          <cell r="C23">
            <v>5934000</v>
          </cell>
          <cell r="D23">
            <v>0</v>
          </cell>
          <cell r="E23">
            <v>8000000</v>
          </cell>
          <cell r="F23">
            <v>0</v>
          </cell>
          <cell r="H23">
            <v>5740999.9999999953</v>
          </cell>
          <cell r="I23">
            <v>7500000</v>
          </cell>
        </row>
        <row r="24">
          <cell r="C24">
            <v>6054000</v>
          </cell>
          <cell r="D24">
            <v>0</v>
          </cell>
          <cell r="E24">
            <v>7000000</v>
          </cell>
          <cell r="F24">
            <v>0</v>
          </cell>
          <cell r="H24">
            <v>5861000.0000000019</v>
          </cell>
          <cell r="I24">
            <v>5600000.000002183</v>
          </cell>
        </row>
        <row r="25">
          <cell r="C25">
            <v>6048000</v>
          </cell>
          <cell r="D25">
            <v>0</v>
          </cell>
          <cell r="E25">
            <v>8000000</v>
          </cell>
          <cell r="F25">
            <v>0</v>
          </cell>
          <cell r="H25">
            <v>5917999.9999999972</v>
          </cell>
          <cell r="I25">
            <v>6899999.999997817</v>
          </cell>
        </row>
        <row r="26">
          <cell r="C26">
            <v>5932000</v>
          </cell>
          <cell r="D26">
            <v>0</v>
          </cell>
          <cell r="E26">
            <v>9000000</v>
          </cell>
          <cell r="F26">
            <v>0</v>
          </cell>
          <cell r="H26">
            <v>5803000.0000000019</v>
          </cell>
          <cell r="I26">
            <v>7600000.000002183</v>
          </cell>
        </row>
        <row r="27">
          <cell r="C27">
            <v>6070000</v>
          </cell>
          <cell r="D27">
            <v>0</v>
          </cell>
          <cell r="E27">
            <v>9000000</v>
          </cell>
          <cell r="F27">
            <v>0</v>
          </cell>
          <cell r="H27">
            <v>5938000.0000000019</v>
          </cell>
          <cell r="I27">
            <v>7899999.999997817</v>
          </cell>
        </row>
        <row r="28">
          <cell r="C28">
            <v>5895000</v>
          </cell>
          <cell r="D28">
            <v>0</v>
          </cell>
          <cell r="E28">
            <v>9000000</v>
          </cell>
          <cell r="F28">
            <v>0</v>
          </cell>
          <cell r="H28">
            <v>5560999.9999999963</v>
          </cell>
          <cell r="I28">
            <v>7400000.0000014547</v>
          </cell>
        </row>
        <row r="29">
          <cell r="C29">
            <v>6080000</v>
          </cell>
          <cell r="D29">
            <v>0</v>
          </cell>
          <cell r="E29">
            <v>11000000</v>
          </cell>
          <cell r="F29">
            <v>0</v>
          </cell>
          <cell r="H29">
            <v>5951000.0000000019</v>
          </cell>
          <cell r="I29">
            <v>9099999.9999985453</v>
          </cell>
        </row>
        <row r="30">
          <cell r="C30">
            <v>5986000</v>
          </cell>
          <cell r="D30">
            <v>0</v>
          </cell>
          <cell r="E30">
            <v>10000000</v>
          </cell>
          <cell r="F30">
            <v>0</v>
          </cell>
          <cell r="H30">
            <v>5854000.0000000019</v>
          </cell>
          <cell r="I30">
            <v>8500000</v>
          </cell>
        </row>
        <row r="31">
          <cell r="C31">
            <v>7853000</v>
          </cell>
          <cell r="D31">
            <v>0</v>
          </cell>
          <cell r="E31">
            <v>10000000</v>
          </cell>
          <cell r="F31">
            <v>0</v>
          </cell>
          <cell r="H31">
            <v>7787999.9999999953</v>
          </cell>
          <cell r="I31">
            <v>8600000.000002183</v>
          </cell>
        </row>
        <row r="32">
          <cell r="C32">
            <v>6956000</v>
          </cell>
          <cell r="D32">
            <v>0</v>
          </cell>
          <cell r="E32">
            <v>9000000</v>
          </cell>
          <cell r="F32">
            <v>0</v>
          </cell>
          <cell r="H32">
            <v>6756000.0000000047</v>
          </cell>
          <cell r="I32">
            <v>7599999.9999985453</v>
          </cell>
        </row>
        <row r="33">
          <cell r="C33">
            <v>6145000</v>
          </cell>
          <cell r="D33">
            <v>0</v>
          </cell>
          <cell r="E33">
            <v>8000000</v>
          </cell>
          <cell r="F33">
            <v>0</v>
          </cell>
          <cell r="H33">
            <v>5945999.9999999944</v>
          </cell>
          <cell r="I33">
            <v>7099999.9999985453</v>
          </cell>
        </row>
        <row r="34">
          <cell r="C34">
            <v>10809000</v>
          </cell>
          <cell r="D34">
            <v>0</v>
          </cell>
          <cell r="E34">
            <v>11000000</v>
          </cell>
          <cell r="F34">
            <v>0</v>
          </cell>
          <cell r="H34">
            <v>10546000.000000002</v>
          </cell>
          <cell r="I34">
            <v>8200000.0000007274</v>
          </cell>
        </row>
        <row r="259">
          <cell r="D259">
            <v>271000.00000000081</v>
          </cell>
          <cell r="H259">
            <v>1018135</v>
          </cell>
        </row>
        <row r="260">
          <cell r="D260">
            <v>267000.00000000303</v>
          </cell>
          <cell r="H260">
            <v>876529</v>
          </cell>
        </row>
        <row r="261">
          <cell r="D261">
            <v>268000.0000000007</v>
          </cell>
          <cell r="H261">
            <v>1336388</v>
          </cell>
        </row>
        <row r="262">
          <cell r="D262">
            <v>262999.99999999814</v>
          </cell>
          <cell r="H262">
            <v>1205658</v>
          </cell>
        </row>
        <row r="263">
          <cell r="D263">
            <v>198000.00000000041</v>
          </cell>
          <cell r="H263">
            <v>1123865</v>
          </cell>
        </row>
        <row r="264">
          <cell r="D264">
            <v>265000.00000000058</v>
          </cell>
          <cell r="H264">
            <v>1093300</v>
          </cell>
        </row>
        <row r="265">
          <cell r="D265">
            <v>201999.9999999982</v>
          </cell>
          <cell r="H265">
            <v>911334</v>
          </cell>
        </row>
        <row r="266">
          <cell r="D266">
            <v>197000.00000000274</v>
          </cell>
          <cell r="H266">
            <v>1038123</v>
          </cell>
        </row>
        <row r="267">
          <cell r="D267">
            <v>329000.00000000064</v>
          </cell>
          <cell r="H267">
            <v>1027951</v>
          </cell>
        </row>
        <row r="268">
          <cell r="D268">
            <v>199999.99999999575</v>
          </cell>
          <cell r="H268">
            <v>1109747</v>
          </cell>
        </row>
        <row r="269">
          <cell r="D269">
            <v>198000.00000000041</v>
          </cell>
          <cell r="H269">
            <v>1081239</v>
          </cell>
        </row>
        <row r="270">
          <cell r="D270">
            <v>262000.00000000047</v>
          </cell>
          <cell r="H270">
            <v>944454</v>
          </cell>
        </row>
        <row r="271">
          <cell r="D271">
            <v>197000.00000000274</v>
          </cell>
          <cell r="H271">
            <v>962726</v>
          </cell>
        </row>
        <row r="272">
          <cell r="D272">
            <v>198999.99999999808</v>
          </cell>
          <cell r="H272">
            <v>958517</v>
          </cell>
        </row>
        <row r="273">
          <cell r="D273">
            <v>192999.99999999785</v>
          </cell>
          <cell r="H273">
            <v>1102786</v>
          </cell>
        </row>
        <row r="274">
          <cell r="D274">
            <v>261000.00000000279</v>
          </cell>
          <cell r="H274">
            <v>820034</v>
          </cell>
        </row>
        <row r="275">
          <cell r="D275">
            <v>195999.99999999796</v>
          </cell>
          <cell r="H275">
            <v>1249325</v>
          </cell>
        </row>
        <row r="276">
          <cell r="D276">
            <v>259999.99999999802</v>
          </cell>
          <cell r="H276">
            <v>1361697</v>
          </cell>
        </row>
        <row r="277">
          <cell r="D277">
            <v>128000.00000000012</v>
          </cell>
          <cell r="H277">
            <v>1171179</v>
          </cell>
        </row>
        <row r="278">
          <cell r="D278">
            <v>193000.00000000495</v>
          </cell>
          <cell r="H278">
            <v>1028020</v>
          </cell>
        </row>
        <row r="279">
          <cell r="D279">
            <v>192999.99999999785</v>
          </cell>
          <cell r="H279">
            <v>929901</v>
          </cell>
        </row>
        <row r="280">
          <cell r="D280">
            <v>130000.00000000256</v>
          </cell>
          <cell r="H280">
            <v>1001038</v>
          </cell>
        </row>
        <row r="281">
          <cell r="D281">
            <v>128999.99999999779</v>
          </cell>
          <cell r="H281">
            <v>998935</v>
          </cell>
        </row>
        <row r="282">
          <cell r="D282">
            <v>131999.9999999979</v>
          </cell>
          <cell r="H282">
            <v>1023669</v>
          </cell>
        </row>
        <row r="283">
          <cell r="D283">
            <v>334000.0000000032</v>
          </cell>
          <cell r="H283">
            <v>1084404</v>
          </cell>
        </row>
        <row r="284">
          <cell r="D284">
            <v>128999.99999999779</v>
          </cell>
          <cell r="H284">
            <v>12274000</v>
          </cell>
        </row>
        <row r="285">
          <cell r="D285">
            <v>131999.9999999979</v>
          </cell>
          <cell r="H285">
            <v>1251174</v>
          </cell>
        </row>
        <row r="286">
          <cell r="D286">
            <v>65000.000000004831</v>
          </cell>
          <cell r="H286">
            <v>1192536</v>
          </cell>
        </row>
        <row r="287">
          <cell r="D287">
            <v>199999.99999999575</v>
          </cell>
          <cell r="H287">
            <v>982355</v>
          </cell>
        </row>
        <row r="288">
          <cell r="D288">
            <v>199000.00000000518</v>
          </cell>
          <cell r="H288">
            <v>866316</v>
          </cell>
        </row>
        <row r="289">
          <cell r="D289">
            <v>262999.99999999814</v>
          </cell>
          <cell r="H289">
            <v>1186895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Jun Prod"/>
      <sheetName val="June Pro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>
        <row r="4">
          <cell r="C4">
            <v>10017000</v>
          </cell>
          <cell r="D4">
            <v>0</v>
          </cell>
          <cell r="E4">
            <v>14000000</v>
          </cell>
          <cell r="F4">
            <v>0</v>
          </cell>
          <cell r="H4">
            <v>9752000</v>
          </cell>
          <cell r="I4">
            <v>12100000.000002183</v>
          </cell>
        </row>
        <row r="5">
          <cell r="C5">
            <v>9216000</v>
          </cell>
          <cell r="D5">
            <v>0</v>
          </cell>
          <cell r="E5">
            <v>15000000</v>
          </cell>
          <cell r="F5">
            <v>0</v>
          </cell>
          <cell r="H5">
            <v>9014000.0000000019</v>
          </cell>
          <cell r="I5">
            <v>13500000</v>
          </cell>
        </row>
        <row r="6">
          <cell r="C6">
            <v>7651000</v>
          </cell>
          <cell r="D6">
            <v>0</v>
          </cell>
          <cell r="E6">
            <v>20000000</v>
          </cell>
          <cell r="F6">
            <v>0</v>
          </cell>
          <cell r="H6">
            <v>7382999.9999999991</v>
          </cell>
          <cell r="I6">
            <v>16799999.999999274</v>
          </cell>
        </row>
        <row r="7">
          <cell r="C7">
            <v>6541000</v>
          </cell>
          <cell r="D7">
            <v>0</v>
          </cell>
          <cell r="E7">
            <v>13000000</v>
          </cell>
          <cell r="F7">
            <v>0</v>
          </cell>
          <cell r="H7">
            <v>6343999.9999999972</v>
          </cell>
          <cell r="I7">
            <v>11500000</v>
          </cell>
        </row>
        <row r="8">
          <cell r="C8">
            <v>7449000</v>
          </cell>
          <cell r="D8">
            <v>0</v>
          </cell>
          <cell r="E8">
            <v>16000000</v>
          </cell>
          <cell r="F8">
            <v>0</v>
          </cell>
          <cell r="H8">
            <v>7250000.0000000019</v>
          </cell>
          <cell r="I8">
            <v>11299999.999999272</v>
          </cell>
        </row>
        <row r="9">
          <cell r="C9">
            <v>5908000</v>
          </cell>
          <cell r="D9">
            <v>0</v>
          </cell>
          <cell r="E9">
            <v>13000000</v>
          </cell>
          <cell r="F9">
            <v>0</v>
          </cell>
          <cell r="H9">
            <v>5712000.0000000019</v>
          </cell>
          <cell r="I9">
            <v>13000000</v>
          </cell>
        </row>
        <row r="10">
          <cell r="C10">
            <v>7066000</v>
          </cell>
          <cell r="D10">
            <v>0</v>
          </cell>
          <cell r="E10">
            <v>9000000</v>
          </cell>
          <cell r="F10">
            <v>0</v>
          </cell>
          <cell r="H10">
            <v>6998000.0000000019</v>
          </cell>
          <cell r="I10">
            <v>9000000</v>
          </cell>
        </row>
        <row r="11">
          <cell r="C11">
            <v>7943000</v>
          </cell>
          <cell r="D11">
            <v>0</v>
          </cell>
          <cell r="E11">
            <v>13000000</v>
          </cell>
          <cell r="F11">
            <v>0</v>
          </cell>
          <cell r="H11">
            <v>7677999.9999999991</v>
          </cell>
          <cell r="I11">
            <v>10599999.999998545</v>
          </cell>
        </row>
        <row r="12">
          <cell r="C12">
            <v>9614000</v>
          </cell>
          <cell r="D12">
            <v>0</v>
          </cell>
          <cell r="E12">
            <v>12000000</v>
          </cell>
          <cell r="F12">
            <v>0</v>
          </cell>
          <cell r="H12">
            <v>9414999.9999999944</v>
          </cell>
          <cell r="I12">
            <v>10400000.000001455</v>
          </cell>
        </row>
        <row r="13">
          <cell r="C13">
            <v>10090000</v>
          </cell>
          <cell r="D13">
            <v>0</v>
          </cell>
          <cell r="E13">
            <v>12000000</v>
          </cell>
          <cell r="F13">
            <v>0</v>
          </cell>
          <cell r="H13">
            <v>9758000</v>
          </cell>
          <cell r="I13">
            <v>10500000</v>
          </cell>
        </row>
        <row r="14">
          <cell r="C14">
            <v>9023000</v>
          </cell>
          <cell r="D14">
            <v>0</v>
          </cell>
          <cell r="E14">
            <v>8000000</v>
          </cell>
          <cell r="F14">
            <v>3170000</v>
          </cell>
          <cell r="H14">
            <v>8821000.0000000019</v>
          </cell>
          <cell r="I14">
            <v>10000000</v>
          </cell>
        </row>
        <row r="15">
          <cell r="C15">
            <v>6148000</v>
          </cell>
          <cell r="D15">
            <v>0</v>
          </cell>
          <cell r="E15">
            <v>4000000</v>
          </cell>
          <cell r="F15">
            <v>4990000</v>
          </cell>
          <cell r="H15">
            <v>5876000.0000000019</v>
          </cell>
          <cell r="I15">
            <v>9000000</v>
          </cell>
        </row>
        <row r="16">
          <cell r="C16">
            <v>6100000</v>
          </cell>
          <cell r="D16">
            <v>0</v>
          </cell>
          <cell r="E16">
            <v>5000000</v>
          </cell>
          <cell r="F16">
            <v>4960000</v>
          </cell>
          <cell r="H16">
            <v>5966000</v>
          </cell>
          <cell r="I16">
            <v>9200000.0000007283</v>
          </cell>
        </row>
        <row r="17">
          <cell r="C17">
            <v>8620000</v>
          </cell>
          <cell r="D17">
            <v>0</v>
          </cell>
          <cell r="E17">
            <v>5000000</v>
          </cell>
          <cell r="F17">
            <v>5040000</v>
          </cell>
          <cell r="H17">
            <v>8489999.9999999981</v>
          </cell>
          <cell r="I17">
            <v>9599999.9999985453</v>
          </cell>
        </row>
        <row r="18">
          <cell r="C18">
            <v>10047000</v>
          </cell>
          <cell r="D18">
            <v>0</v>
          </cell>
          <cell r="E18">
            <v>2000000</v>
          </cell>
          <cell r="F18">
            <v>8109999.9999999991</v>
          </cell>
          <cell r="H18">
            <v>9779000.0000000075</v>
          </cell>
          <cell r="I18">
            <v>9600000.000002183</v>
          </cell>
        </row>
        <row r="19">
          <cell r="C19">
            <v>10041000</v>
          </cell>
          <cell r="D19">
            <v>0</v>
          </cell>
          <cell r="E19">
            <v>0</v>
          </cell>
          <cell r="F19">
            <v>9460000</v>
          </cell>
          <cell r="H19">
            <v>9765999.9999999944</v>
          </cell>
          <cell r="I19">
            <v>9699999.9999970905</v>
          </cell>
        </row>
        <row r="20">
          <cell r="C20">
            <v>7427000</v>
          </cell>
          <cell r="D20">
            <v>0</v>
          </cell>
          <cell r="E20">
            <v>0</v>
          </cell>
          <cell r="F20">
            <v>9240000</v>
          </cell>
          <cell r="H20">
            <v>7225999.9999999991</v>
          </cell>
          <cell r="I20">
            <v>9500000</v>
          </cell>
        </row>
        <row r="21">
          <cell r="C21">
            <v>11051000</v>
          </cell>
          <cell r="D21">
            <v>0</v>
          </cell>
          <cell r="E21">
            <v>0</v>
          </cell>
          <cell r="F21">
            <v>12510000</v>
          </cell>
          <cell r="H21">
            <v>10786000</v>
          </cell>
          <cell r="I21">
            <v>12900000.000001455</v>
          </cell>
        </row>
        <row r="22">
          <cell r="C22">
            <v>11906000</v>
          </cell>
          <cell r="D22">
            <v>0</v>
          </cell>
          <cell r="E22">
            <v>0</v>
          </cell>
          <cell r="F22">
            <v>13010000</v>
          </cell>
          <cell r="H22">
            <v>11641000.000000007</v>
          </cell>
          <cell r="I22">
            <v>13400000.000001455</v>
          </cell>
        </row>
        <row r="23">
          <cell r="C23">
            <v>12260000</v>
          </cell>
          <cell r="D23">
            <v>0</v>
          </cell>
          <cell r="E23">
            <v>0</v>
          </cell>
          <cell r="F23">
            <v>14790000</v>
          </cell>
          <cell r="H23">
            <v>11854999.999999998</v>
          </cell>
          <cell r="I23">
            <v>14500000</v>
          </cell>
        </row>
        <row r="24">
          <cell r="C24">
            <v>9497000</v>
          </cell>
          <cell r="D24">
            <v>0</v>
          </cell>
          <cell r="E24">
            <v>0</v>
          </cell>
          <cell r="F24">
            <v>20610000</v>
          </cell>
          <cell r="H24">
            <v>9296000</v>
          </cell>
          <cell r="I24">
            <v>21099999.999998543</v>
          </cell>
        </row>
        <row r="25">
          <cell r="C25">
            <v>6736000</v>
          </cell>
          <cell r="D25">
            <v>0</v>
          </cell>
          <cell r="E25">
            <v>0</v>
          </cell>
          <cell r="F25">
            <v>21150000</v>
          </cell>
          <cell r="H25">
            <v>6464000.0000000019</v>
          </cell>
          <cell r="I25">
            <v>22400000.000001457</v>
          </cell>
        </row>
        <row r="26">
          <cell r="C26">
            <v>6880000</v>
          </cell>
          <cell r="D26">
            <v>0</v>
          </cell>
          <cell r="E26">
            <v>0</v>
          </cell>
          <cell r="F26">
            <v>22530000</v>
          </cell>
          <cell r="H26">
            <v>6680999.9999999944</v>
          </cell>
          <cell r="I26">
            <v>23399999.999997817</v>
          </cell>
        </row>
        <row r="27">
          <cell r="C27">
            <v>6034000</v>
          </cell>
          <cell r="D27">
            <v>0</v>
          </cell>
          <cell r="E27">
            <v>0</v>
          </cell>
          <cell r="F27">
            <v>22250000</v>
          </cell>
          <cell r="H27">
            <v>5831000.0000000047</v>
          </cell>
          <cell r="I27">
            <v>23900000.000001457</v>
          </cell>
        </row>
        <row r="28">
          <cell r="C28">
            <v>6027000</v>
          </cell>
          <cell r="D28">
            <v>0</v>
          </cell>
          <cell r="E28">
            <v>0</v>
          </cell>
          <cell r="F28">
            <v>19300000</v>
          </cell>
          <cell r="H28">
            <v>5731999.9999999981</v>
          </cell>
          <cell r="I28">
            <v>20899999.999997817</v>
          </cell>
        </row>
        <row r="29">
          <cell r="C29">
            <v>7160000</v>
          </cell>
          <cell r="D29">
            <v>0</v>
          </cell>
          <cell r="E29">
            <v>0</v>
          </cell>
          <cell r="F29">
            <v>22030000</v>
          </cell>
          <cell r="H29">
            <v>7028000.0000000019</v>
          </cell>
          <cell r="I29">
            <v>22600000.000002183</v>
          </cell>
        </row>
        <row r="30">
          <cell r="C30">
            <v>7395000</v>
          </cell>
          <cell r="D30">
            <v>0</v>
          </cell>
          <cell r="E30">
            <v>0</v>
          </cell>
          <cell r="F30">
            <v>21720000</v>
          </cell>
          <cell r="H30">
            <v>6940999.9999999991</v>
          </cell>
          <cell r="I30">
            <v>22799999.999999274</v>
          </cell>
        </row>
        <row r="31">
          <cell r="C31">
            <v>5676000</v>
          </cell>
          <cell r="D31">
            <v>0</v>
          </cell>
          <cell r="E31">
            <v>0</v>
          </cell>
          <cell r="F31">
            <v>26210000</v>
          </cell>
          <cell r="H31">
            <v>5393999.9999999963</v>
          </cell>
          <cell r="I31">
            <v>28000000</v>
          </cell>
        </row>
        <row r="32">
          <cell r="C32">
            <v>5732000</v>
          </cell>
          <cell r="D32">
            <v>0</v>
          </cell>
          <cell r="E32">
            <v>0</v>
          </cell>
          <cell r="F32">
            <v>25000000</v>
          </cell>
          <cell r="H32">
            <v>5532000.0000000047</v>
          </cell>
          <cell r="I32">
            <v>26599999.999998543</v>
          </cell>
        </row>
        <row r="33">
          <cell r="C33">
            <v>7236000</v>
          </cell>
          <cell r="D33">
            <v>0</v>
          </cell>
          <cell r="E33">
            <v>0</v>
          </cell>
          <cell r="F33">
            <v>26310000</v>
          </cell>
          <cell r="H33">
            <v>7126000.0000000009</v>
          </cell>
          <cell r="I33">
            <v>27200000.000000726</v>
          </cell>
        </row>
        <row r="252">
          <cell r="D252">
            <v>265000.00000000058</v>
          </cell>
          <cell r="H252">
            <v>1659553</v>
          </cell>
        </row>
        <row r="253">
          <cell r="D253">
            <v>201999.9999999982</v>
          </cell>
          <cell r="H253">
            <v>1683964</v>
          </cell>
        </row>
        <row r="254">
          <cell r="D254">
            <v>268000.0000000007</v>
          </cell>
          <cell r="H254">
            <v>2013015</v>
          </cell>
        </row>
        <row r="255">
          <cell r="D255">
            <v>197000.00000000274</v>
          </cell>
          <cell r="H255">
            <v>1553555</v>
          </cell>
        </row>
        <row r="256">
          <cell r="D256">
            <v>198999.99999999808</v>
          </cell>
          <cell r="H256">
            <v>1703671</v>
          </cell>
        </row>
        <row r="257">
          <cell r="D257">
            <v>195999.99999999796</v>
          </cell>
          <cell r="H257">
            <v>1428666</v>
          </cell>
        </row>
        <row r="258">
          <cell r="D258">
            <v>67999.999999997846</v>
          </cell>
          <cell r="H258">
            <v>1031459</v>
          </cell>
        </row>
        <row r="259">
          <cell r="D259">
            <v>265000.00000000058</v>
          </cell>
          <cell r="H259">
            <v>1359587</v>
          </cell>
        </row>
        <row r="260">
          <cell r="D260">
            <v>199000.00000000518</v>
          </cell>
          <cell r="H260">
            <v>1332526</v>
          </cell>
        </row>
        <row r="261">
          <cell r="D261">
            <v>332000.00000000076</v>
          </cell>
          <cell r="H261">
            <v>1438979</v>
          </cell>
        </row>
        <row r="262">
          <cell r="D262">
            <v>201999.9999999982</v>
          </cell>
          <cell r="H262">
            <v>1420868</v>
          </cell>
        </row>
        <row r="263">
          <cell r="D263">
            <v>271999.99999999849</v>
          </cell>
          <cell r="H263">
            <v>1346397</v>
          </cell>
        </row>
        <row r="264">
          <cell r="D264">
            <v>134000.00000000035</v>
          </cell>
          <cell r="H264">
            <v>1203585</v>
          </cell>
        </row>
        <row r="265">
          <cell r="D265">
            <v>130000.00000000256</v>
          </cell>
          <cell r="H265">
            <v>1243827</v>
          </cell>
        </row>
        <row r="266">
          <cell r="D266">
            <v>267999.9999999936</v>
          </cell>
          <cell r="H266">
            <v>1254432</v>
          </cell>
        </row>
        <row r="267">
          <cell r="D267">
            <v>275000.0000000057</v>
          </cell>
          <cell r="H267">
            <v>1278573</v>
          </cell>
        </row>
        <row r="268">
          <cell r="D268">
            <v>201000.00000000052</v>
          </cell>
          <cell r="H268">
            <v>1249485</v>
          </cell>
        </row>
        <row r="269">
          <cell r="D269">
            <v>265000.00000000058</v>
          </cell>
          <cell r="H269">
            <v>1725000</v>
          </cell>
        </row>
        <row r="270">
          <cell r="D270">
            <v>264999.99999999348</v>
          </cell>
          <cell r="H270">
            <v>1772139</v>
          </cell>
        </row>
        <row r="271">
          <cell r="D271">
            <v>405000.00000000116</v>
          </cell>
          <cell r="H271">
            <v>1893362</v>
          </cell>
        </row>
        <row r="272">
          <cell r="D272">
            <v>201000.00000000052</v>
          </cell>
          <cell r="H272">
            <v>2516000</v>
          </cell>
        </row>
        <row r="273">
          <cell r="D273">
            <v>271999.99999999849</v>
          </cell>
          <cell r="H273">
            <v>-132962249</v>
          </cell>
        </row>
        <row r="274">
          <cell r="D274">
            <v>199000.00000000518</v>
          </cell>
          <cell r="H274">
            <v>2678125</v>
          </cell>
        </row>
        <row r="275">
          <cell r="D275">
            <v>202999.99999999584</v>
          </cell>
          <cell r="H275">
            <v>2681978</v>
          </cell>
        </row>
        <row r="276">
          <cell r="D276">
            <v>295000.00000000169</v>
          </cell>
          <cell r="H276">
            <v>2421555</v>
          </cell>
        </row>
        <row r="277">
          <cell r="D277">
            <v>131999.9999999979</v>
          </cell>
          <cell r="H277">
            <v>2625145</v>
          </cell>
        </row>
        <row r="278">
          <cell r="D278">
            <v>454000.00000000064</v>
          </cell>
          <cell r="H278">
            <v>2685137</v>
          </cell>
        </row>
        <row r="279">
          <cell r="D279">
            <v>282000.00000000361</v>
          </cell>
          <cell r="H279">
            <v>3074704</v>
          </cell>
        </row>
        <row r="280">
          <cell r="D280">
            <v>199999.99999999575</v>
          </cell>
          <cell r="H280">
            <v>3052914</v>
          </cell>
        </row>
        <row r="281">
          <cell r="D281">
            <v>109999.99999999943</v>
          </cell>
          <cell r="H281">
            <v>3274250</v>
          </cell>
        </row>
      </sheetData>
      <sheetData sheetId="31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Jul Pro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4">
          <cell r="C4">
            <v>6270000</v>
          </cell>
          <cell r="D4">
            <v>0</v>
          </cell>
          <cell r="E4">
            <v>0</v>
          </cell>
          <cell r="F4">
            <v>26190000</v>
          </cell>
          <cell r="G4">
            <v>0</v>
          </cell>
          <cell r="H4">
            <v>5722999.9999999963</v>
          </cell>
          <cell r="I4">
            <v>27100000.000002183</v>
          </cell>
        </row>
        <row r="5">
          <cell r="C5">
            <v>13822000</v>
          </cell>
          <cell r="D5">
            <v>0</v>
          </cell>
          <cell r="E5">
            <v>2000000</v>
          </cell>
          <cell r="F5">
            <v>9070000</v>
          </cell>
          <cell r="G5">
            <v>2511000</v>
          </cell>
          <cell r="H5">
            <v>13629000.000000002</v>
          </cell>
          <cell r="I5">
            <v>9099999.9999985453</v>
          </cell>
        </row>
        <row r="6">
          <cell r="C6">
            <v>7348000</v>
          </cell>
          <cell r="D6">
            <v>0</v>
          </cell>
          <cell r="E6">
            <v>22000000</v>
          </cell>
          <cell r="F6">
            <v>0</v>
          </cell>
          <cell r="G6">
            <v>5589000</v>
          </cell>
          <cell r="H6">
            <v>6854999.9999999981</v>
          </cell>
          <cell r="I6">
            <v>18599999.999998543</v>
          </cell>
        </row>
        <row r="7">
          <cell r="C7">
            <v>9084000</v>
          </cell>
          <cell r="D7">
            <v>0</v>
          </cell>
          <cell r="E7">
            <v>27000000</v>
          </cell>
          <cell r="F7">
            <v>0</v>
          </cell>
          <cell r="G7">
            <v>0</v>
          </cell>
          <cell r="H7">
            <v>8904000</v>
          </cell>
          <cell r="I7">
            <v>23300000.000002909</v>
          </cell>
        </row>
        <row r="8">
          <cell r="C8">
            <v>6821000</v>
          </cell>
          <cell r="D8">
            <v>0</v>
          </cell>
          <cell r="E8">
            <v>28000000</v>
          </cell>
          <cell r="F8">
            <v>0</v>
          </cell>
          <cell r="G8">
            <v>0</v>
          </cell>
          <cell r="H8">
            <v>6688000.0000000047</v>
          </cell>
          <cell r="I8">
            <v>24299999.999999274</v>
          </cell>
        </row>
        <row r="9">
          <cell r="C9">
            <v>6601000</v>
          </cell>
          <cell r="D9">
            <v>0</v>
          </cell>
          <cell r="E9">
            <v>25000000</v>
          </cell>
          <cell r="F9">
            <v>0</v>
          </cell>
          <cell r="G9">
            <v>0</v>
          </cell>
          <cell r="H9">
            <v>6467000</v>
          </cell>
          <cell r="I9">
            <v>21299999.999999274</v>
          </cell>
        </row>
        <row r="10">
          <cell r="C10">
            <v>6585000</v>
          </cell>
          <cell r="D10">
            <v>81000</v>
          </cell>
          <cell r="E10">
            <v>20000000</v>
          </cell>
          <cell r="F10">
            <v>0</v>
          </cell>
          <cell r="G10">
            <v>0</v>
          </cell>
          <cell r="H10">
            <v>6532000.0000000028</v>
          </cell>
          <cell r="I10">
            <v>17299999.999999274</v>
          </cell>
        </row>
        <row r="11">
          <cell r="C11">
            <v>8038000</v>
          </cell>
          <cell r="D11">
            <v>285000</v>
          </cell>
          <cell r="E11">
            <v>24000000</v>
          </cell>
          <cell r="F11">
            <v>0</v>
          </cell>
          <cell r="G11">
            <v>0</v>
          </cell>
          <cell r="H11">
            <v>7919000</v>
          </cell>
          <cell r="I11">
            <v>21000000</v>
          </cell>
        </row>
        <row r="12">
          <cell r="C12">
            <v>6056000</v>
          </cell>
          <cell r="D12">
            <v>3231000</v>
          </cell>
          <cell r="E12">
            <v>15000000</v>
          </cell>
          <cell r="F12">
            <v>3090000</v>
          </cell>
          <cell r="G12">
            <v>0</v>
          </cell>
          <cell r="H12">
            <v>5958999.9999999916</v>
          </cell>
          <cell r="I12">
            <v>15299999.999999272</v>
          </cell>
        </row>
        <row r="13">
          <cell r="C13">
            <v>6323000</v>
          </cell>
          <cell r="D13">
            <v>5000000</v>
          </cell>
          <cell r="E13">
            <v>9000000</v>
          </cell>
          <cell r="F13">
            <v>8420000</v>
          </cell>
          <cell r="G13">
            <v>0</v>
          </cell>
          <cell r="H13">
            <v>6189000</v>
          </cell>
          <cell r="I13">
            <v>17500000</v>
          </cell>
        </row>
        <row r="14">
          <cell r="C14">
            <v>5777000</v>
          </cell>
          <cell r="D14">
            <v>5028000</v>
          </cell>
          <cell r="E14">
            <v>10000000</v>
          </cell>
          <cell r="F14">
            <v>9210000</v>
          </cell>
          <cell r="G14">
            <v>0</v>
          </cell>
          <cell r="H14">
            <v>5742000.0000000037</v>
          </cell>
          <cell r="I14">
            <v>18300000.000002909</v>
          </cell>
        </row>
        <row r="15">
          <cell r="C15">
            <v>6990000</v>
          </cell>
          <cell r="D15">
            <v>5019000</v>
          </cell>
          <cell r="E15">
            <v>12000000</v>
          </cell>
          <cell r="F15">
            <v>12990000</v>
          </cell>
          <cell r="G15">
            <v>0</v>
          </cell>
          <cell r="H15">
            <v>6922999.9999999925</v>
          </cell>
          <cell r="I15">
            <v>23500000</v>
          </cell>
        </row>
        <row r="16">
          <cell r="C16">
            <v>6473000</v>
          </cell>
          <cell r="D16">
            <v>5101000</v>
          </cell>
          <cell r="E16">
            <v>11000000</v>
          </cell>
          <cell r="F16">
            <v>12930000</v>
          </cell>
          <cell r="G16">
            <v>0</v>
          </cell>
          <cell r="H16">
            <v>6270000.0000000112</v>
          </cell>
          <cell r="I16">
            <v>23899999.999997817</v>
          </cell>
        </row>
        <row r="17">
          <cell r="C17">
            <v>5989000</v>
          </cell>
          <cell r="D17">
            <v>5030000</v>
          </cell>
          <cell r="E17">
            <v>10000000</v>
          </cell>
          <cell r="F17">
            <v>11380000</v>
          </cell>
          <cell r="G17">
            <v>0</v>
          </cell>
          <cell r="H17">
            <v>5876999.9999999907</v>
          </cell>
          <cell r="I17">
            <v>21200000.000000726</v>
          </cell>
        </row>
        <row r="18">
          <cell r="C18">
            <v>5968000</v>
          </cell>
          <cell r="D18">
            <v>5013000</v>
          </cell>
          <cell r="E18">
            <v>10000000</v>
          </cell>
          <cell r="F18">
            <v>11310000</v>
          </cell>
          <cell r="G18">
            <v>0</v>
          </cell>
          <cell r="H18">
            <v>5760000.0000000019</v>
          </cell>
          <cell r="I18">
            <v>20200000.000000726</v>
          </cell>
        </row>
        <row r="19">
          <cell r="C19">
            <v>6835000</v>
          </cell>
          <cell r="D19">
            <v>5145000</v>
          </cell>
          <cell r="E19">
            <v>9000000</v>
          </cell>
          <cell r="F19">
            <v>10000000</v>
          </cell>
          <cell r="G19">
            <v>0</v>
          </cell>
          <cell r="H19">
            <v>6673999.9999999981</v>
          </cell>
          <cell r="I19">
            <v>20299999.999999274</v>
          </cell>
        </row>
        <row r="20">
          <cell r="C20">
            <v>7875000</v>
          </cell>
          <cell r="D20">
            <v>4965000</v>
          </cell>
          <cell r="E20">
            <v>11000000</v>
          </cell>
          <cell r="F20">
            <v>10340000</v>
          </cell>
          <cell r="G20">
            <v>0</v>
          </cell>
          <cell r="H20">
            <v>7709000.0000000037</v>
          </cell>
          <cell r="I20">
            <v>19599999.999998543</v>
          </cell>
        </row>
        <row r="21">
          <cell r="C21">
            <v>7848000</v>
          </cell>
          <cell r="D21">
            <v>5030000</v>
          </cell>
          <cell r="E21">
            <v>11000000</v>
          </cell>
          <cell r="F21">
            <v>12860000</v>
          </cell>
          <cell r="G21">
            <v>0</v>
          </cell>
          <cell r="H21">
            <v>7742999.9999999963</v>
          </cell>
          <cell r="I21">
            <v>23600000.000002183</v>
          </cell>
        </row>
        <row r="22">
          <cell r="C22">
            <v>9271000</v>
          </cell>
          <cell r="D22">
            <v>5084000</v>
          </cell>
          <cell r="E22">
            <v>11000000</v>
          </cell>
          <cell r="F22">
            <v>11720000</v>
          </cell>
          <cell r="G22">
            <v>0</v>
          </cell>
          <cell r="H22">
            <v>9010000.0000000037</v>
          </cell>
          <cell r="I22">
            <v>22799999.999999274</v>
          </cell>
        </row>
        <row r="23">
          <cell r="C23">
            <v>8570000</v>
          </cell>
          <cell r="D23">
            <v>5004000</v>
          </cell>
          <cell r="E23">
            <v>12000000</v>
          </cell>
          <cell r="F23">
            <v>12580000</v>
          </cell>
          <cell r="G23">
            <v>0</v>
          </cell>
          <cell r="H23">
            <v>8300000.0000000037</v>
          </cell>
          <cell r="I23">
            <v>23400000.000001457</v>
          </cell>
        </row>
        <row r="24">
          <cell r="C24">
            <v>6595000</v>
          </cell>
          <cell r="D24">
            <v>5074000</v>
          </cell>
          <cell r="E24">
            <v>13000000</v>
          </cell>
          <cell r="F24">
            <v>12970000</v>
          </cell>
          <cell r="G24">
            <v>0</v>
          </cell>
          <cell r="H24">
            <v>6485000.0000000009</v>
          </cell>
          <cell r="I24">
            <v>25000000</v>
          </cell>
        </row>
        <row r="25">
          <cell r="C25">
            <v>6709000</v>
          </cell>
          <cell r="D25">
            <v>-60502000</v>
          </cell>
          <cell r="E25">
            <v>12000000</v>
          </cell>
          <cell r="F25">
            <v>12330000</v>
          </cell>
          <cell r="G25">
            <v>0</v>
          </cell>
          <cell r="H25">
            <v>6602999.9999999907</v>
          </cell>
          <cell r="I25">
            <v>23399999.999997817</v>
          </cell>
        </row>
        <row r="26">
          <cell r="C26">
            <v>5952000</v>
          </cell>
          <cell r="D26">
            <v>4975000</v>
          </cell>
          <cell r="E26">
            <v>14000000</v>
          </cell>
          <cell r="F26">
            <v>13930000</v>
          </cell>
          <cell r="G26">
            <v>0</v>
          </cell>
          <cell r="H26">
            <v>5736000.0000000065</v>
          </cell>
          <cell r="I26">
            <v>26500000</v>
          </cell>
        </row>
        <row r="27">
          <cell r="C27">
            <v>6008000</v>
          </cell>
          <cell r="D27">
            <v>5034000</v>
          </cell>
          <cell r="E27">
            <v>15000000</v>
          </cell>
          <cell r="F27">
            <v>14820000</v>
          </cell>
          <cell r="G27">
            <v>0</v>
          </cell>
          <cell r="H27">
            <v>5803000.0000000019</v>
          </cell>
          <cell r="I27">
            <v>28400000.000001457</v>
          </cell>
        </row>
        <row r="28">
          <cell r="C28">
            <v>6201000</v>
          </cell>
          <cell r="D28">
            <v>5252000</v>
          </cell>
          <cell r="E28">
            <v>14000000</v>
          </cell>
          <cell r="F28">
            <v>14310000</v>
          </cell>
          <cell r="G28">
            <v>0</v>
          </cell>
          <cell r="H28">
            <v>6038999.9999999935</v>
          </cell>
          <cell r="I28">
            <v>27599999.999998543</v>
          </cell>
        </row>
        <row r="29">
          <cell r="C29">
            <v>5996000</v>
          </cell>
          <cell r="D29">
            <v>4650000</v>
          </cell>
          <cell r="E29">
            <v>15000000</v>
          </cell>
          <cell r="F29">
            <v>14900000</v>
          </cell>
          <cell r="G29">
            <v>0</v>
          </cell>
          <cell r="H29">
            <v>5876000.0000000102</v>
          </cell>
          <cell r="I29">
            <v>28299999.999999274</v>
          </cell>
        </row>
        <row r="30">
          <cell r="C30">
            <v>7726000</v>
          </cell>
          <cell r="D30">
            <v>2223000</v>
          </cell>
          <cell r="E30">
            <v>14000000</v>
          </cell>
          <cell r="F30">
            <v>13810000</v>
          </cell>
          <cell r="G30">
            <v>0</v>
          </cell>
          <cell r="H30">
            <v>7576999.9999999991</v>
          </cell>
          <cell r="I30">
            <v>26600000.000002183</v>
          </cell>
        </row>
        <row r="31">
          <cell r="C31">
            <v>8526000</v>
          </cell>
          <cell r="D31">
            <v>0</v>
          </cell>
          <cell r="E31">
            <v>16000000</v>
          </cell>
          <cell r="F31">
            <v>15590000</v>
          </cell>
          <cell r="G31">
            <v>0</v>
          </cell>
          <cell r="H31">
            <v>8303999.9999999907</v>
          </cell>
          <cell r="I31">
            <v>30200000.000000726</v>
          </cell>
        </row>
        <row r="32">
          <cell r="C32">
            <v>5627000</v>
          </cell>
          <cell r="D32">
            <v>0</v>
          </cell>
          <cell r="E32">
            <v>16000000</v>
          </cell>
          <cell r="F32">
            <v>16330000.000000002</v>
          </cell>
          <cell r="G32">
            <v>0</v>
          </cell>
          <cell r="H32">
            <v>5462999.9999999981</v>
          </cell>
          <cell r="I32">
            <v>31199999.999997091</v>
          </cell>
        </row>
        <row r="33">
          <cell r="C33">
            <v>5509000</v>
          </cell>
          <cell r="D33">
            <v>0</v>
          </cell>
          <cell r="E33">
            <v>15000000</v>
          </cell>
          <cell r="F33">
            <v>15230000</v>
          </cell>
          <cell r="G33">
            <v>0</v>
          </cell>
          <cell r="H33">
            <v>5353000.0000000084</v>
          </cell>
          <cell r="I33">
            <v>29300000.000002909</v>
          </cell>
        </row>
        <row r="34">
          <cell r="C34">
            <v>7072000</v>
          </cell>
          <cell r="D34">
            <v>0</v>
          </cell>
          <cell r="E34">
            <v>14000000</v>
          </cell>
          <cell r="F34">
            <v>15530000</v>
          </cell>
          <cell r="G34">
            <v>0</v>
          </cell>
          <cell r="H34">
            <v>6956999.9999999907</v>
          </cell>
          <cell r="I34">
            <v>28899999.999997817</v>
          </cell>
        </row>
        <row r="259">
          <cell r="D259">
            <v>547000.00000000419</v>
          </cell>
          <cell r="H259">
            <v>3233460</v>
          </cell>
        </row>
        <row r="260">
          <cell r="D260">
            <v>192999.99999999785</v>
          </cell>
          <cell r="H260">
            <v>1714148</v>
          </cell>
        </row>
        <row r="261">
          <cell r="D261">
            <v>493000.0000000021</v>
          </cell>
          <cell r="H261">
            <v>2327382</v>
          </cell>
        </row>
        <row r="262">
          <cell r="D262">
            <v>179999.99999999971</v>
          </cell>
          <cell r="H262">
            <v>2832827</v>
          </cell>
        </row>
        <row r="263">
          <cell r="D263">
            <v>132999.99999999558</v>
          </cell>
          <cell r="H263">
            <v>2973375</v>
          </cell>
        </row>
        <row r="264">
          <cell r="D264">
            <v>134000.00000000035</v>
          </cell>
          <cell r="H264">
            <v>2653963</v>
          </cell>
        </row>
        <row r="265">
          <cell r="D265">
            <v>52999.999999997272</v>
          </cell>
          <cell r="H265">
            <v>2099160</v>
          </cell>
        </row>
        <row r="266">
          <cell r="D266">
            <v>118999.99999999977</v>
          </cell>
          <cell r="H266">
            <v>2359874</v>
          </cell>
        </row>
        <row r="267">
          <cell r="D267">
            <v>97000.000000008411</v>
          </cell>
          <cell r="H267">
            <v>1912258</v>
          </cell>
        </row>
        <row r="268">
          <cell r="D268">
            <v>134000.00000000035</v>
          </cell>
          <cell r="H268">
            <v>2135957</v>
          </cell>
        </row>
        <row r="269">
          <cell r="D269">
            <v>34999.999999996588</v>
          </cell>
          <cell r="H269">
            <v>2198733</v>
          </cell>
        </row>
        <row r="270">
          <cell r="D270">
            <v>67000.000000007276</v>
          </cell>
          <cell r="H270">
            <v>2848631</v>
          </cell>
        </row>
        <row r="271">
          <cell r="D271">
            <v>202999.99999998874</v>
          </cell>
          <cell r="H271">
            <v>2729285</v>
          </cell>
        </row>
        <row r="272">
          <cell r="D272">
            <v>112000.00000000898</v>
          </cell>
          <cell r="H272">
            <v>2426124</v>
          </cell>
        </row>
        <row r="273">
          <cell r="D273">
            <v>207999.9999999984</v>
          </cell>
          <cell r="H273">
            <v>2405628</v>
          </cell>
        </row>
        <row r="274">
          <cell r="D274">
            <v>161000.00000000137</v>
          </cell>
          <cell r="H274">
            <v>0</v>
          </cell>
        </row>
        <row r="275">
          <cell r="D275">
            <v>165999.99999999683</v>
          </cell>
          <cell r="H275">
            <v>2376069</v>
          </cell>
        </row>
        <row r="276">
          <cell r="D276">
            <v>105000.00000000397</v>
          </cell>
          <cell r="H276">
            <v>2775623</v>
          </cell>
        </row>
        <row r="277">
          <cell r="D277">
            <v>260999.99999999569</v>
          </cell>
          <cell r="H277">
            <v>2658129</v>
          </cell>
        </row>
        <row r="278">
          <cell r="D278">
            <v>269999.99999999604</v>
          </cell>
          <cell r="H278">
            <v>2899670</v>
          </cell>
        </row>
        <row r="279">
          <cell r="D279">
            <v>109999.99999999943</v>
          </cell>
          <cell r="H279">
            <v>3004213</v>
          </cell>
        </row>
        <row r="280">
          <cell r="D280">
            <v>106000.00000000876</v>
          </cell>
          <cell r="H280">
            <v>2796805</v>
          </cell>
        </row>
        <row r="281">
          <cell r="D281">
            <v>215999.99999999398</v>
          </cell>
          <cell r="H281">
            <v>3174311</v>
          </cell>
        </row>
        <row r="282">
          <cell r="D282">
            <v>204999.99999999828</v>
          </cell>
          <cell r="H282">
            <v>3353203</v>
          </cell>
        </row>
        <row r="283">
          <cell r="D283">
            <v>162000.00000000614</v>
          </cell>
          <cell r="H283">
            <v>3323240</v>
          </cell>
        </row>
        <row r="284">
          <cell r="D284">
            <v>119999.99999999034</v>
          </cell>
          <cell r="H284">
            <v>3418018</v>
          </cell>
        </row>
        <row r="285">
          <cell r="D285">
            <v>149000.0000000009</v>
          </cell>
          <cell r="H285">
            <v>3011101</v>
          </cell>
        </row>
        <row r="286">
          <cell r="D286">
            <v>222000.00000000841</v>
          </cell>
          <cell r="H286">
            <v>3485561</v>
          </cell>
        </row>
        <row r="287">
          <cell r="D287">
            <v>164000.00000000148</v>
          </cell>
          <cell r="H287">
            <v>3473380</v>
          </cell>
        </row>
        <row r="288">
          <cell r="D288">
            <v>155999.99999999171</v>
          </cell>
          <cell r="H288">
            <v>3329215</v>
          </cell>
        </row>
        <row r="289">
          <cell r="D289">
            <v>115000.00000000909</v>
          </cell>
          <cell r="H289">
            <v>3372776</v>
          </cell>
        </row>
      </sheetData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Aug Pro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4">
          <cell r="C4">
            <v>7083000</v>
          </cell>
          <cell r="D4">
            <v>0</v>
          </cell>
          <cell r="E4">
            <v>13000000</v>
          </cell>
          <cell r="F4">
            <v>17820000</v>
          </cell>
          <cell r="H4">
            <v>6840000.0000000056</v>
          </cell>
          <cell r="I4">
            <v>30400000.000001457</v>
          </cell>
        </row>
        <row r="5">
          <cell r="C5">
            <v>6766000</v>
          </cell>
          <cell r="D5">
            <v>0</v>
          </cell>
          <cell r="E5">
            <v>11000000</v>
          </cell>
          <cell r="F5">
            <v>20480000</v>
          </cell>
          <cell r="H5">
            <v>6597000.0000000028</v>
          </cell>
          <cell r="I5">
            <v>31500000</v>
          </cell>
        </row>
        <row r="6">
          <cell r="C6">
            <v>5026000</v>
          </cell>
          <cell r="D6">
            <v>0</v>
          </cell>
          <cell r="E6">
            <v>10000000</v>
          </cell>
          <cell r="F6">
            <v>22610000</v>
          </cell>
          <cell r="H6">
            <v>4745999.9999999991</v>
          </cell>
          <cell r="I6">
            <v>32299999.999999274</v>
          </cell>
        </row>
        <row r="7">
          <cell r="C7">
            <v>5496000</v>
          </cell>
          <cell r="D7">
            <v>0</v>
          </cell>
          <cell r="E7">
            <v>11000000</v>
          </cell>
          <cell r="F7">
            <v>18330000</v>
          </cell>
          <cell r="H7">
            <v>5461999.9999999935</v>
          </cell>
          <cell r="I7">
            <v>29099999.999998543</v>
          </cell>
        </row>
        <row r="8">
          <cell r="C8">
            <v>5036000</v>
          </cell>
          <cell r="D8">
            <v>0</v>
          </cell>
          <cell r="E8">
            <v>13000000</v>
          </cell>
          <cell r="F8">
            <v>18970000</v>
          </cell>
          <cell r="H8">
            <v>4898000.0000000093</v>
          </cell>
          <cell r="I8">
            <v>31800000.000002909</v>
          </cell>
        </row>
        <row r="9">
          <cell r="C9">
            <v>5023000</v>
          </cell>
          <cell r="D9">
            <v>0</v>
          </cell>
          <cell r="E9">
            <v>15000000</v>
          </cell>
          <cell r="F9">
            <v>18680000</v>
          </cell>
          <cell r="H9">
            <v>4954999.9999999879</v>
          </cell>
          <cell r="I9">
            <v>32899999.999997817</v>
          </cell>
        </row>
        <row r="10">
          <cell r="C10">
            <v>5653000</v>
          </cell>
          <cell r="D10">
            <v>0</v>
          </cell>
          <cell r="E10">
            <v>14000000</v>
          </cell>
          <cell r="F10">
            <v>18310000</v>
          </cell>
          <cell r="H10">
            <v>5547000.0000000056</v>
          </cell>
          <cell r="I10">
            <v>31200000.000000726</v>
          </cell>
        </row>
        <row r="11">
          <cell r="C11">
            <v>5278000</v>
          </cell>
          <cell r="D11">
            <v>0</v>
          </cell>
          <cell r="E11">
            <v>14000000</v>
          </cell>
          <cell r="F11">
            <v>19640000</v>
          </cell>
          <cell r="H11">
            <v>5169000.0000000056</v>
          </cell>
          <cell r="I11">
            <v>34299999.99999927</v>
          </cell>
        </row>
        <row r="12">
          <cell r="C12">
            <v>5420000</v>
          </cell>
          <cell r="D12">
            <v>0</v>
          </cell>
          <cell r="E12">
            <v>15000000</v>
          </cell>
          <cell r="F12">
            <v>18500000</v>
          </cell>
          <cell r="H12">
            <v>5344999.9999999972</v>
          </cell>
          <cell r="I12">
            <v>32799999.999999274</v>
          </cell>
        </row>
        <row r="13">
          <cell r="C13">
            <v>5403000</v>
          </cell>
          <cell r="D13">
            <v>0</v>
          </cell>
          <cell r="E13">
            <v>12000000</v>
          </cell>
          <cell r="F13">
            <v>16920000</v>
          </cell>
          <cell r="H13">
            <v>5297999.9999999963</v>
          </cell>
          <cell r="I13">
            <v>28300000.000002909</v>
          </cell>
        </row>
        <row r="14">
          <cell r="C14">
            <v>5277000</v>
          </cell>
          <cell r="D14">
            <v>0</v>
          </cell>
          <cell r="E14">
            <v>13000000</v>
          </cell>
          <cell r="F14">
            <v>16530000.000000002</v>
          </cell>
          <cell r="H14">
            <v>5206000.0000000019</v>
          </cell>
          <cell r="I14">
            <v>28199999.999997091</v>
          </cell>
        </row>
        <row r="15">
          <cell r="C15">
            <v>5417000</v>
          </cell>
          <cell r="D15">
            <v>0</v>
          </cell>
          <cell r="E15">
            <v>14000000</v>
          </cell>
          <cell r="F15">
            <v>15560000</v>
          </cell>
          <cell r="H15">
            <v>5276999.9999999991</v>
          </cell>
          <cell r="I15">
            <v>29700000.000000726</v>
          </cell>
        </row>
        <row r="16">
          <cell r="C16">
            <v>4957000</v>
          </cell>
          <cell r="D16">
            <v>0</v>
          </cell>
          <cell r="E16">
            <v>18000000</v>
          </cell>
          <cell r="F16">
            <v>13630000</v>
          </cell>
          <cell r="H16">
            <v>4848999.9999999963</v>
          </cell>
          <cell r="I16">
            <v>30000000</v>
          </cell>
        </row>
        <row r="17">
          <cell r="C17">
            <v>5175000</v>
          </cell>
          <cell r="D17">
            <v>0</v>
          </cell>
          <cell r="E17">
            <v>21000000</v>
          </cell>
          <cell r="F17">
            <v>12930000</v>
          </cell>
          <cell r="H17">
            <v>5034999.9999999991</v>
          </cell>
          <cell r="I17">
            <v>32100000.000002183</v>
          </cell>
        </row>
        <row r="18">
          <cell r="C18">
            <v>4881000</v>
          </cell>
          <cell r="D18">
            <v>0</v>
          </cell>
          <cell r="E18">
            <v>21000000</v>
          </cell>
          <cell r="F18">
            <v>13560000</v>
          </cell>
          <cell r="H18">
            <v>4748000.0000000047</v>
          </cell>
          <cell r="I18">
            <v>33799999.99999927</v>
          </cell>
        </row>
        <row r="19">
          <cell r="C19">
            <v>5024000</v>
          </cell>
          <cell r="D19">
            <v>0</v>
          </cell>
          <cell r="E19">
            <v>19000000</v>
          </cell>
          <cell r="F19">
            <v>13760000</v>
          </cell>
          <cell r="H19">
            <v>4956000.0000000019</v>
          </cell>
          <cell r="I19">
            <v>30299999.999999274</v>
          </cell>
        </row>
        <row r="20">
          <cell r="C20">
            <v>4959000</v>
          </cell>
          <cell r="D20">
            <v>0</v>
          </cell>
          <cell r="E20">
            <v>18000000</v>
          </cell>
          <cell r="F20">
            <v>13100000</v>
          </cell>
          <cell r="H20">
            <v>4859999.9999999963</v>
          </cell>
          <cell r="I20">
            <v>30299999.999999274</v>
          </cell>
        </row>
        <row r="21">
          <cell r="C21">
            <v>5588000</v>
          </cell>
          <cell r="D21">
            <v>0</v>
          </cell>
          <cell r="E21">
            <v>16000000</v>
          </cell>
          <cell r="F21">
            <v>11130000</v>
          </cell>
          <cell r="H21">
            <v>5488000.0000000056</v>
          </cell>
          <cell r="I21">
            <v>25700000.000000726</v>
          </cell>
        </row>
        <row r="22">
          <cell r="C22">
            <v>5804000</v>
          </cell>
          <cell r="D22">
            <v>0</v>
          </cell>
          <cell r="E22">
            <v>14000000</v>
          </cell>
          <cell r="F22">
            <v>9380000</v>
          </cell>
          <cell r="H22">
            <v>5671999.9999999944</v>
          </cell>
          <cell r="I22">
            <v>22500000</v>
          </cell>
        </row>
        <row r="23">
          <cell r="C23">
            <v>5917000</v>
          </cell>
          <cell r="D23">
            <v>0</v>
          </cell>
          <cell r="E23">
            <v>14000000</v>
          </cell>
          <cell r="F23">
            <v>11660000</v>
          </cell>
          <cell r="H23">
            <v>5852000.0000000019</v>
          </cell>
          <cell r="I23">
            <v>24700000.000000726</v>
          </cell>
        </row>
        <row r="24">
          <cell r="C24">
            <v>6903000</v>
          </cell>
          <cell r="D24">
            <v>0</v>
          </cell>
          <cell r="E24">
            <v>16000000</v>
          </cell>
          <cell r="F24">
            <v>15980000</v>
          </cell>
          <cell r="H24">
            <v>6772000</v>
          </cell>
          <cell r="I24">
            <v>30399999.999997817</v>
          </cell>
        </row>
        <row r="25">
          <cell r="C25">
            <v>5735000</v>
          </cell>
          <cell r="D25">
            <v>0</v>
          </cell>
          <cell r="E25">
            <v>16000000</v>
          </cell>
          <cell r="F25">
            <v>15840000</v>
          </cell>
          <cell r="H25">
            <v>5604000</v>
          </cell>
          <cell r="I25">
            <v>31000000</v>
          </cell>
        </row>
        <row r="26">
          <cell r="C26">
            <v>5734000</v>
          </cell>
          <cell r="D26">
            <v>0</v>
          </cell>
          <cell r="E26">
            <v>17000000</v>
          </cell>
          <cell r="F26">
            <v>16750000</v>
          </cell>
          <cell r="H26">
            <v>5634000.0000000056</v>
          </cell>
          <cell r="I26">
            <v>32500000</v>
          </cell>
        </row>
        <row r="27">
          <cell r="C27">
            <v>5560000</v>
          </cell>
          <cell r="D27">
            <v>0</v>
          </cell>
          <cell r="E27">
            <v>14000000</v>
          </cell>
          <cell r="F27">
            <v>14510000</v>
          </cell>
          <cell r="H27">
            <v>5460999.9999999963</v>
          </cell>
          <cell r="I27">
            <v>28500000</v>
          </cell>
        </row>
        <row r="28">
          <cell r="C28">
            <v>5675000</v>
          </cell>
          <cell r="D28">
            <v>0</v>
          </cell>
          <cell r="E28">
            <v>16000000</v>
          </cell>
          <cell r="F28">
            <v>14690000</v>
          </cell>
          <cell r="H28">
            <v>5641999.9999999991</v>
          </cell>
          <cell r="I28">
            <v>28900000.000001457</v>
          </cell>
        </row>
        <row r="29">
          <cell r="C29">
            <v>4979000</v>
          </cell>
          <cell r="D29">
            <v>0</v>
          </cell>
          <cell r="E29">
            <v>17000000</v>
          </cell>
          <cell r="F29">
            <v>17000000</v>
          </cell>
          <cell r="H29">
            <v>4816000.0000000037</v>
          </cell>
          <cell r="I29">
            <v>33200000.000000726</v>
          </cell>
        </row>
        <row r="30">
          <cell r="C30">
            <v>4953000</v>
          </cell>
          <cell r="D30">
            <v>0</v>
          </cell>
          <cell r="E30">
            <v>16000000</v>
          </cell>
          <cell r="F30">
            <v>16250000</v>
          </cell>
          <cell r="H30">
            <v>4885000.0000000019</v>
          </cell>
          <cell r="I30">
            <v>31200000.000000726</v>
          </cell>
        </row>
        <row r="31">
          <cell r="C31">
            <v>5089000</v>
          </cell>
          <cell r="D31">
            <v>0</v>
          </cell>
          <cell r="E31">
            <v>14000000</v>
          </cell>
          <cell r="F31">
            <v>14860000</v>
          </cell>
          <cell r="H31">
            <v>4988999.9999999916</v>
          </cell>
          <cell r="I31">
            <v>27599999.999998543</v>
          </cell>
        </row>
        <row r="32">
          <cell r="C32">
            <v>5004000</v>
          </cell>
          <cell r="D32">
            <v>0</v>
          </cell>
          <cell r="E32">
            <v>13000000</v>
          </cell>
          <cell r="F32">
            <v>18690000</v>
          </cell>
          <cell r="H32">
            <v>4865000.0000000047</v>
          </cell>
          <cell r="I32">
            <v>31099999.999998543</v>
          </cell>
        </row>
        <row r="33">
          <cell r="C33">
            <v>5102000</v>
          </cell>
          <cell r="D33">
            <v>0</v>
          </cell>
          <cell r="E33">
            <v>13000000</v>
          </cell>
          <cell r="F33">
            <v>21050000</v>
          </cell>
          <cell r="H33">
            <v>5031999.9999999925</v>
          </cell>
          <cell r="I33">
            <v>30000000</v>
          </cell>
        </row>
        <row r="34">
          <cell r="C34">
            <v>4912000</v>
          </cell>
          <cell r="D34">
            <v>0</v>
          </cell>
          <cell r="E34">
            <v>11000000</v>
          </cell>
          <cell r="F34">
            <v>18250000</v>
          </cell>
          <cell r="H34">
            <v>4775000</v>
          </cell>
          <cell r="I34">
            <v>33100000.000002183</v>
          </cell>
        </row>
        <row r="259">
          <cell r="D259">
            <v>242999.99999999499</v>
          </cell>
          <cell r="H259">
            <v>3619783</v>
          </cell>
        </row>
        <row r="260">
          <cell r="D260">
            <v>168999.99999999694</v>
          </cell>
          <cell r="H260">
            <v>3611987</v>
          </cell>
        </row>
        <row r="261">
          <cell r="D261">
            <v>280000.00000000116</v>
          </cell>
          <cell r="H261">
            <v>3688888</v>
          </cell>
        </row>
        <row r="262">
          <cell r="D262">
            <v>34000.000000006024</v>
          </cell>
          <cell r="H262">
            <v>3411217</v>
          </cell>
        </row>
        <row r="263">
          <cell r="D263">
            <v>137999.99999999101</v>
          </cell>
          <cell r="H263">
            <v>3695676</v>
          </cell>
        </row>
        <row r="264">
          <cell r="D264">
            <v>68000.000000012049</v>
          </cell>
          <cell r="H264">
            <v>3717539</v>
          </cell>
        </row>
        <row r="265">
          <cell r="D265">
            <v>105999.99999999454</v>
          </cell>
          <cell r="H265">
            <v>3437300</v>
          </cell>
        </row>
        <row r="266">
          <cell r="D266">
            <v>108999.99999999466</v>
          </cell>
          <cell r="H266">
            <v>3780242</v>
          </cell>
        </row>
        <row r="267">
          <cell r="D267">
            <v>75000.000000002838</v>
          </cell>
          <cell r="H267">
            <v>3732000</v>
          </cell>
        </row>
        <row r="268">
          <cell r="D268">
            <v>105000.00000000397</v>
          </cell>
          <cell r="H268">
            <v>3397801</v>
          </cell>
        </row>
        <row r="269">
          <cell r="D269">
            <v>70999.999999997948</v>
          </cell>
          <cell r="H269">
            <v>3258793</v>
          </cell>
        </row>
        <row r="270">
          <cell r="D270">
            <v>140000.00000000058</v>
          </cell>
          <cell r="H270">
            <v>3502838</v>
          </cell>
        </row>
        <row r="271">
          <cell r="D271">
            <v>108000.00000000409</v>
          </cell>
          <cell r="H271">
            <v>3470714</v>
          </cell>
        </row>
        <row r="272">
          <cell r="D272">
            <v>140000.00000000058</v>
          </cell>
          <cell r="H272">
            <v>3580000</v>
          </cell>
        </row>
        <row r="273">
          <cell r="D273">
            <v>132999.99999999558</v>
          </cell>
          <cell r="H273">
            <v>3925510</v>
          </cell>
        </row>
        <row r="274">
          <cell r="D274">
            <v>67999.999999997846</v>
          </cell>
          <cell r="H274">
            <v>3568288</v>
          </cell>
        </row>
        <row r="275">
          <cell r="D275">
            <v>99000.000000003754</v>
          </cell>
          <cell r="H275">
            <v>3572489</v>
          </cell>
        </row>
        <row r="276">
          <cell r="D276">
            <v>99999.99999999431</v>
          </cell>
          <cell r="H276">
            <v>3052107</v>
          </cell>
        </row>
        <row r="277">
          <cell r="D277">
            <v>132000.00000000501</v>
          </cell>
          <cell r="H277">
            <v>2577955</v>
          </cell>
        </row>
        <row r="278">
          <cell r="D278">
            <v>64999.99999999773</v>
          </cell>
          <cell r="H278">
            <v>2816592</v>
          </cell>
        </row>
        <row r="279">
          <cell r="D279">
            <v>131000.00000000023</v>
          </cell>
          <cell r="H279">
            <v>3567721</v>
          </cell>
        </row>
        <row r="280">
          <cell r="D280">
            <v>131000.00000000023</v>
          </cell>
          <cell r="H280">
            <v>3496858</v>
          </cell>
        </row>
        <row r="281">
          <cell r="D281">
            <v>99999.99999999431</v>
          </cell>
          <cell r="H281">
            <v>3727848</v>
          </cell>
        </row>
        <row r="282">
          <cell r="D282">
            <v>99000.000000003754</v>
          </cell>
          <cell r="H282">
            <v>3213914</v>
          </cell>
        </row>
        <row r="283">
          <cell r="D283">
            <v>33000.000000001251</v>
          </cell>
          <cell r="H283">
            <v>3493000</v>
          </cell>
        </row>
        <row r="284">
          <cell r="D284">
            <v>162999.99999999671</v>
          </cell>
          <cell r="H284">
            <v>3901853</v>
          </cell>
        </row>
        <row r="285">
          <cell r="D285">
            <v>67999.999999997846</v>
          </cell>
          <cell r="H285">
            <v>3634675</v>
          </cell>
        </row>
        <row r="286">
          <cell r="D286">
            <v>100000.00000000853</v>
          </cell>
          <cell r="H286">
            <v>3193771</v>
          </cell>
        </row>
        <row r="287">
          <cell r="D287">
            <v>138999.99999999578</v>
          </cell>
          <cell r="H287">
            <v>3725650</v>
          </cell>
        </row>
        <row r="288">
          <cell r="D288">
            <v>70000.000000007392</v>
          </cell>
          <cell r="H288">
            <v>3843001</v>
          </cell>
        </row>
        <row r="289">
          <cell r="D289">
            <v>137000.00000000047</v>
          </cell>
          <cell r="H289">
            <v>-91266568</v>
          </cell>
        </row>
      </sheetData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Sep Pro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>
        <row r="4">
          <cell r="C4">
            <v>5025000</v>
          </cell>
          <cell r="D4">
            <v>0</v>
          </cell>
          <cell r="E4">
            <v>10000000</v>
          </cell>
          <cell r="F4">
            <v>15800000</v>
          </cell>
          <cell r="H4">
            <v>4923000.0000000102</v>
          </cell>
          <cell r="I4">
            <v>25500000</v>
          </cell>
        </row>
        <row r="5">
          <cell r="C5">
            <v>7883000</v>
          </cell>
          <cell r="D5">
            <v>0</v>
          </cell>
          <cell r="E5">
            <v>10000000</v>
          </cell>
          <cell r="F5">
            <v>14570000</v>
          </cell>
          <cell r="H5">
            <v>7773000.0000000009</v>
          </cell>
          <cell r="I5">
            <v>23700000.000000726</v>
          </cell>
        </row>
        <row r="6">
          <cell r="C6">
            <v>8228000</v>
          </cell>
          <cell r="D6">
            <v>0</v>
          </cell>
          <cell r="E6">
            <v>11000000</v>
          </cell>
          <cell r="F6">
            <v>16910000</v>
          </cell>
          <cell r="H6">
            <v>8024999.9999999972</v>
          </cell>
          <cell r="I6">
            <v>27199999.999997091</v>
          </cell>
        </row>
        <row r="7">
          <cell r="C7">
            <v>7806000</v>
          </cell>
          <cell r="D7">
            <v>0</v>
          </cell>
          <cell r="E7">
            <v>11000000</v>
          </cell>
          <cell r="F7">
            <v>12210000</v>
          </cell>
          <cell r="H7">
            <v>7688999.9999999953</v>
          </cell>
          <cell r="I7">
            <v>22200000.000000726</v>
          </cell>
        </row>
        <row r="8">
          <cell r="C8">
            <v>10740000</v>
          </cell>
          <cell r="D8">
            <v>0</v>
          </cell>
          <cell r="E8">
            <v>12000000</v>
          </cell>
          <cell r="F8">
            <v>12590000</v>
          </cell>
          <cell r="H8">
            <v>10621000</v>
          </cell>
          <cell r="I8">
            <v>24299999.999999274</v>
          </cell>
        </row>
        <row r="9">
          <cell r="C9">
            <v>11116000</v>
          </cell>
          <cell r="D9">
            <v>0</v>
          </cell>
          <cell r="E9">
            <v>12000000</v>
          </cell>
          <cell r="F9">
            <v>12570000</v>
          </cell>
          <cell r="H9">
            <v>10915999.999999996</v>
          </cell>
          <cell r="I9">
            <v>23900000.000001457</v>
          </cell>
        </row>
        <row r="10">
          <cell r="C10">
            <v>9004000</v>
          </cell>
          <cell r="D10">
            <v>0</v>
          </cell>
          <cell r="E10">
            <v>13000000</v>
          </cell>
          <cell r="F10">
            <v>13640000</v>
          </cell>
          <cell r="H10">
            <v>8818000.0000000075</v>
          </cell>
          <cell r="I10">
            <v>26000000</v>
          </cell>
        </row>
        <row r="11">
          <cell r="C11">
            <v>8567000</v>
          </cell>
          <cell r="D11">
            <v>0</v>
          </cell>
          <cell r="E11">
            <v>13000000</v>
          </cell>
          <cell r="F11">
            <v>12460000</v>
          </cell>
          <cell r="H11">
            <v>8413999.9999999944</v>
          </cell>
          <cell r="I11">
            <v>24299999.999999274</v>
          </cell>
        </row>
        <row r="12">
          <cell r="C12">
            <v>9408000</v>
          </cell>
          <cell r="D12">
            <v>0</v>
          </cell>
          <cell r="E12">
            <v>13000000</v>
          </cell>
          <cell r="F12">
            <v>12910000</v>
          </cell>
          <cell r="H12">
            <v>9297000.0000000112</v>
          </cell>
          <cell r="I12">
            <v>24299999.999999274</v>
          </cell>
        </row>
        <row r="13">
          <cell r="C13">
            <v>10128000</v>
          </cell>
          <cell r="D13">
            <v>0</v>
          </cell>
          <cell r="E13">
            <v>9000000</v>
          </cell>
          <cell r="F13">
            <v>14510000</v>
          </cell>
          <cell r="H13">
            <v>9972999.9999999981</v>
          </cell>
          <cell r="I13">
            <v>22900000.000001457</v>
          </cell>
        </row>
        <row r="14">
          <cell r="C14">
            <v>9836000</v>
          </cell>
          <cell r="D14">
            <v>0</v>
          </cell>
          <cell r="E14">
            <v>7000000</v>
          </cell>
          <cell r="F14">
            <v>16850000</v>
          </cell>
          <cell r="H14">
            <v>9616000.0000000019</v>
          </cell>
          <cell r="I14">
            <v>24500000</v>
          </cell>
        </row>
        <row r="15">
          <cell r="C15">
            <v>8838000</v>
          </cell>
          <cell r="D15">
            <v>0</v>
          </cell>
          <cell r="E15">
            <v>8000000</v>
          </cell>
          <cell r="F15">
            <v>18230000</v>
          </cell>
          <cell r="H15">
            <v>8630000.0000000019</v>
          </cell>
          <cell r="I15">
            <v>25799999.999999274</v>
          </cell>
        </row>
        <row r="16">
          <cell r="C16">
            <v>7562000</v>
          </cell>
          <cell r="D16">
            <v>0</v>
          </cell>
          <cell r="E16">
            <v>8000000</v>
          </cell>
          <cell r="F16">
            <v>20930000</v>
          </cell>
          <cell r="H16">
            <v>7420999.9999999944</v>
          </cell>
          <cell r="I16">
            <v>28400000.000001457</v>
          </cell>
        </row>
        <row r="17">
          <cell r="C17">
            <v>8048000</v>
          </cell>
          <cell r="D17">
            <v>0</v>
          </cell>
          <cell r="E17">
            <v>7000000</v>
          </cell>
          <cell r="F17">
            <v>18020000</v>
          </cell>
          <cell r="H17">
            <v>7808999.9999999953</v>
          </cell>
          <cell r="I17">
            <v>26000000</v>
          </cell>
        </row>
        <row r="18">
          <cell r="C18">
            <v>11784000</v>
          </cell>
          <cell r="D18">
            <v>0</v>
          </cell>
          <cell r="E18">
            <v>7000000</v>
          </cell>
          <cell r="F18">
            <v>16329999.999999998</v>
          </cell>
          <cell r="H18">
            <v>11598000.000000007</v>
          </cell>
          <cell r="I18">
            <v>23299999.999999274</v>
          </cell>
        </row>
        <row r="19">
          <cell r="C19">
            <v>12533000</v>
          </cell>
          <cell r="D19">
            <v>0</v>
          </cell>
          <cell r="E19">
            <v>8000000</v>
          </cell>
          <cell r="F19">
            <v>12460000</v>
          </cell>
          <cell r="H19">
            <v>12346000.000000002</v>
          </cell>
          <cell r="I19">
            <v>19299999.999999274</v>
          </cell>
        </row>
        <row r="20">
          <cell r="C20">
            <v>12450000</v>
          </cell>
          <cell r="D20">
            <v>0</v>
          </cell>
          <cell r="E20">
            <v>10000000</v>
          </cell>
          <cell r="F20">
            <v>10310000</v>
          </cell>
          <cell r="H20">
            <v>12237999.999999996</v>
          </cell>
          <cell r="I20">
            <v>19900000.000001457</v>
          </cell>
        </row>
        <row r="21">
          <cell r="C21">
            <v>12372000</v>
          </cell>
          <cell r="D21">
            <v>0</v>
          </cell>
          <cell r="E21">
            <v>11000000</v>
          </cell>
          <cell r="F21">
            <v>10870000</v>
          </cell>
          <cell r="H21">
            <v>12125999.999999991</v>
          </cell>
          <cell r="I21">
            <v>21500000</v>
          </cell>
        </row>
        <row r="22">
          <cell r="C22">
            <v>12608000</v>
          </cell>
          <cell r="D22">
            <v>0</v>
          </cell>
          <cell r="E22">
            <v>10000000</v>
          </cell>
          <cell r="F22">
            <v>11200000</v>
          </cell>
          <cell r="H22">
            <v>12354000.000000009</v>
          </cell>
          <cell r="I22">
            <v>20299999.999999274</v>
          </cell>
        </row>
        <row r="23">
          <cell r="C23">
            <v>12359000</v>
          </cell>
          <cell r="D23">
            <v>0</v>
          </cell>
          <cell r="E23">
            <v>11000000</v>
          </cell>
          <cell r="F23">
            <v>9970000</v>
          </cell>
          <cell r="H23">
            <v>12202000.000000004</v>
          </cell>
          <cell r="I23">
            <v>20299999.999999274</v>
          </cell>
        </row>
        <row r="24">
          <cell r="C24">
            <v>12832000</v>
          </cell>
          <cell r="D24">
            <v>0</v>
          </cell>
          <cell r="E24">
            <v>13000000</v>
          </cell>
          <cell r="F24">
            <v>13440000</v>
          </cell>
          <cell r="H24">
            <v>12579999.999999991</v>
          </cell>
          <cell r="I24">
            <v>24700000.000000726</v>
          </cell>
        </row>
        <row r="25">
          <cell r="C25">
            <v>12466000</v>
          </cell>
          <cell r="D25">
            <v>0</v>
          </cell>
          <cell r="E25">
            <v>9000000</v>
          </cell>
          <cell r="F25">
            <v>9230000</v>
          </cell>
          <cell r="H25">
            <v>12256999.999999996</v>
          </cell>
          <cell r="I25">
            <v>17599999.999998543</v>
          </cell>
        </row>
        <row r="26">
          <cell r="C26">
            <v>12368000</v>
          </cell>
          <cell r="D26">
            <v>0</v>
          </cell>
          <cell r="E26">
            <v>14000000</v>
          </cell>
          <cell r="F26">
            <v>9290000</v>
          </cell>
          <cell r="H26">
            <v>12097000</v>
          </cell>
          <cell r="I26">
            <v>21600000.000002183</v>
          </cell>
        </row>
        <row r="27">
          <cell r="C27">
            <v>15219000</v>
          </cell>
          <cell r="D27">
            <v>0</v>
          </cell>
          <cell r="E27">
            <v>8000000</v>
          </cell>
          <cell r="F27">
            <v>5450000</v>
          </cell>
          <cell r="H27">
            <v>15011000.000000002</v>
          </cell>
          <cell r="I27">
            <v>13299999.999999272</v>
          </cell>
        </row>
        <row r="28">
          <cell r="C28">
            <v>17282000</v>
          </cell>
          <cell r="D28">
            <v>0</v>
          </cell>
          <cell r="E28">
            <v>14000000</v>
          </cell>
          <cell r="F28">
            <v>5080000</v>
          </cell>
          <cell r="H28">
            <v>17071000</v>
          </cell>
          <cell r="I28">
            <v>17799999.999999274</v>
          </cell>
        </row>
        <row r="29">
          <cell r="C29">
            <v>16981000</v>
          </cell>
          <cell r="D29">
            <v>0</v>
          </cell>
          <cell r="E29">
            <v>11000000</v>
          </cell>
          <cell r="F29">
            <v>5570000</v>
          </cell>
          <cell r="H29">
            <v>16792999.999999996</v>
          </cell>
          <cell r="I29">
            <v>15299999.999999272</v>
          </cell>
        </row>
        <row r="30">
          <cell r="C30">
            <v>17386000</v>
          </cell>
          <cell r="D30">
            <v>0</v>
          </cell>
          <cell r="E30">
            <v>13000000</v>
          </cell>
          <cell r="F30">
            <v>5580000</v>
          </cell>
          <cell r="H30">
            <v>17125000.000000004</v>
          </cell>
          <cell r="I30">
            <v>17700000.000000726</v>
          </cell>
        </row>
        <row r="31">
          <cell r="C31">
            <v>17035000</v>
          </cell>
          <cell r="D31">
            <v>0</v>
          </cell>
          <cell r="E31">
            <v>11000000</v>
          </cell>
          <cell r="F31">
            <v>5380000</v>
          </cell>
          <cell r="H31">
            <v>16705000</v>
          </cell>
          <cell r="I31">
            <v>15200000.000000728</v>
          </cell>
        </row>
        <row r="32">
          <cell r="C32">
            <v>16030000</v>
          </cell>
          <cell r="D32">
            <v>0</v>
          </cell>
          <cell r="E32">
            <v>6000000</v>
          </cell>
          <cell r="F32">
            <v>4910000</v>
          </cell>
          <cell r="H32">
            <v>15825000.000000002</v>
          </cell>
          <cell r="I32">
            <v>12000000</v>
          </cell>
        </row>
        <row r="33">
          <cell r="C33">
            <v>9406000</v>
          </cell>
          <cell r="D33">
            <v>0</v>
          </cell>
          <cell r="E33">
            <v>15000000</v>
          </cell>
          <cell r="F33">
            <v>6390000</v>
          </cell>
          <cell r="H33">
            <v>9150000</v>
          </cell>
          <cell r="I33">
            <v>20000000</v>
          </cell>
        </row>
        <row r="252">
          <cell r="D252">
            <v>101999.99999998965</v>
          </cell>
          <cell r="H252">
            <v>2936748</v>
          </cell>
        </row>
        <row r="253">
          <cell r="D253">
            <v>109999.99999999943</v>
          </cell>
          <cell r="H253">
            <v>2846566</v>
          </cell>
        </row>
        <row r="254">
          <cell r="D254">
            <v>203000.00000000297</v>
          </cell>
          <cell r="H254">
            <v>3183848</v>
          </cell>
        </row>
        <row r="255">
          <cell r="D255">
            <v>117000.00000000444</v>
          </cell>
          <cell r="H255">
            <v>2658491</v>
          </cell>
        </row>
        <row r="256">
          <cell r="D256">
            <v>118999.99999999977</v>
          </cell>
          <cell r="H256">
            <v>2828685</v>
          </cell>
        </row>
        <row r="257">
          <cell r="D257">
            <v>200000.00000000285</v>
          </cell>
          <cell r="H257">
            <v>2468644</v>
          </cell>
        </row>
        <row r="258">
          <cell r="D258">
            <v>185999.99999999284</v>
          </cell>
          <cell r="H258">
            <v>3033219</v>
          </cell>
        </row>
        <row r="259">
          <cell r="D259">
            <v>153000.00000000579</v>
          </cell>
          <cell r="H259">
            <v>2958846</v>
          </cell>
        </row>
        <row r="260">
          <cell r="D260">
            <v>110999.99999998999</v>
          </cell>
          <cell r="H260">
            <v>2914019</v>
          </cell>
        </row>
        <row r="261">
          <cell r="D261">
            <v>155000.00000000114</v>
          </cell>
          <cell r="H261">
            <v>2766181</v>
          </cell>
        </row>
        <row r="262">
          <cell r="D262">
            <v>219999.99999999886</v>
          </cell>
          <cell r="H262">
            <v>2896609</v>
          </cell>
        </row>
        <row r="263">
          <cell r="D263">
            <v>207999.9999999984</v>
          </cell>
          <cell r="H263">
            <v>2914722</v>
          </cell>
        </row>
        <row r="264">
          <cell r="D264">
            <v>141000.00000000536</v>
          </cell>
          <cell r="H264">
            <v>3411518</v>
          </cell>
        </row>
        <row r="265">
          <cell r="D265">
            <v>239000.00000000431</v>
          </cell>
          <cell r="H265">
            <v>2924599</v>
          </cell>
        </row>
        <row r="266">
          <cell r="D266">
            <v>185999.99999999284</v>
          </cell>
          <cell r="H266">
            <v>2677275</v>
          </cell>
        </row>
        <row r="267">
          <cell r="D267">
            <v>186999.99999999761</v>
          </cell>
          <cell r="H267">
            <v>2283202</v>
          </cell>
        </row>
        <row r="268">
          <cell r="D268">
            <v>212000.00000000329</v>
          </cell>
          <cell r="H268">
            <v>2378952</v>
          </cell>
        </row>
        <row r="269">
          <cell r="D269">
            <v>246000.00000000931</v>
          </cell>
          <cell r="H269">
            <v>2455601</v>
          </cell>
        </row>
        <row r="270">
          <cell r="D270">
            <v>253999.99999999069</v>
          </cell>
          <cell r="H270">
            <v>2422938</v>
          </cell>
        </row>
        <row r="271">
          <cell r="D271">
            <v>156999.99999999648</v>
          </cell>
          <cell r="H271">
            <v>2326399</v>
          </cell>
        </row>
        <row r="272">
          <cell r="D272">
            <v>252000.00000000955</v>
          </cell>
          <cell r="H272">
            <v>2945066</v>
          </cell>
        </row>
        <row r="273">
          <cell r="D273">
            <v>209000.00000000317</v>
          </cell>
          <cell r="H273">
            <v>2109718</v>
          </cell>
        </row>
        <row r="274">
          <cell r="D274">
            <v>271000.00000000081</v>
          </cell>
          <cell r="H274">
            <v>2503043</v>
          </cell>
        </row>
        <row r="275">
          <cell r="D275">
            <v>207999.9999999984</v>
          </cell>
          <cell r="H275">
            <v>1505649</v>
          </cell>
        </row>
        <row r="276">
          <cell r="D276">
            <v>210999.99999999852</v>
          </cell>
          <cell r="H276">
            <v>2117197</v>
          </cell>
        </row>
        <row r="277">
          <cell r="D277">
            <v>188000.00000000239</v>
          </cell>
          <cell r="H277">
            <v>1868954</v>
          </cell>
        </row>
        <row r="278">
          <cell r="D278">
            <v>260999.99999999569</v>
          </cell>
          <cell r="H278">
            <v>2028159</v>
          </cell>
        </row>
        <row r="279">
          <cell r="D279">
            <v>329999.99999999831</v>
          </cell>
          <cell r="H279">
            <v>1781304</v>
          </cell>
        </row>
        <row r="280">
          <cell r="D280">
            <v>204999.99999999828</v>
          </cell>
          <cell r="H280">
            <v>1196740</v>
          </cell>
        </row>
        <row r="281">
          <cell r="D281">
            <v>256000.00000000023</v>
          </cell>
          <cell r="H281">
            <v>2495866</v>
          </cell>
        </row>
      </sheetData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Oct Prod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4">
          <cell r="C4">
            <v>2638000</v>
          </cell>
          <cell r="D4">
            <v>0</v>
          </cell>
          <cell r="E4">
            <v>20000000</v>
          </cell>
          <cell r="F4">
            <v>7250000</v>
          </cell>
          <cell r="H4">
            <v>2481999.9999999939</v>
          </cell>
          <cell r="I4">
            <v>24500000</v>
          </cell>
        </row>
        <row r="5">
          <cell r="C5">
            <v>0</v>
          </cell>
          <cell r="D5">
            <v>0</v>
          </cell>
          <cell r="E5">
            <v>20000000</v>
          </cell>
          <cell r="F5">
            <v>8580000</v>
          </cell>
          <cell r="H5">
            <v>0</v>
          </cell>
          <cell r="I5">
            <v>26799999.999999274</v>
          </cell>
        </row>
        <row r="6">
          <cell r="C6">
            <v>0</v>
          </cell>
          <cell r="D6">
            <v>0</v>
          </cell>
          <cell r="E6">
            <v>19000000</v>
          </cell>
          <cell r="F6">
            <v>7860000</v>
          </cell>
          <cell r="H6">
            <v>0</v>
          </cell>
          <cell r="I6">
            <v>24299999.999999274</v>
          </cell>
        </row>
        <row r="7">
          <cell r="C7">
            <v>0</v>
          </cell>
          <cell r="D7">
            <v>0</v>
          </cell>
          <cell r="E7">
            <v>19000000</v>
          </cell>
          <cell r="F7">
            <v>8140000.0000000009</v>
          </cell>
          <cell r="H7">
            <v>0</v>
          </cell>
          <cell r="I7">
            <v>24400000.000001457</v>
          </cell>
        </row>
        <row r="8">
          <cell r="C8">
            <v>0</v>
          </cell>
          <cell r="D8">
            <v>0</v>
          </cell>
          <cell r="E8">
            <v>21000000</v>
          </cell>
          <cell r="F8">
            <v>9020000</v>
          </cell>
          <cell r="H8">
            <v>0</v>
          </cell>
          <cell r="I8">
            <v>28400000.000001457</v>
          </cell>
        </row>
        <row r="9">
          <cell r="C9">
            <v>0</v>
          </cell>
          <cell r="D9">
            <v>0</v>
          </cell>
          <cell r="E9">
            <v>15000000</v>
          </cell>
          <cell r="F9">
            <v>8710000</v>
          </cell>
          <cell r="H9">
            <v>0</v>
          </cell>
          <cell r="I9">
            <v>22099999.999998543</v>
          </cell>
        </row>
        <row r="10">
          <cell r="C10">
            <v>0</v>
          </cell>
          <cell r="D10">
            <v>0</v>
          </cell>
          <cell r="E10">
            <v>10000000</v>
          </cell>
          <cell r="F10">
            <v>11050000</v>
          </cell>
          <cell r="H10">
            <v>0</v>
          </cell>
          <cell r="I10">
            <v>20200000.000000726</v>
          </cell>
        </row>
        <row r="11">
          <cell r="C11">
            <v>0</v>
          </cell>
          <cell r="D11">
            <v>0</v>
          </cell>
          <cell r="E11">
            <v>9000000</v>
          </cell>
          <cell r="F11">
            <v>9170000</v>
          </cell>
          <cell r="H11">
            <v>0</v>
          </cell>
          <cell r="I11">
            <v>17799999.999999274</v>
          </cell>
        </row>
        <row r="12">
          <cell r="C12">
            <v>0</v>
          </cell>
          <cell r="D12">
            <v>0</v>
          </cell>
          <cell r="E12">
            <v>11000000</v>
          </cell>
          <cell r="F12">
            <v>12800000</v>
          </cell>
          <cell r="H12">
            <v>0</v>
          </cell>
          <cell r="I12">
            <v>23200000.000000726</v>
          </cell>
        </row>
        <row r="13">
          <cell r="C13">
            <v>0</v>
          </cell>
          <cell r="D13">
            <v>0</v>
          </cell>
          <cell r="E13">
            <v>10000000</v>
          </cell>
          <cell r="F13">
            <v>12980000</v>
          </cell>
          <cell r="H13">
            <v>0</v>
          </cell>
          <cell r="I13">
            <v>22399999.999997817</v>
          </cell>
        </row>
        <row r="14">
          <cell r="C14">
            <v>0</v>
          </cell>
          <cell r="D14">
            <v>0</v>
          </cell>
          <cell r="E14">
            <v>10000000</v>
          </cell>
          <cell r="F14">
            <v>14850000</v>
          </cell>
          <cell r="H14">
            <v>0</v>
          </cell>
          <cell r="I14">
            <v>24300000.000002909</v>
          </cell>
        </row>
        <row r="15">
          <cell r="C15">
            <v>0</v>
          </cell>
          <cell r="D15">
            <v>0</v>
          </cell>
          <cell r="E15">
            <v>9000000</v>
          </cell>
          <cell r="F15">
            <v>14790000</v>
          </cell>
          <cell r="H15">
            <v>0</v>
          </cell>
          <cell r="I15">
            <v>22699999.999997091</v>
          </cell>
        </row>
        <row r="16">
          <cell r="C16">
            <v>0</v>
          </cell>
          <cell r="D16">
            <v>0</v>
          </cell>
          <cell r="E16">
            <v>7000000</v>
          </cell>
          <cell r="F16">
            <v>15360000</v>
          </cell>
          <cell r="H16">
            <v>0</v>
          </cell>
          <cell r="I16">
            <v>21600000.000002183</v>
          </cell>
        </row>
        <row r="17">
          <cell r="C17">
            <v>0</v>
          </cell>
          <cell r="D17">
            <v>0</v>
          </cell>
          <cell r="E17">
            <v>7000000</v>
          </cell>
          <cell r="F17">
            <v>16850000</v>
          </cell>
          <cell r="H17">
            <v>0</v>
          </cell>
          <cell r="I17">
            <v>24599999.999998543</v>
          </cell>
        </row>
        <row r="18">
          <cell r="C18">
            <v>0</v>
          </cell>
          <cell r="D18">
            <v>0</v>
          </cell>
          <cell r="E18">
            <v>7000000</v>
          </cell>
          <cell r="F18">
            <v>16050000</v>
          </cell>
          <cell r="H18">
            <v>0</v>
          </cell>
          <cell r="I18">
            <v>22000000</v>
          </cell>
        </row>
        <row r="19">
          <cell r="C19">
            <v>0</v>
          </cell>
          <cell r="D19">
            <v>0</v>
          </cell>
          <cell r="E19">
            <v>5000000</v>
          </cell>
          <cell r="F19">
            <v>13610000</v>
          </cell>
          <cell r="H19">
            <v>0</v>
          </cell>
          <cell r="I19">
            <v>19200000.000000726</v>
          </cell>
        </row>
        <row r="20">
          <cell r="C20">
            <v>0</v>
          </cell>
          <cell r="D20">
            <v>0</v>
          </cell>
          <cell r="E20">
            <v>6000000</v>
          </cell>
          <cell r="F20">
            <v>13910000</v>
          </cell>
          <cell r="H20">
            <v>0</v>
          </cell>
          <cell r="I20">
            <v>18400000.000001457</v>
          </cell>
        </row>
        <row r="21">
          <cell r="C21">
            <v>0</v>
          </cell>
          <cell r="D21">
            <v>0</v>
          </cell>
          <cell r="E21">
            <v>7000000</v>
          </cell>
          <cell r="F21">
            <v>16059999.999999998</v>
          </cell>
          <cell r="H21">
            <v>0</v>
          </cell>
          <cell r="I21">
            <v>23000000</v>
          </cell>
        </row>
        <row r="22">
          <cell r="C22">
            <v>0</v>
          </cell>
          <cell r="D22">
            <v>0</v>
          </cell>
          <cell r="E22">
            <v>6000000</v>
          </cell>
          <cell r="F22">
            <v>14360000</v>
          </cell>
          <cell r="H22">
            <v>0</v>
          </cell>
          <cell r="I22">
            <v>20599999.999998543</v>
          </cell>
        </row>
        <row r="23">
          <cell r="C23">
            <v>0</v>
          </cell>
          <cell r="D23">
            <v>0</v>
          </cell>
          <cell r="E23">
            <v>5000000</v>
          </cell>
          <cell r="F23">
            <v>9870000.0000000019</v>
          </cell>
          <cell r="H23">
            <v>0</v>
          </cell>
          <cell r="I23">
            <v>14799999.999999272</v>
          </cell>
        </row>
        <row r="24">
          <cell r="C24">
            <v>0</v>
          </cell>
          <cell r="D24">
            <v>0</v>
          </cell>
          <cell r="E24">
            <v>5000000</v>
          </cell>
          <cell r="F24">
            <v>10630000</v>
          </cell>
          <cell r="H24">
            <v>0</v>
          </cell>
          <cell r="I24">
            <v>14799999.999999272</v>
          </cell>
        </row>
        <row r="25">
          <cell r="C25">
            <v>0</v>
          </cell>
          <cell r="D25">
            <v>0</v>
          </cell>
          <cell r="E25">
            <v>4000000</v>
          </cell>
          <cell r="F25">
            <v>9480000</v>
          </cell>
          <cell r="H25">
            <v>0</v>
          </cell>
          <cell r="I25">
            <v>13600000.000002183</v>
          </cell>
        </row>
        <row r="26">
          <cell r="C26">
            <v>0</v>
          </cell>
          <cell r="D26">
            <v>0</v>
          </cell>
          <cell r="E26">
            <v>4000000</v>
          </cell>
          <cell r="F26">
            <v>9980000</v>
          </cell>
          <cell r="H26">
            <v>0</v>
          </cell>
          <cell r="I26">
            <v>14000000</v>
          </cell>
        </row>
        <row r="27">
          <cell r="C27">
            <v>0</v>
          </cell>
          <cell r="D27">
            <v>0</v>
          </cell>
          <cell r="E27">
            <v>5000000</v>
          </cell>
          <cell r="F27">
            <v>9900000</v>
          </cell>
          <cell r="H27">
            <v>0</v>
          </cell>
          <cell r="I27">
            <v>14000000</v>
          </cell>
        </row>
        <row r="28">
          <cell r="C28">
            <v>0</v>
          </cell>
          <cell r="D28">
            <v>0</v>
          </cell>
          <cell r="E28">
            <v>4000000</v>
          </cell>
          <cell r="F28">
            <v>9950000.0000000019</v>
          </cell>
          <cell r="H28">
            <v>0</v>
          </cell>
          <cell r="I28">
            <v>13799999.999999272</v>
          </cell>
        </row>
        <row r="29">
          <cell r="C29">
            <v>0</v>
          </cell>
          <cell r="D29">
            <v>0</v>
          </cell>
          <cell r="E29">
            <v>4000000</v>
          </cell>
          <cell r="F29">
            <v>9990000</v>
          </cell>
          <cell r="H29">
            <v>0</v>
          </cell>
          <cell r="I29">
            <v>13500000</v>
          </cell>
        </row>
        <row r="30">
          <cell r="C30">
            <v>0</v>
          </cell>
          <cell r="D30">
            <v>0</v>
          </cell>
          <cell r="E30">
            <v>5000000</v>
          </cell>
          <cell r="F30">
            <v>7250000</v>
          </cell>
          <cell r="H30">
            <v>0</v>
          </cell>
          <cell r="I30">
            <v>10799999.999999272</v>
          </cell>
        </row>
        <row r="31">
          <cell r="C31">
            <v>0</v>
          </cell>
          <cell r="D31">
            <v>0</v>
          </cell>
          <cell r="E31">
            <v>7000000</v>
          </cell>
          <cell r="F31">
            <v>7240000</v>
          </cell>
          <cell r="H31">
            <v>0</v>
          </cell>
          <cell r="I31">
            <v>14600000.000002183</v>
          </cell>
        </row>
        <row r="32">
          <cell r="C32">
            <v>0</v>
          </cell>
          <cell r="D32">
            <v>0</v>
          </cell>
          <cell r="E32">
            <v>7000000</v>
          </cell>
          <cell r="F32">
            <v>8130000.0000000009</v>
          </cell>
          <cell r="H32">
            <v>0</v>
          </cell>
          <cell r="I32">
            <v>14599999.999998545</v>
          </cell>
        </row>
        <row r="33">
          <cell r="C33">
            <v>111000</v>
          </cell>
          <cell r="D33">
            <v>0</v>
          </cell>
          <cell r="E33">
            <v>6000000</v>
          </cell>
          <cell r="F33">
            <v>5610000</v>
          </cell>
          <cell r="H33">
            <v>0</v>
          </cell>
          <cell r="I33">
            <v>10000000</v>
          </cell>
        </row>
        <row r="34">
          <cell r="C34">
            <v>0</v>
          </cell>
          <cell r="D34">
            <v>0</v>
          </cell>
          <cell r="E34">
            <v>7000000</v>
          </cell>
          <cell r="F34">
            <v>7210000</v>
          </cell>
          <cell r="H34">
            <v>0</v>
          </cell>
          <cell r="I34">
            <v>13700000.000000728</v>
          </cell>
        </row>
        <row r="259">
          <cell r="D259">
            <v>156000.00000000591</v>
          </cell>
          <cell r="H259">
            <v>2975827</v>
          </cell>
        </row>
        <row r="260">
          <cell r="D260">
            <v>0</v>
          </cell>
          <cell r="H260">
            <v>3253219</v>
          </cell>
        </row>
        <row r="261">
          <cell r="D261">
            <v>0</v>
          </cell>
          <cell r="H261">
            <v>2975347</v>
          </cell>
        </row>
        <row r="262">
          <cell r="D262">
            <v>0</v>
          </cell>
          <cell r="H262">
            <v>2992540</v>
          </cell>
        </row>
        <row r="263">
          <cell r="D263">
            <v>120999.99999999511</v>
          </cell>
          <cell r="H263">
            <v>3195114</v>
          </cell>
        </row>
        <row r="264">
          <cell r="D264">
            <v>45000.000000001703</v>
          </cell>
          <cell r="H264">
            <v>2639130</v>
          </cell>
        </row>
        <row r="265">
          <cell r="D265">
            <v>0</v>
          </cell>
          <cell r="H265">
            <v>2262164</v>
          </cell>
        </row>
        <row r="266">
          <cell r="D266">
            <v>0</v>
          </cell>
          <cell r="H266">
            <v>2042013</v>
          </cell>
        </row>
        <row r="267">
          <cell r="D267">
            <v>0</v>
          </cell>
          <cell r="H267">
            <v>2822600</v>
          </cell>
        </row>
        <row r="268">
          <cell r="D268">
            <v>0</v>
          </cell>
          <cell r="H268">
            <v>2671180</v>
          </cell>
        </row>
        <row r="269">
          <cell r="D269">
            <v>0</v>
          </cell>
          <cell r="H269">
            <v>2857000</v>
          </cell>
        </row>
        <row r="270">
          <cell r="D270">
            <v>16000.000000005344</v>
          </cell>
          <cell r="H270">
            <v>2678653</v>
          </cell>
        </row>
        <row r="271">
          <cell r="D271">
            <v>15999.999999991132</v>
          </cell>
          <cell r="H271">
            <v>2914365</v>
          </cell>
        </row>
        <row r="272">
          <cell r="D272">
            <v>28000.000000005799</v>
          </cell>
          <cell r="H272">
            <v>2881407</v>
          </cell>
        </row>
        <row r="273">
          <cell r="D273">
            <v>0</v>
          </cell>
          <cell r="H273">
            <v>2646827</v>
          </cell>
        </row>
        <row r="274">
          <cell r="D274">
            <v>0</v>
          </cell>
          <cell r="H274">
            <v>2209000</v>
          </cell>
        </row>
        <row r="275">
          <cell r="D275">
            <v>0</v>
          </cell>
          <cell r="H275">
            <v>2349460</v>
          </cell>
        </row>
        <row r="276">
          <cell r="D276">
            <v>0</v>
          </cell>
          <cell r="H276">
            <v>2438143</v>
          </cell>
        </row>
        <row r="277">
          <cell r="D277">
            <v>0</v>
          </cell>
          <cell r="H277">
            <v>2403220</v>
          </cell>
        </row>
        <row r="278">
          <cell r="D278">
            <v>0</v>
          </cell>
          <cell r="H278">
            <v>1731808</v>
          </cell>
        </row>
        <row r="279">
          <cell r="D279">
            <v>12999.999999991018</v>
          </cell>
          <cell r="H279">
            <v>1902121</v>
          </cell>
        </row>
        <row r="280">
          <cell r="D280">
            <v>50000.000000011365</v>
          </cell>
          <cell r="H280">
            <v>1795937</v>
          </cell>
        </row>
        <row r="281">
          <cell r="D281">
            <v>0</v>
          </cell>
          <cell r="H281">
            <v>1689753</v>
          </cell>
        </row>
        <row r="282">
          <cell r="D282">
            <v>0</v>
          </cell>
          <cell r="H282">
            <v>1702317</v>
          </cell>
        </row>
        <row r="283">
          <cell r="D283">
            <v>37999.999999996704</v>
          </cell>
          <cell r="H283">
            <v>1865939</v>
          </cell>
        </row>
        <row r="284">
          <cell r="D284">
            <v>0</v>
          </cell>
          <cell r="H284">
            <v>1709327</v>
          </cell>
        </row>
        <row r="285">
          <cell r="D285">
            <v>0</v>
          </cell>
          <cell r="H285">
            <v>1725165</v>
          </cell>
        </row>
        <row r="286">
          <cell r="D286">
            <v>0</v>
          </cell>
          <cell r="H286">
            <v>1850213</v>
          </cell>
        </row>
        <row r="287">
          <cell r="D287">
            <v>0</v>
          </cell>
          <cell r="H287">
            <v>1306581</v>
          </cell>
        </row>
        <row r="288">
          <cell r="D288">
            <v>0</v>
          </cell>
          <cell r="H288">
            <v>1420658</v>
          </cell>
        </row>
        <row r="289">
          <cell r="D289">
            <v>69999.999999993175</v>
          </cell>
          <cell r="H289">
            <v>1325618</v>
          </cell>
        </row>
      </sheetData>
      <sheetData sheetId="32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vember"/>
      <sheetName val="December"/>
      <sheetName val="January"/>
      <sheetName val="February"/>
      <sheetName val="March"/>
      <sheetName val="April"/>
      <sheetName val="May"/>
      <sheetName val="June"/>
      <sheetName val="July"/>
      <sheetName val="August"/>
      <sheetName val="September"/>
      <sheetName val="October"/>
      <sheetName val="Summary"/>
    </sheetNames>
    <sheetDataSet>
      <sheetData sheetId="0">
        <row r="35">
          <cell r="D35">
            <v>561.19599999999787</v>
          </cell>
          <cell r="G35">
            <v>598.65000000000009</v>
          </cell>
          <cell r="J35">
            <v>52.988199999999992</v>
          </cell>
          <cell r="M35">
            <v>74.78560524000001</v>
          </cell>
          <cell r="Q35">
            <v>575.33949000000007</v>
          </cell>
          <cell r="T35">
            <v>585.25252</v>
          </cell>
          <cell r="W35">
            <v>0</v>
          </cell>
          <cell r="Z35">
            <v>9.9130299999999973</v>
          </cell>
        </row>
      </sheetData>
      <sheetData sheetId="1">
        <row r="36">
          <cell r="D36">
            <v>55.566999999995531</v>
          </cell>
          <cell r="G36">
            <v>58.33</v>
          </cell>
          <cell r="J36">
            <v>0</v>
          </cell>
          <cell r="M36">
            <v>12.545208089999999</v>
          </cell>
          <cell r="Q36">
            <v>1078.1379500000003</v>
          </cell>
          <cell r="T36">
            <v>1103.5391299999997</v>
          </cell>
          <cell r="W36">
            <v>0</v>
          </cell>
          <cell r="Z36">
            <v>25.401180000000032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D36"/>
  <sheetViews>
    <sheetView workbookViewId="0">
      <pane xSplit="1" ySplit="4" topLeftCell="B12" activePane="bottomRight" state="frozen"/>
      <selection pane="topRight" activeCell="B1" sqref="B1"/>
      <selection pane="bottomLeft" activeCell="A5" sqref="A5"/>
      <selection pane="bottomRight" activeCell="T34" sqref="T5:T34"/>
    </sheetView>
  </sheetViews>
  <sheetFormatPr defaultRowHeight="13.2" x14ac:dyDescent="0.25"/>
  <cols>
    <col min="2" max="2" width="12" customWidth="1"/>
    <col min="5" max="5" width="11.33203125" customWidth="1"/>
    <col min="8" max="8" width="15.44140625" bestFit="1" customWidth="1"/>
    <col min="11" max="11" width="13.88671875" customWidth="1"/>
    <col min="12" max="12" width="10.6640625" customWidth="1"/>
    <col min="15" max="15" width="11" customWidth="1"/>
    <col min="18" max="18" width="10.6640625" customWidth="1"/>
    <col min="21" max="21" width="11.6640625" bestFit="1" customWidth="1"/>
    <col min="22" max="22" width="10.6640625" customWidth="1"/>
    <col min="28" max="28" width="12.6640625" customWidth="1"/>
  </cols>
  <sheetData>
    <row r="1" spans="1:30" x14ac:dyDescent="0.25">
      <c r="B1" s="22"/>
      <c r="C1" s="22"/>
      <c r="D1" s="22"/>
      <c r="E1" s="22"/>
      <c r="F1" s="22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14"/>
    </row>
    <row r="2" spans="1:30" ht="13.8" thickBot="1" x14ac:dyDescent="0.3">
      <c r="C2" s="18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</row>
    <row r="3" spans="1:30" ht="60.75" customHeight="1" thickBot="1" x14ac:dyDescent="0.3">
      <c r="A3" s="3"/>
      <c r="B3" s="61" t="s">
        <v>10</v>
      </c>
      <c r="C3" s="62"/>
      <c r="D3" s="63"/>
      <c r="E3" s="61" t="s">
        <v>11</v>
      </c>
      <c r="F3" s="62"/>
      <c r="G3" s="63"/>
      <c r="H3" s="61" t="s">
        <v>12</v>
      </c>
      <c r="I3" s="62"/>
      <c r="J3" s="63"/>
      <c r="K3" s="61" t="s">
        <v>13</v>
      </c>
      <c r="L3" s="62"/>
      <c r="M3" s="63"/>
      <c r="N3" s="19"/>
      <c r="O3" s="61" t="s">
        <v>4</v>
      </c>
      <c r="P3" s="62"/>
      <c r="Q3" s="63"/>
      <c r="R3" s="61" t="s">
        <v>3</v>
      </c>
      <c r="S3" s="62"/>
      <c r="T3" s="63"/>
      <c r="U3" s="61" t="s">
        <v>6</v>
      </c>
      <c r="V3" s="62"/>
      <c r="W3" s="63"/>
      <c r="X3" s="61" t="s">
        <v>7</v>
      </c>
      <c r="Y3" s="62"/>
      <c r="Z3" s="63"/>
      <c r="AA3" s="19"/>
      <c r="AB3" s="58" t="s">
        <v>8</v>
      </c>
      <c r="AC3" s="59"/>
      <c r="AD3" s="60"/>
    </row>
    <row r="4" spans="1:30" x14ac:dyDescent="0.25">
      <c r="A4" s="2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35" t="s">
        <v>0</v>
      </c>
      <c r="AC4" s="36" t="s">
        <v>1</v>
      </c>
      <c r="AD4" s="37" t="s">
        <v>2</v>
      </c>
    </row>
    <row r="5" spans="1:30" x14ac:dyDescent="0.25">
      <c r="A5" s="1">
        <v>38292</v>
      </c>
      <c r="B5" s="7">
        <f>'[1]Nov Prod'!I4</f>
        <v>13000000</v>
      </c>
      <c r="C5" s="8">
        <f t="shared" ref="C5:C34" si="0">B5/1000000</f>
        <v>13</v>
      </c>
      <c r="D5" s="10">
        <f t="shared" ref="D5:D34" si="1">C5*3.07</f>
        <v>39.909999999999997</v>
      </c>
      <c r="E5" s="7">
        <f>'[1]Nov Prod'!E4</f>
        <v>6000000</v>
      </c>
      <c r="F5" s="8">
        <f t="shared" ref="F5:F34" si="2">E5/1000000</f>
        <v>6</v>
      </c>
      <c r="G5" s="10">
        <f t="shared" ref="G5:G34" si="3">F5*3.07</f>
        <v>18.419999999999998</v>
      </c>
      <c r="H5" s="7">
        <f>'[1]Nov Prod'!F4</f>
        <v>6900000</v>
      </c>
      <c r="I5" s="8">
        <f>H5/1000000</f>
        <v>6.9</v>
      </c>
      <c r="J5" s="10">
        <f t="shared" ref="J5:J34" si="4">I5*3.07</f>
        <v>21.183</v>
      </c>
      <c r="K5" s="7">
        <f>'[1]Nov Prod'!$H252*10</f>
        <v>10489990</v>
      </c>
      <c r="L5" s="8">
        <f t="shared" ref="L5:L7" si="5">K5/10000000</f>
        <v>1.048999</v>
      </c>
      <c r="M5" s="10">
        <f t="shared" ref="M5:M34" si="6">L5*3.07</f>
        <v>3.2204269299999999</v>
      </c>
      <c r="N5" s="21"/>
      <c r="O5" s="7">
        <f>'[1]Nov Prod'!H4</f>
        <v>0</v>
      </c>
      <c r="P5" s="8">
        <f t="shared" ref="P5:P16" si="7">O5/1000000</f>
        <v>0</v>
      </c>
      <c r="Q5" s="10">
        <f t="shared" ref="Q5:Q34" si="8">P5*3.07</f>
        <v>0</v>
      </c>
      <c r="R5" s="7">
        <f>'[1]Nov Prod'!C4</f>
        <v>0</v>
      </c>
      <c r="S5" s="8">
        <f t="shared" ref="S5:S17" si="9">R5/1000000</f>
        <v>0</v>
      </c>
      <c r="T5" s="10">
        <f t="shared" ref="T5:T34" si="10">S5*3.07</f>
        <v>0</v>
      </c>
      <c r="U5" s="7">
        <f>'[1]Nov Prod'!D4</f>
        <v>0</v>
      </c>
      <c r="V5" s="8">
        <f t="shared" ref="V5:V34" si="11">U5/1000000</f>
        <v>0</v>
      </c>
      <c r="W5" s="10">
        <f t="shared" ref="W5:W34" si="12">V5*3.07</f>
        <v>0</v>
      </c>
      <c r="X5" s="7">
        <f>'[1]Nov Prod'!$D252</f>
        <v>0</v>
      </c>
      <c r="Y5" s="8">
        <f t="shared" ref="Y5:Y34" si="13">X5/1000000</f>
        <v>0</v>
      </c>
      <c r="Z5" s="10">
        <f t="shared" ref="Z5:Z34" si="14">Y5*3.07</f>
        <v>0</v>
      </c>
      <c r="AA5" s="15"/>
      <c r="AB5" s="7">
        <f>B5+O5</f>
        <v>13000000</v>
      </c>
      <c r="AC5" s="8">
        <f>C5+P5</f>
        <v>13</v>
      </c>
      <c r="AD5" s="8">
        <f>D5+Q5</f>
        <v>39.909999999999997</v>
      </c>
    </row>
    <row r="6" spans="1:30" x14ac:dyDescent="0.25">
      <c r="A6" s="1">
        <v>38293</v>
      </c>
      <c r="B6" s="7">
        <f>'[1]Nov Prod'!I5</f>
        <v>13700000.000000728</v>
      </c>
      <c r="C6" s="8">
        <f t="shared" si="0"/>
        <v>13.700000000000728</v>
      </c>
      <c r="D6" s="10">
        <f t="shared" si="1"/>
        <v>42.059000000002229</v>
      </c>
      <c r="E6" s="7">
        <f>'[1]Nov Prod'!E5</f>
        <v>6000000</v>
      </c>
      <c r="F6" s="8">
        <f t="shared" si="2"/>
        <v>6</v>
      </c>
      <c r="G6" s="10">
        <f t="shared" si="3"/>
        <v>18.419999999999998</v>
      </c>
      <c r="H6" s="7">
        <f>'[1]Nov Prod'!F5</f>
        <v>7370000</v>
      </c>
      <c r="I6" s="8">
        <f t="shared" ref="I6:I34" si="15">H6/1000000</f>
        <v>7.37</v>
      </c>
      <c r="J6" s="10">
        <f t="shared" si="4"/>
        <v>22.625899999999998</v>
      </c>
      <c r="K6" s="7">
        <f>'[1]Nov Prod'!$H253*10</f>
        <v>10511200</v>
      </c>
      <c r="L6" s="8">
        <f t="shared" si="5"/>
        <v>1.0511200000000001</v>
      </c>
      <c r="M6" s="10">
        <f t="shared" si="6"/>
        <v>3.2269383999999999</v>
      </c>
      <c r="N6" s="21"/>
      <c r="O6" s="7">
        <f>'[1]Nov Prod'!H5</f>
        <v>0</v>
      </c>
      <c r="P6" s="8">
        <f t="shared" si="7"/>
        <v>0</v>
      </c>
      <c r="Q6" s="10">
        <f t="shared" si="8"/>
        <v>0</v>
      </c>
      <c r="R6" s="7">
        <f>'[1]Nov Prod'!C5</f>
        <v>0</v>
      </c>
      <c r="S6" s="8">
        <f t="shared" si="9"/>
        <v>0</v>
      </c>
      <c r="T6" s="10">
        <f t="shared" si="10"/>
        <v>0</v>
      </c>
      <c r="U6" s="7">
        <f>'[1]Nov Prod'!D5</f>
        <v>0</v>
      </c>
      <c r="V6" s="8">
        <f t="shared" si="11"/>
        <v>0</v>
      </c>
      <c r="W6" s="10">
        <f t="shared" si="12"/>
        <v>0</v>
      </c>
      <c r="X6" s="7">
        <f>'[1]Nov Prod'!$D253</f>
        <v>0</v>
      </c>
      <c r="Y6" s="8">
        <f t="shared" si="13"/>
        <v>0</v>
      </c>
      <c r="Z6" s="10">
        <f t="shared" si="14"/>
        <v>0</v>
      </c>
      <c r="AA6" s="15"/>
      <c r="AB6" s="7">
        <f t="shared" ref="AB6:AD35" si="16">B6+O6</f>
        <v>13700000.000000728</v>
      </c>
      <c r="AC6" s="8">
        <f t="shared" si="16"/>
        <v>13.700000000000728</v>
      </c>
      <c r="AD6" s="8">
        <f t="shared" si="16"/>
        <v>42.059000000002229</v>
      </c>
    </row>
    <row r="7" spans="1:30" x14ac:dyDescent="0.25">
      <c r="A7" s="1">
        <v>38294</v>
      </c>
      <c r="B7" s="7">
        <f>'[1]Nov Prod'!I6</f>
        <v>12799999.999999272</v>
      </c>
      <c r="C7" s="8">
        <f t="shared" si="0"/>
        <v>12.799999999999272</v>
      </c>
      <c r="D7" s="10">
        <f t="shared" si="1"/>
        <v>39.295999999997761</v>
      </c>
      <c r="E7" s="7">
        <f>'[1]Nov Prod'!E6</f>
        <v>6000000</v>
      </c>
      <c r="F7" s="8">
        <f t="shared" si="2"/>
        <v>6</v>
      </c>
      <c r="G7" s="10">
        <f t="shared" si="3"/>
        <v>18.419999999999998</v>
      </c>
      <c r="H7" s="7">
        <f>'[1]Nov Prod'!F6</f>
        <v>7000000</v>
      </c>
      <c r="I7" s="8">
        <f t="shared" si="15"/>
        <v>7</v>
      </c>
      <c r="J7" s="10">
        <f t="shared" si="4"/>
        <v>21.49</v>
      </c>
      <c r="K7" s="7">
        <f>'[1]Nov Prod'!$H254*10</f>
        <v>10810110</v>
      </c>
      <c r="L7" s="8">
        <f t="shared" si="5"/>
        <v>1.0810109999999999</v>
      </c>
      <c r="M7" s="10">
        <f t="shared" si="6"/>
        <v>3.3187037699999995</v>
      </c>
      <c r="N7" s="21"/>
      <c r="O7" s="7">
        <f>'[1]Nov Prod'!H6</f>
        <v>0</v>
      </c>
      <c r="P7" s="8">
        <f t="shared" si="7"/>
        <v>0</v>
      </c>
      <c r="Q7" s="10">
        <f t="shared" si="8"/>
        <v>0</v>
      </c>
      <c r="R7" s="7">
        <f>'[1]Nov Prod'!C6</f>
        <v>0</v>
      </c>
      <c r="S7" s="8">
        <f t="shared" si="9"/>
        <v>0</v>
      </c>
      <c r="T7" s="10">
        <f t="shared" si="10"/>
        <v>0</v>
      </c>
      <c r="U7" s="7">
        <f>'[1]Nov Prod'!D6</f>
        <v>0</v>
      </c>
      <c r="V7" s="8">
        <f t="shared" si="11"/>
        <v>0</v>
      </c>
      <c r="W7" s="10">
        <f t="shared" si="12"/>
        <v>0</v>
      </c>
      <c r="X7" s="7">
        <f>'[1]Nov Prod'!$D254</f>
        <v>0</v>
      </c>
      <c r="Y7" s="8">
        <f t="shared" si="13"/>
        <v>0</v>
      </c>
      <c r="Z7" s="10">
        <f t="shared" si="14"/>
        <v>0</v>
      </c>
      <c r="AA7" s="15"/>
      <c r="AB7" s="7">
        <f t="shared" si="16"/>
        <v>12799999.999999272</v>
      </c>
      <c r="AC7" s="8">
        <f t="shared" si="16"/>
        <v>12.799999999999272</v>
      </c>
      <c r="AD7" s="8">
        <f t="shared" si="16"/>
        <v>39.295999999997761</v>
      </c>
    </row>
    <row r="8" spans="1:30" x14ac:dyDescent="0.25">
      <c r="A8" s="1">
        <v>38295</v>
      </c>
      <c r="B8" s="7">
        <f>'[1]Nov Prod'!I7</f>
        <v>12600000.000002183</v>
      </c>
      <c r="C8" s="8">
        <f t="shared" si="0"/>
        <v>12.600000000002183</v>
      </c>
      <c r="D8" s="10">
        <f t="shared" si="1"/>
        <v>38.682000000006703</v>
      </c>
      <c r="E8" s="7">
        <f>'[1]Nov Prod'!E7</f>
        <v>6000000</v>
      </c>
      <c r="F8" s="8">
        <f t="shared" si="2"/>
        <v>6</v>
      </c>
      <c r="G8" s="10">
        <f t="shared" si="3"/>
        <v>18.419999999999998</v>
      </c>
      <c r="H8" s="7">
        <f>'[1]Nov Prod'!F7</f>
        <v>7010000</v>
      </c>
      <c r="I8" s="8">
        <f t="shared" si="15"/>
        <v>7.01</v>
      </c>
      <c r="J8" s="10">
        <f t="shared" si="4"/>
        <v>21.520699999999998</v>
      </c>
      <c r="K8" s="7">
        <f>'[1]Nov Prod'!$H255*10</f>
        <v>10602200</v>
      </c>
      <c r="L8" s="8">
        <f>K8/10000000</f>
        <v>1.0602199999999999</v>
      </c>
      <c r="M8" s="10">
        <f t="shared" si="6"/>
        <v>3.2548753999999995</v>
      </c>
      <c r="N8" s="21"/>
      <c r="O8" s="7">
        <f>'[1]Nov Prod'!H7</f>
        <v>0</v>
      </c>
      <c r="P8" s="8">
        <f t="shared" si="7"/>
        <v>0</v>
      </c>
      <c r="Q8" s="10">
        <f t="shared" si="8"/>
        <v>0</v>
      </c>
      <c r="R8" s="7">
        <f>'[1]Nov Prod'!C7</f>
        <v>0</v>
      </c>
      <c r="S8" s="8">
        <f t="shared" si="9"/>
        <v>0</v>
      </c>
      <c r="T8" s="10">
        <f t="shared" si="10"/>
        <v>0</v>
      </c>
      <c r="U8" s="7">
        <f>'[1]Nov Prod'!D7</f>
        <v>0</v>
      </c>
      <c r="V8" s="8">
        <f t="shared" si="11"/>
        <v>0</v>
      </c>
      <c r="W8" s="10">
        <f t="shared" si="12"/>
        <v>0</v>
      </c>
      <c r="X8" s="7">
        <f>'[1]Nov Prod'!$D255</f>
        <v>0</v>
      </c>
      <c r="Y8" s="8">
        <f t="shared" si="13"/>
        <v>0</v>
      </c>
      <c r="Z8" s="10">
        <f t="shared" si="14"/>
        <v>0</v>
      </c>
      <c r="AA8" s="15"/>
      <c r="AB8" s="7">
        <f t="shared" si="16"/>
        <v>12600000.000002183</v>
      </c>
      <c r="AC8" s="8">
        <f t="shared" si="16"/>
        <v>12.600000000002183</v>
      </c>
      <c r="AD8" s="8">
        <f>D8+Q8</f>
        <v>38.682000000006703</v>
      </c>
    </row>
    <row r="9" spans="1:30" x14ac:dyDescent="0.25">
      <c r="A9" s="1">
        <v>38296</v>
      </c>
      <c r="B9" s="7">
        <f>'[1]Nov Prod'!I8</f>
        <v>12799999.999999272</v>
      </c>
      <c r="C9" s="8">
        <f t="shared" si="0"/>
        <v>12.799999999999272</v>
      </c>
      <c r="D9" s="10">
        <f t="shared" si="1"/>
        <v>39.295999999997761</v>
      </c>
      <c r="E9" s="7">
        <f>'[1]Nov Prod'!E8</f>
        <v>6000000</v>
      </c>
      <c r="F9" s="8">
        <f t="shared" si="2"/>
        <v>6</v>
      </c>
      <c r="G9" s="10">
        <f t="shared" si="3"/>
        <v>18.419999999999998</v>
      </c>
      <c r="H9" s="7">
        <f>'[1]Nov Prod'!F8</f>
        <v>6890000</v>
      </c>
      <c r="I9" s="8">
        <f t="shared" si="15"/>
        <v>6.89</v>
      </c>
      <c r="J9" s="10">
        <f t="shared" si="4"/>
        <v>21.152299999999997</v>
      </c>
      <c r="K9" s="7">
        <f>'[1]Nov Prod'!$H256*10</f>
        <v>11867610</v>
      </c>
      <c r="L9" s="8">
        <f t="shared" ref="L9:L34" si="17">K9/10000000</f>
        <v>1.186761</v>
      </c>
      <c r="M9" s="10">
        <f t="shared" si="6"/>
        <v>3.6433562699999995</v>
      </c>
      <c r="N9" s="21"/>
      <c r="O9" s="7">
        <f>'[1]Nov Prod'!H8</f>
        <v>0</v>
      </c>
      <c r="P9" s="8">
        <f t="shared" si="7"/>
        <v>0</v>
      </c>
      <c r="Q9" s="10">
        <f t="shared" si="8"/>
        <v>0</v>
      </c>
      <c r="R9" s="7">
        <f>'[1]Nov Prod'!C8</f>
        <v>0</v>
      </c>
      <c r="S9" s="8">
        <f t="shared" si="9"/>
        <v>0</v>
      </c>
      <c r="T9" s="10">
        <f t="shared" si="10"/>
        <v>0</v>
      </c>
      <c r="U9" s="7">
        <f>'[1]Nov Prod'!D8</f>
        <v>0</v>
      </c>
      <c r="V9" s="8">
        <f t="shared" si="11"/>
        <v>0</v>
      </c>
      <c r="W9" s="10">
        <f t="shared" si="12"/>
        <v>0</v>
      </c>
      <c r="X9" s="7">
        <f>'[1]Nov Prod'!$D256</f>
        <v>0</v>
      </c>
      <c r="Y9" s="8">
        <f t="shared" si="13"/>
        <v>0</v>
      </c>
      <c r="Z9" s="10">
        <f t="shared" si="14"/>
        <v>0</v>
      </c>
      <c r="AA9" s="15"/>
      <c r="AB9" s="7">
        <f t="shared" si="16"/>
        <v>12799999.999999272</v>
      </c>
      <c r="AC9" s="8">
        <f t="shared" si="16"/>
        <v>12.799999999999272</v>
      </c>
      <c r="AD9" s="8">
        <f t="shared" si="16"/>
        <v>39.295999999997761</v>
      </c>
    </row>
    <row r="10" spans="1:30" x14ac:dyDescent="0.25">
      <c r="A10" s="1">
        <v>38297</v>
      </c>
      <c r="B10" s="7">
        <f>'[1]Nov Prod'!I9</f>
        <v>11500000</v>
      </c>
      <c r="C10" s="8">
        <f t="shared" si="0"/>
        <v>11.5</v>
      </c>
      <c r="D10" s="10">
        <f t="shared" si="1"/>
        <v>35.305</v>
      </c>
      <c r="E10" s="7">
        <f>'[1]Nov Prod'!E9</f>
        <v>5000000</v>
      </c>
      <c r="F10" s="8">
        <f t="shared" si="2"/>
        <v>5</v>
      </c>
      <c r="G10" s="10">
        <f t="shared" si="3"/>
        <v>15.35</v>
      </c>
      <c r="H10" s="7">
        <f>'[1]Nov Prod'!F9</f>
        <v>6260000</v>
      </c>
      <c r="I10" s="8">
        <f t="shared" si="15"/>
        <v>6.26</v>
      </c>
      <c r="J10" s="10">
        <f t="shared" si="4"/>
        <v>19.2182</v>
      </c>
      <c r="K10" s="7">
        <f>'[1]Nov Prod'!$H257*10</f>
        <v>9570100</v>
      </c>
      <c r="L10" s="8">
        <f t="shared" si="17"/>
        <v>0.95701000000000003</v>
      </c>
      <c r="M10" s="10">
        <f t="shared" si="6"/>
        <v>2.9380207</v>
      </c>
      <c r="N10" s="21"/>
      <c r="O10" s="7">
        <f>'[1]Nov Prod'!H9</f>
        <v>0</v>
      </c>
      <c r="P10" s="8">
        <f t="shared" si="7"/>
        <v>0</v>
      </c>
      <c r="Q10" s="10">
        <f t="shared" si="8"/>
        <v>0</v>
      </c>
      <c r="R10" s="7">
        <f>'[1]Nov Prod'!C9</f>
        <v>0</v>
      </c>
      <c r="S10" s="8">
        <f t="shared" si="9"/>
        <v>0</v>
      </c>
      <c r="T10" s="10">
        <f t="shared" si="10"/>
        <v>0</v>
      </c>
      <c r="U10" s="7">
        <f>'[1]Nov Prod'!D9</f>
        <v>0</v>
      </c>
      <c r="V10" s="8">
        <f t="shared" si="11"/>
        <v>0</v>
      </c>
      <c r="W10" s="10">
        <f t="shared" si="12"/>
        <v>0</v>
      </c>
      <c r="X10" s="7">
        <f>'[1]Nov Prod'!$D257</f>
        <v>0</v>
      </c>
      <c r="Y10" s="8">
        <f t="shared" si="13"/>
        <v>0</v>
      </c>
      <c r="Z10" s="10">
        <f t="shared" si="14"/>
        <v>0</v>
      </c>
      <c r="AA10" s="15"/>
      <c r="AB10" s="7">
        <f t="shared" si="16"/>
        <v>11500000</v>
      </c>
      <c r="AC10" s="8">
        <f t="shared" si="16"/>
        <v>11.5</v>
      </c>
      <c r="AD10" s="8">
        <f t="shared" si="16"/>
        <v>35.305</v>
      </c>
    </row>
    <row r="11" spans="1:30" x14ac:dyDescent="0.25">
      <c r="A11" s="1">
        <v>38298</v>
      </c>
      <c r="B11" s="7">
        <f>'[1]Nov Prod'!I10</f>
        <v>11099999.999998545</v>
      </c>
      <c r="C11" s="8">
        <f t="shared" si="0"/>
        <v>11.099999999998545</v>
      </c>
      <c r="D11" s="10">
        <f t="shared" si="1"/>
        <v>34.076999999995529</v>
      </c>
      <c r="E11" s="7">
        <f>'[1]Nov Prod'!E10</f>
        <v>6000000</v>
      </c>
      <c r="F11" s="8">
        <f t="shared" si="2"/>
        <v>6</v>
      </c>
      <c r="G11" s="10">
        <f t="shared" si="3"/>
        <v>18.419999999999998</v>
      </c>
      <c r="H11" s="7">
        <f>'[1]Nov Prod'!F10</f>
        <v>6210000</v>
      </c>
      <c r="I11" s="8">
        <f t="shared" si="15"/>
        <v>6.21</v>
      </c>
      <c r="J11" s="10">
        <f t="shared" si="4"/>
        <v>19.064699999999998</v>
      </c>
      <c r="K11" s="7">
        <f>'[1]Nov Prod'!$H258*10</f>
        <v>8699360</v>
      </c>
      <c r="L11" s="8">
        <f t="shared" si="17"/>
        <v>0.86993600000000004</v>
      </c>
      <c r="M11" s="10">
        <f t="shared" si="6"/>
        <v>2.67070352</v>
      </c>
      <c r="N11" s="21"/>
      <c r="O11" s="7">
        <f>'[1]Nov Prod'!H10</f>
        <v>0</v>
      </c>
      <c r="P11" s="8">
        <f t="shared" si="7"/>
        <v>0</v>
      </c>
      <c r="Q11" s="10">
        <f t="shared" si="8"/>
        <v>0</v>
      </c>
      <c r="R11" s="7">
        <f>'[1]Nov Prod'!C10</f>
        <v>0</v>
      </c>
      <c r="S11" s="8">
        <f t="shared" si="9"/>
        <v>0</v>
      </c>
      <c r="T11" s="10">
        <f t="shared" si="10"/>
        <v>0</v>
      </c>
      <c r="U11" s="7">
        <f>'[1]Nov Prod'!D10</f>
        <v>0</v>
      </c>
      <c r="V11" s="8">
        <f t="shared" si="11"/>
        <v>0</v>
      </c>
      <c r="W11" s="10">
        <f t="shared" si="12"/>
        <v>0</v>
      </c>
      <c r="X11" s="7">
        <f>'[1]Nov Prod'!$D258</f>
        <v>0</v>
      </c>
      <c r="Y11" s="8">
        <f t="shared" si="13"/>
        <v>0</v>
      </c>
      <c r="Z11" s="10">
        <f t="shared" si="14"/>
        <v>0</v>
      </c>
      <c r="AA11" s="15"/>
      <c r="AB11" s="7">
        <f t="shared" si="16"/>
        <v>11099999.999998545</v>
      </c>
      <c r="AC11" s="8">
        <f t="shared" si="16"/>
        <v>11.099999999998545</v>
      </c>
      <c r="AD11" s="8">
        <f t="shared" si="16"/>
        <v>34.076999999995529</v>
      </c>
    </row>
    <row r="12" spans="1:30" x14ac:dyDescent="0.25">
      <c r="A12" s="1">
        <v>38299</v>
      </c>
      <c r="B12" s="7">
        <f>'[1]Nov Prod'!I11</f>
        <v>12100000.000002183</v>
      </c>
      <c r="C12" s="8">
        <f t="shared" si="0"/>
        <v>12.100000000002183</v>
      </c>
      <c r="D12" s="10">
        <f t="shared" si="1"/>
        <v>37.147000000006699</v>
      </c>
      <c r="E12" s="7">
        <f>'[1]Nov Prod'!E11</f>
        <v>5000000</v>
      </c>
      <c r="F12" s="8">
        <f t="shared" si="2"/>
        <v>5</v>
      </c>
      <c r="G12" s="10">
        <f t="shared" si="3"/>
        <v>15.35</v>
      </c>
      <c r="H12" s="7">
        <f>'[1]Nov Prod'!F11</f>
        <v>6320000</v>
      </c>
      <c r="I12" s="8">
        <f t="shared" si="15"/>
        <v>6.32</v>
      </c>
      <c r="J12" s="10">
        <f t="shared" si="4"/>
        <v>19.4024</v>
      </c>
      <c r="K12" s="7">
        <f>'[1]Nov Prod'!$H259*10</f>
        <v>10041850</v>
      </c>
      <c r="L12" s="8">
        <f t="shared" si="17"/>
        <v>1.0041850000000001</v>
      </c>
      <c r="M12" s="10">
        <f t="shared" si="6"/>
        <v>3.0828479500000001</v>
      </c>
      <c r="N12" s="21"/>
      <c r="O12" s="7">
        <f>'[1]Nov Prod'!H11</f>
        <v>0</v>
      </c>
      <c r="P12" s="8">
        <f t="shared" si="7"/>
        <v>0</v>
      </c>
      <c r="Q12" s="10">
        <f t="shared" si="8"/>
        <v>0</v>
      </c>
      <c r="R12" s="7">
        <f>'[1]Nov Prod'!C11</f>
        <v>0</v>
      </c>
      <c r="S12" s="8">
        <f t="shared" si="9"/>
        <v>0</v>
      </c>
      <c r="T12" s="10">
        <f t="shared" si="10"/>
        <v>0</v>
      </c>
      <c r="U12" s="7">
        <f>'[1]Nov Prod'!D11</f>
        <v>0</v>
      </c>
      <c r="V12" s="8">
        <f t="shared" si="11"/>
        <v>0</v>
      </c>
      <c r="W12" s="10">
        <f t="shared" si="12"/>
        <v>0</v>
      </c>
      <c r="X12" s="7">
        <f>'[1]Nov Prod'!$D259</f>
        <v>0</v>
      </c>
      <c r="Y12" s="8">
        <f t="shared" si="13"/>
        <v>0</v>
      </c>
      <c r="Z12" s="10">
        <f t="shared" si="14"/>
        <v>0</v>
      </c>
      <c r="AA12" s="15"/>
      <c r="AB12" s="7">
        <f t="shared" si="16"/>
        <v>12100000.000002183</v>
      </c>
      <c r="AC12" s="8">
        <f t="shared" si="16"/>
        <v>12.100000000002183</v>
      </c>
      <c r="AD12" s="8">
        <f t="shared" si="16"/>
        <v>37.147000000006699</v>
      </c>
    </row>
    <row r="13" spans="1:30" x14ac:dyDescent="0.25">
      <c r="A13" s="1">
        <v>38300</v>
      </c>
      <c r="B13" s="7">
        <f>'[1]Nov Prod'!I12</f>
        <v>11599999.999998545</v>
      </c>
      <c r="C13" s="8">
        <f t="shared" si="0"/>
        <v>11.599999999998545</v>
      </c>
      <c r="D13" s="10">
        <f t="shared" si="1"/>
        <v>35.611999999995533</v>
      </c>
      <c r="E13" s="7">
        <f>'[1]Nov Prod'!E12</f>
        <v>6000000</v>
      </c>
      <c r="F13" s="8">
        <f t="shared" si="2"/>
        <v>6</v>
      </c>
      <c r="G13" s="10">
        <f t="shared" si="3"/>
        <v>18.419999999999998</v>
      </c>
      <c r="H13" s="7">
        <f>'[1]Nov Prod'!F12</f>
        <v>6280000</v>
      </c>
      <c r="I13" s="8">
        <f t="shared" si="15"/>
        <v>6.28</v>
      </c>
      <c r="J13" s="10">
        <f t="shared" si="4"/>
        <v>19.279599999999999</v>
      </c>
      <c r="K13" s="7">
        <f>'[1]Nov Prod'!$H260*10</f>
        <v>9879980</v>
      </c>
      <c r="L13" s="8">
        <f t="shared" si="17"/>
        <v>0.98799800000000004</v>
      </c>
      <c r="M13" s="10">
        <f t="shared" si="6"/>
        <v>3.0331538600000001</v>
      </c>
      <c r="N13" s="21"/>
      <c r="O13" s="7">
        <f>'[1]Nov Prod'!H12</f>
        <v>0</v>
      </c>
      <c r="P13" s="8">
        <f t="shared" si="7"/>
        <v>0</v>
      </c>
      <c r="Q13" s="10">
        <f t="shared" si="8"/>
        <v>0</v>
      </c>
      <c r="R13" s="7">
        <f>'[1]Nov Prod'!C12</f>
        <v>0</v>
      </c>
      <c r="S13" s="8">
        <f t="shared" si="9"/>
        <v>0</v>
      </c>
      <c r="T13" s="10">
        <f t="shared" si="10"/>
        <v>0</v>
      </c>
      <c r="U13" s="7">
        <f>'[1]Nov Prod'!D12</f>
        <v>0</v>
      </c>
      <c r="V13" s="8">
        <f t="shared" si="11"/>
        <v>0</v>
      </c>
      <c r="W13" s="10">
        <f t="shared" si="12"/>
        <v>0</v>
      </c>
      <c r="X13" s="7">
        <f>'[1]Nov Prod'!$D260</f>
        <v>0</v>
      </c>
      <c r="Y13" s="8">
        <f t="shared" si="13"/>
        <v>0</v>
      </c>
      <c r="Z13" s="10">
        <f t="shared" si="14"/>
        <v>0</v>
      </c>
      <c r="AA13" s="15"/>
      <c r="AB13" s="7">
        <f t="shared" si="16"/>
        <v>11599999.999998545</v>
      </c>
      <c r="AC13" s="8">
        <f t="shared" si="16"/>
        <v>11.599999999998545</v>
      </c>
      <c r="AD13" s="8">
        <f t="shared" si="16"/>
        <v>35.611999999995533</v>
      </c>
    </row>
    <row r="14" spans="1:30" x14ac:dyDescent="0.25">
      <c r="A14" s="1">
        <v>38301</v>
      </c>
      <c r="B14" s="7">
        <f>'[1]Nov Prod'!I13</f>
        <v>12000000</v>
      </c>
      <c r="C14" s="8">
        <f t="shared" si="0"/>
        <v>12</v>
      </c>
      <c r="D14" s="10">
        <f t="shared" si="1"/>
        <v>36.839999999999996</v>
      </c>
      <c r="E14" s="7">
        <f>'[1]Nov Prod'!E13</f>
        <v>5000000</v>
      </c>
      <c r="F14" s="8">
        <f t="shared" si="2"/>
        <v>5</v>
      </c>
      <c r="G14" s="10">
        <f t="shared" si="3"/>
        <v>15.35</v>
      </c>
      <c r="H14" s="7">
        <f>'[1]Nov Prod'!F13</f>
        <v>6580000</v>
      </c>
      <c r="I14" s="8">
        <f t="shared" si="15"/>
        <v>6.58</v>
      </c>
      <c r="J14" s="10">
        <f t="shared" si="4"/>
        <v>20.200599999999998</v>
      </c>
      <c r="K14" s="7">
        <f>'[1]Nov Prod'!$H261*10</f>
        <v>9881320</v>
      </c>
      <c r="L14" s="8">
        <f t="shared" si="17"/>
        <v>0.98813200000000001</v>
      </c>
      <c r="M14" s="10">
        <f t="shared" si="6"/>
        <v>3.0335652399999997</v>
      </c>
      <c r="N14" s="21"/>
      <c r="O14" s="7">
        <f>'[1]Nov Prod'!H13</f>
        <v>0</v>
      </c>
      <c r="P14" s="8">
        <f t="shared" si="7"/>
        <v>0</v>
      </c>
      <c r="Q14" s="10">
        <f t="shared" si="8"/>
        <v>0</v>
      </c>
      <c r="R14" s="7">
        <f>'[1]Nov Prod'!C13</f>
        <v>0</v>
      </c>
      <c r="S14" s="8">
        <f t="shared" si="9"/>
        <v>0</v>
      </c>
      <c r="T14" s="10">
        <f t="shared" si="10"/>
        <v>0</v>
      </c>
      <c r="U14" s="7">
        <f>'[1]Nov Prod'!D13</f>
        <v>0</v>
      </c>
      <c r="V14" s="8">
        <f t="shared" si="11"/>
        <v>0</v>
      </c>
      <c r="W14" s="10">
        <f t="shared" si="12"/>
        <v>0</v>
      </c>
      <c r="X14" s="7">
        <f>'[1]Nov Prod'!$D261</f>
        <v>5000.0000000025575</v>
      </c>
      <c r="Y14" s="8">
        <f t="shared" si="13"/>
        <v>5.0000000000025571E-3</v>
      </c>
      <c r="Z14" s="10">
        <f t="shared" si="14"/>
        <v>1.5350000000007849E-2</v>
      </c>
      <c r="AA14" s="15"/>
      <c r="AB14" s="7">
        <f t="shared" si="16"/>
        <v>12000000</v>
      </c>
      <c r="AC14" s="8">
        <f t="shared" si="16"/>
        <v>12</v>
      </c>
      <c r="AD14" s="8">
        <f t="shared" si="16"/>
        <v>36.839999999999996</v>
      </c>
    </row>
    <row r="15" spans="1:30" x14ac:dyDescent="0.25">
      <c r="A15" s="1">
        <v>38302</v>
      </c>
      <c r="B15" s="7">
        <f>'[1]Nov Prod'!I14</f>
        <v>11599999.999998545</v>
      </c>
      <c r="C15" s="8">
        <f t="shared" si="0"/>
        <v>11.599999999998545</v>
      </c>
      <c r="D15" s="10">
        <f t="shared" si="1"/>
        <v>35.611999999995533</v>
      </c>
      <c r="E15" s="7">
        <f>'[1]Nov Prod'!E14</f>
        <v>6000000</v>
      </c>
      <c r="F15" s="8">
        <f t="shared" si="2"/>
        <v>6</v>
      </c>
      <c r="G15" s="10">
        <f t="shared" si="3"/>
        <v>18.419999999999998</v>
      </c>
      <c r="H15" s="7">
        <f>'[1]Nov Prod'!F14</f>
        <v>6410000</v>
      </c>
      <c r="I15" s="8">
        <f t="shared" si="15"/>
        <v>6.41</v>
      </c>
      <c r="J15" s="10">
        <f t="shared" si="4"/>
        <v>19.678699999999999</v>
      </c>
      <c r="K15" s="7">
        <f>'[1]Nov Prod'!$H262*10</f>
        <v>10057440</v>
      </c>
      <c r="L15" s="8">
        <f t="shared" si="17"/>
        <v>1.005744</v>
      </c>
      <c r="M15" s="10">
        <f t="shared" si="6"/>
        <v>3.0876340799999999</v>
      </c>
      <c r="N15" s="21"/>
      <c r="O15" s="7">
        <f>'[1]Nov Prod'!H14</f>
        <v>0</v>
      </c>
      <c r="P15" s="8">
        <f t="shared" si="7"/>
        <v>0</v>
      </c>
      <c r="Q15" s="10">
        <f t="shared" si="8"/>
        <v>0</v>
      </c>
      <c r="R15" s="7">
        <f>'[1]Nov Prod'!C14</f>
        <v>0</v>
      </c>
      <c r="S15" s="8">
        <f t="shared" si="9"/>
        <v>0</v>
      </c>
      <c r="T15" s="10">
        <f t="shared" si="10"/>
        <v>0</v>
      </c>
      <c r="U15" s="7">
        <f>'[1]Nov Prod'!D14</f>
        <v>0</v>
      </c>
      <c r="V15" s="8">
        <f t="shared" si="11"/>
        <v>0</v>
      </c>
      <c r="W15" s="10">
        <f t="shared" si="12"/>
        <v>0</v>
      </c>
      <c r="X15" s="7">
        <f>'[1]Nov Prod'!$D262</f>
        <v>0</v>
      </c>
      <c r="Y15" s="8">
        <f t="shared" si="13"/>
        <v>0</v>
      </c>
      <c r="Z15" s="10">
        <f t="shared" si="14"/>
        <v>0</v>
      </c>
      <c r="AA15" s="15"/>
      <c r="AB15" s="7">
        <f t="shared" si="16"/>
        <v>11599999.999998545</v>
      </c>
      <c r="AC15" s="8">
        <f t="shared" si="16"/>
        <v>11.599999999998545</v>
      </c>
      <c r="AD15" s="8">
        <f t="shared" si="16"/>
        <v>35.611999999995533</v>
      </c>
    </row>
    <row r="16" spans="1:30" x14ac:dyDescent="0.25">
      <c r="A16" s="1">
        <v>38303</v>
      </c>
      <c r="B16" s="7">
        <f>'[1]Nov Prod'!I15</f>
        <v>11700000.000000728</v>
      </c>
      <c r="C16" s="8">
        <f t="shared" si="0"/>
        <v>11.700000000000728</v>
      </c>
      <c r="D16" s="10">
        <f t="shared" si="1"/>
        <v>35.919000000002235</v>
      </c>
      <c r="E16" s="7">
        <f>'[1]Nov Prod'!E15</f>
        <v>5000000</v>
      </c>
      <c r="F16" s="8">
        <f t="shared" si="2"/>
        <v>5</v>
      </c>
      <c r="G16" s="10">
        <f t="shared" si="3"/>
        <v>15.35</v>
      </c>
      <c r="H16" s="7">
        <f>'[1]Nov Prod'!F15</f>
        <v>6490000</v>
      </c>
      <c r="I16" s="8">
        <f t="shared" si="15"/>
        <v>6.49</v>
      </c>
      <c r="J16" s="10">
        <f t="shared" si="4"/>
        <v>19.924299999999999</v>
      </c>
      <c r="K16" s="7">
        <f>'[1]Nov Prod'!$H263*10</f>
        <v>9711990</v>
      </c>
      <c r="L16" s="8">
        <f t="shared" si="17"/>
        <v>0.97119900000000003</v>
      </c>
      <c r="M16" s="10">
        <f t="shared" si="6"/>
        <v>2.9815809299999998</v>
      </c>
      <c r="N16" s="21"/>
      <c r="O16" s="7">
        <f>'[1]Nov Prod'!H15</f>
        <v>0</v>
      </c>
      <c r="P16" s="8">
        <f t="shared" si="7"/>
        <v>0</v>
      </c>
      <c r="Q16" s="10">
        <f t="shared" si="8"/>
        <v>0</v>
      </c>
      <c r="R16" s="7">
        <f>'[1]Nov Prod'!C15</f>
        <v>0</v>
      </c>
      <c r="S16" s="8">
        <f t="shared" si="9"/>
        <v>0</v>
      </c>
      <c r="T16" s="10">
        <f t="shared" si="10"/>
        <v>0</v>
      </c>
      <c r="U16" s="7">
        <f>'[1]Nov Prod'!D15</f>
        <v>0</v>
      </c>
      <c r="V16" s="8">
        <f t="shared" si="11"/>
        <v>0</v>
      </c>
      <c r="W16" s="10">
        <f t="shared" si="12"/>
        <v>0</v>
      </c>
      <c r="X16" s="7">
        <f>'[1]Nov Prod'!$D263</f>
        <v>60999.999999999942</v>
      </c>
      <c r="Y16" s="8">
        <f t="shared" si="13"/>
        <v>6.0999999999999943E-2</v>
      </c>
      <c r="Z16" s="10">
        <f t="shared" si="14"/>
        <v>0.18726999999999983</v>
      </c>
      <c r="AA16" s="15"/>
      <c r="AB16" s="7">
        <f t="shared" si="16"/>
        <v>11700000.000000728</v>
      </c>
      <c r="AC16" s="8">
        <f t="shared" si="16"/>
        <v>11.700000000000728</v>
      </c>
      <c r="AD16" s="8">
        <f t="shared" si="16"/>
        <v>35.919000000002235</v>
      </c>
    </row>
    <row r="17" spans="1:30" x14ac:dyDescent="0.25">
      <c r="A17" s="1">
        <v>38304</v>
      </c>
      <c r="B17" s="7">
        <f>'[1]Nov Prod'!I16</f>
        <v>12400000.000001455</v>
      </c>
      <c r="C17" s="8">
        <f t="shared" si="0"/>
        <v>12.400000000001455</v>
      </c>
      <c r="D17" s="10">
        <f t="shared" si="1"/>
        <v>38.068000000004467</v>
      </c>
      <c r="E17" s="7">
        <f>'[1]Nov Prod'!E16</f>
        <v>6000000</v>
      </c>
      <c r="F17" s="8">
        <f t="shared" si="2"/>
        <v>6</v>
      </c>
      <c r="G17" s="10">
        <f t="shared" si="3"/>
        <v>18.419999999999998</v>
      </c>
      <c r="H17" s="7">
        <f>'[1]Nov Prod'!F16</f>
        <v>5890000</v>
      </c>
      <c r="I17" s="8">
        <f t="shared" si="15"/>
        <v>5.89</v>
      </c>
      <c r="J17" s="10">
        <f t="shared" si="4"/>
        <v>18.082299999999996</v>
      </c>
      <c r="K17" s="7">
        <f>'[1]Nov Prod'!$H264*10</f>
        <v>9883580</v>
      </c>
      <c r="L17" s="8">
        <f t="shared" si="17"/>
        <v>0.98835799999999996</v>
      </c>
      <c r="M17" s="10">
        <f t="shared" si="6"/>
        <v>3.0342590599999997</v>
      </c>
      <c r="N17" s="21"/>
      <c r="O17" s="7">
        <f>'[1]Nov Prod'!H16</f>
        <v>0</v>
      </c>
      <c r="P17" s="8">
        <f t="shared" ref="P17:P34" si="18">O17/1000000</f>
        <v>0</v>
      </c>
      <c r="Q17" s="10">
        <f t="shared" si="8"/>
        <v>0</v>
      </c>
      <c r="R17" s="7">
        <f>'[1]Nov Prod'!C16</f>
        <v>0</v>
      </c>
      <c r="S17" s="8">
        <f t="shared" si="9"/>
        <v>0</v>
      </c>
      <c r="T17" s="10">
        <f t="shared" si="10"/>
        <v>0</v>
      </c>
      <c r="U17" s="7">
        <f>'[1]Nov Prod'!D16</f>
        <v>0</v>
      </c>
      <c r="V17" s="8">
        <f t="shared" si="11"/>
        <v>0</v>
      </c>
      <c r="W17" s="10">
        <f t="shared" si="12"/>
        <v>0</v>
      </c>
      <c r="X17" s="7">
        <f>'[1]Nov Prod'!$D264</f>
        <v>324999.99999999575</v>
      </c>
      <c r="Y17" s="8">
        <f t="shared" si="13"/>
        <v>0.32499999999999574</v>
      </c>
      <c r="Z17" s="10">
        <f t="shared" si="14"/>
        <v>0.99774999999998681</v>
      </c>
      <c r="AA17" s="15"/>
      <c r="AB17" s="7">
        <f t="shared" si="16"/>
        <v>12400000.000001455</v>
      </c>
      <c r="AC17" s="8">
        <f t="shared" si="16"/>
        <v>12.400000000001455</v>
      </c>
      <c r="AD17" s="8">
        <f t="shared" si="16"/>
        <v>38.068000000004467</v>
      </c>
    </row>
    <row r="18" spans="1:30" x14ac:dyDescent="0.25">
      <c r="A18" s="1">
        <v>38305</v>
      </c>
      <c r="B18" s="7">
        <f>'[1]Nov Prod'!I17</f>
        <v>9299999.9999992717</v>
      </c>
      <c r="C18" s="8">
        <f t="shared" si="0"/>
        <v>9.2999999999992724</v>
      </c>
      <c r="D18" s="10">
        <f t="shared" si="1"/>
        <v>28.550999999997764</v>
      </c>
      <c r="E18" s="7">
        <f>'[1]Nov Prod'!E17</f>
        <v>5000000</v>
      </c>
      <c r="F18" s="8">
        <f t="shared" si="2"/>
        <v>5</v>
      </c>
      <c r="G18" s="10">
        <f t="shared" si="3"/>
        <v>15.35</v>
      </c>
      <c r="H18" s="7">
        <f>'[1]Nov Prod'!F17</f>
        <v>5290000</v>
      </c>
      <c r="I18" s="8">
        <f t="shared" si="15"/>
        <v>5.29</v>
      </c>
      <c r="J18" s="10">
        <f t="shared" si="4"/>
        <v>16.240299999999998</v>
      </c>
      <c r="K18" s="7">
        <f>'[1]Nov Prod'!$H265*10</f>
        <v>9578950</v>
      </c>
      <c r="L18" s="8">
        <f t="shared" si="17"/>
        <v>0.95789500000000005</v>
      </c>
      <c r="M18" s="10">
        <f t="shared" si="6"/>
        <v>2.94073765</v>
      </c>
      <c r="N18" s="21"/>
      <c r="O18" s="7">
        <f>'[1]Nov Prod'!H17</f>
        <v>0</v>
      </c>
      <c r="P18" s="8">
        <f t="shared" si="18"/>
        <v>0</v>
      </c>
      <c r="Q18" s="10">
        <f t="shared" si="8"/>
        <v>0</v>
      </c>
      <c r="R18" s="7">
        <f>'[1]Nov Prod'!C17</f>
        <v>161000</v>
      </c>
      <c r="S18" s="8">
        <f t="shared" ref="S18:S34" si="19">R18/1000000</f>
        <v>0.161</v>
      </c>
      <c r="T18" s="10">
        <f t="shared" si="10"/>
        <v>0.49426999999999999</v>
      </c>
      <c r="U18" s="7">
        <f>'[1]Nov Prod'!D17</f>
        <v>0</v>
      </c>
      <c r="V18" s="8">
        <f t="shared" si="11"/>
        <v>0</v>
      </c>
      <c r="W18" s="10">
        <f t="shared" si="12"/>
        <v>0</v>
      </c>
      <c r="X18" s="7">
        <f>'[1]Nov Prod'!$D265</f>
        <v>0</v>
      </c>
      <c r="Y18" s="8">
        <f t="shared" si="13"/>
        <v>0</v>
      </c>
      <c r="Z18" s="10">
        <f t="shared" si="14"/>
        <v>0</v>
      </c>
      <c r="AA18" s="15"/>
      <c r="AB18" s="7">
        <f t="shared" si="16"/>
        <v>9299999.9999992717</v>
      </c>
      <c r="AC18" s="8">
        <f t="shared" si="16"/>
        <v>9.2999999999992724</v>
      </c>
      <c r="AD18" s="8">
        <f t="shared" si="16"/>
        <v>28.550999999997764</v>
      </c>
    </row>
    <row r="19" spans="1:30" x14ac:dyDescent="0.25">
      <c r="A19" s="1">
        <v>38306</v>
      </c>
      <c r="B19" s="7">
        <f>'[1]Nov Prod'!I18</f>
        <v>13000000</v>
      </c>
      <c r="C19" s="8">
        <f t="shared" si="0"/>
        <v>13</v>
      </c>
      <c r="D19" s="10">
        <f t="shared" si="1"/>
        <v>39.909999999999997</v>
      </c>
      <c r="E19" s="7">
        <f>'[1]Nov Prod'!E18</f>
        <v>6000000</v>
      </c>
      <c r="F19" s="8">
        <f t="shared" si="2"/>
        <v>6</v>
      </c>
      <c r="G19" s="10">
        <f t="shared" si="3"/>
        <v>18.419999999999998</v>
      </c>
      <c r="H19" s="7">
        <f>'[1]Nov Prod'!F18</f>
        <v>6830000</v>
      </c>
      <c r="I19" s="8">
        <f t="shared" si="15"/>
        <v>6.83</v>
      </c>
      <c r="J19" s="10">
        <f t="shared" si="4"/>
        <v>20.9681</v>
      </c>
      <c r="K19" s="7">
        <f>'[1]Nov Prod'!$H266*10</f>
        <v>1032560</v>
      </c>
      <c r="L19" s="8">
        <f t="shared" si="17"/>
        <v>0.103256</v>
      </c>
      <c r="M19" s="10">
        <f t="shared" si="6"/>
        <v>0.31699591999999999</v>
      </c>
      <c r="N19" s="21"/>
      <c r="O19" s="7">
        <f>'[1]Nov Prod'!H18</f>
        <v>0</v>
      </c>
      <c r="P19" s="8">
        <f t="shared" si="18"/>
        <v>0</v>
      </c>
      <c r="Q19" s="10">
        <f t="shared" si="8"/>
        <v>0</v>
      </c>
      <c r="R19" s="7">
        <f>'[1]Nov Prod'!C18</f>
        <v>0</v>
      </c>
      <c r="S19" s="8">
        <f t="shared" si="19"/>
        <v>0</v>
      </c>
      <c r="T19" s="10">
        <f t="shared" si="10"/>
        <v>0</v>
      </c>
      <c r="U19" s="7">
        <f>'[1]Nov Prod'!D18</f>
        <v>0</v>
      </c>
      <c r="V19" s="8">
        <f t="shared" si="11"/>
        <v>0</v>
      </c>
      <c r="W19" s="10">
        <f t="shared" si="12"/>
        <v>0</v>
      </c>
      <c r="X19" s="7">
        <f>'[1]Nov Prod'!$D266</f>
        <v>0</v>
      </c>
      <c r="Y19" s="8">
        <f t="shared" si="13"/>
        <v>0</v>
      </c>
      <c r="Z19" s="10">
        <f t="shared" si="14"/>
        <v>0</v>
      </c>
      <c r="AA19" s="15"/>
      <c r="AB19" s="7">
        <f t="shared" si="16"/>
        <v>13000000</v>
      </c>
      <c r="AC19" s="8">
        <f t="shared" si="16"/>
        <v>13</v>
      </c>
      <c r="AD19" s="8">
        <f>D19+Q19</f>
        <v>39.909999999999997</v>
      </c>
    </row>
    <row r="20" spans="1:30" x14ac:dyDescent="0.25">
      <c r="A20" s="1">
        <v>38307</v>
      </c>
      <c r="B20" s="7">
        <f>'[1]Nov Prod'!I19</f>
        <v>11900000.000001455</v>
      </c>
      <c r="C20" s="8">
        <f t="shared" si="0"/>
        <v>11.900000000001455</v>
      </c>
      <c r="D20" s="10">
        <f t="shared" si="1"/>
        <v>36.533000000004463</v>
      </c>
      <c r="E20" s="7">
        <f>'[1]Nov Prod'!E19</f>
        <v>5000000</v>
      </c>
      <c r="F20" s="8">
        <f t="shared" si="2"/>
        <v>5</v>
      </c>
      <c r="G20" s="10">
        <f t="shared" si="3"/>
        <v>15.35</v>
      </c>
      <c r="H20" s="7">
        <f>'[1]Nov Prod'!F19</f>
        <v>6940000</v>
      </c>
      <c r="I20" s="8">
        <f t="shared" si="15"/>
        <v>6.94</v>
      </c>
      <c r="J20" s="10">
        <f t="shared" si="4"/>
        <v>21.305800000000001</v>
      </c>
      <c r="K20" s="7">
        <f>'[1]Nov Prod'!$H267*10</f>
        <v>10453390</v>
      </c>
      <c r="L20" s="8">
        <f t="shared" si="17"/>
        <v>1.045339</v>
      </c>
      <c r="M20" s="10">
        <f t="shared" si="6"/>
        <v>3.20919073</v>
      </c>
      <c r="N20" s="21"/>
      <c r="O20" s="7">
        <f>'[1]Nov Prod'!H19</f>
        <v>0</v>
      </c>
      <c r="P20" s="8">
        <f t="shared" si="18"/>
        <v>0</v>
      </c>
      <c r="Q20" s="10">
        <f t="shared" si="8"/>
        <v>0</v>
      </c>
      <c r="R20" s="7">
        <f>'[1]Nov Prod'!C19</f>
        <v>0</v>
      </c>
      <c r="S20" s="8">
        <f t="shared" si="19"/>
        <v>0</v>
      </c>
      <c r="T20" s="10">
        <f t="shared" si="10"/>
        <v>0</v>
      </c>
      <c r="U20" s="7">
        <f>'[1]Nov Prod'!D19</f>
        <v>0</v>
      </c>
      <c r="V20" s="8">
        <f t="shared" si="11"/>
        <v>0</v>
      </c>
      <c r="W20" s="10">
        <f t="shared" si="12"/>
        <v>0</v>
      </c>
      <c r="X20" s="7">
        <f>'[1]Nov Prod'!$D267</f>
        <v>0</v>
      </c>
      <c r="Y20" s="8">
        <f t="shared" si="13"/>
        <v>0</v>
      </c>
      <c r="Z20" s="10">
        <f t="shared" si="14"/>
        <v>0</v>
      </c>
      <c r="AA20" s="15"/>
      <c r="AB20" s="7">
        <f t="shared" si="16"/>
        <v>11900000.000001455</v>
      </c>
      <c r="AC20" s="8">
        <f t="shared" si="16"/>
        <v>11.900000000001455</v>
      </c>
      <c r="AD20" s="8">
        <f t="shared" si="16"/>
        <v>36.533000000004463</v>
      </c>
    </row>
    <row r="21" spans="1:30" x14ac:dyDescent="0.25">
      <c r="A21" s="1">
        <v>38308</v>
      </c>
      <c r="B21" s="7">
        <f>'[1]Nov Prod'!I20</f>
        <v>12399999.999997817</v>
      </c>
      <c r="C21" s="8">
        <f t="shared" si="0"/>
        <v>12.399999999997817</v>
      </c>
      <c r="D21" s="10">
        <f t="shared" si="1"/>
        <v>38.067999999993297</v>
      </c>
      <c r="E21" s="7">
        <f>'[1]Nov Prod'!E20</f>
        <v>6000000</v>
      </c>
      <c r="F21" s="8">
        <f t="shared" si="2"/>
        <v>6</v>
      </c>
      <c r="G21" s="10">
        <f t="shared" si="3"/>
        <v>18.419999999999998</v>
      </c>
      <c r="H21" s="7">
        <f>'[1]Nov Prod'!F20</f>
        <v>7180000</v>
      </c>
      <c r="I21" s="8">
        <f t="shared" si="15"/>
        <v>7.18</v>
      </c>
      <c r="J21" s="10">
        <f t="shared" si="4"/>
        <v>22.042599999999997</v>
      </c>
      <c r="K21" s="7">
        <f>'[1]Nov Prod'!$H268*10</f>
        <v>10283910</v>
      </c>
      <c r="L21" s="8">
        <f t="shared" si="17"/>
        <v>1.0283910000000001</v>
      </c>
      <c r="M21" s="10">
        <f t="shared" si="6"/>
        <v>3.1571603700000002</v>
      </c>
      <c r="N21" s="21"/>
      <c r="O21" s="7">
        <f>'[1]Nov Prod'!H20</f>
        <v>3181999.9999999991</v>
      </c>
      <c r="P21" s="8">
        <f t="shared" si="18"/>
        <v>3.1819999999999991</v>
      </c>
      <c r="Q21" s="10">
        <f t="shared" si="8"/>
        <v>9.7687399999999958</v>
      </c>
      <c r="R21" s="7">
        <f>'[1]Nov Prod'!C20</f>
        <v>3267000</v>
      </c>
      <c r="S21" s="8">
        <f t="shared" si="19"/>
        <v>3.2669999999999999</v>
      </c>
      <c r="T21" s="10">
        <f t="shared" si="10"/>
        <v>10.029689999999999</v>
      </c>
      <c r="U21" s="7">
        <f>'[1]Nov Prod'!D20</f>
        <v>0</v>
      </c>
      <c r="V21" s="8">
        <f t="shared" si="11"/>
        <v>0</v>
      </c>
      <c r="W21" s="10">
        <f t="shared" si="12"/>
        <v>0</v>
      </c>
      <c r="X21" s="7">
        <f>'[1]Nov Prod'!$D268</f>
        <v>85000.000000000859</v>
      </c>
      <c r="Y21" s="8">
        <f t="shared" si="13"/>
        <v>8.5000000000000853E-2</v>
      </c>
      <c r="Z21" s="10">
        <f t="shared" si="14"/>
        <v>0.26095000000000262</v>
      </c>
      <c r="AA21" s="15"/>
      <c r="AB21" s="7">
        <f t="shared" si="16"/>
        <v>15581999.999997817</v>
      </c>
      <c r="AC21" s="8">
        <f t="shared" si="16"/>
        <v>15.581999999997816</v>
      </c>
      <c r="AD21" s="8">
        <f t="shared" si="16"/>
        <v>47.836739999993291</v>
      </c>
    </row>
    <row r="22" spans="1:30" x14ac:dyDescent="0.25">
      <c r="A22" s="1">
        <v>38309</v>
      </c>
      <c r="B22" s="7">
        <f>'[1]Nov Prod'!I21</f>
        <v>6700000.0000007274</v>
      </c>
      <c r="C22" s="8">
        <f t="shared" si="0"/>
        <v>6.7000000000007276</v>
      </c>
      <c r="D22" s="10">
        <f t="shared" si="1"/>
        <v>20.569000000002234</v>
      </c>
      <c r="E22" s="7">
        <f>'[1]Nov Prod'!E21</f>
        <v>0</v>
      </c>
      <c r="F22" s="8">
        <f t="shared" si="2"/>
        <v>0</v>
      </c>
      <c r="G22" s="10">
        <f t="shared" si="3"/>
        <v>0</v>
      </c>
      <c r="H22" s="7">
        <f>'[1]Nov Prod'!F21</f>
        <v>6220000</v>
      </c>
      <c r="I22" s="8">
        <f t="shared" si="15"/>
        <v>6.22</v>
      </c>
      <c r="J22" s="10">
        <f t="shared" si="4"/>
        <v>19.095399999999998</v>
      </c>
      <c r="K22" s="7">
        <f>'[1]Nov Prod'!$H269*10</f>
        <v>5279190</v>
      </c>
      <c r="L22" s="8">
        <f t="shared" si="17"/>
        <v>0.52791900000000003</v>
      </c>
      <c r="M22" s="10">
        <f t="shared" si="6"/>
        <v>1.62071133</v>
      </c>
      <c r="N22" s="21"/>
      <c r="O22" s="7">
        <f>'[1]Nov Prod'!H21</f>
        <v>6309999.9999999972</v>
      </c>
      <c r="P22" s="8">
        <f t="shared" si="18"/>
        <v>6.3099999999999969</v>
      </c>
      <c r="Q22" s="10">
        <f t="shared" si="8"/>
        <v>19.37169999999999</v>
      </c>
      <c r="R22" s="7">
        <f>'[1]Nov Prod'!C21</f>
        <v>6504000</v>
      </c>
      <c r="S22" s="8">
        <f t="shared" si="19"/>
        <v>6.5039999999999996</v>
      </c>
      <c r="T22" s="10">
        <f t="shared" si="10"/>
        <v>19.967279999999999</v>
      </c>
      <c r="U22" s="7">
        <f>'[1]Nov Prod'!D21</f>
        <v>0</v>
      </c>
      <c r="V22" s="8">
        <f t="shared" si="11"/>
        <v>0</v>
      </c>
      <c r="W22" s="10">
        <f t="shared" si="12"/>
        <v>0</v>
      </c>
      <c r="X22" s="7">
        <f>'[1]Nov Prod'!$D269</f>
        <v>194000.00000000262</v>
      </c>
      <c r="Y22" s="8">
        <f t="shared" si="13"/>
        <v>0.19400000000000261</v>
      </c>
      <c r="Z22" s="10">
        <f t="shared" si="14"/>
        <v>0.59558000000000799</v>
      </c>
      <c r="AA22" s="15"/>
      <c r="AB22" s="7">
        <f t="shared" si="16"/>
        <v>13010000.000000725</v>
      </c>
      <c r="AC22" s="8">
        <f t="shared" si="16"/>
        <v>13.010000000000725</v>
      </c>
      <c r="AD22" s="8">
        <f t="shared" si="16"/>
        <v>39.940700000002224</v>
      </c>
    </row>
    <row r="23" spans="1:30" x14ac:dyDescent="0.25">
      <c r="A23" s="1">
        <v>38310</v>
      </c>
      <c r="B23" s="7">
        <f>'[1]Nov Prod'!I22</f>
        <v>5000000</v>
      </c>
      <c r="C23" s="8">
        <f t="shared" si="0"/>
        <v>5</v>
      </c>
      <c r="D23" s="10">
        <f t="shared" si="1"/>
        <v>15.35</v>
      </c>
      <c r="E23" s="7">
        <f>'[1]Nov Prod'!E22</f>
        <v>0</v>
      </c>
      <c r="F23" s="8">
        <f t="shared" si="2"/>
        <v>0</v>
      </c>
      <c r="G23" s="10">
        <f t="shared" si="3"/>
        <v>0</v>
      </c>
      <c r="H23" s="7">
        <f>'[1]Nov Prod'!F22</f>
        <v>5180000</v>
      </c>
      <c r="I23" s="8">
        <f t="shared" si="15"/>
        <v>5.18</v>
      </c>
      <c r="J23" s="10">
        <f t="shared" si="4"/>
        <v>15.902599999999998</v>
      </c>
      <c r="K23" s="7">
        <f>'[1]Nov Prod'!$H270*10</f>
        <v>4808490</v>
      </c>
      <c r="L23" s="8">
        <f t="shared" si="17"/>
        <v>0.48084900000000003</v>
      </c>
      <c r="M23" s="10">
        <f t="shared" si="6"/>
        <v>1.47620643</v>
      </c>
      <c r="N23" s="21"/>
      <c r="O23" s="7">
        <f>'[1]Nov Prod'!H22</f>
        <v>4880000</v>
      </c>
      <c r="P23" s="8">
        <f t="shared" si="18"/>
        <v>4.88</v>
      </c>
      <c r="Q23" s="10">
        <f t="shared" si="8"/>
        <v>14.981599999999998</v>
      </c>
      <c r="R23" s="7">
        <f>'[1]Nov Prod'!C22</f>
        <v>5075000</v>
      </c>
      <c r="S23" s="8">
        <f t="shared" si="19"/>
        <v>5.0750000000000002</v>
      </c>
      <c r="T23" s="10">
        <f t="shared" si="10"/>
        <v>15.580249999999999</v>
      </c>
      <c r="U23" s="7">
        <f>'[1]Nov Prod'!D22</f>
        <v>0</v>
      </c>
      <c r="V23" s="8">
        <f t="shared" si="11"/>
        <v>0</v>
      </c>
      <c r="W23" s="10">
        <f t="shared" si="12"/>
        <v>0</v>
      </c>
      <c r="X23" s="7">
        <f>'[1]Nov Prod'!$D270</f>
        <v>195000.00000000029</v>
      </c>
      <c r="Y23" s="8">
        <f t="shared" si="13"/>
        <v>0.19500000000000028</v>
      </c>
      <c r="Z23" s="10">
        <f t="shared" si="14"/>
        <v>0.59865000000000079</v>
      </c>
      <c r="AA23" s="15"/>
      <c r="AB23" s="7">
        <f t="shared" si="16"/>
        <v>9880000</v>
      </c>
      <c r="AC23" s="8">
        <f t="shared" si="16"/>
        <v>9.879999999999999</v>
      </c>
      <c r="AD23" s="8">
        <f t="shared" si="16"/>
        <v>30.331599999999998</v>
      </c>
    </row>
    <row r="24" spans="1:30" x14ac:dyDescent="0.25">
      <c r="A24" s="1">
        <v>38311</v>
      </c>
      <c r="B24" s="7">
        <f>'[1]Nov Prod'!I23</f>
        <v>5299999.9999992726</v>
      </c>
      <c r="C24" s="8">
        <f t="shared" si="0"/>
        <v>5.2999999999992724</v>
      </c>
      <c r="D24" s="10">
        <f t="shared" si="1"/>
        <v>16.270999999997766</v>
      </c>
      <c r="E24" s="7">
        <f>'[1]Nov Prod'!E23</f>
        <v>0</v>
      </c>
      <c r="F24" s="8">
        <f t="shared" si="2"/>
        <v>0</v>
      </c>
      <c r="G24" s="10">
        <f t="shared" si="3"/>
        <v>0</v>
      </c>
      <c r="H24" s="7">
        <f>'[1]Nov Prod'!F23</f>
        <v>5050000</v>
      </c>
      <c r="I24" s="8">
        <f t="shared" si="15"/>
        <v>5.05</v>
      </c>
      <c r="J24" s="10">
        <f t="shared" si="4"/>
        <v>15.503499999999999</v>
      </c>
      <c r="K24" s="7">
        <f>'[1]Nov Prod'!$H271*10</f>
        <v>5468710</v>
      </c>
      <c r="L24" s="8">
        <f t="shared" si="17"/>
        <v>0.546871</v>
      </c>
      <c r="M24" s="10">
        <f t="shared" si="6"/>
        <v>1.6788939699999998</v>
      </c>
      <c r="N24" s="21"/>
      <c r="O24" s="7">
        <f>'[1]Nov Prod'!H23</f>
        <v>6063000</v>
      </c>
      <c r="P24" s="8">
        <f t="shared" si="18"/>
        <v>6.0629999999999997</v>
      </c>
      <c r="Q24" s="10">
        <f t="shared" si="8"/>
        <v>18.613409999999998</v>
      </c>
      <c r="R24" s="7">
        <f>'[1]Nov Prod'!C23</f>
        <v>6325000</v>
      </c>
      <c r="S24" s="8">
        <f t="shared" si="19"/>
        <v>6.3250000000000002</v>
      </c>
      <c r="T24" s="10">
        <f t="shared" si="10"/>
        <v>19.417749999999998</v>
      </c>
      <c r="U24" s="7">
        <f>'[1]Nov Prod'!D23</f>
        <v>0</v>
      </c>
      <c r="V24" s="8">
        <f t="shared" si="11"/>
        <v>0</v>
      </c>
      <c r="W24" s="10">
        <f t="shared" si="12"/>
        <v>0</v>
      </c>
      <c r="X24" s="7">
        <f>'[1]Nov Prod'!$D271</f>
        <v>262000.00000000047</v>
      </c>
      <c r="Y24" s="8">
        <f t="shared" si="13"/>
        <v>0.26200000000000045</v>
      </c>
      <c r="Z24" s="10">
        <f t="shared" si="14"/>
        <v>0.80434000000000139</v>
      </c>
      <c r="AA24" s="15"/>
      <c r="AB24" s="7">
        <f t="shared" si="16"/>
        <v>11362999.999999274</v>
      </c>
      <c r="AC24" s="8">
        <f t="shared" si="16"/>
        <v>11.362999999999271</v>
      </c>
      <c r="AD24" s="8">
        <f>D24+Q24</f>
        <v>34.884409999997764</v>
      </c>
    </row>
    <row r="25" spans="1:30" x14ac:dyDescent="0.25">
      <c r="A25" s="1">
        <v>38312</v>
      </c>
      <c r="B25" s="7">
        <f>'[1]Nov Prod'!I24</f>
        <v>5400000.0000014547</v>
      </c>
      <c r="C25" s="8">
        <f t="shared" si="0"/>
        <v>5.4000000000014543</v>
      </c>
      <c r="D25" s="10">
        <f t="shared" si="1"/>
        <v>16.578000000004465</v>
      </c>
      <c r="E25" s="7">
        <f>'[1]Nov Prod'!E24</f>
        <v>0</v>
      </c>
      <c r="F25" s="8">
        <f t="shared" si="2"/>
        <v>0</v>
      </c>
      <c r="G25" s="10">
        <f t="shared" si="3"/>
        <v>0</v>
      </c>
      <c r="H25" s="7">
        <f>'[1]Nov Prod'!F24</f>
        <v>4990000</v>
      </c>
      <c r="I25" s="8">
        <f t="shared" si="15"/>
        <v>4.99</v>
      </c>
      <c r="J25" s="10">
        <f t="shared" si="4"/>
        <v>15.3193</v>
      </c>
      <c r="K25" s="7">
        <f>'[1]Nov Prod'!$H272*10</f>
        <v>4348930</v>
      </c>
      <c r="L25" s="8">
        <f t="shared" si="17"/>
        <v>0.43489299999999997</v>
      </c>
      <c r="M25" s="10">
        <f t="shared" si="6"/>
        <v>1.3351215099999998</v>
      </c>
      <c r="N25" s="21"/>
      <c r="O25" s="7">
        <f>'[1]Nov Prod'!H24</f>
        <v>6849000.0000000047</v>
      </c>
      <c r="P25" s="8">
        <f t="shared" si="18"/>
        <v>6.8490000000000046</v>
      </c>
      <c r="Q25" s="10">
        <f t="shared" si="8"/>
        <v>21.026430000000012</v>
      </c>
      <c r="R25" s="7">
        <f>'[1]Nov Prod'!C24</f>
        <v>6979000</v>
      </c>
      <c r="S25" s="8">
        <f t="shared" si="19"/>
        <v>6.9790000000000001</v>
      </c>
      <c r="T25" s="10">
        <f t="shared" si="10"/>
        <v>21.425529999999998</v>
      </c>
      <c r="U25" s="7">
        <f>'[1]Nov Prod'!D24</f>
        <v>0</v>
      </c>
      <c r="V25" s="8">
        <f t="shared" si="11"/>
        <v>0</v>
      </c>
      <c r="W25" s="10">
        <f t="shared" si="12"/>
        <v>0</v>
      </c>
      <c r="X25" s="7">
        <f>'[1]Nov Prod'!$D272</f>
        <v>129999.99999999546</v>
      </c>
      <c r="Y25" s="8">
        <f t="shared" si="13"/>
        <v>0.12999999999999545</v>
      </c>
      <c r="Z25" s="10">
        <f t="shared" si="14"/>
        <v>0.39909999999998602</v>
      </c>
      <c r="AA25" s="15"/>
      <c r="AB25" s="7">
        <f t="shared" si="16"/>
        <v>12249000.00000146</v>
      </c>
      <c r="AC25" s="8">
        <f t="shared" si="16"/>
        <v>12.249000000001459</v>
      </c>
      <c r="AD25" s="8">
        <f t="shared" si="16"/>
        <v>37.604430000004477</v>
      </c>
    </row>
    <row r="26" spans="1:30" x14ac:dyDescent="0.25">
      <c r="A26" s="1">
        <v>38313</v>
      </c>
      <c r="B26" s="7">
        <f>'[1]Nov Prod'!I25</f>
        <v>6899999.999997817</v>
      </c>
      <c r="C26" s="8">
        <f t="shared" si="0"/>
        <v>6.8999999999978172</v>
      </c>
      <c r="D26" s="10">
        <f t="shared" si="1"/>
        <v>21.182999999993299</v>
      </c>
      <c r="E26" s="7">
        <f>'[1]Nov Prod'!E25</f>
        <v>0</v>
      </c>
      <c r="F26" s="8">
        <f t="shared" si="2"/>
        <v>0</v>
      </c>
      <c r="G26" s="10">
        <f t="shared" si="3"/>
        <v>0</v>
      </c>
      <c r="H26" s="7">
        <f>'[1]Nov Prod'!F25</f>
        <v>6620000</v>
      </c>
      <c r="I26" s="8">
        <f t="shared" si="15"/>
        <v>6.62</v>
      </c>
      <c r="J26" s="10">
        <f t="shared" si="4"/>
        <v>20.323399999999999</v>
      </c>
      <c r="K26" s="7">
        <f>'[1]Nov Prod'!$H273*10</f>
        <v>6338580</v>
      </c>
      <c r="L26" s="8">
        <f t="shared" si="17"/>
        <v>0.63385800000000003</v>
      </c>
      <c r="M26" s="10">
        <f t="shared" si="6"/>
        <v>1.94594406</v>
      </c>
      <c r="N26" s="21"/>
      <c r="O26" s="7">
        <f>'[1]Nov Prod'!H25</f>
        <v>6631999.9999999944</v>
      </c>
      <c r="P26" s="8">
        <f t="shared" si="18"/>
        <v>6.6319999999999943</v>
      </c>
      <c r="Q26" s="10">
        <f t="shared" si="8"/>
        <v>20.360239999999983</v>
      </c>
      <c r="R26" s="7">
        <f>'[1]Nov Prod'!C25</f>
        <v>7032000</v>
      </c>
      <c r="S26" s="8">
        <f t="shared" si="19"/>
        <v>7.032</v>
      </c>
      <c r="T26" s="10">
        <f t="shared" si="10"/>
        <v>21.588239999999999</v>
      </c>
      <c r="U26" s="7">
        <f>'[1]Nov Prod'!D25</f>
        <v>0</v>
      </c>
      <c r="V26" s="8">
        <f t="shared" si="11"/>
        <v>0</v>
      </c>
      <c r="W26" s="10">
        <f t="shared" si="12"/>
        <v>0</v>
      </c>
      <c r="X26" s="7">
        <f>'[1]Nov Prod'!$D273</f>
        <v>400000.0000000057</v>
      </c>
      <c r="Y26" s="8">
        <f t="shared" si="13"/>
        <v>0.40000000000000568</v>
      </c>
      <c r="Z26" s="10">
        <f t="shared" si="14"/>
        <v>1.2280000000000173</v>
      </c>
      <c r="AA26" s="15"/>
      <c r="AB26" s="7">
        <f t="shared" si="16"/>
        <v>13531999.999997811</v>
      </c>
      <c r="AC26" s="8">
        <f t="shared" si="16"/>
        <v>13.531999999997812</v>
      </c>
      <c r="AD26" s="8">
        <f t="shared" si="16"/>
        <v>41.543239999993283</v>
      </c>
    </row>
    <row r="27" spans="1:30" x14ac:dyDescent="0.25">
      <c r="A27" s="1">
        <v>38314</v>
      </c>
      <c r="B27" s="7">
        <f>'[1]Nov Prod'!I26</f>
        <v>5900000.0000014547</v>
      </c>
      <c r="C27" s="8">
        <f t="shared" si="0"/>
        <v>5.9000000000014543</v>
      </c>
      <c r="D27" s="10">
        <f t="shared" si="1"/>
        <v>18.113000000004465</v>
      </c>
      <c r="E27" s="7">
        <f>'[1]Nov Prod'!E26</f>
        <v>0</v>
      </c>
      <c r="F27" s="8">
        <f t="shared" si="2"/>
        <v>0</v>
      </c>
      <c r="G27" s="10">
        <f t="shared" si="3"/>
        <v>0</v>
      </c>
      <c r="H27" s="7">
        <f>'[1]Nov Prod'!F26</f>
        <v>5950000</v>
      </c>
      <c r="I27" s="8">
        <f t="shared" si="15"/>
        <v>5.95</v>
      </c>
      <c r="J27" s="10">
        <f t="shared" si="4"/>
        <v>18.266500000000001</v>
      </c>
      <c r="K27" s="7">
        <f>'[1]Nov Prod'!$H274*10</f>
        <v>8589520</v>
      </c>
      <c r="L27" s="8">
        <f t="shared" si="17"/>
        <v>0.85895200000000005</v>
      </c>
      <c r="M27" s="10">
        <f t="shared" si="6"/>
        <v>2.6369826399999998</v>
      </c>
      <c r="N27" s="21"/>
      <c r="O27" s="7">
        <f>'[1]Nov Prod'!H26</f>
        <v>4642000.0000000037</v>
      </c>
      <c r="P27" s="8">
        <f t="shared" si="18"/>
        <v>4.6420000000000039</v>
      </c>
      <c r="Q27" s="10">
        <f t="shared" si="8"/>
        <v>14.250940000000011</v>
      </c>
      <c r="R27" s="7">
        <f>'[1]Nov Prod'!C26</f>
        <v>4976000</v>
      </c>
      <c r="S27" s="8">
        <f t="shared" si="19"/>
        <v>4.976</v>
      </c>
      <c r="T27" s="10">
        <f t="shared" si="10"/>
        <v>15.276319999999998</v>
      </c>
      <c r="U27" s="7">
        <f>'[1]Nov Prod'!D26</f>
        <v>0</v>
      </c>
      <c r="V27" s="8">
        <f t="shared" si="11"/>
        <v>0</v>
      </c>
      <c r="W27" s="10">
        <f t="shared" si="12"/>
        <v>0</v>
      </c>
      <c r="X27" s="7">
        <f>'[1]Nov Prod'!$D274</f>
        <v>333999.9999999961</v>
      </c>
      <c r="Y27" s="8">
        <f t="shared" si="13"/>
        <v>0.33399999999999608</v>
      </c>
      <c r="Z27" s="10">
        <f t="shared" si="14"/>
        <v>1.025379999999988</v>
      </c>
      <c r="AA27" s="15"/>
      <c r="AB27" s="7">
        <f t="shared" si="16"/>
        <v>10542000.000001458</v>
      </c>
      <c r="AC27" s="8">
        <f t="shared" si="16"/>
        <v>10.542000000001458</v>
      </c>
      <c r="AD27" s="8">
        <f t="shared" si="16"/>
        <v>32.363940000004476</v>
      </c>
    </row>
    <row r="28" spans="1:30" x14ac:dyDescent="0.25">
      <c r="A28" s="1">
        <v>38315</v>
      </c>
      <c r="B28" s="7">
        <f>'[1]Nov Prod'!I27</f>
        <v>6900000.0000014547</v>
      </c>
      <c r="C28" s="8">
        <f t="shared" si="0"/>
        <v>6.9000000000014543</v>
      </c>
      <c r="D28" s="10">
        <f t="shared" si="1"/>
        <v>21.183000000004462</v>
      </c>
      <c r="E28" s="7">
        <f>'[1]Nov Prod'!E27</f>
        <v>0</v>
      </c>
      <c r="F28" s="8">
        <f t="shared" si="2"/>
        <v>0</v>
      </c>
      <c r="G28" s="10">
        <f t="shared" si="3"/>
        <v>0</v>
      </c>
      <c r="H28" s="7">
        <f>'[1]Nov Prod'!F27</f>
        <v>6480000</v>
      </c>
      <c r="I28" s="8">
        <f t="shared" si="15"/>
        <v>6.48</v>
      </c>
      <c r="J28" s="10">
        <f t="shared" si="4"/>
        <v>19.893599999999999</v>
      </c>
      <c r="K28" s="7">
        <f>'[1]Nov Prod'!$H275*10</f>
        <v>5921620</v>
      </c>
      <c r="L28" s="8">
        <f t="shared" si="17"/>
        <v>0.59216199999999997</v>
      </c>
      <c r="M28" s="10">
        <f t="shared" si="6"/>
        <v>1.8179373399999998</v>
      </c>
      <c r="N28" s="21"/>
      <c r="O28" s="7">
        <f>'[1]Nov Prod'!H27</f>
        <v>6347499.9999999953</v>
      </c>
      <c r="P28" s="8">
        <f t="shared" si="18"/>
        <v>6.3474999999999957</v>
      </c>
      <c r="Q28" s="10">
        <f t="shared" si="8"/>
        <v>19.486824999999985</v>
      </c>
      <c r="R28" s="7">
        <f>'[1]Nov Prod'!C27</f>
        <v>6647500</v>
      </c>
      <c r="S28" s="8">
        <f t="shared" si="19"/>
        <v>6.6475</v>
      </c>
      <c r="T28" s="10">
        <f t="shared" si="10"/>
        <v>20.407824999999999</v>
      </c>
      <c r="U28" s="7">
        <f>'[1]Nov Prod'!D27</f>
        <v>0</v>
      </c>
      <c r="V28" s="8">
        <f t="shared" si="11"/>
        <v>0</v>
      </c>
      <c r="W28" s="10">
        <f t="shared" si="12"/>
        <v>0</v>
      </c>
      <c r="X28" s="7">
        <f>'[1]Nov Prod'!$D275</f>
        <v>300000.00000000425</v>
      </c>
      <c r="Y28" s="8">
        <f t="shared" si="13"/>
        <v>0.30000000000000426</v>
      </c>
      <c r="Z28" s="10">
        <f t="shared" si="14"/>
        <v>0.92100000000001303</v>
      </c>
      <c r="AA28" s="15"/>
      <c r="AB28" s="7">
        <f t="shared" si="16"/>
        <v>13247500.000001449</v>
      </c>
      <c r="AC28" s="8">
        <f t="shared" si="16"/>
        <v>13.24750000000145</v>
      </c>
      <c r="AD28" s="8">
        <f t="shared" si="16"/>
        <v>40.669825000004451</v>
      </c>
    </row>
    <row r="29" spans="1:30" x14ac:dyDescent="0.25">
      <c r="A29" s="1">
        <v>38316</v>
      </c>
      <c r="B29" s="7">
        <f>'[1]Nov Prod'!I28</f>
        <v>5299999.9999992726</v>
      </c>
      <c r="C29" s="8">
        <f t="shared" si="0"/>
        <v>5.2999999999992724</v>
      </c>
      <c r="D29" s="10">
        <f t="shared" si="1"/>
        <v>16.270999999997766</v>
      </c>
      <c r="E29" s="7">
        <f>'[1]Nov Prod'!E28</f>
        <v>0</v>
      </c>
      <c r="F29" s="8">
        <f t="shared" si="2"/>
        <v>0</v>
      </c>
      <c r="G29" s="10">
        <f t="shared" si="3"/>
        <v>0</v>
      </c>
      <c r="H29" s="7">
        <f>'[1]Nov Prod'!F28</f>
        <v>5380000</v>
      </c>
      <c r="I29" s="8">
        <f t="shared" si="15"/>
        <v>5.38</v>
      </c>
      <c r="J29" s="10">
        <f t="shared" si="4"/>
        <v>16.5166</v>
      </c>
      <c r="K29" s="7">
        <f>'[1]Nov Prod'!$H276*10</f>
        <v>5691530</v>
      </c>
      <c r="L29" s="8">
        <f t="shared" si="17"/>
        <v>0.56915300000000002</v>
      </c>
      <c r="M29" s="10">
        <f t="shared" si="6"/>
        <v>1.7472997100000001</v>
      </c>
      <c r="N29" s="21"/>
      <c r="O29" s="7">
        <f>'[1]Nov Prod'!H28</f>
        <v>7186000</v>
      </c>
      <c r="P29" s="8">
        <f t="shared" si="18"/>
        <v>7.1859999999999999</v>
      </c>
      <c r="Q29" s="10">
        <f t="shared" si="8"/>
        <v>22.061019999999999</v>
      </c>
      <c r="R29" s="7">
        <f>'[1]Nov Prod'!C28</f>
        <v>7486000</v>
      </c>
      <c r="S29" s="8">
        <f t="shared" si="19"/>
        <v>7.4859999999999998</v>
      </c>
      <c r="T29" s="10">
        <f t="shared" si="10"/>
        <v>22.982019999999999</v>
      </c>
      <c r="U29" s="7">
        <f>'[1]Nov Prod'!D28</f>
        <v>0</v>
      </c>
      <c r="V29" s="8">
        <f t="shared" si="11"/>
        <v>0</v>
      </c>
      <c r="W29" s="10">
        <f t="shared" si="12"/>
        <v>0</v>
      </c>
      <c r="X29" s="7">
        <f>'[1]Nov Prod'!$D276</f>
        <v>300000</v>
      </c>
      <c r="Y29" s="8">
        <f t="shared" si="13"/>
        <v>0.3</v>
      </c>
      <c r="Z29" s="10">
        <f t="shared" si="14"/>
        <v>0.92099999999999993</v>
      </c>
      <c r="AA29" s="15"/>
      <c r="AB29" s="7">
        <f t="shared" si="16"/>
        <v>12485999.999999274</v>
      </c>
      <c r="AC29" s="8">
        <f t="shared" si="16"/>
        <v>12.485999999999272</v>
      </c>
      <c r="AD29" s="8">
        <f t="shared" si="16"/>
        <v>38.332019999997769</v>
      </c>
    </row>
    <row r="30" spans="1:30" x14ac:dyDescent="0.25">
      <c r="A30" s="1">
        <v>38317</v>
      </c>
      <c r="B30" s="7">
        <f>'[1]Nov Prod'!I29</f>
        <v>5500000</v>
      </c>
      <c r="C30" s="8">
        <f t="shared" si="0"/>
        <v>5.5</v>
      </c>
      <c r="D30" s="10">
        <f t="shared" si="1"/>
        <v>16.884999999999998</v>
      </c>
      <c r="E30" s="7">
        <f>'[1]Nov Prod'!E29</f>
        <v>0</v>
      </c>
      <c r="F30" s="8">
        <f t="shared" si="2"/>
        <v>0</v>
      </c>
      <c r="G30" s="10">
        <f t="shared" si="3"/>
        <v>0</v>
      </c>
      <c r="H30" s="7">
        <f>'[1]Nov Prod'!F29</f>
        <v>5970000</v>
      </c>
      <c r="I30" s="8">
        <f t="shared" si="15"/>
        <v>5.97</v>
      </c>
      <c r="J30" s="10">
        <f t="shared" si="4"/>
        <v>18.3279</v>
      </c>
      <c r="K30" s="7">
        <f>'[1]Nov Prod'!$H277*10</f>
        <v>6010370</v>
      </c>
      <c r="L30" s="8">
        <f t="shared" si="17"/>
        <v>0.60103700000000004</v>
      </c>
      <c r="M30" s="10">
        <f t="shared" si="6"/>
        <v>1.84518359</v>
      </c>
      <c r="N30" s="21"/>
      <c r="O30" s="7">
        <f>'[1]Nov Prod'!H29</f>
        <v>8554000</v>
      </c>
      <c r="P30" s="8">
        <f t="shared" si="18"/>
        <v>8.5540000000000003</v>
      </c>
      <c r="Q30" s="10">
        <f t="shared" si="8"/>
        <v>26.26078</v>
      </c>
      <c r="R30" s="7">
        <f>'[1]Nov Prod'!C29</f>
        <v>8967000</v>
      </c>
      <c r="S30" s="8">
        <f t="shared" si="19"/>
        <v>8.9670000000000005</v>
      </c>
      <c r="T30" s="10">
        <f t="shared" si="10"/>
        <v>27.528690000000001</v>
      </c>
      <c r="U30" s="7">
        <f>'[1]Nov Prod'!D29</f>
        <v>0</v>
      </c>
      <c r="V30" s="8">
        <f t="shared" si="11"/>
        <v>0</v>
      </c>
      <c r="W30" s="10">
        <f t="shared" si="12"/>
        <v>0</v>
      </c>
      <c r="X30" s="7">
        <f>'[1]Nov Prod'!$D277</f>
        <v>413000</v>
      </c>
      <c r="Y30" s="8">
        <f t="shared" si="13"/>
        <v>0.41299999999999998</v>
      </c>
      <c r="Z30" s="10">
        <f t="shared" si="14"/>
        <v>1.2679099999999999</v>
      </c>
      <c r="AA30" s="15"/>
      <c r="AB30" s="7">
        <f t="shared" si="16"/>
        <v>14054000</v>
      </c>
      <c r="AC30" s="8">
        <f t="shared" si="16"/>
        <v>14.054</v>
      </c>
      <c r="AD30" s="8">
        <f>D30+Q30</f>
        <v>43.145780000000002</v>
      </c>
    </row>
    <row r="31" spans="1:30" x14ac:dyDescent="0.25">
      <c r="A31" s="1">
        <v>38318</v>
      </c>
      <c r="B31" s="7">
        <f>'[1]Nov Prod'!I30</f>
        <v>5799999.9999992726</v>
      </c>
      <c r="C31" s="8">
        <f t="shared" si="0"/>
        <v>5.7999999999992724</v>
      </c>
      <c r="D31" s="10">
        <f t="shared" si="1"/>
        <v>17.805999999997766</v>
      </c>
      <c r="E31" s="7">
        <f>'[1]Nov Prod'!E30</f>
        <v>0</v>
      </c>
      <c r="F31" s="8">
        <f t="shared" si="2"/>
        <v>0</v>
      </c>
      <c r="G31" s="10">
        <f t="shared" si="3"/>
        <v>0</v>
      </c>
      <c r="H31" s="7">
        <f>'[1]Nov Prod'!F30</f>
        <v>5300000</v>
      </c>
      <c r="I31" s="8">
        <f t="shared" si="15"/>
        <v>5.3</v>
      </c>
      <c r="J31" s="10">
        <f t="shared" si="4"/>
        <v>16.270999999999997</v>
      </c>
      <c r="K31" s="7">
        <f>'[1]Nov Prod'!$H278*10</f>
        <v>5133370</v>
      </c>
      <c r="L31" s="8">
        <f t="shared" si="17"/>
        <v>0.51333700000000004</v>
      </c>
      <c r="M31" s="10">
        <f t="shared" si="6"/>
        <v>1.57594459</v>
      </c>
      <c r="N31" s="21"/>
      <c r="O31" s="7">
        <f>'[1]Nov Prod'!H30</f>
        <v>4834000</v>
      </c>
      <c r="P31" s="8">
        <f t="shared" si="18"/>
        <v>4.8339999999999996</v>
      </c>
      <c r="Q31" s="10">
        <f t="shared" si="8"/>
        <v>14.840379999999998</v>
      </c>
      <c r="R31" s="7">
        <f>'[1]Nov Prod'!C30</f>
        <v>5317000</v>
      </c>
      <c r="S31" s="8">
        <f t="shared" si="19"/>
        <v>5.3170000000000002</v>
      </c>
      <c r="T31" s="10">
        <f t="shared" si="10"/>
        <v>16.32319</v>
      </c>
      <c r="U31" s="7">
        <f>'[1]Nov Prod'!D30</f>
        <v>0</v>
      </c>
      <c r="V31" s="8">
        <f t="shared" si="11"/>
        <v>0</v>
      </c>
      <c r="W31" s="10">
        <f t="shared" si="12"/>
        <v>0</v>
      </c>
      <c r="X31" s="7">
        <f>'[1]Nov Prod'!$D278</f>
        <v>483000.00000000012</v>
      </c>
      <c r="Y31" s="8">
        <f t="shared" si="13"/>
        <v>0.4830000000000001</v>
      </c>
      <c r="Z31" s="10">
        <f t="shared" si="14"/>
        <v>1.4828100000000002</v>
      </c>
      <c r="AA31" s="15"/>
      <c r="AB31" s="7">
        <f t="shared" si="16"/>
        <v>10633999.999999274</v>
      </c>
      <c r="AC31" s="8">
        <f t="shared" si="16"/>
        <v>10.633999999999272</v>
      </c>
      <c r="AD31" s="8">
        <f t="shared" si="16"/>
        <v>32.646379999997762</v>
      </c>
    </row>
    <row r="32" spans="1:30" x14ac:dyDescent="0.25">
      <c r="A32" s="1">
        <v>38319</v>
      </c>
      <c r="B32" s="7">
        <f>'[1]Nov Prod'!I31</f>
        <v>5400000.0000014547</v>
      </c>
      <c r="C32" s="8">
        <f t="shared" si="0"/>
        <v>5.4000000000014543</v>
      </c>
      <c r="D32" s="10">
        <f t="shared" si="1"/>
        <v>16.578000000004465</v>
      </c>
      <c r="E32" s="7">
        <f>'[1]Nov Prod'!E31</f>
        <v>0</v>
      </c>
      <c r="F32" s="8">
        <f t="shared" si="2"/>
        <v>0</v>
      </c>
      <c r="G32" s="10">
        <f t="shared" si="3"/>
        <v>0</v>
      </c>
      <c r="H32" s="7">
        <f>'[1]Nov Prod'!F31</f>
        <v>4980000</v>
      </c>
      <c r="I32" s="8">
        <f t="shared" si="15"/>
        <v>4.9800000000000004</v>
      </c>
      <c r="J32" s="10">
        <f t="shared" si="4"/>
        <v>15.288600000000001</v>
      </c>
      <c r="K32" s="7">
        <f>'[1]Nov Prod'!$H279*10</f>
        <v>4319340</v>
      </c>
      <c r="L32" s="8">
        <f t="shared" si="17"/>
        <v>0.43193399999999998</v>
      </c>
      <c r="M32" s="10">
        <f t="shared" si="6"/>
        <v>1.3260373799999998</v>
      </c>
      <c r="N32" s="21"/>
      <c r="O32" s="7">
        <f>'[1]Nov Prod'!H31</f>
        <v>5345000</v>
      </c>
      <c r="P32" s="8">
        <f t="shared" si="18"/>
        <v>5.3449999999999998</v>
      </c>
      <c r="Q32" s="10">
        <f t="shared" si="8"/>
        <v>16.409149999999997</v>
      </c>
      <c r="R32" s="7">
        <f>'[1]Nov Prod'!C31</f>
        <v>5546000</v>
      </c>
      <c r="S32" s="8">
        <f t="shared" si="19"/>
        <v>5.5460000000000003</v>
      </c>
      <c r="T32" s="10">
        <f t="shared" si="10"/>
        <v>17.026219999999999</v>
      </c>
      <c r="U32" s="7">
        <f>'[1]Nov Prod'!D31</f>
        <v>0</v>
      </c>
      <c r="V32" s="8">
        <f t="shared" si="11"/>
        <v>0</v>
      </c>
      <c r="W32" s="10">
        <f t="shared" si="12"/>
        <v>0</v>
      </c>
      <c r="X32" s="7">
        <f>'[1]Nov Prod'!$D279</f>
        <v>200999.99999999985</v>
      </c>
      <c r="Y32" s="8">
        <f t="shared" si="13"/>
        <v>0.20099999999999985</v>
      </c>
      <c r="Z32" s="10">
        <f t="shared" si="14"/>
        <v>0.61706999999999945</v>
      </c>
      <c r="AA32" s="15"/>
      <c r="AB32" s="7">
        <f t="shared" si="16"/>
        <v>10745000.000001455</v>
      </c>
      <c r="AC32" s="8">
        <f t="shared" si="16"/>
        <v>10.745000000001454</v>
      </c>
      <c r="AD32" s="8">
        <f t="shared" si="16"/>
        <v>32.987150000004462</v>
      </c>
    </row>
    <row r="33" spans="1:30" x14ac:dyDescent="0.25">
      <c r="A33" s="1">
        <v>38320</v>
      </c>
      <c r="B33" s="7">
        <f>'[1]Nov Prod'!I32</f>
        <v>6000000</v>
      </c>
      <c r="C33" s="8">
        <f t="shared" si="0"/>
        <v>6</v>
      </c>
      <c r="D33" s="10">
        <f t="shared" si="1"/>
        <v>18.419999999999998</v>
      </c>
      <c r="E33" s="7">
        <f>'[1]Nov Prod'!E32</f>
        <v>0</v>
      </c>
      <c r="F33" s="8">
        <f t="shared" si="2"/>
        <v>0</v>
      </c>
      <c r="G33" s="10">
        <f t="shared" si="3"/>
        <v>0</v>
      </c>
      <c r="H33" s="7">
        <f>'[1]Nov Prod'!F32</f>
        <v>5630000</v>
      </c>
      <c r="I33" s="8">
        <f t="shared" si="15"/>
        <v>5.63</v>
      </c>
      <c r="J33" s="10">
        <f t="shared" si="4"/>
        <v>17.284099999999999</v>
      </c>
      <c r="K33" s="7">
        <f>'[1]Nov Prod'!$H280*10</f>
        <v>5639920</v>
      </c>
      <c r="L33" s="8">
        <f t="shared" si="17"/>
        <v>0.56399200000000005</v>
      </c>
      <c r="M33" s="10">
        <f t="shared" si="6"/>
        <v>1.73145544</v>
      </c>
      <c r="N33" s="21"/>
      <c r="O33" s="7">
        <f>'[1]Nov Prod'!H32</f>
        <v>6300000</v>
      </c>
      <c r="P33" s="8">
        <f t="shared" si="18"/>
        <v>6.3</v>
      </c>
      <c r="Q33" s="10">
        <f t="shared" si="8"/>
        <v>19.340999999999998</v>
      </c>
      <c r="R33" s="7">
        <f>'[1]Nov Prod'!C32</f>
        <v>6675000</v>
      </c>
      <c r="S33" s="8">
        <f t="shared" si="19"/>
        <v>6.6749999999999998</v>
      </c>
      <c r="T33" s="10">
        <f t="shared" si="10"/>
        <v>20.492249999999999</v>
      </c>
      <c r="U33" s="7">
        <f>'[1]Nov Prod'!D32</f>
        <v>0</v>
      </c>
      <c r="V33" s="8">
        <f t="shared" si="11"/>
        <v>0</v>
      </c>
      <c r="W33" s="10">
        <f t="shared" si="12"/>
        <v>0</v>
      </c>
      <c r="X33" s="7">
        <f>'[1]Nov Prod'!$D280</f>
        <v>375000</v>
      </c>
      <c r="Y33" s="8">
        <f t="shared" si="13"/>
        <v>0.375</v>
      </c>
      <c r="Z33" s="10">
        <f t="shared" si="14"/>
        <v>1.1512499999999999</v>
      </c>
      <c r="AA33" s="15"/>
      <c r="AB33" s="7">
        <f t="shared" si="16"/>
        <v>12300000</v>
      </c>
      <c r="AC33" s="8">
        <f t="shared" si="16"/>
        <v>12.3</v>
      </c>
      <c r="AD33" s="8">
        <f t="shared" si="16"/>
        <v>37.760999999999996</v>
      </c>
    </row>
    <row r="34" spans="1:30" ht="13.8" thickBot="1" x14ac:dyDescent="0.3">
      <c r="A34" s="1">
        <v>38321</v>
      </c>
      <c r="B34" s="7">
        <f>'[1]Nov Prod'!I33</f>
        <v>4599999.9999985453</v>
      </c>
      <c r="C34" s="8">
        <f t="shared" si="0"/>
        <v>4.5999999999985457</v>
      </c>
      <c r="D34" s="10">
        <f t="shared" si="1"/>
        <v>14.121999999995534</v>
      </c>
      <c r="E34" s="7">
        <f>'[1]Nov Prod'!E33</f>
        <v>0</v>
      </c>
      <c r="F34" s="8">
        <f t="shared" si="2"/>
        <v>0</v>
      </c>
      <c r="G34" s="10">
        <f t="shared" si="3"/>
        <v>0</v>
      </c>
      <c r="H34" s="7">
        <f>'[1]Nov Prod'!F33</f>
        <v>5040000</v>
      </c>
      <c r="I34" s="8">
        <f t="shared" si="15"/>
        <v>5.04</v>
      </c>
      <c r="J34" s="10">
        <f t="shared" si="4"/>
        <v>15.472799999999999</v>
      </c>
      <c r="K34" s="7">
        <f>'[1]Nov Prod'!$H281*10</f>
        <v>4402020</v>
      </c>
      <c r="L34" s="8">
        <f t="shared" si="17"/>
        <v>0.44020199999999998</v>
      </c>
      <c r="M34" s="10">
        <f t="shared" si="6"/>
        <v>1.3514201399999999</v>
      </c>
      <c r="N34" s="21"/>
      <c r="O34" s="7">
        <f>'[1]Nov Prod'!H33</f>
        <v>6824000</v>
      </c>
      <c r="P34" s="8">
        <f t="shared" si="18"/>
        <v>6.8239999999999998</v>
      </c>
      <c r="Q34" s="10">
        <f t="shared" si="8"/>
        <v>20.949679999999997</v>
      </c>
      <c r="R34" s="7">
        <f>'[1]Nov Prod'!C33</f>
        <v>7166000</v>
      </c>
      <c r="S34" s="8">
        <f t="shared" si="19"/>
        <v>7.1660000000000004</v>
      </c>
      <c r="T34" s="10">
        <f t="shared" si="10"/>
        <v>21.99962</v>
      </c>
      <c r="U34" s="7">
        <f>'[1]Nov Prod'!D33</f>
        <v>0</v>
      </c>
      <c r="V34" s="8">
        <f t="shared" si="11"/>
        <v>0</v>
      </c>
      <c r="W34" s="10">
        <f t="shared" si="12"/>
        <v>0</v>
      </c>
      <c r="X34" s="7">
        <f>'[1]Nov Prod'!$D281</f>
        <v>341999.99999999988</v>
      </c>
      <c r="Y34" s="8">
        <f t="shared" si="13"/>
        <v>0.34199999999999986</v>
      </c>
      <c r="Z34" s="10">
        <f t="shared" si="14"/>
        <v>1.0499399999999994</v>
      </c>
      <c r="AA34" s="15"/>
      <c r="AB34" s="7">
        <f t="shared" si="16"/>
        <v>11423999.999998545</v>
      </c>
      <c r="AC34" s="8">
        <f t="shared" si="16"/>
        <v>11.423999999998546</v>
      </c>
      <c r="AD34" s="8">
        <f t="shared" si="16"/>
        <v>35.071679999995531</v>
      </c>
    </row>
    <row r="35" spans="1:30" ht="13.8" thickBot="1" x14ac:dyDescent="0.3">
      <c r="A35" s="20"/>
      <c r="B35" s="38"/>
      <c r="C35" s="39">
        <f>SUM(C5:C34)</f>
        <v>280.20000000000073</v>
      </c>
      <c r="D35" s="39">
        <f>SUM(D5:D34)</f>
        <v>860.2140000000021</v>
      </c>
      <c r="E35" s="38"/>
      <c r="F35" s="39">
        <f>SUM(F5:F34)</f>
        <v>96</v>
      </c>
      <c r="G35" s="39">
        <f>SUM(G5:G34)</f>
        <v>294.71999999999997</v>
      </c>
      <c r="H35" s="38"/>
      <c r="I35" s="39">
        <f>SUM(I5:I34)</f>
        <v>184.64</v>
      </c>
      <c r="J35" s="39">
        <f>SUM(J5:J34)</f>
        <v>566.84479999999974</v>
      </c>
      <c r="K35" s="38"/>
      <c r="L35" s="39">
        <f>SUM(L5:L34)</f>
        <v>23.530712999999995</v>
      </c>
      <c r="M35" s="39">
        <f>SUM(M5:M34)</f>
        <v>72.239288910000013</v>
      </c>
      <c r="N35" s="14"/>
      <c r="O35" s="38"/>
      <c r="P35" s="39">
        <f>SUM(P5:P34)</f>
        <v>83.948499999999996</v>
      </c>
      <c r="Q35" s="39">
        <f>SUM(Q5:Q34)</f>
        <v>257.72189499999996</v>
      </c>
      <c r="R35" s="38"/>
      <c r="S35" s="39">
        <f>SUM(S5:S34)</f>
        <v>88.123499999999993</v>
      </c>
      <c r="T35" s="39">
        <f>SUM(T5:T34)</f>
        <v>270.53914500000002</v>
      </c>
      <c r="U35" s="38"/>
      <c r="V35" s="39">
        <f>SUM(V5:V34)</f>
        <v>0</v>
      </c>
      <c r="W35" s="39">
        <f>SUM(W5:W34)</f>
        <v>0</v>
      </c>
      <c r="X35" s="38"/>
      <c r="Y35" s="39">
        <f>SUM(Y5:Y34)</f>
        <v>4.4050000000000029</v>
      </c>
      <c r="Z35" s="39">
        <f>SUM(Z5:Z34)</f>
        <v>13.523350000000011</v>
      </c>
      <c r="AA35" s="14"/>
      <c r="AB35" s="38">
        <f t="shared" si="16"/>
        <v>0</v>
      </c>
      <c r="AC35" s="39">
        <f t="shared" si="16"/>
        <v>364.14850000000069</v>
      </c>
      <c r="AD35" s="39">
        <f t="shared" si="16"/>
        <v>1117.9358950000021</v>
      </c>
    </row>
    <row r="36" spans="1:30" x14ac:dyDescent="0.25">
      <c r="C36" s="18"/>
      <c r="E36" s="3"/>
      <c r="F36" s="3"/>
      <c r="G36" s="3"/>
      <c r="H36" s="3"/>
      <c r="I36" s="3"/>
      <c r="J36" s="3"/>
      <c r="K36" s="14"/>
      <c r="L36" s="3"/>
      <c r="M36" s="3"/>
      <c r="N36" s="3"/>
      <c r="O36" s="3"/>
      <c r="P36" s="3"/>
      <c r="Q36" s="3"/>
      <c r="R36" s="3"/>
      <c r="S36" s="3"/>
      <c r="T36" s="3"/>
      <c r="U36" s="14"/>
      <c r="AB36" s="23"/>
      <c r="AC36" s="30"/>
      <c r="AD36" s="23"/>
    </row>
  </sheetData>
  <mergeCells count="9">
    <mergeCell ref="AB3:AD3"/>
    <mergeCell ref="R3:T3"/>
    <mergeCell ref="U3:W3"/>
    <mergeCell ref="B3:D3"/>
    <mergeCell ref="E3:G3"/>
    <mergeCell ref="H3:J3"/>
    <mergeCell ref="O3:Q3"/>
    <mergeCell ref="K3:M3"/>
    <mergeCell ref="X3:Z3"/>
  </mergeCells>
  <phoneticPr fontId="1" type="noConversion"/>
  <pageMargins left="0.75" right="0.75" top="1" bottom="1" header="0.5" footer="0.5"/>
  <pageSetup scale="78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D37"/>
  <sheetViews>
    <sheetView workbookViewId="0">
      <pane xSplit="1" ySplit="4" topLeftCell="B17" activePane="bottomRight" state="frozen"/>
      <selection pane="topRight" activeCell="B1" sqref="B1"/>
      <selection pane="bottomLeft" activeCell="A5" sqref="A5"/>
      <selection pane="bottomRight" activeCell="Q36" sqref="Q36"/>
    </sheetView>
  </sheetViews>
  <sheetFormatPr defaultRowHeight="13.2" x14ac:dyDescent="0.25"/>
  <cols>
    <col min="2" max="2" width="14.44140625" bestFit="1" customWidth="1"/>
    <col min="5" max="5" width="11" customWidth="1"/>
    <col min="8" max="8" width="13.44140625" bestFit="1" customWidth="1"/>
    <col min="11" max="11" width="10" customWidth="1"/>
    <col min="12" max="12" width="10.6640625" customWidth="1"/>
    <col min="15" max="15" width="11" customWidth="1"/>
    <col min="18" max="18" width="10.6640625" customWidth="1"/>
    <col min="21" max="21" width="11.6640625" bestFit="1" customWidth="1"/>
    <col min="22" max="22" width="10.6640625" customWidth="1"/>
    <col min="28" max="28" width="12.6640625" customWidth="1"/>
  </cols>
  <sheetData>
    <row r="1" spans="1:30" x14ac:dyDescent="0.25">
      <c r="B1" s="40"/>
      <c r="C1" s="25"/>
      <c r="D1" s="25"/>
      <c r="E1" s="22"/>
      <c r="F1" s="22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14"/>
    </row>
    <row r="2" spans="1:30" ht="13.8" thickBot="1" x14ac:dyDescent="0.3">
      <c r="C2" s="18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</row>
    <row r="3" spans="1:30" ht="60.75" customHeight="1" thickBot="1" x14ac:dyDescent="0.3">
      <c r="A3" s="3"/>
      <c r="B3" s="61" t="s">
        <v>10</v>
      </c>
      <c r="C3" s="62"/>
      <c r="D3" s="63"/>
      <c r="E3" s="61" t="s">
        <v>11</v>
      </c>
      <c r="F3" s="62"/>
      <c r="G3" s="63"/>
      <c r="H3" s="61" t="s">
        <v>12</v>
      </c>
      <c r="I3" s="62"/>
      <c r="J3" s="63"/>
      <c r="K3" s="61" t="s">
        <v>13</v>
      </c>
      <c r="L3" s="62"/>
      <c r="M3" s="63"/>
      <c r="N3" s="19"/>
      <c r="O3" s="61" t="s">
        <v>4</v>
      </c>
      <c r="P3" s="62"/>
      <c r="Q3" s="63"/>
      <c r="R3" s="61" t="s">
        <v>3</v>
      </c>
      <c r="S3" s="62"/>
      <c r="T3" s="63"/>
      <c r="U3" s="61" t="s">
        <v>6</v>
      </c>
      <c r="V3" s="62"/>
      <c r="W3" s="63"/>
      <c r="X3" s="61" t="s">
        <v>7</v>
      </c>
      <c r="Y3" s="62"/>
      <c r="Z3" s="63"/>
      <c r="AA3" s="19"/>
      <c r="AB3" s="58" t="s">
        <v>8</v>
      </c>
      <c r="AC3" s="59"/>
      <c r="AD3" s="60"/>
    </row>
    <row r="4" spans="1:30" x14ac:dyDescent="0.25">
      <c r="A4" s="2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35" t="s">
        <v>0</v>
      </c>
      <c r="AC4" s="36" t="s">
        <v>1</v>
      </c>
      <c r="AD4" s="37" t="s">
        <v>2</v>
      </c>
    </row>
    <row r="5" spans="1:30" x14ac:dyDescent="0.25">
      <c r="A5" s="1">
        <v>38322</v>
      </c>
      <c r="B5" s="7">
        <f>'[2]Dec Prod'!I4</f>
        <v>6900000.0000014547</v>
      </c>
      <c r="C5" s="8">
        <f t="shared" ref="C5:C35" si="0">B5/1000000</f>
        <v>6.9000000000014543</v>
      </c>
      <c r="D5" s="10">
        <f t="shared" ref="D5:D35" si="1">C5*3.07</f>
        <v>21.183000000004462</v>
      </c>
      <c r="E5" s="7">
        <f>'[2]Dec Prod'!E4</f>
        <v>0</v>
      </c>
      <c r="F5" s="8">
        <f t="shared" ref="F5:F35" si="2">E5/1000000</f>
        <v>0</v>
      </c>
      <c r="G5" s="10">
        <f t="shared" ref="G5:G35" si="3">F5*3.07</f>
        <v>0</v>
      </c>
      <c r="H5" s="7">
        <f>'[2]Dec Prod'!F4</f>
        <v>6150000</v>
      </c>
      <c r="I5" s="8">
        <f t="shared" ref="I5:I33" si="4">H5/1000000</f>
        <v>6.15</v>
      </c>
      <c r="J5" s="10">
        <f t="shared" ref="J5:J35" si="5">I5*3.07</f>
        <v>18.880500000000001</v>
      </c>
      <c r="K5" s="7">
        <f>'[2]Dec Prod'!H259</f>
        <v>584417</v>
      </c>
      <c r="L5" s="8">
        <f t="shared" ref="L5:L35" si="6">K5/1000000</f>
        <v>0.58441699999999996</v>
      </c>
      <c r="M5" s="10">
        <f t="shared" ref="M5:M35" si="7">L5*3.07</f>
        <v>1.7941601899999997</v>
      </c>
      <c r="N5" s="21"/>
      <c r="O5" s="7">
        <f>'[2]Dec Prod'!H4</f>
        <v>7126000</v>
      </c>
      <c r="P5" s="8">
        <f t="shared" ref="P5:P35" si="8">O5/1000000</f>
        <v>7.1260000000000003</v>
      </c>
      <c r="Q5" s="10">
        <f t="shared" ref="Q5:Q35" si="9">P5*3.07</f>
        <v>21.876819999999999</v>
      </c>
      <c r="R5" s="7">
        <f>'[2]Dec Prod'!C4</f>
        <v>7337000</v>
      </c>
      <c r="S5" s="8">
        <f t="shared" ref="S5:S35" si="10">R5/1000000</f>
        <v>7.3369999999999997</v>
      </c>
      <c r="T5" s="10">
        <f t="shared" ref="T5:T35" si="11">S5*3.07</f>
        <v>22.524589999999996</v>
      </c>
      <c r="U5" s="7">
        <f>'[2]Dec Prod'!D4</f>
        <v>0</v>
      </c>
      <c r="V5" s="8">
        <f t="shared" ref="V5:V35" si="12">U5/1000000</f>
        <v>0</v>
      </c>
      <c r="W5" s="10">
        <f t="shared" ref="W5:W35" si="13">V5*3.07</f>
        <v>0</v>
      </c>
      <c r="X5" s="7">
        <f>'[2]Dec Prod'!D259</f>
        <v>211000.00000000029</v>
      </c>
      <c r="Y5" s="8">
        <f t="shared" ref="Y5:Y35" si="14">X5/1000000</f>
        <v>0.2110000000000003</v>
      </c>
      <c r="Z5" s="10">
        <f t="shared" ref="Z5:Z35" si="15">Y5*3.07</f>
        <v>0.64777000000000085</v>
      </c>
      <c r="AA5" s="15"/>
      <c r="AB5" s="7">
        <f>B5+O5</f>
        <v>14026000.000001455</v>
      </c>
      <c r="AC5" s="8">
        <f>C5+P5</f>
        <v>14.026000000001455</v>
      </c>
      <c r="AD5" s="8">
        <f>D5+Q5</f>
        <v>43.059820000004464</v>
      </c>
    </row>
    <row r="6" spans="1:30" x14ac:dyDescent="0.25">
      <c r="A6" s="1">
        <v>38323</v>
      </c>
      <c r="B6" s="7">
        <f>'[2]Dec Prod'!I5</f>
        <v>3599999.9999985448</v>
      </c>
      <c r="C6" s="8">
        <f t="shared" si="0"/>
        <v>3.5999999999985448</v>
      </c>
      <c r="D6" s="10">
        <f t="shared" si="1"/>
        <v>11.051999999995532</v>
      </c>
      <c r="E6" s="7">
        <f>'[2]Dec Prod'!E5</f>
        <v>0</v>
      </c>
      <c r="F6" s="8">
        <f t="shared" si="2"/>
        <v>0</v>
      </c>
      <c r="G6" s="10">
        <f t="shared" si="3"/>
        <v>0</v>
      </c>
      <c r="H6" s="7">
        <f>'[2]Dec Prod'!F5</f>
        <v>3220000</v>
      </c>
      <c r="I6" s="8">
        <f t="shared" si="4"/>
        <v>3.22</v>
      </c>
      <c r="J6" s="10">
        <f t="shared" si="5"/>
        <v>9.8854000000000006</v>
      </c>
      <c r="K6" s="7">
        <f>'[2]Dec Prod'!H260</f>
        <v>318210</v>
      </c>
      <c r="L6" s="8">
        <f t="shared" si="6"/>
        <v>0.31820999999999999</v>
      </c>
      <c r="M6" s="10">
        <f t="shared" si="7"/>
        <v>0.97690469999999996</v>
      </c>
      <c r="N6" s="21"/>
      <c r="O6" s="7">
        <f>'[2]Dec Prod'!H5</f>
        <v>6406000</v>
      </c>
      <c r="P6" s="8">
        <f t="shared" si="8"/>
        <v>6.4059999999999997</v>
      </c>
      <c r="Q6" s="10">
        <f t="shared" si="9"/>
        <v>19.666419999999999</v>
      </c>
      <c r="R6" s="7">
        <f>'[2]Dec Prod'!C5</f>
        <v>6689000</v>
      </c>
      <c r="S6" s="8">
        <f t="shared" si="10"/>
        <v>6.6890000000000001</v>
      </c>
      <c r="T6" s="10">
        <f t="shared" si="11"/>
        <v>20.535229999999999</v>
      </c>
      <c r="U6" s="7">
        <f>'[2]Dec Prod'!D5</f>
        <v>0</v>
      </c>
      <c r="V6" s="8">
        <f t="shared" si="12"/>
        <v>0</v>
      </c>
      <c r="W6" s="10">
        <f t="shared" si="13"/>
        <v>0</v>
      </c>
      <c r="X6" s="7">
        <f>'[2]Dec Prod'!D260</f>
        <v>282999.99999999994</v>
      </c>
      <c r="Y6" s="8">
        <f t="shared" si="14"/>
        <v>0.28299999999999992</v>
      </c>
      <c r="Z6" s="10">
        <f t="shared" si="15"/>
        <v>0.86880999999999975</v>
      </c>
      <c r="AA6" s="15"/>
      <c r="AB6" s="7">
        <f t="shared" ref="AB6:AD35" si="16">B6+O6</f>
        <v>10005999.999998545</v>
      </c>
      <c r="AC6" s="8">
        <f t="shared" si="16"/>
        <v>10.005999999998544</v>
      </c>
      <c r="AD6" s="8">
        <f t="shared" si="16"/>
        <v>30.718419999995533</v>
      </c>
    </row>
    <row r="7" spans="1:30" x14ac:dyDescent="0.25">
      <c r="A7" s="1">
        <v>38324</v>
      </c>
      <c r="B7" s="7">
        <f>'[2]Dec Prod'!I6</f>
        <v>1599999.9999985448</v>
      </c>
      <c r="C7" s="8">
        <f t="shared" si="0"/>
        <v>1.5999999999985448</v>
      </c>
      <c r="D7" s="10">
        <f t="shared" si="1"/>
        <v>4.9119999999955324</v>
      </c>
      <c r="E7" s="7">
        <f>'[2]Dec Prod'!E6</f>
        <v>0</v>
      </c>
      <c r="F7" s="8">
        <f t="shared" si="2"/>
        <v>0</v>
      </c>
      <c r="G7" s="10">
        <f t="shared" si="3"/>
        <v>0</v>
      </c>
      <c r="H7" s="7">
        <f>'[2]Dec Prod'!F6</f>
        <v>0</v>
      </c>
      <c r="I7" s="8">
        <f t="shared" si="4"/>
        <v>0</v>
      </c>
      <c r="J7" s="10">
        <f t="shared" si="5"/>
        <v>0</v>
      </c>
      <c r="K7" s="7">
        <f>'[2]Dec Prod'!H261</f>
        <v>84550</v>
      </c>
      <c r="L7" s="8">
        <f t="shared" si="6"/>
        <v>8.455E-2</v>
      </c>
      <c r="M7" s="10">
        <f t="shared" si="7"/>
        <v>0.25956849999999998</v>
      </c>
      <c r="N7" s="21"/>
      <c r="O7" s="7">
        <f>'[2]Dec Prod'!H6</f>
        <v>9223000</v>
      </c>
      <c r="P7" s="8">
        <f t="shared" si="8"/>
        <v>9.2230000000000008</v>
      </c>
      <c r="Q7" s="10">
        <f t="shared" si="9"/>
        <v>28.314610000000002</v>
      </c>
      <c r="R7" s="7">
        <f>'[2]Dec Prod'!C6</f>
        <v>9621000</v>
      </c>
      <c r="S7" s="8">
        <f t="shared" si="10"/>
        <v>9.6210000000000004</v>
      </c>
      <c r="T7" s="10">
        <f t="shared" si="11"/>
        <v>29.536470000000001</v>
      </c>
      <c r="U7" s="7">
        <f>'[2]Dec Prod'!D6</f>
        <v>0</v>
      </c>
      <c r="V7" s="8">
        <f t="shared" si="12"/>
        <v>0</v>
      </c>
      <c r="W7" s="10">
        <f t="shared" si="13"/>
        <v>0</v>
      </c>
      <c r="X7" s="7">
        <f>'[2]Dec Prod'!D261</f>
        <v>398000.00000000012</v>
      </c>
      <c r="Y7" s="8">
        <f t="shared" si="14"/>
        <v>0.39800000000000013</v>
      </c>
      <c r="Z7" s="10">
        <f t="shared" si="15"/>
        <v>1.2218600000000004</v>
      </c>
      <c r="AA7" s="15"/>
      <c r="AB7" s="7">
        <f t="shared" si="16"/>
        <v>10822999.999998545</v>
      </c>
      <c r="AC7" s="8">
        <f t="shared" si="16"/>
        <v>10.822999999998546</v>
      </c>
      <c r="AD7" s="8">
        <f t="shared" si="16"/>
        <v>33.226609999995532</v>
      </c>
    </row>
    <row r="8" spans="1:30" x14ac:dyDescent="0.25">
      <c r="A8" s="1">
        <v>38325</v>
      </c>
      <c r="B8" s="7">
        <f>'[2]Dec Prod'!I7</f>
        <v>0</v>
      </c>
      <c r="C8" s="8">
        <f t="shared" si="0"/>
        <v>0</v>
      </c>
      <c r="D8" s="10">
        <f t="shared" si="1"/>
        <v>0</v>
      </c>
      <c r="E8" s="7">
        <f>'[2]Dec Prod'!E7</f>
        <v>0</v>
      </c>
      <c r="F8" s="8">
        <f t="shared" si="2"/>
        <v>0</v>
      </c>
      <c r="G8" s="10">
        <f t="shared" si="3"/>
        <v>0</v>
      </c>
      <c r="H8" s="7">
        <f>'[2]Dec Prod'!F7</f>
        <v>0</v>
      </c>
      <c r="I8" s="8">
        <f t="shared" si="4"/>
        <v>0</v>
      </c>
      <c r="J8" s="10">
        <f t="shared" si="5"/>
        <v>0</v>
      </c>
      <c r="K8" s="7">
        <f>'[2]Dec Prod'!H262</f>
        <v>7436</v>
      </c>
      <c r="L8" s="8">
        <f t="shared" si="6"/>
        <v>7.4359999999999999E-3</v>
      </c>
      <c r="M8" s="10">
        <f t="shared" si="7"/>
        <v>2.2828519999999998E-2</v>
      </c>
      <c r="N8" s="21"/>
      <c r="O8" s="7">
        <f>'[2]Dec Prod'!H7</f>
        <v>10608000</v>
      </c>
      <c r="P8" s="8">
        <f t="shared" si="8"/>
        <v>10.608000000000001</v>
      </c>
      <c r="Q8" s="10">
        <f t="shared" si="9"/>
        <v>32.566560000000003</v>
      </c>
      <c r="R8" s="7">
        <f>'[2]Dec Prod'!C7</f>
        <v>11005000</v>
      </c>
      <c r="S8" s="8">
        <f t="shared" si="10"/>
        <v>11.005000000000001</v>
      </c>
      <c r="T8" s="10">
        <f t="shared" si="11"/>
        <v>33.785350000000001</v>
      </c>
      <c r="U8" s="7">
        <f>'[2]Dec Prod'!D7</f>
        <v>0</v>
      </c>
      <c r="V8" s="8">
        <f t="shared" si="12"/>
        <v>0</v>
      </c>
      <c r="W8" s="10">
        <f t="shared" si="13"/>
        <v>0</v>
      </c>
      <c r="X8" s="7">
        <f>'[2]Dec Prod'!D262</f>
        <v>396999.99999999983</v>
      </c>
      <c r="Y8" s="8">
        <f t="shared" si="14"/>
        <v>0.39699999999999985</v>
      </c>
      <c r="Z8" s="10">
        <f t="shared" si="15"/>
        <v>1.2187899999999996</v>
      </c>
      <c r="AA8" s="15"/>
      <c r="AB8" s="7">
        <f t="shared" si="16"/>
        <v>10608000</v>
      </c>
      <c r="AC8" s="8">
        <f t="shared" si="16"/>
        <v>10.608000000000001</v>
      </c>
      <c r="AD8" s="8">
        <f>D8+Q8</f>
        <v>32.566560000000003</v>
      </c>
    </row>
    <row r="9" spans="1:30" x14ac:dyDescent="0.25">
      <c r="A9" s="1">
        <v>38326</v>
      </c>
      <c r="B9" s="7">
        <f>'[2]Dec Prod'!I8</f>
        <v>0</v>
      </c>
      <c r="C9" s="8">
        <f t="shared" si="0"/>
        <v>0</v>
      </c>
      <c r="D9" s="10">
        <f t="shared" si="1"/>
        <v>0</v>
      </c>
      <c r="E9" s="7">
        <f>'[2]Dec Prod'!E8</f>
        <v>0</v>
      </c>
      <c r="F9" s="8">
        <f t="shared" si="2"/>
        <v>0</v>
      </c>
      <c r="G9" s="10">
        <f t="shared" si="3"/>
        <v>0</v>
      </c>
      <c r="H9" s="7">
        <f>'[2]Dec Prod'!F8</f>
        <v>0</v>
      </c>
      <c r="I9" s="8">
        <f t="shared" si="4"/>
        <v>0</v>
      </c>
      <c r="J9" s="10">
        <f t="shared" si="5"/>
        <v>0</v>
      </c>
      <c r="K9" s="7">
        <f>'[2]Dec Prod'!H263</f>
        <v>8500</v>
      </c>
      <c r="L9" s="8">
        <f t="shared" si="6"/>
        <v>8.5000000000000006E-3</v>
      </c>
      <c r="M9" s="10">
        <f t="shared" si="7"/>
        <v>2.6095E-2</v>
      </c>
      <c r="N9" s="21"/>
      <c r="O9" s="7">
        <f>'[2]Dec Prod'!H8</f>
        <v>11646000</v>
      </c>
      <c r="P9" s="8">
        <f t="shared" si="8"/>
        <v>11.646000000000001</v>
      </c>
      <c r="Q9" s="10">
        <f t="shared" si="9"/>
        <v>35.753219999999999</v>
      </c>
      <c r="R9" s="7">
        <f>'[2]Dec Prod'!C8</f>
        <v>12043000</v>
      </c>
      <c r="S9" s="8">
        <f t="shared" si="10"/>
        <v>12.042999999999999</v>
      </c>
      <c r="T9" s="10">
        <f t="shared" si="11"/>
        <v>36.972009999999997</v>
      </c>
      <c r="U9" s="7">
        <f>'[2]Dec Prod'!D8</f>
        <v>0</v>
      </c>
      <c r="V9" s="8">
        <f t="shared" si="12"/>
        <v>0</v>
      </c>
      <c r="W9" s="10">
        <f t="shared" si="13"/>
        <v>0</v>
      </c>
      <c r="X9" s="7">
        <f>'[2]Dec Prod'!D263</f>
        <v>397000.00000000023</v>
      </c>
      <c r="Y9" s="8">
        <f t="shared" si="14"/>
        <v>0.39700000000000024</v>
      </c>
      <c r="Z9" s="10">
        <f t="shared" si="15"/>
        <v>1.2187900000000007</v>
      </c>
      <c r="AA9" s="15"/>
      <c r="AB9" s="7">
        <f t="shared" si="16"/>
        <v>11646000</v>
      </c>
      <c r="AC9" s="8">
        <f t="shared" si="16"/>
        <v>11.646000000000001</v>
      </c>
      <c r="AD9" s="8">
        <f t="shared" si="16"/>
        <v>35.753219999999999</v>
      </c>
    </row>
    <row r="10" spans="1:30" x14ac:dyDescent="0.25">
      <c r="A10" s="1">
        <v>38327</v>
      </c>
      <c r="B10" s="7">
        <f>'[2]Dec Prod'!I9</f>
        <v>0</v>
      </c>
      <c r="C10" s="8">
        <f t="shared" si="0"/>
        <v>0</v>
      </c>
      <c r="D10" s="10">
        <f t="shared" si="1"/>
        <v>0</v>
      </c>
      <c r="E10" s="7">
        <f>'[2]Dec Prod'!E9</f>
        <v>0</v>
      </c>
      <c r="F10" s="8">
        <f t="shared" si="2"/>
        <v>0</v>
      </c>
      <c r="G10" s="10">
        <f t="shared" si="3"/>
        <v>0</v>
      </c>
      <c r="H10" s="7">
        <f>'[2]Dec Prod'!F9</f>
        <v>0</v>
      </c>
      <c r="I10" s="8">
        <f t="shared" si="4"/>
        <v>0</v>
      </c>
      <c r="J10" s="10">
        <f t="shared" si="5"/>
        <v>0</v>
      </c>
      <c r="K10" s="7">
        <f>'[2]Dec Prod'!H264</f>
        <v>75234</v>
      </c>
      <c r="L10" s="8">
        <f t="shared" si="6"/>
        <v>7.5233999999999995E-2</v>
      </c>
      <c r="M10" s="10">
        <f t="shared" si="7"/>
        <v>0.23096837999999997</v>
      </c>
      <c r="N10" s="21"/>
      <c r="O10" s="7">
        <f>'[2]Dec Prod'!H9</f>
        <v>12137000</v>
      </c>
      <c r="P10" s="8">
        <f t="shared" si="8"/>
        <v>12.137</v>
      </c>
      <c r="Q10" s="10">
        <f t="shared" si="9"/>
        <v>37.260590000000001</v>
      </c>
      <c r="R10" s="7">
        <f>'[2]Dec Prod'!C9</f>
        <v>12546000</v>
      </c>
      <c r="S10" s="8">
        <f t="shared" si="10"/>
        <v>12.545999999999999</v>
      </c>
      <c r="T10" s="10">
        <f t="shared" si="11"/>
        <v>38.516219999999997</v>
      </c>
      <c r="U10" s="7">
        <f>'[2]Dec Prod'!D9</f>
        <v>0</v>
      </c>
      <c r="V10" s="8">
        <f t="shared" si="12"/>
        <v>0</v>
      </c>
      <c r="W10" s="10">
        <f t="shared" si="13"/>
        <v>0</v>
      </c>
      <c r="X10" s="7">
        <f>'[2]Dec Prod'!D264</f>
        <v>408999.99999999983</v>
      </c>
      <c r="Y10" s="8">
        <f t="shared" si="14"/>
        <v>0.40899999999999981</v>
      </c>
      <c r="Z10" s="10">
        <f t="shared" si="15"/>
        <v>1.2556299999999994</v>
      </c>
      <c r="AA10" s="15"/>
      <c r="AB10" s="7">
        <f t="shared" si="16"/>
        <v>12137000</v>
      </c>
      <c r="AC10" s="8">
        <f t="shared" si="16"/>
        <v>12.137</v>
      </c>
      <c r="AD10" s="8">
        <f t="shared" si="16"/>
        <v>37.260590000000001</v>
      </c>
    </row>
    <row r="11" spans="1:30" x14ac:dyDescent="0.25">
      <c r="A11" s="1">
        <v>38328</v>
      </c>
      <c r="B11" s="7">
        <f>'[2]Dec Prod'!I10</f>
        <v>0</v>
      </c>
      <c r="C11" s="8">
        <f t="shared" si="0"/>
        <v>0</v>
      </c>
      <c r="D11" s="10">
        <f t="shared" si="1"/>
        <v>0</v>
      </c>
      <c r="E11" s="7">
        <f>'[2]Dec Prod'!E10</f>
        <v>0</v>
      </c>
      <c r="F11" s="8">
        <f t="shared" si="2"/>
        <v>0</v>
      </c>
      <c r="G11" s="10">
        <f t="shared" si="3"/>
        <v>0</v>
      </c>
      <c r="H11" s="7">
        <f>'[2]Dec Prod'!F10</f>
        <v>0</v>
      </c>
      <c r="I11" s="8">
        <f t="shared" si="4"/>
        <v>0</v>
      </c>
      <c r="J11" s="10">
        <f t="shared" si="5"/>
        <v>0</v>
      </c>
      <c r="K11" s="7">
        <f>'[2]Dec Prod'!H265</f>
        <v>74605</v>
      </c>
      <c r="L11" s="8">
        <f t="shared" si="6"/>
        <v>7.4605000000000005E-2</v>
      </c>
      <c r="M11" s="10">
        <f t="shared" si="7"/>
        <v>0.22903735</v>
      </c>
      <c r="N11" s="21"/>
      <c r="O11" s="7">
        <f>'[2]Dec Prod'!H10</f>
        <v>12192000</v>
      </c>
      <c r="P11" s="8">
        <f t="shared" si="8"/>
        <v>12.192</v>
      </c>
      <c r="Q11" s="10">
        <f t="shared" si="9"/>
        <v>37.42944</v>
      </c>
      <c r="R11" s="7">
        <f>'[2]Dec Prod'!C10</f>
        <v>12723000</v>
      </c>
      <c r="S11" s="8">
        <f t="shared" si="10"/>
        <v>12.723000000000001</v>
      </c>
      <c r="T11" s="10">
        <f t="shared" si="11"/>
        <v>39.059609999999999</v>
      </c>
      <c r="U11" s="7">
        <f>'[2]Dec Prod'!D10</f>
        <v>0</v>
      </c>
      <c r="V11" s="8">
        <f t="shared" si="12"/>
        <v>0</v>
      </c>
      <c r="W11" s="10">
        <f t="shared" si="13"/>
        <v>0</v>
      </c>
      <c r="X11" s="7">
        <f>'[2]Dec Prod'!D265</f>
        <v>530999.99999999965</v>
      </c>
      <c r="Y11" s="8">
        <f t="shared" si="14"/>
        <v>0.53099999999999969</v>
      </c>
      <c r="Z11" s="10">
        <f t="shared" si="15"/>
        <v>1.630169999999999</v>
      </c>
      <c r="AA11" s="15"/>
      <c r="AB11" s="7">
        <f t="shared" si="16"/>
        <v>12192000</v>
      </c>
      <c r="AC11" s="8">
        <f t="shared" si="16"/>
        <v>12.192</v>
      </c>
      <c r="AD11" s="8">
        <f t="shared" si="16"/>
        <v>37.42944</v>
      </c>
    </row>
    <row r="12" spans="1:30" x14ac:dyDescent="0.25">
      <c r="A12" s="1">
        <v>38329</v>
      </c>
      <c r="B12" s="7">
        <f>'[2]Dec Prod'!I11</f>
        <v>0</v>
      </c>
      <c r="C12" s="8">
        <f t="shared" si="0"/>
        <v>0</v>
      </c>
      <c r="D12" s="10">
        <f t="shared" si="1"/>
        <v>0</v>
      </c>
      <c r="E12" s="7">
        <f>'[2]Dec Prod'!E11</f>
        <v>0</v>
      </c>
      <c r="F12" s="8">
        <f t="shared" si="2"/>
        <v>0</v>
      </c>
      <c r="G12" s="10">
        <f t="shared" si="3"/>
        <v>0</v>
      </c>
      <c r="H12" s="7">
        <f>'[2]Dec Prod'!F11</f>
        <v>0</v>
      </c>
      <c r="I12" s="8">
        <f t="shared" si="4"/>
        <v>0</v>
      </c>
      <c r="J12" s="10">
        <f t="shared" si="5"/>
        <v>0</v>
      </c>
      <c r="K12" s="7">
        <f>'[2]Dec Prod'!H266</f>
        <v>74605</v>
      </c>
      <c r="L12" s="8">
        <f t="shared" si="6"/>
        <v>7.4605000000000005E-2</v>
      </c>
      <c r="M12" s="10">
        <f t="shared" si="7"/>
        <v>0.22903735</v>
      </c>
      <c r="N12" s="21"/>
      <c r="O12" s="7">
        <f>'[2]Dec Prod'!H11</f>
        <v>12501000</v>
      </c>
      <c r="P12" s="8">
        <f t="shared" si="8"/>
        <v>12.500999999999999</v>
      </c>
      <c r="Q12" s="10">
        <f t="shared" si="9"/>
        <v>38.378069999999994</v>
      </c>
      <c r="R12" s="7">
        <f>'[2]Dec Prod'!C11</f>
        <v>13032000</v>
      </c>
      <c r="S12" s="8">
        <f t="shared" si="10"/>
        <v>13.032</v>
      </c>
      <c r="T12" s="10">
        <f t="shared" si="11"/>
        <v>40.008240000000001</v>
      </c>
      <c r="U12" s="7">
        <f>'[2]Dec Prod'!D11</f>
        <v>0</v>
      </c>
      <c r="V12" s="8">
        <f t="shared" si="12"/>
        <v>0</v>
      </c>
      <c r="W12" s="10">
        <f t="shared" si="13"/>
        <v>0</v>
      </c>
      <c r="X12" s="7">
        <f>'[2]Dec Prod'!D266</f>
        <v>531000.00000000058</v>
      </c>
      <c r="Y12" s="8">
        <f t="shared" si="14"/>
        <v>0.53100000000000058</v>
      </c>
      <c r="Z12" s="10">
        <f t="shared" si="15"/>
        <v>1.6301700000000017</v>
      </c>
      <c r="AA12" s="15"/>
      <c r="AB12" s="7">
        <f t="shared" si="16"/>
        <v>12501000</v>
      </c>
      <c r="AC12" s="8">
        <f t="shared" si="16"/>
        <v>12.500999999999999</v>
      </c>
      <c r="AD12" s="8">
        <f t="shared" si="16"/>
        <v>38.378069999999994</v>
      </c>
    </row>
    <row r="13" spans="1:30" x14ac:dyDescent="0.25">
      <c r="A13" s="1">
        <v>38330</v>
      </c>
      <c r="B13" s="7">
        <f>'[2]Dec Prod'!I12</f>
        <v>0</v>
      </c>
      <c r="C13" s="8">
        <f t="shared" si="0"/>
        <v>0</v>
      </c>
      <c r="D13" s="10">
        <f t="shared" si="1"/>
        <v>0</v>
      </c>
      <c r="E13" s="7">
        <f>'[2]Dec Prod'!E12</f>
        <v>0</v>
      </c>
      <c r="F13" s="8">
        <f t="shared" si="2"/>
        <v>0</v>
      </c>
      <c r="G13" s="10">
        <f t="shared" si="3"/>
        <v>0</v>
      </c>
      <c r="H13" s="7">
        <f>'[2]Dec Prod'!F12</f>
        <v>0</v>
      </c>
      <c r="I13" s="8">
        <f t="shared" si="4"/>
        <v>0</v>
      </c>
      <c r="J13" s="10">
        <f t="shared" si="5"/>
        <v>0</v>
      </c>
      <c r="K13" s="7">
        <f>'[2]Dec Prod'!H267</f>
        <v>74605</v>
      </c>
      <c r="L13" s="8">
        <f t="shared" si="6"/>
        <v>7.4605000000000005E-2</v>
      </c>
      <c r="M13" s="10">
        <f t="shared" si="7"/>
        <v>0.22903735</v>
      </c>
      <c r="N13" s="21"/>
      <c r="O13" s="7">
        <f>'[2]Dec Prod'!H12</f>
        <v>12850000</v>
      </c>
      <c r="P13" s="8">
        <f t="shared" si="8"/>
        <v>12.85</v>
      </c>
      <c r="Q13" s="10">
        <f t="shared" si="9"/>
        <v>39.449499999999993</v>
      </c>
      <c r="R13" s="7">
        <f>'[2]Dec Prod'!C12</f>
        <v>13241000</v>
      </c>
      <c r="S13" s="8">
        <f t="shared" si="10"/>
        <v>13.241</v>
      </c>
      <c r="T13" s="10">
        <f t="shared" si="11"/>
        <v>40.64987</v>
      </c>
      <c r="U13" s="7">
        <f>'[2]Dec Prod'!D12</f>
        <v>0</v>
      </c>
      <c r="V13" s="8">
        <f t="shared" si="12"/>
        <v>0</v>
      </c>
      <c r="W13" s="10">
        <f t="shared" si="13"/>
        <v>0</v>
      </c>
      <c r="X13" s="7">
        <f>'[2]Dec Prod'!D267</f>
        <v>391000</v>
      </c>
      <c r="Y13" s="8">
        <f t="shared" si="14"/>
        <v>0.39100000000000001</v>
      </c>
      <c r="Z13" s="10">
        <f t="shared" si="15"/>
        <v>1.2003699999999999</v>
      </c>
      <c r="AA13" s="15"/>
      <c r="AB13" s="7">
        <f t="shared" si="16"/>
        <v>12850000</v>
      </c>
      <c r="AC13" s="8">
        <f t="shared" si="16"/>
        <v>12.85</v>
      </c>
      <c r="AD13" s="8">
        <f t="shared" si="16"/>
        <v>39.449499999999993</v>
      </c>
    </row>
    <row r="14" spans="1:30" x14ac:dyDescent="0.25">
      <c r="A14" s="1">
        <v>38331</v>
      </c>
      <c r="B14" s="7">
        <f>'[2]Dec Prod'!I13</f>
        <v>0</v>
      </c>
      <c r="C14" s="8">
        <f t="shared" si="0"/>
        <v>0</v>
      </c>
      <c r="D14" s="10">
        <f t="shared" si="1"/>
        <v>0</v>
      </c>
      <c r="E14" s="7">
        <f>'[2]Dec Prod'!E13</f>
        <v>0</v>
      </c>
      <c r="F14" s="8">
        <f t="shared" si="2"/>
        <v>0</v>
      </c>
      <c r="G14" s="10">
        <f t="shared" si="3"/>
        <v>0</v>
      </c>
      <c r="H14" s="7">
        <f>'[2]Dec Prod'!F13</f>
        <v>0</v>
      </c>
      <c r="I14" s="8">
        <f t="shared" si="4"/>
        <v>0</v>
      </c>
      <c r="J14" s="10">
        <f t="shared" si="5"/>
        <v>0</v>
      </c>
      <c r="K14" s="7">
        <f>'[2]Dec Prod'!H268</f>
        <v>80608</v>
      </c>
      <c r="L14" s="8">
        <f t="shared" si="6"/>
        <v>8.0607999999999999E-2</v>
      </c>
      <c r="M14" s="10">
        <f t="shared" si="7"/>
        <v>0.24746655999999997</v>
      </c>
      <c r="N14" s="21"/>
      <c r="O14" s="7">
        <f>'[2]Dec Prod'!H13</f>
        <v>11646000</v>
      </c>
      <c r="P14" s="8">
        <f t="shared" si="8"/>
        <v>11.646000000000001</v>
      </c>
      <c r="Q14" s="10">
        <f t="shared" si="9"/>
        <v>35.753219999999999</v>
      </c>
      <c r="R14" s="7">
        <f>'[2]Dec Prod'!C13</f>
        <v>12176000</v>
      </c>
      <c r="S14" s="8">
        <f t="shared" si="10"/>
        <v>12.176</v>
      </c>
      <c r="T14" s="10">
        <f t="shared" si="11"/>
        <v>37.380319999999998</v>
      </c>
      <c r="U14" s="7">
        <f>'[2]Dec Prod'!D13</f>
        <v>0</v>
      </c>
      <c r="V14" s="8">
        <f t="shared" si="12"/>
        <v>0</v>
      </c>
      <c r="W14" s="10">
        <f t="shared" si="13"/>
        <v>0</v>
      </c>
      <c r="X14" s="7">
        <f>'[2]Dec Prod'!D268</f>
        <v>529999.99999999942</v>
      </c>
      <c r="Y14" s="8">
        <f t="shared" si="14"/>
        <v>0.52999999999999947</v>
      </c>
      <c r="Z14" s="10">
        <f t="shared" si="15"/>
        <v>1.6270999999999982</v>
      </c>
      <c r="AA14" s="15"/>
      <c r="AB14" s="7">
        <f t="shared" si="16"/>
        <v>11646000</v>
      </c>
      <c r="AC14" s="8">
        <f t="shared" si="16"/>
        <v>11.646000000000001</v>
      </c>
      <c r="AD14" s="8">
        <f t="shared" si="16"/>
        <v>35.753219999999999</v>
      </c>
    </row>
    <row r="15" spans="1:30" x14ac:dyDescent="0.25">
      <c r="A15" s="1">
        <v>38332</v>
      </c>
      <c r="B15" s="7">
        <f>'[2]Dec Prod'!I14</f>
        <v>0</v>
      </c>
      <c r="C15" s="8">
        <f t="shared" si="0"/>
        <v>0</v>
      </c>
      <c r="D15" s="10">
        <f t="shared" si="1"/>
        <v>0</v>
      </c>
      <c r="E15" s="7">
        <f>'[2]Dec Prod'!E14</f>
        <v>0</v>
      </c>
      <c r="F15" s="8">
        <f t="shared" si="2"/>
        <v>0</v>
      </c>
      <c r="G15" s="10">
        <f t="shared" si="3"/>
        <v>0</v>
      </c>
      <c r="H15" s="7">
        <f>'[2]Dec Prod'!F14</f>
        <v>0</v>
      </c>
      <c r="I15" s="8">
        <f t="shared" si="4"/>
        <v>0</v>
      </c>
      <c r="J15" s="10">
        <f t="shared" si="5"/>
        <v>0</v>
      </c>
      <c r="K15" s="7">
        <f>'[2]Dec Prod'!H269</f>
        <v>0</v>
      </c>
      <c r="L15" s="8">
        <f t="shared" si="6"/>
        <v>0</v>
      </c>
      <c r="M15" s="10">
        <f t="shared" si="7"/>
        <v>0</v>
      </c>
      <c r="N15" s="21"/>
      <c r="O15" s="7">
        <f>'[2]Dec Prod'!H14</f>
        <v>10865000</v>
      </c>
      <c r="P15" s="8">
        <f t="shared" si="8"/>
        <v>10.865</v>
      </c>
      <c r="Q15" s="10">
        <f t="shared" si="9"/>
        <v>33.355550000000001</v>
      </c>
      <c r="R15" s="7">
        <f>'[2]Dec Prod'!C14</f>
        <v>11280000</v>
      </c>
      <c r="S15" s="8">
        <f t="shared" si="10"/>
        <v>11.28</v>
      </c>
      <c r="T15" s="10">
        <f t="shared" si="11"/>
        <v>34.629599999999996</v>
      </c>
      <c r="U15" s="7">
        <f>'[2]Dec Prod'!D14</f>
        <v>0</v>
      </c>
      <c r="V15" s="8">
        <f t="shared" si="12"/>
        <v>0</v>
      </c>
      <c r="W15" s="10">
        <f t="shared" si="13"/>
        <v>0</v>
      </c>
      <c r="X15" s="7">
        <f>'[2]Dec Prod'!D269</f>
        <v>415000.00000000006</v>
      </c>
      <c r="Y15" s="8">
        <f t="shared" si="14"/>
        <v>0.41500000000000004</v>
      </c>
      <c r="Z15" s="10">
        <f t="shared" si="15"/>
        <v>1.2740500000000001</v>
      </c>
      <c r="AA15" s="15"/>
      <c r="AB15" s="7">
        <f t="shared" si="16"/>
        <v>10865000</v>
      </c>
      <c r="AC15" s="8">
        <f t="shared" si="16"/>
        <v>10.865</v>
      </c>
      <c r="AD15" s="8">
        <f t="shared" si="16"/>
        <v>33.355550000000001</v>
      </c>
    </row>
    <row r="16" spans="1:30" x14ac:dyDescent="0.25">
      <c r="A16" s="1">
        <v>38333</v>
      </c>
      <c r="B16" s="7">
        <f>'[2]Dec Prod'!I15</f>
        <v>0</v>
      </c>
      <c r="C16" s="8">
        <f t="shared" si="0"/>
        <v>0</v>
      </c>
      <c r="D16" s="10">
        <f t="shared" si="1"/>
        <v>0</v>
      </c>
      <c r="E16" s="7">
        <f>'[2]Dec Prod'!E15</f>
        <v>0</v>
      </c>
      <c r="F16" s="8">
        <f t="shared" si="2"/>
        <v>0</v>
      </c>
      <c r="G16" s="10">
        <f t="shared" si="3"/>
        <v>0</v>
      </c>
      <c r="H16" s="7">
        <f>'[2]Dec Prod'!F15</f>
        <v>0</v>
      </c>
      <c r="I16" s="8">
        <f t="shared" si="4"/>
        <v>0</v>
      </c>
      <c r="J16" s="10">
        <f t="shared" si="5"/>
        <v>0</v>
      </c>
      <c r="K16" s="7">
        <f>'[2]Dec Prod'!H270</f>
        <v>0</v>
      </c>
      <c r="L16" s="8">
        <f t="shared" si="6"/>
        <v>0</v>
      </c>
      <c r="M16" s="10">
        <f t="shared" si="7"/>
        <v>0</v>
      </c>
      <c r="N16" s="21"/>
      <c r="O16" s="7">
        <f>'[2]Dec Prod'!H15</f>
        <v>11719000</v>
      </c>
      <c r="P16" s="8">
        <f t="shared" si="8"/>
        <v>11.718999999999999</v>
      </c>
      <c r="Q16" s="10">
        <f t="shared" si="9"/>
        <v>35.977329999999995</v>
      </c>
      <c r="R16" s="7">
        <f>'[2]Dec Prod'!C15</f>
        <v>12069000</v>
      </c>
      <c r="S16" s="8">
        <f t="shared" si="10"/>
        <v>12.069000000000001</v>
      </c>
      <c r="T16" s="10">
        <f t="shared" si="11"/>
        <v>37.051830000000002</v>
      </c>
      <c r="U16" s="7">
        <f>'[2]Dec Prod'!D15</f>
        <v>0</v>
      </c>
      <c r="V16" s="8">
        <f t="shared" si="12"/>
        <v>0</v>
      </c>
      <c r="W16" s="10">
        <f t="shared" si="13"/>
        <v>0</v>
      </c>
      <c r="X16" s="7">
        <f>'[2]Dec Prod'!D270</f>
        <v>350000.00000000052</v>
      </c>
      <c r="Y16" s="8">
        <f t="shared" si="14"/>
        <v>0.35000000000000053</v>
      </c>
      <c r="Z16" s="10">
        <f t="shared" si="15"/>
        <v>1.0745000000000016</v>
      </c>
      <c r="AA16" s="15"/>
      <c r="AB16" s="7">
        <f t="shared" si="16"/>
        <v>11719000</v>
      </c>
      <c r="AC16" s="8">
        <f t="shared" si="16"/>
        <v>11.718999999999999</v>
      </c>
      <c r="AD16" s="8">
        <f t="shared" si="16"/>
        <v>35.977329999999995</v>
      </c>
    </row>
    <row r="17" spans="1:30" x14ac:dyDescent="0.25">
      <c r="A17" s="1">
        <v>38334</v>
      </c>
      <c r="B17" s="7">
        <f>'[2]Dec Prod'!I16</f>
        <v>0</v>
      </c>
      <c r="C17" s="8">
        <f t="shared" si="0"/>
        <v>0</v>
      </c>
      <c r="D17" s="10">
        <f t="shared" si="1"/>
        <v>0</v>
      </c>
      <c r="E17" s="7">
        <f>'[2]Dec Prod'!E16</f>
        <v>0</v>
      </c>
      <c r="F17" s="8">
        <f t="shared" si="2"/>
        <v>0</v>
      </c>
      <c r="G17" s="10">
        <f t="shared" si="3"/>
        <v>0</v>
      </c>
      <c r="H17" s="7">
        <f>'[2]Dec Prod'!F16</f>
        <v>0</v>
      </c>
      <c r="I17" s="8">
        <f t="shared" si="4"/>
        <v>0</v>
      </c>
      <c r="J17" s="10">
        <f t="shared" si="5"/>
        <v>0</v>
      </c>
      <c r="K17" s="7">
        <f>'[2]Dec Prod'!H271</f>
        <v>0</v>
      </c>
      <c r="L17" s="8">
        <f t="shared" si="6"/>
        <v>0</v>
      </c>
      <c r="M17" s="10">
        <f t="shared" si="7"/>
        <v>0</v>
      </c>
      <c r="N17" s="21"/>
      <c r="O17" s="7">
        <f>'[2]Dec Prod'!H16</f>
        <v>11044000</v>
      </c>
      <c r="P17" s="8">
        <f t="shared" si="8"/>
        <v>11.044</v>
      </c>
      <c r="Q17" s="10">
        <f t="shared" si="9"/>
        <v>33.905079999999998</v>
      </c>
      <c r="R17" s="7">
        <f>'[2]Dec Prod'!C16</f>
        <v>11407000</v>
      </c>
      <c r="S17" s="8">
        <f t="shared" si="10"/>
        <v>11.407</v>
      </c>
      <c r="T17" s="10">
        <f t="shared" si="11"/>
        <v>35.019489999999998</v>
      </c>
      <c r="U17" s="7">
        <f>'[2]Dec Prod'!D16</f>
        <v>0</v>
      </c>
      <c r="V17" s="8">
        <f t="shared" si="12"/>
        <v>0</v>
      </c>
      <c r="W17" s="10">
        <f t="shared" si="13"/>
        <v>0</v>
      </c>
      <c r="X17" s="7">
        <f>'[2]Dec Prod'!D271</f>
        <v>362999.99999999953</v>
      </c>
      <c r="Y17" s="8">
        <f t="shared" si="14"/>
        <v>0.36299999999999955</v>
      </c>
      <c r="Z17" s="10">
        <f t="shared" si="15"/>
        <v>1.1144099999999986</v>
      </c>
      <c r="AA17" s="15"/>
      <c r="AB17" s="7">
        <f t="shared" si="16"/>
        <v>11044000</v>
      </c>
      <c r="AC17" s="8">
        <f t="shared" si="16"/>
        <v>11.044</v>
      </c>
      <c r="AD17" s="8">
        <f t="shared" si="16"/>
        <v>33.905079999999998</v>
      </c>
    </row>
    <row r="18" spans="1:30" x14ac:dyDescent="0.25">
      <c r="A18" s="1">
        <v>38335</v>
      </c>
      <c r="B18" s="7">
        <f>'[2]Dec Prod'!I17</f>
        <v>0</v>
      </c>
      <c r="C18" s="8">
        <f t="shared" si="0"/>
        <v>0</v>
      </c>
      <c r="D18" s="10">
        <f t="shared" si="1"/>
        <v>0</v>
      </c>
      <c r="E18" s="7">
        <f>'[2]Dec Prod'!E17</f>
        <v>0</v>
      </c>
      <c r="F18" s="8">
        <f t="shared" si="2"/>
        <v>0</v>
      </c>
      <c r="G18" s="10">
        <f t="shared" si="3"/>
        <v>0</v>
      </c>
      <c r="H18" s="7">
        <f>'[2]Dec Prod'!F17</f>
        <v>0</v>
      </c>
      <c r="I18" s="8">
        <f t="shared" si="4"/>
        <v>0</v>
      </c>
      <c r="J18" s="10">
        <f t="shared" si="5"/>
        <v>0</v>
      </c>
      <c r="K18" s="7">
        <f>'[2]Dec Prod'!H272</f>
        <v>0</v>
      </c>
      <c r="L18" s="8">
        <f t="shared" si="6"/>
        <v>0</v>
      </c>
      <c r="M18" s="10">
        <f t="shared" si="7"/>
        <v>0</v>
      </c>
      <c r="N18" s="21"/>
      <c r="O18" s="7">
        <f>'[2]Dec Prod'!H17</f>
        <v>12602000</v>
      </c>
      <c r="P18" s="8">
        <f t="shared" si="8"/>
        <v>12.602</v>
      </c>
      <c r="Q18" s="10">
        <f t="shared" si="9"/>
        <v>38.688139999999997</v>
      </c>
      <c r="R18" s="7">
        <f>'[2]Dec Prod'!C17</f>
        <v>13107000</v>
      </c>
      <c r="S18" s="8">
        <f t="shared" si="10"/>
        <v>13.106999999999999</v>
      </c>
      <c r="T18" s="10">
        <f t="shared" si="11"/>
        <v>40.238489999999999</v>
      </c>
      <c r="U18" s="7">
        <f>'[2]Dec Prod'!D17</f>
        <v>0</v>
      </c>
      <c r="V18" s="8">
        <f t="shared" si="12"/>
        <v>0</v>
      </c>
      <c r="W18" s="10">
        <f t="shared" si="13"/>
        <v>0</v>
      </c>
      <c r="X18" s="7">
        <f>'[2]Dec Prod'!D272</f>
        <v>504999.99999999988</v>
      </c>
      <c r="Y18" s="8">
        <f t="shared" si="14"/>
        <v>0.50499999999999989</v>
      </c>
      <c r="Z18" s="10">
        <f t="shared" si="15"/>
        <v>1.5503499999999997</v>
      </c>
      <c r="AA18" s="15"/>
      <c r="AB18" s="7">
        <f t="shared" si="16"/>
        <v>12602000</v>
      </c>
      <c r="AC18" s="8">
        <f t="shared" si="16"/>
        <v>12.602</v>
      </c>
      <c r="AD18" s="8">
        <f t="shared" si="16"/>
        <v>38.688139999999997</v>
      </c>
    </row>
    <row r="19" spans="1:30" x14ac:dyDescent="0.25">
      <c r="A19" s="1">
        <v>38336</v>
      </c>
      <c r="B19" s="7">
        <f>'[2]Dec Prod'!I18</f>
        <v>0</v>
      </c>
      <c r="C19" s="8">
        <f t="shared" si="0"/>
        <v>0</v>
      </c>
      <c r="D19" s="10">
        <f t="shared" si="1"/>
        <v>0</v>
      </c>
      <c r="E19" s="7">
        <f>'[2]Dec Prod'!E18</f>
        <v>0</v>
      </c>
      <c r="F19" s="8">
        <f t="shared" si="2"/>
        <v>0</v>
      </c>
      <c r="G19" s="10">
        <f t="shared" si="3"/>
        <v>0</v>
      </c>
      <c r="H19" s="7">
        <f>'[2]Dec Prod'!F18</f>
        <v>0</v>
      </c>
      <c r="I19" s="8">
        <f t="shared" si="4"/>
        <v>0</v>
      </c>
      <c r="J19" s="10">
        <f t="shared" si="5"/>
        <v>0</v>
      </c>
      <c r="K19" s="7">
        <f>'[2]Dec Prod'!H273</f>
        <v>0</v>
      </c>
      <c r="L19" s="8">
        <f t="shared" si="6"/>
        <v>0</v>
      </c>
      <c r="M19" s="10">
        <f t="shared" si="7"/>
        <v>0</v>
      </c>
      <c r="N19" s="21"/>
      <c r="O19" s="7">
        <f>'[2]Dec Prod'!H18</f>
        <v>12859999.999999998</v>
      </c>
      <c r="P19" s="8">
        <f t="shared" si="8"/>
        <v>12.859999999999998</v>
      </c>
      <c r="Q19" s="10">
        <f t="shared" si="9"/>
        <v>39.480199999999989</v>
      </c>
      <c r="R19" s="7">
        <f>'[2]Dec Prod'!C18</f>
        <v>13252000</v>
      </c>
      <c r="S19" s="8">
        <f t="shared" si="10"/>
        <v>13.252000000000001</v>
      </c>
      <c r="T19" s="10">
        <f t="shared" si="11"/>
        <v>40.683639999999997</v>
      </c>
      <c r="U19" s="7">
        <f>'[2]Dec Prod'!D18</f>
        <v>0</v>
      </c>
      <c r="V19" s="8">
        <f t="shared" si="12"/>
        <v>0</v>
      </c>
      <c r="W19" s="10">
        <f t="shared" si="13"/>
        <v>0</v>
      </c>
      <c r="X19" s="7">
        <f>'[2]Dec Prod'!D273</f>
        <v>392000.00000000122</v>
      </c>
      <c r="Y19" s="8">
        <f t="shared" si="14"/>
        <v>0.39200000000000124</v>
      </c>
      <c r="Z19" s="10">
        <f t="shared" si="15"/>
        <v>1.2034400000000038</v>
      </c>
      <c r="AA19" s="15"/>
      <c r="AB19" s="7">
        <f t="shared" si="16"/>
        <v>12859999.999999998</v>
      </c>
      <c r="AC19" s="8">
        <f t="shared" si="16"/>
        <v>12.859999999999998</v>
      </c>
      <c r="AD19" s="8">
        <f>D19+Q19</f>
        <v>39.480199999999989</v>
      </c>
    </row>
    <row r="20" spans="1:30" x14ac:dyDescent="0.25">
      <c r="A20" s="1">
        <v>38337</v>
      </c>
      <c r="B20" s="7">
        <f>'[2]Dec Prod'!I19</f>
        <v>0</v>
      </c>
      <c r="C20" s="8">
        <f t="shared" si="0"/>
        <v>0</v>
      </c>
      <c r="D20" s="10">
        <f t="shared" si="1"/>
        <v>0</v>
      </c>
      <c r="E20" s="7">
        <f>'[2]Dec Prod'!E19</f>
        <v>0</v>
      </c>
      <c r="F20" s="8">
        <f t="shared" si="2"/>
        <v>0</v>
      </c>
      <c r="G20" s="10">
        <f t="shared" si="3"/>
        <v>0</v>
      </c>
      <c r="H20" s="7">
        <f>'[2]Dec Prod'!F19</f>
        <v>0</v>
      </c>
      <c r="I20" s="8">
        <f t="shared" si="4"/>
        <v>0</v>
      </c>
      <c r="J20" s="10">
        <f t="shared" si="5"/>
        <v>0</v>
      </c>
      <c r="K20" s="7">
        <f>'[2]Dec Prod'!H274</f>
        <v>54373</v>
      </c>
      <c r="L20" s="8">
        <f t="shared" si="6"/>
        <v>5.4372999999999998E-2</v>
      </c>
      <c r="M20" s="10">
        <f t="shared" si="7"/>
        <v>0.16692510999999999</v>
      </c>
      <c r="N20" s="21"/>
      <c r="O20" s="7">
        <f>'[2]Dec Prod'!H19</f>
        <v>9943000</v>
      </c>
      <c r="P20" s="8">
        <f t="shared" si="8"/>
        <v>9.9429999999999996</v>
      </c>
      <c r="Q20" s="10">
        <f t="shared" si="9"/>
        <v>30.525009999999998</v>
      </c>
      <c r="R20" s="7">
        <f>'[2]Dec Prod'!C19</f>
        <v>10316000</v>
      </c>
      <c r="S20" s="8">
        <f t="shared" si="10"/>
        <v>10.316000000000001</v>
      </c>
      <c r="T20" s="10">
        <f t="shared" si="11"/>
        <v>31.670120000000001</v>
      </c>
      <c r="U20" s="7">
        <f>'[2]Dec Prod'!D19</f>
        <v>0</v>
      </c>
      <c r="V20" s="8">
        <f t="shared" si="12"/>
        <v>0</v>
      </c>
      <c r="W20" s="10">
        <f t="shared" si="13"/>
        <v>0</v>
      </c>
      <c r="X20" s="7">
        <f>'[2]Dec Prod'!D274</f>
        <v>372999.99999999936</v>
      </c>
      <c r="Y20" s="8">
        <f t="shared" si="14"/>
        <v>0.37299999999999933</v>
      </c>
      <c r="Z20" s="10">
        <f t="shared" si="15"/>
        <v>1.1451099999999979</v>
      </c>
      <c r="AA20" s="15"/>
      <c r="AB20" s="7">
        <f t="shared" si="16"/>
        <v>9943000</v>
      </c>
      <c r="AC20" s="8">
        <f t="shared" si="16"/>
        <v>9.9429999999999996</v>
      </c>
      <c r="AD20" s="8">
        <f t="shared" si="16"/>
        <v>30.525009999999998</v>
      </c>
    </row>
    <row r="21" spans="1:30" x14ac:dyDescent="0.25">
      <c r="A21" s="1">
        <v>38338</v>
      </c>
      <c r="B21" s="7">
        <f>'[2]Dec Prod'!I20</f>
        <v>0</v>
      </c>
      <c r="C21" s="8">
        <f t="shared" si="0"/>
        <v>0</v>
      </c>
      <c r="D21" s="10">
        <f t="shared" si="1"/>
        <v>0</v>
      </c>
      <c r="E21" s="7">
        <f>'[2]Dec Prod'!E20</f>
        <v>0</v>
      </c>
      <c r="F21" s="8">
        <f t="shared" si="2"/>
        <v>0</v>
      </c>
      <c r="G21" s="10">
        <f t="shared" si="3"/>
        <v>0</v>
      </c>
      <c r="H21" s="7">
        <f>'[2]Dec Prod'!F20</f>
        <v>0</v>
      </c>
      <c r="I21" s="8">
        <f t="shared" si="4"/>
        <v>0</v>
      </c>
      <c r="J21" s="10">
        <f t="shared" si="5"/>
        <v>0</v>
      </c>
      <c r="K21" s="7">
        <f>'[2]Dec Prod'!H275</f>
        <v>74418</v>
      </c>
      <c r="L21" s="8">
        <f t="shared" si="6"/>
        <v>7.4417999999999998E-2</v>
      </c>
      <c r="M21" s="10">
        <f t="shared" si="7"/>
        <v>0.22846325999999997</v>
      </c>
      <c r="N21" s="21"/>
      <c r="O21" s="7">
        <f>'[2]Dec Prod'!H20</f>
        <v>12510000</v>
      </c>
      <c r="P21" s="8">
        <f t="shared" si="8"/>
        <v>12.51</v>
      </c>
      <c r="Q21" s="10">
        <f t="shared" si="9"/>
        <v>38.405699999999996</v>
      </c>
      <c r="R21" s="7">
        <f>'[2]Dec Prod'!C20</f>
        <v>12975000</v>
      </c>
      <c r="S21" s="8">
        <f t="shared" si="10"/>
        <v>12.975</v>
      </c>
      <c r="T21" s="10">
        <f t="shared" si="11"/>
        <v>39.83325</v>
      </c>
      <c r="U21" s="7">
        <f>'[2]Dec Prod'!D20</f>
        <v>0</v>
      </c>
      <c r="V21" s="8">
        <f t="shared" si="12"/>
        <v>0</v>
      </c>
      <c r="W21" s="10">
        <f t="shared" si="13"/>
        <v>0</v>
      </c>
      <c r="X21" s="7">
        <f>'[2]Dec Prod'!D275</f>
        <v>464999.99999999988</v>
      </c>
      <c r="Y21" s="8">
        <f t="shared" si="14"/>
        <v>0.46499999999999986</v>
      </c>
      <c r="Z21" s="10">
        <f t="shared" si="15"/>
        <v>1.4275499999999994</v>
      </c>
      <c r="AA21" s="15"/>
      <c r="AB21" s="7">
        <f t="shared" si="16"/>
        <v>12510000</v>
      </c>
      <c r="AC21" s="8">
        <f t="shared" si="16"/>
        <v>12.51</v>
      </c>
      <c r="AD21" s="8">
        <f t="shared" si="16"/>
        <v>38.405699999999996</v>
      </c>
    </row>
    <row r="22" spans="1:30" x14ac:dyDescent="0.25">
      <c r="A22" s="1">
        <v>38339</v>
      </c>
      <c r="B22" s="7">
        <f>'[2]Dec Prod'!I21</f>
        <v>0</v>
      </c>
      <c r="C22" s="8">
        <f t="shared" si="0"/>
        <v>0</v>
      </c>
      <c r="D22" s="10">
        <f t="shared" si="1"/>
        <v>0</v>
      </c>
      <c r="E22" s="7">
        <f>'[2]Dec Prod'!E21</f>
        <v>0</v>
      </c>
      <c r="F22" s="8">
        <f t="shared" si="2"/>
        <v>0</v>
      </c>
      <c r="G22" s="10">
        <f t="shared" si="3"/>
        <v>0</v>
      </c>
      <c r="H22" s="7">
        <f>'[2]Dec Prod'!F21</f>
        <v>0</v>
      </c>
      <c r="I22" s="8">
        <f t="shared" si="4"/>
        <v>0</v>
      </c>
      <c r="J22" s="10">
        <f t="shared" si="5"/>
        <v>0</v>
      </c>
      <c r="K22" s="7">
        <f>'[2]Dec Prod'!H276</f>
        <v>0</v>
      </c>
      <c r="L22" s="8">
        <f t="shared" si="6"/>
        <v>0</v>
      </c>
      <c r="M22" s="10">
        <f t="shared" si="7"/>
        <v>0</v>
      </c>
      <c r="N22" s="21"/>
      <c r="O22" s="7">
        <f>'[2]Dec Prod'!H21</f>
        <v>10935000</v>
      </c>
      <c r="P22" s="8">
        <f t="shared" si="8"/>
        <v>10.935</v>
      </c>
      <c r="Q22" s="10">
        <f t="shared" si="9"/>
        <v>33.570450000000001</v>
      </c>
      <c r="R22" s="7">
        <f>'[2]Dec Prod'!C21</f>
        <v>11333000</v>
      </c>
      <c r="S22" s="8">
        <f t="shared" si="10"/>
        <v>11.333</v>
      </c>
      <c r="T22" s="10">
        <f t="shared" si="11"/>
        <v>34.792310000000001</v>
      </c>
      <c r="U22" s="7">
        <f>'[2]Dec Prod'!D21</f>
        <v>0</v>
      </c>
      <c r="V22" s="8">
        <f t="shared" si="12"/>
        <v>0</v>
      </c>
      <c r="W22" s="10">
        <f t="shared" si="13"/>
        <v>0</v>
      </c>
      <c r="X22" s="7">
        <f>'[2]Dec Prod'!D276</f>
        <v>397999.99999999971</v>
      </c>
      <c r="Y22" s="8">
        <f t="shared" si="14"/>
        <v>0.39799999999999969</v>
      </c>
      <c r="Z22" s="10">
        <f t="shared" si="15"/>
        <v>1.2218599999999991</v>
      </c>
      <c r="AA22" s="15"/>
      <c r="AB22" s="7">
        <f t="shared" si="16"/>
        <v>10935000</v>
      </c>
      <c r="AC22" s="8">
        <f t="shared" si="16"/>
        <v>10.935</v>
      </c>
      <c r="AD22" s="8">
        <f t="shared" si="16"/>
        <v>33.570450000000001</v>
      </c>
    </row>
    <row r="23" spans="1:30" x14ac:dyDescent="0.25">
      <c r="A23" s="1">
        <v>38340</v>
      </c>
      <c r="B23" s="7">
        <f>'[2]Dec Prod'!I22</f>
        <v>0</v>
      </c>
      <c r="C23" s="8">
        <f t="shared" si="0"/>
        <v>0</v>
      </c>
      <c r="D23" s="10">
        <f t="shared" si="1"/>
        <v>0</v>
      </c>
      <c r="E23" s="7">
        <f>'[2]Dec Prod'!E22</f>
        <v>0</v>
      </c>
      <c r="F23" s="8">
        <f t="shared" si="2"/>
        <v>0</v>
      </c>
      <c r="G23" s="10">
        <f t="shared" si="3"/>
        <v>0</v>
      </c>
      <c r="H23" s="7">
        <f>'[2]Dec Prod'!F22</f>
        <v>0</v>
      </c>
      <c r="I23" s="8">
        <f t="shared" si="4"/>
        <v>0</v>
      </c>
      <c r="J23" s="10">
        <f t="shared" si="5"/>
        <v>0</v>
      </c>
      <c r="K23" s="7">
        <f>'[2]Dec Prod'!H277</f>
        <v>0</v>
      </c>
      <c r="L23" s="8">
        <f t="shared" si="6"/>
        <v>0</v>
      </c>
      <c r="M23" s="10">
        <f t="shared" si="7"/>
        <v>0</v>
      </c>
      <c r="N23" s="21"/>
      <c r="O23" s="7">
        <f>'[2]Dec Prod'!H22</f>
        <v>11268000</v>
      </c>
      <c r="P23" s="8">
        <f t="shared" si="8"/>
        <v>11.268000000000001</v>
      </c>
      <c r="Q23" s="10">
        <f t="shared" si="9"/>
        <v>34.592759999999998</v>
      </c>
      <c r="R23" s="7">
        <f>'[2]Dec Prod'!C22</f>
        <v>11652000</v>
      </c>
      <c r="S23" s="8">
        <f t="shared" si="10"/>
        <v>11.651999999999999</v>
      </c>
      <c r="T23" s="10">
        <f t="shared" si="11"/>
        <v>35.771639999999998</v>
      </c>
      <c r="U23" s="7">
        <f>'[2]Dec Prod'!D22</f>
        <v>0</v>
      </c>
      <c r="V23" s="8">
        <f t="shared" si="12"/>
        <v>0</v>
      </c>
      <c r="W23" s="10">
        <f t="shared" si="13"/>
        <v>0</v>
      </c>
      <c r="X23" s="7">
        <f>'[2]Dec Prod'!D277</f>
        <v>384000.00000000035</v>
      </c>
      <c r="Y23" s="8">
        <f t="shared" si="14"/>
        <v>0.38400000000000034</v>
      </c>
      <c r="Z23" s="10">
        <f t="shared" si="15"/>
        <v>1.178880000000001</v>
      </c>
      <c r="AA23" s="15"/>
      <c r="AB23" s="7">
        <f t="shared" si="16"/>
        <v>11268000</v>
      </c>
      <c r="AC23" s="8">
        <f t="shared" si="16"/>
        <v>11.268000000000001</v>
      </c>
      <c r="AD23" s="8">
        <f t="shared" si="16"/>
        <v>34.592759999999998</v>
      </c>
    </row>
    <row r="24" spans="1:30" x14ac:dyDescent="0.25">
      <c r="A24" s="1">
        <v>38341</v>
      </c>
      <c r="B24" s="7">
        <f>'[2]Dec Prod'!I23</f>
        <v>0</v>
      </c>
      <c r="C24" s="8">
        <f t="shared" si="0"/>
        <v>0</v>
      </c>
      <c r="D24" s="10">
        <f t="shared" si="1"/>
        <v>0</v>
      </c>
      <c r="E24" s="7">
        <f>'[2]Dec Prod'!E23</f>
        <v>0</v>
      </c>
      <c r="F24" s="8">
        <f t="shared" si="2"/>
        <v>0</v>
      </c>
      <c r="G24" s="10">
        <f t="shared" si="3"/>
        <v>0</v>
      </c>
      <c r="H24" s="7">
        <f>'[2]Dec Prod'!F23</f>
        <v>0</v>
      </c>
      <c r="I24" s="8">
        <f t="shared" si="4"/>
        <v>0</v>
      </c>
      <c r="J24" s="10">
        <f t="shared" si="5"/>
        <v>0</v>
      </c>
      <c r="K24" s="7">
        <f>'[2]Dec Prod'!H278</f>
        <v>0</v>
      </c>
      <c r="L24" s="8">
        <f t="shared" si="6"/>
        <v>0</v>
      </c>
      <c r="M24" s="10">
        <f t="shared" si="7"/>
        <v>0</v>
      </c>
      <c r="N24" s="21"/>
      <c r="O24" s="7">
        <f>'[2]Dec Prod'!H23</f>
        <v>12440000</v>
      </c>
      <c r="P24" s="8">
        <f t="shared" si="8"/>
        <v>12.44</v>
      </c>
      <c r="Q24" s="10">
        <f t="shared" si="9"/>
        <v>38.190799999999996</v>
      </c>
      <c r="R24" s="7">
        <f>'[2]Dec Prod'!C23</f>
        <v>12769000</v>
      </c>
      <c r="S24" s="8">
        <f t="shared" si="10"/>
        <v>12.769</v>
      </c>
      <c r="T24" s="10">
        <f t="shared" si="11"/>
        <v>39.200829999999996</v>
      </c>
      <c r="U24" s="7">
        <f>'[2]Dec Prod'!D23</f>
        <v>0</v>
      </c>
      <c r="V24" s="8">
        <f t="shared" si="12"/>
        <v>0</v>
      </c>
      <c r="W24" s="10">
        <f t="shared" si="13"/>
        <v>0</v>
      </c>
      <c r="X24" s="7">
        <f>'[2]Dec Prod'!D278</f>
        <v>329000.00000000064</v>
      </c>
      <c r="Y24" s="8">
        <f t="shared" si="14"/>
        <v>0.32900000000000063</v>
      </c>
      <c r="Z24" s="10">
        <f t="shared" si="15"/>
        <v>1.0100300000000018</v>
      </c>
      <c r="AA24" s="15"/>
      <c r="AB24" s="7">
        <f t="shared" si="16"/>
        <v>12440000</v>
      </c>
      <c r="AC24" s="8">
        <f t="shared" si="16"/>
        <v>12.44</v>
      </c>
      <c r="AD24" s="8">
        <f>D24+Q24</f>
        <v>38.190799999999996</v>
      </c>
    </row>
    <row r="25" spans="1:30" x14ac:dyDescent="0.25">
      <c r="A25" s="1">
        <v>38342</v>
      </c>
      <c r="B25" s="7">
        <f>'[2]Dec Prod'!I24</f>
        <v>0</v>
      </c>
      <c r="C25" s="8">
        <f t="shared" si="0"/>
        <v>0</v>
      </c>
      <c r="D25" s="10">
        <f t="shared" si="1"/>
        <v>0</v>
      </c>
      <c r="E25" s="7">
        <f>'[2]Dec Prod'!E24</f>
        <v>0</v>
      </c>
      <c r="F25" s="8">
        <f t="shared" si="2"/>
        <v>0</v>
      </c>
      <c r="G25" s="10">
        <f t="shared" si="3"/>
        <v>0</v>
      </c>
      <c r="H25" s="7">
        <f>'[2]Dec Prod'!F24</f>
        <v>0</v>
      </c>
      <c r="I25" s="8">
        <f t="shared" si="4"/>
        <v>0</v>
      </c>
      <c r="J25" s="10">
        <f t="shared" si="5"/>
        <v>0</v>
      </c>
      <c r="K25" s="7">
        <f>'[2]Dec Prod'!H279</f>
        <v>0</v>
      </c>
      <c r="L25" s="8">
        <f t="shared" si="6"/>
        <v>0</v>
      </c>
      <c r="M25" s="10">
        <f t="shared" si="7"/>
        <v>0</v>
      </c>
      <c r="N25" s="21"/>
      <c r="O25" s="7">
        <f>'[2]Dec Prod'!H24</f>
        <v>11462000</v>
      </c>
      <c r="P25" s="8">
        <f t="shared" si="8"/>
        <v>11.462</v>
      </c>
      <c r="Q25" s="10">
        <f t="shared" si="9"/>
        <v>35.188339999999997</v>
      </c>
      <c r="R25" s="7">
        <f>'[2]Dec Prod'!C24</f>
        <v>11789000</v>
      </c>
      <c r="S25" s="8">
        <f t="shared" si="10"/>
        <v>11.789</v>
      </c>
      <c r="T25" s="10">
        <f t="shared" si="11"/>
        <v>36.192229999999995</v>
      </c>
      <c r="U25" s="7">
        <f>'[2]Dec Prod'!D24</f>
        <v>0</v>
      </c>
      <c r="V25" s="8">
        <f t="shared" si="12"/>
        <v>0</v>
      </c>
      <c r="W25" s="10">
        <f t="shared" si="13"/>
        <v>0</v>
      </c>
      <c r="X25" s="7">
        <f>'[2]Dec Prod'!D279</f>
        <v>326999.99999999994</v>
      </c>
      <c r="Y25" s="8">
        <f t="shared" si="14"/>
        <v>0.32699999999999996</v>
      </c>
      <c r="Z25" s="10">
        <f t="shared" si="15"/>
        <v>1.0038899999999997</v>
      </c>
      <c r="AA25" s="15"/>
      <c r="AB25" s="7">
        <f t="shared" si="16"/>
        <v>11462000</v>
      </c>
      <c r="AC25" s="8">
        <f t="shared" si="16"/>
        <v>11.462</v>
      </c>
      <c r="AD25" s="8">
        <f t="shared" si="16"/>
        <v>35.188339999999997</v>
      </c>
    </row>
    <row r="26" spans="1:30" x14ac:dyDescent="0.25">
      <c r="A26" s="1">
        <v>38343</v>
      </c>
      <c r="B26" s="7">
        <f>'[2]Dec Prod'!I25</f>
        <v>0</v>
      </c>
      <c r="C26" s="8">
        <f t="shared" si="0"/>
        <v>0</v>
      </c>
      <c r="D26" s="10">
        <f t="shared" si="1"/>
        <v>0</v>
      </c>
      <c r="E26" s="7">
        <f>'[2]Dec Prod'!E25</f>
        <v>0</v>
      </c>
      <c r="F26" s="8">
        <f t="shared" si="2"/>
        <v>0</v>
      </c>
      <c r="G26" s="10">
        <f t="shared" si="3"/>
        <v>0</v>
      </c>
      <c r="H26" s="7">
        <f>'[2]Dec Prod'!F25</f>
        <v>0</v>
      </c>
      <c r="I26" s="8">
        <f t="shared" si="4"/>
        <v>0</v>
      </c>
      <c r="J26" s="10">
        <f t="shared" si="5"/>
        <v>0</v>
      </c>
      <c r="K26" s="7">
        <f>'[2]Dec Prod'!H280</f>
        <v>0</v>
      </c>
      <c r="L26" s="8">
        <f t="shared" si="6"/>
        <v>0</v>
      </c>
      <c r="M26" s="10">
        <f t="shared" si="7"/>
        <v>0</v>
      </c>
      <c r="N26" s="21"/>
      <c r="O26" s="7">
        <f>'[2]Dec Prod'!H25</f>
        <v>10168000</v>
      </c>
      <c r="P26" s="8">
        <f t="shared" si="8"/>
        <v>10.167999999999999</v>
      </c>
      <c r="Q26" s="10">
        <f t="shared" si="9"/>
        <v>31.215759999999996</v>
      </c>
      <c r="R26" s="7">
        <f>'[2]Dec Prod'!C25</f>
        <v>10495000</v>
      </c>
      <c r="S26" s="8">
        <f t="shared" si="10"/>
        <v>10.494999999999999</v>
      </c>
      <c r="T26" s="10">
        <f t="shared" si="11"/>
        <v>32.219649999999994</v>
      </c>
      <c r="U26" s="7">
        <f>'[2]Dec Prod'!D25</f>
        <v>0</v>
      </c>
      <c r="V26" s="8">
        <f t="shared" si="12"/>
        <v>0</v>
      </c>
      <c r="W26" s="10">
        <f t="shared" si="13"/>
        <v>0</v>
      </c>
      <c r="X26" s="7">
        <f>'[2]Dec Prod'!D280</f>
        <v>326999.99999999994</v>
      </c>
      <c r="Y26" s="8">
        <f t="shared" si="14"/>
        <v>0.32699999999999996</v>
      </c>
      <c r="Z26" s="10">
        <f t="shared" si="15"/>
        <v>1.0038899999999997</v>
      </c>
      <c r="AA26" s="15"/>
      <c r="AB26" s="7">
        <f t="shared" si="16"/>
        <v>10168000</v>
      </c>
      <c r="AC26" s="8">
        <f t="shared" si="16"/>
        <v>10.167999999999999</v>
      </c>
      <c r="AD26" s="8">
        <f t="shared" si="16"/>
        <v>31.215759999999996</v>
      </c>
    </row>
    <row r="27" spans="1:30" x14ac:dyDescent="0.25">
      <c r="A27" s="1">
        <v>38344</v>
      </c>
      <c r="B27" s="7">
        <f>'[2]Dec Prod'!I26</f>
        <v>0</v>
      </c>
      <c r="C27" s="8">
        <f t="shared" si="0"/>
        <v>0</v>
      </c>
      <c r="D27" s="10">
        <f t="shared" si="1"/>
        <v>0</v>
      </c>
      <c r="E27" s="7">
        <f>'[2]Dec Prod'!E26</f>
        <v>0</v>
      </c>
      <c r="F27" s="8">
        <f t="shared" si="2"/>
        <v>0</v>
      </c>
      <c r="G27" s="10">
        <f t="shared" si="3"/>
        <v>0</v>
      </c>
      <c r="H27" s="7">
        <f>'[2]Dec Prod'!F26</f>
        <v>0</v>
      </c>
      <c r="I27" s="8">
        <f t="shared" si="4"/>
        <v>0</v>
      </c>
      <c r="J27" s="10">
        <f t="shared" si="5"/>
        <v>0</v>
      </c>
      <c r="K27" s="7">
        <f>'[2]Dec Prod'!H281</f>
        <v>0</v>
      </c>
      <c r="L27" s="8">
        <f t="shared" si="6"/>
        <v>0</v>
      </c>
      <c r="M27" s="10">
        <f t="shared" si="7"/>
        <v>0</v>
      </c>
      <c r="N27" s="21"/>
      <c r="O27" s="7">
        <f>'[2]Dec Prod'!H26</f>
        <v>11020000.000000002</v>
      </c>
      <c r="P27" s="8">
        <f t="shared" si="8"/>
        <v>11.020000000000001</v>
      </c>
      <c r="Q27" s="10">
        <f t="shared" si="9"/>
        <v>33.831400000000002</v>
      </c>
      <c r="R27" s="7">
        <f>'[2]Dec Prod'!C26</f>
        <v>11336000</v>
      </c>
      <c r="S27" s="8">
        <f t="shared" si="10"/>
        <v>11.336</v>
      </c>
      <c r="T27" s="10">
        <f t="shared" si="11"/>
        <v>34.801519999999996</v>
      </c>
      <c r="U27" s="7">
        <f>'[2]Dec Prod'!D26</f>
        <v>0</v>
      </c>
      <c r="V27" s="8">
        <f t="shared" si="12"/>
        <v>0</v>
      </c>
      <c r="W27" s="10">
        <f t="shared" si="13"/>
        <v>0</v>
      </c>
      <c r="X27" s="7">
        <f>'[2]Dec Prod'!D281</f>
        <v>315999.99999999895</v>
      </c>
      <c r="Y27" s="8">
        <f t="shared" si="14"/>
        <v>0.31599999999999895</v>
      </c>
      <c r="Z27" s="10">
        <f t="shared" si="15"/>
        <v>0.97011999999999676</v>
      </c>
      <c r="AA27" s="15"/>
      <c r="AB27" s="7">
        <f t="shared" si="16"/>
        <v>11020000.000000002</v>
      </c>
      <c r="AC27" s="8">
        <f t="shared" si="16"/>
        <v>11.020000000000001</v>
      </c>
      <c r="AD27" s="8">
        <f t="shared" si="16"/>
        <v>33.831400000000002</v>
      </c>
    </row>
    <row r="28" spans="1:30" x14ac:dyDescent="0.25">
      <c r="A28" s="1">
        <v>38345</v>
      </c>
      <c r="B28" s="7">
        <f>'[2]Dec Prod'!I27</f>
        <v>0</v>
      </c>
      <c r="C28" s="8">
        <f t="shared" si="0"/>
        <v>0</v>
      </c>
      <c r="D28" s="10">
        <f t="shared" si="1"/>
        <v>0</v>
      </c>
      <c r="E28" s="7">
        <f>'[2]Dec Prod'!E27</f>
        <v>0</v>
      </c>
      <c r="F28" s="8">
        <f t="shared" si="2"/>
        <v>0</v>
      </c>
      <c r="G28" s="10">
        <f t="shared" si="3"/>
        <v>0</v>
      </c>
      <c r="H28" s="7">
        <f>'[2]Dec Prod'!F27</f>
        <v>0</v>
      </c>
      <c r="I28" s="8">
        <f t="shared" si="4"/>
        <v>0</v>
      </c>
      <c r="J28" s="10">
        <f t="shared" si="5"/>
        <v>0</v>
      </c>
      <c r="K28" s="7">
        <f>'[2]Dec Prod'!H282</f>
        <v>0</v>
      </c>
      <c r="L28" s="8">
        <f t="shared" si="6"/>
        <v>0</v>
      </c>
      <c r="M28" s="10">
        <f t="shared" si="7"/>
        <v>0</v>
      </c>
      <c r="N28" s="21"/>
      <c r="O28" s="7">
        <f>'[2]Dec Prod'!H27</f>
        <v>11965000</v>
      </c>
      <c r="P28" s="8">
        <f t="shared" si="8"/>
        <v>11.965</v>
      </c>
      <c r="Q28" s="10">
        <f t="shared" si="9"/>
        <v>36.732549999999996</v>
      </c>
      <c r="R28" s="7">
        <f>'[2]Dec Prod'!C27</f>
        <v>12349000</v>
      </c>
      <c r="S28" s="8">
        <f t="shared" si="10"/>
        <v>12.349</v>
      </c>
      <c r="T28" s="10">
        <f t="shared" si="11"/>
        <v>37.911429999999996</v>
      </c>
      <c r="U28" s="7">
        <f>'[2]Dec Prod'!D27</f>
        <v>0</v>
      </c>
      <c r="V28" s="8">
        <f t="shared" si="12"/>
        <v>0</v>
      </c>
      <c r="W28" s="10">
        <f t="shared" si="13"/>
        <v>0</v>
      </c>
      <c r="X28" s="7">
        <f>'[2]Dec Prod'!D282</f>
        <v>384000.00000000035</v>
      </c>
      <c r="Y28" s="8">
        <f t="shared" si="14"/>
        <v>0.38400000000000034</v>
      </c>
      <c r="Z28" s="10">
        <f t="shared" si="15"/>
        <v>1.178880000000001</v>
      </c>
      <c r="AA28" s="15"/>
      <c r="AB28" s="7">
        <f t="shared" si="16"/>
        <v>11965000</v>
      </c>
      <c r="AC28" s="8">
        <f t="shared" si="16"/>
        <v>11.965</v>
      </c>
      <c r="AD28" s="8">
        <f t="shared" si="16"/>
        <v>36.732549999999996</v>
      </c>
    </row>
    <row r="29" spans="1:30" x14ac:dyDescent="0.25">
      <c r="A29" s="1">
        <v>38346</v>
      </c>
      <c r="B29" s="7">
        <f>'[2]Dec Prod'!I28</f>
        <v>0</v>
      </c>
      <c r="C29" s="8">
        <f t="shared" si="0"/>
        <v>0</v>
      </c>
      <c r="D29" s="10">
        <f t="shared" si="1"/>
        <v>0</v>
      </c>
      <c r="E29" s="7">
        <f>'[2]Dec Prod'!E28</f>
        <v>0</v>
      </c>
      <c r="F29" s="8">
        <f t="shared" si="2"/>
        <v>0</v>
      </c>
      <c r="G29" s="10">
        <f t="shared" si="3"/>
        <v>0</v>
      </c>
      <c r="H29" s="7">
        <f>'[2]Dec Prod'!F28</f>
        <v>0</v>
      </c>
      <c r="I29" s="8">
        <f t="shared" si="4"/>
        <v>0</v>
      </c>
      <c r="J29" s="10">
        <f t="shared" si="5"/>
        <v>0</v>
      </c>
      <c r="K29" s="7">
        <f>'[2]Dec Prod'!H283</f>
        <v>0</v>
      </c>
      <c r="L29" s="8">
        <f t="shared" si="6"/>
        <v>0</v>
      </c>
      <c r="M29" s="10">
        <f t="shared" si="7"/>
        <v>0</v>
      </c>
      <c r="N29" s="21"/>
      <c r="O29" s="7">
        <f>'[2]Dec Prod'!H28</f>
        <v>11331000</v>
      </c>
      <c r="P29" s="8">
        <f t="shared" si="8"/>
        <v>11.331</v>
      </c>
      <c r="Q29" s="10">
        <f t="shared" si="9"/>
        <v>34.786169999999998</v>
      </c>
      <c r="R29" s="7">
        <f>'[2]Dec Prod'!C28</f>
        <v>11785000</v>
      </c>
      <c r="S29" s="8">
        <f t="shared" si="10"/>
        <v>11.785</v>
      </c>
      <c r="T29" s="10">
        <f t="shared" si="11"/>
        <v>36.179949999999998</v>
      </c>
      <c r="U29" s="7">
        <f>'[2]Dec Prod'!D28</f>
        <v>0</v>
      </c>
      <c r="V29" s="8">
        <f t="shared" si="12"/>
        <v>0</v>
      </c>
      <c r="W29" s="10">
        <f t="shared" si="13"/>
        <v>0</v>
      </c>
      <c r="X29" s="7">
        <f>'[2]Dec Prod'!D283</f>
        <v>454000.00000000064</v>
      </c>
      <c r="Y29" s="8">
        <f t="shared" si="14"/>
        <v>0.45400000000000063</v>
      </c>
      <c r="Z29" s="10">
        <f t="shared" si="15"/>
        <v>1.3937800000000018</v>
      </c>
      <c r="AA29" s="15"/>
      <c r="AB29" s="7">
        <f t="shared" si="16"/>
        <v>11331000</v>
      </c>
      <c r="AC29" s="8">
        <f t="shared" si="16"/>
        <v>11.331</v>
      </c>
      <c r="AD29" s="8">
        <f t="shared" si="16"/>
        <v>34.786169999999998</v>
      </c>
    </row>
    <row r="30" spans="1:30" x14ac:dyDescent="0.25">
      <c r="A30" s="1">
        <v>38347</v>
      </c>
      <c r="B30" s="7">
        <f>'[2]Dec Prod'!I29</f>
        <v>0</v>
      </c>
      <c r="C30" s="8">
        <f t="shared" si="0"/>
        <v>0</v>
      </c>
      <c r="D30" s="10">
        <f t="shared" si="1"/>
        <v>0</v>
      </c>
      <c r="E30" s="7">
        <f>'[2]Dec Prod'!E29</f>
        <v>0</v>
      </c>
      <c r="F30" s="8">
        <f t="shared" si="2"/>
        <v>0</v>
      </c>
      <c r="G30" s="10">
        <f t="shared" si="3"/>
        <v>0</v>
      </c>
      <c r="H30" s="7">
        <f>'[2]Dec Prod'!F29</f>
        <v>0</v>
      </c>
      <c r="I30" s="8">
        <f>H30/100000000</f>
        <v>0</v>
      </c>
      <c r="J30" s="10">
        <f t="shared" si="5"/>
        <v>0</v>
      </c>
      <c r="K30" s="7">
        <f>'[2]Dec Prod'!H284</f>
        <v>0</v>
      </c>
      <c r="L30" s="8">
        <f t="shared" si="6"/>
        <v>0</v>
      </c>
      <c r="M30" s="10">
        <f t="shared" si="7"/>
        <v>0</v>
      </c>
      <c r="N30" s="21"/>
      <c r="O30" s="7">
        <f>'[2]Dec Prod'!H29</f>
        <v>9944000</v>
      </c>
      <c r="P30" s="8">
        <f t="shared" si="8"/>
        <v>9.9440000000000008</v>
      </c>
      <c r="Q30" s="10">
        <f t="shared" si="9"/>
        <v>30.528079999999999</v>
      </c>
      <c r="R30" s="7">
        <f>'[2]Dec Prod'!C29</f>
        <v>10272000</v>
      </c>
      <c r="S30" s="8">
        <f t="shared" si="10"/>
        <v>10.272</v>
      </c>
      <c r="T30" s="10">
        <f t="shared" si="11"/>
        <v>31.535039999999999</v>
      </c>
      <c r="U30" s="7">
        <f>'[2]Dec Prod'!D29</f>
        <v>0</v>
      </c>
      <c r="V30" s="8">
        <f t="shared" si="12"/>
        <v>0</v>
      </c>
      <c r="W30" s="10">
        <f t="shared" si="13"/>
        <v>0</v>
      </c>
      <c r="X30" s="7">
        <f>'[2]Dec Prod'!D284</f>
        <v>327999.99999999942</v>
      </c>
      <c r="Y30" s="8">
        <f t="shared" si="14"/>
        <v>0.3279999999999994</v>
      </c>
      <c r="Z30" s="10">
        <f t="shared" si="15"/>
        <v>1.0069599999999981</v>
      </c>
      <c r="AA30" s="15"/>
      <c r="AB30" s="7">
        <f t="shared" si="16"/>
        <v>9944000</v>
      </c>
      <c r="AC30" s="8">
        <f t="shared" si="16"/>
        <v>9.9440000000000008</v>
      </c>
      <c r="AD30" s="8">
        <f>D30+Q30</f>
        <v>30.528079999999999</v>
      </c>
    </row>
    <row r="31" spans="1:30" x14ac:dyDescent="0.25">
      <c r="A31" s="1">
        <v>38348</v>
      </c>
      <c r="B31" s="7">
        <f>'[2]Dec Prod'!I30</f>
        <v>0</v>
      </c>
      <c r="C31" s="8">
        <f t="shared" si="0"/>
        <v>0</v>
      </c>
      <c r="D31" s="10">
        <f t="shared" si="1"/>
        <v>0</v>
      </c>
      <c r="E31" s="7">
        <f>'[2]Dec Prod'!E30</f>
        <v>0</v>
      </c>
      <c r="F31" s="8">
        <f t="shared" si="2"/>
        <v>0</v>
      </c>
      <c r="G31" s="10">
        <f t="shared" si="3"/>
        <v>0</v>
      </c>
      <c r="H31" s="7">
        <f>'[2]Dec Prod'!F30</f>
        <v>0</v>
      </c>
      <c r="I31" s="8">
        <f t="shared" si="4"/>
        <v>0</v>
      </c>
      <c r="J31" s="10">
        <f t="shared" si="5"/>
        <v>0</v>
      </c>
      <c r="K31" s="7">
        <f>'[2]Dec Prod'!H285</f>
        <v>0</v>
      </c>
      <c r="L31" s="8">
        <f t="shared" si="6"/>
        <v>0</v>
      </c>
      <c r="M31" s="10">
        <f t="shared" si="7"/>
        <v>0</v>
      </c>
      <c r="N31" s="21"/>
      <c r="O31" s="7">
        <f>'[2]Dec Prod'!H30</f>
        <v>11273000</v>
      </c>
      <c r="P31" s="8">
        <f t="shared" si="8"/>
        <v>11.273</v>
      </c>
      <c r="Q31" s="10">
        <f t="shared" si="9"/>
        <v>34.608109999999996</v>
      </c>
      <c r="R31" s="7">
        <f>'[2]Dec Prod'!C30</f>
        <v>11464000</v>
      </c>
      <c r="S31" s="8">
        <f t="shared" si="10"/>
        <v>11.464</v>
      </c>
      <c r="T31" s="10">
        <f t="shared" si="11"/>
        <v>35.194479999999999</v>
      </c>
      <c r="U31" s="7">
        <f>'[2]Dec Prod'!D30</f>
        <v>0</v>
      </c>
      <c r="V31" s="8">
        <f t="shared" si="12"/>
        <v>0</v>
      </c>
      <c r="W31" s="10">
        <f t="shared" si="13"/>
        <v>0</v>
      </c>
      <c r="X31" s="7">
        <f>'[2]Dec Prod'!D285</f>
        <v>191000.00000000073</v>
      </c>
      <c r="Y31" s="8">
        <f t="shared" si="14"/>
        <v>0.19100000000000072</v>
      </c>
      <c r="Z31" s="10">
        <f t="shared" si="15"/>
        <v>0.58637000000000217</v>
      </c>
      <c r="AA31" s="15"/>
      <c r="AB31" s="7">
        <f t="shared" si="16"/>
        <v>11273000</v>
      </c>
      <c r="AC31" s="8">
        <f t="shared" si="16"/>
        <v>11.273</v>
      </c>
      <c r="AD31" s="8">
        <f t="shared" si="16"/>
        <v>34.608109999999996</v>
      </c>
    </row>
    <row r="32" spans="1:30" x14ac:dyDescent="0.25">
      <c r="A32" s="1">
        <v>38349</v>
      </c>
      <c r="B32" s="7">
        <f>'[2]Dec Prod'!I31</f>
        <v>0</v>
      </c>
      <c r="C32" s="8">
        <f t="shared" si="0"/>
        <v>0</v>
      </c>
      <c r="D32" s="10">
        <f t="shared" si="1"/>
        <v>0</v>
      </c>
      <c r="E32" s="7">
        <f>'[2]Dec Prod'!E31</f>
        <v>0</v>
      </c>
      <c r="F32" s="8">
        <f t="shared" si="2"/>
        <v>0</v>
      </c>
      <c r="G32" s="10">
        <f t="shared" si="3"/>
        <v>0</v>
      </c>
      <c r="H32" s="7">
        <f>'[2]Dec Prod'!F31</f>
        <v>0</v>
      </c>
      <c r="I32" s="8">
        <f t="shared" si="4"/>
        <v>0</v>
      </c>
      <c r="J32" s="10">
        <f t="shared" si="5"/>
        <v>0</v>
      </c>
      <c r="K32" s="7">
        <f>'[2]Dec Prod'!H286</f>
        <v>0</v>
      </c>
      <c r="L32" s="8">
        <f t="shared" si="6"/>
        <v>0</v>
      </c>
      <c r="M32" s="10">
        <f t="shared" si="7"/>
        <v>0</v>
      </c>
      <c r="N32" s="21"/>
      <c r="O32" s="7">
        <f>'[2]Dec Prod'!H31</f>
        <v>11579000</v>
      </c>
      <c r="P32" s="8">
        <f t="shared" si="8"/>
        <v>11.579000000000001</v>
      </c>
      <c r="Q32" s="10">
        <f t="shared" si="9"/>
        <v>35.547530000000002</v>
      </c>
      <c r="R32" s="7">
        <f>'[2]Dec Prod'!C31</f>
        <v>12034000</v>
      </c>
      <c r="S32" s="8">
        <f t="shared" si="10"/>
        <v>12.034000000000001</v>
      </c>
      <c r="T32" s="10">
        <f t="shared" si="11"/>
        <v>36.944380000000002</v>
      </c>
      <c r="U32" s="7">
        <f>'[2]Dec Prod'!D31</f>
        <v>0</v>
      </c>
      <c r="V32" s="8">
        <f t="shared" si="12"/>
        <v>0</v>
      </c>
      <c r="W32" s="10">
        <f t="shared" si="13"/>
        <v>0</v>
      </c>
      <c r="X32" s="7">
        <f>'[2]Dec Prod'!D286</f>
        <v>455000.00000000006</v>
      </c>
      <c r="Y32" s="8">
        <f t="shared" si="14"/>
        <v>0.45500000000000007</v>
      </c>
      <c r="Z32" s="10">
        <f t="shared" si="15"/>
        <v>1.3968500000000001</v>
      </c>
      <c r="AA32" s="15"/>
      <c r="AB32" s="7">
        <f t="shared" si="16"/>
        <v>11579000</v>
      </c>
      <c r="AC32" s="8">
        <f t="shared" si="16"/>
        <v>11.579000000000001</v>
      </c>
      <c r="AD32" s="8">
        <f t="shared" si="16"/>
        <v>35.547530000000002</v>
      </c>
    </row>
    <row r="33" spans="1:30" x14ac:dyDescent="0.25">
      <c r="A33" s="1">
        <v>38350</v>
      </c>
      <c r="B33" s="7">
        <f>'[2]Dec Prod'!I32</f>
        <v>0</v>
      </c>
      <c r="C33" s="8">
        <f t="shared" si="0"/>
        <v>0</v>
      </c>
      <c r="D33" s="10">
        <f t="shared" si="1"/>
        <v>0</v>
      </c>
      <c r="E33" s="7">
        <f>'[2]Dec Prod'!E32</f>
        <v>0</v>
      </c>
      <c r="F33" s="8">
        <f t="shared" si="2"/>
        <v>0</v>
      </c>
      <c r="G33" s="10">
        <f t="shared" si="3"/>
        <v>0</v>
      </c>
      <c r="H33" s="7">
        <f>'[2]Dec Prod'!F32</f>
        <v>0</v>
      </c>
      <c r="I33" s="8">
        <f t="shared" si="4"/>
        <v>0</v>
      </c>
      <c r="J33" s="10">
        <f t="shared" si="5"/>
        <v>0</v>
      </c>
      <c r="K33" s="7">
        <f>'[2]Dec Prod'!H287</f>
        <v>0</v>
      </c>
      <c r="L33" s="8">
        <f t="shared" si="6"/>
        <v>0</v>
      </c>
      <c r="M33" s="10">
        <f t="shared" si="7"/>
        <v>0</v>
      </c>
      <c r="N33" s="21"/>
      <c r="O33" s="7">
        <f>'[2]Dec Prod'!H32</f>
        <v>12184000</v>
      </c>
      <c r="P33" s="8">
        <f t="shared" si="8"/>
        <v>12.183999999999999</v>
      </c>
      <c r="Q33" s="10">
        <f t="shared" si="9"/>
        <v>37.404879999999999</v>
      </c>
      <c r="R33" s="7">
        <f>'[2]Dec Prod'!C32</f>
        <v>12639000</v>
      </c>
      <c r="S33" s="8">
        <f t="shared" si="10"/>
        <v>12.638999999999999</v>
      </c>
      <c r="T33" s="10">
        <f t="shared" si="11"/>
        <v>38.801729999999999</v>
      </c>
      <c r="U33" s="7">
        <f>'[2]Dec Prod'!D32</f>
        <v>0</v>
      </c>
      <c r="V33" s="8">
        <f t="shared" si="12"/>
        <v>0</v>
      </c>
      <c r="W33" s="10">
        <f t="shared" si="13"/>
        <v>0</v>
      </c>
      <c r="X33" s="7">
        <f>'[2]Dec Prod'!D287</f>
        <v>455000.00000000006</v>
      </c>
      <c r="Y33" s="8">
        <f t="shared" si="14"/>
        <v>0.45500000000000007</v>
      </c>
      <c r="Z33" s="10">
        <f t="shared" si="15"/>
        <v>1.3968500000000001</v>
      </c>
      <c r="AA33" s="15"/>
      <c r="AB33" s="7">
        <f t="shared" si="16"/>
        <v>12184000</v>
      </c>
      <c r="AC33" s="8">
        <f t="shared" si="16"/>
        <v>12.183999999999999</v>
      </c>
      <c r="AD33" s="8">
        <f t="shared" si="16"/>
        <v>37.404879999999999</v>
      </c>
    </row>
    <row r="34" spans="1:30" x14ac:dyDescent="0.25">
      <c r="A34" s="1">
        <v>38351</v>
      </c>
      <c r="B34" s="7">
        <f>'[2]Dec Prod'!I33</f>
        <v>0</v>
      </c>
      <c r="C34" s="8">
        <f t="shared" si="0"/>
        <v>0</v>
      </c>
      <c r="D34" s="10">
        <f t="shared" si="1"/>
        <v>0</v>
      </c>
      <c r="E34" s="7">
        <f>'[2]Dec Prod'!E33</f>
        <v>0</v>
      </c>
      <c r="F34" s="8">
        <f t="shared" si="2"/>
        <v>0</v>
      </c>
      <c r="G34" s="10">
        <f t="shared" si="3"/>
        <v>0</v>
      </c>
      <c r="H34" s="7">
        <f>'[2]Dec Prod'!F33</f>
        <v>0</v>
      </c>
      <c r="I34" s="8">
        <f>H34/100000000</f>
        <v>0</v>
      </c>
      <c r="J34" s="10">
        <f t="shared" si="5"/>
        <v>0</v>
      </c>
      <c r="K34" s="7">
        <f>'[2]Dec Prod'!H288</f>
        <v>0</v>
      </c>
      <c r="L34" s="8">
        <f t="shared" si="6"/>
        <v>0</v>
      </c>
      <c r="M34" s="10">
        <f t="shared" si="7"/>
        <v>0</v>
      </c>
      <c r="N34" s="21"/>
      <c r="O34" s="7">
        <f>'[2]Dec Prod'!H33</f>
        <v>11927000</v>
      </c>
      <c r="P34" s="8">
        <f t="shared" si="8"/>
        <v>11.927</v>
      </c>
      <c r="Q34" s="10">
        <f t="shared" si="9"/>
        <v>36.61589</v>
      </c>
      <c r="R34" s="7">
        <f>'[2]Dec Prod'!C33</f>
        <v>12380000</v>
      </c>
      <c r="S34" s="8">
        <f t="shared" si="10"/>
        <v>12.38</v>
      </c>
      <c r="T34" s="10">
        <f t="shared" si="11"/>
        <v>38.006599999999999</v>
      </c>
      <c r="U34" s="7">
        <f>'[2]Dec Prod'!D33</f>
        <v>0</v>
      </c>
      <c r="V34" s="8">
        <f t="shared" si="12"/>
        <v>0</v>
      </c>
      <c r="W34" s="10">
        <f t="shared" si="13"/>
        <v>0</v>
      </c>
      <c r="X34" s="7">
        <f>'[2]Dec Prod'!D288</f>
        <v>452999.99999999942</v>
      </c>
      <c r="Y34" s="8">
        <f t="shared" si="14"/>
        <v>0.4529999999999994</v>
      </c>
      <c r="Z34" s="10">
        <f t="shared" si="15"/>
        <v>1.3907099999999981</v>
      </c>
      <c r="AA34" s="15"/>
      <c r="AB34" s="7">
        <f t="shared" si="16"/>
        <v>11927000</v>
      </c>
      <c r="AC34" s="8">
        <f t="shared" si="16"/>
        <v>11.927</v>
      </c>
      <c r="AD34" s="8">
        <f t="shared" si="16"/>
        <v>36.61589</v>
      </c>
    </row>
    <row r="35" spans="1:30" ht="13.8" thickBot="1" x14ac:dyDescent="0.3">
      <c r="A35" s="1">
        <v>38352</v>
      </c>
      <c r="B35" s="29">
        <f>'[2]Dec Prod'!I34</f>
        <v>0</v>
      </c>
      <c r="C35" s="9">
        <f t="shared" si="0"/>
        <v>0</v>
      </c>
      <c r="D35" s="11">
        <f t="shared" si="1"/>
        <v>0</v>
      </c>
      <c r="E35" s="7">
        <f>'[2]Dec Prod'!E34</f>
        <v>0</v>
      </c>
      <c r="F35" s="9">
        <f t="shared" si="2"/>
        <v>0</v>
      </c>
      <c r="G35" s="11">
        <f t="shared" si="3"/>
        <v>0</v>
      </c>
      <c r="H35" s="7">
        <f>'[2]Dec Prod'!F34</f>
        <v>0</v>
      </c>
      <c r="I35" s="9">
        <f>H35/100000000</f>
        <v>0</v>
      </c>
      <c r="J35" s="11">
        <f t="shared" si="5"/>
        <v>0</v>
      </c>
      <c r="K35" s="7">
        <f>'[2]Dec Prod'!H289</f>
        <v>0</v>
      </c>
      <c r="L35" s="9">
        <f t="shared" si="6"/>
        <v>0</v>
      </c>
      <c r="M35" s="11">
        <f t="shared" si="7"/>
        <v>0</v>
      </c>
      <c r="N35" s="21"/>
      <c r="O35" s="7">
        <f>'[2]Dec Prod'!H34</f>
        <v>12098000.000000002</v>
      </c>
      <c r="P35" s="9">
        <f t="shared" si="8"/>
        <v>12.098000000000003</v>
      </c>
      <c r="Q35" s="11">
        <f t="shared" si="9"/>
        <v>37.140860000000004</v>
      </c>
      <c r="R35" s="7">
        <f>'[2]Dec Prod'!C34</f>
        <v>12369000</v>
      </c>
      <c r="S35" s="9">
        <f t="shared" si="10"/>
        <v>12.369</v>
      </c>
      <c r="T35" s="11">
        <f t="shared" si="11"/>
        <v>37.972829999999995</v>
      </c>
      <c r="U35" s="7">
        <f>'[2]Dec Prod'!D34</f>
        <v>0</v>
      </c>
      <c r="V35" s="9">
        <f t="shared" si="12"/>
        <v>0</v>
      </c>
      <c r="W35" s="11">
        <f t="shared" si="13"/>
        <v>0</v>
      </c>
      <c r="X35" s="7">
        <f>'[2]Dec Prod'!D289</f>
        <v>270999.99999999901</v>
      </c>
      <c r="Y35" s="9">
        <f t="shared" si="14"/>
        <v>0.27099999999999902</v>
      </c>
      <c r="Z35" s="11">
        <f t="shared" si="15"/>
        <v>0.83196999999999699</v>
      </c>
      <c r="AA35" s="15"/>
      <c r="AB35" s="7">
        <f t="shared" si="16"/>
        <v>12098000.000000002</v>
      </c>
      <c r="AC35" s="8">
        <f t="shared" si="16"/>
        <v>12.098000000000003</v>
      </c>
      <c r="AD35" s="8">
        <f t="shared" si="16"/>
        <v>37.140860000000004</v>
      </c>
    </row>
    <row r="36" spans="1:30" ht="13.8" thickBot="1" x14ac:dyDescent="0.3">
      <c r="A36" s="20"/>
      <c r="B36" s="38"/>
      <c r="C36" s="39">
        <f>SUM(C5:C35)</f>
        <v>12.099999999998545</v>
      </c>
      <c r="D36" s="39">
        <f>SUM(D5:D35)</f>
        <v>37.146999999995522</v>
      </c>
      <c r="E36" s="38"/>
      <c r="F36" s="39">
        <f>SUM(F5:F35)</f>
        <v>0</v>
      </c>
      <c r="G36" s="39">
        <f>SUM(G5:G35)</f>
        <v>0</v>
      </c>
      <c r="H36" s="38"/>
      <c r="I36" s="39">
        <f>SUM(I5:I35)</f>
        <v>9.370000000000001</v>
      </c>
      <c r="J36" s="39">
        <f>SUM(J5:J35)</f>
        <v>28.765900000000002</v>
      </c>
      <c r="K36" s="38"/>
      <c r="L36" s="39">
        <f>SUM(L5:L35)</f>
        <v>1.5115610000000002</v>
      </c>
      <c r="M36" s="39">
        <f>SUM(M5:M35)</f>
        <v>4.6404922700000002</v>
      </c>
      <c r="N36" s="14"/>
      <c r="O36" s="38"/>
      <c r="P36" s="39">
        <f>SUM(P5:P35)</f>
        <v>347.47200000000009</v>
      </c>
      <c r="Q36" s="39">
        <f>SUM(Q5:Q35)</f>
        <v>1066.7390400000002</v>
      </c>
      <c r="R36" s="38"/>
      <c r="S36" s="39">
        <f>SUM(S5:S35)</f>
        <v>359.48500000000001</v>
      </c>
      <c r="T36" s="39">
        <f>SUM(T5:T35)</f>
        <v>1103.6189499999998</v>
      </c>
      <c r="U36" s="38"/>
      <c r="V36" s="39">
        <f>SUM(V5:V35)</f>
        <v>0</v>
      </c>
      <c r="W36" s="39">
        <f>SUM(W5:W35)</f>
        <v>0</v>
      </c>
      <c r="X36" s="38"/>
      <c r="Y36" s="39">
        <f>SUM(Y5:Y35)</f>
        <v>12.013</v>
      </c>
      <c r="Z36" s="39">
        <f>SUM(Z5:Z35)</f>
        <v>36.879909999999995</v>
      </c>
      <c r="AA36" s="14"/>
      <c r="AB36" s="38"/>
      <c r="AC36" s="39">
        <f>SUM(AC5:AC35)</f>
        <v>359.57199999999858</v>
      </c>
      <c r="AD36" s="39">
        <f>SUM(AD5:AD35)</f>
        <v>1103.8860399999955</v>
      </c>
    </row>
    <row r="37" spans="1:30" x14ac:dyDescent="0.25">
      <c r="C37" s="18"/>
      <c r="E37" s="3"/>
      <c r="F37" s="3"/>
      <c r="G37" s="3"/>
      <c r="H37" s="3"/>
      <c r="I37" s="3"/>
      <c r="J37" s="3"/>
      <c r="K37" s="14"/>
      <c r="L37" s="3"/>
      <c r="M37" s="3"/>
      <c r="N37" s="3"/>
      <c r="O37" s="3"/>
      <c r="P37" s="3"/>
      <c r="Q37" s="3"/>
      <c r="R37" s="3"/>
      <c r="S37" s="3"/>
      <c r="T37" s="3"/>
      <c r="U37" s="14"/>
    </row>
  </sheetData>
  <mergeCells count="9">
    <mergeCell ref="AB3:AD3"/>
    <mergeCell ref="R3:T3"/>
    <mergeCell ref="U3:W3"/>
    <mergeCell ref="B3:D3"/>
    <mergeCell ref="E3:G3"/>
    <mergeCell ref="H3:J3"/>
    <mergeCell ref="O3:Q3"/>
    <mergeCell ref="K3:M3"/>
    <mergeCell ref="X3:Z3"/>
  </mergeCells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AD36"/>
  <sheetViews>
    <sheetView workbookViewId="0">
      <pane xSplit="1" ySplit="4" topLeftCell="I11" activePane="bottomRight" state="frozen"/>
      <selection pane="topRight" activeCell="B1" sqref="B1"/>
      <selection pane="bottomLeft" activeCell="A5" sqref="A5"/>
      <selection pane="bottomRight" activeCell="T33" sqref="T33"/>
    </sheetView>
  </sheetViews>
  <sheetFormatPr defaultRowHeight="13.2" x14ac:dyDescent="0.25"/>
  <cols>
    <col min="2" max="2" width="10.88671875" customWidth="1"/>
    <col min="3" max="3" width="7.6640625" style="18" customWidth="1"/>
    <col min="5" max="5" width="13.44140625" style="3" bestFit="1" customWidth="1"/>
    <col min="6" max="6" width="8.33203125" style="3" customWidth="1"/>
    <col min="7" max="7" width="9.109375" style="3"/>
    <col min="8" max="8" width="11.6640625" style="3" customWidth="1"/>
    <col min="9" max="10" width="9.109375" style="3"/>
    <col min="11" max="11" width="11.88671875" style="14" customWidth="1"/>
    <col min="12" max="12" width="11" style="3" customWidth="1"/>
    <col min="13" max="13" width="11.109375" style="3" bestFit="1" customWidth="1"/>
    <col min="14" max="14" width="9.109375" style="3"/>
    <col min="15" max="15" width="13.44140625" style="3" bestFit="1" customWidth="1"/>
    <col min="16" max="17" width="9.109375" style="3"/>
    <col min="18" max="18" width="11.6640625" style="3" bestFit="1" customWidth="1"/>
    <col min="19" max="21" width="9.109375" style="3"/>
    <col min="22" max="22" width="11.6640625" bestFit="1" customWidth="1"/>
    <col min="28" max="28" width="12.6640625" customWidth="1"/>
  </cols>
  <sheetData>
    <row r="1" spans="1:30" ht="13.5" customHeight="1" x14ac:dyDescent="0.25">
      <c r="A1" s="45"/>
      <c r="B1" s="40"/>
      <c r="C1" s="25"/>
      <c r="D1" s="25"/>
      <c r="E1" s="25"/>
      <c r="F1" s="25"/>
      <c r="U1" s="14"/>
      <c r="V1" s="3"/>
      <c r="W1" s="3"/>
      <c r="X1" s="3"/>
    </row>
    <row r="2" spans="1:30" ht="13.8" thickBot="1" x14ac:dyDescent="0.3">
      <c r="A2" s="3"/>
      <c r="B2" s="3"/>
      <c r="C2" s="24"/>
      <c r="D2" s="3"/>
      <c r="U2" s="14"/>
      <c r="V2" s="3"/>
      <c r="W2" s="3"/>
      <c r="X2" s="3"/>
    </row>
    <row r="3" spans="1:30" ht="60.75" customHeight="1" thickBot="1" x14ac:dyDescent="0.3">
      <c r="A3" s="3"/>
      <c r="B3" s="61" t="s">
        <v>10</v>
      </c>
      <c r="C3" s="62"/>
      <c r="D3" s="63"/>
      <c r="E3" s="61" t="s">
        <v>11</v>
      </c>
      <c r="F3" s="62"/>
      <c r="G3" s="63"/>
      <c r="H3" s="61" t="s">
        <v>12</v>
      </c>
      <c r="I3" s="62"/>
      <c r="J3" s="63"/>
      <c r="K3" s="61" t="s">
        <v>13</v>
      </c>
      <c r="L3" s="62"/>
      <c r="M3" s="63"/>
      <c r="N3" s="19"/>
      <c r="O3" s="61" t="s">
        <v>4</v>
      </c>
      <c r="P3" s="62"/>
      <c r="Q3" s="63"/>
      <c r="R3" s="61" t="s">
        <v>3</v>
      </c>
      <c r="S3" s="62"/>
      <c r="T3" s="63"/>
      <c r="U3" s="61" t="s">
        <v>6</v>
      </c>
      <c r="V3" s="62"/>
      <c r="W3" s="63"/>
      <c r="X3" s="61" t="s">
        <v>7</v>
      </c>
      <c r="Y3" s="62"/>
      <c r="Z3" s="63"/>
      <c r="AA3" s="19"/>
      <c r="AB3" s="58" t="s">
        <v>8</v>
      </c>
      <c r="AC3" s="59"/>
      <c r="AD3" s="60"/>
    </row>
    <row r="4" spans="1:30" x14ac:dyDescent="0.25">
      <c r="A4" s="26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35" t="s">
        <v>0</v>
      </c>
      <c r="AC4" s="36" t="s">
        <v>1</v>
      </c>
      <c r="AD4" s="37" t="s">
        <v>2</v>
      </c>
    </row>
    <row r="5" spans="1:30" x14ac:dyDescent="0.25">
      <c r="A5" s="27">
        <v>38353</v>
      </c>
      <c r="B5" s="7">
        <f>'[3]Jan Prod'!I4</f>
        <v>0</v>
      </c>
      <c r="C5" s="8">
        <f>B5/1000000</f>
        <v>0</v>
      </c>
      <c r="D5" s="10">
        <f>C5*3.07</f>
        <v>0</v>
      </c>
      <c r="E5" s="7">
        <f>'[3]Jan Prod'!E4</f>
        <v>0</v>
      </c>
      <c r="F5" s="8">
        <f>E5/1000000</f>
        <v>0</v>
      </c>
      <c r="G5" s="10">
        <f>F5*3.07</f>
        <v>0</v>
      </c>
      <c r="H5" s="7">
        <f>'[3]Jan Prod'!F4</f>
        <v>0</v>
      </c>
      <c r="I5" s="8">
        <f>H5/1000000</f>
        <v>0</v>
      </c>
      <c r="J5" s="10">
        <f>I5*3.07</f>
        <v>0</v>
      </c>
      <c r="K5" s="7">
        <f>'[3]Jan Prod'!H259</f>
        <v>0</v>
      </c>
      <c r="L5" s="8">
        <f>K5/1000000</f>
        <v>0</v>
      </c>
      <c r="M5" s="10">
        <f>L5*3.07</f>
        <v>0</v>
      </c>
      <c r="N5" s="21"/>
      <c r="O5" s="7">
        <f>'[3]Jan Prod'!H4</f>
        <v>11458999.999999998</v>
      </c>
      <c r="P5" s="8">
        <f>O5/1000000</f>
        <v>11.458999999999998</v>
      </c>
      <c r="Q5" s="10">
        <f>P5*3.07</f>
        <v>35.179129999999994</v>
      </c>
      <c r="R5" s="7">
        <f>'[3]Jan Prod'!C4</f>
        <v>11809000</v>
      </c>
      <c r="S5" s="8">
        <f>R5/1000000</f>
        <v>11.808999999999999</v>
      </c>
      <c r="T5" s="10">
        <f>S5*3.07</f>
        <v>36.253629999999994</v>
      </c>
      <c r="U5" s="7">
        <f>'[3]Jan Prod'!D4</f>
        <v>0</v>
      </c>
      <c r="V5" s="8">
        <f>U5/1000000</f>
        <v>0</v>
      </c>
      <c r="W5" s="10">
        <f>V5*3.07</f>
        <v>0</v>
      </c>
      <c r="X5" s="7">
        <f>'[3]Jan Prod'!D259</f>
        <v>350000.0000000014</v>
      </c>
      <c r="Y5" s="8">
        <f>X5/1000000</f>
        <v>0.35000000000000142</v>
      </c>
      <c r="Z5" s="10">
        <f>Y5*3.07</f>
        <v>1.0745000000000042</v>
      </c>
      <c r="AA5" s="15"/>
      <c r="AB5" s="7">
        <f>B5+O5</f>
        <v>11458999.999999998</v>
      </c>
      <c r="AC5" s="8">
        <f>C5+P5</f>
        <v>11.458999999999998</v>
      </c>
      <c r="AD5" s="8">
        <f>D5+Q5</f>
        <v>35.179129999999994</v>
      </c>
    </row>
    <row r="6" spans="1:30" x14ac:dyDescent="0.25">
      <c r="A6" s="27">
        <v>38354</v>
      </c>
      <c r="B6" s="7">
        <f>'[3]Jan Prod'!I5</f>
        <v>0</v>
      </c>
      <c r="C6" s="8">
        <f t="shared" ref="C6:C35" si="0">B6/1000000</f>
        <v>0</v>
      </c>
      <c r="D6" s="10">
        <f t="shared" ref="D6:D35" si="1">C6*3.07</f>
        <v>0</v>
      </c>
      <c r="E6" s="7">
        <f>'[3]Jan Prod'!E5</f>
        <v>0</v>
      </c>
      <c r="F6" s="8">
        <f t="shared" ref="F6:F35" si="2">E6/1000000</f>
        <v>0</v>
      </c>
      <c r="G6" s="10">
        <f t="shared" ref="G6:G35" si="3">F6*3.07</f>
        <v>0</v>
      </c>
      <c r="H6" s="7">
        <f>'[3]Jan Prod'!F5</f>
        <v>0</v>
      </c>
      <c r="I6" s="8">
        <f t="shared" ref="I6:I35" si="4">H6/1000000</f>
        <v>0</v>
      </c>
      <c r="J6" s="10">
        <f t="shared" ref="J6:J35" si="5">I6*3.07</f>
        <v>0</v>
      </c>
      <c r="K6" s="7">
        <f>'[3]Jan Prod'!H260</f>
        <v>0</v>
      </c>
      <c r="L6" s="8">
        <f t="shared" ref="L6:L35" si="6">K6/1000000</f>
        <v>0</v>
      </c>
      <c r="M6" s="10">
        <f t="shared" ref="M6:M35" si="7">L6*3.07</f>
        <v>0</v>
      </c>
      <c r="N6" s="21"/>
      <c r="O6" s="7">
        <f>'[3]Jan Prod'!H5</f>
        <v>10638000</v>
      </c>
      <c r="P6" s="8">
        <f t="shared" ref="P6:P35" si="8">O6/1000000</f>
        <v>10.638</v>
      </c>
      <c r="Q6" s="10">
        <f t="shared" ref="Q6:Q35" si="9">P6*3.07</f>
        <v>32.658659999999998</v>
      </c>
      <c r="R6" s="7">
        <f>'[3]Jan Prod'!C5</f>
        <v>10936000</v>
      </c>
      <c r="S6" s="8">
        <f t="shared" ref="S6:S35" si="10">R6/1000000</f>
        <v>10.936</v>
      </c>
      <c r="T6" s="10">
        <f t="shared" ref="T6:T35" si="11">S6*3.07</f>
        <v>33.573519999999995</v>
      </c>
      <c r="U6" s="7">
        <f>'[3]Jan Prod'!D5</f>
        <v>0</v>
      </c>
      <c r="V6" s="8">
        <f t="shared" ref="V6:V35" si="12">U6/1000000</f>
        <v>0</v>
      </c>
      <c r="W6" s="10">
        <f t="shared" ref="W6:W35" si="13">V6*3.07</f>
        <v>0</v>
      </c>
      <c r="X6" s="7">
        <f>'[3]Jan Prod'!D260</f>
        <v>298000.00000000006</v>
      </c>
      <c r="Y6" s="8">
        <f t="shared" ref="Y6:Y35" si="14">X6/1000000</f>
        <v>0.29800000000000004</v>
      </c>
      <c r="Z6" s="10">
        <f t="shared" ref="Z6:Z35" si="15">Y6*3.07</f>
        <v>0.91486000000000012</v>
      </c>
      <c r="AA6" s="15"/>
      <c r="AB6" s="7">
        <f t="shared" ref="AB6:AD35" si="16">B6+O6</f>
        <v>10638000</v>
      </c>
      <c r="AC6" s="8">
        <f t="shared" si="16"/>
        <v>10.638</v>
      </c>
      <c r="AD6" s="8">
        <f t="shared" si="16"/>
        <v>32.658659999999998</v>
      </c>
    </row>
    <row r="7" spans="1:30" x14ac:dyDescent="0.25">
      <c r="A7" s="27">
        <v>38355</v>
      </c>
      <c r="B7" s="7">
        <f>'[3]Jan Prod'!I6</f>
        <v>0</v>
      </c>
      <c r="C7" s="8">
        <f t="shared" si="0"/>
        <v>0</v>
      </c>
      <c r="D7" s="10">
        <f t="shared" si="1"/>
        <v>0</v>
      </c>
      <c r="E7" s="7">
        <f>'[3]Jan Prod'!E6</f>
        <v>0</v>
      </c>
      <c r="F7" s="8">
        <f t="shared" si="2"/>
        <v>0</v>
      </c>
      <c r="G7" s="10">
        <f t="shared" si="3"/>
        <v>0</v>
      </c>
      <c r="H7" s="7">
        <f>'[3]Jan Prod'!F6</f>
        <v>0</v>
      </c>
      <c r="I7" s="8">
        <f t="shared" si="4"/>
        <v>0</v>
      </c>
      <c r="J7" s="10">
        <f t="shared" si="5"/>
        <v>0</v>
      </c>
      <c r="K7" s="7">
        <f>'[3]Jan Prod'!H261</f>
        <v>0</v>
      </c>
      <c r="L7" s="8">
        <f t="shared" si="6"/>
        <v>0</v>
      </c>
      <c r="M7" s="10">
        <f t="shared" si="7"/>
        <v>0</v>
      </c>
      <c r="N7" s="21"/>
      <c r="O7" s="7">
        <f>'[3]Jan Prod'!H6</f>
        <v>10876000</v>
      </c>
      <c r="P7" s="8">
        <f t="shared" si="8"/>
        <v>10.875999999999999</v>
      </c>
      <c r="Q7" s="10">
        <f t="shared" si="9"/>
        <v>33.389319999999998</v>
      </c>
      <c r="R7" s="7">
        <f>'[3]Jan Prod'!C6</f>
        <v>11342000</v>
      </c>
      <c r="S7" s="8">
        <f t="shared" si="10"/>
        <v>11.342000000000001</v>
      </c>
      <c r="T7" s="10">
        <f t="shared" si="11"/>
        <v>34.819940000000003</v>
      </c>
      <c r="U7" s="7">
        <f>'[3]Jan Prod'!D6</f>
        <v>0</v>
      </c>
      <c r="V7" s="8">
        <f t="shared" si="12"/>
        <v>0</v>
      </c>
      <c r="W7" s="10">
        <f t="shared" si="13"/>
        <v>0</v>
      </c>
      <c r="X7" s="7">
        <f>'[3]Jan Prod'!D261</f>
        <v>465999.9999999993</v>
      </c>
      <c r="Y7" s="8">
        <f t="shared" si="14"/>
        <v>0.4659999999999993</v>
      </c>
      <c r="Z7" s="10">
        <f t="shared" si="15"/>
        <v>1.4306199999999978</v>
      </c>
      <c r="AA7" s="15"/>
      <c r="AB7" s="7">
        <f t="shared" si="16"/>
        <v>10876000</v>
      </c>
      <c r="AC7" s="8">
        <f t="shared" si="16"/>
        <v>10.875999999999999</v>
      </c>
      <c r="AD7" s="8">
        <f t="shared" si="16"/>
        <v>33.389319999999998</v>
      </c>
    </row>
    <row r="8" spans="1:30" x14ac:dyDescent="0.25">
      <c r="A8" s="27">
        <v>38356</v>
      </c>
      <c r="B8" s="7">
        <f>'[3]Jan Prod'!I7</f>
        <v>0</v>
      </c>
      <c r="C8" s="8">
        <f t="shared" si="0"/>
        <v>0</v>
      </c>
      <c r="D8" s="10">
        <f t="shared" si="1"/>
        <v>0</v>
      </c>
      <c r="E8" s="7">
        <f>'[3]Jan Prod'!E7</f>
        <v>0</v>
      </c>
      <c r="F8" s="8">
        <f t="shared" si="2"/>
        <v>0</v>
      </c>
      <c r="G8" s="10">
        <f t="shared" si="3"/>
        <v>0</v>
      </c>
      <c r="H8" s="7">
        <f>'[3]Jan Prod'!F7</f>
        <v>0</v>
      </c>
      <c r="I8" s="8">
        <f t="shared" si="4"/>
        <v>0</v>
      </c>
      <c r="J8" s="10">
        <f t="shared" si="5"/>
        <v>0</v>
      </c>
      <c r="K8" s="7">
        <f>'[3]Jan Prod'!H262</f>
        <v>0</v>
      </c>
      <c r="L8" s="8">
        <f t="shared" si="6"/>
        <v>0</v>
      </c>
      <c r="M8" s="10">
        <f t="shared" si="7"/>
        <v>0</v>
      </c>
      <c r="N8" s="21"/>
      <c r="O8" s="7">
        <f>'[3]Jan Prod'!H7</f>
        <v>12472000</v>
      </c>
      <c r="P8" s="8">
        <f t="shared" si="8"/>
        <v>12.472</v>
      </c>
      <c r="Q8" s="10">
        <f t="shared" si="9"/>
        <v>38.28904</v>
      </c>
      <c r="R8" s="7">
        <f>'[3]Jan Prod'!C7</f>
        <v>12926000</v>
      </c>
      <c r="S8" s="8">
        <f t="shared" si="10"/>
        <v>12.926</v>
      </c>
      <c r="T8" s="10">
        <f t="shared" si="11"/>
        <v>39.68282</v>
      </c>
      <c r="U8" s="7">
        <f>'[3]Jan Prod'!D7</f>
        <v>0</v>
      </c>
      <c r="V8" s="8">
        <f t="shared" si="12"/>
        <v>0</v>
      </c>
      <c r="W8" s="10">
        <f t="shared" si="13"/>
        <v>0</v>
      </c>
      <c r="X8" s="7">
        <f>'[3]Jan Prod'!D262</f>
        <v>454000.00000000064</v>
      </c>
      <c r="Y8" s="8">
        <f t="shared" si="14"/>
        <v>0.45400000000000063</v>
      </c>
      <c r="Z8" s="10">
        <f t="shared" si="15"/>
        <v>1.3937800000000018</v>
      </c>
      <c r="AA8" s="15"/>
      <c r="AB8" s="7">
        <f t="shared" si="16"/>
        <v>12472000</v>
      </c>
      <c r="AC8" s="8">
        <f t="shared" si="16"/>
        <v>12.472</v>
      </c>
      <c r="AD8" s="8">
        <f>D8+Q8</f>
        <v>38.28904</v>
      </c>
    </row>
    <row r="9" spans="1:30" x14ac:dyDescent="0.25">
      <c r="A9" s="27">
        <v>38357</v>
      </c>
      <c r="B9" s="7">
        <f>'[3]Jan Prod'!I8</f>
        <v>0</v>
      </c>
      <c r="C9" s="8">
        <f t="shared" si="0"/>
        <v>0</v>
      </c>
      <c r="D9" s="10">
        <f t="shared" si="1"/>
        <v>0</v>
      </c>
      <c r="E9" s="7">
        <f>'[3]Jan Prod'!E8</f>
        <v>0</v>
      </c>
      <c r="F9" s="8">
        <f t="shared" si="2"/>
        <v>0</v>
      </c>
      <c r="G9" s="10">
        <f t="shared" si="3"/>
        <v>0</v>
      </c>
      <c r="H9" s="7">
        <f>'[3]Jan Prod'!F8</f>
        <v>0</v>
      </c>
      <c r="I9" s="8">
        <f t="shared" si="4"/>
        <v>0</v>
      </c>
      <c r="J9" s="10">
        <f t="shared" si="5"/>
        <v>0</v>
      </c>
      <c r="K9" s="7">
        <f>'[3]Jan Prod'!H263</f>
        <v>188512</v>
      </c>
      <c r="L9" s="8">
        <f t="shared" si="6"/>
        <v>0.18851200000000001</v>
      </c>
      <c r="M9" s="10">
        <f t="shared" si="7"/>
        <v>0.57873184</v>
      </c>
      <c r="N9" s="21"/>
      <c r="O9" s="7">
        <f>'[3]Jan Prod'!H8</f>
        <v>12506000</v>
      </c>
      <c r="P9" s="8">
        <f t="shared" si="8"/>
        <v>12.506</v>
      </c>
      <c r="Q9" s="10">
        <f t="shared" si="9"/>
        <v>38.393419999999999</v>
      </c>
      <c r="R9" s="7">
        <f>'[3]Jan Prod'!C8</f>
        <v>12824000</v>
      </c>
      <c r="S9" s="8">
        <f t="shared" si="10"/>
        <v>12.824</v>
      </c>
      <c r="T9" s="10">
        <f t="shared" si="11"/>
        <v>39.369679999999995</v>
      </c>
      <c r="U9" s="7">
        <f>'[3]Jan Prod'!D8</f>
        <v>0</v>
      </c>
      <c r="V9" s="8">
        <f t="shared" si="12"/>
        <v>0</v>
      </c>
      <c r="W9" s="10">
        <f t="shared" si="13"/>
        <v>0</v>
      </c>
      <c r="X9" s="7">
        <f>'[3]Jan Prod'!D263</f>
        <v>317999.99999999959</v>
      </c>
      <c r="Y9" s="8">
        <f t="shared" si="14"/>
        <v>0.31799999999999962</v>
      </c>
      <c r="Z9" s="10">
        <f t="shared" si="15"/>
        <v>0.9762599999999988</v>
      </c>
      <c r="AA9" s="15"/>
      <c r="AB9" s="7">
        <f t="shared" si="16"/>
        <v>12506000</v>
      </c>
      <c r="AC9" s="8">
        <f t="shared" si="16"/>
        <v>12.506</v>
      </c>
      <c r="AD9" s="8">
        <f t="shared" si="16"/>
        <v>38.393419999999999</v>
      </c>
    </row>
    <row r="10" spans="1:30" x14ac:dyDescent="0.25">
      <c r="A10" s="27">
        <v>38358</v>
      </c>
      <c r="B10" s="7">
        <f>'[3]Jan Prod'!I9</f>
        <v>0</v>
      </c>
      <c r="C10" s="8">
        <f t="shared" si="0"/>
        <v>0</v>
      </c>
      <c r="D10" s="10">
        <f t="shared" si="1"/>
        <v>0</v>
      </c>
      <c r="E10" s="7">
        <f>'[3]Jan Prod'!E9</f>
        <v>0</v>
      </c>
      <c r="F10" s="8">
        <f t="shared" si="2"/>
        <v>0</v>
      </c>
      <c r="G10" s="10">
        <f t="shared" si="3"/>
        <v>0</v>
      </c>
      <c r="H10" s="7">
        <f>'[3]Jan Prod'!F9</f>
        <v>0</v>
      </c>
      <c r="I10" s="8">
        <f t="shared" si="4"/>
        <v>0</v>
      </c>
      <c r="J10" s="10">
        <f t="shared" si="5"/>
        <v>0</v>
      </c>
      <c r="K10" s="7">
        <f>'[3]Jan Prod'!H264</f>
        <v>0</v>
      </c>
      <c r="L10" s="8">
        <f t="shared" si="6"/>
        <v>0</v>
      </c>
      <c r="M10" s="10">
        <f t="shared" si="7"/>
        <v>0</v>
      </c>
      <c r="N10" s="21"/>
      <c r="O10" s="7">
        <f>'[3]Jan Prod'!H9</f>
        <v>12150000.000000002</v>
      </c>
      <c r="P10" s="8">
        <f t="shared" si="8"/>
        <v>12.150000000000002</v>
      </c>
      <c r="Q10" s="10">
        <f t="shared" si="9"/>
        <v>37.300500000000007</v>
      </c>
      <c r="R10" s="7">
        <f>'[3]Jan Prod'!C9</f>
        <v>12489000</v>
      </c>
      <c r="S10" s="8">
        <f t="shared" si="10"/>
        <v>12.489000000000001</v>
      </c>
      <c r="T10" s="10">
        <f t="shared" si="11"/>
        <v>38.341230000000003</v>
      </c>
      <c r="U10" s="7">
        <f>'[3]Jan Prod'!D9</f>
        <v>0</v>
      </c>
      <c r="V10" s="8">
        <f t="shared" si="12"/>
        <v>0</v>
      </c>
      <c r="W10" s="10">
        <f t="shared" si="13"/>
        <v>0</v>
      </c>
      <c r="X10" s="7">
        <f>'[3]Jan Prod'!D264</f>
        <v>338999.99999999866</v>
      </c>
      <c r="Y10" s="8">
        <f t="shared" si="14"/>
        <v>0.33899999999999864</v>
      </c>
      <c r="Z10" s="10">
        <f t="shared" si="15"/>
        <v>1.0407299999999957</v>
      </c>
      <c r="AA10" s="15"/>
      <c r="AB10" s="7">
        <f t="shared" si="16"/>
        <v>12150000.000000002</v>
      </c>
      <c r="AC10" s="8">
        <f t="shared" si="16"/>
        <v>12.150000000000002</v>
      </c>
      <c r="AD10" s="8">
        <f t="shared" si="16"/>
        <v>37.300500000000007</v>
      </c>
    </row>
    <row r="11" spans="1:30" x14ac:dyDescent="0.25">
      <c r="A11" s="27">
        <v>38359</v>
      </c>
      <c r="B11" s="7">
        <f>'[3]Jan Prod'!I10</f>
        <v>0</v>
      </c>
      <c r="C11" s="8">
        <f t="shared" si="0"/>
        <v>0</v>
      </c>
      <c r="D11" s="10">
        <f t="shared" si="1"/>
        <v>0</v>
      </c>
      <c r="E11" s="7">
        <f>'[3]Jan Prod'!E10</f>
        <v>0</v>
      </c>
      <c r="F11" s="8">
        <f t="shared" si="2"/>
        <v>0</v>
      </c>
      <c r="G11" s="10">
        <f t="shared" si="3"/>
        <v>0</v>
      </c>
      <c r="H11" s="7">
        <f>'[3]Jan Prod'!F10</f>
        <v>0</v>
      </c>
      <c r="I11" s="8">
        <f t="shared" si="4"/>
        <v>0</v>
      </c>
      <c r="J11" s="10">
        <f t="shared" si="5"/>
        <v>0</v>
      </c>
      <c r="K11" s="7">
        <f>'[3]Jan Prod'!H265</f>
        <v>0</v>
      </c>
      <c r="L11" s="8">
        <f t="shared" si="6"/>
        <v>0</v>
      </c>
      <c r="M11" s="10">
        <f t="shared" si="7"/>
        <v>0</v>
      </c>
      <c r="N11" s="21"/>
      <c r="O11" s="7">
        <f>'[3]Jan Prod'!H10</f>
        <v>10486000</v>
      </c>
      <c r="P11" s="8">
        <f t="shared" si="8"/>
        <v>10.486000000000001</v>
      </c>
      <c r="Q11" s="10">
        <f t="shared" si="9"/>
        <v>32.192019999999999</v>
      </c>
      <c r="R11" s="7">
        <f>'[3]Jan Prod'!C10</f>
        <v>10896000</v>
      </c>
      <c r="S11" s="8">
        <f t="shared" si="10"/>
        <v>10.896000000000001</v>
      </c>
      <c r="T11" s="10">
        <f t="shared" si="11"/>
        <v>33.450720000000004</v>
      </c>
      <c r="U11" s="7">
        <f>'[3]Jan Prod'!D10</f>
        <v>0</v>
      </c>
      <c r="V11" s="8">
        <f t="shared" si="12"/>
        <v>0</v>
      </c>
      <c r="W11" s="10">
        <f t="shared" si="13"/>
        <v>0</v>
      </c>
      <c r="X11" s="7">
        <f>'[3]Jan Prod'!D265</f>
        <v>410000.00000000012</v>
      </c>
      <c r="Y11" s="8">
        <f t="shared" si="14"/>
        <v>0.41000000000000014</v>
      </c>
      <c r="Z11" s="10">
        <f t="shared" si="15"/>
        <v>1.2587000000000004</v>
      </c>
      <c r="AA11" s="15"/>
      <c r="AB11" s="7">
        <f t="shared" si="16"/>
        <v>10486000</v>
      </c>
      <c r="AC11" s="8">
        <f t="shared" si="16"/>
        <v>10.486000000000001</v>
      </c>
      <c r="AD11" s="8">
        <f t="shared" si="16"/>
        <v>32.192019999999999</v>
      </c>
    </row>
    <row r="12" spans="1:30" x14ac:dyDescent="0.25">
      <c r="A12" s="27">
        <v>38360</v>
      </c>
      <c r="B12" s="7">
        <f>'[3]Jan Prod'!I11</f>
        <v>0</v>
      </c>
      <c r="C12" s="8">
        <f t="shared" si="0"/>
        <v>0</v>
      </c>
      <c r="D12" s="10">
        <f t="shared" si="1"/>
        <v>0</v>
      </c>
      <c r="E12" s="7">
        <f>'[3]Jan Prod'!E11</f>
        <v>0</v>
      </c>
      <c r="F12" s="8">
        <f t="shared" si="2"/>
        <v>0</v>
      </c>
      <c r="G12" s="10">
        <f t="shared" si="3"/>
        <v>0</v>
      </c>
      <c r="H12" s="7">
        <f>'[3]Jan Prod'!F11</f>
        <v>0</v>
      </c>
      <c r="I12" s="8">
        <f t="shared" si="4"/>
        <v>0</v>
      </c>
      <c r="J12" s="10">
        <f t="shared" si="5"/>
        <v>0</v>
      </c>
      <c r="K12" s="7">
        <f>'[3]Jan Prod'!H266</f>
        <v>0</v>
      </c>
      <c r="L12" s="8">
        <f t="shared" si="6"/>
        <v>0</v>
      </c>
      <c r="M12" s="10">
        <f t="shared" si="7"/>
        <v>0</v>
      </c>
      <c r="N12" s="21"/>
      <c r="O12" s="7">
        <f>'[3]Jan Prod'!H11</f>
        <v>11424999.999999998</v>
      </c>
      <c r="P12" s="8">
        <f t="shared" si="8"/>
        <v>11.424999999999999</v>
      </c>
      <c r="Q12" s="10">
        <f t="shared" si="9"/>
        <v>35.074749999999995</v>
      </c>
      <c r="R12" s="7">
        <f>'[3]Jan Prod'!C11</f>
        <v>11837000</v>
      </c>
      <c r="S12" s="8">
        <f t="shared" si="10"/>
        <v>11.837</v>
      </c>
      <c r="T12" s="10">
        <f t="shared" si="11"/>
        <v>36.339589999999994</v>
      </c>
      <c r="U12" s="7">
        <f>'[3]Jan Prod'!D11</f>
        <v>0</v>
      </c>
      <c r="V12" s="8">
        <f t="shared" si="12"/>
        <v>0</v>
      </c>
      <c r="W12" s="10">
        <f t="shared" si="13"/>
        <v>0</v>
      </c>
      <c r="X12" s="7">
        <f>'[3]Jan Prod'!D266</f>
        <v>412000.00000000256</v>
      </c>
      <c r="Y12" s="8">
        <f t="shared" si="14"/>
        <v>0.41200000000000259</v>
      </c>
      <c r="Z12" s="10">
        <f t="shared" si="15"/>
        <v>1.264840000000008</v>
      </c>
      <c r="AA12" s="15"/>
      <c r="AB12" s="7">
        <f t="shared" si="16"/>
        <v>11424999.999999998</v>
      </c>
      <c r="AC12" s="8">
        <f t="shared" si="16"/>
        <v>11.424999999999999</v>
      </c>
      <c r="AD12" s="8">
        <f t="shared" si="16"/>
        <v>35.074749999999995</v>
      </c>
    </row>
    <row r="13" spans="1:30" x14ac:dyDescent="0.25">
      <c r="A13" s="27">
        <v>38361</v>
      </c>
      <c r="B13" s="7">
        <f>'[3]Jan Prod'!I12</f>
        <v>0</v>
      </c>
      <c r="C13" s="8">
        <f t="shared" si="0"/>
        <v>0</v>
      </c>
      <c r="D13" s="10">
        <f t="shared" si="1"/>
        <v>0</v>
      </c>
      <c r="E13" s="7">
        <f>'[3]Jan Prod'!E12</f>
        <v>0</v>
      </c>
      <c r="F13" s="8">
        <f t="shared" si="2"/>
        <v>0</v>
      </c>
      <c r="G13" s="10">
        <f t="shared" si="3"/>
        <v>0</v>
      </c>
      <c r="H13" s="7">
        <f>'[3]Jan Prod'!F12</f>
        <v>10000</v>
      </c>
      <c r="I13" s="8">
        <f t="shared" si="4"/>
        <v>0.01</v>
      </c>
      <c r="J13" s="10">
        <f t="shared" si="5"/>
        <v>3.0699999999999998E-2</v>
      </c>
      <c r="K13" s="7">
        <f>'[3]Jan Prod'!H267</f>
        <v>0</v>
      </c>
      <c r="L13" s="8">
        <f t="shared" si="6"/>
        <v>0</v>
      </c>
      <c r="M13" s="10">
        <f t="shared" si="7"/>
        <v>0</v>
      </c>
      <c r="N13" s="21"/>
      <c r="O13" s="7">
        <f>'[3]Jan Prod'!H12</f>
        <v>11551000</v>
      </c>
      <c r="P13" s="8">
        <f t="shared" si="8"/>
        <v>11.551</v>
      </c>
      <c r="Q13" s="10">
        <f t="shared" si="9"/>
        <v>35.461570000000002</v>
      </c>
      <c r="R13" s="7">
        <f>'[3]Jan Prod'!C12</f>
        <v>11830000</v>
      </c>
      <c r="S13" s="8">
        <f t="shared" si="10"/>
        <v>11.83</v>
      </c>
      <c r="T13" s="10">
        <f t="shared" si="11"/>
        <v>36.318100000000001</v>
      </c>
      <c r="U13" s="7">
        <f>'[3]Jan Prod'!D12</f>
        <v>0</v>
      </c>
      <c r="V13" s="8">
        <f t="shared" si="12"/>
        <v>0</v>
      </c>
      <c r="W13" s="10">
        <f t="shared" si="13"/>
        <v>0</v>
      </c>
      <c r="X13" s="7">
        <f>'[3]Jan Prod'!D267</f>
        <v>278999.99999999994</v>
      </c>
      <c r="Y13" s="8">
        <f t="shared" si="14"/>
        <v>0.27899999999999991</v>
      </c>
      <c r="Z13" s="10">
        <f t="shared" si="15"/>
        <v>0.85652999999999968</v>
      </c>
      <c r="AA13" s="15"/>
      <c r="AB13" s="7">
        <f t="shared" si="16"/>
        <v>11551000</v>
      </c>
      <c r="AC13" s="8">
        <f t="shared" si="16"/>
        <v>11.551</v>
      </c>
      <c r="AD13" s="8">
        <f t="shared" si="16"/>
        <v>35.461570000000002</v>
      </c>
    </row>
    <row r="14" spans="1:30" x14ac:dyDescent="0.25">
      <c r="A14" s="27">
        <v>38362</v>
      </c>
      <c r="B14" s="7">
        <f>'[3]Jan Prod'!I13</f>
        <v>0</v>
      </c>
      <c r="C14" s="8">
        <f t="shared" si="0"/>
        <v>0</v>
      </c>
      <c r="D14" s="10">
        <f t="shared" si="1"/>
        <v>0</v>
      </c>
      <c r="E14" s="7">
        <f>'[3]Jan Prod'!E13</f>
        <v>0</v>
      </c>
      <c r="F14" s="8">
        <f t="shared" si="2"/>
        <v>0</v>
      </c>
      <c r="G14" s="10">
        <f t="shared" si="3"/>
        <v>0</v>
      </c>
      <c r="H14" s="7">
        <f>'[3]Jan Prod'!F13</f>
        <v>0</v>
      </c>
      <c r="I14" s="8">
        <f t="shared" si="4"/>
        <v>0</v>
      </c>
      <c r="J14" s="10">
        <f t="shared" si="5"/>
        <v>0</v>
      </c>
      <c r="K14" s="7">
        <f>'[3]Jan Prod'!H268</f>
        <v>0</v>
      </c>
      <c r="L14" s="8">
        <f t="shared" si="6"/>
        <v>0</v>
      </c>
      <c r="M14" s="10">
        <f t="shared" si="7"/>
        <v>0</v>
      </c>
      <c r="N14" s="21"/>
      <c r="O14" s="7">
        <f>'[3]Jan Prod'!H13</f>
        <v>11634000.000000004</v>
      </c>
      <c r="P14" s="8">
        <f t="shared" si="8"/>
        <v>11.634000000000004</v>
      </c>
      <c r="Q14" s="10">
        <f t="shared" si="9"/>
        <v>35.716380000000008</v>
      </c>
      <c r="R14" s="7">
        <f>'[3]Jan Prod'!C13</f>
        <v>12094000</v>
      </c>
      <c r="S14" s="8">
        <f t="shared" si="10"/>
        <v>12.093999999999999</v>
      </c>
      <c r="T14" s="10">
        <f t="shared" si="11"/>
        <v>37.128579999999999</v>
      </c>
      <c r="U14" s="7">
        <f>'[3]Jan Prod'!D13</f>
        <v>0</v>
      </c>
      <c r="V14" s="8">
        <f t="shared" si="12"/>
        <v>0</v>
      </c>
      <c r="W14" s="10">
        <f t="shared" si="13"/>
        <v>0</v>
      </c>
      <c r="X14" s="7">
        <f>'[3]Jan Prod'!D268</f>
        <v>459999.99999999732</v>
      </c>
      <c r="Y14" s="8">
        <f t="shared" si="14"/>
        <v>0.4599999999999973</v>
      </c>
      <c r="Z14" s="10">
        <f t="shared" si="15"/>
        <v>1.4121999999999917</v>
      </c>
      <c r="AA14" s="15"/>
      <c r="AB14" s="7">
        <f t="shared" si="16"/>
        <v>11634000.000000004</v>
      </c>
      <c r="AC14" s="8">
        <f t="shared" si="16"/>
        <v>11.634000000000004</v>
      </c>
      <c r="AD14" s="8">
        <f t="shared" si="16"/>
        <v>35.716380000000008</v>
      </c>
    </row>
    <row r="15" spans="1:30" x14ac:dyDescent="0.25">
      <c r="A15" s="27">
        <v>38363</v>
      </c>
      <c r="B15" s="7">
        <f>'[3]Jan Prod'!I14</f>
        <v>0</v>
      </c>
      <c r="C15" s="8">
        <f t="shared" si="0"/>
        <v>0</v>
      </c>
      <c r="D15" s="10">
        <f t="shared" si="1"/>
        <v>0</v>
      </c>
      <c r="E15" s="7">
        <f>'[3]Jan Prod'!E14</f>
        <v>0</v>
      </c>
      <c r="F15" s="8">
        <f t="shared" si="2"/>
        <v>0</v>
      </c>
      <c r="G15" s="10">
        <f t="shared" si="3"/>
        <v>0</v>
      </c>
      <c r="H15" s="7">
        <f>'[3]Jan Prod'!F14</f>
        <v>10000</v>
      </c>
      <c r="I15" s="8">
        <f t="shared" si="4"/>
        <v>0.01</v>
      </c>
      <c r="J15" s="10">
        <f t="shared" si="5"/>
        <v>3.0699999999999998E-2</v>
      </c>
      <c r="K15" s="7">
        <f>'[3]Jan Prod'!H269</f>
        <v>0</v>
      </c>
      <c r="L15" s="8">
        <f t="shared" si="6"/>
        <v>0</v>
      </c>
      <c r="M15" s="10">
        <f t="shared" si="7"/>
        <v>0</v>
      </c>
      <c r="N15" s="21"/>
      <c r="O15" s="7">
        <f>'[3]Jan Prod'!H14</f>
        <v>11635999.999999998</v>
      </c>
      <c r="P15" s="8">
        <f t="shared" si="8"/>
        <v>11.635999999999997</v>
      </c>
      <c r="Q15" s="10">
        <f t="shared" si="9"/>
        <v>35.722519999999989</v>
      </c>
      <c r="R15" s="7">
        <f>'[3]Jan Prod'!C14</f>
        <v>11922000</v>
      </c>
      <c r="S15" s="8">
        <f t="shared" si="10"/>
        <v>11.922000000000001</v>
      </c>
      <c r="T15" s="10">
        <f t="shared" si="11"/>
        <v>36.600540000000002</v>
      </c>
      <c r="U15" s="7">
        <f>'[3]Jan Prod'!D14</f>
        <v>0</v>
      </c>
      <c r="V15" s="8">
        <f t="shared" si="12"/>
        <v>0</v>
      </c>
      <c r="W15" s="10">
        <f t="shared" si="13"/>
        <v>0</v>
      </c>
      <c r="X15" s="7">
        <f>'[3]Jan Prod'!D269</f>
        <v>286000.00000000134</v>
      </c>
      <c r="Y15" s="8">
        <f t="shared" si="14"/>
        <v>0.28600000000000136</v>
      </c>
      <c r="Z15" s="10">
        <f t="shared" si="15"/>
        <v>0.87802000000000413</v>
      </c>
      <c r="AA15" s="15"/>
      <c r="AB15" s="7">
        <f t="shared" si="16"/>
        <v>11635999.999999998</v>
      </c>
      <c r="AC15" s="8">
        <f t="shared" si="16"/>
        <v>11.635999999999997</v>
      </c>
      <c r="AD15" s="8">
        <f t="shared" si="16"/>
        <v>35.722519999999989</v>
      </c>
    </row>
    <row r="16" spans="1:30" x14ac:dyDescent="0.25">
      <c r="A16" s="27">
        <v>38364</v>
      </c>
      <c r="B16" s="7">
        <f>'[3]Jan Prod'!I15</f>
        <v>0</v>
      </c>
      <c r="C16" s="8">
        <f t="shared" si="0"/>
        <v>0</v>
      </c>
      <c r="D16" s="10">
        <f t="shared" si="1"/>
        <v>0</v>
      </c>
      <c r="E16" s="7">
        <f>'[3]Jan Prod'!E15</f>
        <v>0</v>
      </c>
      <c r="F16" s="8">
        <f t="shared" si="2"/>
        <v>0</v>
      </c>
      <c r="G16" s="10">
        <f t="shared" si="3"/>
        <v>0</v>
      </c>
      <c r="H16" s="7">
        <f>'[3]Jan Prod'!F15</f>
        <v>0</v>
      </c>
      <c r="I16" s="8">
        <f t="shared" si="4"/>
        <v>0</v>
      </c>
      <c r="J16" s="10">
        <f t="shared" si="5"/>
        <v>0</v>
      </c>
      <c r="K16" s="7">
        <f>'[3]Jan Prod'!H270</f>
        <v>0</v>
      </c>
      <c r="L16" s="8">
        <f t="shared" si="6"/>
        <v>0</v>
      </c>
      <c r="M16" s="10">
        <f t="shared" si="7"/>
        <v>0</v>
      </c>
      <c r="N16" s="21"/>
      <c r="O16" s="7">
        <f>'[3]Jan Prod'!H15</f>
        <v>12796000.000000002</v>
      </c>
      <c r="P16" s="8">
        <f t="shared" si="8"/>
        <v>12.796000000000001</v>
      </c>
      <c r="Q16" s="10">
        <f t="shared" si="9"/>
        <v>39.283720000000002</v>
      </c>
      <c r="R16" s="7">
        <f>'[3]Jan Prod'!C15</f>
        <v>13155000</v>
      </c>
      <c r="S16" s="8">
        <f t="shared" si="10"/>
        <v>13.154999999999999</v>
      </c>
      <c r="T16" s="10">
        <f t="shared" si="11"/>
        <v>40.385849999999998</v>
      </c>
      <c r="U16" s="7">
        <f>'[3]Jan Prod'!D15</f>
        <v>0</v>
      </c>
      <c r="V16" s="8">
        <f t="shared" si="12"/>
        <v>0</v>
      </c>
      <c r="W16" s="10">
        <f t="shared" si="13"/>
        <v>0</v>
      </c>
      <c r="X16" s="7">
        <f>'[3]Jan Prod'!D270</f>
        <v>358999.9999999982</v>
      </c>
      <c r="Y16" s="8">
        <f t="shared" si="14"/>
        <v>0.35899999999999821</v>
      </c>
      <c r="Z16" s="10">
        <f t="shared" si="15"/>
        <v>1.1021299999999945</v>
      </c>
      <c r="AA16" s="15"/>
      <c r="AB16" s="7">
        <f t="shared" si="16"/>
        <v>12796000.000000002</v>
      </c>
      <c r="AC16" s="8">
        <f t="shared" si="16"/>
        <v>12.796000000000001</v>
      </c>
      <c r="AD16" s="8">
        <f t="shared" si="16"/>
        <v>39.283720000000002</v>
      </c>
    </row>
    <row r="17" spans="1:30" x14ac:dyDescent="0.25">
      <c r="A17" s="27">
        <v>38365</v>
      </c>
      <c r="B17" s="7">
        <f>'[3]Jan Prod'!I16</f>
        <v>0</v>
      </c>
      <c r="C17" s="8">
        <f t="shared" si="0"/>
        <v>0</v>
      </c>
      <c r="D17" s="10">
        <f t="shared" si="1"/>
        <v>0</v>
      </c>
      <c r="E17" s="7">
        <f>'[3]Jan Prod'!E16</f>
        <v>0</v>
      </c>
      <c r="F17" s="8">
        <f t="shared" si="2"/>
        <v>0</v>
      </c>
      <c r="G17" s="10">
        <f t="shared" si="3"/>
        <v>0</v>
      </c>
      <c r="H17" s="7">
        <f>'[3]Jan Prod'!F16</f>
        <v>20000</v>
      </c>
      <c r="I17" s="8">
        <f t="shared" si="4"/>
        <v>0.02</v>
      </c>
      <c r="J17" s="10">
        <f t="shared" si="5"/>
        <v>6.1399999999999996E-2</v>
      </c>
      <c r="K17" s="7">
        <f>'[3]Jan Prod'!H271</f>
        <v>0</v>
      </c>
      <c r="L17" s="8">
        <f t="shared" si="6"/>
        <v>0</v>
      </c>
      <c r="M17" s="10">
        <f t="shared" si="7"/>
        <v>0</v>
      </c>
      <c r="N17" s="21"/>
      <c r="O17" s="7">
        <f>'[3]Jan Prod'!H16</f>
        <v>12537000</v>
      </c>
      <c r="P17" s="8">
        <f t="shared" si="8"/>
        <v>12.537000000000001</v>
      </c>
      <c r="Q17" s="10">
        <f t="shared" si="9"/>
        <v>38.488590000000002</v>
      </c>
      <c r="R17" s="7">
        <f>'[3]Jan Prod'!C16</f>
        <v>13087000</v>
      </c>
      <c r="S17" s="8">
        <f t="shared" si="10"/>
        <v>13.087</v>
      </c>
      <c r="T17" s="10">
        <f t="shared" si="11"/>
        <v>40.17709</v>
      </c>
      <c r="U17" s="7">
        <f>'[3]Jan Prod'!D16</f>
        <v>0</v>
      </c>
      <c r="V17" s="8">
        <f t="shared" si="12"/>
        <v>0</v>
      </c>
      <c r="W17" s="10">
        <f t="shared" si="13"/>
        <v>0</v>
      </c>
      <c r="X17" s="7">
        <f>'[3]Jan Prod'!D271</f>
        <v>550000.0000000007</v>
      </c>
      <c r="Y17" s="8">
        <f t="shared" si="14"/>
        <v>0.55000000000000071</v>
      </c>
      <c r="Z17" s="10">
        <f t="shared" si="15"/>
        <v>1.6885000000000021</v>
      </c>
      <c r="AA17" s="15"/>
      <c r="AB17" s="7">
        <f t="shared" si="16"/>
        <v>12537000</v>
      </c>
      <c r="AC17" s="8">
        <f t="shared" si="16"/>
        <v>12.537000000000001</v>
      </c>
      <c r="AD17" s="8">
        <f t="shared" si="16"/>
        <v>38.488590000000002</v>
      </c>
    </row>
    <row r="18" spans="1:30" x14ac:dyDescent="0.25">
      <c r="A18" s="27">
        <v>38366</v>
      </c>
      <c r="B18" s="7">
        <f>'[3]Jan Prod'!I17</f>
        <v>0</v>
      </c>
      <c r="C18" s="8">
        <f t="shared" si="0"/>
        <v>0</v>
      </c>
      <c r="D18" s="10">
        <f t="shared" si="1"/>
        <v>0</v>
      </c>
      <c r="E18" s="7">
        <f>'[3]Jan Prod'!E17</f>
        <v>0</v>
      </c>
      <c r="F18" s="8">
        <f t="shared" si="2"/>
        <v>0</v>
      </c>
      <c r="G18" s="10">
        <f t="shared" si="3"/>
        <v>0</v>
      </c>
      <c r="H18" s="7">
        <f>'[3]Jan Prod'!F17</f>
        <v>10000</v>
      </c>
      <c r="I18" s="8">
        <f t="shared" si="4"/>
        <v>0.01</v>
      </c>
      <c r="J18" s="10">
        <f t="shared" si="5"/>
        <v>3.0699999999999998E-2</v>
      </c>
      <c r="K18" s="7">
        <f>'[3]Jan Prod'!H272</f>
        <v>0</v>
      </c>
      <c r="L18" s="8">
        <f t="shared" si="6"/>
        <v>0</v>
      </c>
      <c r="M18" s="10">
        <f t="shared" si="7"/>
        <v>0</v>
      </c>
      <c r="N18" s="21"/>
      <c r="O18" s="7">
        <f>'[3]Jan Prod'!H17</f>
        <v>11318999.999999998</v>
      </c>
      <c r="P18" s="8">
        <f t="shared" si="8"/>
        <v>11.318999999999997</v>
      </c>
      <c r="Q18" s="10">
        <f t="shared" si="9"/>
        <v>34.749329999999993</v>
      </c>
      <c r="R18" s="7">
        <f>'[3]Jan Prod'!C17</f>
        <v>11699000</v>
      </c>
      <c r="S18" s="8">
        <f t="shared" si="10"/>
        <v>11.699</v>
      </c>
      <c r="T18" s="10">
        <f t="shared" si="11"/>
        <v>35.915929999999996</v>
      </c>
      <c r="U18" s="7">
        <f>'[3]Jan Prod'!D17</f>
        <v>0</v>
      </c>
      <c r="V18" s="8">
        <f t="shared" si="12"/>
        <v>0</v>
      </c>
      <c r="W18" s="10">
        <f t="shared" si="13"/>
        <v>0</v>
      </c>
      <c r="X18" s="7">
        <f>'[3]Jan Prod'!D272</f>
        <v>380000.00000000256</v>
      </c>
      <c r="Y18" s="8">
        <f t="shared" si="14"/>
        <v>0.38000000000000256</v>
      </c>
      <c r="Z18" s="10">
        <f t="shared" si="15"/>
        <v>1.1666000000000079</v>
      </c>
      <c r="AA18" s="15"/>
      <c r="AB18" s="7">
        <f t="shared" si="16"/>
        <v>11318999.999999998</v>
      </c>
      <c r="AC18" s="8">
        <f t="shared" si="16"/>
        <v>11.318999999999997</v>
      </c>
      <c r="AD18" s="8">
        <f t="shared" si="16"/>
        <v>34.749329999999993</v>
      </c>
    </row>
    <row r="19" spans="1:30" x14ac:dyDescent="0.25">
      <c r="A19" s="27">
        <v>38367</v>
      </c>
      <c r="B19" s="7">
        <f>'[3]Jan Prod'!I18</f>
        <v>0</v>
      </c>
      <c r="C19" s="8">
        <f t="shared" si="0"/>
        <v>0</v>
      </c>
      <c r="D19" s="10">
        <f t="shared" si="1"/>
        <v>0</v>
      </c>
      <c r="E19" s="7">
        <f>'[3]Jan Prod'!E18</f>
        <v>0</v>
      </c>
      <c r="F19" s="8">
        <f t="shared" si="2"/>
        <v>0</v>
      </c>
      <c r="G19" s="10">
        <f t="shared" si="3"/>
        <v>0</v>
      </c>
      <c r="H19" s="7">
        <f>'[3]Jan Prod'!F18</f>
        <v>20000</v>
      </c>
      <c r="I19" s="8">
        <f t="shared" si="4"/>
        <v>0.02</v>
      </c>
      <c r="J19" s="10">
        <f t="shared" si="5"/>
        <v>6.1399999999999996E-2</v>
      </c>
      <c r="K19" s="7">
        <f>'[3]Jan Prod'!H273</f>
        <v>0</v>
      </c>
      <c r="L19" s="8">
        <f t="shared" si="6"/>
        <v>0</v>
      </c>
      <c r="M19" s="10">
        <f t="shared" si="7"/>
        <v>0</v>
      </c>
      <c r="N19" s="21"/>
      <c r="O19" s="7">
        <f>'[3]Jan Prod'!H18</f>
        <v>9908000.0000000019</v>
      </c>
      <c r="P19" s="8">
        <f t="shared" si="8"/>
        <v>9.9080000000000013</v>
      </c>
      <c r="Q19" s="10">
        <f t="shared" si="9"/>
        <v>30.417560000000002</v>
      </c>
      <c r="R19" s="7">
        <f>'[3]Jan Prod'!C18</f>
        <v>10197000</v>
      </c>
      <c r="S19" s="8">
        <f t="shared" si="10"/>
        <v>10.196999999999999</v>
      </c>
      <c r="T19" s="10">
        <f t="shared" si="11"/>
        <v>31.304789999999997</v>
      </c>
      <c r="U19" s="7">
        <f>'[3]Jan Prod'!D18</f>
        <v>0</v>
      </c>
      <c r="V19" s="8">
        <f t="shared" si="12"/>
        <v>0</v>
      </c>
      <c r="W19" s="10">
        <f t="shared" si="13"/>
        <v>0</v>
      </c>
      <c r="X19" s="7">
        <f>'[3]Jan Prod'!D273</f>
        <v>288999.9999999979</v>
      </c>
      <c r="Y19" s="8">
        <f t="shared" si="14"/>
        <v>0.28899999999999793</v>
      </c>
      <c r="Z19" s="10">
        <f t="shared" si="15"/>
        <v>0.88722999999999363</v>
      </c>
      <c r="AA19" s="15"/>
      <c r="AB19" s="7">
        <f t="shared" si="16"/>
        <v>9908000.0000000019</v>
      </c>
      <c r="AC19" s="8">
        <f t="shared" si="16"/>
        <v>9.9080000000000013</v>
      </c>
      <c r="AD19" s="8">
        <f>D19+Q19</f>
        <v>30.417560000000002</v>
      </c>
    </row>
    <row r="20" spans="1:30" x14ac:dyDescent="0.25">
      <c r="A20" s="27">
        <v>38368</v>
      </c>
      <c r="B20" s="7">
        <f>'[3]Jan Prod'!I19</f>
        <v>0</v>
      </c>
      <c r="C20" s="8">
        <f t="shared" si="0"/>
        <v>0</v>
      </c>
      <c r="D20" s="10">
        <f t="shared" si="1"/>
        <v>0</v>
      </c>
      <c r="E20" s="7">
        <f>'[3]Jan Prod'!E19</f>
        <v>0</v>
      </c>
      <c r="F20" s="8">
        <f t="shared" si="2"/>
        <v>0</v>
      </c>
      <c r="G20" s="10">
        <f t="shared" si="3"/>
        <v>0</v>
      </c>
      <c r="H20" s="7">
        <f>'[3]Jan Prod'!F19</f>
        <v>20000</v>
      </c>
      <c r="I20" s="8">
        <f t="shared" si="4"/>
        <v>0.02</v>
      </c>
      <c r="J20" s="10">
        <f t="shared" si="5"/>
        <v>6.1399999999999996E-2</v>
      </c>
      <c r="K20" s="7">
        <f>'[3]Jan Prod'!H274</f>
        <v>0</v>
      </c>
      <c r="L20" s="8">
        <f t="shared" si="6"/>
        <v>0</v>
      </c>
      <c r="M20" s="10">
        <f t="shared" si="7"/>
        <v>0</v>
      </c>
      <c r="N20" s="21"/>
      <c r="O20" s="7">
        <f>'[3]Jan Prod'!H19</f>
        <v>11695999.999999998</v>
      </c>
      <c r="P20" s="8">
        <f t="shared" si="8"/>
        <v>11.695999999999998</v>
      </c>
      <c r="Q20" s="10">
        <f t="shared" si="9"/>
        <v>35.906719999999993</v>
      </c>
      <c r="R20" s="7">
        <f>'[3]Jan Prod'!C19</f>
        <v>12104000</v>
      </c>
      <c r="S20" s="8">
        <f t="shared" si="10"/>
        <v>12.103999999999999</v>
      </c>
      <c r="T20" s="10">
        <f t="shared" si="11"/>
        <v>37.159279999999995</v>
      </c>
      <c r="U20" s="7">
        <f>'[3]Jan Prod'!D19</f>
        <v>0</v>
      </c>
      <c r="V20" s="8">
        <f t="shared" si="12"/>
        <v>0</v>
      </c>
      <c r="W20" s="10">
        <f t="shared" si="13"/>
        <v>0</v>
      </c>
      <c r="X20" s="7">
        <f>'[3]Jan Prod'!D274</f>
        <v>408000.00000000122</v>
      </c>
      <c r="Y20" s="8">
        <f t="shared" si="14"/>
        <v>0.4080000000000012</v>
      </c>
      <c r="Z20" s="10">
        <f t="shared" si="15"/>
        <v>1.2525600000000037</v>
      </c>
      <c r="AA20" s="15"/>
      <c r="AB20" s="7">
        <f t="shared" si="16"/>
        <v>11695999.999999998</v>
      </c>
      <c r="AC20" s="8">
        <f t="shared" si="16"/>
        <v>11.695999999999998</v>
      </c>
      <c r="AD20" s="8">
        <f t="shared" si="16"/>
        <v>35.906719999999993</v>
      </c>
    </row>
    <row r="21" spans="1:30" x14ac:dyDescent="0.25">
      <c r="A21" s="27">
        <v>38369</v>
      </c>
      <c r="B21" s="7">
        <f>'[3]Jan Prod'!I20</f>
        <v>0</v>
      </c>
      <c r="C21" s="8">
        <f t="shared" si="0"/>
        <v>0</v>
      </c>
      <c r="D21" s="10">
        <f t="shared" si="1"/>
        <v>0</v>
      </c>
      <c r="E21" s="7">
        <f>'[3]Jan Prod'!E20</f>
        <v>0</v>
      </c>
      <c r="F21" s="8">
        <f t="shared" si="2"/>
        <v>0</v>
      </c>
      <c r="G21" s="10">
        <f t="shared" si="3"/>
        <v>0</v>
      </c>
      <c r="H21" s="7">
        <f>'[3]Jan Prod'!F20</f>
        <v>30000</v>
      </c>
      <c r="I21" s="8">
        <f t="shared" si="4"/>
        <v>0.03</v>
      </c>
      <c r="J21" s="10">
        <f t="shared" si="5"/>
        <v>9.2099999999999987E-2</v>
      </c>
      <c r="K21" s="7">
        <f>'[3]Jan Prod'!H275</f>
        <v>0</v>
      </c>
      <c r="L21" s="8">
        <f t="shared" si="6"/>
        <v>0</v>
      </c>
      <c r="M21" s="10">
        <f t="shared" si="7"/>
        <v>0</v>
      </c>
      <c r="N21" s="21"/>
      <c r="O21" s="7">
        <f>'[3]Jan Prod'!H20</f>
        <v>11580000.000000002</v>
      </c>
      <c r="P21" s="8">
        <f t="shared" si="8"/>
        <v>11.580000000000002</v>
      </c>
      <c r="Q21" s="10">
        <f t="shared" si="9"/>
        <v>35.550600000000003</v>
      </c>
      <c r="R21" s="7">
        <f>'[3]Jan Prod'!C20</f>
        <v>11988000</v>
      </c>
      <c r="S21" s="8">
        <f t="shared" si="10"/>
        <v>11.988</v>
      </c>
      <c r="T21" s="10">
        <f t="shared" si="11"/>
        <v>36.803159999999998</v>
      </c>
      <c r="U21" s="7">
        <f>'[3]Jan Prod'!D20</f>
        <v>0</v>
      </c>
      <c r="V21" s="8">
        <f t="shared" si="12"/>
        <v>0</v>
      </c>
      <c r="W21" s="10">
        <f t="shared" si="13"/>
        <v>0</v>
      </c>
      <c r="X21" s="7">
        <f>'[3]Jan Prod'!D275</f>
        <v>407999.99999999767</v>
      </c>
      <c r="Y21" s="8">
        <f t="shared" si="14"/>
        <v>0.4079999999999977</v>
      </c>
      <c r="Z21" s="10">
        <f t="shared" si="15"/>
        <v>1.2525599999999928</v>
      </c>
      <c r="AA21" s="15"/>
      <c r="AB21" s="7">
        <f t="shared" si="16"/>
        <v>11580000.000000002</v>
      </c>
      <c r="AC21" s="8">
        <f t="shared" si="16"/>
        <v>11.580000000000002</v>
      </c>
      <c r="AD21" s="8">
        <f t="shared" si="16"/>
        <v>35.550600000000003</v>
      </c>
    </row>
    <row r="22" spans="1:30" x14ac:dyDescent="0.25">
      <c r="A22" s="27">
        <v>38370</v>
      </c>
      <c r="B22" s="7">
        <f>'[3]Jan Prod'!I21</f>
        <v>0</v>
      </c>
      <c r="C22" s="8">
        <f t="shared" si="0"/>
        <v>0</v>
      </c>
      <c r="D22" s="10">
        <f t="shared" si="1"/>
        <v>0</v>
      </c>
      <c r="E22" s="7">
        <f>'[3]Jan Prod'!E21</f>
        <v>0</v>
      </c>
      <c r="F22" s="8">
        <f t="shared" si="2"/>
        <v>0</v>
      </c>
      <c r="G22" s="10">
        <f t="shared" si="3"/>
        <v>0</v>
      </c>
      <c r="H22" s="7">
        <f>'[3]Jan Prod'!F21</f>
        <v>30000</v>
      </c>
      <c r="I22" s="8">
        <f t="shared" si="4"/>
        <v>0.03</v>
      </c>
      <c r="J22" s="10">
        <f t="shared" si="5"/>
        <v>9.2099999999999987E-2</v>
      </c>
      <c r="K22" s="7">
        <f>'[3]Jan Prod'!H276</f>
        <v>0</v>
      </c>
      <c r="L22" s="8">
        <f t="shared" si="6"/>
        <v>0</v>
      </c>
      <c r="M22" s="10">
        <f t="shared" si="7"/>
        <v>0</v>
      </c>
      <c r="N22" s="21"/>
      <c r="O22" s="7">
        <f>'[3]Jan Prod'!H21</f>
        <v>12702999.999999996</v>
      </c>
      <c r="P22" s="8">
        <f t="shared" si="8"/>
        <v>12.702999999999996</v>
      </c>
      <c r="Q22" s="10">
        <f t="shared" si="9"/>
        <v>38.998209999999986</v>
      </c>
      <c r="R22" s="7">
        <f>'[3]Jan Prod'!C21</f>
        <v>13127000</v>
      </c>
      <c r="S22" s="8">
        <f t="shared" si="10"/>
        <v>13.127000000000001</v>
      </c>
      <c r="T22" s="10">
        <f t="shared" si="11"/>
        <v>40.299889999999998</v>
      </c>
      <c r="U22" s="7">
        <f>'[3]Jan Prod'!D21</f>
        <v>0</v>
      </c>
      <c r="V22" s="8">
        <f t="shared" si="12"/>
        <v>0</v>
      </c>
      <c r="W22" s="10">
        <f t="shared" si="13"/>
        <v>0</v>
      </c>
      <c r="X22" s="7">
        <f>'[3]Jan Prod'!D276</f>
        <v>424000.00000000303</v>
      </c>
      <c r="Y22" s="8">
        <f t="shared" si="14"/>
        <v>0.42400000000000304</v>
      </c>
      <c r="Z22" s="10">
        <f t="shared" si="15"/>
        <v>1.3016800000000093</v>
      </c>
      <c r="AA22" s="15"/>
      <c r="AB22" s="7">
        <f t="shared" si="16"/>
        <v>12702999.999999996</v>
      </c>
      <c r="AC22" s="8">
        <f t="shared" si="16"/>
        <v>12.702999999999996</v>
      </c>
      <c r="AD22" s="8">
        <f t="shared" si="16"/>
        <v>38.998209999999986</v>
      </c>
    </row>
    <row r="23" spans="1:30" x14ac:dyDescent="0.25">
      <c r="A23" s="27">
        <v>38371</v>
      </c>
      <c r="B23" s="7">
        <f>'[3]Jan Prod'!I22</f>
        <v>0</v>
      </c>
      <c r="C23" s="8">
        <f t="shared" si="0"/>
        <v>0</v>
      </c>
      <c r="D23" s="10">
        <f t="shared" si="1"/>
        <v>0</v>
      </c>
      <c r="E23" s="7">
        <f>'[3]Jan Prod'!E22</f>
        <v>0</v>
      </c>
      <c r="F23" s="8">
        <f t="shared" si="2"/>
        <v>0</v>
      </c>
      <c r="G23" s="10">
        <f t="shared" si="3"/>
        <v>0</v>
      </c>
      <c r="H23" s="7">
        <f>'[3]Jan Prod'!F22</f>
        <v>30000</v>
      </c>
      <c r="I23" s="8">
        <f t="shared" si="4"/>
        <v>0.03</v>
      </c>
      <c r="J23" s="10">
        <f t="shared" si="5"/>
        <v>9.2099999999999987E-2</v>
      </c>
      <c r="K23" s="7">
        <f>'[3]Jan Prod'!H277</f>
        <v>0</v>
      </c>
      <c r="L23" s="8">
        <f t="shared" si="6"/>
        <v>0</v>
      </c>
      <c r="M23" s="10">
        <f t="shared" si="7"/>
        <v>0</v>
      </c>
      <c r="N23" s="21"/>
      <c r="O23" s="7">
        <f>'[3]Jan Prod'!H22</f>
        <v>12645000</v>
      </c>
      <c r="P23" s="8">
        <f t="shared" si="8"/>
        <v>12.645</v>
      </c>
      <c r="Q23" s="10">
        <f t="shared" si="9"/>
        <v>38.820149999999998</v>
      </c>
      <c r="R23" s="7">
        <f>'[3]Jan Prod'!C22</f>
        <v>12982000</v>
      </c>
      <c r="S23" s="8">
        <f t="shared" si="10"/>
        <v>12.981999999999999</v>
      </c>
      <c r="T23" s="10">
        <f t="shared" si="11"/>
        <v>39.854739999999993</v>
      </c>
      <c r="U23" s="7">
        <f>'[3]Jan Prod'!D22</f>
        <v>0</v>
      </c>
      <c r="V23" s="8">
        <f t="shared" si="12"/>
        <v>0</v>
      </c>
      <c r="W23" s="10">
        <f t="shared" si="13"/>
        <v>0</v>
      </c>
      <c r="X23" s="7">
        <f>'[3]Jan Prod'!D277</f>
        <v>336999.99999999977</v>
      </c>
      <c r="Y23" s="8">
        <f t="shared" si="14"/>
        <v>0.33699999999999974</v>
      </c>
      <c r="Z23" s="10">
        <f t="shared" si="15"/>
        <v>1.0345899999999992</v>
      </c>
      <c r="AA23" s="15"/>
      <c r="AB23" s="7">
        <f t="shared" si="16"/>
        <v>12645000</v>
      </c>
      <c r="AC23" s="8">
        <f t="shared" si="16"/>
        <v>12.645</v>
      </c>
      <c r="AD23" s="8">
        <f t="shared" si="16"/>
        <v>38.820149999999998</v>
      </c>
    </row>
    <row r="24" spans="1:30" x14ac:dyDescent="0.25">
      <c r="A24" s="27">
        <v>38372</v>
      </c>
      <c r="B24" s="7">
        <f>'[3]Jan Prod'!I23</f>
        <v>0</v>
      </c>
      <c r="C24" s="8">
        <f t="shared" si="0"/>
        <v>0</v>
      </c>
      <c r="D24" s="10">
        <f t="shared" si="1"/>
        <v>0</v>
      </c>
      <c r="E24" s="7">
        <f>'[3]Jan Prod'!E23</f>
        <v>0</v>
      </c>
      <c r="F24" s="8">
        <f t="shared" si="2"/>
        <v>0</v>
      </c>
      <c r="G24" s="10">
        <f t="shared" si="3"/>
        <v>0</v>
      </c>
      <c r="H24" s="7">
        <f>'[3]Jan Prod'!F23</f>
        <v>30000</v>
      </c>
      <c r="I24" s="8">
        <f t="shared" si="4"/>
        <v>0.03</v>
      </c>
      <c r="J24" s="10">
        <f t="shared" si="5"/>
        <v>9.2099999999999987E-2</v>
      </c>
      <c r="K24" s="7">
        <f>'[3]Jan Prod'!H278</f>
        <v>0</v>
      </c>
      <c r="L24" s="8">
        <f t="shared" si="6"/>
        <v>0</v>
      </c>
      <c r="M24" s="10">
        <f t="shared" si="7"/>
        <v>0</v>
      </c>
      <c r="N24" s="21"/>
      <c r="O24" s="7">
        <f>'[3]Jan Prod'!H23</f>
        <v>12356000.000000002</v>
      </c>
      <c r="P24" s="8">
        <f t="shared" si="8"/>
        <v>12.356000000000002</v>
      </c>
      <c r="Q24" s="10">
        <f t="shared" si="9"/>
        <v>37.932920000000003</v>
      </c>
      <c r="R24" s="7">
        <f>'[3]Jan Prod'!C23</f>
        <v>12901000</v>
      </c>
      <c r="S24" s="8">
        <f t="shared" si="10"/>
        <v>12.901</v>
      </c>
      <c r="T24" s="10">
        <f t="shared" si="11"/>
        <v>39.606069999999995</v>
      </c>
      <c r="U24" s="7">
        <f>'[3]Jan Prod'!D23</f>
        <v>0</v>
      </c>
      <c r="V24" s="8">
        <f t="shared" si="12"/>
        <v>0</v>
      </c>
      <c r="W24" s="10">
        <f t="shared" si="13"/>
        <v>0</v>
      </c>
      <c r="X24" s="7">
        <f>'[3]Jan Prod'!D278</f>
        <v>544999.99999999814</v>
      </c>
      <c r="Y24" s="8">
        <f t="shared" si="14"/>
        <v>0.54499999999999815</v>
      </c>
      <c r="Z24" s="10">
        <f t="shared" si="15"/>
        <v>1.6731499999999941</v>
      </c>
      <c r="AA24" s="15"/>
      <c r="AB24" s="7">
        <f t="shared" si="16"/>
        <v>12356000.000000002</v>
      </c>
      <c r="AC24" s="8">
        <f t="shared" si="16"/>
        <v>12.356000000000002</v>
      </c>
      <c r="AD24" s="8">
        <f>D24+Q24</f>
        <v>37.932920000000003</v>
      </c>
    </row>
    <row r="25" spans="1:30" x14ac:dyDescent="0.25">
      <c r="A25" s="27">
        <v>38373</v>
      </c>
      <c r="B25" s="7">
        <f>'[3]Jan Prod'!I24</f>
        <v>0</v>
      </c>
      <c r="C25" s="8">
        <f t="shared" si="0"/>
        <v>0</v>
      </c>
      <c r="D25" s="10">
        <f t="shared" si="1"/>
        <v>0</v>
      </c>
      <c r="E25" s="7">
        <f>'[3]Jan Prod'!E24</f>
        <v>0</v>
      </c>
      <c r="F25" s="8">
        <f t="shared" si="2"/>
        <v>0</v>
      </c>
      <c r="G25" s="10">
        <f t="shared" si="3"/>
        <v>0</v>
      </c>
      <c r="H25" s="7">
        <f>'[3]Jan Prod'!F24</f>
        <v>30000</v>
      </c>
      <c r="I25" s="8">
        <f t="shared" si="4"/>
        <v>0.03</v>
      </c>
      <c r="J25" s="10">
        <f t="shared" si="5"/>
        <v>9.2099999999999987E-2</v>
      </c>
      <c r="K25" s="7">
        <f>'[3]Jan Prod'!H279</f>
        <v>0</v>
      </c>
      <c r="L25" s="8">
        <f t="shared" si="6"/>
        <v>0</v>
      </c>
      <c r="M25" s="10">
        <f t="shared" si="7"/>
        <v>0</v>
      </c>
      <c r="N25" s="21"/>
      <c r="O25" s="7">
        <f>'[3]Jan Prod'!H24</f>
        <v>11755999.999999998</v>
      </c>
      <c r="P25" s="8">
        <f t="shared" si="8"/>
        <v>11.755999999999998</v>
      </c>
      <c r="Q25" s="10">
        <f t="shared" si="9"/>
        <v>36.09091999999999</v>
      </c>
      <c r="R25" s="7">
        <f>'[3]Jan Prod'!C24</f>
        <v>12220000</v>
      </c>
      <c r="S25" s="8">
        <f t="shared" si="10"/>
        <v>12.22</v>
      </c>
      <c r="T25" s="10">
        <f t="shared" si="11"/>
        <v>37.5154</v>
      </c>
      <c r="U25" s="7">
        <f>'[3]Jan Prod'!D24</f>
        <v>0</v>
      </c>
      <c r="V25" s="8">
        <f t="shared" si="12"/>
        <v>0</v>
      </c>
      <c r="W25" s="10">
        <f t="shared" si="13"/>
        <v>0</v>
      </c>
      <c r="X25" s="7">
        <f>'[3]Jan Prod'!D279</f>
        <v>464000.00000000221</v>
      </c>
      <c r="Y25" s="8">
        <f t="shared" si="14"/>
        <v>0.46400000000000219</v>
      </c>
      <c r="Z25" s="10">
        <f t="shared" si="15"/>
        <v>1.4244800000000066</v>
      </c>
      <c r="AA25" s="15"/>
      <c r="AB25" s="7">
        <f t="shared" si="16"/>
        <v>11755999.999999998</v>
      </c>
      <c r="AC25" s="8">
        <f t="shared" si="16"/>
        <v>11.755999999999998</v>
      </c>
      <c r="AD25" s="8">
        <f t="shared" si="16"/>
        <v>36.09091999999999</v>
      </c>
    </row>
    <row r="26" spans="1:30" x14ac:dyDescent="0.25">
      <c r="A26" s="27">
        <v>38374</v>
      </c>
      <c r="B26" s="7">
        <f>'[3]Jan Prod'!I25</f>
        <v>0</v>
      </c>
      <c r="C26" s="8">
        <f t="shared" si="0"/>
        <v>0</v>
      </c>
      <c r="D26" s="10">
        <f t="shared" si="1"/>
        <v>0</v>
      </c>
      <c r="E26" s="7">
        <f>'[3]Jan Prod'!E25</f>
        <v>0</v>
      </c>
      <c r="F26" s="8">
        <f t="shared" si="2"/>
        <v>0</v>
      </c>
      <c r="G26" s="10">
        <f t="shared" si="3"/>
        <v>0</v>
      </c>
      <c r="H26" s="7">
        <f>'[3]Jan Prod'!F25</f>
        <v>30000</v>
      </c>
      <c r="I26" s="8">
        <f t="shared" si="4"/>
        <v>0.03</v>
      </c>
      <c r="J26" s="10">
        <f t="shared" si="5"/>
        <v>9.2099999999999987E-2</v>
      </c>
      <c r="K26" s="7">
        <f>'[3]Jan Prod'!H280</f>
        <v>0</v>
      </c>
      <c r="L26" s="8">
        <f t="shared" si="6"/>
        <v>0</v>
      </c>
      <c r="M26" s="10">
        <f t="shared" si="7"/>
        <v>0</v>
      </c>
      <c r="N26" s="21"/>
      <c r="O26" s="7">
        <f>'[3]Jan Prod'!H25</f>
        <v>11793000.000000002</v>
      </c>
      <c r="P26" s="8">
        <f t="shared" si="8"/>
        <v>11.793000000000001</v>
      </c>
      <c r="Q26" s="10">
        <f t="shared" si="9"/>
        <v>36.204509999999999</v>
      </c>
      <c r="R26" s="7">
        <f>'[3]Jan Prod'!C25</f>
        <v>12076000</v>
      </c>
      <c r="S26" s="8">
        <f t="shared" si="10"/>
        <v>12.076000000000001</v>
      </c>
      <c r="T26" s="10">
        <f t="shared" si="11"/>
        <v>37.073320000000002</v>
      </c>
      <c r="U26" s="7">
        <f>'[3]Jan Prod'!D25</f>
        <v>0</v>
      </c>
      <c r="V26" s="8">
        <f t="shared" si="12"/>
        <v>0</v>
      </c>
      <c r="W26" s="10">
        <f t="shared" si="13"/>
        <v>0</v>
      </c>
      <c r="X26" s="7">
        <f>'[3]Jan Prod'!D280</f>
        <v>282999.99999999767</v>
      </c>
      <c r="Y26" s="8">
        <f t="shared" si="14"/>
        <v>0.2829999999999977</v>
      </c>
      <c r="Z26" s="10">
        <f t="shared" si="15"/>
        <v>0.86880999999999287</v>
      </c>
      <c r="AA26" s="15"/>
      <c r="AB26" s="7">
        <f t="shared" si="16"/>
        <v>11793000.000000002</v>
      </c>
      <c r="AC26" s="8">
        <f t="shared" si="16"/>
        <v>11.793000000000001</v>
      </c>
      <c r="AD26" s="8">
        <f t="shared" si="16"/>
        <v>36.204509999999999</v>
      </c>
    </row>
    <row r="27" spans="1:30" x14ac:dyDescent="0.25">
      <c r="A27" s="27">
        <v>38375</v>
      </c>
      <c r="B27" s="7">
        <f>'[3]Jan Prod'!I26</f>
        <v>0</v>
      </c>
      <c r="C27" s="8">
        <f t="shared" si="0"/>
        <v>0</v>
      </c>
      <c r="D27" s="10">
        <f t="shared" si="1"/>
        <v>0</v>
      </c>
      <c r="E27" s="7">
        <f>'[3]Jan Prod'!E26</f>
        <v>0</v>
      </c>
      <c r="F27" s="8">
        <f t="shared" si="2"/>
        <v>0</v>
      </c>
      <c r="G27" s="10">
        <f t="shared" si="3"/>
        <v>0</v>
      </c>
      <c r="H27" s="7">
        <f>'[3]Jan Prod'!F26</f>
        <v>30000</v>
      </c>
      <c r="I27" s="8">
        <f t="shared" si="4"/>
        <v>0.03</v>
      </c>
      <c r="J27" s="10">
        <f t="shared" si="5"/>
        <v>9.2099999999999987E-2</v>
      </c>
      <c r="K27" s="7">
        <f>'[3]Jan Prod'!H281</f>
        <v>0</v>
      </c>
      <c r="L27" s="8">
        <f t="shared" si="6"/>
        <v>0</v>
      </c>
      <c r="M27" s="10">
        <f t="shared" si="7"/>
        <v>0</v>
      </c>
      <c r="N27" s="21"/>
      <c r="O27" s="7">
        <f>'[3]Jan Prod'!H26</f>
        <v>11229000</v>
      </c>
      <c r="P27" s="8">
        <f t="shared" si="8"/>
        <v>11.228999999999999</v>
      </c>
      <c r="Q27" s="10">
        <f t="shared" si="9"/>
        <v>34.473029999999994</v>
      </c>
      <c r="R27" s="7">
        <f>'[3]Jan Prod'!C26</f>
        <v>11668000</v>
      </c>
      <c r="S27" s="8">
        <f t="shared" si="10"/>
        <v>11.667999999999999</v>
      </c>
      <c r="T27" s="10">
        <f t="shared" si="11"/>
        <v>35.820759999999993</v>
      </c>
      <c r="U27" s="7">
        <f>'[3]Jan Prod'!D26</f>
        <v>0</v>
      </c>
      <c r="V27" s="8">
        <f t="shared" si="12"/>
        <v>0</v>
      </c>
      <c r="W27" s="10">
        <f t="shared" si="13"/>
        <v>0</v>
      </c>
      <c r="X27" s="7">
        <f>'[3]Jan Prod'!D281</f>
        <v>439000.00000000006</v>
      </c>
      <c r="Y27" s="8">
        <f t="shared" si="14"/>
        <v>0.43900000000000006</v>
      </c>
      <c r="Z27" s="10">
        <f t="shared" si="15"/>
        <v>1.3477300000000001</v>
      </c>
      <c r="AA27" s="15"/>
      <c r="AB27" s="7">
        <f t="shared" si="16"/>
        <v>11229000</v>
      </c>
      <c r="AC27" s="8">
        <f t="shared" si="16"/>
        <v>11.228999999999999</v>
      </c>
      <c r="AD27" s="8">
        <f t="shared" si="16"/>
        <v>34.473029999999994</v>
      </c>
    </row>
    <row r="28" spans="1:30" x14ac:dyDescent="0.25">
      <c r="A28" s="27">
        <v>38376</v>
      </c>
      <c r="B28" s="7">
        <f>'[3]Jan Prod'!I27</f>
        <v>0</v>
      </c>
      <c r="C28" s="8">
        <f t="shared" si="0"/>
        <v>0</v>
      </c>
      <c r="D28" s="10">
        <f t="shared" si="1"/>
        <v>0</v>
      </c>
      <c r="E28" s="7">
        <f>'[3]Jan Prod'!E27</f>
        <v>0</v>
      </c>
      <c r="F28" s="8">
        <f t="shared" si="2"/>
        <v>0</v>
      </c>
      <c r="G28" s="10">
        <f t="shared" si="3"/>
        <v>0</v>
      </c>
      <c r="H28" s="7">
        <f>'[3]Jan Prod'!F27</f>
        <v>20000</v>
      </c>
      <c r="I28" s="8">
        <f t="shared" si="4"/>
        <v>0.02</v>
      </c>
      <c r="J28" s="10">
        <f t="shared" si="5"/>
        <v>6.1399999999999996E-2</v>
      </c>
      <c r="K28" s="7">
        <f>'[3]Jan Prod'!H282</f>
        <v>0</v>
      </c>
      <c r="L28" s="8">
        <f t="shared" si="6"/>
        <v>0</v>
      </c>
      <c r="M28" s="10">
        <f t="shared" si="7"/>
        <v>0</v>
      </c>
      <c r="N28" s="21"/>
      <c r="O28" s="7">
        <f>'[3]Jan Prod'!H27</f>
        <v>9808000</v>
      </c>
      <c r="P28" s="8">
        <f t="shared" si="8"/>
        <v>9.8079999999999998</v>
      </c>
      <c r="Q28" s="10">
        <f t="shared" si="9"/>
        <v>30.11056</v>
      </c>
      <c r="R28" s="7">
        <f>'[3]Jan Prod'!C27</f>
        <v>10233000</v>
      </c>
      <c r="S28" s="8">
        <f t="shared" si="10"/>
        <v>10.233000000000001</v>
      </c>
      <c r="T28" s="10">
        <f t="shared" si="11"/>
        <v>31.415310000000002</v>
      </c>
      <c r="U28" s="7">
        <f>'[3]Jan Prod'!D27</f>
        <v>0</v>
      </c>
      <c r="V28" s="8">
        <f t="shared" si="12"/>
        <v>0</v>
      </c>
      <c r="W28" s="10">
        <f t="shared" si="13"/>
        <v>0</v>
      </c>
      <c r="X28" s="7">
        <f>'[3]Jan Prod'!D282</f>
        <v>425000.0000000007</v>
      </c>
      <c r="Y28" s="8">
        <f t="shared" si="14"/>
        <v>0.42500000000000071</v>
      </c>
      <c r="Z28" s="10">
        <f t="shared" si="15"/>
        <v>1.3047500000000021</v>
      </c>
      <c r="AA28" s="15"/>
      <c r="AB28" s="7">
        <f t="shared" si="16"/>
        <v>9808000</v>
      </c>
      <c r="AC28" s="8">
        <f t="shared" si="16"/>
        <v>9.8079999999999998</v>
      </c>
      <c r="AD28" s="8">
        <f t="shared" si="16"/>
        <v>30.11056</v>
      </c>
    </row>
    <row r="29" spans="1:30" x14ac:dyDescent="0.25">
      <c r="A29" s="27">
        <v>38377</v>
      </c>
      <c r="B29" s="7">
        <f>'[3]Jan Prod'!I28</f>
        <v>0</v>
      </c>
      <c r="C29" s="8">
        <f t="shared" si="0"/>
        <v>0</v>
      </c>
      <c r="D29" s="10">
        <f t="shared" si="1"/>
        <v>0</v>
      </c>
      <c r="E29" s="7">
        <f>'[3]Jan Prod'!E28</f>
        <v>0</v>
      </c>
      <c r="F29" s="8">
        <f t="shared" si="2"/>
        <v>0</v>
      </c>
      <c r="G29" s="10">
        <f t="shared" si="3"/>
        <v>0</v>
      </c>
      <c r="H29" s="7">
        <f>'[3]Jan Prod'!F28</f>
        <v>40000</v>
      </c>
      <c r="I29" s="8">
        <f t="shared" si="4"/>
        <v>0.04</v>
      </c>
      <c r="J29" s="10">
        <f t="shared" si="5"/>
        <v>0.12279999999999999</v>
      </c>
      <c r="K29" s="7">
        <f>'[3]Jan Prod'!H283</f>
        <v>0</v>
      </c>
      <c r="L29" s="8">
        <f t="shared" si="6"/>
        <v>0</v>
      </c>
      <c r="M29" s="10">
        <f t="shared" si="7"/>
        <v>0</v>
      </c>
      <c r="N29" s="21"/>
      <c r="O29" s="7">
        <f>'[3]Jan Prod'!H28</f>
        <v>12068000</v>
      </c>
      <c r="P29" s="8">
        <f t="shared" si="8"/>
        <v>12.068</v>
      </c>
      <c r="Q29" s="10">
        <f t="shared" si="9"/>
        <v>37.048759999999994</v>
      </c>
      <c r="R29" s="7">
        <f>'[3]Jan Prod'!C28</f>
        <v>12402000</v>
      </c>
      <c r="S29" s="8">
        <f t="shared" si="10"/>
        <v>12.401999999999999</v>
      </c>
      <c r="T29" s="10">
        <f t="shared" si="11"/>
        <v>38.074139999999993</v>
      </c>
      <c r="U29" s="7">
        <f>'[3]Jan Prod'!D28</f>
        <v>0</v>
      </c>
      <c r="V29" s="8">
        <f t="shared" si="12"/>
        <v>0</v>
      </c>
      <c r="W29" s="10">
        <f t="shared" si="13"/>
        <v>0</v>
      </c>
      <c r="X29" s="7">
        <f>'[3]Jan Prod'!D283</f>
        <v>333999.99999999965</v>
      </c>
      <c r="Y29" s="8">
        <f t="shared" si="14"/>
        <v>0.33399999999999963</v>
      </c>
      <c r="Z29" s="10">
        <f t="shared" si="15"/>
        <v>1.0253799999999988</v>
      </c>
      <c r="AA29" s="15"/>
      <c r="AB29" s="7">
        <f t="shared" si="16"/>
        <v>12068000</v>
      </c>
      <c r="AC29" s="8">
        <f t="shared" si="16"/>
        <v>12.068</v>
      </c>
      <c r="AD29" s="8">
        <f t="shared" si="16"/>
        <v>37.048759999999994</v>
      </c>
    </row>
    <row r="30" spans="1:30" x14ac:dyDescent="0.25">
      <c r="A30" s="27">
        <v>38378</v>
      </c>
      <c r="B30" s="7">
        <f>'[3]Jan Prod'!I29</f>
        <v>0</v>
      </c>
      <c r="C30" s="8">
        <f t="shared" si="0"/>
        <v>0</v>
      </c>
      <c r="D30" s="10">
        <f t="shared" si="1"/>
        <v>0</v>
      </c>
      <c r="E30" s="7">
        <f>'[3]Jan Prod'!E29</f>
        <v>0</v>
      </c>
      <c r="F30" s="8">
        <f t="shared" si="2"/>
        <v>0</v>
      </c>
      <c r="G30" s="10">
        <f t="shared" si="3"/>
        <v>0</v>
      </c>
      <c r="H30" s="7">
        <f>'[3]Jan Prod'!F29</f>
        <v>40000</v>
      </c>
      <c r="I30" s="8">
        <f t="shared" si="4"/>
        <v>0.04</v>
      </c>
      <c r="J30" s="10">
        <f t="shared" si="5"/>
        <v>0.12279999999999999</v>
      </c>
      <c r="K30" s="7">
        <f>'[3]Jan Prod'!H284</f>
        <v>0</v>
      </c>
      <c r="L30" s="8">
        <f t="shared" si="6"/>
        <v>0</v>
      </c>
      <c r="M30" s="10">
        <f t="shared" si="7"/>
        <v>0</v>
      </c>
      <c r="N30" s="21"/>
      <c r="O30" s="7">
        <f>'[3]Jan Prod'!H29</f>
        <v>12532999.999999998</v>
      </c>
      <c r="P30" s="8">
        <f t="shared" si="8"/>
        <v>12.532999999999998</v>
      </c>
      <c r="Q30" s="10">
        <f t="shared" si="9"/>
        <v>38.476309999999991</v>
      </c>
      <c r="R30" s="7">
        <f>'[3]Jan Prod'!C29</f>
        <v>13066000</v>
      </c>
      <c r="S30" s="8">
        <f t="shared" si="10"/>
        <v>13.066000000000001</v>
      </c>
      <c r="T30" s="10">
        <f t="shared" si="11"/>
        <v>40.11262</v>
      </c>
      <c r="U30" s="7">
        <f>'[3]Jan Prod'!D29</f>
        <v>0</v>
      </c>
      <c r="V30" s="8">
        <f t="shared" si="12"/>
        <v>0</v>
      </c>
      <c r="W30" s="10">
        <f t="shared" si="13"/>
        <v>0</v>
      </c>
      <c r="X30" s="7">
        <f>'[3]Jan Prod'!D284</f>
        <v>533000.00000000128</v>
      </c>
      <c r="Y30" s="8">
        <f t="shared" si="14"/>
        <v>0.53300000000000125</v>
      </c>
      <c r="Z30" s="10">
        <f t="shared" si="15"/>
        <v>1.6363100000000037</v>
      </c>
      <c r="AA30" s="15"/>
      <c r="AB30" s="7">
        <f t="shared" si="16"/>
        <v>12532999.999999998</v>
      </c>
      <c r="AC30" s="8">
        <f t="shared" si="16"/>
        <v>12.532999999999998</v>
      </c>
      <c r="AD30" s="8">
        <f>D30+Q30</f>
        <v>38.476309999999991</v>
      </c>
    </row>
    <row r="31" spans="1:30" x14ac:dyDescent="0.25">
      <c r="A31" s="27">
        <v>38379</v>
      </c>
      <c r="B31" s="7">
        <f>'[3]Jan Prod'!I30</f>
        <v>0</v>
      </c>
      <c r="C31" s="8">
        <f t="shared" si="0"/>
        <v>0</v>
      </c>
      <c r="D31" s="10">
        <f t="shared" si="1"/>
        <v>0</v>
      </c>
      <c r="E31" s="7">
        <f>'[3]Jan Prod'!E30</f>
        <v>0</v>
      </c>
      <c r="F31" s="8">
        <f t="shared" si="2"/>
        <v>0</v>
      </c>
      <c r="G31" s="10">
        <f t="shared" si="3"/>
        <v>0</v>
      </c>
      <c r="H31" s="7">
        <f>'[3]Jan Prod'!F30</f>
        <v>10000</v>
      </c>
      <c r="I31" s="8">
        <f t="shared" si="4"/>
        <v>0.01</v>
      </c>
      <c r="J31" s="10">
        <f t="shared" si="5"/>
        <v>3.0699999999999998E-2</v>
      </c>
      <c r="K31" s="7">
        <f>'[3]Jan Prod'!H285</f>
        <v>0</v>
      </c>
      <c r="L31" s="8">
        <f t="shared" si="6"/>
        <v>0</v>
      </c>
      <c r="M31" s="10">
        <f t="shared" si="7"/>
        <v>0</v>
      </c>
      <c r="N31" s="21"/>
      <c r="O31" s="7">
        <f>'[3]Jan Prod'!H30</f>
        <v>12821000.000000002</v>
      </c>
      <c r="P31" s="8">
        <f t="shared" si="8"/>
        <v>12.821000000000002</v>
      </c>
      <c r="Q31" s="10">
        <f t="shared" si="9"/>
        <v>39.360469999999999</v>
      </c>
      <c r="R31" s="7">
        <f>'[3]Jan Prod'!C30</f>
        <v>13108000</v>
      </c>
      <c r="S31" s="8">
        <f t="shared" si="10"/>
        <v>13.108000000000001</v>
      </c>
      <c r="T31" s="10">
        <f t="shared" si="11"/>
        <v>40.24156</v>
      </c>
      <c r="U31" s="7">
        <f>'[3]Jan Prod'!D30</f>
        <v>0</v>
      </c>
      <c r="V31" s="8">
        <f t="shared" si="12"/>
        <v>0</v>
      </c>
      <c r="W31" s="10">
        <f t="shared" si="13"/>
        <v>0</v>
      </c>
      <c r="X31" s="7">
        <f>'[3]Jan Prod'!D285</f>
        <v>286999.99999999901</v>
      </c>
      <c r="Y31" s="8">
        <f t="shared" si="14"/>
        <v>0.28699999999999903</v>
      </c>
      <c r="Z31" s="10">
        <f t="shared" si="15"/>
        <v>0.88108999999999704</v>
      </c>
      <c r="AA31" s="15"/>
      <c r="AB31" s="7">
        <f t="shared" si="16"/>
        <v>12821000.000000002</v>
      </c>
      <c r="AC31" s="8">
        <f t="shared" si="16"/>
        <v>12.821000000000002</v>
      </c>
      <c r="AD31" s="8">
        <f t="shared" si="16"/>
        <v>39.360469999999999</v>
      </c>
    </row>
    <row r="32" spans="1:30" x14ac:dyDescent="0.25">
      <c r="A32" s="27">
        <v>38380</v>
      </c>
      <c r="B32" s="7">
        <f>'[3]Jan Prod'!I31</f>
        <v>0</v>
      </c>
      <c r="C32" s="8">
        <f t="shared" si="0"/>
        <v>0</v>
      </c>
      <c r="D32" s="10">
        <f t="shared" si="1"/>
        <v>0</v>
      </c>
      <c r="E32" s="7">
        <f>'[3]Jan Prod'!E31</f>
        <v>0</v>
      </c>
      <c r="F32" s="8">
        <f t="shared" si="2"/>
        <v>0</v>
      </c>
      <c r="G32" s="10">
        <f t="shared" si="3"/>
        <v>0</v>
      </c>
      <c r="H32" s="7">
        <f>'[3]Jan Prod'!F31</f>
        <v>0</v>
      </c>
      <c r="I32" s="8">
        <f t="shared" si="4"/>
        <v>0</v>
      </c>
      <c r="J32" s="10">
        <f t="shared" si="5"/>
        <v>0</v>
      </c>
      <c r="K32" s="7">
        <f>'[3]Jan Prod'!H286</f>
        <v>0</v>
      </c>
      <c r="L32" s="8">
        <f t="shared" si="6"/>
        <v>0</v>
      </c>
      <c r="M32" s="10">
        <f t="shared" si="7"/>
        <v>0</v>
      </c>
      <c r="N32" s="21"/>
      <c r="O32" s="7">
        <f>'[3]Jan Prod'!H31</f>
        <v>11591000</v>
      </c>
      <c r="P32" s="8">
        <f t="shared" si="8"/>
        <v>11.590999999999999</v>
      </c>
      <c r="Q32" s="10">
        <f t="shared" si="9"/>
        <v>35.584369999999993</v>
      </c>
      <c r="R32" s="7">
        <f>'[3]Jan Prod'!C31</f>
        <v>11998000</v>
      </c>
      <c r="S32" s="8">
        <f t="shared" si="10"/>
        <v>11.997999999999999</v>
      </c>
      <c r="T32" s="10">
        <f t="shared" si="11"/>
        <v>36.833859999999994</v>
      </c>
      <c r="U32" s="7">
        <f>'[3]Jan Prod'!D31</f>
        <v>0</v>
      </c>
      <c r="V32" s="8">
        <f t="shared" si="12"/>
        <v>0</v>
      </c>
      <c r="W32" s="10">
        <f t="shared" si="13"/>
        <v>0</v>
      </c>
      <c r="X32" s="7">
        <f>'[3]Jan Prod'!D286</f>
        <v>407000</v>
      </c>
      <c r="Y32" s="8">
        <f t="shared" si="14"/>
        <v>0.40699999999999997</v>
      </c>
      <c r="Z32" s="10">
        <f t="shared" si="15"/>
        <v>1.2494899999999998</v>
      </c>
      <c r="AA32" s="15"/>
      <c r="AB32" s="7">
        <f t="shared" si="16"/>
        <v>11591000</v>
      </c>
      <c r="AC32" s="8">
        <f t="shared" si="16"/>
        <v>11.590999999999999</v>
      </c>
      <c r="AD32" s="8">
        <f t="shared" si="16"/>
        <v>35.584369999999993</v>
      </c>
    </row>
    <row r="33" spans="1:30" x14ac:dyDescent="0.25">
      <c r="A33" s="27">
        <v>38381</v>
      </c>
      <c r="B33" s="7">
        <f>'[3]Jan Prod'!I32</f>
        <v>0</v>
      </c>
      <c r="C33" s="8">
        <f t="shared" si="0"/>
        <v>0</v>
      </c>
      <c r="D33" s="10">
        <f t="shared" si="1"/>
        <v>0</v>
      </c>
      <c r="E33" s="7">
        <f>'[3]Jan Prod'!E32</f>
        <v>0</v>
      </c>
      <c r="F33" s="8">
        <f t="shared" si="2"/>
        <v>0</v>
      </c>
      <c r="G33" s="10">
        <f t="shared" si="3"/>
        <v>0</v>
      </c>
      <c r="H33" s="7">
        <f>'[3]Jan Prod'!F32</f>
        <v>0</v>
      </c>
      <c r="I33" s="8">
        <f t="shared" si="4"/>
        <v>0</v>
      </c>
      <c r="J33" s="10">
        <f t="shared" si="5"/>
        <v>0</v>
      </c>
      <c r="K33" s="7">
        <f>'[3]Jan Prod'!H287</f>
        <v>0</v>
      </c>
      <c r="L33" s="8">
        <f t="shared" si="6"/>
        <v>0</v>
      </c>
      <c r="M33" s="10">
        <f t="shared" si="7"/>
        <v>0</v>
      </c>
      <c r="N33" s="21"/>
      <c r="O33" s="7">
        <f>'[3]Jan Prod'!H32</f>
        <v>10046000</v>
      </c>
      <c r="P33" s="8">
        <f t="shared" si="8"/>
        <v>10.045999999999999</v>
      </c>
      <c r="Q33" s="10">
        <f t="shared" si="9"/>
        <v>30.841219999999996</v>
      </c>
      <c r="R33" s="7">
        <f>'[3]Jan Prod'!C32</f>
        <v>10522000</v>
      </c>
      <c r="S33" s="8">
        <f t="shared" si="10"/>
        <v>10.522</v>
      </c>
      <c r="T33" s="10">
        <f t="shared" si="11"/>
        <v>32.30254</v>
      </c>
      <c r="U33" s="7">
        <f>'[3]Jan Prod'!D32</f>
        <v>0</v>
      </c>
      <c r="V33" s="8">
        <f t="shared" si="12"/>
        <v>0</v>
      </c>
      <c r="W33" s="10">
        <f t="shared" si="13"/>
        <v>0</v>
      </c>
      <c r="X33" s="7">
        <f>'[3]Jan Prod'!D287</f>
        <v>475999.99999999907</v>
      </c>
      <c r="Y33" s="8">
        <f t="shared" si="14"/>
        <v>0.47599999999999909</v>
      </c>
      <c r="Z33" s="10">
        <f t="shared" si="15"/>
        <v>1.4613199999999971</v>
      </c>
      <c r="AA33" s="15"/>
      <c r="AB33" s="7">
        <f t="shared" si="16"/>
        <v>10046000</v>
      </c>
      <c r="AC33" s="8">
        <f t="shared" si="16"/>
        <v>10.045999999999999</v>
      </c>
      <c r="AD33" s="8">
        <f t="shared" si="16"/>
        <v>30.841219999999996</v>
      </c>
    </row>
    <row r="34" spans="1:30" x14ac:dyDescent="0.25">
      <c r="A34" s="27">
        <v>38382</v>
      </c>
      <c r="B34" s="7">
        <f>'[3]Jan Prod'!I33</f>
        <v>0</v>
      </c>
      <c r="C34" s="8">
        <f t="shared" si="0"/>
        <v>0</v>
      </c>
      <c r="D34" s="10">
        <f t="shared" si="1"/>
        <v>0</v>
      </c>
      <c r="E34" s="43"/>
      <c r="F34" s="8">
        <f t="shared" si="2"/>
        <v>0</v>
      </c>
      <c r="G34" s="10">
        <f t="shared" si="3"/>
        <v>0</v>
      </c>
      <c r="H34" s="7">
        <f>'[3]Jan Prod'!F33</f>
        <v>0</v>
      </c>
      <c r="I34" s="8">
        <f t="shared" si="4"/>
        <v>0</v>
      </c>
      <c r="J34" s="10">
        <f t="shared" si="5"/>
        <v>0</v>
      </c>
      <c r="K34" s="7">
        <f>'[3]Jan Prod'!H288</f>
        <v>0</v>
      </c>
      <c r="L34" s="8">
        <f t="shared" si="6"/>
        <v>0</v>
      </c>
      <c r="M34" s="10">
        <f t="shared" si="7"/>
        <v>0</v>
      </c>
      <c r="N34" s="21"/>
      <c r="O34" s="7">
        <f>'[3]Jan Prod'!H33</f>
        <v>11726999.999999998</v>
      </c>
      <c r="P34" s="8">
        <f t="shared" si="8"/>
        <v>11.726999999999999</v>
      </c>
      <c r="Q34" s="10">
        <f t="shared" si="9"/>
        <v>36.001889999999996</v>
      </c>
      <c r="R34" s="7">
        <f>'[3]Jan Prod'!C33</f>
        <v>12071000</v>
      </c>
      <c r="S34" s="8">
        <f t="shared" si="10"/>
        <v>12.071</v>
      </c>
      <c r="T34" s="10">
        <f t="shared" si="11"/>
        <v>37.057969999999997</v>
      </c>
      <c r="U34" s="7">
        <f>'[3]Jan Prod'!D33</f>
        <v>0</v>
      </c>
      <c r="V34" s="8">
        <f t="shared" si="12"/>
        <v>0</v>
      </c>
      <c r="W34" s="10">
        <f t="shared" si="13"/>
        <v>0</v>
      </c>
      <c r="X34" s="7">
        <f>'[3]Jan Prod'!D288</f>
        <v>344000.00000000122</v>
      </c>
      <c r="Y34" s="8">
        <f t="shared" si="14"/>
        <v>0.34400000000000125</v>
      </c>
      <c r="Z34" s="10">
        <f t="shared" si="15"/>
        <v>1.0560800000000037</v>
      </c>
      <c r="AA34" s="15"/>
      <c r="AB34" s="7">
        <f t="shared" si="16"/>
        <v>11726999.999999998</v>
      </c>
      <c r="AC34" s="8">
        <f t="shared" si="16"/>
        <v>11.726999999999999</v>
      </c>
      <c r="AD34" s="8">
        <f t="shared" si="16"/>
        <v>36.001889999999996</v>
      </c>
    </row>
    <row r="35" spans="1:30" ht="13.8" thickBot="1" x14ac:dyDescent="0.3">
      <c r="A35" s="27">
        <v>38383</v>
      </c>
      <c r="B35" s="7">
        <f>'[3]Jan Prod'!I34</f>
        <v>0</v>
      </c>
      <c r="C35" s="8">
        <f t="shared" si="0"/>
        <v>0</v>
      </c>
      <c r="D35" s="10">
        <f t="shared" si="1"/>
        <v>0</v>
      </c>
      <c r="E35" s="7">
        <f>'[3]Jan Prod'!E34</f>
        <v>0</v>
      </c>
      <c r="F35" s="8">
        <f t="shared" si="2"/>
        <v>0</v>
      </c>
      <c r="G35" s="10">
        <f t="shared" si="3"/>
        <v>0</v>
      </c>
      <c r="H35" s="7">
        <f>'[3]Jan Prod'!F34</f>
        <v>0</v>
      </c>
      <c r="I35" s="8">
        <f t="shared" si="4"/>
        <v>0</v>
      </c>
      <c r="J35" s="10">
        <f t="shared" si="5"/>
        <v>0</v>
      </c>
      <c r="K35" s="7">
        <f>'[3]Jan Prod'!H289</f>
        <v>0</v>
      </c>
      <c r="L35" s="8">
        <f t="shared" si="6"/>
        <v>0</v>
      </c>
      <c r="M35" s="10">
        <f t="shared" si="7"/>
        <v>0</v>
      </c>
      <c r="N35" s="21"/>
      <c r="O35" s="7">
        <f>'[3]Jan Prod'!H34</f>
        <v>12557999.999999998</v>
      </c>
      <c r="P35" s="8">
        <f t="shared" si="8"/>
        <v>12.557999999999998</v>
      </c>
      <c r="Q35" s="10">
        <f t="shared" si="9"/>
        <v>38.553059999999995</v>
      </c>
      <c r="R35" s="7">
        <f>'[3]Jan Prod'!C34</f>
        <v>13027000</v>
      </c>
      <c r="S35" s="8">
        <f t="shared" si="10"/>
        <v>13.026999999999999</v>
      </c>
      <c r="T35" s="10">
        <f t="shared" si="11"/>
        <v>39.992889999999996</v>
      </c>
      <c r="U35" s="7">
        <f>'[3]Jan Prod'!D34</f>
        <v>0</v>
      </c>
      <c r="V35" s="8">
        <f t="shared" si="12"/>
        <v>0</v>
      </c>
      <c r="W35" s="10">
        <f t="shared" si="13"/>
        <v>0</v>
      </c>
      <c r="X35" s="7">
        <f>'[3]Jan Prod'!D289</f>
        <v>469000.00000000122</v>
      </c>
      <c r="Y35" s="8">
        <f t="shared" si="14"/>
        <v>0.46900000000000125</v>
      </c>
      <c r="Z35" s="10">
        <f t="shared" si="15"/>
        <v>1.4398300000000037</v>
      </c>
      <c r="AA35" s="15"/>
      <c r="AB35" s="7">
        <f t="shared" si="16"/>
        <v>12557999.999999998</v>
      </c>
      <c r="AC35" s="8">
        <f t="shared" si="16"/>
        <v>12.557999999999998</v>
      </c>
      <c r="AD35" s="8">
        <f t="shared" si="16"/>
        <v>38.553059999999995</v>
      </c>
    </row>
    <row r="36" spans="1:30" s="18" customFormat="1" ht="13.8" thickBot="1" x14ac:dyDescent="0.3">
      <c r="A36" s="15"/>
      <c r="B36" s="38"/>
      <c r="C36" s="39">
        <f t="shared" ref="C36:W36" si="17">SUM(C5:C35)</f>
        <v>0</v>
      </c>
      <c r="D36" s="39">
        <f t="shared" si="17"/>
        <v>0</v>
      </c>
      <c r="E36" s="38"/>
      <c r="F36" s="39">
        <f t="shared" si="17"/>
        <v>0</v>
      </c>
      <c r="G36" s="39">
        <f t="shared" si="17"/>
        <v>0</v>
      </c>
      <c r="H36" s="38"/>
      <c r="I36" s="39">
        <f t="shared" si="17"/>
        <v>0.41000000000000003</v>
      </c>
      <c r="J36" s="39">
        <f t="shared" si="17"/>
        <v>1.2586999999999997</v>
      </c>
      <c r="K36" s="38"/>
      <c r="L36" s="39">
        <f>SUM(L5:L35)</f>
        <v>0.18851200000000001</v>
      </c>
      <c r="M36" s="39">
        <f>SUM(M5:M35)</f>
        <v>0.57873184</v>
      </c>
      <c r="N36" s="14"/>
      <c r="O36" s="38"/>
      <c r="P36" s="39">
        <f t="shared" si="17"/>
        <v>362.30299999999994</v>
      </c>
      <c r="Q36" s="39">
        <f t="shared" si="17"/>
        <v>1112.2702099999999</v>
      </c>
      <c r="R36" s="38"/>
      <c r="S36" s="39">
        <f t="shared" si="17"/>
        <v>374.536</v>
      </c>
      <c r="T36" s="39">
        <f t="shared" si="17"/>
        <v>1149.8255199999999</v>
      </c>
      <c r="U36" s="38"/>
      <c r="V36" s="39">
        <f t="shared" si="17"/>
        <v>0</v>
      </c>
      <c r="W36" s="39">
        <f t="shared" si="17"/>
        <v>0</v>
      </c>
      <c r="X36" s="38"/>
      <c r="Y36" s="39">
        <f>SUM(Y5:Y35)</f>
        <v>12.233000000000002</v>
      </c>
      <c r="Z36" s="39">
        <f>SUM(Z5:Z35)</f>
        <v>37.555309999999999</v>
      </c>
      <c r="AA36" s="14"/>
      <c r="AB36" s="38"/>
      <c r="AC36" s="39">
        <f>SUM(AC5:AC35)</f>
        <v>362.30299999999994</v>
      </c>
      <c r="AD36" s="39">
        <f>AC36*3.07</f>
        <v>1112.2702099999997</v>
      </c>
    </row>
  </sheetData>
  <mergeCells count="9">
    <mergeCell ref="AB3:AD3"/>
    <mergeCell ref="B3:D3"/>
    <mergeCell ref="O3:Q3"/>
    <mergeCell ref="U3:W3"/>
    <mergeCell ref="E3:G3"/>
    <mergeCell ref="H3:J3"/>
    <mergeCell ref="R3:T3"/>
    <mergeCell ref="K3:M3"/>
    <mergeCell ref="X3:Z3"/>
  </mergeCells>
  <phoneticPr fontId="1" type="noConversion"/>
  <pageMargins left="0.75" right="0.75" top="1" bottom="1" header="0.5" footer="0.5"/>
  <pageSetup scale="40" orientation="landscape" r:id="rId1"/>
  <headerFooter alignWithMargins="0">
    <oddFooter>&amp;R&amp;D</odd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AD37"/>
  <sheetViews>
    <sheetView workbookViewId="0">
      <pane xSplit="1" ySplit="4" topLeftCell="G11" activePane="bottomRight" state="frozen"/>
      <selection pane="topRight" activeCell="B1" sqref="B1"/>
      <selection pane="bottomLeft" activeCell="A5" sqref="A5"/>
      <selection pane="bottomRight" activeCell="K30" sqref="K30"/>
    </sheetView>
  </sheetViews>
  <sheetFormatPr defaultRowHeight="13.2" x14ac:dyDescent="0.25"/>
  <cols>
    <col min="2" max="2" width="11.6640625" customWidth="1"/>
    <col min="5" max="5" width="11.44140625" customWidth="1"/>
    <col min="8" max="8" width="11.6640625" customWidth="1"/>
    <col min="11" max="11" width="14.88671875" bestFit="1" customWidth="1"/>
    <col min="12" max="12" width="11.5546875" customWidth="1"/>
    <col min="15" max="15" width="11.44140625" customWidth="1"/>
    <col min="18" max="18" width="11.5546875" customWidth="1"/>
    <col min="22" max="22" width="11" customWidth="1"/>
    <col min="24" max="24" width="13.6640625" customWidth="1"/>
    <col min="28" max="28" width="14.44140625" bestFit="1" customWidth="1"/>
  </cols>
  <sheetData>
    <row r="1" spans="1:30" x14ac:dyDescent="0.25">
      <c r="A1" s="45"/>
      <c r="B1" s="40"/>
      <c r="C1" s="25"/>
      <c r="D1" s="25"/>
      <c r="E1" s="25"/>
      <c r="F1" s="25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14"/>
      <c r="V1" s="3"/>
      <c r="W1" s="3"/>
      <c r="X1" s="3"/>
    </row>
    <row r="2" spans="1:30" ht="13.8" thickBot="1" x14ac:dyDescent="0.3">
      <c r="A2" s="3"/>
      <c r="B2" s="3"/>
      <c r="C2" s="24"/>
      <c r="D2" s="3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  <c r="V2" s="3"/>
      <c r="W2" s="3"/>
      <c r="X2" s="3"/>
    </row>
    <row r="3" spans="1:30" ht="60.75" customHeight="1" thickBot="1" x14ac:dyDescent="0.3">
      <c r="A3" s="3"/>
      <c r="B3" s="61" t="s">
        <v>10</v>
      </c>
      <c r="C3" s="62"/>
      <c r="D3" s="63"/>
      <c r="E3" s="61" t="s">
        <v>11</v>
      </c>
      <c r="F3" s="62"/>
      <c r="G3" s="63"/>
      <c r="H3" s="61" t="s">
        <v>12</v>
      </c>
      <c r="I3" s="62"/>
      <c r="J3" s="63"/>
      <c r="K3" s="61" t="s">
        <v>13</v>
      </c>
      <c r="L3" s="62"/>
      <c r="M3" s="63"/>
      <c r="N3" s="19"/>
      <c r="O3" s="61" t="s">
        <v>4</v>
      </c>
      <c r="P3" s="62"/>
      <c r="Q3" s="63"/>
      <c r="R3" s="61" t="s">
        <v>3</v>
      </c>
      <c r="S3" s="62"/>
      <c r="T3" s="63"/>
      <c r="U3" s="61" t="s">
        <v>6</v>
      </c>
      <c r="V3" s="62"/>
      <c r="W3" s="63"/>
      <c r="X3" s="61" t="s">
        <v>7</v>
      </c>
      <c r="Y3" s="62"/>
      <c r="Z3" s="63"/>
      <c r="AA3" s="19"/>
      <c r="AB3" s="58" t="s">
        <v>8</v>
      </c>
      <c r="AC3" s="59"/>
      <c r="AD3" s="60"/>
    </row>
    <row r="4" spans="1:30" x14ac:dyDescent="0.25">
      <c r="A4" s="26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35" t="s">
        <v>0</v>
      </c>
      <c r="AC4" s="36" t="s">
        <v>1</v>
      </c>
      <c r="AD4" s="37" t="s">
        <v>2</v>
      </c>
    </row>
    <row r="5" spans="1:30" x14ac:dyDescent="0.25">
      <c r="A5" s="27">
        <v>41306</v>
      </c>
      <c r="B5" s="7">
        <f>'[4]Feb Prod'!I4</f>
        <v>0</v>
      </c>
      <c r="C5" s="8">
        <f>B5/1000000</f>
        <v>0</v>
      </c>
      <c r="D5" s="10">
        <f>C5*3.07</f>
        <v>0</v>
      </c>
      <c r="E5" s="7">
        <f>'[4]Feb Prod'!E4</f>
        <v>0</v>
      </c>
      <c r="F5" s="8">
        <f>E5/1000000</f>
        <v>0</v>
      </c>
      <c r="G5" s="10">
        <f>F5*3.07</f>
        <v>0</v>
      </c>
      <c r="H5" s="7">
        <f>'[4]Feb Prod'!F4</f>
        <v>0</v>
      </c>
      <c r="I5" s="8">
        <f>H5/1000000</f>
        <v>0</v>
      </c>
      <c r="J5" s="10">
        <f>I5*3.07</f>
        <v>0</v>
      </c>
      <c r="K5" s="7">
        <f>'[4]Feb Prod'!H245</f>
        <v>0</v>
      </c>
      <c r="L5" s="8">
        <f>K5/1000000</f>
        <v>0</v>
      </c>
      <c r="M5" s="10">
        <f>L5*3.07</f>
        <v>0</v>
      </c>
      <c r="N5" s="21"/>
      <c r="O5" s="7">
        <f>'[4]Feb Prod'!H4</f>
        <v>12683000.000000004</v>
      </c>
      <c r="P5" s="8">
        <f>O5/1000000</f>
        <v>12.683000000000003</v>
      </c>
      <c r="Q5" s="10">
        <f>P5*3.07</f>
        <v>38.936810000000008</v>
      </c>
      <c r="R5" s="7">
        <f>'[4]Feb Prod'!C4</f>
        <v>12954000</v>
      </c>
      <c r="S5" s="8">
        <f>R5/1000000</f>
        <v>12.954000000000001</v>
      </c>
      <c r="T5" s="10">
        <f>S5*3.07</f>
        <v>39.76878</v>
      </c>
      <c r="U5" s="7">
        <f>'[4]Feb Prod'!D4</f>
        <v>0</v>
      </c>
      <c r="V5" s="8">
        <f>U5/1000000</f>
        <v>0</v>
      </c>
      <c r="W5" s="10">
        <f>V5*3.07</f>
        <v>0</v>
      </c>
      <c r="X5" s="7">
        <f>'[4]Feb Prod'!D245</f>
        <v>270999.99999999726</v>
      </c>
      <c r="Y5" s="8">
        <f>X5/1000000</f>
        <v>0.27099999999999724</v>
      </c>
      <c r="Z5" s="10">
        <f>Y5*3.07</f>
        <v>0.83196999999999144</v>
      </c>
      <c r="AA5" s="15"/>
      <c r="AB5" s="7">
        <f>B5+O5</f>
        <v>12683000.000000004</v>
      </c>
      <c r="AC5" s="8">
        <f>C5+P5</f>
        <v>12.683000000000003</v>
      </c>
      <c r="AD5" s="8">
        <f>D5+Q5</f>
        <v>38.936810000000008</v>
      </c>
    </row>
    <row r="6" spans="1:30" x14ac:dyDescent="0.25">
      <c r="A6" s="27">
        <v>41307</v>
      </c>
      <c r="B6" s="7">
        <f>'[4]Feb Prod'!I5</f>
        <v>0</v>
      </c>
      <c r="C6" s="8">
        <f t="shared" ref="C6:C32" si="0">B6/1000000</f>
        <v>0</v>
      </c>
      <c r="D6" s="10">
        <f t="shared" ref="D6:D32" si="1">C6*3.07</f>
        <v>0</v>
      </c>
      <c r="E6" s="7">
        <f>'[4]Feb Prod'!E5</f>
        <v>0</v>
      </c>
      <c r="F6" s="8">
        <f t="shared" ref="F6:F32" si="2">E6/1000000</f>
        <v>0</v>
      </c>
      <c r="G6" s="10">
        <f t="shared" ref="G6:G32" si="3">F6*3.07</f>
        <v>0</v>
      </c>
      <c r="H6" s="7">
        <f>'[4]Feb Prod'!F5</f>
        <v>0</v>
      </c>
      <c r="I6" s="8">
        <f t="shared" ref="I6:I32" si="4">H6/1000000</f>
        <v>0</v>
      </c>
      <c r="J6" s="10">
        <f t="shared" ref="J6:J32" si="5">I6*3.07</f>
        <v>0</v>
      </c>
      <c r="K6" s="7">
        <f>'[4]Feb Prod'!H246</f>
        <v>0</v>
      </c>
      <c r="L6" s="8">
        <f t="shared" ref="L6:L23" si="6">K6/1000000</f>
        <v>0</v>
      </c>
      <c r="M6" s="10">
        <f t="shared" ref="M6:M32" si="7">L6*3.07</f>
        <v>0</v>
      </c>
      <c r="N6" s="21"/>
      <c r="O6" s="7">
        <f>'[4]Feb Prod'!H5</f>
        <v>11212999.999999998</v>
      </c>
      <c r="P6" s="8">
        <f t="shared" ref="P6:P32" si="8">O6/1000000</f>
        <v>11.212999999999997</v>
      </c>
      <c r="Q6" s="10">
        <f t="shared" ref="Q6:Q32" si="9">P6*3.07</f>
        <v>34.423909999999992</v>
      </c>
      <c r="R6" s="7">
        <f>'[4]Feb Prod'!C5</f>
        <v>11752000</v>
      </c>
      <c r="S6" s="8">
        <f t="shared" ref="S6:S32" si="10">R6/1000000</f>
        <v>11.752000000000001</v>
      </c>
      <c r="T6" s="10">
        <f t="shared" ref="T6:T32" si="11">S6*3.07</f>
        <v>36.07864</v>
      </c>
      <c r="U6" s="7">
        <f>'[4]Feb Prod'!D5</f>
        <v>0</v>
      </c>
      <c r="V6" s="8">
        <f t="shared" ref="V6:V32" si="12">U6/1000000</f>
        <v>0</v>
      </c>
      <c r="W6" s="10">
        <f t="shared" ref="W6:W32" si="13">V6*3.07</f>
        <v>0</v>
      </c>
      <c r="X6" s="7">
        <f>'[4]Feb Prod'!D246</f>
        <v>539000.00000000151</v>
      </c>
      <c r="Y6" s="8">
        <f t="shared" ref="Y6:Y32" si="14">X6/1000000</f>
        <v>0.53900000000000148</v>
      </c>
      <c r="Z6" s="10">
        <f t="shared" ref="Z6:Z32" si="15">Y6*3.07</f>
        <v>1.6547300000000045</v>
      </c>
      <c r="AA6" s="15"/>
      <c r="AB6" s="7">
        <f t="shared" ref="AB6:AB17" si="16">B6+O6</f>
        <v>11212999.999999998</v>
      </c>
      <c r="AC6" s="8">
        <f t="shared" ref="AB6:AD34" si="17">C6+P6</f>
        <v>11.212999999999997</v>
      </c>
      <c r="AD6" s="8">
        <f t="shared" si="17"/>
        <v>34.423909999999992</v>
      </c>
    </row>
    <row r="7" spans="1:30" x14ac:dyDescent="0.25">
      <c r="A7" s="27">
        <v>41308</v>
      </c>
      <c r="B7" s="7">
        <f>'[4]Feb Prod'!I6</f>
        <v>0</v>
      </c>
      <c r="C7" s="8">
        <f t="shared" si="0"/>
        <v>0</v>
      </c>
      <c r="D7" s="10">
        <f t="shared" si="1"/>
        <v>0</v>
      </c>
      <c r="E7" s="7">
        <f>'[4]Feb Prod'!E6</f>
        <v>0</v>
      </c>
      <c r="F7" s="8">
        <f t="shared" si="2"/>
        <v>0</v>
      </c>
      <c r="G7" s="10">
        <f t="shared" si="3"/>
        <v>0</v>
      </c>
      <c r="H7" s="7">
        <f>'[4]Feb Prod'!F6</f>
        <v>0</v>
      </c>
      <c r="I7" s="8">
        <f t="shared" si="4"/>
        <v>0</v>
      </c>
      <c r="J7" s="10">
        <f t="shared" si="5"/>
        <v>0</v>
      </c>
      <c r="K7" s="7">
        <f>'[4]Feb Prod'!H247</f>
        <v>0</v>
      </c>
      <c r="L7" s="8">
        <f t="shared" si="6"/>
        <v>0</v>
      </c>
      <c r="M7" s="10">
        <f t="shared" si="7"/>
        <v>0</v>
      </c>
      <c r="N7" s="21"/>
      <c r="O7" s="7">
        <f>'[4]Feb Prod'!H6</f>
        <v>10800000</v>
      </c>
      <c r="P7" s="8">
        <f t="shared" si="8"/>
        <v>10.8</v>
      </c>
      <c r="Q7" s="10">
        <f t="shared" si="9"/>
        <v>33.155999999999999</v>
      </c>
      <c r="R7" s="7">
        <f>'[4]Feb Prod'!C6</f>
        <v>11067000</v>
      </c>
      <c r="S7" s="8">
        <f t="shared" si="10"/>
        <v>11.067</v>
      </c>
      <c r="T7" s="10">
        <f t="shared" si="11"/>
        <v>33.97569</v>
      </c>
      <c r="U7" s="7">
        <f>'[4]Feb Prod'!D6</f>
        <v>0</v>
      </c>
      <c r="V7" s="8">
        <f t="shared" si="12"/>
        <v>0</v>
      </c>
      <c r="W7" s="10">
        <f t="shared" si="13"/>
        <v>0</v>
      </c>
      <c r="X7" s="7">
        <f>'[4]Feb Prod'!D247</f>
        <v>266999.99999999948</v>
      </c>
      <c r="Y7" s="8">
        <f t="shared" si="14"/>
        <v>0.26699999999999946</v>
      </c>
      <c r="Z7" s="10">
        <f t="shared" si="15"/>
        <v>0.81968999999999825</v>
      </c>
      <c r="AA7" s="15"/>
      <c r="AB7" s="7">
        <f t="shared" si="16"/>
        <v>10800000</v>
      </c>
      <c r="AC7" s="8">
        <f t="shared" si="17"/>
        <v>10.8</v>
      </c>
      <c r="AD7" s="8">
        <f t="shared" si="17"/>
        <v>33.155999999999999</v>
      </c>
    </row>
    <row r="8" spans="1:30" x14ac:dyDescent="0.25">
      <c r="A8" s="27">
        <v>41309</v>
      </c>
      <c r="B8" s="7">
        <f>'[4]Feb Prod'!I7</f>
        <v>0</v>
      </c>
      <c r="C8" s="8">
        <f t="shared" si="0"/>
        <v>0</v>
      </c>
      <c r="D8" s="10">
        <f t="shared" si="1"/>
        <v>0</v>
      </c>
      <c r="E8" s="7">
        <f>'[4]Feb Prod'!E7</f>
        <v>0</v>
      </c>
      <c r="F8" s="8">
        <f t="shared" si="2"/>
        <v>0</v>
      </c>
      <c r="G8" s="10">
        <f t="shared" si="3"/>
        <v>0</v>
      </c>
      <c r="H8" s="7">
        <f>'[4]Feb Prod'!F7</f>
        <v>0</v>
      </c>
      <c r="I8" s="8">
        <f t="shared" si="4"/>
        <v>0</v>
      </c>
      <c r="J8" s="10">
        <f t="shared" si="5"/>
        <v>0</v>
      </c>
      <c r="K8" s="7">
        <f>'[4]Feb Prod'!H248</f>
        <v>0</v>
      </c>
      <c r="L8" s="8">
        <f t="shared" si="6"/>
        <v>0</v>
      </c>
      <c r="M8" s="10">
        <f t="shared" si="7"/>
        <v>0</v>
      </c>
      <c r="N8" s="21"/>
      <c r="O8" s="7">
        <f>'[4]Feb Prod'!H7</f>
        <v>11512000.000000002</v>
      </c>
      <c r="P8" s="8">
        <f t="shared" si="8"/>
        <v>11.512000000000002</v>
      </c>
      <c r="Q8" s="10">
        <f t="shared" si="9"/>
        <v>35.341840000000005</v>
      </c>
      <c r="R8" s="7">
        <f>'[4]Feb Prod'!C7</f>
        <v>11979000</v>
      </c>
      <c r="S8" s="8">
        <f t="shared" si="10"/>
        <v>11.978999999999999</v>
      </c>
      <c r="T8" s="10">
        <f t="shared" si="11"/>
        <v>36.775529999999996</v>
      </c>
      <c r="U8" s="7">
        <f>'[4]Feb Prod'!D7</f>
        <v>0</v>
      </c>
      <c r="V8" s="8">
        <f t="shared" si="12"/>
        <v>0</v>
      </c>
      <c r="W8" s="10">
        <f t="shared" si="13"/>
        <v>0</v>
      </c>
      <c r="X8" s="7">
        <f>'[4]Feb Prod'!D248</f>
        <v>466999.99999999878</v>
      </c>
      <c r="Y8" s="8">
        <f t="shared" si="14"/>
        <v>0.4669999999999988</v>
      </c>
      <c r="Z8" s="10">
        <f t="shared" si="15"/>
        <v>1.4336899999999964</v>
      </c>
      <c r="AA8" s="15"/>
      <c r="AB8" s="7">
        <f t="shared" si="16"/>
        <v>11512000.000000002</v>
      </c>
      <c r="AC8" s="8">
        <f t="shared" si="17"/>
        <v>11.512000000000002</v>
      </c>
      <c r="AD8" s="8">
        <f>D8+Q8</f>
        <v>35.341840000000005</v>
      </c>
    </row>
    <row r="9" spans="1:30" x14ac:dyDescent="0.25">
      <c r="A9" s="27">
        <v>41310</v>
      </c>
      <c r="B9" s="7">
        <f>'[4]Feb Prod'!I8</f>
        <v>0</v>
      </c>
      <c r="C9" s="8">
        <f t="shared" si="0"/>
        <v>0</v>
      </c>
      <c r="D9" s="10">
        <f t="shared" si="1"/>
        <v>0</v>
      </c>
      <c r="E9" s="7">
        <f>'[4]Feb Prod'!E8</f>
        <v>0</v>
      </c>
      <c r="F9" s="8">
        <f t="shared" si="2"/>
        <v>0</v>
      </c>
      <c r="G9" s="10">
        <f t="shared" si="3"/>
        <v>0</v>
      </c>
      <c r="H9" s="7">
        <f>'[4]Feb Prod'!F8</f>
        <v>0</v>
      </c>
      <c r="I9" s="8">
        <f t="shared" si="4"/>
        <v>0</v>
      </c>
      <c r="J9" s="10">
        <f t="shared" si="5"/>
        <v>0</v>
      </c>
      <c r="K9" s="7">
        <f>'[4]Feb Prod'!H249</f>
        <v>0</v>
      </c>
      <c r="L9" s="8">
        <f t="shared" si="6"/>
        <v>0</v>
      </c>
      <c r="M9" s="10">
        <f t="shared" si="7"/>
        <v>0</v>
      </c>
      <c r="N9" s="21"/>
      <c r="O9" s="7">
        <f>'[4]Feb Prod'!H8</f>
        <v>11628000</v>
      </c>
      <c r="P9" s="8">
        <f t="shared" si="8"/>
        <v>11.628</v>
      </c>
      <c r="Q9" s="10">
        <f t="shared" si="9"/>
        <v>35.697960000000002</v>
      </c>
      <c r="R9" s="7">
        <f>'[4]Feb Prod'!C8</f>
        <v>12021000</v>
      </c>
      <c r="S9" s="8">
        <f t="shared" si="10"/>
        <v>12.021000000000001</v>
      </c>
      <c r="T9" s="10">
        <f t="shared" si="11"/>
        <v>36.904470000000003</v>
      </c>
      <c r="U9" s="7">
        <f>'[4]Feb Prod'!D8</f>
        <v>0</v>
      </c>
      <c r="V9" s="8">
        <f t="shared" si="12"/>
        <v>0</v>
      </c>
      <c r="W9" s="10">
        <f t="shared" si="13"/>
        <v>0</v>
      </c>
      <c r="X9" s="7">
        <f>'[4]Feb Prod'!D249</f>
        <v>393000.0000000007</v>
      </c>
      <c r="Y9" s="8">
        <f t="shared" si="14"/>
        <v>0.39300000000000068</v>
      </c>
      <c r="Z9" s="10">
        <f t="shared" si="15"/>
        <v>1.206510000000002</v>
      </c>
      <c r="AA9" s="15"/>
      <c r="AB9" s="7">
        <f t="shared" si="16"/>
        <v>11628000</v>
      </c>
      <c r="AC9" s="8">
        <f t="shared" si="17"/>
        <v>11.628</v>
      </c>
      <c r="AD9" s="8">
        <f t="shared" si="17"/>
        <v>35.697960000000002</v>
      </c>
    </row>
    <row r="10" spans="1:30" x14ac:dyDescent="0.25">
      <c r="A10" s="27">
        <v>41311</v>
      </c>
      <c r="B10" s="7">
        <f>'[4]Feb Prod'!I9</f>
        <v>0</v>
      </c>
      <c r="C10" s="8">
        <f t="shared" si="0"/>
        <v>0</v>
      </c>
      <c r="D10" s="10">
        <f t="shared" si="1"/>
        <v>0</v>
      </c>
      <c r="E10" s="7">
        <f>'[4]Feb Prod'!E9</f>
        <v>0</v>
      </c>
      <c r="F10" s="8">
        <f t="shared" si="2"/>
        <v>0</v>
      </c>
      <c r="G10" s="10">
        <f t="shared" si="3"/>
        <v>0</v>
      </c>
      <c r="H10" s="7">
        <f>'[4]Feb Prod'!F9</f>
        <v>0</v>
      </c>
      <c r="I10" s="8">
        <f t="shared" si="4"/>
        <v>0</v>
      </c>
      <c r="J10" s="10">
        <f t="shared" si="5"/>
        <v>0</v>
      </c>
      <c r="K10" s="7">
        <f>'[4]Feb Prod'!H250</f>
        <v>0</v>
      </c>
      <c r="L10" s="8">
        <f t="shared" si="6"/>
        <v>0</v>
      </c>
      <c r="M10" s="10">
        <f t="shared" si="7"/>
        <v>0</v>
      </c>
      <c r="N10" s="21"/>
      <c r="O10" s="7">
        <f>'[4]Feb Prod'!H9</f>
        <v>11628999.999999998</v>
      </c>
      <c r="P10" s="8">
        <f t="shared" si="8"/>
        <v>11.628999999999998</v>
      </c>
      <c r="Q10" s="10">
        <f t="shared" si="9"/>
        <v>35.701029999999989</v>
      </c>
      <c r="R10" s="7">
        <f>'[4]Feb Prod'!C9</f>
        <v>11976000</v>
      </c>
      <c r="S10" s="8">
        <f t="shared" si="10"/>
        <v>11.976000000000001</v>
      </c>
      <c r="T10" s="10">
        <f t="shared" si="11"/>
        <v>36.76632</v>
      </c>
      <c r="U10" s="7">
        <f>'[4]Feb Prod'!D9</f>
        <v>0</v>
      </c>
      <c r="V10" s="8">
        <f t="shared" si="12"/>
        <v>0</v>
      </c>
      <c r="W10" s="10">
        <f t="shared" si="13"/>
        <v>0</v>
      </c>
      <c r="X10" s="7">
        <f>'[4]Feb Prod'!D250</f>
        <v>347000.00000000128</v>
      </c>
      <c r="Y10" s="8">
        <f t="shared" si="14"/>
        <v>0.34700000000000131</v>
      </c>
      <c r="Z10" s="10">
        <f t="shared" si="15"/>
        <v>1.0652900000000041</v>
      </c>
      <c r="AA10" s="15"/>
      <c r="AB10" s="7">
        <f t="shared" si="16"/>
        <v>11628999.999999998</v>
      </c>
      <c r="AC10" s="8">
        <f t="shared" si="17"/>
        <v>11.628999999999998</v>
      </c>
      <c r="AD10" s="8">
        <f t="shared" si="17"/>
        <v>35.701029999999989</v>
      </c>
    </row>
    <row r="11" spans="1:30" x14ac:dyDescent="0.25">
      <c r="A11" s="27">
        <v>41312</v>
      </c>
      <c r="B11" s="7">
        <f>'[4]Feb Prod'!I10</f>
        <v>0</v>
      </c>
      <c r="C11" s="8">
        <f t="shared" si="0"/>
        <v>0</v>
      </c>
      <c r="D11" s="10">
        <f t="shared" si="1"/>
        <v>0</v>
      </c>
      <c r="E11" s="7">
        <f>'[4]Feb Prod'!E10</f>
        <v>0</v>
      </c>
      <c r="F11" s="8">
        <f t="shared" si="2"/>
        <v>0</v>
      </c>
      <c r="G11" s="10">
        <f t="shared" si="3"/>
        <v>0</v>
      </c>
      <c r="H11" s="7">
        <f>'[4]Feb Prod'!F10</f>
        <v>0</v>
      </c>
      <c r="I11" s="8">
        <f t="shared" si="4"/>
        <v>0</v>
      </c>
      <c r="J11" s="10">
        <f t="shared" si="5"/>
        <v>0</v>
      </c>
      <c r="K11" s="7">
        <f>'[4]Feb Prod'!H251</f>
        <v>0</v>
      </c>
      <c r="L11" s="8">
        <f t="shared" si="6"/>
        <v>0</v>
      </c>
      <c r="M11" s="10">
        <f t="shared" si="7"/>
        <v>0</v>
      </c>
      <c r="N11" s="21"/>
      <c r="O11" s="7">
        <f>'[4]Feb Prod'!H10</f>
        <v>10954000.000000002</v>
      </c>
      <c r="P11" s="8">
        <f t="shared" si="8"/>
        <v>10.954000000000002</v>
      </c>
      <c r="Q11" s="10">
        <f t="shared" si="9"/>
        <v>33.628780000000006</v>
      </c>
      <c r="R11" s="7">
        <f>'[4]Feb Prod'!C10</f>
        <v>11319000</v>
      </c>
      <c r="S11" s="8">
        <f t="shared" si="10"/>
        <v>11.319000000000001</v>
      </c>
      <c r="T11" s="10">
        <f t="shared" si="11"/>
        <v>34.74933</v>
      </c>
      <c r="U11" s="7">
        <f>'[4]Feb Prod'!D10</f>
        <v>0</v>
      </c>
      <c r="V11" s="8">
        <f t="shared" si="12"/>
        <v>0</v>
      </c>
      <c r="W11" s="10">
        <f t="shared" si="13"/>
        <v>0</v>
      </c>
      <c r="X11" s="7">
        <f>'[4]Feb Prod'!D251</f>
        <v>364999.99999999843</v>
      </c>
      <c r="Y11" s="8">
        <f t="shared" si="14"/>
        <v>0.36499999999999844</v>
      </c>
      <c r="Z11" s="10">
        <f t="shared" si="15"/>
        <v>1.1205499999999951</v>
      </c>
      <c r="AA11" s="15"/>
      <c r="AB11" s="7">
        <f t="shared" si="16"/>
        <v>10954000.000000002</v>
      </c>
      <c r="AC11" s="8">
        <f t="shared" si="17"/>
        <v>10.954000000000002</v>
      </c>
      <c r="AD11" s="8">
        <f t="shared" si="17"/>
        <v>33.628780000000006</v>
      </c>
    </row>
    <row r="12" spans="1:30" x14ac:dyDescent="0.25">
      <c r="A12" s="27">
        <v>41313</v>
      </c>
      <c r="B12" s="7">
        <f>'[4]Feb Prod'!I11</f>
        <v>0</v>
      </c>
      <c r="C12" s="8">
        <f t="shared" si="0"/>
        <v>0</v>
      </c>
      <c r="D12" s="10">
        <f t="shared" si="1"/>
        <v>0</v>
      </c>
      <c r="E12" s="7">
        <f>'[4]Feb Prod'!E11</f>
        <v>0</v>
      </c>
      <c r="F12" s="8">
        <f t="shared" si="2"/>
        <v>0</v>
      </c>
      <c r="G12" s="10">
        <f t="shared" si="3"/>
        <v>0</v>
      </c>
      <c r="H12" s="7">
        <f>'[4]Feb Prod'!F11</f>
        <v>0</v>
      </c>
      <c r="I12" s="8">
        <f t="shared" si="4"/>
        <v>0</v>
      </c>
      <c r="J12" s="10">
        <f t="shared" si="5"/>
        <v>0</v>
      </c>
      <c r="K12" s="7">
        <f>'[4]Feb Prod'!H252</f>
        <v>0</v>
      </c>
      <c r="L12" s="8">
        <f t="shared" si="6"/>
        <v>0</v>
      </c>
      <c r="M12" s="10">
        <f t="shared" si="7"/>
        <v>0</v>
      </c>
      <c r="N12" s="21"/>
      <c r="O12" s="7">
        <f>'[4]Feb Prod'!H11</f>
        <v>11369999.999999996</v>
      </c>
      <c r="P12" s="8">
        <f t="shared" si="8"/>
        <v>11.369999999999996</v>
      </c>
      <c r="Q12" s="10">
        <f t="shared" si="9"/>
        <v>34.905899999999988</v>
      </c>
      <c r="R12" s="7">
        <f>'[4]Feb Prod'!C11</f>
        <v>11881000</v>
      </c>
      <c r="S12" s="8">
        <f t="shared" si="10"/>
        <v>11.881</v>
      </c>
      <c r="T12" s="10">
        <f t="shared" si="11"/>
        <v>36.474669999999996</v>
      </c>
      <c r="U12" s="7">
        <f>'[4]Feb Prod'!D11</f>
        <v>0</v>
      </c>
      <c r="V12" s="8">
        <f t="shared" si="12"/>
        <v>0</v>
      </c>
      <c r="W12" s="10">
        <f t="shared" si="13"/>
        <v>0</v>
      </c>
      <c r="X12" s="7">
        <f>'[4]Feb Prod'!D252</f>
        <v>511000.00000000279</v>
      </c>
      <c r="Y12" s="8">
        <f t="shared" si="14"/>
        <v>0.51100000000000279</v>
      </c>
      <c r="Z12" s="10">
        <f t="shared" si="15"/>
        <v>1.5687700000000084</v>
      </c>
      <c r="AA12" s="15"/>
      <c r="AB12" s="7">
        <f t="shared" si="16"/>
        <v>11369999.999999996</v>
      </c>
      <c r="AC12" s="8">
        <f t="shared" si="17"/>
        <v>11.369999999999996</v>
      </c>
      <c r="AD12" s="8">
        <f t="shared" si="17"/>
        <v>34.905899999999988</v>
      </c>
    </row>
    <row r="13" spans="1:30" x14ac:dyDescent="0.25">
      <c r="A13" s="27">
        <v>41314</v>
      </c>
      <c r="B13" s="7">
        <f>'[4]Feb Prod'!I12</f>
        <v>0</v>
      </c>
      <c r="C13" s="8">
        <f t="shared" si="0"/>
        <v>0</v>
      </c>
      <c r="D13" s="10">
        <f t="shared" si="1"/>
        <v>0</v>
      </c>
      <c r="E13" s="7">
        <f>'[4]Feb Prod'!E12</f>
        <v>0</v>
      </c>
      <c r="F13" s="8">
        <f t="shared" si="2"/>
        <v>0</v>
      </c>
      <c r="G13" s="10">
        <f t="shared" si="3"/>
        <v>0</v>
      </c>
      <c r="H13" s="7">
        <f>'[4]Feb Prod'!F12</f>
        <v>0</v>
      </c>
      <c r="I13" s="8">
        <f t="shared" si="4"/>
        <v>0</v>
      </c>
      <c r="J13" s="10">
        <f t="shared" si="5"/>
        <v>0</v>
      </c>
      <c r="K13" s="7">
        <f>'[4]Feb Prod'!H253</f>
        <v>74020</v>
      </c>
      <c r="L13" s="8">
        <f t="shared" si="6"/>
        <v>7.4020000000000002E-2</v>
      </c>
      <c r="M13" s="10">
        <f t="shared" si="7"/>
        <v>0.22724139999999998</v>
      </c>
      <c r="N13" s="21"/>
      <c r="O13" s="7">
        <f>'[4]Feb Prod'!H12</f>
        <v>12584000.000000002</v>
      </c>
      <c r="P13" s="8">
        <f t="shared" si="8"/>
        <v>12.584000000000001</v>
      </c>
      <c r="Q13" s="10">
        <f t="shared" si="9"/>
        <v>38.63288</v>
      </c>
      <c r="R13" s="7">
        <f>'[4]Feb Prod'!C12</f>
        <v>13059000</v>
      </c>
      <c r="S13" s="8">
        <f t="shared" si="10"/>
        <v>13.058999999999999</v>
      </c>
      <c r="T13" s="10">
        <f t="shared" si="11"/>
        <v>40.091129999999993</v>
      </c>
      <c r="U13" s="7">
        <f>'[4]Feb Prod'!D12</f>
        <v>0</v>
      </c>
      <c r="V13" s="8">
        <f t="shared" si="12"/>
        <v>0</v>
      </c>
      <c r="W13" s="10">
        <f t="shared" si="13"/>
        <v>0</v>
      </c>
      <c r="X13" s="7">
        <f>'[4]Feb Prod'!D253</f>
        <v>474999.99999999785</v>
      </c>
      <c r="Y13" s="8">
        <f t="shared" si="14"/>
        <v>0.47499999999999787</v>
      </c>
      <c r="Z13" s="10">
        <f t="shared" si="15"/>
        <v>1.4582499999999934</v>
      </c>
      <c r="AA13" s="15"/>
      <c r="AB13" s="7">
        <f t="shared" si="16"/>
        <v>12584000.000000002</v>
      </c>
      <c r="AC13" s="8">
        <f t="shared" si="17"/>
        <v>12.584000000000001</v>
      </c>
      <c r="AD13" s="8">
        <f t="shared" si="17"/>
        <v>38.63288</v>
      </c>
    </row>
    <row r="14" spans="1:30" x14ac:dyDescent="0.25">
      <c r="A14" s="27">
        <v>41315</v>
      </c>
      <c r="B14" s="7">
        <f>'[4]Feb Prod'!I13</f>
        <v>0</v>
      </c>
      <c r="C14" s="8">
        <f t="shared" si="0"/>
        <v>0</v>
      </c>
      <c r="D14" s="10">
        <f t="shared" si="1"/>
        <v>0</v>
      </c>
      <c r="E14" s="7">
        <f>'[4]Feb Prod'!E13</f>
        <v>0</v>
      </c>
      <c r="F14" s="8">
        <f t="shared" si="2"/>
        <v>0</v>
      </c>
      <c r="G14" s="10">
        <f t="shared" si="3"/>
        <v>0</v>
      </c>
      <c r="H14" s="7">
        <f>'[4]Feb Prod'!F13</f>
        <v>0</v>
      </c>
      <c r="I14" s="8">
        <f t="shared" si="4"/>
        <v>0</v>
      </c>
      <c r="J14" s="10">
        <f t="shared" si="5"/>
        <v>0</v>
      </c>
      <c r="K14" s="7">
        <f>'[4]Feb Prod'!H254</f>
        <v>0</v>
      </c>
      <c r="L14" s="8">
        <f t="shared" si="6"/>
        <v>0</v>
      </c>
      <c r="M14" s="10">
        <f t="shared" si="7"/>
        <v>0</v>
      </c>
      <c r="N14" s="21"/>
      <c r="O14" s="7">
        <f>'[4]Feb Prod'!H13</f>
        <v>12764000</v>
      </c>
      <c r="P14" s="8">
        <f t="shared" si="8"/>
        <v>12.763999999999999</v>
      </c>
      <c r="Q14" s="10">
        <f t="shared" si="9"/>
        <v>39.185479999999998</v>
      </c>
      <c r="R14" s="7">
        <f>'[4]Feb Prod'!C13</f>
        <v>13099000</v>
      </c>
      <c r="S14" s="8">
        <f t="shared" si="10"/>
        <v>13.099</v>
      </c>
      <c r="T14" s="10">
        <f t="shared" si="11"/>
        <v>40.213929999999998</v>
      </c>
      <c r="U14" s="7">
        <f>'[4]Feb Prod'!D13</f>
        <v>0</v>
      </c>
      <c r="V14" s="8">
        <f t="shared" si="12"/>
        <v>0</v>
      </c>
      <c r="W14" s="10">
        <f t="shared" si="13"/>
        <v>0</v>
      </c>
      <c r="X14" s="7">
        <f>'[4]Feb Prod'!D254</f>
        <v>335000.00000000087</v>
      </c>
      <c r="Y14" s="8">
        <f t="shared" si="14"/>
        <v>0.33500000000000085</v>
      </c>
      <c r="Z14" s="10">
        <f t="shared" si="15"/>
        <v>1.0284500000000025</v>
      </c>
      <c r="AA14" s="15"/>
      <c r="AB14" s="7">
        <f t="shared" si="16"/>
        <v>12764000</v>
      </c>
      <c r="AC14" s="8">
        <f t="shared" si="17"/>
        <v>12.763999999999999</v>
      </c>
      <c r="AD14" s="8">
        <f t="shared" si="17"/>
        <v>39.185479999999998</v>
      </c>
    </row>
    <row r="15" spans="1:30" x14ac:dyDescent="0.25">
      <c r="A15" s="27">
        <v>41316</v>
      </c>
      <c r="B15" s="7">
        <f>'[4]Feb Prod'!I14</f>
        <v>0</v>
      </c>
      <c r="C15" s="8">
        <f t="shared" si="0"/>
        <v>0</v>
      </c>
      <c r="D15" s="10">
        <f t="shared" si="1"/>
        <v>0</v>
      </c>
      <c r="E15" s="7">
        <f>'[4]Feb Prod'!E14</f>
        <v>0</v>
      </c>
      <c r="F15" s="8">
        <f t="shared" si="2"/>
        <v>0</v>
      </c>
      <c r="G15" s="10">
        <f t="shared" si="3"/>
        <v>0</v>
      </c>
      <c r="H15" s="7">
        <f>'[4]Feb Prod'!F14</f>
        <v>0</v>
      </c>
      <c r="I15" s="8">
        <f t="shared" si="4"/>
        <v>0</v>
      </c>
      <c r="J15" s="10">
        <f t="shared" si="5"/>
        <v>0</v>
      </c>
      <c r="K15" s="7">
        <f>'[4]Feb Prod'!H255</f>
        <v>0</v>
      </c>
      <c r="L15" s="8">
        <f t="shared" si="6"/>
        <v>0</v>
      </c>
      <c r="M15" s="10">
        <f t="shared" si="7"/>
        <v>0</v>
      </c>
      <c r="N15" s="21"/>
      <c r="O15" s="7">
        <f>'[4]Feb Prod'!H14</f>
        <v>10363000.000000002</v>
      </c>
      <c r="P15" s="8">
        <f t="shared" si="8"/>
        <v>10.363000000000001</v>
      </c>
      <c r="Q15" s="10">
        <f t="shared" si="9"/>
        <v>31.814410000000002</v>
      </c>
      <c r="R15" s="7">
        <f>'[4]Feb Prod'!C14</f>
        <v>10763000</v>
      </c>
      <c r="S15" s="8">
        <f t="shared" si="10"/>
        <v>10.763</v>
      </c>
      <c r="T15" s="10">
        <f t="shared" si="11"/>
        <v>33.042409999999997</v>
      </c>
      <c r="U15" s="7">
        <f>'[4]Feb Prod'!D14</f>
        <v>0</v>
      </c>
      <c r="V15" s="8">
        <f t="shared" si="12"/>
        <v>0</v>
      </c>
      <c r="W15" s="10">
        <f t="shared" si="13"/>
        <v>0</v>
      </c>
      <c r="X15" s="7">
        <f>'[4]Feb Prod'!D255</f>
        <v>399999.9999999986</v>
      </c>
      <c r="Y15" s="8">
        <f t="shared" si="14"/>
        <v>0.39999999999999858</v>
      </c>
      <c r="Z15" s="10">
        <f t="shared" si="15"/>
        <v>1.2279999999999955</v>
      </c>
      <c r="AA15" s="15"/>
      <c r="AB15" s="7">
        <f t="shared" si="16"/>
        <v>10363000.000000002</v>
      </c>
      <c r="AC15" s="8">
        <f t="shared" si="17"/>
        <v>10.363000000000001</v>
      </c>
      <c r="AD15" s="8">
        <f t="shared" si="17"/>
        <v>31.814410000000002</v>
      </c>
    </row>
    <row r="16" spans="1:30" x14ac:dyDescent="0.25">
      <c r="A16" s="27">
        <v>41317</v>
      </c>
      <c r="B16" s="7">
        <f>'[4]Feb Prod'!I15</f>
        <v>0</v>
      </c>
      <c r="C16" s="8">
        <f t="shared" si="0"/>
        <v>0</v>
      </c>
      <c r="D16" s="10">
        <f t="shared" si="1"/>
        <v>0</v>
      </c>
      <c r="E16" s="7">
        <f>'[4]Feb Prod'!E15</f>
        <v>0</v>
      </c>
      <c r="F16" s="8">
        <f t="shared" si="2"/>
        <v>0</v>
      </c>
      <c r="G16" s="10">
        <f t="shared" si="3"/>
        <v>0</v>
      </c>
      <c r="H16" s="7">
        <f>'[4]Feb Prod'!F15</f>
        <v>0</v>
      </c>
      <c r="I16" s="8">
        <f t="shared" si="4"/>
        <v>0</v>
      </c>
      <c r="J16" s="10">
        <f t="shared" si="5"/>
        <v>0</v>
      </c>
      <c r="K16" s="7">
        <f>'[4]Feb Prod'!H256</f>
        <v>0</v>
      </c>
      <c r="L16" s="8">
        <f t="shared" si="6"/>
        <v>0</v>
      </c>
      <c r="M16" s="10">
        <f t="shared" si="7"/>
        <v>0</v>
      </c>
      <c r="N16" s="21"/>
      <c r="O16" s="7">
        <f>'[4]Feb Prod'!H15</f>
        <v>10730999.999999998</v>
      </c>
      <c r="P16" s="8">
        <f t="shared" si="8"/>
        <v>10.730999999999998</v>
      </c>
      <c r="Q16" s="10">
        <f t="shared" si="9"/>
        <v>32.944169999999993</v>
      </c>
      <c r="R16" s="7">
        <f>'[4]Feb Prod'!C15</f>
        <v>11011000</v>
      </c>
      <c r="S16" s="8">
        <f t="shared" si="10"/>
        <v>11.010999999999999</v>
      </c>
      <c r="T16" s="10">
        <f t="shared" si="11"/>
        <v>33.803769999999993</v>
      </c>
      <c r="U16" s="7">
        <f>'[4]Feb Prod'!D15</f>
        <v>0</v>
      </c>
      <c r="V16" s="8">
        <f t="shared" si="12"/>
        <v>0</v>
      </c>
      <c r="W16" s="10">
        <f t="shared" si="13"/>
        <v>0</v>
      </c>
      <c r="X16" s="7">
        <f>'[4]Feb Prod'!D256</f>
        <v>280000.00000000116</v>
      </c>
      <c r="Y16" s="8">
        <f t="shared" si="14"/>
        <v>0.28000000000000114</v>
      </c>
      <c r="Z16" s="10">
        <f t="shared" si="15"/>
        <v>0.85960000000000347</v>
      </c>
      <c r="AA16" s="15"/>
      <c r="AB16" s="7">
        <f t="shared" si="16"/>
        <v>10730999.999999998</v>
      </c>
      <c r="AC16" s="8">
        <f t="shared" si="17"/>
        <v>10.730999999999998</v>
      </c>
      <c r="AD16" s="8">
        <f t="shared" si="17"/>
        <v>32.944169999999993</v>
      </c>
    </row>
    <row r="17" spans="1:30" x14ac:dyDescent="0.25">
      <c r="A17" s="27">
        <v>41318</v>
      </c>
      <c r="B17" s="7">
        <f>'[4]Feb Prod'!I16</f>
        <v>0</v>
      </c>
      <c r="C17" s="8">
        <f t="shared" si="0"/>
        <v>0</v>
      </c>
      <c r="D17" s="10">
        <f t="shared" si="1"/>
        <v>0</v>
      </c>
      <c r="E17" s="7">
        <f>'[4]Feb Prod'!E16</f>
        <v>0</v>
      </c>
      <c r="F17" s="8">
        <f t="shared" si="2"/>
        <v>0</v>
      </c>
      <c r="G17" s="10">
        <f t="shared" si="3"/>
        <v>0</v>
      </c>
      <c r="H17" s="7">
        <f>'[4]Feb Prod'!F16</f>
        <v>0</v>
      </c>
      <c r="I17" s="8">
        <f t="shared" si="4"/>
        <v>0</v>
      </c>
      <c r="J17" s="10">
        <f t="shared" si="5"/>
        <v>0</v>
      </c>
      <c r="K17" s="7">
        <f>'[4]Feb Prod'!H257</f>
        <v>0</v>
      </c>
      <c r="L17" s="8">
        <f t="shared" si="6"/>
        <v>0</v>
      </c>
      <c r="M17" s="10">
        <f t="shared" si="7"/>
        <v>0</v>
      </c>
      <c r="N17" s="21"/>
      <c r="O17" s="7">
        <f>'[4]Feb Prod'!H16</f>
        <v>11797999.999999998</v>
      </c>
      <c r="P17" s="8">
        <f t="shared" si="8"/>
        <v>11.797999999999998</v>
      </c>
      <c r="Q17" s="10">
        <f t="shared" si="9"/>
        <v>36.21985999999999</v>
      </c>
      <c r="R17" s="7">
        <f>'[4]Feb Prod'!C16</f>
        <v>12200000</v>
      </c>
      <c r="S17" s="8">
        <f t="shared" si="10"/>
        <v>12.2</v>
      </c>
      <c r="T17" s="10">
        <f t="shared" si="11"/>
        <v>37.453999999999994</v>
      </c>
      <c r="U17" s="7">
        <f>'[4]Feb Prod'!D16</f>
        <v>0</v>
      </c>
      <c r="V17" s="8">
        <f t="shared" si="12"/>
        <v>0</v>
      </c>
      <c r="W17" s="10">
        <f t="shared" si="13"/>
        <v>0</v>
      </c>
      <c r="X17" s="7">
        <f>'[4]Feb Prod'!D257</f>
        <v>402000.00000000105</v>
      </c>
      <c r="Y17" s="8">
        <f t="shared" si="14"/>
        <v>0.40200000000000102</v>
      </c>
      <c r="Z17" s="10">
        <f t="shared" si="15"/>
        <v>1.2341400000000031</v>
      </c>
      <c r="AA17" s="15"/>
      <c r="AB17" s="7">
        <f t="shared" si="16"/>
        <v>11797999.999999998</v>
      </c>
      <c r="AC17" s="8">
        <f t="shared" si="17"/>
        <v>11.797999999999998</v>
      </c>
      <c r="AD17" s="8">
        <f t="shared" si="17"/>
        <v>36.21985999999999</v>
      </c>
    </row>
    <row r="18" spans="1:30" x14ac:dyDescent="0.25">
      <c r="A18" s="27">
        <v>41319</v>
      </c>
      <c r="B18" s="7">
        <f>'[4]Feb Prod'!I17</f>
        <v>0</v>
      </c>
      <c r="C18" s="8">
        <f t="shared" si="0"/>
        <v>0</v>
      </c>
      <c r="D18" s="10">
        <f t="shared" si="1"/>
        <v>0</v>
      </c>
      <c r="E18" s="7">
        <f>'[4]Feb Prod'!E17</f>
        <v>0</v>
      </c>
      <c r="F18" s="8">
        <f t="shared" si="2"/>
        <v>0</v>
      </c>
      <c r="G18" s="10">
        <f t="shared" si="3"/>
        <v>0</v>
      </c>
      <c r="H18" s="7">
        <f>'[4]Feb Prod'!F17</f>
        <v>0</v>
      </c>
      <c r="I18" s="8">
        <f t="shared" si="4"/>
        <v>0</v>
      </c>
      <c r="J18" s="10">
        <f t="shared" si="5"/>
        <v>0</v>
      </c>
      <c r="K18" s="7">
        <f>'[4]Feb Prod'!H258</f>
        <v>0</v>
      </c>
      <c r="L18" s="8">
        <f t="shared" ref="L18:L20" si="18">K18/1000000</f>
        <v>0</v>
      </c>
      <c r="M18" s="10">
        <f t="shared" ref="M18:M20" si="19">L18*3.07</f>
        <v>0</v>
      </c>
      <c r="N18" s="21"/>
      <c r="O18" s="7">
        <f>'[4]Feb Prod'!H17</f>
        <v>11506000</v>
      </c>
      <c r="P18" s="8">
        <f t="shared" si="8"/>
        <v>11.506</v>
      </c>
      <c r="Q18" s="10">
        <f t="shared" si="9"/>
        <v>35.323419999999999</v>
      </c>
      <c r="R18" s="7">
        <f>'[4]Feb Prod'!C17</f>
        <v>11974000</v>
      </c>
      <c r="S18" s="8">
        <f t="shared" si="10"/>
        <v>11.974</v>
      </c>
      <c r="T18" s="10">
        <f t="shared" si="11"/>
        <v>36.760179999999998</v>
      </c>
      <c r="U18" s="7">
        <f>'[4]Feb Prod'!D17</f>
        <v>0</v>
      </c>
      <c r="V18" s="8">
        <f t="shared" si="12"/>
        <v>0</v>
      </c>
      <c r="W18" s="10">
        <f t="shared" si="13"/>
        <v>0</v>
      </c>
      <c r="X18" s="7">
        <f>'[4]Feb Prod'!D258</f>
        <v>468000</v>
      </c>
      <c r="Y18" s="8">
        <f t="shared" si="14"/>
        <v>0.46800000000000003</v>
      </c>
      <c r="Z18" s="10">
        <f t="shared" si="15"/>
        <v>1.43676</v>
      </c>
      <c r="AA18" s="15"/>
      <c r="AB18" s="7">
        <f t="shared" si="17"/>
        <v>11506000</v>
      </c>
      <c r="AC18" s="8">
        <f t="shared" si="17"/>
        <v>11.506</v>
      </c>
      <c r="AD18" s="8">
        <f t="shared" si="17"/>
        <v>35.323419999999999</v>
      </c>
    </row>
    <row r="19" spans="1:30" x14ac:dyDescent="0.25">
      <c r="A19" s="27">
        <v>41320</v>
      </c>
      <c r="B19" s="7">
        <f>'[4]Feb Prod'!I18</f>
        <v>0</v>
      </c>
      <c r="C19" s="8">
        <f t="shared" si="0"/>
        <v>0</v>
      </c>
      <c r="D19" s="10">
        <f t="shared" si="1"/>
        <v>0</v>
      </c>
      <c r="E19" s="7">
        <f>'[4]Feb Prod'!E18</f>
        <v>0</v>
      </c>
      <c r="F19" s="8">
        <f t="shared" si="2"/>
        <v>0</v>
      </c>
      <c r="G19" s="10">
        <f t="shared" si="3"/>
        <v>0</v>
      </c>
      <c r="H19" s="7">
        <f>'[4]Feb Prod'!F18</f>
        <v>0</v>
      </c>
      <c r="I19" s="8">
        <f t="shared" si="4"/>
        <v>0</v>
      </c>
      <c r="J19" s="10">
        <f t="shared" si="5"/>
        <v>0</v>
      </c>
      <c r="K19" s="7">
        <f>'[4]Feb Prod'!H259</f>
        <v>15009</v>
      </c>
      <c r="L19" s="8">
        <f t="shared" si="18"/>
        <v>1.5009E-2</v>
      </c>
      <c r="M19" s="10">
        <f t="shared" si="19"/>
        <v>4.6077629999999994E-2</v>
      </c>
      <c r="N19" s="21"/>
      <c r="O19" s="7">
        <f>'[4]Feb Prod'!H18</f>
        <v>12649999.999999998</v>
      </c>
      <c r="P19" s="8">
        <f t="shared" si="8"/>
        <v>12.649999999999999</v>
      </c>
      <c r="Q19" s="10">
        <f t="shared" si="9"/>
        <v>38.835499999999996</v>
      </c>
      <c r="R19" s="7">
        <f>'[4]Feb Prod'!C18</f>
        <v>12936000</v>
      </c>
      <c r="S19" s="8">
        <f t="shared" si="10"/>
        <v>12.936</v>
      </c>
      <c r="T19" s="10">
        <f t="shared" si="11"/>
        <v>39.713519999999995</v>
      </c>
      <c r="U19" s="7">
        <f>'[4]Feb Prod'!D18</f>
        <v>0</v>
      </c>
      <c r="V19" s="8">
        <f t="shared" si="12"/>
        <v>0</v>
      </c>
      <c r="W19" s="10">
        <f t="shared" si="13"/>
        <v>0</v>
      </c>
      <c r="X19" s="7">
        <f>'[4]Feb Prod'!D259</f>
        <v>286000.00000000134</v>
      </c>
      <c r="Y19" s="8">
        <f t="shared" si="14"/>
        <v>0.28600000000000136</v>
      </c>
      <c r="Z19" s="10">
        <f t="shared" si="15"/>
        <v>0.87802000000000413</v>
      </c>
      <c r="AA19" s="15"/>
      <c r="AB19" s="7">
        <f t="shared" si="17"/>
        <v>12649999.999999998</v>
      </c>
      <c r="AC19" s="8">
        <f t="shared" si="17"/>
        <v>12.649999999999999</v>
      </c>
      <c r="AD19" s="8">
        <f>D19+Q19</f>
        <v>38.835499999999996</v>
      </c>
    </row>
    <row r="20" spans="1:30" x14ac:dyDescent="0.25">
      <c r="A20" s="27">
        <v>41321</v>
      </c>
      <c r="B20" s="7">
        <f>'[4]Feb Prod'!I19</f>
        <v>0</v>
      </c>
      <c r="C20" s="8">
        <f t="shared" si="0"/>
        <v>0</v>
      </c>
      <c r="D20" s="10">
        <f t="shared" si="1"/>
        <v>0</v>
      </c>
      <c r="E20" s="7">
        <f>'[4]Feb Prod'!E19</f>
        <v>0</v>
      </c>
      <c r="F20" s="8">
        <f t="shared" si="2"/>
        <v>0</v>
      </c>
      <c r="G20" s="10">
        <f t="shared" si="3"/>
        <v>0</v>
      </c>
      <c r="H20" s="7">
        <f>'[4]Feb Prod'!F19</f>
        <v>0</v>
      </c>
      <c r="I20" s="8">
        <f t="shared" si="4"/>
        <v>0</v>
      </c>
      <c r="J20" s="10">
        <f t="shared" si="5"/>
        <v>0</v>
      </c>
      <c r="K20" s="7">
        <f>'[4]Feb Prod'!H260</f>
        <v>0</v>
      </c>
      <c r="L20" s="8">
        <f t="shared" si="18"/>
        <v>0</v>
      </c>
      <c r="M20" s="10">
        <f t="shared" si="19"/>
        <v>0</v>
      </c>
      <c r="N20" s="21"/>
      <c r="O20" s="7">
        <f>'[4]Feb Prod'!H19</f>
        <v>10789000.000000002</v>
      </c>
      <c r="P20" s="8">
        <f t="shared" si="8"/>
        <v>10.789000000000001</v>
      </c>
      <c r="Q20" s="10">
        <f t="shared" si="9"/>
        <v>33.122230000000002</v>
      </c>
      <c r="R20" s="7">
        <f>'[4]Feb Prod'!C19</f>
        <v>11113000</v>
      </c>
      <c r="S20" s="8">
        <f t="shared" si="10"/>
        <v>11.113</v>
      </c>
      <c r="T20" s="10">
        <f t="shared" si="11"/>
        <v>34.116909999999997</v>
      </c>
      <c r="U20" s="7">
        <f>'[4]Feb Prod'!D19</f>
        <v>0</v>
      </c>
      <c r="V20" s="8">
        <f t="shared" si="12"/>
        <v>0</v>
      </c>
      <c r="W20" s="10">
        <f t="shared" si="13"/>
        <v>0</v>
      </c>
      <c r="X20" s="7">
        <f>'[4]Feb Prod'!D260</f>
        <v>323999.99999999808</v>
      </c>
      <c r="Y20" s="8">
        <f t="shared" si="14"/>
        <v>0.32399999999999807</v>
      </c>
      <c r="Z20" s="10">
        <f t="shared" si="15"/>
        <v>0.99467999999999401</v>
      </c>
      <c r="AA20" s="15"/>
      <c r="AB20" s="7">
        <f t="shared" si="17"/>
        <v>10789000.000000002</v>
      </c>
      <c r="AC20" s="8">
        <f t="shared" si="17"/>
        <v>10.789000000000001</v>
      </c>
      <c r="AD20" s="8">
        <f t="shared" si="17"/>
        <v>33.122230000000002</v>
      </c>
    </row>
    <row r="21" spans="1:30" x14ac:dyDescent="0.25">
      <c r="A21" s="27">
        <v>41322</v>
      </c>
      <c r="B21" s="7">
        <f>'[4]Feb Prod'!I20</f>
        <v>0</v>
      </c>
      <c r="C21" s="8">
        <f t="shared" si="0"/>
        <v>0</v>
      </c>
      <c r="D21" s="10">
        <f t="shared" si="1"/>
        <v>0</v>
      </c>
      <c r="E21" s="7">
        <f>'[4]Feb Prod'!E20</f>
        <v>0</v>
      </c>
      <c r="F21" s="8">
        <f t="shared" si="2"/>
        <v>0</v>
      </c>
      <c r="G21" s="10">
        <f t="shared" si="3"/>
        <v>0</v>
      </c>
      <c r="H21" s="7">
        <f>'[4]Feb Prod'!F20</f>
        <v>0</v>
      </c>
      <c r="I21" s="8">
        <f t="shared" si="4"/>
        <v>0</v>
      </c>
      <c r="J21" s="10">
        <f t="shared" si="5"/>
        <v>0</v>
      </c>
      <c r="K21" s="7">
        <f>'[4]Feb Prod'!H261</f>
        <v>0</v>
      </c>
      <c r="L21" s="8">
        <f t="shared" si="6"/>
        <v>0</v>
      </c>
      <c r="M21" s="10">
        <f t="shared" si="7"/>
        <v>0</v>
      </c>
      <c r="N21" s="21"/>
      <c r="O21" s="7">
        <f>'[4]Feb Prod'!H20</f>
        <v>11707999.999999998</v>
      </c>
      <c r="P21" s="8">
        <f t="shared" si="8"/>
        <v>11.707999999999998</v>
      </c>
      <c r="Q21" s="10">
        <f t="shared" si="9"/>
        <v>35.943559999999991</v>
      </c>
      <c r="R21" s="7">
        <f>'[4]Feb Prod'!C20</f>
        <v>11902000</v>
      </c>
      <c r="S21" s="8">
        <f t="shared" si="10"/>
        <v>11.901999999999999</v>
      </c>
      <c r="T21" s="10">
        <f t="shared" si="11"/>
        <v>36.539139999999996</v>
      </c>
      <c r="U21" s="7">
        <f>'[4]Feb Prod'!D20</f>
        <v>0</v>
      </c>
      <c r="V21" s="8">
        <f t="shared" si="12"/>
        <v>0</v>
      </c>
      <c r="W21" s="10">
        <f t="shared" si="13"/>
        <v>0</v>
      </c>
      <c r="X21" s="7">
        <f>'[4]Feb Prod'!D261</f>
        <v>194000.00000000262</v>
      </c>
      <c r="Y21" s="8">
        <f t="shared" si="14"/>
        <v>0.19400000000000261</v>
      </c>
      <c r="Z21" s="10">
        <f t="shared" si="15"/>
        <v>0.59558000000000799</v>
      </c>
      <c r="AA21" s="15"/>
      <c r="AB21" s="7">
        <f t="shared" si="17"/>
        <v>11707999.999999998</v>
      </c>
      <c r="AC21" s="8">
        <f t="shared" si="17"/>
        <v>11.707999999999998</v>
      </c>
      <c r="AD21" s="8">
        <f t="shared" si="17"/>
        <v>35.943559999999991</v>
      </c>
    </row>
    <row r="22" spans="1:30" x14ac:dyDescent="0.25">
      <c r="A22" s="27">
        <v>41323</v>
      </c>
      <c r="B22" s="7">
        <f>'[4]Feb Prod'!I21</f>
        <v>0</v>
      </c>
      <c r="C22" s="8">
        <f t="shared" si="0"/>
        <v>0</v>
      </c>
      <c r="D22" s="10">
        <f t="shared" si="1"/>
        <v>0</v>
      </c>
      <c r="E22" s="7">
        <f>'[4]Feb Prod'!E21</f>
        <v>0</v>
      </c>
      <c r="F22" s="8">
        <f t="shared" si="2"/>
        <v>0</v>
      </c>
      <c r="G22" s="10">
        <f t="shared" si="3"/>
        <v>0</v>
      </c>
      <c r="H22" s="7">
        <f>'[4]Feb Prod'!F21</f>
        <v>0</v>
      </c>
      <c r="I22" s="8">
        <f t="shared" si="4"/>
        <v>0</v>
      </c>
      <c r="J22" s="10">
        <f t="shared" si="5"/>
        <v>0</v>
      </c>
      <c r="K22" s="7">
        <f>'[4]Feb Prod'!H262</f>
        <v>0</v>
      </c>
      <c r="L22" s="8">
        <f t="shared" si="6"/>
        <v>0</v>
      </c>
      <c r="M22" s="10">
        <f t="shared" si="7"/>
        <v>0</v>
      </c>
      <c r="N22" s="21"/>
      <c r="O22" s="7">
        <f>'[4]Feb Prod'!H21</f>
        <v>11854000.000000002</v>
      </c>
      <c r="P22" s="8">
        <f t="shared" si="8"/>
        <v>11.854000000000001</v>
      </c>
      <c r="Q22" s="10">
        <f t="shared" si="9"/>
        <v>36.391780000000004</v>
      </c>
      <c r="R22" s="7">
        <f>'[4]Feb Prod'!C21</f>
        <v>12178000</v>
      </c>
      <c r="S22" s="8">
        <f t="shared" si="10"/>
        <v>12.178000000000001</v>
      </c>
      <c r="T22" s="10">
        <f t="shared" si="11"/>
        <v>37.38646</v>
      </c>
      <c r="U22" s="7">
        <f>'[4]Feb Prod'!D21</f>
        <v>0</v>
      </c>
      <c r="V22" s="8">
        <f t="shared" si="12"/>
        <v>0</v>
      </c>
      <c r="W22" s="10">
        <f t="shared" si="13"/>
        <v>0</v>
      </c>
      <c r="X22" s="7">
        <f>'[4]Feb Prod'!D262</f>
        <v>323999.99999999808</v>
      </c>
      <c r="Y22" s="8">
        <f t="shared" si="14"/>
        <v>0.32399999999999807</v>
      </c>
      <c r="Z22" s="10">
        <f t="shared" si="15"/>
        <v>0.99467999999999401</v>
      </c>
      <c r="AA22" s="15"/>
      <c r="AB22" s="7">
        <f t="shared" si="17"/>
        <v>11854000.000000002</v>
      </c>
      <c r="AC22" s="8">
        <f t="shared" si="17"/>
        <v>11.854000000000001</v>
      </c>
      <c r="AD22" s="8">
        <f t="shared" si="17"/>
        <v>36.391780000000004</v>
      </c>
    </row>
    <row r="23" spans="1:30" x14ac:dyDescent="0.25">
      <c r="A23" s="27">
        <v>41324</v>
      </c>
      <c r="B23" s="7">
        <f>'[4]Feb Prod'!I22</f>
        <v>0</v>
      </c>
      <c r="C23" s="8">
        <f t="shared" si="0"/>
        <v>0</v>
      </c>
      <c r="D23" s="10">
        <f t="shared" si="1"/>
        <v>0</v>
      </c>
      <c r="E23" s="7">
        <f>'[4]Feb Prod'!E22</f>
        <v>0</v>
      </c>
      <c r="F23" s="8">
        <f t="shared" si="2"/>
        <v>0</v>
      </c>
      <c r="G23" s="10">
        <f t="shared" si="3"/>
        <v>0</v>
      </c>
      <c r="H23" s="7">
        <f>'[4]Feb Prod'!F22</f>
        <v>0</v>
      </c>
      <c r="I23" s="8">
        <f t="shared" si="4"/>
        <v>0</v>
      </c>
      <c r="J23" s="10">
        <f t="shared" si="5"/>
        <v>0</v>
      </c>
      <c r="K23" s="7">
        <f>'[4]Feb Prod'!H263</f>
        <v>0</v>
      </c>
      <c r="L23" s="8">
        <f t="shared" si="6"/>
        <v>0</v>
      </c>
      <c r="M23" s="10">
        <f t="shared" si="7"/>
        <v>0</v>
      </c>
      <c r="N23" s="21"/>
      <c r="O23" s="7">
        <f>'[4]Feb Prod'!H22</f>
        <v>11511000</v>
      </c>
      <c r="P23" s="8">
        <f t="shared" si="8"/>
        <v>11.510999999999999</v>
      </c>
      <c r="Q23" s="10">
        <f t="shared" si="9"/>
        <v>35.338769999999997</v>
      </c>
      <c r="R23" s="7">
        <f>'[4]Feb Prod'!C22</f>
        <v>11840000</v>
      </c>
      <c r="S23" s="8">
        <f t="shared" si="10"/>
        <v>11.84</v>
      </c>
      <c r="T23" s="10">
        <f t="shared" si="11"/>
        <v>36.348799999999997</v>
      </c>
      <c r="U23" s="7">
        <f>'[4]Feb Prod'!D22</f>
        <v>0</v>
      </c>
      <c r="V23" s="8">
        <f t="shared" si="12"/>
        <v>0</v>
      </c>
      <c r="W23" s="10">
        <f t="shared" si="13"/>
        <v>0</v>
      </c>
      <c r="X23" s="7">
        <f>'[4]Feb Prod'!D263</f>
        <v>329000.00000000064</v>
      </c>
      <c r="Y23" s="8">
        <f t="shared" si="14"/>
        <v>0.32900000000000063</v>
      </c>
      <c r="Z23" s="10">
        <f t="shared" si="15"/>
        <v>1.0100300000000018</v>
      </c>
      <c r="AA23" s="15"/>
      <c r="AB23" s="7">
        <f t="shared" si="17"/>
        <v>11511000</v>
      </c>
      <c r="AC23" s="8">
        <f t="shared" si="17"/>
        <v>11.510999999999999</v>
      </c>
      <c r="AD23" s="8">
        <f t="shared" si="17"/>
        <v>35.338769999999997</v>
      </c>
    </row>
    <row r="24" spans="1:30" x14ac:dyDescent="0.25">
      <c r="A24" s="27">
        <v>41325</v>
      </c>
      <c r="B24" s="7">
        <f>'[4]Feb Prod'!I23</f>
        <v>0</v>
      </c>
      <c r="C24" s="8">
        <f t="shared" si="0"/>
        <v>0</v>
      </c>
      <c r="D24" s="10">
        <f t="shared" si="1"/>
        <v>0</v>
      </c>
      <c r="E24" s="7">
        <f>'[4]Feb Prod'!E23</f>
        <v>0</v>
      </c>
      <c r="F24" s="8">
        <f t="shared" si="2"/>
        <v>0</v>
      </c>
      <c r="G24" s="10">
        <f t="shared" si="3"/>
        <v>0</v>
      </c>
      <c r="H24" s="7">
        <f>'[4]Feb Prod'!F23</f>
        <v>0</v>
      </c>
      <c r="I24" s="8">
        <f t="shared" si="4"/>
        <v>0</v>
      </c>
      <c r="J24" s="10">
        <f t="shared" si="5"/>
        <v>0</v>
      </c>
      <c r="K24" s="7">
        <f>'[4]Feb Prod'!H264</f>
        <v>76651</v>
      </c>
      <c r="L24" s="8">
        <f t="shared" ref="L24:L32" si="20">K24/1000000</f>
        <v>7.6650999999999997E-2</v>
      </c>
      <c r="M24" s="10">
        <f t="shared" si="7"/>
        <v>0.23531856999999998</v>
      </c>
      <c r="N24" s="21"/>
      <c r="O24" s="7">
        <f>'[4]Feb Prod'!H23</f>
        <v>11568000.000000006</v>
      </c>
      <c r="P24" s="8">
        <f t="shared" si="8"/>
        <v>11.568000000000005</v>
      </c>
      <c r="Q24" s="10">
        <f t="shared" si="9"/>
        <v>35.513760000000012</v>
      </c>
      <c r="R24" s="7">
        <f>'[4]Feb Prod'!C23</f>
        <v>11814000</v>
      </c>
      <c r="S24" s="8">
        <f t="shared" si="10"/>
        <v>11.814</v>
      </c>
      <c r="T24" s="10">
        <f t="shared" si="11"/>
        <v>36.268979999999999</v>
      </c>
      <c r="U24" s="7">
        <f>'[4]Feb Prod'!D23</f>
        <v>0</v>
      </c>
      <c r="V24" s="8">
        <f t="shared" si="12"/>
        <v>0</v>
      </c>
      <c r="W24" s="10">
        <f t="shared" si="13"/>
        <v>0</v>
      </c>
      <c r="X24" s="7">
        <f>'[4]Feb Prod'!D264</f>
        <v>245999.99999999511</v>
      </c>
      <c r="Y24" s="8">
        <f t="shared" si="14"/>
        <v>0.24599999999999511</v>
      </c>
      <c r="Z24" s="10">
        <f t="shared" si="15"/>
        <v>0.7552199999999849</v>
      </c>
      <c r="AA24" s="15"/>
      <c r="AB24" s="7">
        <f t="shared" si="17"/>
        <v>11568000.000000006</v>
      </c>
      <c r="AC24" s="8">
        <f t="shared" si="17"/>
        <v>11.568000000000005</v>
      </c>
      <c r="AD24" s="8">
        <f>D24+Q24</f>
        <v>35.513760000000012</v>
      </c>
    </row>
    <row r="25" spans="1:30" x14ac:dyDescent="0.25">
      <c r="A25" s="27">
        <v>41326</v>
      </c>
      <c r="B25" s="7">
        <f>'[4]Feb Prod'!I24</f>
        <v>0</v>
      </c>
      <c r="C25" s="8">
        <f t="shared" si="0"/>
        <v>0</v>
      </c>
      <c r="D25" s="10">
        <f t="shared" si="1"/>
        <v>0</v>
      </c>
      <c r="E25" s="7">
        <f>'[4]Feb Prod'!E24</f>
        <v>0</v>
      </c>
      <c r="F25" s="8">
        <f t="shared" si="2"/>
        <v>0</v>
      </c>
      <c r="G25" s="10">
        <f t="shared" si="3"/>
        <v>0</v>
      </c>
      <c r="H25" s="7">
        <f>'[4]Feb Prod'!F24</f>
        <v>0</v>
      </c>
      <c r="I25" s="8">
        <f t="shared" si="4"/>
        <v>0</v>
      </c>
      <c r="J25" s="10">
        <f t="shared" si="5"/>
        <v>0</v>
      </c>
      <c r="K25" s="7">
        <f>'[4]Feb Prod'!H265</f>
        <v>0</v>
      </c>
      <c r="L25" s="8">
        <f t="shared" si="20"/>
        <v>0</v>
      </c>
      <c r="M25" s="10">
        <f t="shared" si="7"/>
        <v>0</v>
      </c>
      <c r="N25" s="21"/>
      <c r="O25" s="7">
        <f>'[4]Feb Prod'!H24</f>
        <v>10628999.999999996</v>
      </c>
      <c r="P25" s="8">
        <f t="shared" si="8"/>
        <v>10.628999999999996</v>
      </c>
      <c r="Q25" s="10">
        <f t="shared" si="9"/>
        <v>32.631029999999988</v>
      </c>
      <c r="R25" s="7">
        <f>'[4]Feb Prod'!C24</f>
        <v>10899000</v>
      </c>
      <c r="S25" s="8">
        <f t="shared" si="10"/>
        <v>10.898999999999999</v>
      </c>
      <c r="T25" s="10">
        <f t="shared" si="11"/>
        <v>33.459929999999993</v>
      </c>
      <c r="U25" s="7">
        <f>'[4]Feb Prod'!D24</f>
        <v>0</v>
      </c>
      <c r="V25" s="8">
        <f t="shared" si="12"/>
        <v>0</v>
      </c>
      <c r="W25" s="10">
        <f t="shared" si="13"/>
        <v>0</v>
      </c>
      <c r="X25" s="7">
        <f>'[4]Feb Prod'!D265</f>
        <v>270000.00000000314</v>
      </c>
      <c r="Y25" s="8">
        <f t="shared" si="14"/>
        <v>0.27000000000000313</v>
      </c>
      <c r="Z25" s="10">
        <f t="shared" si="15"/>
        <v>0.82890000000000952</v>
      </c>
      <c r="AA25" s="15"/>
      <c r="AB25" s="7">
        <f t="shared" si="17"/>
        <v>10628999.999999996</v>
      </c>
      <c r="AC25" s="8">
        <f t="shared" si="17"/>
        <v>10.628999999999996</v>
      </c>
      <c r="AD25" s="8">
        <f t="shared" si="17"/>
        <v>32.631029999999988</v>
      </c>
    </row>
    <row r="26" spans="1:30" x14ac:dyDescent="0.25">
      <c r="A26" s="27">
        <v>41327</v>
      </c>
      <c r="B26" s="7">
        <f>'[4]Feb Prod'!I25</f>
        <v>0</v>
      </c>
      <c r="C26" s="8">
        <f t="shared" si="0"/>
        <v>0</v>
      </c>
      <c r="D26" s="10">
        <f t="shared" si="1"/>
        <v>0</v>
      </c>
      <c r="E26" s="7">
        <f>'[4]Feb Prod'!E25</f>
        <v>0</v>
      </c>
      <c r="F26" s="8">
        <f t="shared" si="2"/>
        <v>0</v>
      </c>
      <c r="G26" s="10">
        <f t="shared" si="3"/>
        <v>0</v>
      </c>
      <c r="H26" s="7">
        <f>'[4]Feb Prod'!F25</f>
        <v>0</v>
      </c>
      <c r="I26" s="8">
        <f t="shared" si="4"/>
        <v>0</v>
      </c>
      <c r="J26" s="10">
        <f t="shared" si="5"/>
        <v>0</v>
      </c>
      <c r="K26" s="7">
        <f>'[4]Feb Prod'!H266</f>
        <v>37670</v>
      </c>
      <c r="L26" s="8">
        <f t="shared" si="20"/>
        <v>3.7670000000000002E-2</v>
      </c>
      <c r="M26" s="10">
        <f t="shared" si="7"/>
        <v>0.1156469</v>
      </c>
      <c r="N26" s="21"/>
      <c r="O26" s="7">
        <f>'[4]Feb Prod'!H25</f>
        <v>11824000.000000002</v>
      </c>
      <c r="P26" s="8">
        <f t="shared" si="8"/>
        <v>11.824000000000002</v>
      </c>
      <c r="Q26" s="10">
        <f t="shared" si="9"/>
        <v>36.299680000000002</v>
      </c>
      <c r="R26" s="7">
        <f>'[4]Feb Prod'!C25</f>
        <v>12081000</v>
      </c>
      <c r="S26" s="8">
        <f t="shared" si="10"/>
        <v>12.081</v>
      </c>
      <c r="T26" s="10">
        <f t="shared" si="11"/>
        <v>37.088669999999993</v>
      </c>
      <c r="U26" s="7">
        <f>'[4]Feb Prod'!D25</f>
        <v>0</v>
      </c>
      <c r="V26" s="8">
        <f t="shared" si="12"/>
        <v>0</v>
      </c>
      <c r="W26" s="10">
        <f t="shared" si="13"/>
        <v>0</v>
      </c>
      <c r="X26" s="7">
        <f>'[4]Feb Prod'!D266</f>
        <v>256999.9999999979</v>
      </c>
      <c r="Y26" s="8">
        <f t="shared" si="14"/>
        <v>0.2569999999999979</v>
      </c>
      <c r="Z26" s="10">
        <f t="shared" si="15"/>
        <v>0.78898999999999353</v>
      </c>
      <c r="AA26" s="15"/>
      <c r="AB26" s="7">
        <f t="shared" si="17"/>
        <v>11824000.000000002</v>
      </c>
      <c r="AC26" s="8">
        <f t="shared" si="17"/>
        <v>11.824000000000002</v>
      </c>
      <c r="AD26" s="8">
        <f t="shared" si="17"/>
        <v>36.299680000000002</v>
      </c>
    </row>
    <row r="27" spans="1:30" x14ac:dyDescent="0.25">
      <c r="A27" s="27">
        <v>41328</v>
      </c>
      <c r="B27" s="7">
        <f>'[4]Feb Prod'!I26</f>
        <v>0</v>
      </c>
      <c r="C27" s="8">
        <f t="shared" si="0"/>
        <v>0</v>
      </c>
      <c r="D27" s="10">
        <f t="shared" si="1"/>
        <v>0</v>
      </c>
      <c r="E27" s="7">
        <f>'[4]Feb Prod'!E26</f>
        <v>0</v>
      </c>
      <c r="F27" s="8">
        <f t="shared" si="2"/>
        <v>0</v>
      </c>
      <c r="G27" s="10">
        <f t="shared" si="3"/>
        <v>0</v>
      </c>
      <c r="H27" s="7">
        <f>'[4]Feb Prod'!F26</f>
        <v>0</v>
      </c>
      <c r="I27" s="8">
        <f t="shared" si="4"/>
        <v>0</v>
      </c>
      <c r="J27" s="10">
        <f t="shared" si="5"/>
        <v>0</v>
      </c>
      <c r="K27" s="7">
        <f>'[4]Feb Prod'!H267</f>
        <v>0</v>
      </c>
      <c r="L27" s="8">
        <f t="shared" si="20"/>
        <v>0</v>
      </c>
      <c r="M27" s="10">
        <f t="shared" si="7"/>
        <v>0</v>
      </c>
      <c r="N27" s="21"/>
      <c r="O27" s="7">
        <f>'[4]Feb Prod'!H26</f>
        <v>12587999.999999994</v>
      </c>
      <c r="P27" s="8">
        <f t="shared" si="8"/>
        <v>12.587999999999994</v>
      </c>
      <c r="Q27" s="10">
        <f t="shared" si="9"/>
        <v>38.645159999999976</v>
      </c>
      <c r="R27" s="7">
        <f>'[4]Feb Prod'!C26</f>
        <v>12845000</v>
      </c>
      <c r="S27" s="8">
        <f t="shared" si="10"/>
        <v>12.845000000000001</v>
      </c>
      <c r="T27" s="10">
        <f t="shared" si="11"/>
        <v>39.434150000000002</v>
      </c>
      <c r="U27" s="7">
        <f>'[4]Feb Prod'!D26</f>
        <v>0</v>
      </c>
      <c r="V27" s="8">
        <f t="shared" si="12"/>
        <v>0</v>
      </c>
      <c r="W27" s="10">
        <f t="shared" si="13"/>
        <v>0</v>
      </c>
      <c r="X27" s="7">
        <f>'[4]Feb Prod'!D267</f>
        <v>257000.00000000501</v>
      </c>
      <c r="Y27" s="8">
        <f t="shared" si="14"/>
        <v>0.257000000000005</v>
      </c>
      <c r="Z27" s="10">
        <f t="shared" si="15"/>
        <v>0.78899000000001529</v>
      </c>
      <c r="AA27" s="15"/>
      <c r="AB27" s="7">
        <f t="shared" si="17"/>
        <v>12587999.999999994</v>
      </c>
      <c r="AC27" s="8">
        <f t="shared" si="17"/>
        <v>12.587999999999994</v>
      </c>
      <c r="AD27" s="8">
        <f t="shared" si="17"/>
        <v>38.645159999999976</v>
      </c>
    </row>
    <row r="28" spans="1:30" x14ac:dyDescent="0.25">
      <c r="A28" s="27">
        <v>41329</v>
      </c>
      <c r="B28" s="7">
        <f>'[4]Feb Prod'!I27</f>
        <v>0</v>
      </c>
      <c r="C28" s="8">
        <f t="shared" si="0"/>
        <v>0</v>
      </c>
      <c r="D28" s="10">
        <f t="shared" si="1"/>
        <v>0</v>
      </c>
      <c r="E28" s="7">
        <f>'[4]Feb Prod'!E27</f>
        <v>0</v>
      </c>
      <c r="F28" s="8">
        <f t="shared" si="2"/>
        <v>0</v>
      </c>
      <c r="G28" s="10">
        <f t="shared" si="3"/>
        <v>0</v>
      </c>
      <c r="H28" s="7">
        <f>'[4]Feb Prod'!F27</f>
        <v>0</v>
      </c>
      <c r="I28" s="8">
        <f t="shared" si="4"/>
        <v>0</v>
      </c>
      <c r="J28" s="10">
        <f t="shared" si="5"/>
        <v>0</v>
      </c>
      <c r="K28" s="7">
        <f>'[4]Feb Prod'!H268</f>
        <v>27434</v>
      </c>
      <c r="L28" s="8">
        <f t="shared" si="20"/>
        <v>2.7434E-2</v>
      </c>
      <c r="M28" s="10">
        <f t="shared" si="7"/>
        <v>8.4222379999999999E-2</v>
      </c>
      <c r="N28" s="21"/>
      <c r="O28" s="7">
        <f>'[4]Feb Prod'!H27</f>
        <v>11998000.000000004</v>
      </c>
      <c r="P28" s="8">
        <f t="shared" si="8"/>
        <v>11.998000000000003</v>
      </c>
      <c r="Q28" s="10">
        <f t="shared" si="9"/>
        <v>36.833860000000008</v>
      </c>
      <c r="R28" s="7">
        <f>'[4]Feb Prod'!C27</f>
        <v>12320000</v>
      </c>
      <c r="S28" s="8">
        <f t="shared" si="10"/>
        <v>12.32</v>
      </c>
      <c r="T28" s="10">
        <f t="shared" si="11"/>
        <v>37.822400000000002</v>
      </c>
      <c r="U28" s="7">
        <f>'[4]Feb Prod'!D27</f>
        <v>0</v>
      </c>
      <c r="V28" s="8">
        <f t="shared" si="12"/>
        <v>0</v>
      </c>
      <c r="W28" s="10">
        <f t="shared" si="13"/>
        <v>0</v>
      </c>
      <c r="X28" s="7">
        <f>'[4]Feb Prod'!D268</f>
        <v>321999.99999999563</v>
      </c>
      <c r="Y28" s="8">
        <f t="shared" si="14"/>
        <v>0.32199999999999562</v>
      </c>
      <c r="Z28" s="10">
        <f t="shared" si="15"/>
        <v>0.98853999999998654</v>
      </c>
      <c r="AA28" s="15"/>
      <c r="AB28" s="7">
        <f t="shared" si="17"/>
        <v>11998000.000000004</v>
      </c>
      <c r="AC28" s="8">
        <f t="shared" si="17"/>
        <v>11.998000000000003</v>
      </c>
      <c r="AD28" s="8">
        <f t="shared" si="17"/>
        <v>36.833860000000008</v>
      </c>
    </row>
    <row r="29" spans="1:30" x14ac:dyDescent="0.25">
      <c r="A29" s="27">
        <v>41330</v>
      </c>
      <c r="B29" s="7">
        <f>'[4]Feb Prod'!I28</f>
        <v>0</v>
      </c>
      <c r="C29" s="8">
        <f t="shared" si="0"/>
        <v>0</v>
      </c>
      <c r="D29" s="10">
        <f t="shared" si="1"/>
        <v>0</v>
      </c>
      <c r="E29" s="7">
        <f>'[4]Feb Prod'!E28</f>
        <v>0</v>
      </c>
      <c r="F29" s="8">
        <f t="shared" si="2"/>
        <v>0</v>
      </c>
      <c r="G29" s="10">
        <f t="shared" si="3"/>
        <v>0</v>
      </c>
      <c r="H29" s="7">
        <f>'[4]Feb Prod'!F28</f>
        <v>0</v>
      </c>
      <c r="I29" s="8">
        <f t="shared" si="4"/>
        <v>0</v>
      </c>
      <c r="J29" s="10">
        <f t="shared" si="5"/>
        <v>0</v>
      </c>
      <c r="K29" s="7">
        <f>'[4]Feb Prod'!H269</f>
        <v>0</v>
      </c>
      <c r="L29" s="8">
        <f t="shared" si="20"/>
        <v>0</v>
      </c>
      <c r="M29" s="10">
        <f t="shared" si="7"/>
        <v>0</v>
      </c>
      <c r="N29" s="21"/>
      <c r="O29" s="7">
        <f>'[4]Feb Prod'!H28</f>
        <v>11636000</v>
      </c>
      <c r="P29" s="8">
        <f t="shared" si="8"/>
        <v>11.635999999999999</v>
      </c>
      <c r="Q29" s="10">
        <f t="shared" si="9"/>
        <v>35.722519999999996</v>
      </c>
      <c r="R29" s="7">
        <f>'[4]Feb Prod'!C28</f>
        <v>11898000</v>
      </c>
      <c r="S29" s="8">
        <f t="shared" si="10"/>
        <v>11.898</v>
      </c>
      <c r="T29" s="10">
        <f t="shared" si="11"/>
        <v>36.526859999999999</v>
      </c>
      <c r="U29" s="7">
        <f>'[4]Feb Prod'!D28</f>
        <v>0</v>
      </c>
      <c r="V29" s="8">
        <f t="shared" si="12"/>
        <v>0</v>
      </c>
      <c r="W29" s="10">
        <f t="shared" si="13"/>
        <v>0</v>
      </c>
      <c r="X29" s="7">
        <f>'[4]Feb Prod'!D269</f>
        <v>262000.00000000047</v>
      </c>
      <c r="Y29" s="8">
        <f t="shared" si="14"/>
        <v>0.26200000000000045</v>
      </c>
      <c r="Z29" s="10">
        <f t="shared" si="15"/>
        <v>0.80434000000000139</v>
      </c>
      <c r="AA29" s="15"/>
      <c r="AB29" s="7">
        <f t="shared" si="17"/>
        <v>11636000</v>
      </c>
      <c r="AC29" s="8">
        <f t="shared" si="17"/>
        <v>11.635999999999999</v>
      </c>
      <c r="AD29" s="8">
        <f t="shared" si="17"/>
        <v>35.722519999999996</v>
      </c>
    </row>
    <row r="30" spans="1:30" x14ac:dyDescent="0.25">
      <c r="A30" s="27">
        <v>41331</v>
      </c>
      <c r="B30" s="7">
        <f>'[4]Feb Prod'!I29</f>
        <v>0</v>
      </c>
      <c r="C30" s="8">
        <f t="shared" si="0"/>
        <v>0</v>
      </c>
      <c r="D30" s="10">
        <f t="shared" si="1"/>
        <v>0</v>
      </c>
      <c r="E30" s="7">
        <f>'[4]Feb Prod'!E29</f>
        <v>0</v>
      </c>
      <c r="F30" s="8">
        <f t="shared" si="2"/>
        <v>0</v>
      </c>
      <c r="G30" s="10">
        <f t="shared" si="3"/>
        <v>0</v>
      </c>
      <c r="H30" s="7">
        <f>'[4]Feb Prod'!F29</f>
        <v>0</v>
      </c>
      <c r="I30" s="8">
        <f t="shared" si="4"/>
        <v>0</v>
      </c>
      <c r="J30" s="10">
        <f t="shared" si="5"/>
        <v>0</v>
      </c>
      <c r="K30" s="7">
        <f>'[4]Feb Prod'!H270</f>
        <v>145138</v>
      </c>
      <c r="L30" s="8">
        <f t="shared" si="20"/>
        <v>0.14513799999999999</v>
      </c>
      <c r="M30" s="10">
        <f t="shared" si="7"/>
        <v>0.44557365999999993</v>
      </c>
      <c r="N30" s="21"/>
      <c r="O30" s="7">
        <f>'[4]Feb Prod'!H29</f>
        <v>10857000</v>
      </c>
      <c r="P30" s="8">
        <f t="shared" si="8"/>
        <v>10.856999999999999</v>
      </c>
      <c r="Q30" s="10">
        <f t="shared" si="9"/>
        <v>33.330989999999993</v>
      </c>
      <c r="R30" s="7">
        <f>'[4]Feb Prod'!C29</f>
        <v>11177000</v>
      </c>
      <c r="S30" s="8">
        <f t="shared" si="10"/>
        <v>11.177</v>
      </c>
      <c r="T30" s="10">
        <f t="shared" si="11"/>
        <v>34.313389999999998</v>
      </c>
      <c r="U30" s="7">
        <f>'[4]Feb Prod'!D29</f>
        <v>0</v>
      </c>
      <c r="V30" s="8">
        <f t="shared" si="12"/>
        <v>0</v>
      </c>
      <c r="W30" s="10">
        <f t="shared" si="13"/>
        <v>0</v>
      </c>
      <c r="X30" s="7">
        <f>'[4]Feb Prod'!D270</f>
        <v>320000.00000000029</v>
      </c>
      <c r="Y30" s="8">
        <f t="shared" si="14"/>
        <v>0.32000000000000028</v>
      </c>
      <c r="Z30" s="10">
        <f t="shared" si="15"/>
        <v>0.98240000000000083</v>
      </c>
      <c r="AA30" s="15"/>
      <c r="AB30" s="7">
        <f t="shared" si="17"/>
        <v>10857000</v>
      </c>
      <c r="AC30" s="8">
        <f t="shared" si="17"/>
        <v>10.856999999999999</v>
      </c>
      <c r="AD30" s="8">
        <f>D30+Q30</f>
        <v>33.330989999999993</v>
      </c>
    </row>
    <row r="31" spans="1:30" x14ac:dyDescent="0.25">
      <c r="A31" s="27">
        <v>41332</v>
      </c>
      <c r="B31" s="7">
        <f>'[4]Feb Prod'!I30</f>
        <v>0</v>
      </c>
      <c r="C31" s="8">
        <f t="shared" si="0"/>
        <v>0</v>
      </c>
      <c r="D31" s="10">
        <f t="shared" si="1"/>
        <v>0</v>
      </c>
      <c r="E31" s="7">
        <f>'[4]Feb Prod'!E30</f>
        <v>0</v>
      </c>
      <c r="F31" s="8">
        <f t="shared" si="2"/>
        <v>0</v>
      </c>
      <c r="G31" s="10">
        <f t="shared" si="3"/>
        <v>0</v>
      </c>
      <c r="H31" s="7">
        <f>'[4]Feb Prod'!F30</f>
        <v>0</v>
      </c>
      <c r="I31" s="8">
        <f t="shared" si="4"/>
        <v>0</v>
      </c>
      <c r="J31" s="10">
        <f t="shared" si="5"/>
        <v>0</v>
      </c>
      <c r="K31" s="7">
        <f>'[4]Feb Prod'!H271</f>
        <v>0</v>
      </c>
      <c r="L31" s="8">
        <f t="shared" si="20"/>
        <v>0</v>
      </c>
      <c r="M31" s="10">
        <f t="shared" si="7"/>
        <v>0</v>
      </c>
      <c r="N31" s="21"/>
      <c r="O31" s="7">
        <f>'[4]Feb Prod'!H30</f>
        <v>10810000</v>
      </c>
      <c r="P31" s="8">
        <f t="shared" si="8"/>
        <v>10.81</v>
      </c>
      <c r="Q31" s="10">
        <f t="shared" si="9"/>
        <v>33.186700000000002</v>
      </c>
      <c r="R31" s="7">
        <f>'[4]Feb Prod'!C30</f>
        <v>11069000</v>
      </c>
      <c r="S31" s="8">
        <f t="shared" si="10"/>
        <v>11.069000000000001</v>
      </c>
      <c r="T31" s="10">
        <f t="shared" si="11"/>
        <v>33.981830000000002</v>
      </c>
      <c r="U31" s="7">
        <f>'[4]Feb Prod'!D30</f>
        <v>0</v>
      </c>
      <c r="V31" s="8">
        <f t="shared" si="12"/>
        <v>0</v>
      </c>
      <c r="W31" s="10">
        <f t="shared" si="13"/>
        <v>0</v>
      </c>
      <c r="X31" s="7">
        <f>'[4]Feb Prod'!D271</f>
        <v>259000.00000000035</v>
      </c>
      <c r="Y31" s="8">
        <f t="shared" si="14"/>
        <v>0.25900000000000034</v>
      </c>
      <c r="Z31" s="10">
        <f t="shared" si="15"/>
        <v>0.795130000000001</v>
      </c>
      <c r="AA31" s="15"/>
      <c r="AB31" s="7">
        <f t="shared" si="17"/>
        <v>10810000</v>
      </c>
      <c r="AC31" s="8">
        <f t="shared" si="17"/>
        <v>10.81</v>
      </c>
      <c r="AD31" s="8">
        <f t="shared" si="17"/>
        <v>33.186700000000002</v>
      </c>
    </row>
    <row r="32" spans="1:30" x14ac:dyDescent="0.25">
      <c r="A32" s="27">
        <v>41333</v>
      </c>
      <c r="B32" s="7">
        <f>'[4]Feb Prod'!I31</f>
        <v>0</v>
      </c>
      <c r="C32" s="8">
        <f t="shared" si="0"/>
        <v>0</v>
      </c>
      <c r="D32" s="10">
        <f t="shared" si="1"/>
        <v>0</v>
      </c>
      <c r="E32" s="7">
        <f>'[4]Feb Prod'!E31</f>
        <v>0</v>
      </c>
      <c r="F32" s="8">
        <f t="shared" si="2"/>
        <v>0</v>
      </c>
      <c r="G32" s="10">
        <f t="shared" si="3"/>
        <v>0</v>
      </c>
      <c r="H32" s="7">
        <f>'[4]Feb Prod'!F31</f>
        <v>0</v>
      </c>
      <c r="I32" s="8">
        <f t="shared" si="4"/>
        <v>0</v>
      </c>
      <c r="J32" s="10">
        <f t="shared" si="5"/>
        <v>0</v>
      </c>
      <c r="K32" s="7">
        <f>'[4]Feb Prod'!H272</f>
        <v>0</v>
      </c>
      <c r="L32" s="8">
        <f t="shared" si="20"/>
        <v>0</v>
      </c>
      <c r="M32" s="10">
        <f t="shared" si="7"/>
        <v>0</v>
      </c>
      <c r="N32" s="21"/>
      <c r="O32" s="7">
        <f>'[4]Feb Prod'!H31</f>
        <v>12642000</v>
      </c>
      <c r="P32" s="8">
        <f t="shared" si="8"/>
        <v>12.641999999999999</v>
      </c>
      <c r="Q32" s="10">
        <f t="shared" si="9"/>
        <v>38.810939999999995</v>
      </c>
      <c r="R32" s="7">
        <f>'[4]Feb Prod'!C31</f>
        <v>12837000</v>
      </c>
      <c r="S32" s="8">
        <f t="shared" si="10"/>
        <v>12.837</v>
      </c>
      <c r="T32" s="10">
        <f t="shared" si="11"/>
        <v>39.409589999999994</v>
      </c>
      <c r="U32" s="7">
        <f>'[4]Feb Prod'!D31</f>
        <v>0</v>
      </c>
      <c r="V32" s="8">
        <f t="shared" si="12"/>
        <v>0</v>
      </c>
      <c r="W32" s="10">
        <f t="shared" si="13"/>
        <v>0</v>
      </c>
      <c r="X32" s="7">
        <f>'[4]Feb Prod'!D272</f>
        <v>195000.00000000029</v>
      </c>
      <c r="Y32" s="8">
        <f t="shared" si="14"/>
        <v>0.19500000000000028</v>
      </c>
      <c r="Z32" s="10">
        <f t="shared" si="15"/>
        <v>0.59865000000000079</v>
      </c>
      <c r="AA32" s="15"/>
      <c r="AB32" s="7">
        <f t="shared" si="17"/>
        <v>12642000</v>
      </c>
      <c r="AC32" s="8">
        <f t="shared" si="17"/>
        <v>12.641999999999999</v>
      </c>
      <c r="AD32" s="8">
        <f t="shared" si="17"/>
        <v>38.810939999999995</v>
      </c>
    </row>
    <row r="33" spans="1:30" ht="13.8" thickBot="1" x14ac:dyDescent="0.3">
      <c r="A33" s="27"/>
      <c r="B33" s="7"/>
      <c r="C33" s="8"/>
      <c r="D33" s="10"/>
      <c r="E33" s="7"/>
      <c r="F33" s="8"/>
      <c r="G33" s="10"/>
      <c r="H33" s="7"/>
      <c r="I33" s="8"/>
      <c r="J33" s="10"/>
      <c r="K33" s="7"/>
      <c r="L33" s="8"/>
      <c r="M33" s="10"/>
      <c r="N33" s="21"/>
      <c r="O33" s="7"/>
      <c r="P33" s="8"/>
      <c r="Q33" s="10"/>
      <c r="R33" s="7"/>
      <c r="S33" s="8"/>
      <c r="T33" s="10"/>
      <c r="U33" s="7"/>
      <c r="V33" s="8"/>
      <c r="W33" s="10"/>
      <c r="X33" s="7"/>
      <c r="Y33" s="8"/>
      <c r="Z33" s="10"/>
      <c r="AA33" s="15"/>
      <c r="AB33" s="7"/>
      <c r="AC33" s="8"/>
      <c r="AD33" s="8"/>
    </row>
    <row r="34" spans="1:30" ht="13.8" thickBot="1" x14ac:dyDescent="0.3">
      <c r="A34" s="28"/>
      <c r="B34" s="38"/>
      <c r="C34" s="39">
        <f>SUM(C5:C33)</f>
        <v>0</v>
      </c>
      <c r="D34" s="39">
        <f t="shared" ref="D34:J34" si="21">SUM(D5:D33)</f>
        <v>0</v>
      </c>
      <c r="E34" s="38"/>
      <c r="F34" s="39">
        <f t="shared" si="21"/>
        <v>0</v>
      </c>
      <c r="G34" s="39">
        <f t="shared" si="21"/>
        <v>0</v>
      </c>
      <c r="H34" s="38"/>
      <c r="I34" s="39">
        <f t="shared" si="21"/>
        <v>0</v>
      </c>
      <c r="J34" s="39">
        <f t="shared" si="21"/>
        <v>0</v>
      </c>
      <c r="K34" s="38"/>
      <c r="L34" s="39">
        <f>SUM(L5:L33)</f>
        <v>0.37592199999999998</v>
      </c>
      <c r="M34" s="39">
        <f>SUM(M5:M33)</f>
        <v>1.1540805399999998</v>
      </c>
      <c r="N34" s="14"/>
      <c r="O34" s="38"/>
      <c r="P34" s="39">
        <f>SUM(P5:P33)</f>
        <v>324.59900000000005</v>
      </c>
      <c r="Q34" s="39">
        <f>SUM(Q5:Q33)</f>
        <v>996.51892999999973</v>
      </c>
      <c r="R34" s="38"/>
      <c r="S34" s="39">
        <f>SUM(S5:S33)</f>
        <v>333.96400000000006</v>
      </c>
      <c r="T34" s="39">
        <f>SUM(T5:T33)</f>
        <v>1025.2694800000002</v>
      </c>
      <c r="U34" s="38"/>
      <c r="V34" s="39">
        <f>SUM(V5:V33)</f>
        <v>0</v>
      </c>
      <c r="W34" s="39">
        <f>SUM(W5:W33)</f>
        <v>0</v>
      </c>
      <c r="X34" s="38"/>
      <c r="Y34" s="39">
        <f>SUM(Y5:Y33)</f>
        <v>9.3649999999999984</v>
      </c>
      <c r="Z34" s="39">
        <f>SUM(Z5:Z33)</f>
        <v>28.750549999999993</v>
      </c>
      <c r="AA34" s="14"/>
      <c r="AB34" s="38">
        <f t="shared" si="17"/>
        <v>0</v>
      </c>
      <c r="AC34" s="39">
        <f t="shared" si="17"/>
        <v>324.59900000000005</v>
      </c>
      <c r="AD34" s="39">
        <f t="shared" si="17"/>
        <v>996.51892999999973</v>
      </c>
    </row>
    <row r="35" spans="1:30" x14ac:dyDescent="0.25">
      <c r="A35" s="12"/>
      <c r="B35" s="13"/>
      <c r="C35" s="15"/>
      <c r="D35" s="15"/>
      <c r="E35" s="13"/>
      <c r="F35" s="15"/>
      <c r="G35" s="15"/>
      <c r="H35" s="13"/>
      <c r="I35" s="15"/>
      <c r="J35" s="15"/>
      <c r="K35" s="21"/>
      <c r="L35" s="13"/>
      <c r="M35" s="15"/>
      <c r="N35" s="15"/>
      <c r="O35" s="13"/>
      <c r="P35" s="15"/>
      <c r="Q35" s="15"/>
      <c r="R35" s="13"/>
      <c r="S35" s="15"/>
      <c r="T35" s="15"/>
      <c r="U35" s="15"/>
      <c r="V35" s="13"/>
      <c r="W35" s="16"/>
      <c r="X35" s="16"/>
    </row>
    <row r="36" spans="1:30" x14ac:dyDescent="0.25">
      <c r="B36" s="20"/>
      <c r="C36" s="18"/>
      <c r="E36" s="3"/>
      <c r="F36" s="3"/>
      <c r="G36" s="3"/>
      <c r="H36" s="3"/>
      <c r="I36" s="3"/>
      <c r="J36" s="3"/>
      <c r="K36" s="14"/>
      <c r="L36" s="14"/>
      <c r="M36" s="3"/>
      <c r="N36" s="3"/>
      <c r="O36" s="3"/>
      <c r="P36" s="3"/>
      <c r="Q36" s="3"/>
      <c r="R36" s="14"/>
      <c r="S36" s="3"/>
      <c r="T36" s="3"/>
      <c r="U36" s="14"/>
    </row>
    <row r="37" spans="1:30" x14ac:dyDescent="0.25">
      <c r="C37" s="18"/>
      <c r="E37" s="3"/>
      <c r="F37" s="3"/>
      <c r="G37" s="3"/>
      <c r="H37" s="3"/>
      <c r="I37" s="3"/>
      <c r="J37" s="3"/>
      <c r="K37" s="14"/>
      <c r="L37" s="3"/>
      <c r="M37" s="3"/>
      <c r="N37" s="3"/>
      <c r="O37" s="3"/>
      <c r="P37" s="3"/>
      <c r="Q37" s="3"/>
      <c r="R37" s="3"/>
      <c r="S37" s="3"/>
      <c r="T37" s="3"/>
      <c r="U37" s="14"/>
    </row>
  </sheetData>
  <mergeCells count="9">
    <mergeCell ref="AB3:AD3"/>
    <mergeCell ref="R3:T3"/>
    <mergeCell ref="U3:W3"/>
    <mergeCell ref="B3:D3"/>
    <mergeCell ref="E3:G3"/>
    <mergeCell ref="H3:J3"/>
    <mergeCell ref="O3:Q3"/>
    <mergeCell ref="X3:Z3"/>
    <mergeCell ref="K3:M3"/>
  </mergeCells>
  <phoneticPr fontId="1" type="noConversion"/>
  <pageMargins left="0.75" right="0.75" top="1" bottom="1" header="0.5" footer="0.5"/>
  <pageSetup scale="86" orientation="landscape" r:id="rId1"/>
  <headerFooter alignWithMargins="0">
    <oddFooter>&amp;R&amp;D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AF37"/>
  <sheetViews>
    <sheetView workbookViewId="0">
      <pane xSplit="1" ySplit="4" topLeftCell="B11" activePane="bottomRight" state="frozen"/>
      <selection pane="topRight" activeCell="B1" sqref="B1"/>
      <selection pane="bottomLeft" activeCell="A5" sqref="A5"/>
      <selection pane="bottomRight" activeCell="M20" sqref="M20"/>
    </sheetView>
  </sheetViews>
  <sheetFormatPr defaultRowHeight="13.2" x14ac:dyDescent="0.25"/>
  <cols>
    <col min="2" max="2" width="12.6640625" customWidth="1"/>
    <col min="5" max="5" width="11.33203125" customWidth="1"/>
    <col min="8" max="8" width="16.109375" customWidth="1"/>
    <col min="10" max="10" width="10.6640625" customWidth="1"/>
    <col min="11" max="11" width="12.5546875" customWidth="1"/>
    <col min="12" max="12" width="10.5546875" customWidth="1"/>
    <col min="15" max="15" width="10.5546875" customWidth="1"/>
    <col min="18" max="18" width="10.88671875" customWidth="1"/>
    <col min="22" max="22" width="11.88671875" customWidth="1"/>
    <col min="28" max="28" width="13.44140625" bestFit="1" customWidth="1"/>
  </cols>
  <sheetData>
    <row r="1" spans="1:32" x14ac:dyDescent="0.25">
      <c r="A1" s="44" t="s">
        <v>14</v>
      </c>
      <c r="B1" s="40"/>
      <c r="C1" s="25"/>
      <c r="D1" s="25"/>
      <c r="E1" s="25"/>
      <c r="F1" s="25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14"/>
      <c r="V1" s="3"/>
      <c r="W1" s="3"/>
      <c r="X1" s="3"/>
    </row>
    <row r="2" spans="1:32" ht="13.8" thickBot="1" x14ac:dyDescent="0.3">
      <c r="A2" s="3"/>
      <c r="B2" s="3"/>
      <c r="C2" s="24"/>
      <c r="D2" s="3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  <c r="V2" s="3"/>
      <c r="W2" s="3"/>
      <c r="X2" s="3"/>
    </row>
    <row r="3" spans="1:32" ht="60.75" customHeight="1" thickBot="1" x14ac:dyDescent="0.3">
      <c r="A3" s="3"/>
      <c r="B3" s="61" t="s">
        <v>10</v>
      </c>
      <c r="C3" s="62"/>
      <c r="D3" s="63"/>
      <c r="E3" s="61" t="s">
        <v>11</v>
      </c>
      <c r="F3" s="62"/>
      <c r="G3" s="63"/>
      <c r="H3" s="61" t="s">
        <v>12</v>
      </c>
      <c r="I3" s="62"/>
      <c r="J3" s="63"/>
      <c r="K3" s="61" t="s">
        <v>13</v>
      </c>
      <c r="L3" s="62"/>
      <c r="M3" s="63"/>
      <c r="N3" s="19"/>
      <c r="O3" s="61" t="s">
        <v>4</v>
      </c>
      <c r="P3" s="62"/>
      <c r="Q3" s="63"/>
      <c r="R3" s="61" t="s">
        <v>3</v>
      </c>
      <c r="S3" s="62"/>
      <c r="T3" s="63"/>
      <c r="U3" s="61" t="s">
        <v>6</v>
      </c>
      <c r="V3" s="62"/>
      <c r="W3" s="63"/>
      <c r="X3" s="61" t="s">
        <v>7</v>
      </c>
      <c r="Y3" s="62"/>
      <c r="Z3" s="63"/>
      <c r="AA3" s="19"/>
      <c r="AB3" s="58" t="s">
        <v>8</v>
      </c>
      <c r="AC3" s="59"/>
      <c r="AD3" s="60"/>
      <c r="AF3" s="34" t="s">
        <v>9</v>
      </c>
    </row>
    <row r="4" spans="1:32" x14ac:dyDescent="0.25">
      <c r="A4" s="26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31" t="s">
        <v>0</v>
      </c>
      <c r="AC4" s="32" t="s">
        <v>1</v>
      </c>
      <c r="AD4" s="33" t="s">
        <v>2</v>
      </c>
      <c r="AF4" s="5" t="s">
        <v>2</v>
      </c>
    </row>
    <row r="5" spans="1:32" x14ac:dyDescent="0.25">
      <c r="A5" s="27">
        <v>38412</v>
      </c>
      <c r="B5" s="7">
        <f>'[5]Mar Prod'!I4</f>
        <v>0</v>
      </c>
      <c r="C5" s="8">
        <f>B5/1000000</f>
        <v>0</v>
      </c>
      <c r="D5" s="10">
        <f t="shared" ref="D5:D35" si="0">C5*3.07</f>
        <v>0</v>
      </c>
      <c r="E5" s="7">
        <f>'[5]Mar Prod'!E4</f>
        <v>0</v>
      </c>
      <c r="F5" s="8">
        <f>E5/1000000</f>
        <v>0</v>
      </c>
      <c r="G5" s="10">
        <f>F5*3.07</f>
        <v>0</v>
      </c>
      <c r="H5" s="7">
        <f>'[5]Mar Prod'!F4</f>
        <v>0</v>
      </c>
      <c r="I5" s="8">
        <f>H5/1000000</f>
        <v>0</v>
      </c>
      <c r="J5" s="10">
        <f>I5*3.07</f>
        <v>0</v>
      </c>
      <c r="K5" s="7">
        <f>'[5]Mar Prod'!H259</f>
        <v>0</v>
      </c>
      <c r="L5" s="8">
        <f>K5/1000000</f>
        <v>0</v>
      </c>
      <c r="M5" s="10">
        <f>L5*3.07</f>
        <v>0</v>
      </c>
      <c r="N5" s="21"/>
      <c r="O5" s="7">
        <f>'[5]Mar Prod'!H4</f>
        <v>11463000.000000002</v>
      </c>
      <c r="P5" s="8">
        <f>O5/1000000</f>
        <v>11.463000000000003</v>
      </c>
      <c r="Q5" s="10">
        <f>P5*3.07</f>
        <v>35.191410000000005</v>
      </c>
      <c r="R5" s="7">
        <f>'[5]Mar Prod'!C4</f>
        <v>11851000</v>
      </c>
      <c r="S5" s="8">
        <f>R5/1000000</f>
        <v>11.851000000000001</v>
      </c>
      <c r="T5" s="10">
        <f>S5*3.07</f>
        <v>36.382570000000001</v>
      </c>
      <c r="U5" s="7">
        <f>'[5]Mar Prod'!D4</f>
        <v>0</v>
      </c>
      <c r="V5" s="8">
        <f>U5/1000000</f>
        <v>0</v>
      </c>
      <c r="W5" s="10">
        <f>V5*3.07</f>
        <v>0</v>
      </c>
      <c r="X5" s="7">
        <f>'[5]Mar Prod'!D259</f>
        <v>387999.99999999814</v>
      </c>
      <c r="Y5" s="8">
        <f>X5/1000000</f>
        <v>0.38799999999999812</v>
      </c>
      <c r="Z5" s="10">
        <f>Y5*3.07</f>
        <v>1.1911599999999942</v>
      </c>
      <c r="AA5" s="15"/>
      <c r="AB5" s="7">
        <f>B5+O5</f>
        <v>11463000.000000002</v>
      </c>
      <c r="AC5" s="8">
        <f>C5+P5</f>
        <v>11.463000000000003</v>
      </c>
      <c r="AD5" s="8">
        <f>D5+Q5</f>
        <v>35.191410000000005</v>
      </c>
      <c r="AF5" s="8">
        <f>T5-Q5-Z5</f>
        <v>2.2204460492503131E-15</v>
      </c>
    </row>
    <row r="6" spans="1:32" x14ac:dyDescent="0.25">
      <c r="A6" s="27">
        <v>38413</v>
      </c>
      <c r="B6" s="7">
        <f>'[5]Mar Prod'!I5</f>
        <v>0</v>
      </c>
      <c r="C6" s="8">
        <f t="shared" ref="C6:C35" si="1">B6/1000000</f>
        <v>0</v>
      </c>
      <c r="D6" s="10">
        <f t="shared" si="0"/>
        <v>0</v>
      </c>
      <c r="E6" s="7">
        <f>'[5]Mar Prod'!E5</f>
        <v>0</v>
      </c>
      <c r="F6" s="8">
        <f t="shared" ref="F6:F35" si="2">E6/1000000</f>
        <v>0</v>
      </c>
      <c r="G6" s="10">
        <f t="shared" ref="G6:G35" si="3">F6*3.07</f>
        <v>0</v>
      </c>
      <c r="H6" s="7">
        <f>'[5]Mar Prod'!F5</f>
        <v>0</v>
      </c>
      <c r="I6" s="8">
        <f t="shared" ref="I6:I35" si="4">H6/1000000</f>
        <v>0</v>
      </c>
      <c r="J6" s="10">
        <f t="shared" ref="J6:J35" si="5">I6*3.07</f>
        <v>0</v>
      </c>
      <c r="K6" s="7">
        <f>'[5]Mar Prod'!H260</f>
        <v>17380</v>
      </c>
      <c r="L6" s="8">
        <f t="shared" ref="L6:L35" si="6">K6/1000000</f>
        <v>1.738E-2</v>
      </c>
      <c r="M6" s="10">
        <f t="shared" ref="M6:M35" si="7">L6*3.07</f>
        <v>5.3356599999999997E-2</v>
      </c>
      <c r="N6" s="21"/>
      <c r="O6" s="7">
        <f>'[5]Mar Prod'!H5</f>
        <v>12267000</v>
      </c>
      <c r="P6" s="8">
        <f t="shared" ref="P6:P35" si="8">O6/1000000</f>
        <v>12.266999999999999</v>
      </c>
      <c r="Q6" s="10">
        <f t="shared" ref="Q6:Q35" si="9">P6*3.07</f>
        <v>37.659689999999998</v>
      </c>
      <c r="R6" s="7">
        <f>'[5]Mar Prod'!C5</f>
        <v>12462000</v>
      </c>
      <c r="S6" s="8">
        <f t="shared" ref="S6:S35" si="10">R6/1000000</f>
        <v>12.462</v>
      </c>
      <c r="T6" s="10">
        <f t="shared" ref="T6:T35" si="11">S6*3.07</f>
        <v>38.258339999999997</v>
      </c>
      <c r="U6" s="7">
        <f>'[5]Mar Prod'!D5</f>
        <v>0</v>
      </c>
      <c r="V6" s="8">
        <f t="shared" ref="V6:V35" si="12">U6/1000000</f>
        <v>0</v>
      </c>
      <c r="W6" s="10">
        <f t="shared" ref="W6:W35" si="13">V6*3.07</f>
        <v>0</v>
      </c>
      <c r="X6" s="7">
        <f>'[5]Mar Prod'!D260</f>
        <v>195000.00000000029</v>
      </c>
      <c r="Y6" s="8">
        <f t="shared" ref="Y6:Y35" si="14">X6/1000000</f>
        <v>0.19500000000000028</v>
      </c>
      <c r="Z6" s="10">
        <f t="shared" ref="Z6:Z35" si="15">Y6*3.07</f>
        <v>0.59865000000000079</v>
      </c>
      <c r="AA6" s="15"/>
      <c r="AB6" s="7">
        <f t="shared" ref="AB6:AD35" si="16">B6+O6</f>
        <v>12267000</v>
      </c>
      <c r="AC6" s="8">
        <f t="shared" si="16"/>
        <v>12.266999999999999</v>
      </c>
      <c r="AD6" s="8">
        <f t="shared" si="16"/>
        <v>37.659689999999998</v>
      </c>
      <c r="AF6" s="8">
        <f>T6-Q6-Z6</f>
        <v>-1.5543122344752192E-15</v>
      </c>
    </row>
    <row r="7" spans="1:32" x14ac:dyDescent="0.25">
      <c r="A7" s="27">
        <v>38414</v>
      </c>
      <c r="B7" s="7">
        <f>'[5]Mar Prod'!I6</f>
        <v>0</v>
      </c>
      <c r="C7" s="8">
        <f t="shared" si="1"/>
        <v>0</v>
      </c>
      <c r="D7" s="10">
        <f t="shared" si="0"/>
        <v>0</v>
      </c>
      <c r="E7" s="7">
        <f>'[5]Mar Prod'!E6</f>
        <v>0</v>
      </c>
      <c r="F7" s="8">
        <f t="shared" si="2"/>
        <v>0</v>
      </c>
      <c r="G7" s="10">
        <f t="shared" si="3"/>
        <v>0</v>
      </c>
      <c r="H7" s="7">
        <f>'[5]Mar Prod'!F6</f>
        <v>0</v>
      </c>
      <c r="I7" s="8">
        <f t="shared" si="4"/>
        <v>0</v>
      </c>
      <c r="J7" s="10">
        <f t="shared" si="5"/>
        <v>0</v>
      </c>
      <c r="K7" s="7">
        <f>'[5]Mar Prod'!H261</f>
        <v>0</v>
      </c>
      <c r="L7" s="8">
        <f t="shared" si="6"/>
        <v>0</v>
      </c>
      <c r="M7" s="10">
        <f t="shared" si="7"/>
        <v>0</v>
      </c>
      <c r="N7" s="21"/>
      <c r="O7" s="7">
        <f>'[5]Mar Prod'!H6</f>
        <v>11752999.999999996</v>
      </c>
      <c r="P7" s="8">
        <f t="shared" si="8"/>
        <v>11.752999999999997</v>
      </c>
      <c r="Q7" s="10">
        <f t="shared" si="9"/>
        <v>36.081709999999987</v>
      </c>
      <c r="R7" s="7">
        <f>'[5]Mar Prod'!C6</f>
        <v>12078000</v>
      </c>
      <c r="S7" s="8">
        <f t="shared" si="10"/>
        <v>12.077999999999999</v>
      </c>
      <c r="T7" s="10">
        <f t="shared" si="11"/>
        <v>37.079459999999997</v>
      </c>
      <c r="U7" s="7">
        <f>'[5]Mar Prod'!D6</f>
        <v>0</v>
      </c>
      <c r="V7" s="8">
        <f t="shared" si="12"/>
        <v>0</v>
      </c>
      <c r="W7" s="10">
        <f t="shared" si="13"/>
        <v>0</v>
      </c>
      <c r="X7" s="7">
        <f>'[5]Mar Prod'!D261</f>
        <v>325000.00000000285</v>
      </c>
      <c r="Y7" s="8">
        <f t="shared" si="14"/>
        <v>0.32500000000000284</v>
      </c>
      <c r="Z7" s="10">
        <f t="shared" si="15"/>
        <v>0.99775000000000869</v>
      </c>
      <c r="AA7" s="15"/>
      <c r="AB7" s="7">
        <f t="shared" si="16"/>
        <v>11752999.999999996</v>
      </c>
      <c r="AC7" s="8">
        <f t="shared" si="16"/>
        <v>11.752999999999997</v>
      </c>
      <c r="AD7" s="8">
        <f t="shared" si="16"/>
        <v>36.081709999999987</v>
      </c>
      <c r="AF7" s="8">
        <f t="shared" ref="AF7:AF14" si="17">T7-Q7-Z7</f>
        <v>1.8873791418627661E-15</v>
      </c>
    </row>
    <row r="8" spans="1:32" x14ac:dyDescent="0.25">
      <c r="A8" s="27">
        <v>38415</v>
      </c>
      <c r="B8" s="7">
        <f>'[5]Mar Prod'!I7</f>
        <v>0</v>
      </c>
      <c r="C8" s="8">
        <f t="shared" si="1"/>
        <v>0</v>
      </c>
      <c r="D8" s="10">
        <f t="shared" si="0"/>
        <v>0</v>
      </c>
      <c r="E8" s="7">
        <f>'[5]Mar Prod'!E7</f>
        <v>0</v>
      </c>
      <c r="F8" s="8">
        <f t="shared" si="2"/>
        <v>0</v>
      </c>
      <c r="G8" s="10">
        <f t="shared" si="3"/>
        <v>0</v>
      </c>
      <c r="H8" s="7">
        <f>'[5]Mar Prod'!F7</f>
        <v>0</v>
      </c>
      <c r="I8" s="8">
        <f t="shared" si="4"/>
        <v>0</v>
      </c>
      <c r="J8" s="10">
        <f t="shared" si="5"/>
        <v>0</v>
      </c>
      <c r="K8" s="7">
        <f>'[5]Mar Prod'!H262</f>
        <v>0</v>
      </c>
      <c r="L8" s="8">
        <f t="shared" si="6"/>
        <v>0</v>
      </c>
      <c r="M8" s="10">
        <f t="shared" si="7"/>
        <v>0</v>
      </c>
      <c r="N8" s="21"/>
      <c r="O8" s="7">
        <f>'[5]Mar Prod'!H7</f>
        <v>11751000</v>
      </c>
      <c r="P8" s="8">
        <f t="shared" si="8"/>
        <v>11.750999999999999</v>
      </c>
      <c r="Q8" s="10">
        <f t="shared" si="9"/>
        <v>36.075569999999999</v>
      </c>
      <c r="R8" s="7">
        <f>'[5]Mar Prod'!C7</f>
        <v>12010000</v>
      </c>
      <c r="S8" s="8">
        <f t="shared" si="10"/>
        <v>12.01</v>
      </c>
      <c r="T8" s="10">
        <f t="shared" si="11"/>
        <v>36.870699999999999</v>
      </c>
      <c r="U8" s="7">
        <f>'[5]Mar Prod'!D7</f>
        <v>0</v>
      </c>
      <c r="V8" s="8">
        <f t="shared" si="12"/>
        <v>0</v>
      </c>
      <c r="W8" s="10">
        <f t="shared" si="13"/>
        <v>0</v>
      </c>
      <c r="X8" s="7">
        <f>'[5]Mar Prod'!D262</f>
        <v>259000.00000000035</v>
      </c>
      <c r="Y8" s="8">
        <f t="shared" si="14"/>
        <v>0.25900000000000034</v>
      </c>
      <c r="Z8" s="10">
        <f t="shared" si="15"/>
        <v>0.795130000000001</v>
      </c>
      <c r="AA8" s="15"/>
      <c r="AB8" s="7">
        <f t="shared" si="16"/>
        <v>11751000</v>
      </c>
      <c r="AC8" s="8">
        <f t="shared" si="16"/>
        <v>11.750999999999999</v>
      </c>
      <c r="AD8" s="8">
        <f>D8+Q8</f>
        <v>36.075569999999999</v>
      </c>
      <c r="AF8" s="8">
        <f t="shared" si="17"/>
        <v>0</v>
      </c>
    </row>
    <row r="9" spans="1:32" x14ac:dyDescent="0.25">
      <c r="A9" s="27">
        <v>38416</v>
      </c>
      <c r="B9" s="7">
        <f>'[5]Mar Prod'!I8</f>
        <v>0</v>
      </c>
      <c r="C9" s="8">
        <f t="shared" si="1"/>
        <v>0</v>
      </c>
      <c r="D9" s="10">
        <f t="shared" si="0"/>
        <v>0</v>
      </c>
      <c r="E9" s="7">
        <f>'[5]Mar Prod'!E8</f>
        <v>1000000</v>
      </c>
      <c r="F9" s="8">
        <f t="shared" si="2"/>
        <v>1</v>
      </c>
      <c r="G9" s="10">
        <f t="shared" si="3"/>
        <v>3.07</v>
      </c>
      <c r="H9" s="7">
        <f>'[5]Mar Prod'!F8</f>
        <v>0</v>
      </c>
      <c r="I9" s="8">
        <f t="shared" si="4"/>
        <v>0</v>
      </c>
      <c r="J9" s="10">
        <f t="shared" si="5"/>
        <v>0</v>
      </c>
      <c r="K9" s="7">
        <f>'[5]Mar Prod'!H263</f>
        <v>0</v>
      </c>
      <c r="L9" s="8">
        <f t="shared" si="6"/>
        <v>0</v>
      </c>
      <c r="M9" s="10">
        <f t="shared" si="7"/>
        <v>0</v>
      </c>
      <c r="N9" s="21"/>
      <c r="O9" s="7">
        <f>'[5]Mar Prod'!H8</f>
        <v>10365000</v>
      </c>
      <c r="P9" s="8">
        <f t="shared" si="8"/>
        <v>10.365</v>
      </c>
      <c r="Q9" s="10">
        <f t="shared" si="9"/>
        <v>31.820549999999997</v>
      </c>
      <c r="R9" s="7">
        <f>'[5]Mar Prod'!C8</f>
        <v>10624000</v>
      </c>
      <c r="S9" s="8">
        <f t="shared" si="10"/>
        <v>10.624000000000001</v>
      </c>
      <c r="T9" s="10">
        <f t="shared" si="11"/>
        <v>32.615679999999998</v>
      </c>
      <c r="U9" s="7">
        <f>'[5]Mar Prod'!D8</f>
        <v>0</v>
      </c>
      <c r="V9" s="8">
        <f t="shared" si="12"/>
        <v>0</v>
      </c>
      <c r="W9" s="10">
        <f t="shared" si="13"/>
        <v>0</v>
      </c>
      <c r="X9" s="7">
        <f>'[5]Mar Prod'!D263</f>
        <v>259000.00000000035</v>
      </c>
      <c r="Y9" s="8">
        <f t="shared" si="14"/>
        <v>0.25900000000000034</v>
      </c>
      <c r="Z9" s="10">
        <f t="shared" si="15"/>
        <v>0.795130000000001</v>
      </c>
      <c r="AA9" s="15"/>
      <c r="AB9" s="7">
        <f t="shared" si="16"/>
        <v>10365000</v>
      </c>
      <c r="AC9" s="8">
        <f t="shared" si="16"/>
        <v>10.365</v>
      </c>
      <c r="AD9" s="8">
        <f t="shared" si="16"/>
        <v>31.820549999999997</v>
      </c>
      <c r="AF9" s="8">
        <f t="shared" si="17"/>
        <v>0</v>
      </c>
    </row>
    <row r="10" spans="1:32" x14ac:dyDescent="0.25">
      <c r="A10" s="27">
        <v>38417</v>
      </c>
      <c r="B10" s="7">
        <f>'[5]Mar Prod'!I9</f>
        <v>0</v>
      </c>
      <c r="C10" s="8">
        <f t="shared" si="1"/>
        <v>0</v>
      </c>
      <c r="D10" s="10">
        <f t="shared" si="0"/>
        <v>0</v>
      </c>
      <c r="E10" s="7">
        <f>'[5]Mar Prod'!E9</f>
        <v>1000000</v>
      </c>
      <c r="F10" s="8">
        <f t="shared" si="2"/>
        <v>1</v>
      </c>
      <c r="G10" s="10">
        <f t="shared" si="3"/>
        <v>3.07</v>
      </c>
      <c r="H10" s="7">
        <f>'[5]Mar Prod'!F9</f>
        <v>0</v>
      </c>
      <c r="I10" s="8">
        <f t="shared" si="4"/>
        <v>0</v>
      </c>
      <c r="J10" s="10">
        <f t="shared" si="5"/>
        <v>0</v>
      </c>
      <c r="K10" s="7">
        <f>'[5]Mar Prod'!H264</f>
        <v>201924</v>
      </c>
      <c r="L10" s="8">
        <f t="shared" si="6"/>
        <v>0.20192399999999999</v>
      </c>
      <c r="M10" s="10">
        <f t="shared" si="7"/>
        <v>0.61990667999999993</v>
      </c>
      <c r="N10" s="21"/>
      <c r="O10" s="7">
        <f>'[5]Mar Prod'!H9</f>
        <v>11617000.000000006</v>
      </c>
      <c r="P10" s="8">
        <f t="shared" si="8"/>
        <v>11.617000000000006</v>
      </c>
      <c r="Q10" s="10">
        <f t="shared" si="9"/>
        <v>35.664190000000019</v>
      </c>
      <c r="R10" s="7">
        <f>'[5]Mar Prod'!C9</f>
        <v>11933000</v>
      </c>
      <c r="S10" s="8">
        <f t="shared" si="10"/>
        <v>11.933</v>
      </c>
      <c r="T10" s="10">
        <f t="shared" si="11"/>
        <v>36.634309999999999</v>
      </c>
      <c r="U10" s="7">
        <f>'[5]Mar Prod'!D9</f>
        <v>0</v>
      </c>
      <c r="V10" s="8">
        <f t="shared" si="12"/>
        <v>0</v>
      </c>
      <c r="W10" s="10">
        <f t="shared" si="13"/>
        <v>0</v>
      </c>
      <c r="X10" s="7">
        <f>'[5]Mar Prod'!D264</f>
        <v>315999.9999999954</v>
      </c>
      <c r="Y10" s="8">
        <f t="shared" si="14"/>
        <v>0.3159999999999954</v>
      </c>
      <c r="Z10" s="10">
        <f t="shared" si="15"/>
        <v>0.97011999999998577</v>
      </c>
      <c r="AA10" s="15"/>
      <c r="AB10" s="7">
        <f t="shared" si="16"/>
        <v>11617000.000000006</v>
      </c>
      <c r="AC10" s="8">
        <f t="shared" si="16"/>
        <v>11.617000000000006</v>
      </c>
      <c r="AD10" s="8">
        <f t="shared" si="16"/>
        <v>35.664190000000019</v>
      </c>
      <c r="AF10" s="8">
        <f t="shared" si="17"/>
        <v>-5.6621374255882984E-15</v>
      </c>
    </row>
    <row r="11" spans="1:32" x14ac:dyDescent="0.25">
      <c r="A11" s="27">
        <v>38418</v>
      </c>
      <c r="B11" s="7">
        <f>'[5]Mar Prod'!I10</f>
        <v>0</v>
      </c>
      <c r="C11" s="8">
        <f t="shared" si="1"/>
        <v>0</v>
      </c>
      <c r="D11" s="10">
        <f t="shared" si="0"/>
        <v>0</v>
      </c>
      <c r="E11" s="7">
        <f>'[5]Mar Prod'!E10</f>
        <v>0</v>
      </c>
      <c r="F11" s="8">
        <f t="shared" si="2"/>
        <v>0</v>
      </c>
      <c r="G11" s="10">
        <f t="shared" si="3"/>
        <v>0</v>
      </c>
      <c r="H11" s="7">
        <f>'[5]Mar Prod'!F10</f>
        <v>0</v>
      </c>
      <c r="I11" s="8">
        <f t="shared" si="4"/>
        <v>0</v>
      </c>
      <c r="J11" s="10">
        <f t="shared" si="5"/>
        <v>0</v>
      </c>
      <c r="K11" s="7">
        <f>'[5]Mar Prod'!H265</f>
        <v>0</v>
      </c>
      <c r="L11" s="8">
        <f t="shared" si="6"/>
        <v>0</v>
      </c>
      <c r="M11" s="10">
        <f t="shared" si="7"/>
        <v>0</v>
      </c>
      <c r="N11" s="21"/>
      <c r="O11" s="7">
        <f>'[5]Mar Prod'!H10</f>
        <v>12241999.999999994</v>
      </c>
      <c r="P11" s="8">
        <f t="shared" si="8"/>
        <v>12.241999999999994</v>
      </c>
      <c r="Q11" s="10">
        <f t="shared" si="9"/>
        <v>37.582939999999979</v>
      </c>
      <c r="R11" s="7">
        <f>'[5]Mar Prod'!C10</f>
        <v>12499000</v>
      </c>
      <c r="S11" s="8">
        <f t="shared" si="10"/>
        <v>12.499000000000001</v>
      </c>
      <c r="T11" s="10">
        <f t="shared" si="11"/>
        <v>38.371929999999999</v>
      </c>
      <c r="U11" s="7">
        <f>'[5]Mar Prod'!D10</f>
        <v>0</v>
      </c>
      <c r="V11" s="8">
        <f t="shared" si="12"/>
        <v>0</v>
      </c>
      <c r="W11" s="10">
        <f t="shared" si="13"/>
        <v>0</v>
      </c>
      <c r="X11" s="7">
        <f>'[5]Mar Prod'!D265</f>
        <v>257000.00000000501</v>
      </c>
      <c r="Y11" s="8">
        <f t="shared" si="14"/>
        <v>0.257000000000005</v>
      </c>
      <c r="Z11" s="10">
        <f t="shared" si="15"/>
        <v>0.78899000000001529</v>
      </c>
      <c r="AA11" s="15"/>
      <c r="AB11" s="7">
        <f t="shared" si="16"/>
        <v>12241999.999999994</v>
      </c>
      <c r="AC11" s="8">
        <f t="shared" si="16"/>
        <v>12.241999999999994</v>
      </c>
      <c r="AD11" s="8">
        <f t="shared" si="16"/>
        <v>37.582939999999979</v>
      </c>
      <c r="AF11" s="8">
        <f t="shared" si="17"/>
        <v>4.3298697960381105E-15</v>
      </c>
    </row>
    <row r="12" spans="1:32" x14ac:dyDescent="0.25">
      <c r="A12" s="27">
        <v>38419</v>
      </c>
      <c r="B12" s="7">
        <f>'[5]Mar Prod'!I11</f>
        <v>0</v>
      </c>
      <c r="C12" s="8">
        <f t="shared" si="1"/>
        <v>0</v>
      </c>
      <c r="D12" s="10">
        <f t="shared" si="0"/>
        <v>0</v>
      </c>
      <c r="E12" s="7">
        <f>'[5]Mar Prod'!E11</f>
        <v>0</v>
      </c>
      <c r="F12" s="8">
        <f t="shared" si="2"/>
        <v>0</v>
      </c>
      <c r="G12" s="10">
        <f t="shared" si="3"/>
        <v>0</v>
      </c>
      <c r="H12" s="7">
        <f>'[5]Mar Prod'!F11</f>
        <v>0</v>
      </c>
      <c r="I12" s="8">
        <f t="shared" si="4"/>
        <v>0</v>
      </c>
      <c r="J12" s="10">
        <f t="shared" si="5"/>
        <v>0</v>
      </c>
      <c r="K12" s="7">
        <f>'[5]Mar Prod'!H266</f>
        <v>0</v>
      </c>
      <c r="L12" s="8">
        <f t="shared" si="6"/>
        <v>0</v>
      </c>
      <c r="M12" s="10">
        <f t="shared" si="7"/>
        <v>0</v>
      </c>
      <c r="N12" s="21"/>
      <c r="O12" s="7">
        <f>'[5]Mar Prod'!H11</f>
        <v>11992000</v>
      </c>
      <c r="P12" s="8">
        <f t="shared" si="8"/>
        <v>11.992000000000001</v>
      </c>
      <c r="Q12" s="10">
        <f t="shared" si="9"/>
        <v>36.815440000000002</v>
      </c>
      <c r="R12" s="7">
        <f>'[5]Mar Prod'!C11</f>
        <v>12312000</v>
      </c>
      <c r="S12" s="8">
        <f t="shared" si="10"/>
        <v>12.311999999999999</v>
      </c>
      <c r="T12" s="10">
        <f t="shared" si="11"/>
        <v>37.797839999999994</v>
      </c>
      <c r="U12" s="7">
        <f>'[5]Mar Prod'!D11</f>
        <v>0</v>
      </c>
      <c r="V12" s="8">
        <f t="shared" si="12"/>
        <v>0</v>
      </c>
      <c r="W12" s="10">
        <f t="shared" si="13"/>
        <v>0</v>
      </c>
      <c r="X12" s="7">
        <f>'[5]Mar Prod'!D266</f>
        <v>320000.00000000029</v>
      </c>
      <c r="Y12" s="8">
        <f t="shared" si="14"/>
        <v>0.32000000000000028</v>
      </c>
      <c r="Z12" s="10">
        <f t="shared" si="15"/>
        <v>0.98240000000000083</v>
      </c>
      <c r="AA12" s="15"/>
      <c r="AB12" s="7">
        <f t="shared" si="16"/>
        <v>11992000</v>
      </c>
      <c r="AC12" s="8">
        <f t="shared" si="16"/>
        <v>11.992000000000001</v>
      </c>
      <c r="AD12" s="8">
        <f t="shared" si="16"/>
        <v>36.815440000000002</v>
      </c>
      <c r="AF12" s="8">
        <f t="shared" si="17"/>
        <v>-9.5479180117763462E-15</v>
      </c>
    </row>
    <row r="13" spans="1:32" x14ac:dyDescent="0.25">
      <c r="A13" s="27">
        <v>38420</v>
      </c>
      <c r="B13" s="7">
        <f>'[5]Mar Prod'!I12</f>
        <v>0</v>
      </c>
      <c r="C13" s="8">
        <f t="shared" si="1"/>
        <v>0</v>
      </c>
      <c r="D13" s="10">
        <f t="shared" si="0"/>
        <v>0</v>
      </c>
      <c r="E13" s="7">
        <f>'[5]Mar Prod'!E12</f>
        <v>3000000</v>
      </c>
      <c r="F13" s="8">
        <f t="shared" si="2"/>
        <v>3</v>
      </c>
      <c r="G13" s="10">
        <f t="shared" si="3"/>
        <v>9.2099999999999991</v>
      </c>
      <c r="H13" s="7">
        <f>'[5]Mar Prod'!F12</f>
        <v>0</v>
      </c>
      <c r="I13" s="8">
        <f t="shared" si="4"/>
        <v>0</v>
      </c>
      <c r="J13" s="10">
        <f t="shared" si="5"/>
        <v>0</v>
      </c>
      <c r="K13" s="7">
        <f>'[5]Mar Prod'!H267</f>
        <v>173831</v>
      </c>
      <c r="L13" s="8">
        <f t="shared" si="6"/>
        <v>0.17383100000000001</v>
      </c>
      <c r="M13" s="10">
        <f t="shared" si="7"/>
        <v>0.53366117000000002</v>
      </c>
      <c r="N13" s="21"/>
      <c r="O13" s="7">
        <f>'[5]Mar Prod'!H12</f>
        <v>12801000</v>
      </c>
      <c r="P13" s="8">
        <f t="shared" si="8"/>
        <v>12.801</v>
      </c>
      <c r="Q13" s="10">
        <f t="shared" si="9"/>
        <v>39.29907</v>
      </c>
      <c r="R13" s="7">
        <f>'[5]Mar Prod'!C12</f>
        <v>13057000</v>
      </c>
      <c r="S13" s="8">
        <f t="shared" si="10"/>
        <v>13.057</v>
      </c>
      <c r="T13" s="10">
        <f t="shared" si="11"/>
        <v>40.084989999999998</v>
      </c>
      <c r="U13" s="7">
        <f>'[5]Mar Prod'!D12</f>
        <v>0</v>
      </c>
      <c r="V13" s="8">
        <f t="shared" si="12"/>
        <v>0</v>
      </c>
      <c r="W13" s="10">
        <f t="shared" si="13"/>
        <v>0</v>
      </c>
      <c r="X13" s="7">
        <f>'[5]Mar Prod'!D267</f>
        <v>256000.00000000023</v>
      </c>
      <c r="Y13" s="8">
        <f t="shared" si="14"/>
        <v>0.25600000000000023</v>
      </c>
      <c r="Z13" s="10">
        <f t="shared" si="15"/>
        <v>0.78592000000000062</v>
      </c>
      <c r="AA13" s="15"/>
      <c r="AB13" s="7">
        <f t="shared" si="16"/>
        <v>12801000</v>
      </c>
      <c r="AC13" s="8">
        <f t="shared" si="16"/>
        <v>12.801</v>
      </c>
      <c r="AD13" s="8">
        <f>D13+Q13</f>
        <v>39.29907</v>
      </c>
      <c r="AF13" s="8">
        <f t="shared" si="17"/>
        <v>-3.3306690738754696E-15</v>
      </c>
    </row>
    <row r="14" spans="1:32" x14ac:dyDescent="0.25">
      <c r="A14" s="27">
        <v>38421</v>
      </c>
      <c r="B14" s="7">
        <f>'[5]Mar Prod'!I13</f>
        <v>0</v>
      </c>
      <c r="C14" s="8">
        <f t="shared" si="1"/>
        <v>0</v>
      </c>
      <c r="D14" s="10">
        <f t="shared" si="0"/>
        <v>0</v>
      </c>
      <c r="E14" s="7">
        <f>'[5]Mar Prod'!E13</f>
        <v>0</v>
      </c>
      <c r="F14" s="8">
        <f t="shared" si="2"/>
        <v>0</v>
      </c>
      <c r="G14" s="10">
        <f t="shared" si="3"/>
        <v>0</v>
      </c>
      <c r="H14" s="7">
        <f>'[5]Mar Prod'!F13</f>
        <v>0</v>
      </c>
      <c r="I14" s="8">
        <f t="shared" si="4"/>
        <v>0</v>
      </c>
      <c r="J14" s="10">
        <f t="shared" si="5"/>
        <v>0</v>
      </c>
      <c r="K14" s="7">
        <f>'[5]Mar Prod'!H268</f>
        <v>36886</v>
      </c>
      <c r="L14" s="8">
        <f t="shared" si="6"/>
        <v>3.6886000000000002E-2</v>
      </c>
      <c r="M14" s="10">
        <f t="shared" si="7"/>
        <v>0.11324002</v>
      </c>
      <c r="N14" s="21"/>
      <c r="O14" s="7">
        <f>'[5]Mar Prod'!H13</f>
        <v>12661000.000000002</v>
      </c>
      <c r="P14" s="8">
        <f t="shared" si="8"/>
        <v>12.661000000000001</v>
      </c>
      <c r="Q14" s="10">
        <f t="shared" si="9"/>
        <v>38.86927</v>
      </c>
      <c r="R14" s="7">
        <f>'[5]Mar Prod'!C13</f>
        <v>12921000</v>
      </c>
      <c r="S14" s="8">
        <f t="shared" si="10"/>
        <v>12.920999999999999</v>
      </c>
      <c r="T14" s="10">
        <f t="shared" si="11"/>
        <v>39.667469999999994</v>
      </c>
      <c r="U14" s="7">
        <f>'[5]Mar Prod'!D13</f>
        <v>0</v>
      </c>
      <c r="V14" s="8">
        <f t="shared" si="12"/>
        <v>0</v>
      </c>
      <c r="W14" s="10">
        <f t="shared" si="13"/>
        <v>0</v>
      </c>
      <c r="X14" s="7">
        <f>'[5]Mar Prod'!D268</f>
        <v>259999.99999999802</v>
      </c>
      <c r="Y14" s="8">
        <f t="shared" si="14"/>
        <v>0.25999999999999801</v>
      </c>
      <c r="Z14" s="10">
        <f t="shared" si="15"/>
        <v>0.7981999999999938</v>
      </c>
      <c r="AA14" s="15"/>
      <c r="AB14" s="7">
        <f t="shared" si="16"/>
        <v>12661000.000000002</v>
      </c>
      <c r="AC14" s="8">
        <f t="shared" si="16"/>
        <v>12.661000000000001</v>
      </c>
      <c r="AD14" s="8">
        <f t="shared" si="16"/>
        <v>38.86927</v>
      </c>
      <c r="AF14" s="8">
        <f t="shared" si="17"/>
        <v>0</v>
      </c>
    </row>
    <row r="15" spans="1:32" x14ac:dyDescent="0.25">
      <c r="A15" s="27">
        <v>38422</v>
      </c>
      <c r="B15" s="7">
        <f>'[5]Mar Prod'!I14</f>
        <v>0</v>
      </c>
      <c r="C15" s="8">
        <f t="shared" si="1"/>
        <v>0</v>
      </c>
      <c r="D15" s="10">
        <f t="shared" si="0"/>
        <v>0</v>
      </c>
      <c r="E15" s="7">
        <f>'[5]Mar Prod'!E14</f>
        <v>3000000</v>
      </c>
      <c r="F15" s="8">
        <f t="shared" si="2"/>
        <v>3</v>
      </c>
      <c r="G15" s="10">
        <f t="shared" si="3"/>
        <v>9.2099999999999991</v>
      </c>
      <c r="H15" s="7">
        <f>'[5]Mar Prod'!F14</f>
        <v>0</v>
      </c>
      <c r="I15" s="8">
        <f t="shared" si="4"/>
        <v>0</v>
      </c>
      <c r="J15" s="10">
        <f t="shared" si="5"/>
        <v>0</v>
      </c>
      <c r="K15" s="7">
        <f>'[5]Mar Prod'!H269</f>
        <v>444813</v>
      </c>
      <c r="L15" s="8">
        <f t="shared" si="6"/>
        <v>0.44481300000000001</v>
      </c>
      <c r="M15" s="10">
        <f t="shared" si="7"/>
        <v>1.36557591</v>
      </c>
      <c r="N15" s="21"/>
      <c r="O15" s="7">
        <f>'[5]Mar Prod'!H14</f>
        <v>11691000.000000002</v>
      </c>
      <c r="P15" s="8">
        <f t="shared" si="8"/>
        <v>11.691000000000003</v>
      </c>
      <c r="Q15" s="10">
        <f t="shared" si="9"/>
        <v>35.891370000000009</v>
      </c>
      <c r="R15" s="7">
        <f>'[5]Mar Prod'!C14</f>
        <v>12015000</v>
      </c>
      <c r="S15" s="8">
        <f t="shared" si="10"/>
        <v>12.015000000000001</v>
      </c>
      <c r="T15" s="10">
        <f t="shared" si="11"/>
        <v>36.886049999999997</v>
      </c>
      <c r="U15" s="7">
        <f>'[5]Mar Prod'!D14</f>
        <v>0</v>
      </c>
      <c r="V15" s="8">
        <f t="shared" si="12"/>
        <v>0</v>
      </c>
      <c r="W15" s="10">
        <f t="shared" si="13"/>
        <v>0</v>
      </c>
      <c r="X15" s="7">
        <f>'[5]Mar Prod'!D269</f>
        <v>323999.99999999808</v>
      </c>
      <c r="Y15" s="8">
        <f t="shared" si="14"/>
        <v>0.32399999999999807</v>
      </c>
      <c r="Z15" s="10">
        <f t="shared" si="15"/>
        <v>0.99467999999999401</v>
      </c>
      <c r="AA15" s="15"/>
      <c r="AB15" s="7">
        <f t="shared" si="16"/>
        <v>11691000.000000002</v>
      </c>
      <c r="AC15" s="8">
        <f t="shared" si="16"/>
        <v>11.691000000000003</v>
      </c>
      <c r="AD15" s="8">
        <f t="shared" si="16"/>
        <v>35.891370000000009</v>
      </c>
      <c r="AF15" s="8">
        <f>T15-Q15-Z15</f>
        <v>-5.773159728050814E-15</v>
      </c>
    </row>
    <row r="16" spans="1:32" x14ac:dyDescent="0.25">
      <c r="A16" s="27">
        <v>38423</v>
      </c>
      <c r="B16" s="7">
        <f>'[5]Mar Prod'!I15</f>
        <v>0</v>
      </c>
      <c r="C16" s="8">
        <f t="shared" si="1"/>
        <v>0</v>
      </c>
      <c r="D16" s="10">
        <f t="shared" si="0"/>
        <v>0</v>
      </c>
      <c r="E16" s="7">
        <f>'[5]Mar Prod'!E15</f>
        <v>5000000</v>
      </c>
      <c r="F16" s="8">
        <f t="shared" si="2"/>
        <v>5</v>
      </c>
      <c r="G16" s="10">
        <f t="shared" si="3"/>
        <v>15.35</v>
      </c>
      <c r="H16" s="7">
        <f>'[5]Mar Prod'!F15</f>
        <v>0</v>
      </c>
      <c r="I16" s="8">
        <f t="shared" si="4"/>
        <v>0</v>
      </c>
      <c r="J16" s="10">
        <f t="shared" si="5"/>
        <v>0</v>
      </c>
      <c r="K16" s="7">
        <f>'[5]Mar Prod'!H270</f>
        <v>406761</v>
      </c>
      <c r="L16" s="8">
        <f t="shared" si="6"/>
        <v>0.40676099999999998</v>
      </c>
      <c r="M16" s="10">
        <f t="shared" si="7"/>
        <v>1.2487562699999999</v>
      </c>
      <c r="N16" s="21"/>
      <c r="O16" s="7">
        <f>'[5]Mar Prod'!H15</f>
        <v>9843000.0000000019</v>
      </c>
      <c r="P16" s="8">
        <f t="shared" si="8"/>
        <v>9.8430000000000017</v>
      </c>
      <c r="Q16" s="10">
        <f t="shared" si="9"/>
        <v>30.218010000000003</v>
      </c>
      <c r="R16" s="7">
        <f>'[5]Mar Prod'!C15</f>
        <v>10167000</v>
      </c>
      <c r="S16" s="8">
        <f t="shared" si="10"/>
        <v>10.167</v>
      </c>
      <c r="T16" s="10">
        <f t="shared" si="11"/>
        <v>31.212689999999998</v>
      </c>
      <c r="U16" s="7">
        <f>'[5]Mar Prod'!D15</f>
        <v>0</v>
      </c>
      <c r="V16" s="8">
        <f t="shared" si="12"/>
        <v>0</v>
      </c>
      <c r="W16" s="10">
        <f t="shared" si="13"/>
        <v>0</v>
      </c>
      <c r="X16" s="7">
        <f>'[5]Mar Prod'!D270</f>
        <v>323999.99999999808</v>
      </c>
      <c r="Y16" s="8">
        <f t="shared" si="14"/>
        <v>0.32399999999999807</v>
      </c>
      <c r="Z16" s="10">
        <f t="shared" si="15"/>
        <v>0.99467999999999401</v>
      </c>
      <c r="AA16" s="15"/>
      <c r="AB16" s="7">
        <f t="shared" si="16"/>
        <v>9843000.0000000019</v>
      </c>
      <c r="AC16" s="8">
        <f t="shared" si="16"/>
        <v>9.8430000000000017</v>
      </c>
      <c r="AD16" s="8">
        <f t="shared" si="16"/>
        <v>30.218010000000003</v>
      </c>
      <c r="AF16" s="8">
        <f>T16-Q16-Z16</f>
        <v>1.3322676295501878E-15</v>
      </c>
    </row>
    <row r="17" spans="1:32" x14ac:dyDescent="0.25">
      <c r="A17" s="27">
        <v>38424</v>
      </c>
      <c r="B17" s="7">
        <f>'[5]Mar Prod'!I16</f>
        <v>0</v>
      </c>
      <c r="C17" s="8">
        <f t="shared" si="1"/>
        <v>0</v>
      </c>
      <c r="D17" s="10">
        <f t="shared" si="0"/>
        <v>0</v>
      </c>
      <c r="E17" s="7">
        <f>'[5]Mar Prod'!E16</f>
        <v>3000000</v>
      </c>
      <c r="F17" s="8">
        <f t="shared" si="2"/>
        <v>3</v>
      </c>
      <c r="G17" s="10">
        <f t="shared" si="3"/>
        <v>9.2099999999999991</v>
      </c>
      <c r="H17" s="7">
        <f>'[5]Mar Prod'!F16</f>
        <v>0</v>
      </c>
      <c r="I17" s="8">
        <f t="shared" si="4"/>
        <v>0</v>
      </c>
      <c r="J17" s="10">
        <f t="shared" si="5"/>
        <v>0</v>
      </c>
      <c r="K17" s="7">
        <f>'[5]Mar Prod'!H271</f>
        <v>262345</v>
      </c>
      <c r="L17" s="8">
        <f t="shared" si="6"/>
        <v>0.26234499999999999</v>
      </c>
      <c r="M17" s="10">
        <f t="shared" si="7"/>
        <v>0.80539914999999995</v>
      </c>
      <c r="N17" s="21"/>
      <c r="O17" s="7">
        <f>'[5]Mar Prod'!H16</f>
        <v>12532999.999999994</v>
      </c>
      <c r="P17" s="8">
        <f t="shared" si="8"/>
        <v>12.532999999999994</v>
      </c>
      <c r="Q17" s="10">
        <f t="shared" si="9"/>
        <v>38.476309999999977</v>
      </c>
      <c r="R17" s="7">
        <f>'[5]Mar Prod'!C16</f>
        <v>12726000</v>
      </c>
      <c r="S17" s="8">
        <f t="shared" si="10"/>
        <v>12.726000000000001</v>
      </c>
      <c r="T17" s="10">
        <f t="shared" si="11"/>
        <v>39.068820000000002</v>
      </c>
      <c r="U17" s="7">
        <f>'[5]Mar Prod'!D16</f>
        <v>0</v>
      </c>
      <c r="V17" s="8">
        <f t="shared" si="12"/>
        <v>0</v>
      </c>
      <c r="W17" s="10">
        <f t="shared" si="13"/>
        <v>0</v>
      </c>
      <c r="X17" s="7">
        <f>'[5]Mar Prod'!D271</f>
        <v>193000.00000000495</v>
      </c>
      <c r="Y17" s="8">
        <f t="shared" si="14"/>
        <v>0.19300000000000495</v>
      </c>
      <c r="Z17" s="10">
        <f t="shared" si="15"/>
        <v>0.59251000000001519</v>
      </c>
      <c r="AA17" s="15"/>
      <c r="AB17" s="7">
        <f t="shared" si="16"/>
        <v>12532999.999999994</v>
      </c>
      <c r="AC17" s="8">
        <f t="shared" si="16"/>
        <v>12.532999999999994</v>
      </c>
      <c r="AD17" s="8">
        <f t="shared" si="16"/>
        <v>38.476309999999977</v>
      </c>
      <c r="AF17" s="8">
        <f>T17-Q17-Z17</f>
        <v>1.0436096431476471E-14</v>
      </c>
    </row>
    <row r="18" spans="1:32" x14ac:dyDescent="0.25">
      <c r="A18" s="27">
        <v>38425</v>
      </c>
      <c r="B18" s="7">
        <f>'[5]Mar Prod'!I17</f>
        <v>0</v>
      </c>
      <c r="C18" s="8">
        <f t="shared" si="1"/>
        <v>0</v>
      </c>
      <c r="D18" s="10">
        <f t="shared" si="0"/>
        <v>0</v>
      </c>
      <c r="E18" s="7">
        <f>'[5]Mar Prod'!E17</f>
        <v>0</v>
      </c>
      <c r="F18" s="8">
        <f t="shared" si="2"/>
        <v>0</v>
      </c>
      <c r="G18" s="10">
        <f t="shared" si="3"/>
        <v>0</v>
      </c>
      <c r="H18" s="7">
        <f>'[5]Mar Prod'!F17</f>
        <v>0</v>
      </c>
      <c r="I18" s="8">
        <f t="shared" si="4"/>
        <v>0</v>
      </c>
      <c r="J18" s="10">
        <f t="shared" si="5"/>
        <v>0</v>
      </c>
      <c r="K18" s="7">
        <f>'[5]Mar Prod'!H272</f>
        <v>0</v>
      </c>
      <c r="L18" s="8">
        <f t="shared" si="6"/>
        <v>0</v>
      </c>
      <c r="M18" s="10">
        <f t="shared" si="7"/>
        <v>0</v>
      </c>
      <c r="N18" s="21"/>
      <c r="O18" s="7">
        <f>'[5]Mar Prod'!H17</f>
        <v>12549000</v>
      </c>
      <c r="P18" s="8">
        <f t="shared" si="8"/>
        <v>12.548999999999999</v>
      </c>
      <c r="Q18" s="10">
        <f t="shared" si="9"/>
        <v>38.525429999999993</v>
      </c>
      <c r="R18" s="7">
        <f>'[5]Mar Prod'!C17</f>
        <v>12811000</v>
      </c>
      <c r="S18" s="8">
        <f t="shared" si="10"/>
        <v>12.811</v>
      </c>
      <c r="T18" s="10">
        <f t="shared" si="11"/>
        <v>39.329769999999996</v>
      </c>
      <c r="U18" s="7">
        <f>'[5]Mar Prod'!D17</f>
        <v>0</v>
      </c>
      <c r="V18" s="8">
        <f t="shared" si="12"/>
        <v>0</v>
      </c>
      <c r="W18" s="10">
        <f t="shared" si="13"/>
        <v>0</v>
      </c>
      <c r="X18" s="7">
        <f>'[5]Mar Prod'!D272</f>
        <v>262000.00000000047</v>
      </c>
      <c r="Y18" s="8">
        <f t="shared" si="14"/>
        <v>0.26200000000000045</v>
      </c>
      <c r="Z18" s="10">
        <f t="shared" si="15"/>
        <v>0.80434000000000139</v>
      </c>
      <c r="AA18" s="15"/>
      <c r="AB18" s="7">
        <f t="shared" si="16"/>
        <v>12549000</v>
      </c>
      <c r="AC18" s="8">
        <f t="shared" si="16"/>
        <v>12.548999999999999</v>
      </c>
      <c r="AD18" s="8">
        <f t="shared" si="16"/>
        <v>38.525429999999993</v>
      </c>
      <c r="AF18" s="8">
        <f>T18-Q18-Z18</f>
        <v>1.9984014443252818E-15</v>
      </c>
    </row>
    <row r="19" spans="1:32" x14ac:dyDescent="0.25">
      <c r="A19" s="27">
        <v>38426</v>
      </c>
      <c r="B19" s="7">
        <f>'[5]Mar Prod'!I18</f>
        <v>0</v>
      </c>
      <c r="C19" s="8">
        <f t="shared" si="1"/>
        <v>0</v>
      </c>
      <c r="D19" s="10">
        <f t="shared" si="0"/>
        <v>0</v>
      </c>
      <c r="E19" s="7">
        <f>'[5]Mar Prod'!E18</f>
        <v>0</v>
      </c>
      <c r="F19" s="8">
        <f t="shared" si="2"/>
        <v>0</v>
      </c>
      <c r="G19" s="10">
        <f t="shared" si="3"/>
        <v>0</v>
      </c>
      <c r="H19" s="7">
        <f>'[5]Mar Prod'!F18</f>
        <v>0</v>
      </c>
      <c r="I19" s="8">
        <f t="shared" si="4"/>
        <v>0</v>
      </c>
      <c r="J19" s="10">
        <f t="shared" si="5"/>
        <v>0</v>
      </c>
      <c r="K19" s="7">
        <f>'[5]Mar Prod'!H273</f>
        <v>0</v>
      </c>
      <c r="L19" s="8">
        <f t="shared" si="6"/>
        <v>0</v>
      </c>
      <c r="M19" s="10">
        <f t="shared" si="7"/>
        <v>0</v>
      </c>
      <c r="N19" s="21"/>
      <c r="O19" s="7">
        <f>'[5]Mar Prod'!H18</f>
        <v>11950000.000000002</v>
      </c>
      <c r="P19" s="8">
        <f t="shared" si="8"/>
        <v>11.950000000000001</v>
      </c>
      <c r="Q19" s="10">
        <f t="shared" si="9"/>
        <v>36.686500000000002</v>
      </c>
      <c r="R19" s="7">
        <f>'[5]Mar Prod'!C18</f>
        <v>12344000</v>
      </c>
      <c r="S19" s="8">
        <f t="shared" si="10"/>
        <v>12.343999999999999</v>
      </c>
      <c r="T19" s="10">
        <f t="shared" si="11"/>
        <v>37.896079999999998</v>
      </c>
      <c r="U19" s="7">
        <f>'[5]Mar Prod'!D18</f>
        <v>0</v>
      </c>
      <c r="V19" s="8">
        <f t="shared" si="12"/>
        <v>0</v>
      </c>
      <c r="W19" s="10">
        <f t="shared" si="13"/>
        <v>0</v>
      </c>
      <c r="X19" s="7">
        <f>'[5]Mar Prod'!D273</f>
        <v>393999.99999999837</v>
      </c>
      <c r="Y19" s="8">
        <f t="shared" si="14"/>
        <v>0.39399999999999835</v>
      </c>
      <c r="Z19" s="10">
        <f t="shared" si="15"/>
        <v>1.2095799999999948</v>
      </c>
      <c r="AA19" s="15"/>
      <c r="AB19" s="7">
        <f t="shared" si="16"/>
        <v>11950000.000000002</v>
      </c>
      <c r="AC19" s="8">
        <f t="shared" si="16"/>
        <v>11.950000000000001</v>
      </c>
      <c r="AD19" s="8">
        <f>D19+Q19</f>
        <v>36.686500000000002</v>
      </c>
      <c r="AF19" s="8">
        <f>T19-Q19-Z19</f>
        <v>0</v>
      </c>
    </row>
    <row r="20" spans="1:32" x14ac:dyDescent="0.25">
      <c r="A20" s="27">
        <v>38427</v>
      </c>
      <c r="B20" s="7">
        <f>'[5]Mar Prod'!I19</f>
        <v>4100000.000002183</v>
      </c>
      <c r="C20" s="8">
        <f t="shared" si="1"/>
        <v>4.1000000000021828</v>
      </c>
      <c r="D20" s="10">
        <f t="shared" si="0"/>
        <v>12.5870000000067</v>
      </c>
      <c r="E20" s="7">
        <f>'[5]Mar Prod'!E19</f>
        <v>3000000</v>
      </c>
      <c r="F20" s="8">
        <f t="shared" si="2"/>
        <v>3</v>
      </c>
      <c r="G20" s="10">
        <f t="shared" si="3"/>
        <v>9.2099999999999991</v>
      </c>
      <c r="H20" s="7">
        <f>'[5]Mar Prod'!F19</f>
        <v>0</v>
      </c>
      <c r="I20" s="8">
        <f t="shared" si="4"/>
        <v>0</v>
      </c>
      <c r="J20" s="10">
        <f t="shared" si="5"/>
        <v>0</v>
      </c>
      <c r="K20" s="7">
        <f>'[5]Mar Prod'!H274</f>
        <v>223585</v>
      </c>
      <c r="L20" s="8">
        <f t="shared" si="6"/>
        <v>0.22358500000000001</v>
      </c>
      <c r="M20" s="10">
        <f t="shared" si="7"/>
        <v>0.68640594999999993</v>
      </c>
      <c r="N20" s="21"/>
      <c r="O20" s="7">
        <f>'[5]Mar Prod'!H19</f>
        <v>9705000</v>
      </c>
      <c r="P20" s="8">
        <f t="shared" si="8"/>
        <v>9.7050000000000001</v>
      </c>
      <c r="Q20" s="10">
        <f t="shared" si="9"/>
        <v>29.794349999999998</v>
      </c>
      <c r="R20" s="7">
        <f>'[5]Mar Prod'!C19</f>
        <v>10031000</v>
      </c>
      <c r="S20" s="8">
        <f t="shared" si="10"/>
        <v>10.031000000000001</v>
      </c>
      <c r="T20" s="10">
        <f t="shared" si="11"/>
        <v>30.795169999999999</v>
      </c>
      <c r="U20" s="7">
        <f>'[5]Mar Prod'!D19</f>
        <v>0</v>
      </c>
      <c r="V20" s="8">
        <f t="shared" si="12"/>
        <v>0</v>
      </c>
      <c r="W20" s="10">
        <f t="shared" si="13"/>
        <v>0</v>
      </c>
      <c r="X20" s="7">
        <f>'[5]Mar Prod'!D274</f>
        <v>326000.00000000052</v>
      </c>
      <c r="Y20" s="8">
        <f t="shared" si="14"/>
        <v>0.32600000000000051</v>
      </c>
      <c r="Z20" s="10">
        <f t="shared" si="15"/>
        <v>1.0008200000000016</v>
      </c>
      <c r="AA20" s="15"/>
      <c r="AB20" s="7">
        <f t="shared" si="16"/>
        <v>13805000.000002183</v>
      </c>
      <c r="AC20" s="8">
        <f t="shared" si="16"/>
        <v>13.805000000002183</v>
      </c>
      <c r="AD20" s="8">
        <f t="shared" si="16"/>
        <v>42.381350000006698</v>
      </c>
      <c r="AF20" s="8">
        <f t="shared" ref="AF20:AF35" si="18">T20-Q20-Z20</f>
        <v>0</v>
      </c>
    </row>
    <row r="21" spans="1:32" x14ac:dyDescent="0.25">
      <c r="A21" s="27">
        <v>38428</v>
      </c>
      <c r="B21" s="7">
        <f>'[5]Mar Prod'!I20</f>
        <v>5299999.9999992726</v>
      </c>
      <c r="C21" s="8">
        <f t="shared" si="1"/>
        <v>5.2999999999992724</v>
      </c>
      <c r="D21" s="10">
        <f t="shared" si="0"/>
        <v>16.270999999997766</v>
      </c>
      <c r="E21" s="7">
        <f>'[5]Mar Prod'!E20</f>
        <v>6000000</v>
      </c>
      <c r="F21" s="8">
        <f t="shared" si="2"/>
        <v>6</v>
      </c>
      <c r="G21" s="10">
        <f t="shared" si="3"/>
        <v>18.419999999999998</v>
      </c>
      <c r="H21" s="7">
        <f>'[5]Mar Prod'!F20</f>
        <v>0</v>
      </c>
      <c r="I21" s="8">
        <f t="shared" si="4"/>
        <v>0</v>
      </c>
      <c r="J21" s="10">
        <f t="shared" si="5"/>
        <v>0</v>
      </c>
      <c r="K21" s="7">
        <f>'[5]Mar Prod'!H275</f>
        <v>634753</v>
      </c>
      <c r="L21" s="8">
        <f t="shared" si="6"/>
        <v>0.63475300000000001</v>
      </c>
      <c r="M21" s="10">
        <f t="shared" si="7"/>
        <v>1.9486917099999999</v>
      </c>
      <c r="N21" s="21"/>
      <c r="O21" s="7">
        <f>'[5]Mar Prod'!H20</f>
        <v>6450000</v>
      </c>
      <c r="P21" s="8">
        <f t="shared" si="8"/>
        <v>6.45</v>
      </c>
      <c r="Q21" s="10">
        <f t="shared" si="9"/>
        <v>19.801500000000001</v>
      </c>
      <c r="R21" s="7">
        <f>'[5]Mar Prod'!C20</f>
        <v>6578000</v>
      </c>
      <c r="S21" s="8">
        <f t="shared" si="10"/>
        <v>6.5780000000000003</v>
      </c>
      <c r="T21" s="10">
        <f t="shared" si="11"/>
        <v>20.194459999999999</v>
      </c>
      <c r="U21" s="7">
        <f>'[5]Mar Prod'!D20</f>
        <v>0</v>
      </c>
      <c r="V21" s="8">
        <f t="shared" si="12"/>
        <v>0</v>
      </c>
      <c r="W21" s="10">
        <f t="shared" si="13"/>
        <v>0</v>
      </c>
      <c r="X21" s="7">
        <f>'[5]Mar Prod'!D275</f>
        <v>128000.00000000012</v>
      </c>
      <c r="Y21" s="8">
        <f t="shared" si="14"/>
        <v>0.12800000000000011</v>
      </c>
      <c r="Z21" s="10">
        <f t="shared" si="15"/>
        <v>0.39296000000000031</v>
      </c>
      <c r="AA21" s="15"/>
      <c r="AB21" s="7">
        <f t="shared" si="16"/>
        <v>11749999.999999274</v>
      </c>
      <c r="AC21" s="8">
        <f t="shared" si="16"/>
        <v>11.749999999999272</v>
      </c>
      <c r="AD21" s="8">
        <f t="shared" si="16"/>
        <v>36.072499999997767</v>
      </c>
      <c r="AF21" s="8">
        <f t="shared" si="18"/>
        <v>-1.6653345369377348E-15</v>
      </c>
    </row>
    <row r="22" spans="1:32" x14ac:dyDescent="0.25">
      <c r="A22" s="27">
        <v>38429</v>
      </c>
      <c r="B22" s="7">
        <f>'[5]Mar Prod'!I21</f>
        <v>4500000</v>
      </c>
      <c r="C22" s="8">
        <f t="shared" si="1"/>
        <v>4.5</v>
      </c>
      <c r="D22" s="10">
        <f t="shared" si="0"/>
        <v>13.815</v>
      </c>
      <c r="E22" s="7">
        <f>'[5]Mar Prod'!E21</f>
        <v>7000000</v>
      </c>
      <c r="F22" s="8">
        <f t="shared" si="2"/>
        <v>7</v>
      </c>
      <c r="G22" s="10">
        <f t="shared" si="3"/>
        <v>21.49</v>
      </c>
      <c r="H22" s="7">
        <f>'[5]Mar Prod'!F21</f>
        <v>0</v>
      </c>
      <c r="I22" s="8">
        <f t="shared" si="4"/>
        <v>0</v>
      </c>
      <c r="J22" s="10">
        <f t="shared" si="5"/>
        <v>0</v>
      </c>
      <c r="K22" s="7">
        <f>'[5]Mar Prod'!H276</f>
        <v>746435</v>
      </c>
      <c r="L22" s="8">
        <f t="shared" si="6"/>
        <v>0.74643499999999996</v>
      </c>
      <c r="M22" s="10">
        <f t="shared" si="7"/>
        <v>2.2915554499999997</v>
      </c>
      <c r="N22" s="21"/>
      <c r="O22" s="7">
        <f>'[5]Mar Prod'!H21</f>
        <v>6263000.0000000047</v>
      </c>
      <c r="P22" s="8">
        <f t="shared" si="8"/>
        <v>6.2630000000000043</v>
      </c>
      <c r="Q22" s="10">
        <f t="shared" si="9"/>
        <v>19.227410000000013</v>
      </c>
      <c r="R22" s="7">
        <f>'[5]Mar Prod'!C21</f>
        <v>6588000</v>
      </c>
      <c r="S22" s="8">
        <f t="shared" si="10"/>
        <v>6.5880000000000001</v>
      </c>
      <c r="T22" s="10">
        <f t="shared" si="11"/>
        <v>20.225159999999999</v>
      </c>
      <c r="U22" s="7">
        <f>'[5]Mar Prod'!D21</f>
        <v>0</v>
      </c>
      <c r="V22" s="8">
        <f t="shared" si="12"/>
        <v>0</v>
      </c>
      <c r="W22" s="10">
        <f t="shared" si="13"/>
        <v>0</v>
      </c>
      <c r="X22" s="7">
        <f>'[5]Mar Prod'!D276</f>
        <v>324999.99999999575</v>
      </c>
      <c r="Y22" s="8">
        <f t="shared" si="14"/>
        <v>0.32499999999999574</v>
      </c>
      <c r="Z22" s="10">
        <f t="shared" si="15"/>
        <v>0.99774999999998681</v>
      </c>
      <c r="AA22" s="15"/>
      <c r="AB22" s="7">
        <f t="shared" si="16"/>
        <v>10763000.000000004</v>
      </c>
      <c r="AC22" s="8">
        <f t="shared" si="16"/>
        <v>10.763000000000005</v>
      </c>
      <c r="AD22" s="8">
        <f t="shared" si="16"/>
        <v>33.042410000000011</v>
      </c>
      <c r="AF22" s="8">
        <f t="shared" si="18"/>
        <v>-1.1102230246251565E-15</v>
      </c>
    </row>
    <row r="23" spans="1:32" x14ac:dyDescent="0.25">
      <c r="A23" s="27">
        <v>38430</v>
      </c>
      <c r="B23" s="7">
        <f>'[5]Mar Prod'!I22</f>
        <v>6099999.9999985453</v>
      </c>
      <c r="C23" s="8">
        <f t="shared" si="1"/>
        <v>6.0999999999985457</v>
      </c>
      <c r="D23" s="10">
        <f t="shared" si="0"/>
        <v>18.726999999995535</v>
      </c>
      <c r="E23" s="7">
        <f>'[5]Mar Prod'!E22</f>
        <v>6000000</v>
      </c>
      <c r="F23" s="8">
        <f t="shared" si="2"/>
        <v>6</v>
      </c>
      <c r="G23" s="10">
        <f t="shared" si="3"/>
        <v>18.419999999999998</v>
      </c>
      <c r="H23" s="7">
        <f>'[5]Mar Prod'!F22</f>
        <v>0</v>
      </c>
      <c r="I23" s="8">
        <f t="shared" si="4"/>
        <v>0</v>
      </c>
      <c r="J23" s="10">
        <f t="shared" si="5"/>
        <v>0</v>
      </c>
      <c r="K23" s="7">
        <f>'[5]Mar Prod'!H277</f>
        <v>679458</v>
      </c>
      <c r="L23" s="8">
        <f t="shared" si="6"/>
        <v>0.67945800000000001</v>
      </c>
      <c r="M23" s="10">
        <f t="shared" si="7"/>
        <v>2.0859360599999999</v>
      </c>
      <c r="N23" s="21"/>
      <c r="O23" s="7">
        <f>'[5]Mar Prod'!H22</f>
        <v>6424000</v>
      </c>
      <c r="P23" s="8">
        <f t="shared" si="8"/>
        <v>6.4240000000000004</v>
      </c>
      <c r="Q23" s="10">
        <f t="shared" si="9"/>
        <v>19.721679999999999</v>
      </c>
      <c r="R23" s="7">
        <f>'[5]Mar Prod'!C22</f>
        <v>6491000</v>
      </c>
      <c r="S23" s="8">
        <f t="shared" si="10"/>
        <v>6.4909999999999997</v>
      </c>
      <c r="T23" s="10">
        <f t="shared" si="11"/>
        <v>19.927369999999996</v>
      </c>
      <c r="U23" s="7">
        <f>'[5]Mar Prod'!D22</f>
        <v>0</v>
      </c>
      <c r="V23" s="8">
        <f t="shared" si="12"/>
        <v>0</v>
      </c>
      <c r="W23" s="10">
        <f t="shared" si="13"/>
        <v>0</v>
      </c>
      <c r="X23" s="7">
        <f>'[5]Mar Prod'!D277</f>
        <v>67000.000000000175</v>
      </c>
      <c r="Y23" s="8">
        <f t="shared" si="14"/>
        <v>6.7000000000000171E-2</v>
      </c>
      <c r="Z23" s="10">
        <f t="shared" si="15"/>
        <v>0.20569000000000051</v>
      </c>
      <c r="AA23" s="15"/>
      <c r="AB23" s="7">
        <f t="shared" si="16"/>
        <v>12523999.999998545</v>
      </c>
      <c r="AC23" s="8">
        <f t="shared" si="16"/>
        <v>12.523999999998546</v>
      </c>
      <c r="AD23" s="8">
        <f t="shared" si="16"/>
        <v>38.448679999995534</v>
      </c>
      <c r="AF23" s="8">
        <f t="shared" si="18"/>
        <v>-3.4694469519536142E-15</v>
      </c>
    </row>
    <row r="24" spans="1:32" x14ac:dyDescent="0.25">
      <c r="A24" s="27">
        <v>38431</v>
      </c>
      <c r="B24" s="7">
        <f>'[5]Mar Prod'!I23</f>
        <v>5800000.0000029104</v>
      </c>
      <c r="C24" s="8">
        <f t="shared" si="1"/>
        <v>5.8000000000029104</v>
      </c>
      <c r="D24" s="10">
        <f t="shared" si="0"/>
        <v>17.806000000008932</v>
      </c>
      <c r="E24" s="7">
        <f>'[5]Mar Prod'!E23</f>
        <v>6000000</v>
      </c>
      <c r="F24" s="8">
        <f t="shared" si="2"/>
        <v>6</v>
      </c>
      <c r="G24" s="10">
        <f t="shared" si="3"/>
        <v>18.419999999999998</v>
      </c>
      <c r="H24" s="7">
        <f>'[5]Mar Prod'!F23</f>
        <v>0</v>
      </c>
      <c r="I24" s="8">
        <f t="shared" si="4"/>
        <v>0</v>
      </c>
      <c r="J24" s="10">
        <f t="shared" si="5"/>
        <v>0</v>
      </c>
      <c r="K24" s="7">
        <f>'[5]Mar Prod'!H278</f>
        <v>1194162</v>
      </c>
      <c r="L24" s="8">
        <f t="shared" si="6"/>
        <v>1.1941619999999999</v>
      </c>
      <c r="M24" s="10">
        <f t="shared" si="7"/>
        <v>3.6660773399999997</v>
      </c>
      <c r="N24" s="21"/>
      <c r="O24" s="7">
        <f>'[5]Mar Prod'!H23</f>
        <v>6339999.9999999944</v>
      </c>
      <c r="P24" s="8">
        <f t="shared" si="8"/>
        <v>6.3399999999999945</v>
      </c>
      <c r="Q24" s="10">
        <f t="shared" si="9"/>
        <v>19.463799999999981</v>
      </c>
      <c r="R24" s="7">
        <f>'[5]Mar Prod'!C23</f>
        <v>6472000</v>
      </c>
      <c r="S24" s="8">
        <f t="shared" si="10"/>
        <v>6.4720000000000004</v>
      </c>
      <c r="T24" s="10">
        <f t="shared" si="11"/>
        <v>19.869040000000002</v>
      </c>
      <c r="U24" s="7">
        <f>'[5]Mar Prod'!D23</f>
        <v>0</v>
      </c>
      <c r="V24" s="8">
        <f t="shared" si="12"/>
        <v>0</v>
      </c>
      <c r="W24" s="10">
        <f t="shared" si="13"/>
        <v>0</v>
      </c>
      <c r="X24" s="7">
        <f>'[5]Mar Prod'!D278</f>
        <v>132000.00000000501</v>
      </c>
      <c r="Y24" s="8">
        <f t="shared" si="14"/>
        <v>0.132000000000005</v>
      </c>
      <c r="Z24" s="10">
        <f t="shared" si="15"/>
        <v>0.40524000000001531</v>
      </c>
      <c r="AA24" s="15"/>
      <c r="AB24" s="7">
        <f t="shared" si="16"/>
        <v>12140000.000002906</v>
      </c>
      <c r="AC24" s="8">
        <f t="shared" si="16"/>
        <v>12.140000000002905</v>
      </c>
      <c r="AD24" s="8">
        <f>D24+Q24</f>
        <v>37.269800000008914</v>
      </c>
      <c r="AF24" s="8">
        <f t="shared" si="18"/>
        <v>5.1625370645069779E-15</v>
      </c>
    </row>
    <row r="25" spans="1:32" x14ac:dyDescent="0.25">
      <c r="A25" s="27">
        <v>38432</v>
      </c>
      <c r="B25" s="7">
        <f>'[5]Mar Prod'!I24</f>
        <v>3599999.9999985448</v>
      </c>
      <c r="C25" s="8">
        <f t="shared" si="1"/>
        <v>3.5999999999985448</v>
      </c>
      <c r="D25" s="10">
        <f t="shared" si="0"/>
        <v>11.051999999995532</v>
      </c>
      <c r="E25" s="7">
        <f>'[5]Mar Prod'!E24</f>
        <v>7000000</v>
      </c>
      <c r="F25" s="8">
        <f t="shared" si="2"/>
        <v>7</v>
      </c>
      <c r="G25" s="10">
        <f t="shared" si="3"/>
        <v>21.49</v>
      </c>
      <c r="H25" s="7">
        <f>'[5]Mar Prod'!F24</f>
        <v>0</v>
      </c>
      <c r="I25" s="8">
        <f t="shared" si="4"/>
        <v>0</v>
      </c>
      <c r="J25" s="10">
        <f t="shared" si="5"/>
        <v>0</v>
      </c>
      <c r="K25" s="7">
        <f>'[5]Mar Prod'!H279</f>
        <v>805073</v>
      </c>
      <c r="L25" s="8">
        <f t="shared" si="6"/>
        <v>0.80507300000000004</v>
      </c>
      <c r="M25" s="10">
        <f t="shared" si="7"/>
        <v>2.4715741100000002</v>
      </c>
      <c r="N25" s="21"/>
      <c r="O25" s="7">
        <f>'[5]Mar Prod'!H24</f>
        <v>7001000.0000000019</v>
      </c>
      <c r="P25" s="8">
        <f t="shared" si="8"/>
        <v>7.0010000000000021</v>
      </c>
      <c r="Q25" s="10">
        <f t="shared" si="9"/>
        <v>21.493070000000007</v>
      </c>
      <c r="R25" s="7">
        <f>'[5]Mar Prod'!C24</f>
        <v>7130000</v>
      </c>
      <c r="S25" s="8">
        <f t="shared" si="10"/>
        <v>7.13</v>
      </c>
      <c r="T25" s="10">
        <f t="shared" si="11"/>
        <v>21.889099999999999</v>
      </c>
      <c r="U25" s="7">
        <f>'[5]Mar Prod'!D24</f>
        <v>0</v>
      </c>
      <c r="V25" s="8">
        <f t="shared" si="12"/>
        <v>0</v>
      </c>
      <c r="W25" s="10">
        <f t="shared" si="13"/>
        <v>0</v>
      </c>
      <c r="X25" s="7">
        <f>'[5]Mar Prod'!D279</f>
        <v>128999.99999999779</v>
      </c>
      <c r="Y25" s="8">
        <f t="shared" si="14"/>
        <v>0.12899999999999778</v>
      </c>
      <c r="Z25" s="10">
        <f t="shared" si="15"/>
        <v>0.39602999999999317</v>
      </c>
      <c r="AA25" s="15"/>
      <c r="AB25" s="7">
        <f t="shared" si="16"/>
        <v>10600999.999998547</v>
      </c>
      <c r="AC25" s="8">
        <f t="shared" si="16"/>
        <v>10.600999999998546</v>
      </c>
      <c r="AD25" s="8">
        <f t="shared" si="16"/>
        <v>32.54506999999554</v>
      </c>
      <c r="AF25" s="8">
        <f t="shared" si="18"/>
        <v>-6.106226635438361E-16</v>
      </c>
    </row>
    <row r="26" spans="1:32" x14ac:dyDescent="0.25">
      <c r="A26" s="27">
        <v>38433</v>
      </c>
      <c r="B26" s="7">
        <f>'[5]Mar Prod'!I25</f>
        <v>2900000.0000014552</v>
      </c>
      <c r="C26" s="8">
        <f t="shared" si="1"/>
        <v>2.9000000000014552</v>
      </c>
      <c r="D26" s="10">
        <f t="shared" si="0"/>
        <v>8.9030000000044662</v>
      </c>
      <c r="E26" s="7">
        <f>'[5]Mar Prod'!E25</f>
        <v>7000000</v>
      </c>
      <c r="F26" s="8">
        <f t="shared" si="2"/>
        <v>7</v>
      </c>
      <c r="G26" s="10">
        <f t="shared" si="3"/>
        <v>21.49</v>
      </c>
      <c r="H26" s="7">
        <f>'[5]Mar Prod'!F25</f>
        <v>0</v>
      </c>
      <c r="I26" s="8">
        <f t="shared" si="4"/>
        <v>0</v>
      </c>
      <c r="J26" s="10">
        <f t="shared" si="5"/>
        <v>0</v>
      </c>
      <c r="K26" s="7">
        <f>'[5]Mar Prod'!H280</f>
        <v>602034</v>
      </c>
      <c r="L26" s="8">
        <f t="shared" si="6"/>
        <v>0.60203399999999996</v>
      </c>
      <c r="M26" s="10">
        <f t="shared" si="7"/>
        <v>1.8482443799999997</v>
      </c>
      <c r="N26" s="21"/>
      <c r="O26" s="7">
        <f>'[5]Mar Prod'!H25</f>
        <v>10374000</v>
      </c>
      <c r="P26" s="8">
        <f t="shared" si="8"/>
        <v>10.374000000000001</v>
      </c>
      <c r="Q26" s="10">
        <f t="shared" si="9"/>
        <v>31.848179999999999</v>
      </c>
      <c r="R26" s="7">
        <f>'[5]Mar Prod'!C25</f>
        <v>10566000</v>
      </c>
      <c r="S26" s="8">
        <f t="shared" si="10"/>
        <v>10.566000000000001</v>
      </c>
      <c r="T26" s="10">
        <f t="shared" si="11"/>
        <v>32.437620000000003</v>
      </c>
      <c r="U26" s="7">
        <f>'[5]Mar Prod'!D25</f>
        <v>0</v>
      </c>
      <c r="V26" s="8">
        <f t="shared" si="12"/>
        <v>0</v>
      </c>
      <c r="W26" s="10">
        <f t="shared" si="13"/>
        <v>0</v>
      </c>
      <c r="X26" s="7">
        <f>'[5]Mar Prod'!D280</f>
        <v>192000.00000000017</v>
      </c>
      <c r="Y26" s="8">
        <f t="shared" si="14"/>
        <v>0.19200000000000017</v>
      </c>
      <c r="Z26" s="10">
        <f t="shared" si="15"/>
        <v>0.58944000000000052</v>
      </c>
      <c r="AA26" s="15"/>
      <c r="AB26" s="7">
        <f t="shared" si="16"/>
        <v>13274000.000001455</v>
      </c>
      <c r="AC26" s="8">
        <f t="shared" si="16"/>
        <v>13.274000000001456</v>
      </c>
      <c r="AD26" s="8">
        <f t="shared" si="16"/>
        <v>40.751180000004467</v>
      </c>
      <c r="AF26" s="8">
        <f t="shared" si="18"/>
        <v>2.7755575615628914E-15</v>
      </c>
    </row>
    <row r="27" spans="1:32" x14ac:dyDescent="0.25">
      <c r="A27" s="27">
        <v>38434</v>
      </c>
      <c r="B27" s="7">
        <f>'[5]Mar Prod'!I26</f>
        <v>6299999.9999992726</v>
      </c>
      <c r="C27" s="8">
        <f t="shared" si="1"/>
        <v>6.2999999999992724</v>
      </c>
      <c r="D27" s="10">
        <f t="shared" si="0"/>
        <v>19.340999999997766</v>
      </c>
      <c r="E27" s="7">
        <f>'[5]Mar Prod'!E26</f>
        <v>5000000</v>
      </c>
      <c r="F27" s="8">
        <f t="shared" si="2"/>
        <v>5</v>
      </c>
      <c r="G27" s="10">
        <f t="shared" si="3"/>
        <v>15.35</v>
      </c>
      <c r="H27" s="7">
        <f>'[5]Mar Prod'!F26</f>
        <v>0</v>
      </c>
      <c r="I27" s="8">
        <f t="shared" si="4"/>
        <v>0</v>
      </c>
      <c r="J27" s="10">
        <f t="shared" si="5"/>
        <v>0</v>
      </c>
      <c r="K27" s="7">
        <f>'[5]Mar Prod'!H281</f>
        <v>711695</v>
      </c>
      <c r="L27" s="8">
        <f t="shared" si="6"/>
        <v>0.71169499999999997</v>
      </c>
      <c r="M27" s="10">
        <f t="shared" si="7"/>
        <v>2.1849036499999999</v>
      </c>
      <c r="N27" s="21"/>
      <c r="O27" s="7">
        <f>'[5]Mar Prod'!H26</f>
        <v>6948999.9999999972</v>
      </c>
      <c r="P27" s="8">
        <f t="shared" si="8"/>
        <v>6.9489999999999972</v>
      </c>
      <c r="Q27" s="10">
        <f t="shared" si="9"/>
        <v>21.333429999999989</v>
      </c>
      <c r="R27" s="7">
        <f>'[5]Mar Prod'!C26</f>
        <v>7140000</v>
      </c>
      <c r="S27" s="8">
        <f t="shared" si="10"/>
        <v>7.14</v>
      </c>
      <c r="T27" s="10">
        <f t="shared" si="11"/>
        <v>21.919799999999999</v>
      </c>
      <c r="U27" s="7">
        <f>'[5]Mar Prod'!D26</f>
        <v>0</v>
      </c>
      <c r="V27" s="8">
        <f t="shared" si="12"/>
        <v>0</v>
      </c>
      <c r="W27" s="10">
        <f t="shared" si="13"/>
        <v>0</v>
      </c>
      <c r="X27" s="7">
        <f>'[5]Mar Prod'!D281</f>
        <v>191000.0000000025</v>
      </c>
      <c r="Y27" s="8">
        <f t="shared" si="14"/>
        <v>0.1910000000000025</v>
      </c>
      <c r="Z27" s="10">
        <f t="shared" si="15"/>
        <v>0.58637000000000761</v>
      </c>
      <c r="AA27" s="15"/>
      <c r="AB27" s="7">
        <f t="shared" si="16"/>
        <v>13248999.99999927</v>
      </c>
      <c r="AC27" s="8">
        <f t="shared" si="16"/>
        <v>13.24899999999927</v>
      </c>
      <c r="AD27" s="8">
        <f t="shared" si="16"/>
        <v>40.674429999997756</v>
      </c>
      <c r="AF27" s="8">
        <f t="shared" si="18"/>
        <v>1.7763568394002505E-15</v>
      </c>
    </row>
    <row r="28" spans="1:32" x14ac:dyDescent="0.25">
      <c r="A28" s="27">
        <v>38435</v>
      </c>
      <c r="B28" s="7">
        <f>'[5]Mar Prod'!I27</f>
        <v>5799999.9999992726</v>
      </c>
      <c r="C28" s="8">
        <f t="shared" si="1"/>
        <v>5.7999999999992724</v>
      </c>
      <c r="D28" s="10">
        <f t="shared" si="0"/>
        <v>17.805999999997766</v>
      </c>
      <c r="E28" s="7">
        <f>'[5]Mar Prod'!E27</f>
        <v>7000000</v>
      </c>
      <c r="F28" s="8">
        <f t="shared" si="2"/>
        <v>7</v>
      </c>
      <c r="G28" s="10">
        <f t="shared" si="3"/>
        <v>21.49</v>
      </c>
      <c r="H28" s="7">
        <f>'[5]Mar Prod'!F27</f>
        <v>0</v>
      </c>
      <c r="I28" s="8">
        <f t="shared" si="4"/>
        <v>0</v>
      </c>
      <c r="J28" s="10">
        <f t="shared" si="5"/>
        <v>0</v>
      </c>
      <c r="K28" s="7">
        <f>'[5]Mar Prod'!H282</f>
        <v>787448</v>
      </c>
      <c r="L28" s="8">
        <f t="shared" si="6"/>
        <v>0.78744800000000004</v>
      </c>
      <c r="M28" s="10">
        <f t="shared" si="7"/>
        <v>2.41746536</v>
      </c>
      <c r="N28" s="21"/>
      <c r="O28" s="7">
        <f>'[5]Mar Prod'!H27</f>
        <v>5733000.0000000019</v>
      </c>
      <c r="P28" s="8">
        <f t="shared" si="8"/>
        <v>5.7330000000000014</v>
      </c>
      <c r="Q28" s="10">
        <f t="shared" si="9"/>
        <v>17.600310000000004</v>
      </c>
      <c r="R28" s="7">
        <f>'[5]Mar Prod'!C27</f>
        <v>5990000</v>
      </c>
      <c r="S28" s="8">
        <f t="shared" si="10"/>
        <v>5.99</v>
      </c>
      <c r="T28" s="10">
        <f t="shared" si="11"/>
        <v>18.389299999999999</v>
      </c>
      <c r="U28" s="7">
        <f>'[5]Mar Prod'!D27</f>
        <v>0</v>
      </c>
      <c r="V28" s="8">
        <f t="shared" si="12"/>
        <v>0</v>
      </c>
      <c r="W28" s="10">
        <f t="shared" si="13"/>
        <v>0</v>
      </c>
      <c r="X28" s="7">
        <f>'[5]Mar Prod'!D282</f>
        <v>256999.9999999979</v>
      </c>
      <c r="Y28" s="8">
        <f t="shared" si="14"/>
        <v>0.2569999999999979</v>
      </c>
      <c r="Z28" s="10">
        <f t="shared" si="15"/>
        <v>0.78898999999999353</v>
      </c>
      <c r="AA28" s="15"/>
      <c r="AB28" s="7">
        <f t="shared" si="16"/>
        <v>11532999.999999274</v>
      </c>
      <c r="AC28" s="8">
        <f t="shared" si="16"/>
        <v>11.532999999999273</v>
      </c>
      <c r="AD28" s="8">
        <f t="shared" si="16"/>
        <v>35.406309999997774</v>
      </c>
      <c r="AF28" s="8">
        <f t="shared" si="18"/>
        <v>1.2212453270876722E-15</v>
      </c>
    </row>
    <row r="29" spans="1:32" x14ac:dyDescent="0.25">
      <c r="A29" s="27">
        <v>38436</v>
      </c>
      <c r="B29" s="7">
        <f>'[5]Mar Prod'!I28</f>
        <v>6700000.0000007274</v>
      </c>
      <c r="C29" s="8">
        <f t="shared" si="1"/>
        <v>6.7000000000007276</v>
      </c>
      <c r="D29" s="10">
        <f t="shared" si="0"/>
        <v>20.569000000002234</v>
      </c>
      <c r="E29" s="7">
        <f>'[5]Mar Prod'!E28</f>
        <v>7000000</v>
      </c>
      <c r="F29" s="8">
        <f t="shared" si="2"/>
        <v>7</v>
      </c>
      <c r="G29" s="10">
        <f t="shared" si="3"/>
        <v>21.49</v>
      </c>
      <c r="H29" s="7">
        <f>'[5]Mar Prod'!F28</f>
        <v>0</v>
      </c>
      <c r="I29" s="8">
        <f t="shared" si="4"/>
        <v>0</v>
      </c>
      <c r="J29" s="10">
        <f t="shared" si="5"/>
        <v>0</v>
      </c>
      <c r="K29" s="7">
        <f>'[5]Mar Prod'!H283</f>
        <v>818636</v>
      </c>
      <c r="L29" s="8">
        <f t="shared" si="6"/>
        <v>0.81863600000000003</v>
      </c>
      <c r="M29" s="10">
        <f t="shared" si="7"/>
        <v>2.5132125200000002</v>
      </c>
      <c r="N29" s="21"/>
      <c r="O29" s="7">
        <f>'[5]Mar Prod'!H28</f>
        <v>5104000</v>
      </c>
      <c r="P29" s="8">
        <f t="shared" si="8"/>
        <v>5.1040000000000001</v>
      </c>
      <c r="Q29" s="10">
        <f t="shared" si="9"/>
        <v>15.669279999999999</v>
      </c>
      <c r="R29" s="7">
        <f>'[5]Mar Prod'!C28</f>
        <v>5366000</v>
      </c>
      <c r="S29" s="8">
        <f t="shared" si="10"/>
        <v>5.3659999999999997</v>
      </c>
      <c r="T29" s="10">
        <f t="shared" si="11"/>
        <v>16.473619999999997</v>
      </c>
      <c r="U29" s="7">
        <f>'[5]Mar Prod'!D28</f>
        <v>0</v>
      </c>
      <c r="V29" s="8">
        <f t="shared" si="12"/>
        <v>0</v>
      </c>
      <c r="W29" s="10">
        <f t="shared" si="13"/>
        <v>0</v>
      </c>
      <c r="X29" s="7">
        <f>'[5]Mar Prod'!D283</f>
        <v>262000.00000000047</v>
      </c>
      <c r="Y29" s="8">
        <f t="shared" si="14"/>
        <v>0.26200000000000045</v>
      </c>
      <c r="Z29" s="10">
        <f t="shared" si="15"/>
        <v>0.80434000000000139</v>
      </c>
      <c r="AA29" s="15"/>
      <c r="AB29" s="7">
        <f t="shared" si="16"/>
        <v>11804000.000000726</v>
      </c>
      <c r="AC29" s="8">
        <f t="shared" si="16"/>
        <v>11.804000000000727</v>
      </c>
      <c r="AD29" s="8">
        <f t="shared" si="16"/>
        <v>36.238280000002234</v>
      </c>
      <c r="AF29" s="8">
        <f t="shared" si="18"/>
        <v>-3.3306690738754696E-15</v>
      </c>
    </row>
    <row r="30" spans="1:32" x14ac:dyDescent="0.25">
      <c r="A30" s="27">
        <v>38437</v>
      </c>
      <c r="B30" s="7">
        <f>'[5]Mar Prod'!I29</f>
        <v>5899999.999997817</v>
      </c>
      <c r="C30" s="8">
        <f t="shared" si="1"/>
        <v>5.8999999999978172</v>
      </c>
      <c r="D30" s="10">
        <f t="shared" si="0"/>
        <v>18.112999999993299</v>
      </c>
      <c r="E30" s="7">
        <f>'[5]Mar Prod'!E29</f>
        <v>8000000</v>
      </c>
      <c r="F30" s="8">
        <f t="shared" si="2"/>
        <v>8</v>
      </c>
      <c r="G30" s="10">
        <f t="shared" si="3"/>
        <v>24.56</v>
      </c>
      <c r="H30" s="7">
        <f>'[5]Mar Prod'!F29</f>
        <v>0</v>
      </c>
      <c r="I30" s="8">
        <f t="shared" si="4"/>
        <v>0</v>
      </c>
      <c r="J30" s="10">
        <f t="shared" si="5"/>
        <v>0</v>
      </c>
      <c r="K30" s="7">
        <f>'[5]Mar Prod'!H284</f>
        <v>786982</v>
      </c>
      <c r="L30" s="8">
        <f t="shared" si="6"/>
        <v>0.78698199999999996</v>
      </c>
      <c r="M30" s="10">
        <f t="shared" si="7"/>
        <v>2.4160347399999997</v>
      </c>
      <c r="N30" s="21"/>
      <c r="O30" s="7">
        <f>'[5]Mar Prod'!H29</f>
        <v>5569000</v>
      </c>
      <c r="P30" s="8">
        <f t="shared" si="8"/>
        <v>5.569</v>
      </c>
      <c r="Q30" s="10">
        <f t="shared" si="9"/>
        <v>17.096830000000001</v>
      </c>
      <c r="R30" s="7">
        <f>'[5]Mar Prod'!C29</f>
        <v>5636000</v>
      </c>
      <c r="S30" s="8">
        <f t="shared" si="10"/>
        <v>5.6360000000000001</v>
      </c>
      <c r="T30" s="10">
        <f t="shared" si="11"/>
        <v>17.302520000000001</v>
      </c>
      <c r="U30" s="7">
        <f>'[5]Mar Prod'!D29</f>
        <v>0</v>
      </c>
      <c r="V30" s="8">
        <f t="shared" si="12"/>
        <v>0</v>
      </c>
      <c r="W30" s="10">
        <f t="shared" si="13"/>
        <v>0</v>
      </c>
      <c r="X30" s="7">
        <f>'[5]Mar Prod'!D284</f>
        <v>67000.000000000175</v>
      </c>
      <c r="Y30" s="8">
        <f t="shared" si="14"/>
        <v>6.7000000000000171E-2</v>
      </c>
      <c r="Z30" s="10">
        <f t="shared" si="15"/>
        <v>0.20569000000000051</v>
      </c>
      <c r="AA30" s="15"/>
      <c r="AB30" s="7">
        <f t="shared" si="16"/>
        <v>11468999.999997817</v>
      </c>
      <c r="AC30" s="8">
        <f t="shared" si="16"/>
        <v>11.468999999997816</v>
      </c>
      <c r="AD30" s="8">
        <f>D30+Q30</f>
        <v>35.209829999993303</v>
      </c>
      <c r="AF30" s="8">
        <f t="shared" si="18"/>
        <v>0</v>
      </c>
    </row>
    <row r="31" spans="1:32" x14ac:dyDescent="0.25">
      <c r="A31" s="27">
        <v>38438</v>
      </c>
      <c r="B31" s="7">
        <f>'[5]Mar Prod'!I30</f>
        <v>5600000.000002183</v>
      </c>
      <c r="C31" s="8">
        <f t="shared" si="1"/>
        <v>5.6000000000021828</v>
      </c>
      <c r="D31" s="10">
        <f t="shared" si="0"/>
        <v>17.192000000006701</v>
      </c>
      <c r="E31" s="7">
        <f>'[5]Mar Prod'!E30</f>
        <v>7000000</v>
      </c>
      <c r="F31" s="8">
        <f t="shared" si="2"/>
        <v>7</v>
      </c>
      <c r="G31" s="10">
        <f t="shared" si="3"/>
        <v>21.49</v>
      </c>
      <c r="H31" s="7">
        <f>'[5]Mar Prod'!F30</f>
        <v>0</v>
      </c>
      <c r="I31" s="8">
        <f t="shared" si="4"/>
        <v>0</v>
      </c>
      <c r="J31" s="10">
        <f t="shared" si="5"/>
        <v>0</v>
      </c>
      <c r="K31" s="7">
        <f>'[5]Mar Prod'!H285</f>
        <v>905692</v>
      </c>
      <c r="L31" s="8">
        <f t="shared" si="6"/>
        <v>0.90569200000000005</v>
      </c>
      <c r="M31" s="10">
        <f t="shared" si="7"/>
        <v>2.7804744399999999</v>
      </c>
      <c r="N31" s="21"/>
      <c r="O31" s="7">
        <f>'[5]Mar Prod'!H30</f>
        <v>6964000</v>
      </c>
      <c r="P31" s="8">
        <f t="shared" si="8"/>
        <v>6.9640000000000004</v>
      </c>
      <c r="Q31" s="10">
        <f t="shared" si="9"/>
        <v>21.379480000000001</v>
      </c>
      <c r="R31" s="7">
        <f>'[5]Mar Prod'!C30</f>
        <v>7095000</v>
      </c>
      <c r="S31" s="8">
        <f t="shared" si="10"/>
        <v>7.0949999999999998</v>
      </c>
      <c r="T31" s="10">
        <f t="shared" si="11"/>
        <v>21.781649999999999</v>
      </c>
      <c r="U31" s="7">
        <f>'[5]Mar Prod'!D30</f>
        <v>0</v>
      </c>
      <c r="V31" s="8">
        <f t="shared" si="12"/>
        <v>0</v>
      </c>
      <c r="W31" s="10">
        <f t="shared" si="13"/>
        <v>0</v>
      </c>
      <c r="X31" s="7">
        <f>'[5]Mar Prod'!D285</f>
        <v>131000.00000000023</v>
      </c>
      <c r="Y31" s="8">
        <f t="shared" si="14"/>
        <v>0.13100000000000023</v>
      </c>
      <c r="Z31" s="10">
        <f t="shared" si="15"/>
        <v>0.40217000000000069</v>
      </c>
      <c r="AA31" s="15"/>
      <c r="AB31" s="7">
        <f t="shared" si="16"/>
        <v>12564000.000002183</v>
      </c>
      <c r="AC31" s="8">
        <f t="shared" si="16"/>
        <v>12.564000000002183</v>
      </c>
      <c r="AD31" s="8">
        <f t="shared" si="16"/>
        <v>38.571480000006702</v>
      </c>
      <c r="AF31" s="8">
        <f>T31-Q31-Z31</f>
        <v>-2.55351295663786E-15</v>
      </c>
    </row>
    <row r="32" spans="1:32" x14ac:dyDescent="0.25">
      <c r="A32" s="27">
        <v>38439</v>
      </c>
      <c r="B32" s="7">
        <f>'[5]Mar Prod'!I31</f>
        <v>6299999.9999992726</v>
      </c>
      <c r="C32" s="8">
        <f t="shared" si="1"/>
        <v>6.2999999999992724</v>
      </c>
      <c r="D32" s="10">
        <f t="shared" si="0"/>
        <v>19.340999999997766</v>
      </c>
      <c r="E32" s="7">
        <f>'[5]Mar Prod'!E31</f>
        <v>7000000</v>
      </c>
      <c r="F32" s="8">
        <f t="shared" si="2"/>
        <v>7</v>
      </c>
      <c r="G32" s="10">
        <f t="shared" si="3"/>
        <v>21.49</v>
      </c>
      <c r="H32" s="7">
        <f>'[5]Mar Prod'!F31</f>
        <v>0</v>
      </c>
      <c r="I32" s="8">
        <f t="shared" si="4"/>
        <v>0</v>
      </c>
      <c r="J32" s="10">
        <f t="shared" si="5"/>
        <v>0</v>
      </c>
      <c r="K32" s="7">
        <f>'[5]Mar Prod'!H286</f>
        <v>749181</v>
      </c>
      <c r="L32" s="8">
        <f t="shared" si="6"/>
        <v>0.74918099999999999</v>
      </c>
      <c r="M32" s="10">
        <f t="shared" si="7"/>
        <v>2.2999856699999999</v>
      </c>
      <c r="N32" s="21"/>
      <c r="O32" s="7">
        <f>'[5]Mar Prod'!H31</f>
        <v>7868000</v>
      </c>
      <c r="P32" s="8">
        <f t="shared" si="8"/>
        <v>7.8680000000000003</v>
      </c>
      <c r="Q32" s="10">
        <f t="shared" si="9"/>
        <v>24.15476</v>
      </c>
      <c r="R32" s="7">
        <f>'[5]Mar Prod'!C31</f>
        <v>8063000</v>
      </c>
      <c r="S32" s="8">
        <f t="shared" si="10"/>
        <v>8.0630000000000006</v>
      </c>
      <c r="T32" s="10">
        <f t="shared" si="11"/>
        <v>24.753410000000002</v>
      </c>
      <c r="U32" s="7">
        <f>'[5]Mar Prod'!D31</f>
        <v>0</v>
      </c>
      <c r="V32" s="8">
        <f t="shared" si="12"/>
        <v>0</v>
      </c>
      <c r="W32" s="10">
        <f t="shared" si="13"/>
        <v>0</v>
      </c>
      <c r="X32" s="7">
        <f>'[5]Mar Prod'!D286</f>
        <v>195000.00000000029</v>
      </c>
      <c r="Y32" s="8">
        <f t="shared" si="14"/>
        <v>0.19500000000000028</v>
      </c>
      <c r="Z32" s="10">
        <f t="shared" si="15"/>
        <v>0.59865000000000079</v>
      </c>
      <c r="AA32" s="15"/>
      <c r="AB32" s="7">
        <f t="shared" si="16"/>
        <v>14167999.999999274</v>
      </c>
      <c r="AC32" s="8">
        <f t="shared" si="16"/>
        <v>14.167999999999273</v>
      </c>
      <c r="AD32" s="8">
        <f t="shared" si="16"/>
        <v>43.495759999997766</v>
      </c>
      <c r="AF32" s="8">
        <f t="shared" si="18"/>
        <v>1.9984014443252818E-15</v>
      </c>
    </row>
    <row r="33" spans="1:32" x14ac:dyDescent="0.25">
      <c r="A33" s="27">
        <v>38440</v>
      </c>
      <c r="B33" s="7">
        <f>'[5]Mar Prod'!I32</f>
        <v>5900000.0000014547</v>
      </c>
      <c r="C33" s="8">
        <f t="shared" si="1"/>
        <v>5.9000000000014543</v>
      </c>
      <c r="D33" s="10">
        <f t="shared" si="0"/>
        <v>18.113000000004465</v>
      </c>
      <c r="E33" s="7">
        <f>'[5]Mar Prod'!E32</f>
        <v>7000000</v>
      </c>
      <c r="F33" s="8">
        <f t="shared" si="2"/>
        <v>7</v>
      </c>
      <c r="G33" s="10">
        <f t="shared" si="3"/>
        <v>21.49</v>
      </c>
      <c r="H33" s="7">
        <f>'[5]Mar Prod'!F32</f>
        <v>0</v>
      </c>
      <c r="I33" s="8">
        <f t="shared" si="4"/>
        <v>0</v>
      </c>
      <c r="J33" s="10">
        <f t="shared" si="5"/>
        <v>0</v>
      </c>
      <c r="K33" s="7">
        <f>'[5]Mar Prod'!H287</f>
        <v>745565</v>
      </c>
      <c r="L33" s="8">
        <f t="shared" si="6"/>
        <v>0.74556500000000003</v>
      </c>
      <c r="M33" s="10">
        <f t="shared" si="7"/>
        <v>2.2888845500000001</v>
      </c>
      <c r="N33" s="21"/>
      <c r="O33" s="7">
        <f>'[5]Mar Prod'!H32</f>
        <v>6687999.9999999991</v>
      </c>
      <c r="P33" s="8">
        <f t="shared" si="8"/>
        <v>6.6879999999999988</v>
      </c>
      <c r="Q33" s="10">
        <f t="shared" si="9"/>
        <v>20.532159999999994</v>
      </c>
      <c r="R33" s="7">
        <f>'[5]Mar Prod'!C32</f>
        <v>7020000</v>
      </c>
      <c r="S33" s="8">
        <f t="shared" si="10"/>
        <v>7.02</v>
      </c>
      <c r="T33" s="10">
        <f t="shared" si="11"/>
        <v>21.551399999999997</v>
      </c>
      <c r="U33" s="7">
        <f>'[5]Mar Prod'!D32</f>
        <v>0</v>
      </c>
      <c r="V33" s="8">
        <f t="shared" si="12"/>
        <v>0</v>
      </c>
      <c r="W33" s="10">
        <f t="shared" si="13"/>
        <v>0</v>
      </c>
      <c r="X33" s="7">
        <f>'[5]Mar Prod'!D287</f>
        <v>332000.00000000076</v>
      </c>
      <c r="Y33" s="8">
        <f t="shared" si="14"/>
        <v>0.33200000000000074</v>
      </c>
      <c r="Z33" s="10">
        <f t="shared" si="15"/>
        <v>1.0192400000000021</v>
      </c>
      <c r="AA33" s="15"/>
      <c r="AB33" s="7">
        <f t="shared" si="16"/>
        <v>12588000.000001453</v>
      </c>
      <c r="AC33" s="8">
        <f t="shared" si="16"/>
        <v>12.588000000001454</v>
      </c>
      <c r="AD33" s="8">
        <f t="shared" si="16"/>
        <v>38.645160000004459</v>
      </c>
      <c r="AF33" s="8">
        <f t="shared" si="18"/>
        <v>0</v>
      </c>
    </row>
    <row r="34" spans="1:32" x14ac:dyDescent="0.25">
      <c r="A34" s="27">
        <v>38441</v>
      </c>
      <c r="B34" s="7">
        <f>'[5]Mar Prod'!I33</f>
        <v>6000000</v>
      </c>
      <c r="C34" s="8">
        <f t="shared" si="1"/>
        <v>6</v>
      </c>
      <c r="D34" s="10">
        <f t="shared" si="0"/>
        <v>18.419999999999998</v>
      </c>
      <c r="E34" s="7">
        <f>'[5]Mar Prod'!E33</f>
        <v>7000000</v>
      </c>
      <c r="F34" s="8">
        <f t="shared" si="2"/>
        <v>7</v>
      </c>
      <c r="G34" s="10">
        <f t="shared" si="3"/>
        <v>21.49</v>
      </c>
      <c r="H34" s="7">
        <f>'[5]Mar Prod'!F33</f>
        <v>0</v>
      </c>
      <c r="I34" s="8">
        <f t="shared" si="4"/>
        <v>0</v>
      </c>
      <c r="J34" s="10">
        <f t="shared" si="5"/>
        <v>0</v>
      </c>
      <c r="K34" s="7">
        <f>'[5]Mar Prod'!H288</f>
        <v>828792</v>
      </c>
      <c r="L34" s="8">
        <f t="shared" si="6"/>
        <v>0.82879199999999997</v>
      </c>
      <c r="M34" s="10">
        <f t="shared" si="7"/>
        <v>2.5443914399999996</v>
      </c>
      <c r="N34" s="21"/>
      <c r="O34" s="7">
        <f>'[5]Mar Prod'!H33</f>
        <v>6702000.0000000019</v>
      </c>
      <c r="P34" s="8">
        <f t="shared" si="8"/>
        <v>6.7020000000000017</v>
      </c>
      <c r="Q34" s="10">
        <f t="shared" si="9"/>
        <v>20.575140000000005</v>
      </c>
      <c r="R34" s="7">
        <f>'[5]Mar Prod'!C33</f>
        <v>6962000</v>
      </c>
      <c r="S34" s="8">
        <f t="shared" si="10"/>
        <v>6.9619999999999997</v>
      </c>
      <c r="T34" s="10">
        <f t="shared" si="11"/>
        <v>21.373339999999999</v>
      </c>
      <c r="U34" s="7">
        <f>'[5]Mar Prod'!D33</f>
        <v>0</v>
      </c>
      <c r="V34" s="8">
        <f t="shared" si="12"/>
        <v>0</v>
      </c>
      <c r="W34" s="10">
        <f t="shared" si="13"/>
        <v>0</v>
      </c>
      <c r="X34" s="7">
        <f>'[5]Mar Prod'!D288</f>
        <v>259999.99999999802</v>
      </c>
      <c r="Y34" s="8">
        <f t="shared" si="14"/>
        <v>0.25999999999999801</v>
      </c>
      <c r="Z34" s="10">
        <f t="shared" si="15"/>
        <v>0.7981999999999938</v>
      </c>
      <c r="AA34" s="15"/>
      <c r="AB34" s="7">
        <f t="shared" si="16"/>
        <v>12702000.000000002</v>
      </c>
      <c r="AC34" s="8">
        <f t="shared" si="16"/>
        <v>12.702000000000002</v>
      </c>
      <c r="AD34" s="8">
        <f t="shared" si="16"/>
        <v>38.995140000000006</v>
      </c>
      <c r="AF34" s="8">
        <f t="shared" si="18"/>
        <v>0</v>
      </c>
    </row>
    <row r="35" spans="1:32" ht="13.8" thickBot="1" x14ac:dyDescent="0.3">
      <c r="A35" s="27">
        <v>38442</v>
      </c>
      <c r="B35" s="7">
        <f>'[5]Mar Prod'!I34</f>
        <v>6199999.9999970896</v>
      </c>
      <c r="C35" s="8">
        <f t="shared" si="1"/>
        <v>6.1999999999970896</v>
      </c>
      <c r="D35" s="10">
        <f t="shared" si="0"/>
        <v>19.033999999991064</v>
      </c>
      <c r="E35" s="7">
        <f>'[5]Mar Prod'!E34</f>
        <v>7000000</v>
      </c>
      <c r="F35" s="8">
        <f t="shared" si="2"/>
        <v>7</v>
      </c>
      <c r="G35" s="10">
        <f t="shared" si="3"/>
        <v>21.49</v>
      </c>
      <c r="H35" s="7">
        <f>'[5]Mar Prod'!F34</f>
        <v>0</v>
      </c>
      <c r="I35" s="8">
        <f t="shared" si="4"/>
        <v>0</v>
      </c>
      <c r="J35" s="10">
        <f t="shared" si="5"/>
        <v>0</v>
      </c>
      <c r="K35" s="7">
        <f>'[5]Mar Prod'!H289</f>
        <v>774803</v>
      </c>
      <c r="L35" s="8">
        <f t="shared" si="6"/>
        <v>0.77480300000000002</v>
      </c>
      <c r="M35" s="10">
        <f t="shared" si="7"/>
        <v>2.3786452099999997</v>
      </c>
      <c r="N35" s="21"/>
      <c r="O35" s="7">
        <f>'[5]Mar Prod'!H34</f>
        <v>8640000</v>
      </c>
      <c r="P35" s="8">
        <f t="shared" si="8"/>
        <v>8.64</v>
      </c>
      <c r="Q35" s="10">
        <f t="shared" si="9"/>
        <v>26.524799999999999</v>
      </c>
      <c r="R35" s="7">
        <f>'[5]Mar Prod'!C34</f>
        <v>8771000</v>
      </c>
      <c r="S35" s="8">
        <f t="shared" si="10"/>
        <v>8.7710000000000008</v>
      </c>
      <c r="T35" s="10">
        <f t="shared" si="11"/>
        <v>26.926970000000001</v>
      </c>
      <c r="U35" s="7">
        <f>'[5]Mar Prod'!D34</f>
        <v>0</v>
      </c>
      <c r="V35" s="8">
        <f t="shared" si="12"/>
        <v>0</v>
      </c>
      <c r="W35" s="10">
        <f t="shared" si="13"/>
        <v>0</v>
      </c>
      <c r="X35" s="7">
        <f>'[5]Mar Prod'!D289</f>
        <v>131000.00000000023</v>
      </c>
      <c r="Y35" s="8">
        <f t="shared" si="14"/>
        <v>0.13100000000000023</v>
      </c>
      <c r="Z35" s="10">
        <f t="shared" si="15"/>
        <v>0.40217000000000069</v>
      </c>
      <c r="AA35" s="15"/>
      <c r="AB35" s="7">
        <f t="shared" si="16"/>
        <v>14839999.999997091</v>
      </c>
      <c r="AC35" s="8">
        <f t="shared" si="16"/>
        <v>14.83999999999709</v>
      </c>
      <c r="AD35" s="8">
        <f t="shared" si="16"/>
        <v>45.558799999991066</v>
      </c>
      <c r="AF35" s="8">
        <f t="shared" si="18"/>
        <v>9.9920072216264089E-16</v>
      </c>
    </row>
    <row r="36" spans="1:32" ht="13.8" thickBot="1" x14ac:dyDescent="0.3">
      <c r="A36" s="14"/>
      <c r="B36" s="38"/>
      <c r="C36" s="39">
        <f>SUM(C5:C35)</f>
        <v>87</v>
      </c>
      <c r="D36" s="39">
        <f t="shared" ref="D36:J36" si="19">SUM(D5:D35)</f>
        <v>267.08999999999992</v>
      </c>
      <c r="E36" s="38"/>
      <c r="F36" s="39">
        <f t="shared" si="19"/>
        <v>120</v>
      </c>
      <c r="G36" s="39">
        <f t="shared" si="19"/>
        <v>368.40000000000003</v>
      </c>
      <c r="H36" s="38"/>
      <c r="I36" s="39">
        <f t="shared" si="19"/>
        <v>0</v>
      </c>
      <c r="J36" s="39">
        <f t="shared" si="19"/>
        <v>0</v>
      </c>
      <c r="K36" s="38"/>
      <c r="L36" s="39">
        <f>SUM(L5:L35)</f>
        <v>13.538234000000001</v>
      </c>
      <c r="M36" s="39">
        <f>SUM(M5:M35)</f>
        <v>41.562378379999998</v>
      </c>
      <c r="N36" s="14"/>
      <c r="O36" s="38"/>
      <c r="P36" s="39">
        <f>SUM(P5:P35)</f>
        <v>290.25199999999995</v>
      </c>
      <c r="Q36" s="39">
        <f>SUM(Q5:Q35)</f>
        <v>891.07363999999995</v>
      </c>
      <c r="R36" s="38"/>
      <c r="S36" s="39">
        <f>SUM(S5:S35)</f>
        <v>297.709</v>
      </c>
      <c r="T36" s="39">
        <f>SUM(T5:T35)</f>
        <v>913.96663000000001</v>
      </c>
      <c r="U36" s="38"/>
      <c r="V36" s="39">
        <f>SUM(V5:V35)</f>
        <v>0</v>
      </c>
      <c r="W36" s="39">
        <f>SUM(W5:W35)</f>
        <v>0</v>
      </c>
      <c r="X36" s="38"/>
      <c r="Y36" s="39">
        <f>SUM(Y5:Y35)</f>
        <v>7.4570000000000007</v>
      </c>
      <c r="Z36" s="39">
        <f>SUM(Z5:Z35)</f>
        <v>22.892990000000001</v>
      </c>
      <c r="AA36" s="14"/>
      <c r="AB36" s="38"/>
      <c r="AC36" s="39">
        <f>SUM(AC5:AC35)</f>
        <v>377.25200000000001</v>
      </c>
      <c r="AD36" s="39">
        <f>AC36*3.07</f>
        <v>1158.16364</v>
      </c>
      <c r="AF36" s="39">
        <f>SUM(AF5:AF35)</f>
        <v>-2.4702462297909733E-15</v>
      </c>
    </row>
    <row r="37" spans="1:32" x14ac:dyDescent="0.25">
      <c r="C37" s="18"/>
      <c r="E37" s="3"/>
      <c r="F37" s="3"/>
      <c r="G37" s="3"/>
      <c r="H37" s="3"/>
      <c r="I37" s="3"/>
      <c r="J37" s="15"/>
      <c r="K37" s="14"/>
      <c r="L37" s="3"/>
      <c r="M37" s="3"/>
      <c r="N37" s="3"/>
      <c r="O37" s="3"/>
      <c r="P37" s="3"/>
      <c r="Q37" s="3"/>
      <c r="R37" s="3"/>
      <c r="S37" s="3"/>
      <c r="T37" s="3"/>
      <c r="U37" s="14"/>
    </row>
  </sheetData>
  <mergeCells count="9">
    <mergeCell ref="AB3:AD3"/>
    <mergeCell ref="R3:T3"/>
    <mergeCell ref="U3:W3"/>
    <mergeCell ref="X3:Z3"/>
    <mergeCell ref="B3:D3"/>
    <mergeCell ref="E3:G3"/>
    <mergeCell ref="H3:J3"/>
    <mergeCell ref="O3:Q3"/>
    <mergeCell ref="K3:M3"/>
  </mergeCells>
  <phoneticPr fontId="1" type="noConversion"/>
  <pageMargins left="0.75" right="0.75" top="1" bottom="1" header="0.5" footer="0.5"/>
  <pageSetup scale="37" orientation="landscape" r:id="rId1"/>
  <headerFooter alignWithMargins="0">
    <oddFooter>&amp;R&amp;D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AF36"/>
  <sheetViews>
    <sheetView workbookViewId="0">
      <pane xSplit="1" ySplit="4" topLeftCell="J14" activePane="bottomRight" state="frozen"/>
      <selection pane="topRight" activeCell="B1" sqref="B1"/>
      <selection pane="bottomLeft" activeCell="A5" sqref="A5"/>
      <selection pane="bottomRight" activeCell="I15" sqref="I15"/>
    </sheetView>
  </sheetViews>
  <sheetFormatPr defaultRowHeight="13.2" x14ac:dyDescent="0.25"/>
  <cols>
    <col min="2" max="2" width="13.33203125" customWidth="1"/>
    <col min="5" max="5" width="13.109375" customWidth="1"/>
    <col min="8" max="8" width="15.109375" customWidth="1"/>
    <col min="11" max="11" width="10.33203125" customWidth="1"/>
    <col min="12" max="12" width="11.6640625" bestFit="1" customWidth="1"/>
    <col min="15" max="15" width="10.6640625" customWidth="1"/>
    <col min="18" max="18" width="10.6640625" customWidth="1"/>
    <col min="21" max="21" width="10.44140625" customWidth="1"/>
    <col min="22" max="22" width="10.88671875" customWidth="1"/>
    <col min="24" max="24" width="12.109375" customWidth="1"/>
    <col min="28" max="28" width="13.109375" customWidth="1"/>
  </cols>
  <sheetData>
    <row r="1" spans="1:30" x14ac:dyDescent="0.25">
      <c r="A1" s="45"/>
      <c r="B1" s="40"/>
      <c r="C1" s="25"/>
      <c r="D1" s="25"/>
      <c r="E1" s="25"/>
      <c r="F1" s="25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14"/>
      <c r="V1" s="3"/>
      <c r="W1" s="3"/>
      <c r="X1" s="3"/>
    </row>
    <row r="2" spans="1:30" ht="13.8" thickBot="1" x14ac:dyDescent="0.3">
      <c r="A2" s="3"/>
      <c r="B2" s="3"/>
      <c r="C2" s="24"/>
      <c r="D2" s="3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  <c r="V2" s="3"/>
      <c r="W2" s="3"/>
      <c r="X2" s="3"/>
    </row>
    <row r="3" spans="1:30" ht="60.75" customHeight="1" thickBot="1" x14ac:dyDescent="0.3">
      <c r="A3" s="3"/>
      <c r="B3" s="61" t="s">
        <v>10</v>
      </c>
      <c r="C3" s="62"/>
      <c r="D3" s="63"/>
      <c r="E3" s="61" t="s">
        <v>11</v>
      </c>
      <c r="F3" s="62"/>
      <c r="G3" s="63"/>
      <c r="H3" s="61" t="s">
        <v>12</v>
      </c>
      <c r="I3" s="62"/>
      <c r="J3" s="63"/>
      <c r="K3" s="61" t="s">
        <v>13</v>
      </c>
      <c r="L3" s="62"/>
      <c r="M3" s="63"/>
      <c r="N3" s="19"/>
      <c r="O3" s="61" t="s">
        <v>4</v>
      </c>
      <c r="P3" s="62"/>
      <c r="Q3" s="63"/>
      <c r="R3" s="61" t="s">
        <v>3</v>
      </c>
      <c r="S3" s="62"/>
      <c r="T3" s="63"/>
      <c r="U3" s="61" t="s">
        <v>6</v>
      </c>
      <c r="V3" s="62"/>
      <c r="W3" s="63"/>
      <c r="X3" s="61" t="s">
        <v>7</v>
      </c>
      <c r="Y3" s="62"/>
      <c r="Z3" s="63"/>
      <c r="AA3" s="19"/>
      <c r="AB3" s="58" t="s">
        <v>8</v>
      </c>
      <c r="AC3" s="59"/>
      <c r="AD3" s="60"/>
    </row>
    <row r="4" spans="1:30" x14ac:dyDescent="0.25">
      <c r="A4" s="26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35" t="s">
        <v>0</v>
      </c>
      <c r="AC4" s="36" t="s">
        <v>1</v>
      </c>
      <c r="AD4" s="37" t="s">
        <v>2</v>
      </c>
    </row>
    <row r="5" spans="1:30" x14ac:dyDescent="0.25">
      <c r="A5" s="27">
        <v>38443</v>
      </c>
      <c r="B5" s="7">
        <f>'[6]Apr Prod'!I4</f>
        <v>5600000.000002183</v>
      </c>
      <c r="C5" s="8">
        <f>B5/1000000</f>
        <v>5.6000000000021828</v>
      </c>
      <c r="D5" s="10">
        <f>C5*3.07</f>
        <v>17.192000000006701</v>
      </c>
      <c r="E5" s="7">
        <f>'[6]Apr Prod'!E4</f>
        <v>7000000</v>
      </c>
      <c r="F5" s="8">
        <f>E5/1000000</f>
        <v>7</v>
      </c>
      <c r="G5" s="10">
        <f>F5*3.07</f>
        <v>21.49</v>
      </c>
      <c r="H5" s="7">
        <f>'[6]Apr Prod'!F4</f>
        <v>0</v>
      </c>
      <c r="I5" s="8">
        <f t="shared" ref="I5:I34" si="0">H5/1000000</f>
        <v>0</v>
      </c>
      <c r="J5" s="10">
        <f>I5*3.07</f>
        <v>0</v>
      </c>
      <c r="K5" s="7">
        <f>'[6]Apr Prod'!H252</f>
        <v>902590</v>
      </c>
      <c r="L5" s="8">
        <f>K5/1000000</f>
        <v>0.90259</v>
      </c>
      <c r="M5" s="10">
        <f>L5*3.07</f>
        <v>2.7709512999999997</v>
      </c>
      <c r="N5" s="21"/>
      <c r="O5" s="7">
        <f>'[6]Apr Prod'!H4</f>
        <v>7743000.0000000047</v>
      </c>
      <c r="P5" s="8">
        <f>O5/1000000</f>
        <v>7.7430000000000048</v>
      </c>
      <c r="Q5" s="10">
        <f>P5*3.07</f>
        <v>23.771010000000015</v>
      </c>
      <c r="R5" s="7">
        <f>'[6]Apr Prod'!C4</f>
        <v>8007000</v>
      </c>
      <c r="S5" s="8">
        <f>R5/1000000</f>
        <v>8.0069999999999997</v>
      </c>
      <c r="T5" s="10">
        <f>S5*3.07</f>
        <v>24.581489999999999</v>
      </c>
      <c r="U5" s="7">
        <f>'[6]Apr Prod'!D4</f>
        <v>0</v>
      </c>
      <c r="V5" s="8">
        <f>U5/1000000</f>
        <v>0</v>
      </c>
      <c r="W5" s="10">
        <f>V5*3.07</f>
        <v>0</v>
      </c>
      <c r="X5" s="7">
        <f>'[6]Apr Prod'!D252</f>
        <v>263999.99999999581</v>
      </c>
      <c r="Y5" s="8">
        <f>X5/1000000</f>
        <v>0.26399999999999579</v>
      </c>
      <c r="Z5" s="10">
        <f>Y5*3.07</f>
        <v>0.81047999999998699</v>
      </c>
      <c r="AA5" s="15"/>
      <c r="AB5" s="7">
        <f>B5+O5</f>
        <v>13343000.000002187</v>
      </c>
      <c r="AC5" s="8">
        <f>C5+P5</f>
        <v>13.343000000002188</v>
      </c>
      <c r="AD5" s="8">
        <f>D5+Q5</f>
        <v>40.963010000006719</v>
      </c>
    </row>
    <row r="6" spans="1:30" x14ac:dyDescent="0.25">
      <c r="A6" s="27">
        <v>38444</v>
      </c>
      <c r="B6" s="7">
        <f>'[6]Apr Prod'!I5</f>
        <v>5500000</v>
      </c>
      <c r="C6" s="8">
        <f t="shared" ref="C6:C34" si="1">B6/1000000</f>
        <v>5.5</v>
      </c>
      <c r="D6" s="10">
        <f t="shared" ref="D6:D34" si="2">C6*3.07</f>
        <v>16.884999999999998</v>
      </c>
      <c r="E6" s="7">
        <f>'[6]Apr Prod'!E5</f>
        <v>7000000</v>
      </c>
      <c r="F6" s="8">
        <f t="shared" ref="F6:F34" si="3">E6/1000000</f>
        <v>7</v>
      </c>
      <c r="G6" s="10">
        <f t="shared" ref="G6:G34" si="4">F6*3.07</f>
        <v>21.49</v>
      </c>
      <c r="H6" s="7">
        <f>'[6]Apr Prod'!F5</f>
        <v>0</v>
      </c>
      <c r="I6" s="8">
        <f t="shared" si="0"/>
        <v>0</v>
      </c>
      <c r="J6" s="10">
        <f t="shared" ref="J6:J34" si="5">I6*3.07</f>
        <v>0</v>
      </c>
      <c r="K6" s="7">
        <f>'[6]Apr Prod'!H253</f>
        <v>961366</v>
      </c>
      <c r="L6" s="8">
        <f t="shared" ref="L6:L34" si="6">K6/1000000</f>
        <v>0.96136600000000005</v>
      </c>
      <c r="M6" s="10">
        <f t="shared" ref="M6:M34" si="7">L6*3.07</f>
        <v>2.9513936200000002</v>
      </c>
      <c r="N6" s="21"/>
      <c r="O6" s="7">
        <f>'[6]Apr Prod'!H5</f>
        <v>6139999.9999999944</v>
      </c>
      <c r="P6" s="8">
        <f t="shared" ref="P6:P34" si="8">O6/1000000</f>
        <v>6.1399999999999944</v>
      </c>
      <c r="Q6" s="10">
        <f t="shared" ref="Q6:Q34" si="9">P6*3.07</f>
        <v>18.849799999999981</v>
      </c>
      <c r="R6" s="7">
        <f>'[6]Apr Prod'!C5</f>
        <v>6406000</v>
      </c>
      <c r="S6" s="8">
        <f t="shared" ref="S6:S34" si="10">R6/1000000</f>
        <v>6.4059999999999997</v>
      </c>
      <c r="T6" s="10">
        <f t="shared" ref="T6:T34" si="11">S6*3.07</f>
        <v>19.666419999999999</v>
      </c>
      <c r="U6" s="7">
        <f>'[6]Apr Prod'!D5</f>
        <v>0</v>
      </c>
      <c r="V6" s="8">
        <f t="shared" ref="V6:V34" si="12">U6/1000000</f>
        <v>0</v>
      </c>
      <c r="W6" s="10">
        <f t="shared" ref="W6:W34" si="13">V6*3.07</f>
        <v>0</v>
      </c>
      <c r="X6" s="7">
        <f>'[6]Apr Prod'!D253</f>
        <v>266000.00000000536</v>
      </c>
      <c r="Y6" s="8">
        <f t="shared" ref="Y6:Y34" si="14">X6/1000000</f>
        <v>0.26600000000000534</v>
      </c>
      <c r="Z6" s="10">
        <f t="shared" ref="Z6:Z34" si="15">Y6*3.07</f>
        <v>0.81662000000001633</v>
      </c>
      <c r="AA6" s="15"/>
      <c r="AB6" s="7">
        <f t="shared" ref="AB6:AD35" si="16">B6+O6</f>
        <v>11639999.999999994</v>
      </c>
      <c r="AC6" s="8">
        <f t="shared" si="16"/>
        <v>11.639999999999993</v>
      </c>
      <c r="AD6" s="8">
        <f t="shared" si="16"/>
        <v>35.734799999999979</v>
      </c>
    </row>
    <row r="7" spans="1:30" x14ac:dyDescent="0.25">
      <c r="A7" s="27">
        <v>38445</v>
      </c>
      <c r="B7" s="7">
        <f>'[6]Apr Prod'!I6</f>
        <v>6299999.9999992726</v>
      </c>
      <c r="C7" s="8">
        <f t="shared" si="1"/>
        <v>6.2999999999992724</v>
      </c>
      <c r="D7" s="10">
        <f t="shared" si="2"/>
        <v>19.340999999997766</v>
      </c>
      <c r="E7" s="7">
        <f>'[6]Apr Prod'!E6</f>
        <v>7000000</v>
      </c>
      <c r="F7" s="8">
        <f t="shared" si="3"/>
        <v>7</v>
      </c>
      <c r="G7" s="10">
        <f t="shared" si="4"/>
        <v>21.49</v>
      </c>
      <c r="H7" s="7">
        <f>'[6]Apr Prod'!F6</f>
        <v>0</v>
      </c>
      <c r="I7" s="8">
        <f t="shared" si="0"/>
        <v>0</v>
      </c>
      <c r="J7" s="10">
        <f t="shared" si="5"/>
        <v>0</v>
      </c>
      <c r="K7" s="7">
        <f>'[6]Apr Prod'!H254</f>
        <v>742568</v>
      </c>
      <c r="L7" s="8">
        <f t="shared" si="6"/>
        <v>0.74256800000000001</v>
      </c>
      <c r="M7" s="10">
        <f t="shared" si="7"/>
        <v>2.2796837599999997</v>
      </c>
      <c r="N7" s="21"/>
      <c r="O7" s="7">
        <f>'[6]Apr Prod'!H6</f>
        <v>5281000</v>
      </c>
      <c r="P7" s="8">
        <f t="shared" si="8"/>
        <v>5.2809999999999997</v>
      </c>
      <c r="Q7" s="10">
        <f t="shared" si="9"/>
        <v>16.212669999999999</v>
      </c>
      <c r="R7" s="7">
        <f>'[6]Apr Prod'!C6</f>
        <v>5543000</v>
      </c>
      <c r="S7" s="8">
        <f t="shared" si="10"/>
        <v>5.5430000000000001</v>
      </c>
      <c r="T7" s="10">
        <f t="shared" si="11"/>
        <v>17.017009999999999</v>
      </c>
      <c r="U7" s="7">
        <f>'[6]Apr Prod'!D6</f>
        <v>0</v>
      </c>
      <c r="V7" s="8">
        <f t="shared" si="12"/>
        <v>0</v>
      </c>
      <c r="W7" s="10">
        <f t="shared" si="13"/>
        <v>0</v>
      </c>
      <c r="X7" s="7">
        <f>'[6]Apr Prod'!D254</f>
        <v>262000.00000000047</v>
      </c>
      <c r="Y7" s="8">
        <f t="shared" si="14"/>
        <v>0.26200000000000045</v>
      </c>
      <c r="Z7" s="10">
        <f t="shared" si="15"/>
        <v>0.80434000000000139</v>
      </c>
      <c r="AA7" s="15"/>
      <c r="AB7" s="7">
        <f t="shared" si="16"/>
        <v>11580999.999999274</v>
      </c>
      <c r="AC7" s="8">
        <f t="shared" si="16"/>
        <v>11.580999999999271</v>
      </c>
      <c r="AD7" s="8">
        <f t="shared" si="16"/>
        <v>35.553669999997766</v>
      </c>
    </row>
    <row r="8" spans="1:30" x14ac:dyDescent="0.25">
      <c r="A8" s="27">
        <v>38446</v>
      </c>
      <c r="B8" s="7">
        <f>'[6]Apr Prod'!I7</f>
        <v>5700000.0000007274</v>
      </c>
      <c r="C8" s="8">
        <f t="shared" si="1"/>
        <v>5.7000000000007276</v>
      </c>
      <c r="D8" s="10">
        <f t="shared" si="2"/>
        <v>17.499000000002233</v>
      </c>
      <c r="E8" s="7">
        <f>'[6]Apr Prod'!E7</f>
        <v>8000000</v>
      </c>
      <c r="F8" s="8">
        <f t="shared" si="3"/>
        <v>8</v>
      </c>
      <c r="G8" s="10">
        <f t="shared" si="4"/>
        <v>24.56</v>
      </c>
      <c r="H8" s="7">
        <f>'[6]Apr Prod'!F7</f>
        <v>0</v>
      </c>
      <c r="I8" s="8">
        <f t="shared" si="0"/>
        <v>0</v>
      </c>
      <c r="J8" s="10">
        <f t="shared" si="5"/>
        <v>0</v>
      </c>
      <c r="K8" s="7">
        <f>'[6]Apr Prod'!H255</f>
        <v>914993</v>
      </c>
      <c r="L8" s="8">
        <f t="shared" si="6"/>
        <v>0.91499299999999995</v>
      </c>
      <c r="M8" s="10">
        <f t="shared" si="7"/>
        <v>2.8090285099999996</v>
      </c>
      <c r="N8" s="21"/>
      <c r="O8" s="7">
        <f>'[6]Apr Prod'!H7</f>
        <v>5968000.0000000019</v>
      </c>
      <c r="P8" s="8">
        <f t="shared" si="8"/>
        <v>5.9680000000000017</v>
      </c>
      <c r="Q8" s="10">
        <f t="shared" si="9"/>
        <v>18.321760000000005</v>
      </c>
      <c r="R8" s="7">
        <f>'[6]Apr Prod'!C7</f>
        <v>6033000</v>
      </c>
      <c r="S8" s="8">
        <f t="shared" ref="S8:S16" si="17">R8/1000000</f>
        <v>6.0330000000000004</v>
      </c>
      <c r="T8" s="10">
        <f t="shared" ref="T8:T16" si="18">S8*3.07</f>
        <v>18.52131</v>
      </c>
      <c r="U8" s="7">
        <f>'[6]Apr Prod'!D7</f>
        <v>0</v>
      </c>
      <c r="V8" s="8">
        <f t="shared" si="12"/>
        <v>0</v>
      </c>
      <c r="W8" s="10">
        <f t="shared" si="13"/>
        <v>0</v>
      </c>
      <c r="X8" s="7">
        <f>'[6]Apr Prod'!D255</f>
        <v>64999.99999999773</v>
      </c>
      <c r="Y8" s="8">
        <f t="shared" si="14"/>
        <v>6.4999999999997726E-2</v>
      </c>
      <c r="Z8" s="10">
        <f t="shared" si="15"/>
        <v>0.19954999999999301</v>
      </c>
      <c r="AA8" s="15"/>
      <c r="AB8" s="7">
        <f t="shared" si="16"/>
        <v>11668000.00000073</v>
      </c>
      <c r="AC8" s="8">
        <f t="shared" si="16"/>
        <v>11.668000000000729</v>
      </c>
      <c r="AD8" s="8">
        <f>D8+Q8</f>
        <v>35.820760000002238</v>
      </c>
    </row>
    <row r="9" spans="1:30" x14ac:dyDescent="0.25">
      <c r="A9" s="27">
        <v>38447</v>
      </c>
      <c r="B9" s="7">
        <f>'[6]Apr Prod'!I8</f>
        <v>6099999.9999985453</v>
      </c>
      <c r="C9" s="8">
        <f t="shared" si="1"/>
        <v>6.0999999999985457</v>
      </c>
      <c r="D9" s="10">
        <f t="shared" si="2"/>
        <v>18.726999999995535</v>
      </c>
      <c r="E9" s="7">
        <f>'[6]Apr Prod'!E8</f>
        <v>7000000</v>
      </c>
      <c r="F9" s="8">
        <f t="shared" si="3"/>
        <v>7</v>
      </c>
      <c r="G9" s="10">
        <f t="shared" si="4"/>
        <v>21.49</v>
      </c>
      <c r="H9" s="7">
        <f>'[6]Apr Prod'!F8</f>
        <v>0</v>
      </c>
      <c r="I9" s="8">
        <f t="shared" si="0"/>
        <v>0</v>
      </c>
      <c r="J9" s="10">
        <f t="shared" si="5"/>
        <v>0</v>
      </c>
      <c r="K9" s="7">
        <f>'[6]Apr Prod'!H256</f>
        <v>972848</v>
      </c>
      <c r="L9" s="8">
        <f t="shared" si="6"/>
        <v>0.97284800000000005</v>
      </c>
      <c r="M9" s="10">
        <f t="shared" si="7"/>
        <v>2.98664336</v>
      </c>
      <c r="N9" s="21"/>
      <c r="O9" s="7">
        <f>'[6]Apr Prod'!H8</f>
        <v>7791000</v>
      </c>
      <c r="P9" s="8">
        <f t="shared" ref="P9:P13" si="19">O9/1000000</f>
        <v>7.7910000000000004</v>
      </c>
      <c r="Q9" s="10">
        <f t="shared" ref="Q9:Q13" si="20">P9*3.07</f>
        <v>23.918369999999999</v>
      </c>
      <c r="R9" s="7">
        <f>'[6]Apr Prod'!C8</f>
        <v>7986000</v>
      </c>
      <c r="S9" s="8">
        <f t="shared" si="17"/>
        <v>7.9859999999999998</v>
      </c>
      <c r="T9" s="10">
        <f t="shared" si="18"/>
        <v>24.517019999999999</v>
      </c>
      <c r="U9" s="7">
        <f>'[6]Apr Prod'!D8</f>
        <v>0</v>
      </c>
      <c r="V9" s="8">
        <f t="shared" si="12"/>
        <v>0</v>
      </c>
      <c r="W9" s="10">
        <f t="shared" si="13"/>
        <v>0</v>
      </c>
      <c r="X9" s="7">
        <f>'[6]Apr Prod'!D256</f>
        <v>195000.00000000029</v>
      </c>
      <c r="Y9" s="8">
        <f t="shared" si="14"/>
        <v>0.19500000000000028</v>
      </c>
      <c r="Z9" s="10">
        <f t="shared" si="15"/>
        <v>0.59865000000000079</v>
      </c>
      <c r="AA9" s="15"/>
      <c r="AB9" s="7">
        <f t="shared" si="16"/>
        <v>13890999.999998545</v>
      </c>
      <c r="AC9" s="8">
        <f t="shared" si="16"/>
        <v>13.890999999998545</v>
      </c>
      <c r="AD9" s="8">
        <f t="shared" si="16"/>
        <v>42.645369999995538</v>
      </c>
    </row>
    <row r="10" spans="1:30" x14ac:dyDescent="0.25">
      <c r="A10" s="27">
        <v>38448</v>
      </c>
      <c r="B10" s="7">
        <f>'[6]Apr Prod'!I9</f>
        <v>6100000.000002183</v>
      </c>
      <c r="C10" s="8">
        <f t="shared" si="1"/>
        <v>6.1000000000021828</v>
      </c>
      <c r="D10" s="10">
        <f t="shared" si="2"/>
        <v>18.727000000006701</v>
      </c>
      <c r="E10" s="7">
        <f>'[6]Apr Prod'!E9</f>
        <v>7000000</v>
      </c>
      <c r="F10" s="8">
        <f t="shared" si="3"/>
        <v>7</v>
      </c>
      <c r="G10" s="10">
        <f t="shared" si="4"/>
        <v>21.49</v>
      </c>
      <c r="H10" s="7">
        <f>'[6]Apr Prod'!F9</f>
        <v>0</v>
      </c>
      <c r="I10" s="8">
        <f t="shared" si="0"/>
        <v>0</v>
      </c>
      <c r="J10" s="10">
        <f t="shared" si="5"/>
        <v>0</v>
      </c>
      <c r="K10" s="7">
        <f>'[6]Apr Prod'!H257</f>
        <v>763703</v>
      </c>
      <c r="L10" s="8">
        <f t="shared" si="6"/>
        <v>0.76370300000000002</v>
      </c>
      <c r="M10" s="10">
        <f t="shared" si="7"/>
        <v>2.3445682099999998</v>
      </c>
      <c r="N10" s="21"/>
      <c r="O10" s="7">
        <f>'[6]Apr Prod'!H9</f>
        <v>8830999.9999999981</v>
      </c>
      <c r="P10" s="8">
        <f t="shared" si="19"/>
        <v>8.8309999999999977</v>
      </c>
      <c r="Q10" s="10">
        <f t="shared" si="20"/>
        <v>27.111169999999991</v>
      </c>
      <c r="R10" s="7">
        <f>'[6]Apr Prod'!C9</f>
        <v>9025000</v>
      </c>
      <c r="S10" s="8">
        <f t="shared" si="17"/>
        <v>9.0250000000000004</v>
      </c>
      <c r="T10" s="10">
        <f t="shared" si="18"/>
        <v>27.70675</v>
      </c>
      <c r="U10" s="7">
        <f>'[6]Apr Prod'!D9</f>
        <v>0</v>
      </c>
      <c r="V10" s="8">
        <f t="shared" si="12"/>
        <v>0</v>
      </c>
      <c r="W10" s="10">
        <f t="shared" si="13"/>
        <v>0</v>
      </c>
      <c r="X10" s="7">
        <f>'[6]Apr Prod'!D257</f>
        <v>194000.00000000262</v>
      </c>
      <c r="Y10" s="8">
        <f t="shared" si="14"/>
        <v>0.19400000000000261</v>
      </c>
      <c r="Z10" s="10">
        <f t="shared" si="15"/>
        <v>0.59558000000000799</v>
      </c>
      <c r="AA10" s="15"/>
      <c r="AB10" s="7">
        <f t="shared" si="16"/>
        <v>14931000.000002181</v>
      </c>
      <c r="AC10" s="8">
        <f t="shared" si="16"/>
        <v>14.931000000002181</v>
      </c>
      <c r="AD10" s="8">
        <f t="shared" si="16"/>
        <v>45.838170000006691</v>
      </c>
    </row>
    <row r="11" spans="1:30" x14ac:dyDescent="0.25">
      <c r="A11" s="27">
        <v>38449</v>
      </c>
      <c r="B11" s="7">
        <f>'[6]Apr Prod'!I10</f>
        <v>5799999.9999992726</v>
      </c>
      <c r="C11" s="8">
        <f t="shared" si="1"/>
        <v>5.7999999999992724</v>
      </c>
      <c r="D11" s="10">
        <f t="shared" si="2"/>
        <v>17.805999999997766</v>
      </c>
      <c r="E11" s="7">
        <f>'[6]Apr Prod'!E10</f>
        <v>7000000</v>
      </c>
      <c r="F11" s="8">
        <f t="shared" si="3"/>
        <v>7</v>
      </c>
      <c r="G11" s="10">
        <f t="shared" si="4"/>
        <v>21.49</v>
      </c>
      <c r="H11" s="7">
        <f>'[6]Apr Prod'!F10</f>
        <v>0</v>
      </c>
      <c r="I11" s="8">
        <f t="shared" si="0"/>
        <v>0</v>
      </c>
      <c r="J11" s="10">
        <f t="shared" si="5"/>
        <v>0</v>
      </c>
      <c r="K11" s="7">
        <f>'[6]Apr Prod'!H258</f>
        <v>756866</v>
      </c>
      <c r="L11" s="8">
        <f t="shared" ref="L11:L12" si="21">K11/1000000</f>
        <v>0.75686600000000004</v>
      </c>
      <c r="M11" s="10">
        <f t="shared" ref="M11:M12" si="22">L11*3.07</f>
        <v>2.3235786200000002</v>
      </c>
      <c r="N11" s="21"/>
      <c r="O11" s="7">
        <f>'[6]Apr Prod'!H10</f>
        <v>8795000</v>
      </c>
      <c r="P11" s="8">
        <f t="shared" si="19"/>
        <v>8.7949999999999999</v>
      </c>
      <c r="Q11" s="10">
        <f t="shared" si="20"/>
        <v>27.000649999999997</v>
      </c>
      <c r="R11" s="7">
        <f>'[6]Apr Prod'!C10</f>
        <v>9060000</v>
      </c>
      <c r="S11" s="8">
        <f t="shared" si="17"/>
        <v>9.06</v>
      </c>
      <c r="T11" s="10">
        <f t="shared" si="18"/>
        <v>27.8142</v>
      </c>
      <c r="U11" s="7">
        <f>'[6]Apr Prod'!D10</f>
        <v>0</v>
      </c>
      <c r="V11" s="8">
        <f t="shared" si="12"/>
        <v>0</v>
      </c>
      <c r="W11" s="10">
        <f t="shared" si="13"/>
        <v>0</v>
      </c>
      <c r="X11" s="7">
        <f>'[6]Apr Prod'!D258</f>
        <v>265000.00000000058</v>
      </c>
      <c r="Y11" s="8">
        <f t="shared" si="14"/>
        <v>0.26500000000000057</v>
      </c>
      <c r="Z11" s="10">
        <f t="shared" si="15"/>
        <v>0.81355000000000166</v>
      </c>
      <c r="AA11" s="15"/>
      <c r="AB11" s="7">
        <f t="shared" si="16"/>
        <v>14594999.999999274</v>
      </c>
      <c r="AC11" s="8">
        <f t="shared" si="16"/>
        <v>14.594999999999272</v>
      </c>
      <c r="AD11" s="8">
        <f t="shared" si="16"/>
        <v>44.806649999997759</v>
      </c>
    </row>
    <row r="12" spans="1:30" x14ac:dyDescent="0.25">
      <c r="A12" s="27">
        <v>38450</v>
      </c>
      <c r="B12" s="7">
        <f>'[6]Apr Prod'!I11</f>
        <v>6099999.9999985453</v>
      </c>
      <c r="C12" s="8">
        <f t="shared" si="1"/>
        <v>6.0999999999985457</v>
      </c>
      <c r="D12" s="10">
        <f t="shared" si="2"/>
        <v>18.726999999995535</v>
      </c>
      <c r="E12" s="7">
        <f>'[6]Apr Prod'!E11</f>
        <v>7000000</v>
      </c>
      <c r="F12" s="8">
        <f t="shared" si="3"/>
        <v>7</v>
      </c>
      <c r="G12" s="10">
        <f t="shared" si="4"/>
        <v>21.49</v>
      </c>
      <c r="H12" s="7">
        <f>'[6]Apr Prod'!F11</f>
        <v>0</v>
      </c>
      <c r="I12" s="8">
        <f t="shared" si="0"/>
        <v>0</v>
      </c>
      <c r="J12" s="10">
        <f t="shared" si="5"/>
        <v>0</v>
      </c>
      <c r="K12" s="7">
        <f>'[6]Apr Prod'!H259</f>
        <v>736581</v>
      </c>
      <c r="L12" s="8">
        <f t="shared" si="21"/>
        <v>0.73658100000000004</v>
      </c>
      <c r="M12" s="10">
        <f t="shared" si="22"/>
        <v>2.2613036700000002</v>
      </c>
      <c r="N12" s="21"/>
      <c r="O12" s="7">
        <f>'[6]Apr Prod'!H11</f>
        <v>9027000.0000000075</v>
      </c>
      <c r="P12" s="8">
        <f t="shared" si="19"/>
        <v>9.0270000000000081</v>
      </c>
      <c r="Q12" s="10">
        <f t="shared" si="20"/>
        <v>27.712890000000023</v>
      </c>
      <c r="R12" s="7">
        <f>'[6]Apr Prod'!C11</f>
        <v>9295000</v>
      </c>
      <c r="S12" s="8">
        <f t="shared" si="17"/>
        <v>9.2949999999999999</v>
      </c>
      <c r="T12" s="10">
        <f t="shared" si="18"/>
        <v>28.535649999999997</v>
      </c>
      <c r="U12" s="7">
        <f>'[6]Apr Prod'!D11</f>
        <v>0</v>
      </c>
      <c r="V12" s="8">
        <f t="shared" si="12"/>
        <v>0</v>
      </c>
      <c r="W12" s="10">
        <f t="shared" si="13"/>
        <v>0</v>
      </c>
      <c r="X12" s="7">
        <f>'[6]Apr Prod'!D259</f>
        <v>267999.9999999936</v>
      </c>
      <c r="Y12" s="8">
        <f t="shared" si="14"/>
        <v>0.26799999999999358</v>
      </c>
      <c r="Z12" s="10">
        <f t="shared" si="15"/>
        <v>0.82275999999998028</v>
      </c>
      <c r="AA12" s="15"/>
      <c r="AB12" s="7">
        <f t="shared" si="16"/>
        <v>15126999.999998553</v>
      </c>
      <c r="AC12" s="8">
        <f t="shared" si="16"/>
        <v>15.126999999998553</v>
      </c>
      <c r="AD12" s="8">
        <f t="shared" si="16"/>
        <v>46.439889999995557</v>
      </c>
    </row>
    <row r="13" spans="1:30" x14ac:dyDescent="0.25">
      <c r="A13" s="27">
        <v>38451</v>
      </c>
      <c r="B13" s="7">
        <f>'[6]Apr Prod'!I12</f>
        <v>5299999.9999992726</v>
      </c>
      <c r="C13" s="8">
        <f t="shared" si="1"/>
        <v>5.2999999999992724</v>
      </c>
      <c r="D13" s="10">
        <f t="shared" si="2"/>
        <v>16.270999999997766</v>
      </c>
      <c r="E13" s="7">
        <f>'[6]Apr Prod'!E12</f>
        <v>7000000</v>
      </c>
      <c r="F13" s="8">
        <f t="shared" si="3"/>
        <v>7</v>
      </c>
      <c r="G13" s="10">
        <f t="shared" si="4"/>
        <v>21.49</v>
      </c>
      <c r="H13" s="7">
        <f>'[6]Apr Prod'!F12</f>
        <v>0</v>
      </c>
      <c r="I13" s="8">
        <f t="shared" si="0"/>
        <v>0</v>
      </c>
      <c r="J13" s="10">
        <f t="shared" si="5"/>
        <v>0</v>
      </c>
      <c r="K13" s="7">
        <f>'[6]Apr Prod'!H260</f>
        <v>782463</v>
      </c>
      <c r="L13" s="8">
        <f t="shared" si="6"/>
        <v>0.78246300000000002</v>
      </c>
      <c r="M13" s="10">
        <f t="shared" si="7"/>
        <v>2.4021614099999997</v>
      </c>
      <c r="N13" s="21"/>
      <c r="O13" s="7">
        <f>'[6]Apr Prod'!H12</f>
        <v>7545999.9999999972</v>
      </c>
      <c r="P13" s="8">
        <f t="shared" si="19"/>
        <v>7.5459999999999976</v>
      </c>
      <c r="Q13" s="10">
        <f t="shared" si="20"/>
        <v>23.166219999999992</v>
      </c>
      <c r="R13" s="7">
        <f>'[6]Apr Prod'!C12</f>
        <v>7874000</v>
      </c>
      <c r="S13" s="8">
        <f t="shared" si="17"/>
        <v>7.8739999999999997</v>
      </c>
      <c r="T13" s="10">
        <f t="shared" si="18"/>
        <v>24.173179999999999</v>
      </c>
      <c r="U13" s="7">
        <f>'[6]Apr Prod'!D12</f>
        <v>0</v>
      </c>
      <c r="V13" s="8">
        <f t="shared" si="12"/>
        <v>0</v>
      </c>
      <c r="W13" s="10">
        <f t="shared" si="13"/>
        <v>0</v>
      </c>
      <c r="X13" s="7">
        <f>'[6]Apr Prod'!D260</f>
        <v>328000.00000000297</v>
      </c>
      <c r="Y13" s="8">
        <f t="shared" si="14"/>
        <v>0.32800000000000296</v>
      </c>
      <c r="Z13" s="10">
        <f t="shared" si="15"/>
        <v>1.006960000000009</v>
      </c>
      <c r="AA13" s="15"/>
      <c r="AB13" s="7">
        <f t="shared" si="16"/>
        <v>12845999.99999927</v>
      </c>
      <c r="AC13" s="8">
        <f t="shared" si="16"/>
        <v>12.84599999999927</v>
      </c>
      <c r="AD13" s="8">
        <f t="shared" si="16"/>
        <v>39.437219999997758</v>
      </c>
    </row>
    <row r="14" spans="1:30" x14ac:dyDescent="0.25">
      <c r="A14" s="27">
        <v>38452</v>
      </c>
      <c r="B14" s="7">
        <f>'[6]Apr Prod'!I13</f>
        <v>6500000</v>
      </c>
      <c r="C14" s="8">
        <f t="shared" si="1"/>
        <v>6.5</v>
      </c>
      <c r="D14" s="10">
        <f t="shared" si="2"/>
        <v>19.954999999999998</v>
      </c>
      <c r="E14" s="7">
        <f>'[6]Apr Prod'!E13</f>
        <v>7000000</v>
      </c>
      <c r="F14" s="8">
        <f t="shared" si="3"/>
        <v>7</v>
      </c>
      <c r="G14" s="10">
        <f t="shared" si="4"/>
        <v>21.49</v>
      </c>
      <c r="H14" s="7">
        <f>'[6]Apr Prod'!F13</f>
        <v>0</v>
      </c>
      <c r="I14" s="8">
        <f t="shared" si="0"/>
        <v>0</v>
      </c>
      <c r="J14" s="10">
        <f t="shared" si="5"/>
        <v>0</v>
      </c>
      <c r="K14" s="7">
        <f>'[6]Apr Prod'!H261</f>
        <v>749850</v>
      </c>
      <c r="L14" s="8">
        <f t="shared" si="6"/>
        <v>0.74985000000000002</v>
      </c>
      <c r="M14" s="10">
        <f t="shared" si="7"/>
        <v>2.3020394999999998</v>
      </c>
      <c r="N14" s="21"/>
      <c r="O14" s="7">
        <f>'[6]Apr Prod'!H13</f>
        <v>8032999.9999999972</v>
      </c>
      <c r="P14" s="8">
        <f t="shared" si="8"/>
        <v>8.0329999999999977</v>
      </c>
      <c r="Q14" s="10">
        <f t="shared" si="9"/>
        <v>24.661309999999993</v>
      </c>
      <c r="R14" s="7">
        <f>'[6]Apr Prod'!C13</f>
        <v>8227000</v>
      </c>
      <c r="S14" s="8">
        <f t="shared" si="17"/>
        <v>8.2270000000000003</v>
      </c>
      <c r="T14" s="10">
        <f t="shared" si="18"/>
        <v>25.256889999999999</v>
      </c>
      <c r="U14" s="7">
        <f>'[6]Apr Prod'!D13</f>
        <v>0</v>
      </c>
      <c r="V14" s="8">
        <f t="shared" si="12"/>
        <v>0</v>
      </c>
      <c r="W14" s="10">
        <f t="shared" si="13"/>
        <v>0</v>
      </c>
      <c r="X14" s="7">
        <f>'[6]Apr Prod'!D261</f>
        <v>194000.00000000262</v>
      </c>
      <c r="Y14" s="8">
        <f t="shared" si="14"/>
        <v>0.19400000000000261</v>
      </c>
      <c r="Z14" s="10">
        <f t="shared" si="15"/>
        <v>0.59558000000000799</v>
      </c>
      <c r="AA14" s="15"/>
      <c r="AB14" s="7">
        <f t="shared" si="16"/>
        <v>14532999.999999996</v>
      </c>
      <c r="AC14" s="8">
        <f t="shared" si="16"/>
        <v>14.532999999999998</v>
      </c>
      <c r="AD14" s="8">
        <f t="shared" si="16"/>
        <v>44.616309999999991</v>
      </c>
    </row>
    <row r="15" spans="1:30" x14ac:dyDescent="0.25">
      <c r="A15" s="27">
        <v>38453</v>
      </c>
      <c r="B15" s="7">
        <f>'[6]Apr Prod'!I14</f>
        <v>8000000</v>
      </c>
      <c r="C15" s="8">
        <f t="shared" si="1"/>
        <v>8</v>
      </c>
      <c r="D15" s="10">
        <f t="shared" si="2"/>
        <v>24.56</v>
      </c>
      <c r="E15" s="7">
        <f>'[6]Apr Prod'!E14</f>
        <v>9000000</v>
      </c>
      <c r="F15" s="8">
        <f t="shared" si="3"/>
        <v>9</v>
      </c>
      <c r="G15" s="10">
        <f t="shared" si="4"/>
        <v>27.63</v>
      </c>
      <c r="H15" s="7">
        <f>'[6]Apr Prod'!F14</f>
        <v>0</v>
      </c>
      <c r="I15" s="8">
        <f t="shared" si="0"/>
        <v>0</v>
      </c>
      <c r="J15" s="10">
        <f t="shared" si="5"/>
        <v>0</v>
      </c>
      <c r="K15" s="7">
        <f>'[6]Apr Prod'!H262</f>
        <v>939109</v>
      </c>
      <c r="L15" s="8">
        <f t="shared" si="6"/>
        <v>0.93910899999999997</v>
      </c>
      <c r="M15" s="10">
        <f t="shared" si="7"/>
        <v>2.8830646299999998</v>
      </c>
      <c r="N15" s="21"/>
      <c r="O15" s="7">
        <f>'[6]Apr Prod'!H14</f>
        <v>8002000.0000000047</v>
      </c>
      <c r="P15" s="8">
        <f t="shared" si="8"/>
        <v>8.0020000000000042</v>
      </c>
      <c r="Q15" s="10">
        <f t="shared" si="9"/>
        <v>24.566140000000011</v>
      </c>
      <c r="R15" s="7">
        <f>'[6]Apr Prod'!C14</f>
        <v>8266000</v>
      </c>
      <c r="S15" s="8">
        <f t="shared" si="17"/>
        <v>8.266</v>
      </c>
      <c r="T15" s="10">
        <f t="shared" si="18"/>
        <v>25.376619999999999</v>
      </c>
      <c r="U15" s="7">
        <f>'[6]Apr Prod'!D14</f>
        <v>0</v>
      </c>
      <c r="V15" s="8">
        <f t="shared" si="12"/>
        <v>0</v>
      </c>
      <c r="W15" s="10">
        <f t="shared" si="13"/>
        <v>0</v>
      </c>
      <c r="X15" s="7">
        <f>'[6]Apr Prod'!D262</f>
        <v>263999.99999999581</v>
      </c>
      <c r="Y15" s="8">
        <f t="shared" si="14"/>
        <v>0.26399999999999579</v>
      </c>
      <c r="Z15" s="10">
        <f t="shared" si="15"/>
        <v>0.81047999999998699</v>
      </c>
      <c r="AA15" s="15"/>
      <c r="AB15" s="7">
        <f t="shared" si="16"/>
        <v>16002000.000000004</v>
      </c>
      <c r="AC15" s="8">
        <f t="shared" si="16"/>
        <v>16.002000000000002</v>
      </c>
      <c r="AD15" s="8">
        <f t="shared" si="16"/>
        <v>49.126140000000007</v>
      </c>
    </row>
    <row r="16" spans="1:30" x14ac:dyDescent="0.25">
      <c r="A16" s="27">
        <v>38454</v>
      </c>
      <c r="B16" s="7">
        <f>'[6]Apr Prod'!I15</f>
        <v>8800000.0000029095</v>
      </c>
      <c r="C16" s="8">
        <f t="shared" si="1"/>
        <v>8.8000000000029086</v>
      </c>
      <c r="D16" s="10">
        <f t="shared" si="2"/>
        <v>27.01600000000893</v>
      </c>
      <c r="E16" s="7">
        <f>'[6]Apr Prod'!E15</f>
        <v>10000000</v>
      </c>
      <c r="F16" s="8">
        <f t="shared" si="3"/>
        <v>10</v>
      </c>
      <c r="G16" s="10">
        <f t="shared" si="4"/>
        <v>30.7</v>
      </c>
      <c r="H16" s="7">
        <f>'[6]Apr Prod'!F15</f>
        <v>0</v>
      </c>
      <c r="I16" s="8">
        <f t="shared" si="0"/>
        <v>0</v>
      </c>
      <c r="J16" s="10">
        <f t="shared" si="5"/>
        <v>0</v>
      </c>
      <c r="K16" s="7">
        <f>'[6]Apr Prod'!H263</f>
        <v>983544</v>
      </c>
      <c r="L16" s="8">
        <f t="shared" si="6"/>
        <v>0.98354399999999997</v>
      </c>
      <c r="M16" s="10">
        <f t="shared" si="7"/>
        <v>3.0194800799999997</v>
      </c>
      <c r="N16" s="21"/>
      <c r="O16" s="7">
        <f>'[6]Apr Prod'!H15</f>
        <v>10790999.999999998</v>
      </c>
      <c r="P16" s="8">
        <f t="shared" si="8"/>
        <v>10.790999999999999</v>
      </c>
      <c r="Q16" s="10">
        <f t="shared" si="9"/>
        <v>33.128369999999997</v>
      </c>
      <c r="R16" s="7">
        <f>'[6]Apr Prod'!C15</f>
        <v>11049000</v>
      </c>
      <c r="S16" s="8">
        <f t="shared" si="17"/>
        <v>11.048999999999999</v>
      </c>
      <c r="T16" s="10">
        <f t="shared" si="18"/>
        <v>33.920429999999996</v>
      </c>
      <c r="U16" s="7">
        <f>'[6]Apr Prod'!D15</f>
        <v>0</v>
      </c>
      <c r="V16" s="8">
        <f t="shared" si="12"/>
        <v>0</v>
      </c>
      <c r="W16" s="10">
        <f t="shared" si="13"/>
        <v>0</v>
      </c>
      <c r="X16" s="7">
        <f>'[6]Apr Prod'!D263</f>
        <v>258000.00000000268</v>
      </c>
      <c r="Y16" s="8">
        <f t="shared" si="14"/>
        <v>0.25800000000000267</v>
      </c>
      <c r="Z16" s="10">
        <f t="shared" si="15"/>
        <v>0.7920600000000082</v>
      </c>
      <c r="AA16" s="15"/>
      <c r="AB16" s="7">
        <f t="shared" si="16"/>
        <v>19591000.000002906</v>
      </c>
      <c r="AC16" s="8">
        <f t="shared" si="16"/>
        <v>19.591000000002907</v>
      </c>
      <c r="AD16" s="8">
        <f t="shared" si="16"/>
        <v>60.144370000008927</v>
      </c>
    </row>
    <row r="17" spans="1:30" x14ac:dyDescent="0.25">
      <c r="A17" s="27">
        <v>38455</v>
      </c>
      <c r="B17" s="7">
        <f>'[6]Apr Prod'!I16</f>
        <v>12199999.999997091</v>
      </c>
      <c r="C17" s="8">
        <f t="shared" si="1"/>
        <v>12.199999999997091</v>
      </c>
      <c r="D17" s="10">
        <f t="shared" si="2"/>
        <v>37.453999999991069</v>
      </c>
      <c r="E17" s="7">
        <f>'[6]Apr Prod'!E16</f>
        <v>15000000</v>
      </c>
      <c r="F17" s="8">
        <f t="shared" si="3"/>
        <v>15</v>
      </c>
      <c r="G17" s="10">
        <f t="shared" si="4"/>
        <v>46.05</v>
      </c>
      <c r="H17" s="7">
        <f>'[6]Apr Prod'!F16</f>
        <v>0</v>
      </c>
      <c r="I17" s="8">
        <f t="shared" si="0"/>
        <v>0</v>
      </c>
      <c r="J17" s="10">
        <f t="shared" si="5"/>
        <v>0</v>
      </c>
      <c r="K17" s="7">
        <f>'[6]Apr Prod'!H264</f>
        <v>1510846</v>
      </c>
      <c r="L17" s="8">
        <f t="shared" si="6"/>
        <v>1.5108459999999999</v>
      </c>
      <c r="M17" s="10">
        <f t="shared" si="7"/>
        <v>4.6382972199999992</v>
      </c>
      <c r="N17" s="21"/>
      <c r="O17" s="7">
        <f>'[6]Apr Prod'!H16</f>
        <v>3491000.0000000023</v>
      </c>
      <c r="P17" s="8">
        <f t="shared" si="8"/>
        <v>3.4910000000000023</v>
      </c>
      <c r="Q17" s="10">
        <f t="shared" si="9"/>
        <v>10.717370000000006</v>
      </c>
      <c r="R17" s="7">
        <f>'[6]Apr Prod'!C16</f>
        <v>3806000</v>
      </c>
      <c r="S17" s="8">
        <f t="shared" si="10"/>
        <v>3.806</v>
      </c>
      <c r="T17" s="10">
        <f t="shared" si="11"/>
        <v>11.684419999999999</v>
      </c>
      <c r="U17" s="7">
        <f>'[6]Apr Prod'!D16</f>
        <v>0</v>
      </c>
      <c r="V17" s="8">
        <f t="shared" si="12"/>
        <v>0</v>
      </c>
      <c r="W17" s="10">
        <f t="shared" si="13"/>
        <v>0</v>
      </c>
      <c r="X17" s="7">
        <f>'[6]Apr Prod'!D264</f>
        <v>314999.99999999773</v>
      </c>
      <c r="Y17" s="8">
        <f t="shared" si="14"/>
        <v>0.31499999999999773</v>
      </c>
      <c r="Z17" s="10">
        <f t="shared" si="15"/>
        <v>0.96704999999999297</v>
      </c>
      <c r="AA17" s="15"/>
      <c r="AB17" s="7">
        <f t="shared" si="16"/>
        <v>15690999.999997092</v>
      </c>
      <c r="AC17" s="8">
        <f t="shared" si="16"/>
        <v>15.690999999997093</v>
      </c>
      <c r="AD17" s="8">
        <f t="shared" si="16"/>
        <v>48.171369999991072</v>
      </c>
    </row>
    <row r="18" spans="1:30" x14ac:dyDescent="0.25">
      <c r="A18" s="27">
        <v>38456</v>
      </c>
      <c r="B18" s="7">
        <f>'[6]Apr Prod'!I17</f>
        <v>18900000.000001457</v>
      </c>
      <c r="C18" s="8">
        <f t="shared" si="1"/>
        <v>18.900000000001455</v>
      </c>
      <c r="D18" s="10">
        <f t="shared" si="2"/>
        <v>58.023000000004465</v>
      </c>
      <c r="E18" s="7">
        <f>'[6]Apr Prod'!E17</f>
        <v>21000000</v>
      </c>
      <c r="F18" s="8">
        <f t="shared" si="3"/>
        <v>21</v>
      </c>
      <c r="G18" s="10">
        <f t="shared" si="4"/>
        <v>64.47</v>
      </c>
      <c r="H18" s="7">
        <f>'[6]Apr Prod'!F17</f>
        <v>70000</v>
      </c>
      <c r="I18" s="8">
        <f t="shared" si="0"/>
        <v>7.0000000000000007E-2</v>
      </c>
      <c r="J18" s="10">
        <f t="shared" si="5"/>
        <v>0.21490000000000001</v>
      </c>
      <c r="K18" s="7">
        <f>'[6]Apr Prod'!H265</f>
        <v>2155425</v>
      </c>
      <c r="L18" s="8">
        <f t="shared" si="6"/>
        <v>2.1554250000000001</v>
      </c>
      <c r="M18" s="10">
        <f t="shared" si="7"/>
        <v>6.6171547500000001</v>
      </c>
      <c r="N18" s="21"/>
      <c r="O18" s="7">
        <f>'[6]Apr Prod'!H17</f>
        <v>0</v>
      </c>
      <c r="P18" s="8">
        <f t="shared" si="8"/>
        <v>0</v>
      </c>
      <c r="Q18" s="10">
        <f t="shared" si="9"/>
        <v>0</v>
      </c>
      <c r="R18" s="7">
        <f>'[6]Apr Prod'!C17</f>
        <v>0</v>
      </c>
      <c r="S18" s="8">
        <f t="shared" si="10"/>
        <v>0</v>
      </c>
      <c r="T18" s="10">
        <f t="shared" si="11"/>
        <v>0</v>
      </c>
      <c r="U18" s="7">
        <f>'[6]Apr Prod'!D17</f>
        <v>0</v>
      </c>
      <c r="V18" s="8">
        <f t="shared" si="12"/>
        <v>0</v>
      </c>
      <c r="W18" s="10">
        <f t="shared" si="13"/>
        <v>0</v>
      </c>
      <c r="X18" s="7">
        <f>'[6]Apr Prod'!D265</f>
        <v>0</v>
      </c>
      <c r="Y18" s="8">
        <f t="shared" si="14"/>
        <v>0</v>
      </c>
      <c r="Z18" s="10">
        <f t="shared" si="15"/>
        <v>0</v>
      </c>
      <c r="AA18" s="15"/>
      <c r="AB18" s="7">
        <f t="shared" si="16"/>
        <v>18900000.000001457</v>
      </c>
      <c r="AC18" s="8">
        <f t="shared" si="16"/>
        <v>18.900000000001455</v>
      </c>
      <c r="AD18" s="8">
        <f t="shared" si="16"/>
        <v>58.023000000004465</v>
      </c>
    </row>
    <row r="19" spans="1:30" x14ac:dyDescent="0.25">
      <c r="A19" s="27">
        <v>38457</v>
      </c>
      <c r="B19" s="7">
        <f>'[6]Apr Prod'!I18</f>
        <v>16799999.999999274</v>
      </c>
      <c r="C19" s="8">
        <f t="shared" si="1"/>
        <v>16.799999999999272</v>
      </c>
      <c r="D19" s="10">
        <f t="shared" si="2"/>
        <v>51.575999999997762</v>
      </c>
      <c r="E19" s="7">
        <f>'[6]Apr Prod'!E18</f>
        <v>19000000</v>
      </c>
      <c r="F19" s="8">
        <f t="shared" si="3"/>
        <v>19</v>
      </c>
      <c r="G19" s="10">
        <f t="shared" si="4"/>
        <v>58.33</v>
      </c>
      <c r="H19" s="7">
        <f>'[6]Apr Prod'!F18</f>
        <v>220000</v>
      </c>
      <c r="I19" s="8">
        <f t="shared" si="0"/>
        <v>0.22</v>
      </c>
      <c r="J19" s="10">
        <f t="shared" si="5"/>
        <v>0.6754</v>
      </c>
      <c r="K19" s="7">
        <f>'[6]Apr Prod'!H266</f>
        <v>1888407</v>
      </c>
      <c r="L19" s="8">
        <f t="shared" si="6"/>
        <v>1.8884069999999999</v>
      </c>
      <c r="M19" s="10">
        <f t="shared" si="7"/>
        <v>5.7974094899999997</v>
      </c>
      <c r="N19" s="21"/>
      <c r="O19" s="7">
        <f>'[6]Apr Prod'!H18</f>
        <v>0</v>
      </c>
      <c r="P19" s="8">
        <f t="shared" si="8"/>
        <v>0</v>
      </c>
      <c r="Q19" s="10">
        <f t="shared" si="9"/>
        <v>0</v>
      </c>
      <c r="R19" s="7">
        <f>'[6]Apr Prod'!C18</f>
        <v>0</v>
      </c>
      <c r="S19" s="8">
        <f t="shared" si="10"/>
        <v>0</v>
      </c>
      <c r="T19" s="10">
        <f t="shared" si="11"/>
        <v>0</v>
      </c>
      <c r="U19" s="7">
        <f>'[6]Apr Prod'!D18</f>
        <v>0</v>
      </c>
      <c r="V19" s="8">
        <f t="shared" si="12"/>
        <v>0</v>
      </c>
      <c r="W19" s="10">
        <f t="shared" si="13"/>
        <v>0</v>
      </c>
      <c r="X19" s="7">
        <f>'[6]Apr Prod'!D266</f>
        <v>0</v>
      </c>
      <c r="Y19" s="8">
        <f t="shared" si="14"/>
        <v>0</v>
      </c>
      <c r="Z19" s="10">
        <f t="shared" si="15"/>
        <v>0</v>
      </c>
      <c r="AA19" s="15"/>
      <c r="AB19" s="7">
        <f t="shared" si="16"/>
        <v>16799999.999999274</v>
      </c>
      <c r="AC19" s="8">
        <f t="shared" si="16"/>
        <v>16.799999999999272</v>
      </c>
      <c r="AD19" s="8">
        <f>D19+Q19</f>
        <v>51.575999999997762</v>
      </c>
    </row>
    <row r="20" spans="1:30" x14ac:dyDescent="0.25">
      <c r="A20" s="27">
        <v>38458</v>
      </c>
      <c r="B20" s="7">
        <f>'[6]Apr Prod'!I19</f>
        <v>13299999.999999272</v>
      </c>
      <c r="C20" s="8">
        <f t="shared" si="1"/>
        <v>13.299999999999272</v>
      </c>
      <c r="D20" s="10">
        <f t="shared" si="2"/>
        <v>40.830999999997765</v>
      </c>
      <c r="E20" s="7">
        <f>'[6]Apr Prod'!E19</f>
        <v>16000000</v>
      </c>
      <c r="F20" s="8">
        <f t="shared" si="3"/>
        <v>16</v>
      </c>
      <c r="G20" s="10">
        <f t="shared" si="4"/>
        <v>49.12</v>
      </c>
      <c r="H20" s="7">
        <f>'[6]Apr Prod'!F19</f>
        <v>0</v>
      </c>
      <c r="I20" s="8">
        <f t="shared" si="0"/>
        <v>0</v>
      </c>
      <c r="J20" s="10">
        <f t="shared" si="5"/>
        <v>0</v>
      </c>
      <c r="K20" s="7">
        <f>'[6]Apr Prod'!H267</f>
        <v>1594633</v>
      </c>
      <c r="L20" s="8">
        <f t="shared" si="6"/>
        <v>1.594633</v>
      </c>
      <c r="M20" s="10">
        <f t="shared" si="7"/>
        <v>4.8955233099999997</v>
      </c>
      <c r="N20" s="21"/>
      <c r="O20" s="7">
        <f>'[6]Apr Prod'!H19</f>
        <v>0</v>
      </c>
      <c r="P20" s="8">
        <f t="shared" si="8"/>
        <v>0</v>
      </c>
      <c r="Q20" s="10">
        <f t="shared" si="9"/>
        <v>0</v>
      </c>
      <c r="R20" s="7">
        <f>'[6]Apr Prod'!C19</f>
        <v>0</v>
      </c>
      <c r="S20" s="8">
        <f t="shared" si="10"/>
        <v>0</v>
      </c>
      <c r="T20" s="10">
        <f t="shared" si="11"/>
        <v>0</v>
      </c>
      <c r="U20" s="7">
        <f>'[6]Apr Prod'!D19</f>
        <v>0</v>
      </c>
      <c r="V20" s="8">
        <f t="shared" si="12"/>
        <v>0</v>
      </c>
      <c r="W20" s="10">
        <f t="shared" si="13"/>
        <v>0</v>
      </c>
      <c r="X20" s="7">
        <f>'[6]Apr Prod'!D267</f>
        <v>0</v>
      </c>
      <c r="Y20" s="8">
        <f t="shared" si="14"/>
        <v>0</v>
      </c>
      <c r="Z20" s="10">
        <f t="shared" si="15"/>
        <v>0</v>
      </c>
      <c r="AA20" s="15"/>
      <c r="AB20" s="7">
        <f t="shared" si="16"/>
        <v>13299999.999999272</v>
      </c>
      <c r="AC20" s="8">
        <f t="shared" si="16"/>
        <v>13.299999999999272</v>
      </c>
      <c r="AD20" s="8">
        <f t="shared" si="16"/>
        <v>40.830999999997765</v>
      </c>
    </row>
    <row r="21" spans="1:30" x14ac:dyDescent="0.25">
      <c r="A21" s="27">
        <v>38459</v>
      </c>
      <c r="B21" s="7">
        <f>'[6]Apr Prod'!I20</f>
        <v>11400000.000001455</v>
      </c>
      <c r="C21" s="8">
        <f t="shared" si="1"/>
        <v>11.400000000001455</v>
      </c>
      <c r="D21" s="10">
        <f t="shared" si="2"/>
        <v>34.998000000004467</v>
      </c>
      <c r="E21" s="7">
        <f>'[6]Apr Prod'!E20</f>
        <v>13000000</v>
      </c>
      <c r="F21" s="8">
        <f t="shared" si="3"/>
        <v>13</v>
      </c>
      <c r="G21" s="10">
        <f t="shared" si="4"/>
        <v>39.909999999999997</v>
      </c>
      <c r="H21" s="7">
        <f>'[6]Apr Prod'!F20</f>
        <v>0</v>
      </c>
      <c r="I21" s="8">
        <f t="shared" si="0"/>
        <v>0</v>
      </c>
      <c r="J21" s="10">
        <f t="shared" si="5"/>
        <v>0</v>
      </c>
      <c r="K21" s="7">
        <f>'[6]Apr Prod'!H268</f>
        <v>1438555</v>
      </c>
      <c r="L21" s="8">
        <f t="shared" si="6"/>
        <v>1.438555</v>
      </c>
      <c r="M21" s="10">
        <f t="shared" si="7"/>
        <v>4.4163638499999998</v>
      </c>
      <c r="N21" s="21"/>
      <c r="O21" s="7">
        <f>'[6]Apr Prod'!H20</f>
        <v>0</v>
      </c>
      <c r="P21" s="8">
        <f t="shared" si="8"/>
        <v>0</v>
      </c>
      <c r="Q21" s="10">
        <f t="shared" si="9"/>
        <v>0</v>
      </c>
      <c r="R21" s="7">
        <f>'[6]Apr Prod'!C20</f>
        <v>0</v>
      </c>
      <c r="S21" s="8">
        <f t="shared" si="10"/>
        <v>0</v>
      </c>
      <c r="T21" s="10">
        <f t="shared" si="11"/>
        <v>0</v>
      </c>
      <c r="U21" s="7">
        <f>'[6]Apr Prod'!D20</f>
        <v>0</v>
      </c>
      <c r="V21" s="8">
        <f t="shared" si="12"/>
        <v>0</v>
      </c>
      <c r="W21" s="10">
        <f t="shared" si="13"/>
        <v>0</v>
      </c>
      <c r="X21" s="7">
        <f>'[6]Apr Prod'!D268</f>
        <v>0</v>
      </c>
      <c r="Y21" s="8">
        <f t="shared" si="14"/>
        <v>0</v>
      </c>
      <c r="Z21" s="10">
        <f t="shared" si="15"/>
        <v>0</v>
      </c>
      <c r="AA21" s="15"/>
      <c r="AB21" s="7">
        <f t="shared" si="16"/>
        <v>11400000.000001455</v>
      </c>
      <c r="AC21" s="8">
        <f t="shared" si="16"/>
        <v>11.400000000001455</v>
      </c>
      <c r="AD21" s="8">
        <f t="shared" si="16"/>
        <v>34.998000000004467</v>
      </c>
    </row>
    <row r="22" spans="1:30" x14ac:dyDescent="0.25">
      <c r="A22" s="27">
        <v>38460</v>
      </c>
      <c r="B22" s="7">
        <f>'[6]Apr Prod'!I21</f>
        <v>11099999.999998545</v>
      </c>
      <c r="C22" s="8">
        <f t="shared" si="1"/>
        <v>11.099999999998545</v>
      </c>
      <c r="D22" s="10">
        <f t="shared" si="2"/>
        <v>34.076999999995529</v>
      </c>
      <c r="E22" s="7">
        <f>'[6]Apr Prod'!E21</f>
        <v>13000000</v>
      </c>
      <c r="F22" s="8">
        <f t="shared" si="3"/>
        <v>13</v>
      </c>
      <c r="G22" s="10">
        <f t="shared" si="4"/>
        <v>39.909999999999997</v>
      </c>
      <c r="H22" s="7">
        <f>'[6]Apr Prod'!F21</f>
        <v>0</v>
      </c>
      <c r="I22" s="8">
        <f t="shared" si="0"/>
        <v>0</v>
      </c>
      <c r="J22" s="10">
        <f t="shared" si="5"/>
        <v>0</v>
      </c>
      <c r="K22" s="7">
        <f>'[6]Apr Prod'!H269</f>
        <v>1380661</v>
      </c>
      <c r="L22" s="8">
        <f t="shared" si="6"/>
        <v>1.3806609999999999</v>
      </c>
      <c r="M22" s="10">
        <f t="shared" si="7"/>
        <v>4.2386292699999997</v>
      </c>
      <c r="N22" s="21"/>
      <c r="O22" s="7">
        <f>'[6]Apr Prod'!H21</f>
        <v>0</v>
      </c>
      <c r="P22" s="8">
        <f t="shared" si="8"/>
        <v>0</v>
      </c>
      <c r="Q22" s="10">
        <f t="shared" si="9"/>
        <v>0</v>
      </c>
      <c r="R22" s="7">
        <f>'[6]Apr Prod'!C21</f>
        <v>0</v>
      </c>
      <c r="S22" s="8">
        <f t="shared" si="10"/>
        <v>0</v>
      </c>
      <c r="T22" s="10">
        <f t="shared" si="11"/>
        <v>0</v>
      </c>
      <c r="U22" s="7">
        <f>'[6]Apr Prod'!D21</f>
        <v>0</v>
      </c>
      <c r="V22" s="8">
        <f t="shared" si="12"/>
        <v>0</v>
      </c>
      <c r="W22" s="10">
        <f t="shared" si="13"/>
        <v>0</v>
      </c>
      <c r="X22" s="7">
        <f>'[6]Apr Prod'!D269</f>
        <v>0</v>
      </c>
      <c r="Y22" s="8">
        <f t="shared" si="14"/>
        <v>0</v>
      </c>
      <c r="Z22" s="10">
        <f t="shared" si="15"/>
        <v>0</v>
      </c>
      <c r="AA22" s="15"/>
      <c r="AB22" s="7">
        <f t="shared" si="16"/>
        <v>11099999.999998545</v>
      </c>
      <c r="AC22" s="8">
        <f t="shared" si="16"/>
        <v>11.099999999998545</v>
      </c>
      <c r="AD22" s="8">
        <f t="shared" si="16"/>
        <v>34.076999999995529</v>
      </c>
    </row>
    <row r="23" spans="1:30" x14ac:dyDescent="0.25">
      <c r="A23" s="27">
        <v>38461</v>
      </c>
      <c r="B23" s="7">
        <f>'[6]Apr Prod'!I22</f>
        <v>13400000.000001455</v>
      </c>
      <c r="C23" s="8">
        <f t="shared" si="1"/>
        <v>13.400000000001455</v>
      </c>
      <c r="D23" s="10">
        <f t="shared" si="2"/>
        <v>41.138000000004467</v>
      </c>
      <c r="E23" s="7">
        <f>'[6]Apr Prod'!E22</f>
        <v>15000000</v>
      </c>
      <c r="F23" s="8">
        <f t="shared" si="3"/>
        <v>15</v>
      </c>
      <c r="G23" s="10">
        <f t="shared" si="4"/>
        <v>46.05</v>
      </c>
      <c r="H23" s="7">
        <f>'[6]Apr Prod'!F22</f>
        <v>0</v>
      </c>
      <c r="I23" s="8">
        <f t="shared" si="0"/>
        <v>0</v>
      </c>
      <c r="J23" s="10">
        <f t="shared" si="5"/>
        <v>0</v>
      </c>
      <c r="K23" s="7">
        <f>'[6]Apr Prod'!H270</f>
        <v>1583886</v>
      </c>
      <c r="L23" s="8">
        <f t="shared" si="6"/>
        <v>1.5838859999999999</v>
      </c>
      <c r="M23" s="10">
        <f t="shared" si="7"/>
        <v>4.8625300199999995</v>
      </c>
      <c r="N23" s="21"/>
      <c r="O23" s="7">
        <f>'[6]Apr Prod'!H22</f>
        <v>0</v>
      </c>
      <c r="P23" s="8">
        <f t="shared" si="8"/>
        <v>0</v>
      </c>
      <c r="Q23" s="10">
        <f t="shared" si="9"/>
        <v>0</v>
      </c>
      <c r="R23" s="7">
        <f>'[6]Apr Prod'!C22</f>
        <v>0</v>
      </c>
      <c r="S23" s="8">
        <f t="shared" si="10"/>
        <v>0</v>
      </c>
      <c r="T23" s="10">
        <f t="shared" si="11"/>
        <v>0</v>
      </c>
      <c r="U23" s="7">
        <f>'[6]Apr Prod'!D22</f>
        <v>0</v>
      </c>
      <c r="V23" s="8">
        <f t="shared" si="12"/>
        <v>0</v>
      </c>
      <c r="W23" s="10">
        <f t="shared" si="13"/>
        <v>0</v>
      </c>
      <c r="X23" s="7">
        <f>'[6]Apr Prod'!D270</f>
        <v>0</v>
      </c>
      <c r="Y23" s="8">
        <f t="shared" si="14"/>
        <v>0</v>
      </c>
      <c r="Z23" s="10">
        <f t="shared" si="15"/>
        <v>0</v>
      </c>
      <c r="AA23" s="15"/>
      <c r="AB23" s="7">
        <f t="shared" si="16"/>
        <v>13400000.000001455</v>
      </c>
      <c r="AC23" s="8">
        <f t="shared" si="16"/>
        <v>13.400000000001455</v>
      </c>
      <c r="AD23" s="8">
        <f t="shared" si="16"/>
        <v>41.138000000004467</v>
      </c>
    </row>
    <row r="24" spans="1:30" x14ac:dyDescent="0.25">
      <c r="A24" s="27">
        <v>38462</v>
      </c>
      <c r="B24" s="7">
        <f>'[6]Apr Prod'!I23</f>
        <v>13500000</v>
      </c>
      <c r="C24" s="8">
        <f t="shared" si="1"/>
        <v>13.5</v>
      </c>
      <c r="D24" s="10">
        <f t="shared" si="2"/>
        <v>41.445</v>
      </c>
      <c r="E24" s="7">
        <f>'[6]Apr Prod'!E23</f>
        <v>16000000</v>
      </c>
      <c r="F24" s="8">
        <f t="shared" si="3"/>
        <v>16</v>
      </c>
      <c r="G24" s="10">
        <f t="shared" si="4"/>
        <v>49.12</v>
      </c>
      <c r="H24" s="7">
        <f>'[6]Apr Prod'!F23</f>
        <v>0</v>
      </c>
      <c r="I24" s="8">
        <f t="shared" si="0"/>
        <v>0</v>
      </c>
      <c r="J24" s="10">
        <f t="shared" si="5"/>
        <v>0</v>
      </c>
      <c r="K24" s="7">
        <f>'[6]Apr Prod'!H271</f>
        <v>1684104</v>
      </c>
      <c r="L24" s="8">
        <f t="shared" si="6"/>
        <v>1.684104</v>
      </c>
      <c r="M24" s="10">
        <f t="shared" si="7"/>
        <v>5.1701992800000003</v>
      </c>
      <c r="N24" s="21"/>
      <c r="O24" s="7">
        <f>'[6]Apr Prod'!H23</f>
        <v>0</v>
      </c>
      <c r="P24" s="8">
        <f t="shared" si="8"/>
        <v>0</v>
      </c>
      <c r="Q24" s="10">
        <f t="shared" si="9"/>
        <v>0</v>
      </c>
      <c r="R24" s="7">
        <f>'[6]Apr Prod'!C23</f>
        <v>0</v>
      </c>
      <c r="S24" s="8">
        <f t="shared" si="10"/>
        <v>0</v>
      </c>
      <c r="T24" s="10">
        <f t="shared" si="11"/>
        <v>0</v>
      </c>
      <c r="U24" s="7">
        <f>'[6]Apr Prod'!D23</f>
        <v>0</v>
      </c>
      <c r="V24" s="8">
        <f t="shared" si="12"/>
        <v>0</v>
      </c>
      <c r="W24" s="10">
        <f t="shared" si="13"/>
        <v>0</v>
      </c>
      <c r="X24" s="7">
        <f>'[6]Apr Prod'!D271</f>
        <v>0</v>
      </c>
      <c r="Y24" s="8">
        <f t="shared" si="14"/>
        <v>0</v>
      </c>
      <c r="Z24" s="10">
        <f t="shared" si="15"/>
        <v>0</v>
      </c>
      <c r="AA24" s="15"/>
      <c r="AB24" s="7">
        <f t="shared" si="16"/>
        <v>13500000</v>
      </c>
      <c r="AC24" s="8">
        <f t="shared" si="16"/>
        <v>13.5</v>
      </c>
      <c r="AD24" s="8">
        <f>D24+Q24</f>
        <v>41.445</v>
      </c>
    </row>
    <row r="25" spans="1:30" x14ac:dyDescent="0.25">
      <c r="A25" s="27">
        <v>38463</v>
      </c>
      <c r="B25" s="7">
        <f>'[6]Apr Prod'!I24</f>
        <v>14500000</v>
      </c>
      <c r="C25" s="8">
        <f t="shared" si="1"/>
        <v>14.5</v>
      </c>
      <c r="D25" s="10">
        <f t="shared" si="2"/>
        <v>44.515000000000001</v>
      </c>
      <c r="E25" s="7">
        <f>'[6]Apr Prod'!E24</f>
        <v>16000000</v>
      </c>
      <c r="F25" s="8">
        <f t="shared" si="3"/>
        <v>16</v>
      </c>
      <c r="G25" s="10">
        <f t="shared" si="4"/>
        <v>49.12</v>
      </c>
      <c r="H25" s="7">
        <f>'[6]Apr Prod'!F24</f>
        <v>0</v>
      </c>
      <c r="I25" s="8">
        <f t="shared" si="0"/>
        <v>0</v>
      </c>
      <c r="J25" s="10">
        <f t="shared" si="5"/>
        <v>0</v>
      </c>
      <c r="K25" s="7">
        <f>'[6]Apr Prod'!H272</f>
        <v>1761007</v>
      </c>
      <c r="L25" s="8">
        <f t="shared" si="6"/>
        <v>1.761007</v>
      </c>
      <c r="M25" s="10">
        <f t="shared" si="7"/>
        <v>5.4062914900000001</v>
      </c>
      <c r="N25" s="21"/>
      <c r="O25" s="7">
        <f>'[6]Apr Prod'!H24</f>
        <v>0</v>
      </c>
      <c r="P25" s="8">
        <f t="shared" si="8"/>
        <v>0</v>
      </c>
      <c r="Q25" s="10">
        <f t="shared" si="9"/>
        <v>0</v>
      </c>
      <c r="R25" s="7">
        <f>'[6]Apr Prod'!C24</f>
        <v>0</v>
      </c>
      <c r="S25" s="8">
        <f t="shared" si="10"/>
        <v>0</v>
      </c>
      <c r="T25" s="10">
        <f t="shared" si="11"/>
        <v>0</v>
      </c>
      <c r="U25" s="7">
        <f>'[6]Apr Prod'!D24</f>
        <v>0</v>
      </c>
      <c r="V25" s="8">
        <f t="shared" si="12"/>
        <v>0</v>
      </c>
      <c r="W25" s="10">
        <f t="shared" si="13"/>
        <v>0</v>
      </c>
      <c r="X25" s="7">
        <f>'[6]Apr Prod'!D272</f>
        <v>548999.99999999953</v>
      </c>
      <c r="Y25" s="8">
        <f t="shared" si="14"/>
        <v>0.54899999999999949</v>
      </c>
      <c r="Z25" s="10">
        <f t="shared" si="15"/>
        <v>1.6854299999999984</v>
      </c>
      <c r="AA25" s="15"/>
      <c r="AB25" s="7">
        <f t="shared" si="16"/>
        <v>14500000</v>
      </c>
      <c r="AC25" s="8">
        <f t="shared" si="16"/>
        <v>14.5</v>
      </c>
      <c r="AD25" s="8">
        <f t="shared" si="16"/>
        <v>44.515000000000001</v>
      </c>
    </row>
    <row r="26" spans="1:30" x14ac:dyDescent="0.25">
      <c r="A26" s="27">
        <v>38464</v>
      </c>
      <c r="B26" s="7">
        <f>'[6]Apr Prod'!I25</f>
        <v>13799999.999999272</v>
      </c>
      <c r="C26" s="8">
        <f t="shared" si="1"/>
        <v>13.799999999999272</v>
      </c>
      <c r="D26" s="10">
        <f t="shared" si="2"/>
        <v>42.365999999997761</v>
      </c>
      <c r="E26" s="7">
        <f>'[6]Apr Prod'!E25</f>
        <v>16000000</v>
      </c>
      <c r="F26" s="8">
        <f t="shared" si="3"/>
        <v>16</v>
      </c>
      <c r="G26" s="10">
        <f t="shared" si="4"/>
        <v>49.12</v>
      </c>
      <c r="H26" s="7">
        <f>'[6]Apr Prod'!F25</f>
        <v>0</v>
      </c>
      <c r="I26" s="8">
        <f t="shared" si="0"/>
        <v>0</v>
      </c>
      <c r="J26" s="10">
        <f t="shared" si="5"/>
        <v>0</v>
      </c>
      <c r="K26" s="7">
        <f>'[6]Apr Prod'!H273</f>
        <v>1724639</v>
      </c>
      <c r="L26" s="8">
        <f t="shared" si="6"/>
        <v>1.724639</v>
      </c>
      <c r="M26" s="10">
        <f t="shared" si="7"/>
        <v>5.2946417299999995</v>
      </c>
      <c r="N26" s="21"/>
      <c r="O26" s="7">
        <f>'[6]Apr Prod'!H25</f>
        <v>0</v>
      </c>
      <c r="P26" s="8">
        <f t="shared" si="8"/>
        <v>0</v>
      </c>
      <c r="Q26" s="10">
        <f t="shared" si="9"/>
        <v>0</v>
      </c>
      <c r="R26" s="7">
        <f>'[6]Apr Prod'!C25</f>
        <v>0</v>
      </c>
      <c r="S26" s="8">
        <f t="shared" si="10"/>
        <v>0</v>
      </c>
      <c r="T26" s="10">
        <f t="shared" si="11"/>
        <v>0</v>
      </c>
      <c r="U26" s="7">
        <f>'[6]Apr Prod'!D25</f>
        <v>0</v>
      </c>
      <c r="V26" s="8">
        <f t="shared" si="12"/>
        <v>0</v>
      </c>
      <c r="W26" s="10">
        <f t="shared" si="13"/>
        <v>0</v>
      </c>
      <c r="X26" s="7">
        <f>'[6]Apr Prod'!D273</f>
        <v>174999.99999999715</v>
      </c>
      <c r="Y26" s="8">
        <f t="shared" si="14"/>
        <v>0.17499999999999716</v>
      </c>
      <c r="Z26" s="10">
        <f t="shared" si="15"/>
        <v>0.53724999999999123</v>
      </c>
      <c r="AA26" s="15"/>
      <c r="AB26" s="7">
        <f t="shared" si="16"/>
        <v>13799999.999999272</v>
      </c>
      <c r="AC26" s="8">
        <f t="shared" si="16"/>
        <v>13.799999999999272</v>
      </c>
      <c r="AD26" s="8">
        <f t="shared" si="16"/>
        <v>42.365999999997761</v>
      </c>
    </row>
    <row r="27" spans="1:30" x14ac:dyDescent="0.25">
      <c r="A27" s="27">
        <v>38465</v>
      </c>
      <c r="B27" s="7">
        <f>'[6]Apr Prod'!I26</f>
        <v>15100000.000002183</v>
      </c>
      <c r="C27" s="8">
        <f t="shared" si="1"/>
        <v>15.100000000002183</v>
      </c>
      <c r="D27" s="10">
        <f t="shared" si="2"/>
        <v>46.3570000000067</v>
      </c>
      <c r="E27" s="7">
        <f>'[6]Apr Prod'!E26</f>
        <v>17000000</v>
      </c>
      <c r="F27" s="8">
        <f t="shared" si="3"/>
        <v>17</v>
      </c>
      <c r="G27" s="10">
        <f t="shared" si="4"/>
        <v>52.19</v>
      </c>
      <c r="H27" s="7">
        <f>'[6]Apr Prod'!F26</f>
        <v>0</v>
      </c>
      <c r="I27" s="8">
        <f t="shared" si="0"/>
        <v>0</v>
      </c>
      <c r="J27" s="10">
        <f t="shared" si="5"/>
        <v>0</v>
      </c>
      <c r="K27" s="7">
        <f>'[6]Apr Prod'!H274</f>
        <v>1786143</v>
      </c>
      <c r="L27" s="8">
        <f t="shared" si="6"/>
        <v>1.786143</v>
      </c>
      <c r="M27" s="10">
        <f t="shared" si="7"/>
        <v>5.4834590099999998</v>
      </c>
      <c r="N27" s="21"/>
      <c r="O27" s="7">
        <f>'[6]Apr Prod'!H26</f>
        <v>3734000.0000000028</v>
      </c>
      <c r="P27" s="8">
        <f t="shared" si="8"/>
        <v>3.7340000000000027</v>
      </c>
      <c r="Q27" s="10">
        <f t="shared" si="9"/>
        <v>11.463380000000008</v>
      </c>
      <c r="R27" s="7">
        <f>'[6]Apr Prod'!C26</f>
        <v>3845000</v>
      </c>
      <c r="S27" s="8">
        <f t="shared" si="10"/>
        <v>3.8450000000000002</v>
      </c>
      <c r="T27" s="10">
        <f t="shared" si="11"/>
        <v>11.80415</v>
      </c>
      <c r="U27" s="7">
        <f>'[6]Apr Prod'!D26</f>
        <v>0</v>
      </c>
      <c r="V27" s="8">
        <f t="shared" si="12"/>
        <v>0</v>
      </c>
      <c r="W27" s="10">
        <f t="shared" si="13"/>
        <v>0</v>
      </c>
      <c r="X27" s="7">
        <f>'[6]Apr Prod'!D274</f>
        <v>110999.9999999971</v>
      </c>
      <c r="Y27" s="8">
        <f t="shared" si="14"/>
        <v>0.1109999999999971</v>
      </c>
      <c r="Z27" s="10">
        <f t="shared" si="15"/>
        <v>0.34076999999999108</v>
      </c>
      <c r="AA27" s="15"/>
      <c r="AB27" s="7">
        <f t="shared" si="16"/>
        <v>18834000.000002187</v>
      </c>
      <c r="AC27" s="8">
        <f t="shared" si="16"/>
        <v>18.834000000002185</v>
      </c>
      <c r="AD27" s="8">
        <f t="shared" si="16"/>
        <v>57.820380000006708</v>
      </c>
    </row>
    <row r="28" spans="1:30" x14ac:dyDescent="0.25">
      <c r="A28" s="27">
        <v>38466</v>
      </c>
      <c r="B28" s="7">
        <f>'[6]Apr Prod'!I27</f>
        <v>10099999.999998545</v>
      </c>
      <c r="C28" s="8">
        <f t="shared" si="1"/>
        <v>10.099999999998545</v>
      </c>
      <c r="D28" s="10">
        <f t="shared" si="2"/>
        <v>31.006999999995532</v>
      </c>
      <c r="E28" s="7">
        <f>'[6]Apr Prod'!E27</f>
        <v>12000000</v>
      </c>
      <c r="F28" s="8">
        <f t="shared" si="3"/>
        <v>12</v>
      </c>
      <c r="G28" s="10">
        <f t="shared" si="4"/>
        <v>36.839999999999996</v>
      </c>
      <c r="H28" s="7">
        <f>'[6]Apr Prod'!F27</f>
        <v>0</v>
      </c>
      <c r="I28" s="8">
        <f t="shared" si="0"/>
        <v>0</v>
      </c>
      <c r="J28" s="10">
        <f t="shared" si="5"/>
        <v>0</v>
      </c>
      <c r="K28" s="7">
        <f>'[6]Apr Prod'!H275</f>
        <v>1350828</v>
      </c>
      <c r="L28" s="8">
        <f t="shared" si="6"/>
        <v>1.3508279999999999</v>
      </c>
      <c r="M28" s="10">
        <f t="shared" si="7"/>
        <v>4.1470419599999992</v>
      </c>
      <c r="N28" s="21"/>
      <c r="O28" s="7">
        <f>'[6]Apr Prod'!H27</f>
        <v>5724000</v>
      </c>
      <c r="P28" s="8">
        <f t="shared" si="8"/>
        <v>5.7240000000000002</v>
      </c>
      <c r="Q28" s="10">
        <f t="shared" si="9"/>
        <v>17.572679999999998</v>
      </c>
      <c r="R28" s="7">
        <f>'[6]Apr Prod'!C27</f>
        <v>5983000</v>
      </c>
      <c r="S28" s="8">
        <f t="shared" si="10"/>
        <v>5.9829999999999997</v>
      </c>
      <c r="T28" s="10">
        <f t="shared" si="11"/>
        <v>18.367809999999999</v>
      </c>
      <c r="U28" s="7">
        <f>'[6]Apr Prod'!D27</f>
        <v>0</v>
      </c>
      <c r="V28" s="8">
        <f t="shared" si="12"/>
        <v>0</v>
      </c>
      <c r="W28" s="10">
        <f t="shared" si="13"/>
        <v>0</v>
      </c>
      <c r="X28" s="7">
        <f>'[6]Apr Prod'!D275</f>
        <v>259000.00000000035</v>
      </c>
      <c r="Y28" s="8">
        <f t="shared" si="14"/>
        <v>0.25900000000000034</v>
      </c>
      <c r="Z28" s="10">
        <f t="shared" si="15"/>
        <v>0.795130000000001</v>
      </c>
      <c r="AA28" s="15"/>
      <c r="AB28" s="7">
        <f t="shared" si="16"/>
        <v>15823999.999998545</v>
      </c>
      <c r="AC28" s="8">
        <f t="shared" si="16"/>
        <v>15.823999999998545</v>
      </c>
      <c r="AD28" s="8">
        <f t="shared" si="16"/>
        <v>48.579679999995534</v>
      </c>
    </row>
    <row r="29" spans="1:30" x14ac:dyDescent="0.25">
      <c r="A29" s="27">
        <v>38467</v>
      </c>
      <c r="B29" s="7">
        <f>'[6]Apr Prod'!I28</f>
        <v>11200000.000000728</v>
      </c>
      <c r="C29" s="8">
        <f t="shared" si="1"/>
        <v>11.200000000000728</v>
      </c>
      <c r="D29" s="10">
        <f t="shared" si="2"/>
        <v>34.384000000002231</v>
      </c>
      <c r="E29" s="7">
        <f>'[6]Apr Prod'!E28</f>
        <v>13000000</v>
      </c>
      <c r="F29" s="8">
        <f t="shared" si="3"/>
        <v>13</v>
      </c>
      <c r="G29" s="10">
        <f t="shared" si="4"/>
        <v>39.909999999999997</v>
      </c>
      <c r="H29" s="7">
        <f>'[6]Apr Prod'!F28</f>
        <v>0</v>
      </c>
      <c r="I29" s="8">
        <f t="shared" si="0"/>
        <v>0</v>
      </c>
      <c r="J29" s="10">
        <f t="shared" si="5"/>
        <v>0</v>
      </c>
      <c r="K29" s="7">
        <f>'[6]Apr Prod'!H276</f>
        <v>1506826</v>
      </c>
      <c r="L29" s="8">
        <f t="shared" si="6"/>
        <v>1.506826</v>
      </c>
      <c r="M29" s="10">
        <f t="shared" si="7"/>
        <v>4.6259558199999997</v>
      </c>
      <c r="N29" s="21"/>
      <c r="O29" s="7">
        <f>'[6]Apr Prod'!H28</f>
        <v>5731999.9999999972</v>
      </c>
      <c r="P29" s="8">
        <f t="shared" si="8"/>
        <v>5.7319999999999975</v>
      </c>
      <c r="Q29" s="10">
        <f t="shared" si="9"/>
        <v>17.597239999999992</v>
      </c>
      <c r="R29" s="7">
        <f>'[6]Apr Prod'!C28</f>
        <v>6054000</v>
      </c>
      <c r="S29" s="8">
        <f t="shared" si="10"/>
        <v>6.0540000000000003</v>
      </c>
      <c r="T29" s="10">
        <f t="shared" si="11"/>
        <v>18.58578</v>
      </c>
      <c r="U29" s="7">
        <f>'[6]Apr Prod'!D28</f>
        <v>0</v>
      </c>
      <c r="V29" s="8">
        <f t="shared" si="12"/>
        <v>0</v>
      </c>
      <c r="W29" s="10">
        <f t="shared" si="13"/>
        <v>0</v>
      </c>
      <c r="X29" s="7">
        <f>'[6]Apr Prod'!D276</f>
        <v>322000.00000000274</v>
      </c>
      <c r="Y29" s="8">
        <f t="shared" si="14"/>
        <v>0.32200000000000273</v>
      </c>
      <c r="Z29" s="10">
        <f t="shared" si="15"/>
        <v>0.9885400000000083</v>
      </c>
      <c r="AA29" s="15"/>
      <c r="AB29" s="7">
        <f t="shared" si="16"/>
        <v>16932000.000000726</v>
      </c>
      <c r="AC29" s="8">
        <f t="shared" si="16"/>
        <v>16.932000000000727</v>
      </c>
      <c r="AD29" s="8">
        <f t="shared" si="16"/>
        <v>51.981240000002224</v>
      </c>
    </row>
    <row r="30" spans="1:30" x14ac:dyDescent="0.25">
      <c r="A30" s="27">
        <v>38468</v>
      </c>
      <c r="B30" s="7">
        <f>'[6]Apr Prod'!I29</f>
        <v>12200000.000000728</v>
      </c>
      <c r="C30" s="8">
        <f t="shared" si="1"/>
        <v>12.200000000000728</v>
      </c>
      <c r="D30" s="10">
        <f t="shared" si="2"/>
        <v>37.454000000002232</v>
      </c>
      <c r="E30" s="7">
        <f>'[6]Apr Prod'!E29</f>
        <v>14000000</v>
      </c>
      <c r="F30" s="8">
        <f t="shared" si="3"/>
        <v>14</v>
      </c>
      <c r="G30" s="10">
        <f t="shared" si="4"/>
        <v>42.98</v>
      </c>
      <c r="H30" s="7">
        <f>'[6]Apr Prod'!F29</f>
        <v>0</v>
      </c>
      <c r="I30" s="8">
        <f t="shared" si="0"/>
        <v>0</v>
      </c>
      <c r="J30" s="10">
        <f t="shared" si="5"/>
        <v>0</v>
      </c>
      <c r="K30" s="7">
        <f>'[6]Apr Prod'!H277</f>
        <v>1475637</v>
      </c>
      <c r="L30" s="8">
        <f t="shared" si="6"/>
        <v>1.4756370000000001</v>
      </c>
      <c r="M30" s="10">
        <f t="shared" si="7"/>
        <v>4.5302055900000004</v>
      </c>
      <c r="N30" s="21"/>
      <c r="O30" s="7">
        <f>'[6]Apr Prod'!H29</f>
        <v>5870000.0000000019</v>
      </c>
      <c r="P30" s="8">
        <f t="shared" si="8"/>
        <v>5.8700000000000019</v>
      </c>
      <c r="Q30" s="10">
        <f t="shared" si="9"/>
        <v>18.020900000000005</v>
      </c>
      <c r="R30" s="7">
        <f>'[6]Apr Prod'!C29</f>
        <v>5935000</v>
      </c>
      <c r="S30" s="8">
        <f t="shared" si="10"/>
        <v>5.9349999999999996</v>
      </c>
      <c r="T30" s="10">
        <f t="shared" si="11"/>
        <v>18.22045</v>
      </c>
      <c r="U30" s="7">
        <f>'[6]Apr Prod'!D29</f>
        <v>0</v>
      </c>
      <c r="V30" s="8">
        <f t="shared" si="12"/>
        <v>0</v>
      </c>
      <c r="W30" s="10">
        <f t="shared" si="13"/>
        <v>0</v>
      </c>
      <c r="X30" s="7">
        <f>'[6]Apr Prod'!D277</f>
        <v>64999.99999999773</v>
      </c>
      <c r="Y30" s="8">
        <f t="shared" si="14"/>
        <v>6.4999999999997726E-2</v>
      </c>
      <c r="Z30" s="10">
        <f t="shared" si="15"/>
        <v>0.19954999999999301</v>
      </c>
      <c r="AA30" s="15"/>
      <c r="AB30" s="7">
        <f t="shared" si="16"/>
        <v>18070000.00000073</v>
      </c>
      <c r="AC30" s="8">
        <f t="shared" si="16"/>
        <v>18.070000000000729</v>
      </c>
      <c r="AD30" s="8">
        <f>D30+Q30</f>
        <v>55.474900000002236</v>
      </c>
    </row>
    <row r="31" spans="1:30" x14ac:dyDescent="0.25">
      <c r="A31" s="27">
        <v>38469</v>
      </c>
      <c r="B31" s="7">
        <f>'[6]Apr Prod'!I30</f>
        <v>7099999.9999985453</v>
      </c>
      <c r="C31" s="8">
        <f t="shared" si="1"/>
        <v>7.0999999999985457</v>
      </c>
      <c r="D31" s="10">
        <f t="shared" si="2"/>
        <v>21.796999999995535</v>
      </c>
      <c r="E31" s="7">
        <f>'[6]Apr Prod'!E30</f>
        <v>8000000</v>
      </c>
      <c r="F31" s="8">
        <f t="shared" si="3"/>
        <v>8</v>
      </c>
      <c r="G31" s="10">
        <f t="shared" si="4"/>
        <v>24.56</v>
      </c>
      <c r="H31" s="7">
        <f>'[6]Apr Prod'!F30</f>
        <v>0</v>
      </c>
      <c r="I31" s="8">
        <f t="shared" si="0"/>
        <v>0</v>
      </c>
      <c r="J31" s="10">
        <f t="shared" si="5"/>
        <v>0</v>
      </c>
      <c r="K31" s="7">
        <f>'[6]Apr Prod'!H278</f>
        <v>902312</v>
      </c>
      <c r="L31" s="8">
        <f t="shared" si="6"/>
        <v>0.902312</v>
      </c>
      <c r="M31" s="10">
        <f t="shared" si="7"/>
        <v>2.77009784</v>
      </c>
      <c r="N31" s="21"/>
      <c r="O31" s="7">
        <f>'[6]Apr Prod'!H30</f>
        <v>5574999.9999999963</v>
      </c>
      <c r="P31" s="8">
        <f t="shared" si="8"/>
        <v>5.5749999999999966</v>
      </c>
      <c r="Q31" s="10">
        <f t="shared" si="9"/>
        <v>17.115249999999989</v>
      </c>
      <c r="R31" s="7">
        <f>'[6]Apr Prod'!C30</f>
        <v>5976000</v>
      </c>
      <c r="S31" s="8">
        <f t="shared" si="10"/>
        <v>5.976</v>
      </c>
      <c r="T31" s="10">
        <f t="shared" si="11"/>
        <v>18.346319999999999</v>
      </c>
      <c r="U31" s="7">
        <f>'[6]Apr Prod'!D30</f>
        <v>0</v>
      </c>
      <c r="V31" s="8">
        <f t="shared" si="12"/>
        <v>0</v>
      </c>
      <c r="W31" s="10">
        <f t="shared" si="13"/>
        <v>0</v>
      </c>
      <c r="X31" s="7">
        <f>'[6]Apr Prod'!D278</f>
        <v>401000.00000000338</v>
      </c>
      <c r="Y31" s="8">
        <f t="shared" si="14"/>
        <v>0.40100000000000335</v>
      </c>
      <c r="Z31" s="10">
        <f t="shared" si="15"/>
        <v>1.2310700000000103</v>
      </c>
      <c r="AA31" s="15"/>
      <c r="AB31" s="7">
        <f t="shared" si="16"/>
        <v>12674999.999998542</v>
      </c>
      <c r="AC31" s="8">
        <f t="shared" si="16"/>
        <v>12.674999999998542</v>
      </c>
      <c r="AD31" s="8">
        <f t="shared" si="16"/>
        <v>38.912249999995524</v>
      </c>
    </row>
    <row r="32" spans="1:30" x14ac:dyDescent="0.25">
      <c r="A32" s="27">
        <v>38470</v>
      </c>
      <c r="B32" s="7">
        <f>'[6]Apr Prod'!I31</f>
        <v>5400000.0000014547</v>
      </c>
      <c r="C32" s="8">
        <f t="shared" si="1"/>
        <v>5.4000000000014543</v>
      </c>
      <c r="D32" s="10">
        <f t="shared" si="2"/>
        <v>16.578000000004465</v>
      </c>
      <c r="E32" s="7">
        <f>'[6]Apr Prod'!E31</f>
        <v>7000000</v>
      </c>
      <c r="F32" s="8">
        <f t="shared" si="3"/>
        <v>7</v>
      </c>
      <c r="G32" s="10">
        <f t="shared" si="4"/>
        <v>21.49</v>
      </c>
      <c r="H32" s="7">
        <f>'[6]Apr Prod'!F31</f>
        <v>0</v>
      </c>
      <c r="I32" s="8">
        <f t="shared" si="0"/>
        <v>0</v>
      </c>
      <c r="J32" s="10">
        <f t="shared" si="5"/>
        <v>0</v>
      </c>
      <c r="K32" s="7">
        <f>'[6]Apr Prod'!H279</f>
        <v>774624</v>
      </c>
      <c r="L32" s="8">
        <f t="shared" si="6"/>
        <v>0.77462399999999998</v>
      </c>
      <c r="M32" s="10">
        <f t="shared" si="7"/>
        <v>2.3780956799999999</v>
      </c>
      <c r="N32" s="21"/>
      <c r="O32" s="7">
        <f>'[6]Apr Prod'!H31</f>
        <v>5841000.0000000019</v>
      </c>
      <c r="P32" s="8">
        <f t="shared" si="8"/>
        <v>5.841000000000002</v>
      </c>
      <c r="Q32" s="10">
        <f t="shared" si="9"/>
        <v>17.931870000000004</v>
      </c>
      <c r="R32" s="7">
        <f>'[6]Apr Prod'!C31</f>
        <v>6043000</v>
      </c>
      <c r="S32" s="8">
        <f t="shared" si="10"/>
        <v>6.0430000000000001</v>
      </c>
      <c r="T32" s="10">
        <f t="shared" si="11"/>
        <v>18.552009999999999</v>
      </c>
      <c r="U32" s="7">
        <f>'[6]Apr Prod'!D31</f>
        <v>0</v>
      </c>
      <c r="V32" s="8">
        <f t="shared" si="12"/>
        <v>0</v>
      </c>
      <c r="W32" s="10">
        <f t="shared" si="13"/>
        <v>0</v>
      </c>
      <c r="X32" s="7">
        <f>'[6]Apr Prod'!D279</f>
        <v>201999.9999999982</v>
      </c>
      <c r="Y32" s="8">
        <f t="shared" si="14"/>
        <v>0.20199999999999821</v>
      </c>
      <c r="Z32" s="10">
        <f t="shared" si="15"/>
        <v>0.62013999999999447</v>
      </c>
      <c r="AA32" s="15"/>
      <c r="AB32" s="7">
        <f t="shared" si="16"/>
        <v>11241000.000001457</v>
      </c>
      <c r="AC32" s="8">
        <f t="shared" si="16"/>
        <v>11.241000000001456</v>
      </c>
      <c r="AD32" s="8">
        <f t="shared" si="16"/>
        <v>34.509870000004469</v>
      </c>
    </row>
    <row r="33" spans="1:32" x14ac:dyDescent="0.25">
      <c r="A33" s="27">
        <v>38471</v>
      </c>
      <c r="B33" s="7">
        <f>'[6]Apr Prod'!I32</f>
        <v>8899999.999997817</v>
      </c>
      <c r="C33" s="8">
        <f t="shared" si="1"/>
        <v>8.8999999999978172</v>
      </c>
      <c r="D33" s="10">
        <f t="shared" si="2"/>
        <v>27.322999999993296</v>
      </c>
      <c r="E33" s="7">
        <f>'[6]Apr Prod'!E32</f>
        <v>10000000</v>
      </c>
      <c r="F33" s="8">
        <f t="shared" si="3"/>
        <v>10</v>
      </c>
      <c r="G33" s="10">
        <f t="shared" si="4"/>
        <v>30.7</v>
      </c>
      <c r="H33" s="7">
        <f>'[6]Apr Prod'!F32</f>
        <v>0</v>
      </c>
      <c r="I33" s="8">
        <f t="shared" si="0"/>
        <v>0</v>
      </c>
      <c r="J33" s="10">
        <f t="shared" si="5"/>
        <v>0</v>
      </c>
      <c r="K33" s="7">
        <f>'[6]Apr Prod'!H280</f>
        <v>1280056</v>
      </c>
      <c r="L33" s="8">
        <f t="shared" si="6"/>
        <v>1.2800560000000001</v>
      </c>
      <c r="M33" s="10">
        <f t="shared" si="7"/>
        <v>3.9297719199999999</v>
      </c>
      <c r="N33" s="21"/>
      <c r="O33" s="7">
        <f>'[6]Apr Prod'!H32</f>
        <v>8370000.0000000019</v>
      </c>
      <c r="P33" s="8">
        <f t="shared" si="8"/>
        <v>8.370000000000001</v>
      </c>
      <c r="Q33" s="10">
        <f t="shared" si="9"/>
        <v>25.695900000000002</v>
      </c>
      <c r="R33" s="7">
        <f>'[6]Apr Prod'!C32</f>
        <v>8694000</v>
      </c>
      <c r="S33" s="8">
        <f t="shared" si="10"/>
        <v>8.6940000000000008</v>
      </c>
      <c r="T33" s="10">
        <f t="shared" si="11"/>
        <v>26.690580000000001</v>
      </c>
      <c r="U33" s="7">
        <f>'[6]Apr Prod'!D32</f>
        <v>0</v>
      </c>
      <c r="V33" s="8">
        <f t="shared" si="12"/>
        <v>0</v>
      </c>
      <c r="W33" s="10">
        <f t="shared" si="13"/>
        <v>0</v>
      </c>
      <c r="X33" s="7">
        <f>'[6]Apr Prod'!D280</f>
        <v>323999.99999999808</v>
      </c>
      <c r="Y33" s="8">
        <f t="shared" si="14"/>
        <v>0.32399999999999807</v>
      </c>
      <c r="Z33" s="10">
        <f t="shared" si="15"/>
        <v>0.99467999999999401</v>
      </c>
      <c r="AA33" s="15"/>
      <c r="AB33" s="7">
        <f t="shared" si="16"/>
        <v>17269999.999997817</v>
      </c>
      <c r="AC33" s="8">
        <f t="shared" si="16"/>
        <v>17.269999999997818</v>
      </c>
      <c r="AD33" s="8">
        <f t="shared" si="16"/>
        <v>53.018899999993295</v>
      </c>
    </row>
    <row r="34" spans="1:32" ht="13.8" thickBot="1" x14ac:dyDescent="0.3">
      <c r="A34" s="27">
        <v>38472</v>
      </c>
      <c r="B34" s="7">
        <f>'[6]Apr Prod'!I33</f>
        <v>10000000</v>
      </c>
      <c r="C34" s="8">
        <f t="shared" si="1"/>
        <v>10</v>
      </c>
      <c r="D34" s="10">
        <f t="shared" si="2"/>
        <v>30.7</v>
      </c>
      <c r="E34" s="7">
        <f>'[6]Apr Prod'!E33</f>
        <v>12000000</v>
      </c>
      <c r="F34" s="8">
        <f t="shared" si="3"/>
        <v>12</v>
      </c>
      <c r="G34" s="10">
        <f t="shared" si="4"/>
        <v>36.839999999999996</v>
      </c>
      <c r="H34" s="7">
        <f>'[6]Apr Prod'!F33</f>
        <v>0</v>
      </c>
      <c r="I34" s="8">
        <f t="shared" si="0"/>
        <v>0</v>
      </c>
      <c r="J34" s="10">
        <f t="shared" si="5"/>
        <v>0</v>
      </c>
      <c r="K34" s="7">
        <f>'[6]Apr Prod'!H281</f>
        <v>1436812</v>
      </c>
      <c r="L34" s="8">
        <f t="shared" si="6"/>
        <v>1.436812</v>
      </c>
      <c r="M34" s="10">
        <f t="shared" si="7"/>
        <v>4.4110128399999997</v>
      </c>
      <c r="N34" s="21"/>
      <c r="O34" s="7">
        <f>'[6]Apr Prod'!H33</f>
        <v>9965000</v>
      </c>
      <c r="P34" s="8">
        <f t="shared" si="8"/>
        <v>9.9649999999999999</v>
      </c>
      <c r="Q34" s="10">
        <f t="shared" si="9"/>
        <v>30.592549999999999</v>
      </c>
      <c r="R34" s="7">
        <f>'[6]Apr Prod'!C33</f>
        <v>10236000</v>
      </c>
      <c r="S34" s="8">
        <f t="shared" si="10"/>
        <v>10.236000000000001</v>
      </c>
      <c r="T34" s="10">
        <f t="shared" si="11"/>
        <v>31.424520000000001</v>
      </c>
      <c r="U34" s="7">
        <f>'[6]Apr Prod'!D33</f>
        <v>0</v>
      </c>
      <c r="V34" s="8">
        <f t="shared" si="12"/>
        <v>0</v>
      </c>
      <c r="W34" s="10">
        <f t="shared" si="13"/>
        <v>0</v>
      </c>
      <c r="X34" s="7">
        <f>'[6]Apr Prod'!D281</f>
        <v>271000.00000000081</v>
      </c>
      <c r="Y34" s="8">
        <f t="shared" si="14"/>
        <v>0.2710000000000008</v>
      </c>
      <c r="Z34" s="10">
        <f t="shared" si="15"/>
        <v>0.83197000000000243</v>
      </c>
      <c r="AA34" s="15"/>
      <c r="AB34" s="7">
        <f t="shared" si="16"/>
        <v>19965000</v>
      </c>
      <c r="AC34" s="8">
        <f t="shared" si="16"/>
        <v>19.965</v>
      </c>
      <c r="AD34" s="8">
        <f t="shared" si="16"/>
        <v>61.292549999999999</v>
      </c>
    </row>
    <row r="35" spans="1:32" ht="13.8" thickBot="1" x14ac:dyDescent="0.3">
      <c r="A35" s="3"/>
      <c r="B35" s="38"/>
      <c r="C35" s="39">
        <f>SUM(C5:C34)</f>
        <v>294.70000000000073</v>
      </c>
      <c r="D35" s="39">
        <f>SUM(D5:D34)</f>
        <v>904.72900000000209</v>
      </c>
      <c r="E35" s="38"/>
      <c r="F35" s="39">
        <f>SUM(F5:F34)</f>
        <v>343</v>
      </c>
      <c r="G35" s="39">
        <f>SUM(G5:G34)</f>
        <v>1053.01</v>
      </c>
      <c r="H35" s="38"/>
      <c r="I35" s="39">
        <f>SUM(I5:I34)</f>
        <v>0.29000000000000004</v>
      </c>
      <c r="J35" s="39">
        <f>SUM(J5:J34)</f>
        <v>0.89029999999999998</v>
      </c>
      <c r="K35" s="38"/>
      <c r="L35" s="39">
        <f>SUM(L5:L34)</f>
        <v>37.441882000000014</v>
      </c>
      <c r="M35" s="39">
        <f>SUM(M5:M34)</f>
        <v>114.94657773999998</v>
      </c>
      <c r="N35" s="14"/>
      <c r="O35" s="38"/>
      <c r="P35" s="39">
        <f>SUM(P5:P34)</f>
        <v>148.25000000000003</v>
      </c>
      <c r="Q35" s="39">
        <f>SUM(Q5:Q34)</f>
        <v>455.12750000000005</v>
      </c>
      <c r="R35" s="38"/>
      <c r="S35" s="39">
        <f>SUM(S5:S34)</f>
        <v>153.34300000000002</v>
      </c>
      <c r="T35" s="39">
        <f>SUM(T5:T34)</f>
        <v>470.76301000000001</v>
      </c>
      <c r="U35" s="38"/>
      <c r="V35" s="39">
        <f>SUM(V5:V34)</f>
        <v>0</v>
      </c>
      <c r="W35" s="39">
        <f>SUM(W5:W34)</f>
        <v>0</v>
      </c>
      <c r="X35" s="38"/>
      <c r="Y35" s="39">
        <f>SUM(Y5:Y34)</f>
        <v>5.8169999999999931</v>
      </c>
      <c r="Z35" s="39">
        <f>SUM(Z5:Z34)</f>
        <v>17.858189999999979</v>
      </c>
      <c r="AA35" s="14"/>
      <c r="AB35" s="38">
        <f t="shared" si="16"/>
        <v>0</v>
      </c>
      <c r="AC35" s="39">
        <f t="shared" si="16"/>
        <v>442.95000000000073</v>
      </c>
      <c r="AD35" s="39">
        <f t="shared" si="16"/>
        <v>1359.8565000000021</v>
      </c>
      <c r="AF35" s="18"/>
    </row>
    <row r="36" spans="1:32" x14ac:dyDescent="0.25">
      <c r="C36" s="18"/>
      <c r="E36" s="3"/>
      <c r="F36" s="3"/>
      <c r="G36" s="3"/>
      <c r="H36" s="3"/>
      <c r="I36" s="3"/>
      <c r="J36" s="15"/>
      <c r="K36" s="14"/>
      <c r="L36" s="3"/>
      <c r="M36" s="3"/>
      <c r="N36" s="3"/>
      <c r="O36" s="3"/>
      <c r="P36" s="3"/>
      <c r="Q36" s="3"/>
      <c r="R36" s="3"/>
      <c r="S36" s="3"/>
      <c r="T36" s="3"/>
      <c r="U36" s="14"/>
      <c r="AB36" s="23"/>
      <c r="AC36" s="30"/>
      <c r="AD36" s="23"/>
    </row>
  </sheetData>
  <mergeCells count="9">
    <mergeCell ref="R3:T3"/>
    <mergeCell ref="U3:W3"/>
    <mergeCell ref="AB3:AD3"/>
    <mergeCell ref="B3:D3"/>
    <mergeCell ref="E3:G3"/>
    <mergeCell ref="H3:J3"/>
    <mergeCell ref="O3:Q3"/>
    <mergeCell ref="K3:M3"/>
    <mergeCell ref="X3:Z3"/>
  </mergeCells>
  <phoneticPr fontId="1" type="noConversion"/>
  <pageMargins left="0.34" right="0.43" top="1" bottom="1" header="0.5" footer="0.5"/>
  <pageSetup paperSize="5" scale="54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AD37"/>
  <sheetViews>
    <sheetView workbookViewId="0">
      <pane xSplit="1" ySplit="4" topLeftCell="B13" activePane="bottomRight" state="frozen"/>
      <selection pane="topRight" activeCell="B1" sqref="B1"/>
      <selection pane="bottomLeft" activeCell="A5" sqref="A5"/>
      <selection pane="bottomRight" activeCell="L30" sqref="L30"/>
    </sheetView>
  </sheetViews>
  <sheetFormatPr defaultRowHeight="13.2" x14ac:dyDescent="0.25"/>
  <cols>
    <col min="2" max="2" width="11.44140625" customWidth="1"/>
    <col min="5" max="5" width="11.109375" customWidth="1"/>
    <col min="8" max="8" width="14.44140625" bestFit="1" customWidth="1"/>
    <col min="11" max="11" width="10.33203125" customWidth="1"/>
    <col min="12" max="12" width="11" customWidth="1"/>
    <col min="15" max="15" width="11.6640625" customWidth="1"/>
    <col min="18" max="18" width="11.33203125" customWidth="1"/>
    <col min="22" max="22" width="10.44140625" customWidth="1"/>
    <col min="24" max="24" width="11.6640625" bestFit="1" customWidth="1"/>
    <col min="28" max="28" width="13.33203125" customWidth="1"/>
  </cols>
  <sheetData>
    <row r="1" spans="1:30" x14ac:dyDescent="0.25">
      <c r="A1" s="45"/>
      <c r="B1" s="40"/>
      <c r="C1" s="25"/>
      <c r="D1" s="25"/>
      <c r="E1" s="25"/>
      <c r="F1" s="25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14"/>
      <c r="V1" s="3"/>
      <c r="W1" s="3"/>
      <c r="X1" s="3"/>
    </row>
    <row r="2" spans="1:30" ht="13.8" thickBot="1" x14ac:dyDescent="0.3">
      <c r="A2" s="3"/>
      <c r="B2" s="3"/>
      <c r="C2" s="24"/>
      <c r="D2" s="3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  <c r="V2" s="3"/>
      <c r="W2" s="3"/>
      <c r="X2" s="3"/>
    </row>
    <row r="3" spans="1:30" ht="60.75" customHeight="1" thickBot="1" x14ac:dyDescent="0.3">
      <c r="A3" s="3"/>
      <c r="B3" s="61" t="s">
        <v>10</v>
      </c>
      <c r="C3" s="62"/>
      <c r="D3" s="63"/>
      <c r="E3" s="61" t="s">
        <v>11</v>
      </c>
      <c r="F3" s="62"/>
      <c r="G3" s="63"/>
      <c r="H3" s="61" t="s">
        <v>12</v>
      </c>
      <c r="I3" s="62"/>
      <c r="J3" s="63"/>
      <c r="K3" s="61" t="s">
        <v>13</v>
      </c>
      <c r="L3" s="62"/>
      <c r="M3" s="63"/>
      <c r="N3" s="19"/>
      <c r="O3" s="61" t="s">
        <v>4</v>
      </c>
      <c r="P3" s="62"/>
      <c r="Q3" s="63"/>
      <c r="R3" s="61" t="s">
        <v>3</v>
      </c>
      <c r="S3" s="62"/>
      <c r="T3" s="63"/>
      <c r="U3" s="61" t="s">
        <v>6</v>
      </c>
      <c r="V3" s="62"/>
      <c r="W3" s="63"/>
      <c r="X3" s="61" t="s">
        <v>7</v>
      </c>
      <c r="Y3" s="62"/>
      <c r="Z3" s="63"/>
      <c r="AA3" s="19"/>
      <c r="AB3" s="58" t="s">
        <v>8</v>
      </c>
      <c r="AC3" s="59"/>
      <c r="AD3" s="60"/>
    </row>
    <row r="4" spans="1:30" x14ac:dyDescent="0.25">
      <c r="A4" s="26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4" t="s">
        <v>0</v>
      </c>
      <c r="AC4" s="5" t="s">
        <v>1</v>
      </c>
      <c r="AD4" s="6" t="s">
        <v>2</v>
      </c>
    </row>
    <row r="5" spans="1:30" x14ac:dyDescent="0.25">
      <c r="A5" s="27">
        <v>38473</v>
      </c>
      <c r="B5" s="7">
        <f>'[7]May Prod'!I4</f>
        <v>7299999.9999992726</v>
      </c>
      <c r="C5" s="8">
        <f>B5/1000000</f>
        <v>7.2999999999992724</v>
      </c>
      <c r="D5" s="10">
        <f>C5*3.07</f>
        <v>22.410999999997767</v>
      </c>
      <c r="E5" s="7">
        <f>'[7]May Prod'!E4</f>
        <v>9000000</v>
      </c>
      <c r="F5" s="8">
        <f>E5/1000000</f>
        <v>9</v>
      </c>
      <c r="G5" s="10">
        <f>F5*3.07</f>
        <v>27.63</v>
      </c>
      <c r="H5" s="7">
        <f>'[7]May Prod'!F4</f>
        <v>0</v>
      </c>
      <c r="I5" s="8">
        <f>H5/1000000</f>
        <v>0</v>
      </c>
      <c r="J5" s="10">
        <f>I5*3.07</f>
        <v>0</v>
      </c>
      <c r="K5" s="7">
        <f>'[7]May Prod'!H259</f>
        <v>1018135</v>
      </c>
      <c r="L5" s="8">
        <f>K5/1000000</f>
        <v>1.018135</v>
      </c>
      <c r="M5" s="10">
        <f>L5*3.07</f>
        <v>3.12567445</v>
      </c>
      <c r="N5" s="21"/>
      <c r="O5" s="7">
        <f>'[7]May Prod'!H4</f>
        <v>6101999.9999999991</v>
      </c>
      <c r="P5" s="8">
        <f>O5/1000000</f>
        <v>6.1019999999999994</v>
      </c>
      <c r="Q5" s="10">
        <f t="shared" ref="Q5:Q36" si="0">P5*3.07</f>
        <v>18.733139999999999</v>
      </c>
      <c r="R5" s="7">
        <f>'[7]May Prod'!C4</f>
        <v>6373000</v>
      </c>
      <c r="S5" s="8">
        <f>R5/1000000</f>
        <v>6.3730000000000002</v>
      </c>
      <c r="T5" s="10">
        <f t="shared" ref="T5:T36" si="1">S5*3.07</f>
        <v>19.565110000000001</v>
      </c>
      <c r="U5" s="7">
        <f>'[7]May Prod'!D4</f>
        <v>0</v>
      </c>
      <c r="V5" s="8">
        <f>U5/1000000</f>
        <v>0</v>
      </c>
      <c r="W5" s="10">
        <f t="shared" ref="W5:W35" si="2">V5*3.07</f>
        <v>0</v>
      </c>
      <c r="X5" s="7">
        <f>'[7]May Prod'!D259</f>
        <v>271000.00000000081</v>
      </c>
      <c r="Y5" s="8">
        <f>X5/1000000</f>
        <v>0.2710000000000008</v>
      </c>
      <c r="Z5" s="10">
        <f t="shared" ref="Z5:Z35" si="3">Y5*3.07</f>
        <v>0.83197000000000243</v>
      </c>
      <c r="AA5" s="15"/>
      <c r="AB5" s="7">
        <f>B5+O5</f>
        <v>13401999.999999272</v>
      </c>
      <c r="AC5" s="8">
        <f>C5+P5</f>
        <v>13.401999999999273</v>
      </c>
      <c r="AD5" s="8">
        <f>D5+Q5</f>
        <v>41.144139999997762</v>
      </c>
    </row>
    <row r="6" spans="1:30" x14ac:dyDescent="0.25">
      <c r="A6" s="27">
        <v>38474</v>
      </c>
      <c r="B6" s="7">
        <f>'[7]May Prod'!I5</f>
        <v>7100000.000002183</v>
      </c>
      <c r="C6" s="8">
        <f t="shared" ref="C6:C35" si="4">B6/1000000</f>
        <v>7.1000000000021828</v>
      </c>
      <c r="D6" s="10">
        <f t="shared" ref="D6:D36" si="5">C6*3.07</f>
        <v>21.797000000006701</v>
      </c>
      <c r="E6" s="7">
        <f>'[7]May Prod'!E5</f>
        <v>8000000</v>
      </c>
      <c r="F6" s="8">
        <f t="shared" ref="F6:F35" si="6">E6/1000000</f>
        <v>8</v>
      </c>
      <c r="G6" s="10">
        <f t="shared" ref="G6:G36" si="7">F6*3.07</f>
        <v>24.56</v>
      </c>
      <c r="H6" s="7">
        <f>'[7]May Prod'!F5</f>
        <v>0</v>
      </c>
      <c r="I6" s="8">
        <f t="shared" ref="I6:I35" si="8">H6/1000000</f>
        <v>0</v>
      </c>
      <c r="J6" s="10">
        <f t="shared" ref="J6:J36" si="9">I6*3.07</f>
        <v>0</v>
      </c>
      <c r="K6" s="7">
        <f>'[7]May Prod'!H260</f>
        <v>876529</v>
      </c>
      <c r="L6" s="8">
        <f t="shared" ref="L6:L35" si="10">K6/1000000</f>
        <v>0.876529</v>
      </c>
      <c r="M6" s="10">
        <f t="shared" ref="M6:M35" si="11">L6*3.07</f>
        <v>2.6909440299999998</v>
      </c>
      <c r="N6" s="21"/>
      <c r="O6" s="7">
        <f>'[7]May Prod'!H5</f>
        <v>6940999.9999999972</v>
      </c>
      <c r="P6" s="8">
        <f t="shared" ref="P6:P35" si="12">O6/1000000</f>
        <v>6.9409999999999972</v>
      </c>
      <c r="Q6" s="10">
        <f t="shared" si="0"/>
        <v>21.308869999999992</v>
      </c>
      <c r="R6" s="7">
        <f>'[7]May Prod'!C5</f>
        <v>7208000</v>
      </c>
      <c r="S6" s="8">
        <f t="shared" ref="S6:S35" si="13">R6/1000000</f>
        <v>7.2080000000000002</v>
      </c>
      <c r="T6" s="10">
        <f t="shared" si="1"/>
        <v>22.12856</v>
      </c>
      <c r="U6" s="7">
        <f>'[7]May Prod'!D5</f>
        <v>0</v>
      </c>
      <c r="V6" s="8">
        <f t="shared" ref="V6:V35" si="14">U6/1000000</f>
        <v>0</v>
      </c>
      <c r="W6" s="10">
        <f t="shared" si="2"/>
        <v>0</v>
      </c>
      <c r="X6" s="7">
        <f>'[7]May Prod'!D260</f>
        <v>267000.00000000303</v>
      </c>
      <c r="Y6" s="8">
        <f t="shared" ref="Y6:Y35" si="15">X6/1000000</f>
        <v>0.26700000000000301</v>
      </c>
      <c r="Z6" s="10">
        <f t="shared" si="3"/>
        <v>0.81969000000000924</v>
      </c>
      <c r="AA6" s="15"/>
      <c r="AB6" s="7">
        <f t="shared" ref="AB6:AD35" si="16">B6+O6</f>
        <v>14041000.000002179</v>
      </c>
      <c r="AC6" s="8">
        <f t="shared" si="16"/>
        <v>14.04100000000218</v>
      </c>
      <c r="AD6" s="8">
        <f t="shared" si="16"/>
        <v>43.105870000006689</v>
      </c>
    </row>
    <row r="7" spans="1:30" x14ac:dyDescent="0.25">
      <c r="A7" s="27">
        <v>38475</v>
      </c>
      <c r="B7" s="7">
        <f>'[7]May Prod'!I6</f>
        <v>9500000</v>
      </c>
      <c r="C7" s="8">
        <f t="shared" si="4"/>
        <v>9.5</v>
      </c>
      <c r="D7" s="10">
        <f t="shared" si="5"/>
        <v>29.164999999999999</v>
      </c>
      <c r="E7" s="7">
        <f>'[7]May Prod'!E6</f>
        <v>11000000</v>
      </c>
      <c r="F7" s="8">
        <f t="shared" si="6"/>
        <v>11</v>
      </c>
      <c r="G7" s="10">
        <f t="shared" si="7"/>
        <v>33.769999999999996</v>
      </c>
      <c r="H7" s="7">
        <f>'[7]May Prod'!F6</f>
        <v>0</v>
      </c>
      <c r="I7" s="8">
        <f t="shared" si="8"/>
        <v>0</v>
      </c>
      <c r="J7" s="10">
        <f t="shared" si="9"/>
        <v>0</v>
      </c>
      <c r="K7" s="7">
        <f>'[7]May Prod'!H261</f>
        <v>1336388</v>
      </c>
      <c r="L7" s="8">
        <f t="shared" si="10"/>
        <v>1.3363879999999999</v>
      </c>
      <c r="M7" s="10">
        <f t="shared" si="11"/>
        <v>4.1027111599999992</v>
      </c>
      <c r="N7" s="21"/>
      <c r="O7" s="7">
        <f>'[7]May Prod'!H6</f>
        <v>9650000</v>
      </c>
      <c r="P7" s="8">
        <f t="shared" si="12"/>
        <v>9.65</v>
      </c>
      <c r="Q7" s="10">
        <f t="shared" si="0"/>
        <v>29.625499999999999</v>
      </c>
      <c r="R7" s="7">
        <f>'[7]May Prod'!C6</f>
        <v>9918000</v>
      </c>
      <c r="S7" s="8">
        <f t="shared" si="13"/>
        <v>9.9179999999999993</v>
      </c>
      <c r="T7" s="10">
        <f t="shared" si="1"/>
        <v>30.448259999999998</v>
      </c>
      <c r="U7" s="7">
        <f>'[7]May Prod'!D6</f>
        <v>0</v>
      </c>
      <c r="V7" s="8">
        <f t="shared" si="14"/>
        <v>0</v>
      </c>
      <c r="W7" s="10">
        <f t="shared" si="2"/>
        <v>0</v>
      </c>
      <c r="X7" s="7">
        <f>'[7]May Prod'!D261</f>
        <v>268000.0000000007</v>
      </c>
      <c r="Y7" s="8">
        <f t="shared" si="15"/>
        <v>0.26800000000000068</v>
      </c>
      <c r="Z7" s="10">
        <f t="shared" si="3"/>
        <v>0.82276000000000205</v>
      </c>
      <c r="AA7" s="15"/>
      <c r="AB7" s="7">
        <f t="shared" si="16"/>
        <v>19150000</v>
      </c>
      <c r="AC7" s="8">
        <f t="shared" si="16"/>
        <v>19.149999999999999</v>
      </c>
      <c r="AD7" s="8">
        <f t="shared" si="16"/>
        <v>58.790499999999994</v>
      </c>
    </row>
    <row r="8" spans="1:30" x14ac:dyDescent="0.25">
      <c r="A8" s="27">
        <v>38476</v>
      </c>
      <c r="B8" s="7">
        <f>'[7]May Prod'!I7</f>
        <v>9399999.999997817</v>
      </c>
      <c r="C8" s="8">
        <f t="shared" si="4"/>
        <v>9.3999999999978172</v>
      </c>
      <c r="D8" s="10">
        <f t="shared" si="5"/>
        <v>28.857999999993297</v>
      </c>
      <c r="E8" s="7">
        <f>'[7]May Prod'!E7</f>
        <v>11000000</v>
      </c>
      <c r="F8" s="8">
        <f t="shared" si="6"/>
        <v>11</v>
      </c>
      <c r="G8" s="10">
        <f t="shared" si="7"/>
        <v>33.769999999999996</v>
      </c>
      <c r="H8" s="7">
        <f>'[7]May Prod'!F7</f>
        <v>0</v>
      </c>
      <c r="I8" s="8">
        <f t="shared" si="8"/>
        <v>0</v>
      </c>
      <c r="J8" s="10">
        <f t="shared" si="9"/>
        <v>0</v>
      </c>
      <c r="K8" s="7">
        <f>'[7]May Prod'!H262</f>
        <v>1205658</v>
      </c>
      <c r="L8" s="8">
        <f t="shared" si="10"/>
        <v>1.2056579999999999</v>
      </c>
      <c r="M8" s="10">
        <f t="shared" si="11"/>
        <v>3.7013700599999995</v>
      </c>
      <c r="N8" s="21"/>
      <c r="O8" s="7">
        <f>'[7]May Prod'!H7</f>
        <v>8531000.0000000019</v>
      </c>
      <c r="P8" s="8">
        <f t="shared" si="12"/>
        <v>8.5310000000000024</v>
      </c>
      <c r="Q8" s="10">
        <f t="shared" si="0"/>
        <v>26.190170000000006</v>
      </c>
      <c r="R8" s="7">
        <f>'[7]May Prod'!C7</f>
        <v>8794000</v>
      </c>
      <c r="S8" s="8">
        <f t="shared" si="13"/>
        <v>8.7940000000000005</v>
      </c>
      <c r="T8" s="10">
        <f t="shared" si="1"/>
        <v>26.997579999999999</v>
      </c>
      <c r="U8" s="7">
        <f>'[7]May Prod'!D7</f>
        <v>0</v>
      </c>
      <c r="V8" s="8">
        <f t="shared" si="14"/>
        <v>0</v>
      </c>
      <c r="W8" s="10">
        <f t="shared" si="2"/>
        <v>0</v>
      </c>
      <c r="X8" s="7">
        <f>'[7]May Prod'!D262</f>
        <v>262999.99999999814</v>
      </c>
      <c r="Y8" s="8">
        <f t="shared" si="15"/>
        <v>0.26299999999999812</v>
      </c>
      <c r="Z8" s="10">
        <f t="shared" si="3"/>
        <v>0.80740999999999419</v>
      </c>
      <c r="AA8" s="15"/>
      <c r="AB8" s="7">
        <f t="shared" si="16"/>
        <v>17930999.999997817</v>
      </c>
      <c r="AC8" s="8">
        <f t="shared" si="16"/>
        <v>17.93099999999782</v>
      </c>
      <c r="AD8" s="8">
        <f t="shared" si="16"/>
        <v>55.048169999993306</v>
      </c>
    </row>
    <row r="9" spans="1:30" x14ac:dyDescent="0.25">
      <c r="A9" s="27">
        <v>38477</v>
      </c>
      <c r="B9" s="7">
        <f>'[7]May Prod'!I8</f>
        <v>8500000</v>
      </c>
      <c r="C9" s="8">
        <f t="shared" si="4"/>
        <v>8.5</v>
      </c>
      <c r="D9" s="10">
        <f t="shared" si="5"/>
        <v>26.094999999999999</v>
      </c>
      <c r="E9" s="7">
        <f>'[7]May Prod'!E8</f>
        <v>10000000</v>
      </c>
      <c r="F9" s="8">
        <f t="shared" si="6"/>
        <v>10</v>
      </c>
      <c r="G9" s="10">
        <f t="shared" si="7"/>
        <v>30.7</v>
      </c>
      <c r="H9" s="7">
        <f>'[7]May Prod'!F8</f>
        <v>0</v>
      </c>
      <c r="I9" s="8">
        <f t="shared" si="8"/>
        <v>0</v>
      </c>
      <c r="J9" s="10">
        <f t="shared" si="9"/>
        <v>0</v>
      </c>
      <c r="K9" s="7">
        <f>'[7]May Prod'!H263</f>
        <v>1123865</v>
      </c>
      <c r="L9" s="8">
        <f t="shared" si="10"/>
        <v>1.1238649999999999</v>
      </c>
      <c r="M9" s="10">
        <f t="shared" si="11"/>
        <v>3.4502655499999997</v>
      </c>
      <c r="N9" s="21"/>
      <c r="O9" s="7">
        <f>'[7]May Prod'!H8</f>
        <v>5809000</v>
      </c>
      <c r="P9" s="8">
        <f t="shared" si="12"/>
        <v>5.8090000000000002</v>
      </c>
      <c r="Q9" s="10">
        <f t="shared" si="0"/>
        <v>17.833629999999999</v>
      </c>
      <c r="R9" s="7">
        <f>'[7]May Prod'!C8</f>
        <v>6007000</v>
      </c>
      <c r="S9" s="8">
        <f t="shared" si="13"/>
        <v>6.0069999999999997</v>
      </c>
      <c r="T9" s="10">
        <f t="shared" si="1"/>
        <v>18.441489999999998</v>
      </c>
      <c r="U9" s="7">
        <f>'[7]May Prod'!D8</f>
        <v>0</v>
      </c>
      <c r="V9" s="8">
        <f t="shared" si="14"/>
        <v>0</v>
      </c>
      <c r="W9" s="10">
        <f t="shared" si="2"/>
        <v>0</v>
      </c>
      <c r="X9" s="7">
        <f>'[7]May Prod'!D263</f>
        <v>198000.00000000041</v>
      </c>
      <c r="Y9" s="8">
        <f t="shared" si="15"/>
        <v>0.1980000000000004</v>
      </c>
      <c r="Z9" s="10">
        <f t="shared" si="3"/>
        <v>0.60786000000000118</v>
      </c>
      <c r="AA9" s="15"/>
      <c r="AB9" s="7">
        <f t="shared" si="16"/>
        <v>14309000</v>
      </c>
      <c r="AC9" s="8">
        <f t="shared" si="16"/>
        <v>14.309000000000001</v>
      </c>
      <c r="AD9" s="8">
        <f t="shared" si="16"/>
        <v>43.928629999999998</v>
      </c>
    </row>
    <row r="10" spans="1:30" x14ac:dyDescent="0.25">
      <c r="A10" s="27">
        <v>38478</v>
      </c>
      <c r="B10" s="7">
        <f>'[7]May Prod'!I9</f>
        <v>7600000.000002183</v>
      </c>
      <c r="C10" s="8">
        <f t="shared" si="4"/>
        <v>7.6000000000021828</v>
      </c>
      <c r="D10" s="10">
        <f t="shared" si="5"/>
        <v>23.332000000006701</v>
      </c>
      <c r="E10" s="7">
        <f>'[7]May Prod'!E9</f>
        <v>9000000</v>
      </c>
      <c r="F10" s="8">
        <f t="shared" si="6"/>
        <v>9</v>
      </c>
      <c r="G10" s="10">
        <f t="shared" si="7"/>
        <v>27.63</v>
      </c>
      <c r="H10" s="7">
        <f>'[7]May Prod'!F9</f>
        <v>0</v>
      </c>
      <c r="I10" s="8">
        <f t="shared" si="8"/>
        <v>0</v>
      </c>
      <c r="J10" s="10">
        <f t="shared" si="9"/>
        <v>0</v>
      </c>
      <c r="K10" s="7">
        <f>'[7]May Prod'!H264</f>
        <v>1093300</v>
      </c>
      <c r="L10" s="8">
        <f t="shared" si="10"/>
        <v>1.0932999999999999</v>
      </c>
      <c r="M10" s="10">
        <f t="shared" si="11"/>
        <v>3.3564309999999997</v>
      </c>
      <c r="N10" s="21"/>
      <c r="O10" s="7">
        <f>'[7]May Prod'!H9</f>
        <v>5687999.9999999991</v>
      </c>
      <c r="P10" s="8">
        <f t="shared" si="12"/>
        <v>5.6879999999999988</v>
      </c>
      <c r="Q10" s="10">
        <f t="shared" si="0"/>
        <v>17.462159999999997</v>
      </c>
      <c r="R10" s="7">
        <f>'[7]May Prod'!C9</f>
        <v>5953000</v>
      </c>
      <c r="S10" s="8">
        <f t="shared" si="13"/>
        <v>5.9530000000000003</v>
      </c>
      <c r="T10" s="10">
        <f t="shared" si="1"/>
        <v>18.27571</v>
      </c>
      <c r="U10" s="7">
        <f>'[7]May Prod'!D9</f>
        <v>0</v>
      </c>
      <c r="V10" s="8">
        <f t="shared" si="14"/>
        <v>0</v>
      </c>
      <c r="W10" s="10">
        <f t="shared" si="2"/>
        <v>0</v>
      </c>
      <c r="X10" s="7">
        <f>'[7]May Prod'!D264</f>
        <v>265000.00000000058</v>
      </c>
      <c r="Y10" s="8">
        <f t="shared" si="15"/>
        <v>0.26500000000000057</v>
      </c>
      <c r="Z10" s="10">
        <f t="shared" si="3"/>
        <v>0.81355000000000166</v>
      </c>
      <c r="AA10" s="15"/>
      <c r="AB10" s="7">
        <f t="shared" si="16"/>
        <v>13288000.000002183</v>
      </c>
      <c r="AC10" s="8">
        <f t="shared" si="16"/>
        <v>13.288000000002182</v>
      </c>
      <c r="AD10" s="8">
        <f t="shared" si="16"/>
        <v>40.794160000006698</v>
      </c>
    </row>
    <row r="11" spans="1:30" x14ac:dyDescent="0.25">
      <c r="A11" s="27">
        <v>38479</v>
      </c>
      <c r="B11" s="7">
        <f>'[7]May Prod'!I10</f>
        <v>6799999.9999992726</v>
      </c>
      <c r="C11" s="8">
        <f t="shared" si="4"/>
        <v>6.7999999999992724</v>
      </c>
      <c r="D11" s="10">
        <f t="shared" si="5"/>
        <v>20.875999999997767</v>
      </c>
      <c r="E11" s="7">
        <f>'[7]May Prod'!E10</f>
        <v>8000000</v>
      </c>
      <c r="F11" s="8">
        <f t="shared" si="6"/>
        <v>8</v>
      </c>
      <c r="G11" s="10">
        <f t="shared" si="7"/>
        <v>24.56</v>
      </c>
      <c r="H11" s="7">
        <f>'[7]May Prod'!F10</f>
        <v>0</v>
      </c>
      <c r="I11" s="8">
        <f t="shared" si="8"/>
        <v>0</v>
      </c>
      <c r="J11" s="10">
        <f t="shared" si="9"/>
        <v>0</v>
      </c>
      <c r="K11" s="7">
        <f>'[7]May Prod'!H265</f>
        <v>911334</v>
      </c>
      <c r="L11" s="8">
        <f t="shared" si="10"/>
        <v>0.91133399999999998</v>
      </c>
      <c r="M11" s="10">
        <f t="shared" si="11"/>
        <v>2.7977953799999997</v>
      </c>
      <c r="N11" s="21"/>
      <c r="O11" s="7">
        <f>'[7]May Prod'!H10</f>
        <v>5789000.0000000019</v>
      </c>
      <c r="P11" s="8">
        <f t="shared" si="12"/>
        <v>5.7890000000000015</v>
      </c>
      <c r="Q11" s="10">
        <f t="shared" si="0"/>
        <v>17.772230000000004</v>
      </c>
      <c r="R11" s="7">
        <f>'[7]May Prod'!C10</f>
        <v>5991000</v>
      </c>
      <c r="S11" s="8">
        <f t="shared" si="13"/>
        <v>5.9909999999999997</v>
      </c>
      <c r="T11" s="10">
        <f t="shared" si="1"/>
        <v>18.39237</v>
      </c>
      <c r="U11" s="7">
        <f>'[7]May Prod'!D10</f>
        <v>0</v>
      </c>
      <c r="V11" s="8">
        <f t="shared" si="14"/>
        <v>0</v>
      </c>
      <c r="W11" s="10">
        <f t="shared" si="2"/>
        <v>0</v>
      </c>
      <c r="X11" s="7">
        <f>'[7]May Prod'!D265</f>
        <v>201999.9999999982</v>
      </c>
      <c r="Y11" s="8">
        <f t="shared" si="15"/>
        <v>0.20199999999999821</v>
      </c>
      <c r="Z11" s="10">
        <f t="shared" si="3"/>
        <v>0.62013999999999447</v>
      </c>
      <c r="AA11" s="15"/>
      <c r="AB11" s="7">
        <f t="shared" si="16"/>
        <v>12588999.999999274</v>
      </c>
      <c r="AC11" s="8">
        <f t="shared" si="16"/>
        <v>12.588999999999274</v>
      </c>
      <c r="AD11" s="8">
        <f t="shared" si="16"/>
        <v>38.648229999997767</v>
      </c>
    </row>
    <row r="12" spans="1:30" x14ac:dyDescent="0.25">
      <c r="A12" s="27">
        <v>38480</v>
      </c>
      <c r="B12" s="7">
        <f>'[7]May Prod'!I11</f>
        <v>6299999.9999992726</v>
      </c>
      <c r="C12" s="8">
        <f t="shared" si="4"/>
        <v>6.2999999999992724</v>
      </c>
      <c r="D12" s="10">
        <f t="shared" si="5"/>
        <v>19.340999999997766</v>
      </c>
      <c r="E12" s="7">
        <f>'[7]May Prod'!E11</f>
        <v>8000000</v>
      </c>
      <c r="F12" s="8">
        <f t="shared" si="6"/>
        <v>8</v>
      </c>
      <c r="G12" s="10">
        <f t="shared" si="7"/>
        <v>24.56</v>
      </c>
      <c r="H12" s="7">
        <f>'[7]May Prod'!F11</f>
        <v>0</v>
      </c>
      <c r="I12" s="8">
        <f t="shared" si="8"/>
        <v>0</v>
      </c>
      <c r="J12" s="10">
        <f t="shared" si="9"/>
        <v>0</v>
      </c>
      <c r="K12" s="7">
        <f>'[7]May Prod'!H266</f>
        <v>1038123</v>
      </c>
      <c r="L12" s="8">
        <f t="shared" si="10"/>
        <v>1.0381229999999999</v>
      </c>
      <c r="M12" s="10">
        <f t="shared" si="11"/>
        <v>3.1870376099999995</v>
      </c>
      <c r="N12" s="21"/>
      <c r="O12" s="7">
        <f>'[7]May Prod'!H11</f>
        <v>6859999.9999999972</v>
      </c>
      <c r="P12" s="8">
        <f t="shared" si="12"/>
        <v>6.8599999999999968</v>
      </c>
      <c r="Q12" s="10">
        <f t="shared" si="0"/>
        <v>21.060199999999988</v>
      </c>
      <c r="R12" s="7">
        <f>'[7]May Prod'!C11</f>
        <v>7057000</v>
      </c>
      <c r="S12" s="8">
        <f t="shared" si="13"/>
        <v>7.0570000000000004</v>
      </c>
      <c r="T12" s="10">
        <f t="shared" si="1"/>
        <v>21.66499</v>
      </c>
      <c r="U12" s="7">
        <f>'[7]May Prod'!D11</f>
        <v>0</v>
      </c>
      <c r="V12" s="8">
        <f t="shared" si="14"/>
        <v>0</v>
      </c>
      <c r="W12" s="10">
        <f t="shared" si="2"/>
        <v>0</v>
      </c>
      <c r="X12" s="7">
        <f>'[7]May Prod'!D266</f>
        <v>197000.00000000274</v>
      </c>
      <c r="Y12" s="8">
        <f t="shared" si="15"/>
        <v>0.19700000000000273</v>
      </c>
      <c r="Z12" s="10">
        <f t="shared" si="3"/>
        <v>0.60479000000000838</v>
      </c>
      <c r="AA12" s="15"/>
      <c r="AB12" s="7">
        <f t="shared" si="16"/>
        <v>13159999.99999927</v>
      </c>
      <c r="AC12" s="8">
        <f t="shared" si="16"/>
        <v>13.159999999999268</v>
      </c>
      <c r="AD12" s="8">
        <f t="shared" si="16"/>
        <v>40.401199999997758</v>
      </c>
    </row>
    <row r="13" spans="1:30" x14ac:dyDescent="0.25">
      <c r="A13" s="27">
        <v>38481</v>
      </c>
      <c r="B13" s="7">
        <f>'[7]May Prod'!I12</f>
        <v>7799999.9999992726</v>
      </c>
      <c r="C13" s="8">
        <f t="shared" si="4"/>
        <v>7.7999999999992724</v>
      </c>
      <c r="D13" s="10">
        <f t="shared" si="5"/>
        <v>23.945999999997763</v>
      </c>
      <c r="E13" s="7">
        <f>'[7]May Prod'!E12</f>
        <v>9000000</v>
      </c>
      <c r="F13" s="8">
        <f t="shared" si="6"/>
        <v>9</v>
      </c>
      <c r="G13" s="10">
        <f t="shared" si="7"/>
        <v>27.63</v>
      </c>
      <c r="H13" s="7">
        <f>'[7]May Prod'!F12</f>
        <v>0</v>
      </c>
      <c r="I13" s="8">
        <f t="shared" si="8"/>
        <v>0</v>
      </c>
      <c r="J13" s="10">
        <f t="shared" si="9"/>
        <v>0</v>
      </c>
      <c r="K13" s="7">
        <f>'[7]May Prod'!H267</f>
        <v>1027951</v>
      </c>
      <c r="L13" s="8">
        <f t="shared" si="10"/>
        <v>1.0279510000000001</v>
      </c>
      <c r="M13" s="10">
        <f t="shared" si="11"/>
        <v>3.1558095700000002</v>
      </c>
      <c r="N13" s="21"/>
      <c r="O13" s="7">
        <f>'[7]May Prod'!H12</f>
        <v>6654999.9999999991</v>
      </c>
      <c r="P13" s="8">
        <f t="shared" si="12"/>
        <v>6.6549999999999994</v>
      </c>
      <c r="Q13" s="10">
        <f t="shared" si="0"/>
        <v>20.430849999999996</v>
      </c>
      <c r="R13" s="7">
        <f>'[7]May Prod'!C12</f>
        <v>6984000</v>
      </c>
      <c r="S13" s="8">
        <f t="shared" si="13"/>
        <v>6.984</v>
      </c>
      <c r="T13" s="10">
        <f t="shared" si="1"/>
        <v>21.44088</v>
      </c>
      <c r="U13" s="7">
        <f>'[7]May Prod'!D12</f>
        <v>0</v>
      </c>
      <c r="V13" s="8">
        <f t="shared" si="14"/>
        <v>0</v>
      </c>
      <c r="W13" s="10">
        <f t="shared" si="2"/>
        <v>0</v>
      </c>
      <c r="X13" s="7">
        <f>'[7]May Prod'!D267</f>
        <v>329000.00000000064</v>
      </c>
      <c r="Y13" s="8">
        <f t="shared" si="15"/>
        <v>0.32900000000000063</v>
      </c>
      <c r="Z13" s="10">
        <f t="shared" si="3"/>
        <v>1.0100300000000018</v>
      </c>
      <c r="AA13" s="15"/>
      <c r="AB13" s="7">
        <f t="shared" si="16"/>
        <v>14454999.999999272</v>
      </c>
      <c r="AC13" s="8">
        <f t="shared" si="16"/>
        <v>14.454999999999272</v>
      </c>
      <c r="AD13" s="8">
        <f t="shared" si="16"/>
        <v>44.376849999997759</v>
      </c>
    </row>
    <row r="14" spans="1:30" x14ac:dyDescent="0.25">
      <c r="A14" s="27">
        <v>38482</v>
      </c>
      <c r="B14" s="7">
        <f>'[7]May Prod'!I13</f>
        <v>8700000.0000007283</v>
      </c>
      <c r="C14" s="8">
        <f t="shared" si="4"/>
        <v>8.7000000000007276</v>
      </c>
      <c r="D14" s="10">
        <f t="shared" si="5"/>
        <v>26.709000000002231</v>
      </c>
      <c r="E14" s="7">
        <f>'[7]May Prod'!E13</f>
        <v>10000000</v>
      </c>
      <c r="F14" s="8">
        <f t="shared" si="6"/>
        <v>10</v>
      </c>
      <c r="G14" s="10">
        <f t="shared" si="7"/>
        <v>30.7</v>
      </c>
      <c r="H14" s="7">
        <f>'[7]May Prod'!F13</f>
        <v>0</v>
      </c>
      <c r="I14" s="8">
        <f t="shared" si="8"/>
        <v>0</v>
      </c>
      <c r="J14" s="10">
        <f t="shared" si="9"/>
        <v>0</v>
      </c>
      <c r="K14" s="7">
        <f>'[7]May Prod'!H268</f>
        <v>1109747</v>
      </c>
      <c r="L14" s="8">
        <f t="shared" si="10"/>
        <v>1.109747</v>
      </c>
      <c r="M14" s="10">
        <f t="shared" si="11"/>
        <v>3.4069232899999999</v>
      </c>
      <c r="N14" s="21"/>
      <c r="O14" s="7">
        <f>'[7]May Prod'!H13</f>
        <v>6934000.0000000047</v>
      </c>
      <c r="P14" s="8">
        <f t="shared" si="12"/>
        <v>6.9340000000000046</v>
      </c>
      <c r="Q14" s="10">
        <f t="shared" si="0"/>
        <v>21.287380000000013</v>
      </c>
      <c r="R14" s="7">
        <f>'[7]May Prod'!C13</f>
        <v>7134000</v>
      </c>
      <c r="S14" s="8">
        <f t="shared" si="13"/>
        <v>7.1340000000000003</v>
      </c>
      <c r="T14" s="10">
        <f t="shared" si="1"/>
        <v>21.90138</v>
      </c>
      <c r="U14" s="7">
        <f>'[7]May Prod'!D13</f>
        <v>0</v>
      </c>
      <c r="V14" s="8">
        <f t="shared" si="14"/>
        <v>0</v>
      </c>
      <c r="W14" s="10">
        <f t="shared" si="2"/>
        <v>0</v>
      </c>
      <c r="X14" s="7">
        <f>'[7]May Prod'!D268</f>
        <v>199999.99999999575</v>
      </c>
      <c r="Y14" s="8">
        <f t="shared" si="15"/>
        <v>0.19999999999999576</v>
      </c>
      <c r="Z14" s="10">
        <f t="shared" si="3"/>
        <v>0.613999999999987</v>
      </c>
      <c r="AA14" s="15"/>
      <c r="AB14" s="7">
        <f t="shared" si="16"/>
        <v>15634000.000000734</v>
      </c>
      <c r="AC14" s="8">
        <f t="shared" si="16"/>
        <v>15.634000000000732</v>
      </c>
      <c r="AD14" s="8">
        <f t="shared" si="16"/>
        <v>47.996380000002247</v>
      </c>
    </row>
    <row r="15" spans="1:30" x14ac:dyDescent="0.25">
      <c r="A15" s="27">
        <v>38483</v>
      </c>
      <c r="B15" s="7">
        <f>'[7]May Prod'!I14</f>
        <v>7200000.0000007274</v>
      </c>
      <c r="C15" s="8">
        <f t="shared" si="4"/>
        <v>7.2000000000007276</v>
      </c>
      <c r="D15" s="10">
        <f t="shared" si="5"/>
        <v>22.104000000002234</v>
      </c>
      <c r="E15" s="7">
        <f>'[7]May Prod'!E14</f>
        <v>8000000</v>
      </c>
      <c r="F15" s="8">
        <f t="shared" si="6"/>
        <v>8</v>
      </c>
      <c r="G15" s="10">
        <f t="shared" si="7"/>
        <v>24.56</v>
      </c>
      <c r="H15" s="7">
        <f>'[7]May Prod'!F14</f>
        <v>0</v>
      </c>
      <c r="I15" s="8">
        <f t="shared" si="8"/>
        <v>0</v>
      </c>
      <c r="J15" s="10">
        <f t="shared" si="9"/>
        <v>0</v>
      </c>
      <c r="K15" s="7">
        <f>'[7]May Prod'!H269</f>
        <v>1081239</v>
      </c>
      <c r="L15" s="8">
        <f t="shared" si="10"/>
        <v>1.0812390000000001</v>
      </c>
      <c r="M15" s="10">
        <f t="shared" si="11"/>
        <v>3.3194037299999999</v>
      </c>
      <c r="N15" s="21"/>
      <c r="O15" s="7">
        <f>'[7]May Prod'!H14</f>
        <v>7159000</v>
      </c>
      <c r="P15" s="8">
        <f t="shared" si="12"/>
        <v>7.1589999999999998</v>
      </c>
      <c r="Q15" s="10">
        <f t="shared" si="0"/>
        <v>21.978129999999997</v>
      </c>
      <c r="R15" s="7">
        <f>'[7]May Prod'!C14</f>
        <v>7357000</v>
      </c>
      <c r="S15" s="8">
        <f t="shared" si="13"/>
        <v>7.3570000000000002</v>
      </c>
      <c r="T15" s="10">
        <f t="shared" si="1"/>
        <v>22.585989999999999</v>
      </c>
      <c r="U15" s="7">
        <f>'[7]May Prod'!D14</f>
        <v>0</v>
      </c>
      <c r="V15" s="8">
        <f t="shared" si="14"/>
        <v>0</v>
      </c>
      <c r="W15" s="10">
        <f t="shared" si="2"/>
        <v>0</v>
      </c>
      <c r="X15" s="7">
        <f>'[7]May Prod'!D269</f>
        <v>198000.00000000041</v>
      </c>
      <c r="Y15" s="8">
        <f t="shared" si="15"/>
        <v>0.1980000000000004</v>
      </c>
      <c r="Z15" s="10">
        <f t="shared" si="3"/>
        <v>0.60786000000000118</v>
      </c>
      <c r="AA15" s="15"/>
      <c r="AB15" s="7">
        <f t="shared" si="16"/>
        <v>14359000.000000726</v>
      </c>
      <c r="AC15" s="8">
        <f t="shared" si="16"/>
        <v>14.359000000000727</v>
      </c>
      <c r="AD15" s="8">
        <f t="shared" si="16"/>
        <v>44.08213000000223</v>
      </c>
    </row>
    <row r="16" spans="1:30" x14ac:dyDescent="0.25">
      <c r="A16" s="27">
        <v>38484</v>
      </c>
      <c r="B16" s="7">
        <f>'[7]May Prod'!I15</f>
        <v>6799999.9999992726</v>
      </c>
      <c r="C16" s="8">
        <f t="shared" si="4"/>
        <v>6.7999999999992724</v>
      </c>
      <c r="D16" s="10">
        <f t="shared" si="5"/>
        <v>20.875999999997767</v>
      </c>
      <c r="E16" s="7">
        <f>'[7]May Prod'!E15</f>
        <v>8000000</v>
      </c>
      <c r="F16" s="8">
        <f t="shared" si="6"/>
        <v>8</v>
      </c>
      <c r="G16" s="10">
        <f t="shared" si="7"/>
        <v>24.56</v>
      </c>
      <c r="H16" s="7">
        <f>'[7]May Prod'!F15</f>
        <v>0</v>
      </c>
      <c r="I16" s="8">
        <f t="shared" si="8"/>
        <v>0</v>
      </c>
      <c r="J16" s="10">
        <f t="shared" si="9"/>
        <v>0</v>
      </c>
      <c r="K16" s="7">
        <f>'[7]May Prod'!H270</f>
        <v>944454</v>
      </c>
      <c r="L16" s="8">
        <f t="shared" si="10"/>
        <v>0.94445400000000002</v>
      </c>
      <c r="M16" s="10">
        <f t="shared" si="11"/>
        <v>2.8994737800000001</v>
      </c>
      <c r="N16" s="21"/>
      <c r="O16" s="7">
        <f>'[7]May Prod'!H15</f>
        <v>6668000</v>
      </c>
      <c r="P16" s="8">
        <f t="shared" si="12"/>
        <v>6.6680000000000001</v>
      </c>
      <c r="Q16" s="10">
        <f t="shared" si="0"/>
        <v>20.470759999999999</v>
      </c>
      <c r="R16" s="7">
        <f>'[7]May Prod'!C15</f>
        <v>6930000</v>
      </c>
      <c r="S16" s="8">
        <f t="shared" si="13"/>
        <v>6.93</v>
      </c>
      <c r="T16" s="10">
        <f t="shared" si="1"/>
        <v>21.275099999999998</v>
      </c>
      <c r="U16" s="7">
        <f>'[7]May Prod'!D15</f>
        <v>0</v>
      </c>
      <c r="V16" s="8">
        <f t="shared" si="14"/>
        <v>0</v>
      </c>
      <c r="W16" s="10">
        <f t="shared" si="2"/>
        <v>0</v>
      </c>
      <c r="X16" s="7">
        <f>'[7]May Prod'!D270</f>
        <v>262000.00000000047</v>
      </c>
      <c r="Y16" s="8">
        <f t="shared" si="15"/>
        <v>0.26200000000000045</v>
      </c>
      <c r="Z16" s="10">
        <f t="shared" si="3"/>
        <v>0.80434000000000139</v>
      </c>
      <c r="AA16" s="15"/>
      <c r="AB16" s="7">
        <f t="shared" si="16"/>
        <v>13467999.999999274</v>
      </c>
      <c r="AC16" s="8">
        <f t="shared" si="16"/>
        <v>13.467999999999272</v>
      </c>
      <c r="AD16" s="8">
        <f t="shared" si="16"/>
        <v>41.346759999997765</v>
      </c>
    </row>
    <row r="17" spans="1:30" x14ac:dyDescent="0.25">
      <c r="A17" s="27">
        <v>38485</v>
      </c>
      <c r="B17" s="7">
        <f>'[7]May Prod'!I16</f>
        <v>7000000</v>
      </c>
      <c r="C17" s="8">
        <f t="shared" si="4"/>
        <v>7</v>
      </c>
      <c r="D17" s="10">
        <f t="shared" si="5"/>
        <v>21.49</v>
      </c>
      <c r="E17" s="7">
        <f>'[7]May Prod'!E16</f>
        <v>9000000</v>
      </c>
      <c r="F17" s="8">
        <f t="shared" si="6"/>
        <v>9</v>
      </c>
      <c r="G17" s="10">
        <f t="shared" si="7"/>
        <v>27.63</v>
      </c>
      <c r="H17" s="7">
        <f>'[7]May Prod'!F16</f>
        <v>0</v>
      </c>
      <c r="I17" s="8">
        <f t="shared" si="8"/>
        <v>0</v>
      </c>
      <c r="J17" s="10">
        <f t="shared" si="9"/>
        <v>0</v>
      </c>
      <c r="K17" s="7">
        <f>'[7]May Prod'!H271</f>
        <v>962726</v>
      </c>
      <c r="L17" s="8">
        <f t="shared" si="10"/>
        <v>0.96272599999999997</v>
      </c>
      <c r="M17" s="10">
        <f t="shared" si="11"/>
        <v>2.9555688199999999</v>
      </c>
      <c r="N17" s="21"/>
      <c r="O17" s="7">
        <f>'[7]May Prod'!H16</f>
        <v>7003999.9999999972</v>
      </c>
      <c r="P17" s="8">
        <f t="shared" si="12"/>
        <v>7.0039999999999969</v>
      </c>
      <c r="Q17" s="10">
        <f t="shared" si="0"/>
        <v>21.502279999999988</v>
      </c>
      <c r="R17" s="7">
        <f>'[7]May Prod'!C16</f>
        <v>7201000</v>
      </c>
      <c r="S17" s="8">
        <f t="shared" si="13"/>
        <v>7.2009999999999996</v>
      </c>
      <c r="T17" s="10">
        <f t="shared" si="1"/>
        <v>22.107069999999997</v>
      </c>
      <c r="U17" s="7">
        <f>'[7]May Prod'!D16</f>
        <v>0</v>
      </c>
      <c r="V17" s="8">
        <f t="shared" si="14"/>
        <v>0</v>
      </c>
      <c r="W17" s="10">
        <f t="shared" si="2"/>
        <v>0</v>
      </c>
      <c r="X17" s="7">
        <f>'[7]May Prod'!D271</f>
        <v>197000.00000000274</v>
      </c>
      <c r="Y17" s="8">
        <f t="shared" si="15"/>
        <v>0.19700000000000273</v>
      </c>
      <c r="Z17" s="10">
        <f t="shared" si="3"/>
        <v>0.60479000000000838</v>
      </c>
      <c r="AA17" s="15"/>
      <c r="AB17" s="7">
        <f t="shared" si="16"/>
        <v>14003999.999999996</v>
      </c>
      <c r="AC17" s="8">
        <f t="shared" si="16"/>
        <v>14.003999999999998</v>
      </c>
      <c r="AD17" s="8">
        <f t="shared" si="16"/>
        <v>42.992279999999987</v>
      </c>
    </row>
    <row r="18" spans="1:30" x14ac:dyDescent="0.25">
      <c r="A18" s="27">
        <v>38486</v>
      </c>
      <c r="B18" s="7">
        <f>'[7]May Prod'!I17</f>
        <v>6700000.0000007274</v>
      </c>
      <c r="C18" s="8">
        <f t="shared" si="4"/>
        <v>6.7000000000007276</v>
      </c>
      <c r="D18" s="10">
        <f t="shared" si="5"/>
        <v>20.569000000002234</v>
      </c>
      <c r="E18" s="7">
        <f>'[7]May Prod'!E17</f>
        <v>8000000</v>
      </c>
      <c r="F18" s="8">
        <f t="shared" si="6"/>
        <v>8</v>
      </c>
      <c r="G18" s="10">
        <f t="shared" si="7"/>
        <v>24.56</v>
      </c>
      <c r="H18" s="7">
        <f>'[7]May Prod'!F17</f>
        <v>0</v>
      </c>
      <c r="I18" s="8">
        <f t="shared" si="8"/>
        <v>0</v>
      </c>
      <c r="J18" s="10">
        <f t="shared" si="9"/>
        <v>0</v>
      </c>
      <c r="K18" s="7">
        <f>'[7]May Prod'!H272</f>
        <v>958517</v>
      </c>
      <c r="L18" s="8">
        <f t="shared" si="10"/>
        <v>0.95851699999999995</v>
      </c>
      <c r="M18" s="10">
        <f t="shared" si="11"/>
        <v>2.9426471899999997</v>
      </c>
      <c r="N18" s="21"/>
      <c r="O18" s="7">
        <f>'[7]May Prod'!H17</f>
        <v>6732000.0000000019</v>
      </c>
      <c r="P18" s="8">
        <f t="shared" si="12"/>
        <v>6.732000000000002</v>
      </c>
      <c r="Q18" s="10">
        <f t="shared" si="0"/>
        <v>20.667240000000007</v>
      </c>
      <c r="R18" s="7">
        <f>'[7]May Prod'!C17</f>
        <v>6931000</v>
      </c>
      <c r="S18" s="8">
        <f t="shared" si="13"/>
        <v>6.931</v>
      </c>
      <c r="T18" s="10">
        <f t="shared" si="1"/>
        <v>21.278169999999999</v>
      </c>
      <c r="U18" s="7">
        <f>'[7]May Prod'!D17</f>
        <v>0</v>
      </c>
      <c r="V18" s="8">
        <f t="shared" si="14"/>
        <v>0</v>
      </c>
      <c r="W18" s="10">
        <f t="shared" si="2"/>
        <v>0</v>
      </c>
      <c r="X18" s="7">
        <f>'[7]May Prod'!D272</f>
        <v>198999.99999999808</v>
      </c>
      <c r="Y18" s="8">
        <f t="shared" si="15"/>
        <v>0.19899999999999807</v>
      </c>
      <c r="Z18" s="10">
        <f t="shared" si="3"/>
        <v>0.61092999999999409</v>
      </c>
      <c r="AA18" s="15"/>
      <c r="AB18" s="7">
        <f t="shared" si="16"/>
        <v>13432000.00000073</v>
      </c>
      <c r="AC18" s="8">
        <f t="shared" si="16"/>
        <v>13.43200000000073</v>
      </c>
      <c r="AD18" s="8">
        <f t="shared" si="16"/>
        <v>41.23624000000224</v>
      </c>
    </row>
    <row r="19" spans="1:30" x14ac:dyDescent="0.25">
      <c r="A19" s="27">
        <v>38487</v>
      </c>
      <c r="B19" s="7">
        <f>'[7]May Prod'!I18</f>
        <v>6299999.9999992726</v>
      </c>
      <c r="C19" s="8">
        <f t="shared" si="4"/>
        <v>6.2999999999992724</v>
      </c>
      <c r="D19" s="10">
        <f t="shared" si="5"/>
        <v>19.340999999997766</v>
      </c>
      <c r="E19" s="7">
        <f>'[7]May Prod'!E18</f>
        <v>7000000</v>
      </c>
      <c r="F19" s="8">
        <f t="shared" si="6"/>
        <v>7</v>
      </c>
      <c r="G19" s="10">
        <f t="shared" si="7"/>
        <v>21.49</v>
      </c>
      <c r="H19" s="7">
        <f>'[7]May Prod'!F18</f>
        <v>0</v>
      </c>
      <c r="I19" s="8">
        <f t="shared" si="8"/>
        <v>0</v>
      </c>
      <c r="J19" s="10">
        <f t="shared" si="9"/>
        <v>0</v>
      </c>
      <c r="K19" s="7">
        <f>'[7]May Prod'!H273</f>
        <v>1102786</v>
      </c>
      <c r="L19" s="8">
        <f t="shared" si="10"/>
        <v>1.102786</v>
      </c>
      <c r="M19" s="10">
        <f t="shared" si="11"/>
        <v>3.3855530200000001</v>
      </c>
      <c r="N19" s="21"/>
      <c r="O19" s="7">
        <f>'[7]May Prod'!H18</f>
        <v>7311000.0000000019</v>
      </c>
      <c r="P19" s="8">
        <f t="shared" si="12"/>
        <v>7.3110000000000017</v>
      </c>
      <c r="Q19" s="10">
        <f t="shared" si="0"/>
        <v>22.444770000000005</v>
      </c>
      <c r="R19" s="7">
        <f>'[7]May Prod'!C18</f>
        <v>7504000</v>
      </c>
      <c r="S19" s="8">
        <f t="shared" si="13"/>
        <v>7.5039999999999996</v>
      </c>
      <c r="T19" s="10">
        <f t="shared" si="1"/>
        <v>23.037279999999999</v>
      </c>
      <c r="U19" s="7">
        <f>'[7]May Prod'!D18</f>
        <v>0</v>
      </c>
      <c r="V19" s="8">
        <f t="shared" si="14"/>
        <v>0</v>
      </c>
      <c r="W19" s="10">
        <f t="shared" si="2"/>
        <v>0</v>
      </c>
      <c r="X19" s="7">
        <f>'[7]May Prod'!D273</f>
        <v>192999.99999999785</v>
      </c>
      <c r="Y19" s="8">
        <f t="shared" si="15"/>
        <v>0.19299999999999784</v>
      </c>
      <c r="Z19" s="10">
        <f t="shared" si="3"/>
        <v>0.59250999999999332</v>
      </c>
      <c r="AA19" s="15"/>
      <c r="AB19" s="7">
        <f t="shared" si="16"/>
        <v>13610999.999999274</v>
      </c>
      <c r="AC19" s="8">
        <f t="shared" si="16"/>
        <v>13.610999999999274</v>
      </c>
      <c r="AD19" s="8">
        <f t="shared" si="16"/>
        <v>41.785769999997768</v>
      </c>
    </row>
    <row r="20" spans="1:30" x14ac:dyDescent="0.25">
      <c r="A20" s="27">
        <v>38488</v>
      </c>
      <c r="B20" s="7">
        <f>'[7]May Prod'!I19</f>
        <v>5299999.9999992726</v>
      </c>
      <c r="C20" s="8">
        <f t="shared" si="4"/>
        <v>5.2999999999992724</v>
      </c>
      <c r="D20" s="10">
        <f t="shared" si="5"/>
        <v>16.270999999997766</v>
      </c>
      <c r="E20" s="7">
        <f>'[7]May Prod'!E19</f>
        <v>7000000</v>
      </c>
      <c r="F20" s="8">
        <f t="shared" si="6"/>
        <v>7</v>
      </c>
      <c r="G20" s="10">
        <f t="shared" si="7"/>
        <v>21.49</v>
      </c>
      <c r="H20" s="7">
        <f>'[7]May Prod'!F19</f>
        <v>0</v>
      </c>
      <c r="I20" s="8">
        <f t="shared" si="8"/>
        <v>0</v>
      </c>
      <c r="J20" s="10">
        <f t="shared" si="9"/>
        <v>0</v>
      </c>
      <c r="K20" s="7">
        <f>'[7]May Prod'!H274</f>
        <v>820034</v>
      </c>
      <c r="L20" s="8">
        <f t="shared" si="10"/>
        <v>0.82003400000000004</v>
      </c>
      <c r="M20" s="10">
        <f t="shared" si="11"/>
        <v>2.5175043800000001</v>
      </c>
      <c r="N20" s="21"/>
      <c r="O20" s="7">
        <f>'[7]May Prod'!H19</f>
        <v>9099999.9999999963</v>
      </c>
      <c r="P20" s="8">
        <f t="shared" si="12"/>
        <v>9.0999999999999961</v>
      </c>
      <c r="Q20" s="10">
        <f t="shared" si="0"/>
        <v>27.936999999999987</v>
      </c>
      <c r="R20" s="7">
        <f>'[7]May Prod'!C19</f>
        <v>9361000</v>
      </c>
      <c r="S20" s="8">
        <f t="shared" si="13"/>
        <v>9.3610000000000007</v>
      </c>
      <c r="T20" s="10">
        <f t="shared" si="1"/>
        <v>28.73827</v>
      </c>
      <c r="U20" s="7">
        <f>'[7]May Prod'!D19</f>
        <v>0</v>
      </c>
      <c r="V20" s="8">
        <f t="shared" si="14"/>
        <v>0</v>
      </c>
      <c r="W20" s="10">
        <f t="shared" si="2"/>
        <v>0</v>
      </c>
      <c r="X20" s="7">
        <f>'[7]May Prod'!D274</f>
        <v>261000.00000000279</v>
      </c>
      <c r="Y20" s="8">
        <f t="shared" si="15"/>
        <v>0.26100000000000279</v>
      </c>
      <c r="Z20" s="10">
        <f t="shared" si="3"/>
        <v>0.80127000000000848</v>
      </c>
      <c r="AA20" s="15"/>
      <c r="AB20" s="7">
        <f t="shared" si="16"/>
        <v>14399999.99999927</v>
      </c>
      <c r="AC20" s="8">
        <f t="shared" si="16"/>
        <v>14.399999999999268</v>
      </c>
      <c r="AD20" s="8">
        <f t="shared" si="16"/>
        <v>44.207999999997753</v>
      </c>
    </row>
    <row r="21" spans="1:30" x14ac:dyDescent="0.25">
      <c r="A21" s="27">
        <v>38489</v>
      </c>
      <c r="B21" s="7">
        <f>'[7]May Prod'!I20</f>
        <v>9500000</v>
      </c>
      <c r="C21" s="8">
        <f t="shared" si="4"/>
        <v>9.5</v>
      </c>
      <c r="D21" s="10">
        <f t="shared" si="5"/>
        <v>29.164999999999999</v>
      </c>
      <c r="E21" s="7">
        <f>'[7]May Prod'!E20</f>
        <v>12000000</v>
      </c>
      <c r="F21" s="8">
        <f t="shared" si="6"/>
        <v>12</v>
      </c>
      <c r="G21" s="10">
        <f t="shared" si="7"/>
        <v>36.839999999999996</v>
      </c>
      <c r="H21" s="7">
        <f>'[7]May Prod'!F20</f>
        <v>0</v>
      </c>
      <c r="I21" s="8">
        <f t="shared" si="8"/>
        <v>0</v>
      </c>
      <c r="J21" s="10">
        <f t="shared" si="9"/>
        <v>0</v>
      </c>
      <c r="K21" s="7">
        <f>'[7]May Prod'!H275</f>
        <v>1249325</v>
      </c>
      <c r="L21" s="8">
        <f t="shared" si="10"/>
        <v>1.249325</v>
      </c>
      <c r="M21" s="10">
        <f t="shared" si="11"/>
        <v>3.83542775</v>
      </c>
      <c r="N21" s="21"/>
      <c r="O21" s="7">
        <f>'[7]May Prod'!H20</f>
        <v>6803000.0000000019</v>
      </c>
      <c r="P21" s="8">
        <f t="shared" si="12"/>
        <v>6.8030000000000017</v>
      </c>
      <c r="Q21" s="10">
        <f t="shared" si="0"/>
        <v>20.885210000000004</v>
      </c>
      <c r="R21" s="7">
        <f>'[7]May Prod'!C20</f>
        <v>6999000</v>
      </c>
      <c r="S21" s="8">
        <f t="shared" si="13"/>
        <v>6.9989999999999997</v>
      </c>
      <c r="T21" s="10">
        <f t="shared" si="1"/>
        <v>21.486929999999997</v>
      </c>
      <c r="U21" s="7">
        <f>'[7]May Prod'!D20</f>
        <v>0</v>
      </c>
      <c r="V21" s="8">
        <f t="shared" si="14"/>
        <v>0</v>
      </c>
      <c r="W21" s="10">
        <f t="shared" si="2"/>
        <v>0</v>
      </c>
      <c r="X21" s="7">
        <f>'[7]May Prod'!D275</f>
        <v>195999.99999999796</v>
      </c>
      <c r="Y21" s="8">
        <f t="shared" si="15"/>
        <v>0.19599999999999795</v>
      </c>
      <c r="Z21" s="10">
        <f t="shared" si="3"/>
        <v>0.6017199999999937</v>
      </c>
      <c r="AA21" s="15"/>
      <c r="AB21" s="7">
        <f t="shared" si="16"/>
        <v>16303000.000000002</v>
      </c>
      <c r="AC21" s="8">
        <f t="shared" si="16"/>
        <v>16.303000000000001</v>
      </c>
      <c r="AD21" s="8">
        <f t="shared" si="16"/>
        <v>50.050210000000007</v>
      </c>
    </row>
    <row r="22" spans="1:30" x14ac:dyDescent="0.25">
      <c r="A22" s="27">
        <v>38490</v>
      </c>
      <c r="B22" s="7">
        <f>'[7]May Prod'!I21</f>
        <v>10600000.000002183</v>
      </c>
      <c r="C22" s="8">
        <f t="shared" si="4"/>
        <v>10.600000000002183</v>
      </c>
      <c r="D22" s="10">
        <f t="shared" si="5"/>
        <v>32.542000000006702</v>
      </c>
      <c r="E22" s="7">
        <f>'[7]May Prod'!E21</f>
        <v>12000000</v>
      </c>
      <c r="F22" s="8">
        <f t="shared" si="6"/>
        <v>12</v>
      </c>
      <c r="G22" s="10">
        <f t="shared" si="7"/>
        <v>36.839999999999996</v>
      </c>
      <c r="H22" s="7">
        <f>'[7]May Prod'!F21</f>
        <v>0</v>
      </c>
      <c r="I22" s="8">
        <f t="shared" si="8"/>
        <v>0</v>
      </c>
      <c r="J22" s="10">
        <f t="shared" si="9"/>
        <v>0</v>
      </c>
      <c r="K22" s="7">
        <f>'[7]May Prod'!H276</f>
        <v>1361697</v>
      </c>
      <c r="L22" s="8">
        <f t="shared" si="10"/>
        <v>1.3616969999999999</v>
      </c>
      <c r="M22" s="10">
        <f t="shared" si="11"/>
        <v>4.1804097899999997</v>
      </c>
      <c r="N22" s="21"/>
      <c r="O22" s="7">
        <f>'[7]May Prod'!H21</f>
        <v>5759000.0000000019</v>
      </c>
      <c r="P22" s="8">
        <f t="shared" si="12"/>
        <v>5.7590000000000021</v>
      </c>
      <c r="Q22" s="10">
        <f t="shared" si="0"/>
        <v>17.680130000000005</v>
      </c>
      <c r="R22" s="7">
        <f>'[7]May Prod'!C21</f>
        <v>6019000</v>
      </c>
      <c r="S22" s="8">
        <f t="shared" si="13"/>
        <v>6.0190000000000001</v>
      </c>
      <c r="T22" s="10">
        <f t="shared" si="1"/>
        <v>18.47833</v>
      </c>
      <c r="U22" s="7">
        <f>'[7]May Prod'!D21</f>
        <v>0</v>
      </c>
      <c r="V22" s="8">
        <f t="shared" si="14"/>
        <v>0</v>
      </c>
      <c r="W22" s="10">
        <f t="shared" si="2"/>
        <v>0</v>
      </c>
      <c r="X22" s="7">
        <f>'[7]May Prod'!D276</f>
        <v>259999.99999999802</v>
      </c>
      <c r="Y22" s="8">
        <f t="shared" si="15"/>
        <v>0.25999999999999801</v>
      </c>
      <c r="Z22" s="10">
        <f t="shared" si="3"/>
        <v>0.7981999999999938</v>
      </c>
      <c r="AA22" s="15"/>
      <c r="AB22" s="7">
        <f t="shared" si="16"/>
        <v>16359000.000002185</v>
      </c>
      <c r="AC22" s="8">
        <f t="shared" si="16"/>
        <v>16.359000000002183</v>
      </c>
      <c r="AD22" s="8">
        <f t="shared" si="16"/>
        <v>50.222130000006707</v>
      </c>
    </row>
    <row r="23" spans="1:30" x14ac:dyDescent="0.25">
      <c r="A23" s="27">
        <v>38491</v>
      </c>
      <c r="B23" s="7">
        <f>'[7]May Prod'!I22</f>
        <v>8599999.9999985453</v>
      </c>
      <c r="C23" s="8">
        <f t="shared" si="4"/>
        <v>8.5999999999985448</v>
      </c>
      <c r="D23" s="10">
        <f t="shared" si="5"/>
        <v>26.401999999995532</v>
      </c>
      <c r="E23" s="7">
        <f>'[7]May Prod'!E22</f>
        <v>10000000</v>
      </c>
      <c r="F23" s="8">
        <f t="shared" si="6"/>
        <v>10</v>
      </c>
      <c r="G23" s="10">
        <f t="shared" si="7"/>
        <v>30.7</v>
      </c>
      <c r="H23" s="7">
        <f>'[7]May Prod'!F22</f>
        <v>0</v>
      </c>
      <c r="I23" s="8">
        <f t="shared" si="8"/>
        <v>0</v>
      </c>
      <c r="J23" s="10">
        <f t="shared" si="9"/>
        <v>0</v>
      </c>
      <c r="K23" s="7">
        <f>'[7]May Prod'!H277</f>
        <v>1171179</v>
      </c>
      <c r="L23" s="8">
        <f t="shared" si="10"/>
        <v>1.171179</v>
      </c>
      <c r="M23" s="10">
        <f t="shared" si="11"/>
        <v>3.5955195299999998</v>
      </c>
      <c r="N23" s="21"/>
      <c r="O23" s="7">
        <f>'[7]May Prod'!H22</f>
        <v>5880000</v>
      </c>
      <c r="P23" s="8">
        <f t="shared" si="12"/>
        <v>5.88</v>
      </c>
      <c r="Q23" s="10">
        <f t="shared" si="0"/>
        <v>18.051599999999997</v>
      </c>
      <c r="R23" s="7">
        <f>'[7]May Prod'!C22</f>
        <v>6008000</v>
      </c>
      <c r="S23" s="8">
        <f t="shared" si="13"/>
        <v>6.008</v>
      </c>
      <c r="T23" s="10">
        <f t="shared" si="1"/>
        <v>18.444559999999999</v>
      </c>
      <c r="U23" s="7">
        <f>'[7]May Prod'!D22</f>
        <v>0</v>
      </c>
      <c r="V23" s="8">
        <f t="shared" si="14"/>
        <v>0</v>
      </c>
      <c r="W23" s="10">
        <f t="shared" si="2"/>
        <v>0</v>
      </c>
      <c r="X23" s="7">
        <f>'[7]May Prod'!D277</f>
        <v>128000.00000000012</v>
      </c>
      <c r="Y23" s="8">
        <f t="shared" si="15"/>
        <v>0.12800000000000011</v>
      </c>
      <c r="Z23" s="10">
        <f t="shared" si="3"/>
        <v>0.39296000000000031</v>
      </c>
      <c r="AA23" s="15"/>
      <c r="AB23" s="7">
        <f t="shared" si="16"/>
        <v>14479999.999998545</v>
      </c>
      <c r="AC23" s="8">
        <f t="shared" si="16"/>
        <v>14.479999999998544</v>
      </c>
      <c r="AD23" s="8">
        <f t="shared" si="16"/>
        <v>44.453599999995532</v>
      </c>
    </row>
    <row r="24" spans="1:30" x14ac:dyDescent="0.25">
      <c r="A24" s="27">
        <v>38492</v>
      </c>
      <c r="B24" s="7">
        <f>'[7]May Prod'!I23</f>
        <v>7500000</v>
      </c>
      <c r="C24" s="8">
        <f t="shared" si="4"/>
        <v>7.5</v>
      </c>
      <c r="D24" s="10">
        <f t="shared" si="5"/>
        <v>23.024999999999999</v>
      </c>
      <c r="E24" s="7">
        <f>'[7]May Prod'!E23</f>
        <v>8000000</v>
      </c>
      <c r="F24" s="8">
        <f t="shared" si="6"/>
        <v>8</v>
      </c>
      <c r="G24" s="10">
        <f t="shared" si="7"/>
        <v>24.56</v>
      </c>
      <c r="H24" s="7">
        <f>'[7]May Prod'!F23</f>
        <v>0</v>
      </c>
      <c r="I24" s="8">
        <f t="shared" si="8"/>
        <v>0</v>
      </c>
      <c r="J24" s="10">
        <f t="shared" si="9"/>
        <v>0</v>
      </c>
      <c r="K24" s="7">
        <f>'[7]May Prod'!H278</f>
        <v>1028020</v>
      </c>
      <c r="L24" s="8">
        <f t="shared" si="10"/>
        <v>1.0280199999999999</v>
      </c>
      <c r="M24" s="10">
        <f t="shared" si="11"/>
        <v>3.1560213999999998</v>
      </c>
      <c r="N24" s="21"/>
      <c r="O24" s="7">
        <f>'[7]May Prod'!H23</f>
        <v>5740999.9999999953</v>
      </c>
      <c r="P24" s="8">
        <f t="shared" si="12"/>
        <v>5.7409999999999952</v>
      </c>
      <c r="Q24" s="10">
        <f t="shared" si="0"/>
        <v>17.624869999999984</v>
      </c>
      <c r="R24" s="7">
        <f>'[7]May Prod'!C23</f>
        <v>5934000</v>
      </c>
      <c r="S24" s="8">
        <f t="shared" si="13"/>
        <v>5.9340000000000002</v>
      </c>
      <c r="T24" s="10">
        <f t="shared" si="1"/>
        <v>18.217379999999999</v>
      </c>
      <c r="U24" s="7">
        <f>'[7]May Prod'!D23</f>
        <v>0</v>
      </c>
      <c r="V24" s="8">
        <f t="shared" si="14"/>
        <v>0</v>
      </c>
      <c r="W24" s="10">
        <f t="shared" si="2"/>
        <v>0</v>
      </c>
      <c r="X24" s="7">
        <f>'[7]May Prod'!D278</f>
        <v>193000.00000000495</v>
      </c>
      <c r="Y24" s="8">
        <f t="shared" si="15"/>
        <v>0.19300000000000495</v>
      </c>
      <c r="Z24" s="10">
        <f t="shared" si="3"/>
        <v>0.59251000000001519</v>
      </c>
      <c r="AA24" s="15"/>
      <c r="AB24" s="7">
        <f t="shared" si="16"/>
        <v>13240999.999999996</v>
      </c>
      <c r="AC24" s="8">
        <f t="shared" si="16"/>
        <v>13.240999999999996</v>
      </c>
      <c r="AD24" s="8">
        <f t="shared" si="16"/>
        <v>40.649869999999979</v>
      </c>
    </row>
    <row r="25" spans="1:30" x14ac:dyDescent="0.25">
      <c r="A25" s="27">
        <v>38493</v>
      </c>
      <c r="B25" s="7">
        <f>'[7]May Prod'!I24</f>
        <v>5600000.000002183</v>
      </c>
      <c r="C25" s="8">
        <f t="shared" si="4"/>
        <v>5.6000000000021828</v>
      </c>
      <c r="D25" s="10">
        <f t="shared" si="5"/>
        <v>17.192000000006701</v>
      </c>
      <c r="E25" s="7">
        <f>'[7]May Prod'!E24</f>
        <v>7000000</v>
      </c>
      <c r="F25" s="8">
        <f t="shared" si="6"/>
        <v>7</v>
      </c>
      <c r="G25" s="10">
        <f t="shared" si="7"/>
        <v>21.49</v>
      </c>
      <c r="H25" s="7">
        <f>'[7]May Prod'!F24</f>
        <v>0</v>
      </c>
      <c r="I25" s="8">
        <f t="shared" si="8"/>
        <v>0</v>
      </c>
      <c r="J25" s="10">
        <f t="shared" si="9"/>
        <v>0</v>
      </c>
      <c r="K25" s="7">
        <f>'[7]May Prod'!H279</f>
        <v>929901</v>
      </c>
      <c r="L25" s="8">
        <f t="shared" si="10"/>
        <v>0.92990099999999998</v>
      </c>
      <c r="M25" s="10">
        <f t="shared" si="11"/>
        <v>2.8547960699999999</v>
      </c>
      <c r="N25" s="21"/>
      <c r="O25" s="7">
        <f>'[7]May Prod'!H24</f>
        <v>5861000.0000000019</v>
      </c>
      <c r="P25" s="8">
        <f t="shared" si="12"/>
        <v>5.8610000000000015</v>
      </c>
      <c r="Q25" s="10">
        <f t="shared" si="0"/>
        <v>17.993270000000003</v>
      </c>
      <c r="R25" s="7">
        <f>'[7]May Prod'!C24</f>
        <v>6054000</v>
      </c>
      <c r="S25" s="8">
        <f t="shared" si="13"/>
        <v>6.0540000000000003</v>
      </c>
      <c r="T25" s="10">
        <f t="shared" si="1"/>
        <v>18.58578</v>
      </c>
      <c r="U25" s="7">
        <f>'[7]May Prod'!D24</f>
        <v>0</v>
      </c>
      <c r="V25" s="8">
        <f t="shared" si="14"/>
        <v>0</v>
      </c>
      <c r="W25" s="10">
        <f t="shared" si="2"/>
        <v>0</v>
      </c>
      <c r="X25" s="7">
        <f>'[7]May Prod'!D279</f>
        <v>192999.99999999785</v>
      </c>
      <c r="Y25" s="8">
        <f t="shared" si="15"/>
        <v>0.19299999999999784</v>
      </c>
      <c r="Z25" s="10">
        <f t="shared" si="3"/>
        <v>0.59250999999999332</v>
      </c>
      <c r="AA25" s="15"/>
      <c r="AB25" s="7">
        <f t="shared" si="16"/>
        <v>11461000.000002185</v>
      </c>
      <c r="AC25" s="8">
        <f t="shared" si="16"/>
        <v>11.461000000002183</v>
      </c>
      <c r="AD25" s="8">
        <f t="shared" si="16"/>
        <v>35.185270000006703</v>
      </c>
    </row>
    <row r="26" spans="1:30" x14ac:dyDescent="0.25">
      <c r="A26" s="27">
        <v>38494</v>
      </c>
      <c r="B26" s="7">
        <f>'[7]May Prod'!I25</f>
        <v>6899999.999997817</v>
      </c>
      <c r="C26" s="8">
        <f t="shared" si="4"/>
        <v>6.8999999999978172</v>
      </c>
      <c r="D26" s="10">
        <f t="shared" si="5"/>
        <v>21.182999999993299</v>
      </c>
      <c r="E26" s="7">
        <f>'[7]May Prod'!E25</f>
        <v>8000000</v>
      </c>
      <c r="F26" s="8">
        <f t="shared" si="6"/>
        <v>8</v>
      </c>
      <c r="G26" s="10">
        <f t="shared" si="7"/>
        <v>24.56</v>
      </c>
      <c r="H26" s="7">
        <f>'[7]May Prod'!F25</f>
        <v>0</v>
      </c>
      <c r="I26" s="8">
        <f t="shared" si="8"/>
        <v>0</v>
      </c>
      <c r="J26" s="10">
        <f t="shared" si="9"/>
        <v>0</v>
      </c>
      <c r="K26" s="7">
        <f>'[7]May Prod'!H280</f>
        <v>1001038</v>
      </c>
      <c r="L26" s="8">
        <f t="shared" si="10"/>
        <v>1.0010380000000001</v>
      </c>
      <c r="M26" s="10">
        <f t="shared" si="11"/>
        <v>3.0731866600000002</v>
      </c>
      <c r="N26" s="21"/>
      <c r="O26" s="7">
        <f>'[7]May Prod'!H25</f>
        <v>5917999.9999999972</v>
      </c>
      <c r="P26" s="8">
        <f t="shared" si="12"/>
        <v>5.9179999999999975</v>
      </c>
      <c r="Q26" s="10">
        <f t="shared" si="0"/>
        <v>18.168259999999993</v>
      </c>
      <c r="R26" s="7">
        <f>'[7]May Prod'!C25</f>
        <v>6048000</v>
      </c>
      <c r="S26" s="8">
        <f t="shared" si="13"/>
        <v>6.048</v>
      </c>
      <c r="T26" s="10">
        <f t="shared" si="1"/>
        <v>18.567360000000001</v>
      </c>
      <c r="U26" s="7">
        <f>'[7]May Prod'!D25</f>
        <v>0</v>
      </c>
      <c r="V26" s="8">
        <f t="shared" si="14"/>
        <v>0</v>
      </c>
      <c r="W26" s="10">
        <f t="shared" si="2"/>
        <v>0</v>
      </c>
      <c r="X26" s="7">
        <f>'[7]May Prod'!D280</f>
        <v>130000.00000000256</v>
      </c>
      <c r="Y26" s="8">
        <f t="shared" si="15"/>
        <v>0.13000000000000256</v>
      </c>
      <c r="Z26" s="10">
        <f t="shared" si="3"/>
        <v>0.39910000000000784</v>
      </c>
      <c r="AA26" s="15"/>
      <c r="AB26" s="7">
        <f t="shared" si="16"/>
        <v>12817999.999997813</v>
      </c>
      <c r="AC26" s="8">
        <f t="shared" si="16"/>
        <v>12.817999999997815</v>
      </c>
      <c r="AD26" s="8">
        <f t="shared" si="16"/>
        <v>39.351259999993289</v>
      </c>
    </row>
    <row r="27" spans="1:30" x14ac:dyDescent="0.25">
      <c r="A27" s="27">
        <v>38495</v>
      </c>
      <c r="B27" s="7">
        <f>'[7]May Prod'!I26</f>
        <v>7600000.000002183</v>
      </c>
      <c r="C27" s="8">
        <f t="shared" si="4"/>
        <v>7.6000000000021828</v>
      </c>
      <c r="D27" s="10">
        <f t="shared" si="5"/>
        <v>23.332000000006701</v>
      </c>
      <c r="E27" s="7">
        <f>'[7]May Prod'!E26</f>
        <v>9000000</v>
      </c>
      <c r="F27" s="8">
        <f t="shared" si="6"/>
        <v>9</v>
      </c>
      <c r="G27" s="10">
        <f t="shared" si="7"/>
        <v>27.63</v>
      </c>
      <c r="H27" s="7">
        <f>'[7]May Prod'!F26</f>
        <v>0</v>
      </c>
      <c r="I27" s="8">
        <f t="shared" si="8"/>
        <v>0</v>
      </c>
      <c r="J27" s="10">
        <f t="shared" si="9"/>
        <v>0</v>
      </c>
      <c r="K27" s="7">
        <f>'[7]May Prod'!H281</f>
        <v>998935</v>
      </c>
      <c r="L27" s="8">
        <f t="shared" si="10"/>
        <v>0.99893500000000002</v>
      </c>
      <c r="M27" s="10">
        <f t="shared" si="11"/>
        <v>3.0667304500000001</v>
      </c>
      <c r="N27" s="21"/>
      <c r="O27" s="7">
        <f>'[7]May Prod'!H26</f>
        <v>5803000.0000000019</v>
      </c>
      <c r="P27" s="8">
        <f t="shared" si="12"/>
        <v>5.8030000000000017</v>
      </c>
      <c r="Q27" s="10">
        <f t="shared" si="0"/>
        <v>17.815210000000004</v>
      </c>
      <c r="R27" s="7">
        <f>'[7]May Prod'!C26</f>
        <v>5932000</v>
      </c>
      <c r="S27" s="8">
        <f t="shared" si="13"/>
        <v>5.9320000000000004</v>
      </c>
      <c r="T27" s="10">
        <f t="shared" si="1"/>
        <v>18.21124</v>
      </c>
      <c r="U27" s="7">
        <f>'[7]May Prod'!D26</f>
        <v>0</v>
      </c>
      <c r="V27" s="8">
        <f t="shared" si="14"/>
        <v>0</v>
      </c>
      <c r="W27" s="10">
        <f t="shared" si="2"/>
        <v>0</v>
      </c>
      <c r="X27" s="7">
        <f>'[7]May Prod'!D281</f>
        <v>128999.99999999779</v>
      </c>
      <c r="Y27" s="8">
        <f t="shared" si="15"/>
        <v>0.12899999999999778</v>
      </c>
      <c r="Z27" s="10">
        <f t="shared" si="3"/>
        <v>0.39602999999999317</v>
      </c>
      <c r="AA27" s="15"/>
      <c r="AB27" s="7">
        <f t="shared" si="16"/>
        <v>13403000.000002185</v>
      </c>
      <c r="AC27" s="8">
        <f t="shared" si="16"/>
        <v>13.403000000002184</v>
      </c>
      <c r="AD27" s="8">
        <f t="shared" si="16"/>
        <v>41.147210000006709</v>
      </c>
    </row>
    <row r="28" spans="1:30" x14ac:dyDescent="0.25">
      <c r="A28" s="27">
        <v>38496</v>
      </c>
      <c r="B28" s="7">
        <f>'[7]May Prod'!I27</f>
        <v>7899999.999997817</v>
      </c>
      <c r="C28" s="8">
        <f t="shared" si="4"/>
        <v>7.8999999999978172</v>
      </c>
      <c r="D28" s="10">
        <f t="shared" si="5"/>
        <v>24.252999999993296</v>
      </c>
      <c r="E28" s="7">
        <f>'[7]May Prod'!E27</f>
        <v>9000000</v>
      </c>
      <c r="F28" s="8">
        <f t="shared" si="6"/>
        <v>9</v>
      </c>
      <c r="G28" s="10">
        <f t="shared" si="7"/>
        <v>27.63</v>
      </c>
      <c r="H28" s="7">
        <f>'[7]May Prod'!F27</f>
        <v>0</v>
      </c>
      <c r="I28" s="8">
        <f t="shared" si="8"/>
        <v>0</v>
      </c>
      <c r="J28" s="10">
        <f t="shared" si="9"/>
        <v>0</v>
      </c>
      <c r="K28" s="7">
        <f>'[7]May Prod'!H282</f>
        <v>1023669</v>
      </c>
      <c r="L28" s="8">
        <f t="shared" si="10"/>
        <v>1.0236689999999999</v>
      </c>
      <c r="M28" s="10">
        <f t="shared" si="11"/>
        <v>3.1426638299999996</v>
      </c>
      <c r="N28" s="21"/>
      <c r="O28" s="7">
        <f>'[7]May Prod'!H27</f>
        <v>5938000.0000000019</v>
      </c>
      <c r="P28" s="8">
        <f t="shared" si="12"/>
        <v>5.9380000000000015</v>
      </c>
      <c r="Q28" s="10">
        <f t="shared" si="0"/>
        <v>18.229660000000003</v>
      </c>
      <c r="R28" s="7">
        <f>'[7]May Prod'!C27</f>
        <v>6070000</v>
      </c>
      <c r="S28" s="8">
        <f t="shared" si="13"/>
        <v>6.07</v>
      </c>
      <c r="T28" s="10">
        <f t="shared" si="1"/>
        <v>18.634899999999998</v>
      </c>
      <c r="U28" s="7">
        <f>'[7]May Prod'!D27</f>
        <v>0</v>
      </c>
      <c r="V28" s="8">
        <f t="shared" si="14"/>
        <v>0</v>
      </c>
      <c r="W28" s="10">
        <f t="shared" si="2"/>
        <v>0</v>
      </c>
      <c r="X28" s="7">
        <f>'[7]May Prod'!D282</f>
        <v>131999.9999999979</v>
      </c>
      <c r="Y28" s="8">
        <f t="shared" si="15"/>
        <v>0.1319999999999979</v>
      </c>
      <c r="Z28" s="10">
        <f t="shared" si="3"/>
        <v>0.40523999999999349</v>
      </c>
      <c r="AA28" s="15"/>
      <c r="AB28" s="7">
        <f t="shared" si="16"/>
        <v>13837999.999997819</v>
      </c>
      <c r="AC28" s="8">
        <f t="shared" si="16"/>
        <v>13.83799999999782</v>
      </c>
      <c r="AD28" s="8">
        <f t="shared" si="16"/>
        <v>42.482659999993302</v>
      </c>
    </row>
    <row r="29" spans="1:30" x14ac:dyDescent="0.25">
      <c r="A29" s="27">
        <v>38497</v>
      </c>
      <c r="B29" s="7">
        <f>'[7]May Prod'!I28</f>
        <v>7400000.0000014547</v>
      </c>
      <c r="C29" s="8">
        <f t="shared" si="4"/>
        <v>7.4000000000014543</v>
      </c>
      <c r="D29" s="10">
        <f t="shared" si="5"/>
        <v>22.718000000004462</v>
      </c>
      <c r="E29" s="7">
        <f>'[7]May Prod'!E28</f>
        <v>9000000</v>
      </c>
      <c r="F29" s="8">
        <f t="shared" si="6"/>
        <v>9</v>
      </c>
      <c r="G29" s="10">
        <f t="shared" si="7"/>
        <v>27.63</v>
      </c>
      <c r="H29" s="7">
        <f>'[7]May Prod'!F28</f>
        <v>0</v>
      </c>
      <c r="I29" s="8">
        <f t="shared" si="8"/>
        <v>0</v>
      </c>
      <c r="J29" s="10">
        <f t="shared" si="9"/>
        <v>0</v>
      </c>
      <c r="K29" s="7">
        <f>'[7]May Prod'!H283</f>
        <v>1084404</v>
      </c>
      <c r="L29" s="8">
        <f t="shared" si="10"/>
        <v>1.0844039999999999</v>
      </c>
      <c r="M29" s="10">
        <f t="shared" si="11"/>
        <v>3.3291202799999997</v>
      </c>
      <c r="N29" s="21"/>
      <c r="O29" s="7">
        <f>'[7]May Prod'!H28</f>
        <v>5560999.9999999963</v>
      </c>
      <c r="P29" s="8">
        <f t="shared" si="12"/>
        <v>5.5609999999999964</v>
      </c>
      <c r="Q29" s="10">
        <f t="shared" si="0"/>
        <v>17.072269999999989</v>
      </c>
      <c r="R29" s="7">
        <f>'[7]May Prod'!C28</f>
        <v>5895000</v>
      </c>
      <c r="S29" s="8">
        <f t="shared" si="13"/>
        <v>5.8949999999999996</v>
      </c>
      <c r="T29" s="10">
        <f t="shared" si="1"/>
        <v>18.097649999999998</v>
      </c>
      <c r="U29" s="7">
        <f>'[7]May Prod'!D28</f>
        <v>0</v>
      </c>
      <c r="V29" s="8">
        <f t="shared" si="14"/>
        <v>0</v>
      </c>
      <c r="W29" s="10">
        <f t="shared" si="2"/>
        <v>0</v>
      </c>
      <c r="X29" s="7">
        <f>'[7]May Prod'!D283</f>
        <v>334000.0000000032</v>
      </c>
      <c r="Y29" s="8">
        <f t="shared" si="15"/>
        <v>0.33400000000000318</v>
      </c>
      <c r="Z29" s="10">
        <f t="shared" si="3"/>
        <v>1.0253800000000097</v>
      </c>
      <c r="AA29" s="15"/>
      <c r="AB29" s="7">
        <f t="shared" si="16"/>
        <v>12961000.000001451</v>
      </c>
      <c r="AC29" s="8">
        <f t="shared" si="16"/>
        <v>12.961000000001452</v>
      </c>
      <c r="AD29" s="8">
        <f t="shared" si="16"/>
        <v>39.790270000004455</v>
      </c>
    </row>
    <row r="30" spans="1:30" x14ac:dyDescent="0.25">
      <c r="A30" s="27">
        <v>38498</v>
      </c>
      <c r="B30" s="7">
        <f>'[7]May Prod'!I29</f>
        <v>9099999.9999985453</v>
      </c>
      <c r="C30" s="8">
        <f t="shared" si="4"/>
        <v>9.0999999999985448</v>
      </c>
      <c r="D30" s="10">
        <f t="shared" si="5"/>
        <v>27.936999999995532</v>
      </c>
      <c r="E30" s="7">
        <f>'[7]May Prod'!E29</f>
        <v>11000000</v>
      </c>
      <c r="F30" s="8">
        <f t="shared" si="6"/>
        <v>11</v>
      </c>
      <c r="G30" s="10">
        <f t="shared" si="7"/>
        <v>33.769999999999996</v>
      </c>
      <c r="H30" s="7">
        <f>'[7]May Prod'!F29</f>
        <v>0</v>
      </c>
      <c r="I30" s="8">
        <f t="shared" si="8"/>
        <v>0</v>
      </c>
      <c r="J30" s="10">
        <f t="shared" si="9"/>
        <v>0</v>
      </c>
      <c r="K30" s="7">
        <f>'[7]May Prod'!H284</f>
        <v>12274000</v>
      </c>
      <c r="L30" s="56">
        <f t="shared" si="10"/>
        <v>12.273999999999999</v>
      </c>
      <c r="M30" s="10">
        <f t="shared" si="11"/>
        <v>37.681179999999998</v>
      </c>
      <c r="N30" s="21"/>
      <c r="O30" s="7">
        <f>'[7]May Prod'!H29</f>
        <v>5951000.0000000019</v>
      </c>
      <c r="P30" s="8">
        <f t="shared" si="12"/>
        <v>5.9510000000000023</v>
      </c>
      <c r="Q30" s="10">
        <f t="shared" si="0"/>
        <v>18.269570000000005</v>
      </c>
      <c r="R30" s="7">
        <f>'[7]May Prod'!C29</f>
        <v>6080000</v>
      </c>
      <c r="S30" s="8">
        <f t="shared" si="13"/>
        <v>6.08</v>
      </c>
      <c r="T30" s="10">
        <f t="shared" si="1"/>
        <v>18.665599999999998</v>
      </c>
      <c r="U30" s="7">
        <f>'[7]May Prod'!D29</f>
        <v>0</v>
      </c>
      <c r="V30" s="8">
        <f t="shared" si="14"/>
        <v>0</v>
      </c>
      <c r="W30" s="10">
        <f t="shared" si="2"/>
        <v>0</v>
      </c>
      <c r="X30" s="7">
        <f>'[7]May Prod'!D284</f>
        <v>128999.99999999779</v>
      </c>
      <c r="Y30" s="8">
        <f t="shared" si="15"/>
        <v>0.12899999999999778</v>
      </c>
      <c r="Z30" s="10">
        <f t="shared" si="3"/>
        <v>0.39602999999999317</v>
      </c>
      <c r="AA30" s="15"/>
      <c r="AB30" s="7">
        <f t="shared" si="16"/>
        <v>15050999.999998547</v>
      </c>
      <c r="AC30" s="8">
        <f t="shared" si="16"/>
        <v>15.050999999998547</v>
      </c>
      <c r="AD30" s="8">
        <f t="shared" si="16"/>
        <v>46.206569999995537</v>
      </c>
    </row>
    <row r="31" spans="1:30" x14ac:dyDescent="0.25">
      <c r="A31" s="27">
        <v>38499</v>
      </c>
      <c r="B31" s="7">
        <f>'[7]May Prod'!I30</f>
        <v>8500000</v>
      </c>
      <c r="C31" s="8">
        <f t="shared" si="4"/>
        <v>8.5</v>
      </c>
      <c r="D31" s="10">
        <f t="shared" si="5"/>
        <v>26.094999999999999</v>
      </c>
      <c r="E31" s="7">
        <f>'[7]May Prod'!E30</f>
        <v>10000000</v>
      </c>
      <c r="F31" s="8">
        <f t="shared" si="6"/>
        <v>10</v>
      </c>
      <c r="G31" s="10">
        <f t="shared" si="7"/>
        <v>30.7</v>
      </c>
      <c r="H31" s="7">
        <f>'[7]May Prod'!F30</f>
        <v>0</v>
      </c>
      <c r="I31" s="8">
        <f t="shared" si="8"/>
        <v>0</v>
      </c>
      <c r="J31" s="10">
        <f t="shared" si="9"/>
        <v>0</v>
      </c>
      <c r="K31" s="7">
        <f>'[7]May Prod'!H285</f>
        <v>1251174</v>
      </c>
      <c r="L31" s="8">
        <f t="shared" si="10"/>
        <v>1.251174</v>
      </c>
      <c r="M31" s="10">
        <f t="shared" si="11"/>
        <v>3.8411041799999999</v>
      </c>
      <c r="N31" s="21"/>
      <c r="O31" s="7">
        <f>'[7]May Prod'!H30</f>
        <v>5854000.0000000019</v>
      </c>
      <c r="P31" s="8">
        <f t="shared" si="12"/>
        <v>5.8540000000000019</v>
      </c>
      <c r="Q31" s="10">
        <f t="shared" si="0"/>
        <v>17.971780000000006</v>
      </c>
      <c r="R31" s="7">
        <f>'[7]May Prod'!C30</f>
        <v>5986000</v>
      </c>
      <c r="S31" s="8">
        <f t="shared" si="13"/>
        <v>5.9859999999999998</v>
      </c>
      <c r="T31" s="10">
        <f t="shared" si="1"/>
        <v>18.377019999999998</v>
      </c>
      <c r="U31" s="7">
        <f>'[7]May Prod'!D30</f>
        <v>0</v>
      </c>
      <c r="V31" s="8">
        <f t="shared" si="14"/>
        <v>0</v>
      </c>
      <c r="W31" s="10">
        <f t="shared" si="2"/>
        <v>0</v>
      </c>
      <c r="X31" s="7">
        <f>'[7]May Prod'!D285</f>
        <v>131999.9999999979</v>
      </c>
      <c r="Y31" s="8">
        <f t="shared" si="15"/>
        <v>0.1319999999999979</v>
      </c>
      <c r="Z31" s="10">
        <f t="shared" si="3"/>
        <v>0.40523999999999349</v>
      </c>
      <c r="AA31" s="15"/>
      <c r="AB31" s="7">
        <f t="shared" si="16"/>
        <v>14354000.000000002</v>
      </c>
      <c r="AC31" s="8">
        <f t="shared" si="16"/>
        <v>14.354000000000003</v>
      </c>
      <c r="AD31" s="8">
        <f t="shared" si="16"/>
        <v>44.066780000000008</v>
      </c>
    </row>
    <row r="32" spans="1:30" x14ac:dyDescent="0.25">
      <c r="A32" s="27">
        <v>38500</v>
      </c>
      <c r="B32" s="7">
        <f>'[7]May Prod'!I31</f>
        <v>8600000.000002183</v>
      </c>
      <c r="C32" s="8">
        <f t="shared" si="4"/>
        <v>8.6000000000021828</v>
      </c>
      <c r="D32" s="10">
        <f t="shared" si="5"/>
        <v>26.402000000006701</v>
      </c>
      <c r="E32" s="7">
        <f>'[7]May Prod'!E31</f>
        <v>10000000</v>
      </c>
      <c r="F32" s="8">
        <f t="shared" si="6"/>
        <v>10</v>
      </c>
      <c r="G32" s="10">
        <f t="shared" si="7"/>
        <v>30.7</v>
      </c>
      <c r="H32" s="7">
        <f>'[7]May Prod'!F31</f>
        <v>0</v>
      </c>
      <c r="I32" s="8">
        <f t="shared" si="8"/>
        <v>0</v>
      </c>
      <c r="J32" s="10">
        <f t="shared" si="9"/>
        <v>0</v>
      </c>
      <c r="K32" s="7">
        <f>'[7]May Prod'!H286</f>
        <v>1192536</v>
      </c>
      <c r="L32" s="8">
        <f t="shared" si="10"/>
        <v>1.192536</v>
      </c>
      <c r="M32" s="10">
        <f t="shared" si="11"/>
        <v>3.6610855199999999</v>
      </c>
      <c r="N32" s="21"/>
      <c r="O32" s="7">
        <f>'[7]May Prod'!H31</f>
        <v>7787999.9999999953</v>
      </c>
      <c r="P32" s="8">
        <f t="shared" si="12"/>
        <v>7.7879999999999949</v>
      </c>
      <c r="Q32" s="10">
        <f t="shared" si="0"/>
        <v>23.909159999999982</v>
      </c>
      <c r="R32" s="7">
        <f>'[7]May Prod'!C31</f>
        <v>7853000</v>
      </c>
      <c r="S32" s="8">
        <f t="shared" si="13"/>
        <v>7.8529999999999998</v>
      </c>
      <c r="T32" s="10">
        <f t="shared" si="1"/>
        <v>24.108709999999999</v>
      </c>
      <c r="U32" s="7">
        <f>'[7]May Prod'!D31</f>
        <v>0</v>
      </c>
      <c r="V32" s="8">
        <f t="shared" si="14"/>
        <v>0</v>
      </c>
      <c r="W32" s="10">
        <f t="shared" si="2"/>
        <v>0</v>
      </c>
      <c r="X32" s="7">
        <f>'[7]May Prod'!D286</f>
        <v>65000.000000004831</v>
      </c>
      <c r="Y32" s="8">
        <f t="shared" si="15"/>
        <v>6.5000000000004832E-2</v>
      </c>
      <c r="Z32" s="10">
        <f t="shared" si="3"/>
        <v>0.19955000000001483</v>
      </c>
      <c r="AA32" s="15"/>
      <c r="AB32" s="7">
        <f t="shared" si="16"/>
        <v>16388000.000002179</v>
      </c>
      <c r="AC32" s="8">
        <f t="shared" si="16"/>
        <v>16.388000000002179</v>
      </c>
      <c r="AD32" s="8">
        <f t="shared" si="16"/>
        <v>50.31116000000668</v>
      </c>
    </row>
    <row r="33" spans="1:30" x14ac:dyDescent="0.25">
      <c r="A33" s="27">
        <v>38501</v>
      </c>
      <c r="B33" s="7">
        <f>'[7]May Prod'!I32</f>
        <v>7599999.9999985453</v>
      </c>
      <c r="C33" s="8">
        <f t="shared" si="4"/>
        <v>7.5999999999985457</v>
      </c>
      <c r="D33" s="10">
        <f t="shared" si="5"/>
        <v>23.331999999995535</v>
      </c>
      <c r="E33" s="7">
        <f>'[7]May Prod'!E32</f>
        <v>9000000</v>
      </c>
      <c r="F33" s="8">
        <f t="shared" si="6"/>
        <v>9</v>
      </c>
      <c r="G33" s="10">
        <f t="shared" si="7"/>
        <v>27.63</v>
      </c>
      <c r="H33" s="7">
        <f>'[7]May Prod'!F32</f>
        <v>0</v>
      </c>
      <c r="I33" s="8">
        <f t="shared" si="8"/>
        <v>0</v>
      </c>
      <c r="J33" s="10">
        <f t="shared" si="9"/>
        <v>0</v>
      </c>
      <c r="K33" s="7">
        <f>'[7]May Prod'!H287</f>
        <v>982355</v>
      </c>
      <c r="L33" s="8">
        <f t="shared" si="10"/>
        <v>0.98235499999999998</v>
      </c>
      <c r="M33" s="10">
        <f t="shared" si="11"/>
        <v>3.0158298499999998</v>
      </c>
      <c r="N33" s="21"/>
      <c r="O33" s="7">
        <f>'[7]May Prod'!H32</f>
        <v>6756000.0000000047</v>
      </c>
      <c r="P33" s="8">
        <f t="shared" si="12"/>
        <v>6.7560000000000047</v>
      </c>
      <c r="Q33" s="10">
        <f t="shared" si="0"/>
        <v>20.740920000000013</v>
      </c>
      <c r="R33" s="7">
        <f>'[7]May Prod'!C32</f>
        <v>6956000</v>
      </c>
      <c r="S33" s="8">
        <f t="shared" si="13"/>
        <v>6.9560000000000004</v>
      </c>
      <c r="T33" s="10">
        <f t="shared" si="1"/>
        <v>21.35492</v>
      </c>
      <c r="U33" s="7">
        <f>'[7]May Prod'!D32</f>
        <v>0</v>
      </c>
      <c r="V33" s="8">
        <f t="shared" si="14"/>
        <v>0</v>
      </c>
      <c r="W33" s="10">
        <f t="shared" si="2"/>
        <v>0</v>
      </c>
      <c r="X33" s="7">
        <f>'[7]May Prod'!D287</f>
        <v>199999.99999999575</v>
      </c>
      <c r="Y33" s="8">
        <f t="shared" si="15"/>
        <v>0.19999999999999576</v>
      </c>
      <c r="Z33" s="10">
        <f t="shared" si="3"/>
        <v>0.613999999999987</v>
      </c>
      <c r="AA33" s="15"/>
      <c r="AB33" s="7">
        <f t="shared" si="16"/>
        <v>14355999.999998551</v>
      </c>
      <c r="AC33" s="8">
        <f t="shared" si="16"/>
        <v>14.35599999999855</v>
      </c>
      <c r="AD33" s="8">
        <f t="shared" si="16"/>
        <v>44.072919999995548</v>
      </c>
    </row>
    <row r="34" spans="1:30" x14ac:dyDescent="0.25">
      <c r="A34" s="27">
        <v>38502</v>
      </c>
      <c r="B34" s="7">
        <f>'[7]May Prod'!I33</f>
        <v>7099999.9999985453</v>
      </c>
      <c r="C34" s="8">
        <f t="shared" si="4"/>
        <v>7.0999999999985457</v>
      </c>
      <c r="D34" s="10">
        <f t="shared" si="5"/>
        <v>21.796999999995535</v>
      </c>
      <c r="E34" s="7">
        <f>'[7]May Prod'!E33</f>
        <v>8000000</v>
      </c>
      <c r="F34" s="8">
        <f t="shared" si="6"/>
        <v>8</v>
      </c>
      <c r="G34" s="10">
        <f t="shared" si="7"/>
        <v>24.56</v>
      </c>
      <c r="H34" s="7">
        <f>'[7]May Prod'!F33</f>
        <v>0</v>
      </c>
      <c r="I34" s="8">
        <f t="shared" si="8"/>
        <v>0</v>
      </c>
      <c r="J34" s="10">
        <f t="shared" si="9"/>
        <v>0</v>
      </c>
      <c r="K34" s="7">
        <f>'[7]May Prod'!H288</f>
        <v>866316</v>
      </c>
      <c r="L34" s="8">
        <f t="shared" si="10"/>
        <v>0.86631599999999997</v>
      </c>
      <c r="M34" s="10">
        <f t="shared" si="11"/>
        <v>2.6595901199999998</v>
      </c>
      <c r="N34" s="21"/>
      <c r="O34" s="7">
        <f>'[7]May Prod'!H33</f>
        <v>5945999.9999999944</v>
      </c>
      <c r="P34" s="8">
        <f t="shared" si="12"/>
        <v>5.9459999999999944</v>
      </c>
      <c r="Q34" s="10">
        <f t="shared" si="0"/>
        <v>18.254219999999982</v>
      </c>
      <c r="R34" s="7">
        <f>'[7]May Prod'!C33</f>
        <v>6145000</v>
      </c>
      <c r="S34" s="8">
        <f t="shared" si="13"/>
        <v>6.1449999999999996</v>
      </c>
      <c r="T34" s="10">
        <f t="shared" si="1"/>
        <v>18.865149999999996</v>
      </c>
      <c r="U34" s="7">
        <f>'[7]May Prod'!D33</f>
        <v>0</v>
      </c>
      <c r="V34" s="8">
        <f t="shared" si="14"/>
        <v>0</v>
      </c>
      <c r="W34" s="10">
        <f t="shared" si="2"/>
        <v>0</v>
      </c>
      <c r="X34" s="7">
        <f>'[7]May Prod'!D288</f>
        <v>199000.00000000518</v>
      </c>
      <c r="Y34" s="8">
        <f t="shared" si="15"/>
        <v>0.19900000000000517</v>
      </c>
      <c r="Z34" s="10">
        <f t="shared" si="3"/>
        <v>0.61093000000001585</v>
      </c>
      <c r="AA34" s="15"/>
      <c r="AB34" s="7">
        <f t="shared" si="16"/>
        <v>13045999.99999854</v>
      </c>
      <c r="AC34" s="8">
        <f t="shared" si="16"/>
        <v>13.045999999998539</v>
      </c>
      <c r="AD34" s="8">
        <f t="shared" si="16"/>
        <v>40.051219999995517</v>
      </c>
    </row>
    <row r="35" spans="1:30" ht="13.8" thickBot="1" x14ac:dyDescent="0.3">
      <c r="A35" s="27">
        <v>38503</v>
      </c>
      <c r="B35" s="29">
        <f>'[7]May Prod'!I34</f>
        <v>8200000.0000007274</v>
      </c>
      <c r="C35" s="9">
        <f t="shared" si="4"/>
        <v>8.2000000000007276</v>
      </c>
      <c r="D35" s="11">
        <f t="shared" si="5"/>
        <v>25.174000000002234</v>
      </c>
      <c r="E35" s="29">
        <f>'[7]May Prod'!E34</f>
        <v>11000000</v>
      </c>
      <c r="F35" s="9">
        <f t="shared" si="6"/>
        <v>11</v>
      </c>
      <c r="G35" s="11">
        <f t="shared" si="7"/>
        <v>33.769999999999996</v>
      </c>
      <c r="H35" s="29">
        <f>'[7]May Prod'!F34</f>
        <v>0</v>
      </c>
      <c r="I35" s="8">
        <f t="shared" si="8"/>
        <v>0</v>
      </c>
      <c r="J35" s="11">
        <f t="shared" si="9"/>
        <v>0</v>
      </c>
      <c r="K35" s="7">
        <f>'[7]May Prod'!H289</f>
        <v>1186895</v>
      </c>
      <c r="L35" s="9">
        <f t="shared" si="10"/>
        <v>1.186895</v>
      </c>
      <c r="M35" s="11">
        <f t="shared" si="11"/>
        <v>3.64376765</v>
      </c>
      <c r="N35" s="21"/>
      <c r="O35" s="29">
        <f>'[7]May Prod'!H34</f>
        <v>10546000.000000002</v>
      </c>
      <c r="P35" s="9">
        <f t="shared" si="12"/>
        <v>10.546000000000001</v>
      </c>
      <c r="Q35" s="11">
        <f t="shared" si="0"/>
        <v>32.376220000000004</v>
      </c>
      <c r="R35" s="29">
        <f>'[7]May Prod'!C34</f>
        <v>10809000</v>
      </c>
      <c r="S35" s="9">
        <f t="shared" si="13"/>
        <v>10.808999999999999</v>
      </c>
      <c r="T35" s="11">
        <f t="shared" si="1"/>
        <v>33.183629999999994</v>
      </c>
      <c r="U35" s="7">
        <f>'[7]May Prod'!D34</f>
        <v>0</v>
      </c>
      <c r="V35" s="9">
        <f t="shared" si="14"/>
        <v>0</v>
      </c>
      <c r="W35" s="11">
        <f t="shared" si="2"/>
        <v>0</v>
      </c>
      <c r="X35" s="7">
        <f>'[7]May Prod'!D289</f>
        <v>262999.99999999814</v>
      </c>
      <c r="Y35" s="8">
        <f t="shared" si="15"/>
        <v>0.26299999999999812</v>
      </c>
      <c r="Z35" s="10">
        <f t="shared" si="3"/>
        <v>0.80740999999999419</v>
      </c>
      <c r="AA35" s="15"/>
      <c r="AB35" s="7">
        <f t="shared" si="16"/>
        <v>18746000.00000073</v>
      </c>
      <c r="AC35" s="8">
        <f t="shared" si="16"/>
        <v>18.746000000000727</v>
      </c>
      <c r="AD35" s="8">
        <f t="shared" si="16"/>
        <v>57.550220000002241</v>
      </c>
    </row>
    <row r="36" spans="1:30" s="18" customFormat="1" ht="13.8" thickBot="1" x14ac:dyDescent="0.3">
      <c r="A36" s="15"/>
      <c r="B36" s="38"/>
      <c r="C36" s="39">
        <f>SUM(C5:C35)</f>
        <v>239</v>
      </c>
      <c r="D36" s="39">
        <f t="shared" si="5"/>
        <v>733.73</v>
      </c>
      <c r="E36" s="38"/>
      <c r="F36" s="39">
        <f>SUM(F5:F35)</f>
        <v>283</v>
      </c>
      <c r="G36" s="39">
        <f t="shared" si="7"/>
        <v>868.81</v>
      </c>
      <c r="H36" s="38"/>
      <c r="I36" s="39">
        <f>SUM(I5:I35)</f>
        <v>0</v>
      </c>
      <c r="J36" s="39">
        <f t="shared" si="9"/>
        <v>0</v>
      </c>
      <c r="K36" s="38"/>
      <c r="L36" s="39">
        <f>SUM(L5:L35)</f>
        <v>44.212229999999991</v>
      </c>
      <c r="M36" s="39">
        <f>L36*3.07</f>
        <v>135.73154609999997</v>
      </c>
      <c r="N36" s="14"/>
      <c r="O36" s="38"/>
      <c r="P36" s="39">
        <f>SUM(P5:P35)</f>
        <v>209.03799999999995</v>
      </c>
      <c r="Q36" s="39">
        <f t="shared" si="0"/>
        <v>641.74665999999979</v>
      </c>
      <c r="R36" s="38"/>
      <c r="S36" s="39">
        <f>SUM(S5:S35)</f>
        <v>215.49099999999999</v>
      </c>
      <c r="T36" s="39">
        <f t="shared" si="1"/>
        <v>661.55736999999988</v>
      </c>
      <c r="U36" s="38"/>
      <c r="V36" s="39">
        <f>SUM(V5:V35)</f>
        <v>0</v>
      </c>
      <c r="W36" s="39">
        <f>V36*3.07</f>
        <v>0</v>
      </c>
      <c r="X36" s="38"/>
      <c r="Y36" s="39">
        <f>SUM(Y5:Y35)</f>
        <v>6.453000000000003</v>
      </c>
      <c r="Z36" s="39">
        <f>Y36*3.07</f>
        <v>19.810710000000007</v>
      </c>
      <c r="AA36" s="14"/>
      <c r="AB36" s="38"/>
      <c r="AC36" s="39">
        <f>SUM(AC5:AC35)</f>
        <v>448.03799999999995</v>
      </c>
      <c r="AD36" s="39">
        <f>AC36*3.07</f>
        <v>1375.4766599999998</v>
      </c>
    </row>
    <row r="37" spans="1:30" x14ac:dyDescent="0.25">
      <c r="C37" s="18"/>
      <c r="E37" s="3"/>
      <c r="F37" s="3"/>
      <c r="G37" s="3"/>
      <c r="H37" s="3"/>
      <c r="I37" s="3"/>
      <c r="J37" s="15"/>
      <c r="K37" s="14"/>
      <c r="L37" s="3"/>
      <c r="M37" s="3"/>
      <c r="N37" s="3"/>
      <c r="O37" s="3"/>
      <c r="P37" s="3"/>
      <c r="Q37" s="3"/>
      <c r="R37" s="3"/>
      <c r="S37" s="3"/>
      <c r="T37" s="3"/>
      <c r="U37" s="14"/>
      <c r="W37" s="30"/>
    </row>
  </sheetData>
  <mergeCells count="9">
    <mergeCell ref="AB3:AD3"/>
    <mergeCell ref="R3:T3"/>
    <mergeCell ref="U3:W3"/>
    <mergeCell ref="X3:Z3"/>
    <mergeCell ref="B3:D3"/>
    <mergeCell ref="E3:G3"/>
    <mergeCell ref="H3:J3"/>
    <mergeCell ref="O3:Q3"/>
    <mergeCell ref="K3:M3"/>
  </mergeCells>
  <phoneticPr fontId="1" type="noConversion"/>
  <pageMargins left="0.75" right="0.75" top="1" bottom="1" header="0.5" footer="0.5"/>
  <pageSetup paperSize="5" scale="60" orientation="landscape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AF43"/>
  <sheetViews>
    <sheetView workbookViewId="0">
      <pane xSplit="1" ySplit="4" topLeftCell="B12" activePane="bottomRight" state="frozen"/>
      <selection pane="topRight" activeCell="B1" sqref="B1"/>
      <selection pane="bottomLeft" activeCell="A5" sqref="A5"/>
      <selection pane="bottomRight" activeCell="K26" sqref="K26"/>
    </sheetView>
  </sheetViews>
  <sheetFormatPr defaultRowHeight="13.2" x14ac:dyDescent="0.25"/>
  <cols>
    <col min="2" max="2" width="11.109375" customWidth="1"/>
    <col min="5" max="5" width="15.33203125" customWidth="1"/>
    <col min="7" max="7" width="11.44140625" customWidth="1"/>
    <col min="8" max="8" width="13.6640625" customWidth="1"/>
    <col min="11" max="11" width="11.6640625" bestFit="1" customWidth="1"/>
    <col min="12" max="12" width="11" customWidth="1"/>
    <col min="15" max="15" width="13.44140625" bestFit="1" customWidth="1"/>
    <col min="18" max="18" width="10.109375" customWidth="1"/>
    <col min="19" max="21" width="9.109375" customWidth="1"/>
    <col min="22" max="22" width="11.109375" customWidth="1"/>
    <col min="23" max="23" width="9.109375" customWidth="1"/>
    <col min="28" max="28" width="12.109375" customWidth="1"/>
  </cols>
  <sheetData>
    <row r="1" spans="1:32" x14ac:dyDescent="0.25">
      <c r="A1" s="44" t="s">
        <v>14</v>
      </c>
      <c r="B1" s="40"/>
      <c r="C1" s="25"/>
      <c r="D1" s="25"/>
      <c r="E1" s="25"/>
      <c r="F1" s="25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14"/>
      <c r="V1" s="3"/>
      <c r="W1" s="3"/>
      <c r="X1" s="3"/>
    </row>
    <row r="2" spans="1:32" ht="13.8" thickBot="1" x14ac:dyDescent="0.3">
      <c r="A2" s="3"/>
      <c r="B2" s="3"/>
      <c r="C2" s="24"/>
      <c r="D2" s="3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  <c r="V2" s="3"/>
      <c r="W2" s="3"/>
      <c r="X2" s="3"/>
    </row>
    <row r="3" spans="1:32" ht="60.75" customHeight="1" thickBot="1" x14ac:dyDescent="0.3">
      <c r="A3" s="3"/>
      <c r="B3" s="61" t="s">
        <v>10</v>
      </c>
      <c r="C3" s="62"/>
      <c r="D3" s="63"/>
      <c r="E3" s="61" t="s">
        <v>11</v>
      </c>
      <c r="F3" s="62"/>
      <c r="G3" s="63"/>
      <c r="H3" s="61" t="s">
        <v>12</v>
      </c>
      <c r="I3" s="62"/>
      <c r="J3" s="63"/>
      <c r="K3" s="61" t="s">
        <v>13</v>
      </c>
      <c r="L3" s="62"/>
      <c r="M3" s="63"/>
      <c r="N3" s="19"/>
      <c r="O3" s="61" t="s">
        <v>4</v>
      </c>
      <c r="P3" s="62"/>
      <c r="Q3" s="63"/>
      <c r="R3" s="61" t="s">
        <v>3</v>
      </c>
      <c r="S3" s="62"/>
      <c r="T3" s="63"/>
      <c r="U3" s="61" t="s">
        <v>6</v>
      </c>
      <c r="V3" s="62"/>
      <c r="W3" s="63"/>
      <c r="X3" s="61" t="s">
        <v>7</v>
      </c>
      <c r="Y3" s="62"/>
      <c r="Z3" s="63"/>
      <c r="AA3" s="19"/>
      <c r="AB3" s="58" t="s">
        <v>8</v>
      </c>
      <c r="AC3" s="59"/>
      <c r="AD3" s="60"/>
      <c r="AF3" s="34" t="s">
        <v>9</v>
      </c>
    </row>
    <row r="4" spans="1:32" x14ac:dyDescent="0.25">
      <c r="A4" s="26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4" t="s">
        <v>0</v>
      </c>
      <c r="AC4" s="5" t="s">
        <v>1</v>
      </c>
      <c r="AD4" s="6" t="s">
        <v>2</v>
      </c>
      <c r="AF4" s="5" t="s">
        <v>2</v>
      </c>
    </row>
    <row r="5" spans="1:32" x14ac:dyDescent="0.25">
      <c r="A5" s="27">
        <v>38504</v>
      </c>
      <c r="B5" s="7">
        <f>'[8]Jun Prod'!I4</f>
        <v>12100000.000002183</v>
      </c>
      <c r="C5" s="8">
        <f>B5/1000000</f>
        <v>12.100000000002183</v>
      </c>
      <c r="D5" s="10">
        <f>C5*3.07</f>
        <v>37.147000000006699</v>
      </c>
      <c r="E5" s="7">
        <f>'[8]Jun Prod'!E4</f>
        <v>14000000</v>
      </c>
      <c r="F5" s="8">
        <f>E5/1000000</f>
        <v>14</v>
      </c>
      <c r="G5" s="10">
        <f>F5*3.07</f>
        <v>42.98</v>
      </c>
      <c r="H5" s="7">
        <f>'[8]Jun Prod'!F4</f>
        <v>0</v>
      </c>
      <c r="I5" s="8">
        <f>H5/1000000</f>
        <v>0</v>
      </c>
      <c r="J5" s="10">
        <f>I5*3.07</f>
        <v>0</v>
      </c>
      <c r="K5" s="7">
        <f>'[8]Jun Prod'!H252</f>
        <v>1659553</v>
      </c>
      <c r="L5" s="8">
        <f>K5/1000000</f>
        <v>1.6595530000000001</v>
      </c>
      <c r="M5" s="10">
        <f>L5*3.07</f>
        <v>5.0948277099999997</v>
      </c>
      <c r="N5" s="21"/>
      <c r="O5" s="7">
        <f>'[8]Jun Prod'!H4</f>
        <v>9752000</v>
      </c>
      <c r="P5" s="8">
        <f>O5/1000000</f>
        <v>9.7520000000000007</v>
      </c>
      <c r="Q5" s="10">
        <f>P5*3.07</f>
        <v>29.938639999999999</v>
      </c>
      <c r="R5" s="7">
        <f>'[8]Jun Prod'!C4</f>
        <v>10017000</v>
      </c>
      <c r="S5" s="8">
        <f>R5/1000000</f>
        <v>10.016999999999999</v>
      </c>
      <c r="T5" s="10">
        <f>S5*3.07</f>
        <v>30.752189999999995</v>
      </c>
      <c r="U5" s="7">
        <f>'[8]Jun Prod'!D4</f>
        <v>0</v>
      </c>
      <c r="V5" s="8">
        <f>U5/1000000</f>
        <v>0</v>
      </c>
      <c r="W5" s="10">
        <f>V5*3.07</f>
        <v>0</v>
      </c>
      <c r="X5" s="7">
        <f>'[8]Jun Prod'!D252</f>
        <v>265000.00000000058</v>
      </c>
      <c r="Y5" s="8">
        <f>X5/1000000</f>
        <v>0.26500000000000057</v>
      </c>
      <c r="Z5" s="10">
        <f>Y5*3.07</f>
        <v>0.81355000000000166</v>
      </c>
      <c r="AA5" s="15"/>
      <c r="AB5" s="7">
        <f>B5+O5</f>
        <v>21852000.000002183</v>
      </c>
      <c r="AC5" s="8">
        <f>C5+P5</f>
        <v>21.852000000002185</v>
      </c>
      <c r="AD5" s="8">
        <f>D5+Q5</f>
        <v>67.085640000006691</v>
      </c>
      <c r="AF5" s="8">
        <f t="shared" ref="AF5:AF14" si="0">T5-Q5-Z5</f>
        <v>-5.8841820305133297E-15</v>
      </c>
    </row>
    <row r="6" spans="1:32" x14ac:dyDescent="0.25">
      <c r="A6" s="27">
        <v>38505</v>
      </c>
      <c r="B6" s="7">
        <f>'[8]Jun Prod'!I5</f>
        <v>13500000</v>
      </c>
      <c r="C6" s="8">
        <f t="shared" ref="C6:C34" si="1">B6/1000000</f>
        <v>13.5</v>
      </c>
      <c r="D6" s="10">
        <f t="shared" ref="D6:D35" si="2">C6*3.07</f>
        <v>41.445</v>
      </c>
      <c r="E6" s="7">
        <f>'[8]Jun Prod'!E5</f>
        <v>15000000</v>
      </c>
      <c r="F6" s="8">
        <f t="shared" ref="F6:F34" si="3">E6/1000000</f>
        <v>15</v>
      </c>
      <c r="G6" s="10">
        <f t="shared" ref="G6:G35" si="4">F6*3.07</f>
        <v>46.05</v>
      </c>
      <c r="H6" s="7">
        <f>'[8]Jun Prod'!F5</f>
        <v>0</v>
      </c>
      <c r="I6" s="8">
        <f t="shared" ref="I6:I34" si="5">H6/1000000</f>
        <v>0</v>
      </c>
      <c r="J6" s="10">
        <f t="shared" ref="J6:J35" si="6">I6*3.07</f>
        <v>0</v>
      </c>
      <c r="K6" s="7">
        <f>'[8]Jun Prod'!H253</f>
        <v>1683964</v>
      </c>
      <c r="L6" s="8">
        <f>K6/1000000</f>
        <v>1.683964</v>
      </c>
      <c r="M6" s="10">
        <f t="shared" ref="M6:M35" si="7">L6*3.07</f>
        <v>5.1697694799999994</v>
      </c>
      <c r="N6" s="21"/>
      <c r="O6" s="7">
        <f>'[8]Jun Prod'!H5</f>
        <v>9014000.0000000019</v>
      </c>
      <c r="P6" s="8">
        <f t="shared" ref="P6:P34" si="8">O6/1000000</f>
        <v>9.0140000000000011</v>
      </c>
      <c r="Q6" s="10">
        <f t="shared" ref="Q6:Q35" si="9">P6*3.07</f>
        <v>27.672980000000003</v>
      </c>
      <c r="R6" s="7">
        <f>'[8]Jun Prod'!C5</f>
        <v>9216000</v>
      </c>
      <c r="S6" s="8">
        <f t="shared" ref="S6:S34" si="10">R6/1000000</f>
        <v>9.2159999999999993</v>
      </c>
      <c r="T6" s="10">
        <f t="shared" ref="T6:T35" si="11">S6*3.07</f>
        <v>28.293119999999995</v>
      </c>
      <c r="U6" s="7">
        <f>'[8]Jun Prod'!D5</f>
        <v>0</v>
      </c>
      <c r="V6" s="8">
        <f t="shared" ref="V6:V34" si="12">U6/1000000</f>
        <v>0</v>
      </c>
      <c r="W6" s="10">
        <f t="shared" ref="W6:W35" si="13">V6*3.07</f>
        <v>0</v>
      </c>
      <c r="X6" s="7">
        <f>'[8]Jun Prod'!D253</f>
        <v>201999.9999999982</v>
      </c>
      <c r="Y6" s="8">
        <f t="shared" ref="Y6:Y34" si="14">X6/1000000</f>
        <v>0.20199999999999821</v>
      </c>
      <c r="Z6" s="10">
        <f t="shared" ref="Z6:Z35" si="15">Y6*3.07</f>
        <v>0.62013999999999447</v>
      </c>
      <c r="AA6" s="15"/>
      <c r="AB6" s="7">
        <f t="shared" ref="AB6:AD34" si="16">B6+O6</f>
        <v>22514000</v>
      </c>
      <c r="AC6" s="8">
        <f t="shared" si="16"/>
        <v>22.514000000000003</v>
      </c>
      <c r="AD6" s="8">
        <f t="shared" si="16"/>
        <v>69.117980000000003</v>
      </c>
      <c r="AF6" s="8">
        <f t="shared" si="0"/>
        <v>-2.3314683517128287E-15</v>
      </c>
    </row>
    <row r="7" spans="1:32" x14ac:dyDescent="0.25">
      <c r="A7" s="27">
        <v>38506</v>
      </c>
      <c r="B7" s="7">
        <f>'[8]Jun Prod'!I6</f>
        <v>16799999.999999274</v>
      </c>
      <c r="C7" s="8">
        <f t="shared" si="1"/>
        <v>16.799999999999272</v>
      </c>
      <c r="D7" s="10">
        <f t="shared" si="2"/>
        <v>51.575999999997762</v>
      </c>
      <c r="E7" s="7">
        <f>'[8]Jun Prod'!E6</f>
        <v>20000000</v>
      </c>
      <c r="F7" s="8">
        <f t="shared" si="3"/>
        <v>20</v>
      </c>
      <c r="G7" s="10">
        <f t="shared" si="4"/>
        <v>61.4</v>
      </c>
      <c r="H7" s="7">
        <f>'[8]Jun Prod'!F6</f>
        <v>0</v>
      </c>
      <c r="I7" s="8">
        <f t="shared" si="5"/>
        <v>0</v>
      </c>
      <c r="J7" s="10">
        <f t="shared" si="6"/>
        <v>0</v>
      </c>
      <c r="K7" s="7">
        <f>'[8]Jun Prod'!H254</f>
        <v>2013015</v>
      </c>
      <c r="L7" s="8">
        <f t="shared" ref="L7:L34" si="17">K7/1000000</f>
        <v>2.0130150000000002</v>
      </c>
      <c r="M7" s="10">
        <f t="shared" si="7"/>
        <v>6.1799560500000004</v>
      </c>
      <c r="N7" s="21"/>
      <c r="O7" s="7">
        <f>'[8]Jun Prod'!H6</f>
        <v>7382999.9999999991</v>
      </c>
      <c r="P7" s="8">
        <f t="shared" si="8"/>
        <v>7.3829999999999991</v>
      </c>
      <c r="Q7" s="10">
        <f t="shared" si="9"/>
        <v>22.665809999999997</v>
      </c>
      <c r="R7" s="7">
        <f>'[8]Jun Prod'!C6</f>
        <v>7651000</v>
      </c>
      <c r="S7" s="8">
        <f t="shared" si="10"/>
        <v>7.6509999999999998</v>
      </c>
      <c r="T7" s="10">
        <f t="shared" si="11"/>
        <v>23.488569999999999</v>
      </c>
      <c r="U7" s="7">
        <f>'[8]Jun Prod'!D6</f>
        <v>0</v>
      </c>
      <c r="V7" s="8">
        <f t="shared" si="12"/>
        <v>0</v>
      </c>
      <c r="W7" s="10">
        <f t="shared" si="13"/>
        <v>0</v>
      </c>
      <c r="X7" s="7">
        <f>'[8]Jun Prod'!D254</f>
        <v>268000.0000000007</v>
      </c>
      <c r="Y7" s="8">
        <f t="shared" si="14"/>
        <v>0.26800000000000068</v>
      </c>
      <c r="Z7" s="10">
        <f t="shared" si="15"/>
        <v>0.82276000000000205</v>
      </c>
      <c r="AA7" s="15"/>
      <c r="AB7" s="7">
        <f t="shared" si="16"/>
        <v>24182999.999999274</v>
      </c>
      <c r="AC7" s="8">
        <f t="shared" si="16"/>
        <v>24.182999999999272</v>
      </c>
      <c r="AD7" s="8">
        <f t="shared" si="16"/>
        <v>74.241809999997756</v>
      </c>
      <c r="AF7" s="8">
        <f t="shared" si="0"/>
        <v>0</v>
      </c>
    </row>
    <row r="8" spans="1:32" x14ac:dyDescent="0.25">
      <c r="A8" s="27">
        <v>38507</v>
      </c>
      <c r="B8" s="7">
        <f>'[8]Jun Prod'!I7</f>
        <v>11500000</v>
      </c>
      <c r="C8" s="8">
        <f t="shared" si="1"/>
        <v>11.5</v>
      </c>
      <c r="D8" s="10">
        <f t="shared" si="2"/>
        <v>35.305</v>
      </c>
      <c r="E8" s="7">
        <f>'[8]Jun Prod'!E7</f>
        <v>13000000</v>
      </c>
      <c r="F8" s="8">
        <f t="shared" si="3"/>
        <v>13</v>
      </c>
      <c r="G8" s="10">
        <f t="shared" si="4"/>
        <v>39.909999999999997</v>
      </c>
      <c r="H8" s="7">
        <f>'[8]Jun Prod'!F7</f>
        <v>0</v>
      </c>
      <c r="I8" s="8">
        <f t="shared" si="5"/>
        <v>0</v>
      </c>
      <c r="J8" s="10">
        <f t="shared" si="6"/>
        <v>0</v>
      </c>
      <c r="K8" s="7">
        <f>'[8]Jun Prod'!H255</f>
        <v>1553555</v>
      </c>
      <c r="L8" s="8">
        <f t="shared" si="17"/>
        <v>1.553555</v>
      </c>
      <c r="M8" s="10">
        <f t="shared" si="7"/>
        <v>4.7694138499999994</v>
      </c>
      <c r="N8" s="21"/>
      <c r="O8" s="7">
        <f>'[8]Jun Prod'!H7</f>
        <v>6343999.9999999972</v>
      </c>
      <c r="P8" s="8">
        <f t="shared" si="8"/>
        <v>6.3439999999999976</v>
      </c>
      <c r="Q8" s="10">
        <f t="shared" si="9"/>
        <v>19.476079999999993</v>
      </c>
      <c r="R8" s="7">
        <f>'[8]Jun Prod'!C7</f>
        <v>6541000</v>
      </c>
      <c r="S8" s="8">
        <f t="shared" si="10"/>
        <v>6.5410000000000004</v>
      </c>
      <c r="T8" s="10">
        <f t="shared" si="11"/>
        <v>20.080870000000001</v>
      </c>
      <c r="U8" s="7">
        <f>'[8]Jun Prod'!D7</f>
        <v>0</v>
      </c>
      <c r="V8" s="8">
        <f t="shared" si="12"/>
        <v>0</v>
      </c>
      <c r="W8" s="10">
        <f t="shared" si="13"/>
        <v>0</v>
      </c>
      <c r="X8" s="7">
        <f>'[8]Jun Prod'!D255</f>
        <v>197000.00000000274</v>
      </c>
      <c r="Y8" s="8">
        <f t="shared" si="14"/>
        <v>0.19700000000000273</v>
      </c>
      <c r="Z8" s="10">
        <f t="shared" si="15"/>
        <v>0.60479000000000838</v>
      </c>
      <c r="AA8" s="15"/>
      <c r="AB8" s="7">
        <f t="shared" si="16"/>
        <v>17843999.999999996</v>
      </c>
      <c r="AC8" s="8">
        <f t="shared" si="16"/>
        <v>17.843999999999998</v>
      </c>
      <c r="AD8" s="8">
        <f t="shared" si="16"/>
        <v>54.781079999999989</v>
      </c>
      <c r="AF8" s="8">
        <f t="shared" si="0"/>
        <v>0</v>
      </c>
    </row>
    <row r="9" spans="1:32" x14ac:dyDescent="0.25">
      <c r="A9" s="27">
        <v>38508</v>
      </c>
      <c r="B9" s="7">
        <f>'[8]Jun Prod'!I8</f>
        <v>11299999.999999272</v>
      </c>
      <c r="C9" s="8">
        <f t="shared" si="1"/>
        <v>11.299999999999272</v>
      </c>
      <c r="D9" s="10">
        <f t="shared" si="2"/>
        <v>34.690999999997764</v>
      </c>
      <c r="E9" s="7">
        <f>'[8]Jun Prod'!E8</f>
        <v>16000000</v>
      </c>
      <c r="F9" s="8">
        <f t="shared" si="3"/>
        <v>16</v>
      </c>
      <c r="G9" s="10">
        <f t="shared" si="4"/>
        <v>49.12</v>
      </c>
      <c r="H9" s="7">
        <f>'[8]Jun Prod'!F8</f>
        <v>0</v>
      </c>
      <c r="I9" s="8">
        <f t="shared" si="5"/>
        <v>0</v>
      </c>
      <c r="J9" s="10">
        <f t="shared" si="6"/>
        <v>0</v>
      </c>
      <c r="K9" s="7">
        <f>'[8]Jun Prod'!H256</f>
        <v>1703671</v>
      </c>
      <c r="L9" s="8">
        <f t="shared" si="17"/>
        <v>1.7036709999999999</v>
      </c>
      <c r="M9" s="10">
        <f t="shared" si="7"/>
        <v>5.2302699699999993</v>
      </c>
      <c r="N9" s="21"/>
      <c r="O9" s="7">
        <f>'[8]Jun Prod'!H8</f>
        <v>7250000.0000000019</v>
      </c>
      <c r="P9" s="8">
        <f t="shared" si="8"/>
        <v>7.2500000000000018</v>
      </c>
      <c r="Q9" s="10">
        <f t="shared" si="9"/>
        <v>22.257500000000004</v>
      </c>
      <c r="R9" s="7">
        <f>'[8]Jun Prod'!C8</f>
        <v>7449000</v>
      </c>
      <c r="S9" s="8">
        <f t="shared" si="10"/>
        <v>7.4489999999999998</v>
      </c>
      <c r="T9" s="10">
        <f t="shared" si="11"/>
        <v>22.86843</v>
      </c>
      <c r="U9" s="7">
        <f>'[8]Jun Prod'!D8</f>
        <v>0</v>
      </c>
      <c r="V9" s="8">
        <f t="shared" si="12"/>
        <v>0</v>
      </c>
      <c r="W9" s="10">
        <f t="shared" si="13"/>
        <v>0</v>
      </c>
      <c r="X9" s="7">
        <f>'[8]Jun Prod'!D256</f>
        <v>198999.99999999808</v>
      </c>
      <c r="Y9" s="8">
        <f t="shared" si="14"/>
        <v>0.19899999999999807</v>
      </c>
      <c r="Z9" s="10">
        <f t="shared" si="15"/>
        <v>0.61092999999999409</v>
      </c>
      <c r="AA9" s="15"/>
      <c r="AB9" s="7">
        <f t="shared" si="16"/>
        <v>18549999.999999274</v>
      </c>
      <c r="AC9" s="8">
        <f t="shared" si="16"/>
        <v>18.549999999999272</v>
      </c>
      <c r="AD9" s="8">
        <f t="shared" si="16"/>
        <v>56.948499999997765</v>
      </c>
      <c r="AF9" s="8">
        <f t="shared" si="0"/>
        <v>2.1094237467877974E-15</v>
      </c>
    </row>
    <row r="10" spans="1:32" x14ac:dyDescent="0.25">
      <c r="A10" s="27">
        <v>38509</v>
      </c>
      <c r="B10" s="7">
        <f>'[8]Jun Prod'!I9</f>
        <v>13000000</v>
      </c>
      <c r="C10" s="8">
        <f t="shared" si="1"/>
        <v>13</v>
      </c>
      <c r="D10" s="10">
        <f t="shared" si="2"/>
        <v>39.909999999999997</v>
      </c>
      <c r="E10" s="7">
        <f>'[8]Jun Prod'!E9</f>
        <v>13000000</v>
      </c>
      <c r="F10" s="8">
        <f t="shared" si="3"/>
        <v>13</v>
      </c>
      <c r="G10" s="10">
        <f t="shared" si="4"/>
        <v>39.909999999999997</v>
      </c>
      <c r="H10" s="7">
        <f>'[8]Jun Prod'!F9</f>
        <v>0</v>
      </c>
      <c r="I10" s="8">
        <f t="shared" si="5"/>
        <v>0</v>
      </c>
      <c r="J10" s="10">
        <f t="shared" si="6"/>
        <v>0</v>
      </c>
      <c r="K10" s="7">
        <f>'[8]Jun Prod'!H257</f>
        <v>1428666</v>
      </c>
      <c r="L10" s="8">
        <f t="shared" si="17"/>
        <v>1.428666</v>
      </c>
      <c r="M10" s="10">
        <f t="shared" si="7"/>
        <v>4.3860046199999996</v>
      </c>
      <c r="N10" s="21"/>
      <c r="O10" s="7">
        <f>'[8]Jun Prod'!H9</f>
        <v>5712000.0000000019</v>
      </c>
      <c r="P10" s="8">
        <f t="shared" si="8"/>
        <v>5.7120000000000015</v>
      </c>
      <c r="Q10" s="10">
        <f t="shared" si="9"/>
        <v>17.535840000000004</v>
      </c>
      <c r="R10" s="7">
        <f>'[8]Jun Prod'!C9</f>
        <v>5908000</v>
      </c>
      <c r="S10" s="8">
        <f t="shared" si="10"/>
        <v>5.9080000000000004</v>
      </c>
      <c r="T10" s="10">
        <f t="shared" si="11"/>
        <v>18.137560000000001</v>
      </c>
      <c r="U10" s="7">
        <f>'[8]Jun Prod'!D9</f>
        <v>0</v>
      </c>
      <c r="V10" s="8">
        <f t="shared" si="12"/>
        <v>0</v>
      </c>
      <c r="W10" s="10">
        <f t="shared" si="13"/>
        <v>0</v>
      </c>
      <c r="X10" s="7">
        <f>'[8]Jun Prod'!D257</f>
        <v>195999.99999999796</v>
      </c>
      <c r="Y10" s="8">
        <f t="shared" si="14"/>
        <v>0.19599999999999795</v>
      </c>
      <c r="Z10" s="10">
        <f t="shared" si="15"/>
        <v>0.6017199999999937</v>
      </c>
      <c r="AA10" s="15"/>
      <c r="AB10" s="7">
        <f t="shared" si="16"/>
        <v>18712000</v>
      </c>
      <c r="AC10" s="8">
        <f t="shared" si="16"/>
        <v>18.712000000000003</v>
      </c>
      <c r="AD10" s="8">
        <f t="shared" si="16"/>
        <v>57.445840000000004</v>
      </c>
      <c r="AF10" s="8">
        <f t="shared" si="0"/>
        <v>2.9976021664879227E-15</v>
      </c>
    </row>
    <row r="11" spans="1:32" x14ac:dyDescent="0.25">
      <c r="A11" s="27">
        <v>38510</v>
      </c>
      <c r="B11" s="7">
        <f>'[8]Jun Prod'!I10</f>
        <v>9000000</v>
      </c>
      <c r="C11" s="8">
        <f t="shared" si="1"/>
        <v>9</v>
      </c>
      <c r="D11" s="10">
        <f t="shared" si="2"/>
        <v>27.63</v>
      </c>
      <c r="E11" s="7">
        <f>'[8]Jun Prod'!E10</f>
        <v>9000000</v>
      </c>
      <c r="F11" s="8">
        <f t="shared" si="3"/>
        <v>9</v>
      </c>
      <c r="G11" s="10">
        <f t="shared" si="4"/>
        <v>27.63</v>
      </c>
      <c r="H11" s="7">
        <f>'[8]Jun Prod'!F10</f>
        <v>0</v>
      </c>
      <c r="I11" s="8">
        <f t="shared" si="5"/>
        <v>0</v>
      </c>
      <c r="J11" s="10">
        <f t="shared" si="6"/>
        <v>0</v>
      </c>
      <c r="K11" s="7">
        <f>'[8]Jun Prod'!H258</f>
        <v>1031459</v>
      </c>
      <c r="L11" s="8">
        <f t="shared" si="17"/>
        <v>1.0314589999999999</v>
      </c>
      <c r="M11" s="10">
        <f t="shared" si="7"/>
        <v>3.1665791299999997</v>
      </c>
      <c r="N11" s="21"/>
      <c r="O11" s="7">
        <f>'[8]Jun Prod'!H10</f>
        <v>6998000.0000000019</v>
      </c>
      <c r="P11" s="8">
        <f t="shared" si="8"/>
        <v>6.998000000000002</v>
      </c>
      <c r="Q11" s="10">
        <f t="shared" si="9"/>
        <v>21.483860000000004</v>
      </c>
      <c r="R11" s="7">
        <f>'[8]Jun Prod'!C10</f>
        <v>7066000</v>
      </c>
      <c r="S11" s="8">
        <f t="shared" si="10"/>
        <v>7.0659999999999998</v>
      </c>
      <c r="T11" s="10">
        <f t="shared" si="11"/>
        <v>21.692619999999998</v>
      </c>
      <c r="U11" s="7">
        <f>'[8]Jun Prod'!D10</f>
        <v>0</v>
      </c>
      <c r="V11" s="8">
        <f t="shared" si="12"/>
        <v>0</v>
      </c>
      <c r="W11" s="10">
        <f t="shared" si="13"/>
        <v>0</v>
      </c>
      <c r="X11" s="7">
        <f>'[8]Jun Prod'!D258</f>
        <v>67999.999999997846</v>
      </c>
      <c r="Y11" s="8">
        <f t="shared" si="14"/>
        <v>6.799999999999784E-2</v>
      </c>
      <c r="Z11" s="10">
        <f t="shared" si="15"/>
        <v>0.20875999999999337</v>
      </c>
      <c r="AA11" s="15"/>
      <c r="AB11" s="7">
        <f t="shared" si="16"/>
        <v>15998000.000000002</v>
      </c>
      <c r="AC11" s="8">
        <f t="shared" si="16"/>
        <v>15.998000000000001</v>
      </c>
      <c r="AD11" s="8">
        <f t="shared" si="16"/>
        <v>49.113860000000003</v>
      </c>
      <c r="AF11" s="8">
        <f t="shared" si="0"/>
        <v>1.1379786002407855E-15</v>
      </c>
    </row>
    <row r="12" spans="1:32" x14ac:dyDescent="0.25">
      <c r="A12" s="27">
        <v>38511</v>
      </c>
      <c r="B12" s="7">
        <f>'[8]Jun Prod'!I11</f>
        <v>10599999.999998545</v>
      </c>
      <c r="C12" s="8">
        <f t="shared" si="1"/>
        <v>10.599999999998545</v>
      </c>
      <c r="D12" s="10">
        <f t="shared" si="2"/>
        <v>32.541999999995532</v>
      </c>
      <c r="E12" s="7">
        <f>'[8]Jun Prod'!E11</f>
        <v>13000000</v>
      </c>
      <c r="F12" s="8">
        <f t="shared" si="3"/>
        <v>13</v>
      </c>
      <c r="G12" s="10">
        <f t="shared" si="4"/>
        <v>39.909999999999997</v>
      </c>
      <c r="H12" s="7">
        <f>'[8]Jun Prod'!F11</f>
        <v>0</v>
      </c>
      <c r="I12" s="8">
        <f t="shared" si="5"/>
        <v>0</v>
      </c>
      <c r="J12" s="10">
        <f t="shared" si="6"/>
        <v>0</v>
      </c>
      <c r="K12" s="7">
        <f>'[8]Jun Prod'!H259</f>
        <v>1359587</v>
      </c>
      <c r="L12" s="8">
        <f t="shared" si="17"/>
        <v>1.3595870000000001</v>
      </c>
      <c r="M12" s="10">
        <f t="shared" si="7"/>
        <v>4.1739320900000001</v>
      </c>
      <c r="N12" s="21"/>
      <c r="O12" s="7">
        <f>'[8]Jun Prod'!H11</f>
        <v>7677999.9999999991</v>
      </c>
      <c r="P12" s="8">
        <f t="shared" si="8"/>
        <v>7.677999999999999</v>
      </c>
      <c r="Q12" s="10">
        <f t="shared" si="9"/>
        <v>23.571459999999995</v>
      </c>
      <c r="R12" s="7">
        <f>'[8]Jun Prod'!C11</f>
        <v>7943000</v>
      </c>
      <c r="S12" s="8">
        <f t="shared" si="10"/>
        <v>7.9429999999999996</v>
      </c>
      <c r="T12" s="10">
        <f t="shared" si="11"/>
        <v>24.385009999999998</v>
      </c>
      <c r="U12" s="7">
        <f>'[8]Jun Prod'!D11</f>
        <v>0</v>
      </c>
      <c r="V12" s="8">
        <f t="shared" si="12"/>
        <v>0</v>
      </c>
      <c r="W12" s="10">
        <f t="shared" si="13"/>
        <v>0</v>
      </c>
      <c r="X12" s="7">
        <f>'[8]Jun Prod'!D259</f>
        <v>265000.00000000058</v>
      </c>
      <c r="Y12" s="8">
        <f t="shared" si="14"/>
        <v>0.26500000000000057</v>
      </c>
      <c r="Z12" s="10">
        <f t="shared" si="15"/>
        <v>0.81355000000000166</v>
      </c>
      <c r="AA12" s="15"/>
      <c r="AB12" s="7">
        <f t="shared" si="16"/>
        <v>18277999.999998543</v>
      </c>
      <c r="AC12" s="8">
        <f t="shared" si="16"/>
        <v>18.277999999998542</v>
      </c>
      <c r="AD12" s="8">
        <f t="shared" si="16"/>
        <v>56.113459999995527</v>
      </c>
      <c r="AF12" s="8">
        <f t="shared" si="0"/>
        <v>1.2212453270876722E-15</v>
      </c>
    </row>
    <row r="13" spans="1:32" x14ac:dyDescent="0.25">
      <c r="A13" s="27">
        <v>38512</v>
      </c>
      <c r="B13" s="7">
        <f>'[8]Jun Prod'!I12</f>
        <v>10400000.000001455</v>
      </c>
      <c r="C13" s="8">
        <f t="shared" si="1"/>
        <v>10.400000000001455</v>
      </c>
      <c r="D13" s="10">
        <f t="shared" si="2"/>
        <v>31.928000000004467</v>
      </c>
      <c r="E13" s="7">
        <f>'[8]Jun Prod'!E12</f>
        <v>12000000</v>
      </c>
      <c r="F13" s="8">
        <f t="shared" si="3"/>
        <v>12</v>
      </c>
      <c r="G13" s="10">
        <f t="shared" si="4"/>
        <v>36.839999999999996</v>
      </c>
      <c r="H13" s="7">
        <f>'[8]Jun Prod'!F12</f>
        <v>0</v>
      </c>
      <c r="I13" s="8">
        <f t="shared" si="5"/>
        <v>0</v>
      </c>
      <c r="J13" s="10">
        <f t="shared" si="6"/>
        <v>0</v>
      </c>
      <c r="K13" s="7">
        <f>'[8]Jun Prod'!H260</f>
        <v>1332526</v>
      </c>
      <c r="L13" s="8">
        <f t="shared" si="17"/>
        <v>1.3325260000000001</v>
      </c>
      <c r="M13" s="10">
        <f t="shared" si="7"/>
        <v>4.0908548199999997</v>
      </c>
      <c r="N13" s="21"/>
      <c r="O13" s="7">
        <f>'[8]Jun Prod'!H12</f>
        <v>9414999.9999999944</v>
      </c>
      <c r="P13" s="8">
        <f t="shared" si="8"/>
        <v>9.4149999999999938</v>
      </c>
      <c r="Q13" s="10">
        <f t="shared" si="9"/>
        <v>28.90404999999998</v>
      </c>
      <c r="R13" s="7">
        <f>'[8]Jun Prod'!C12</f>
        <v>9614000</v>
      </c>
      <c r="S13" s="8">
        <f t="shared" si="10"/>
        <v>9.6140000000000008</v>
      </c>
      <c r="T13" s="10">
        <f t="shared" si="11"/>
        <v>29.514980000000001</v>
      </c>
      <c r="U13" s="7">
        <f>'[8]Jun Prod'!D12</f>
        <v>0</v>
      </c>
      <c r="V13" s="8">
        <f t="shared" si="12"/>
        <v>0</v>
      </c>
      <c r="W13" s="10">
        <f t="shared" si="13"/>
        <v>0</v>
      </c>
      <c r="X13" s="7">
        <f>'[8]Jun Prod'!D260</f>
        <v>199000.00000000518</v>
      </c>
      <c r="Y13" s="8">
        <f t="shared" si="14"/>
        <v>0.19900000000000517</v>
      </c>
      <c r="Z13" s="10">
        <f t="shared" si="15"/>
        <v>0.61093000000001585</v>
      </c>
      <c r="AA13" s="15"/>
      <c r="AB13" s="7">
        <f t="shared" si="16"/>
        <v>19815000.000001449</v>
      </c>
      <c r="AC13" s="8">
        <f t="shared" si="16"/>
        <v>19.815000000001447</v>
      </c>
      <c r="AD13" s="8">
        <f t="shared" si="16"/>
        <v>60.832050000004443</v>
      </c>
      <c r="AF13" s="8">
        <f t="shared" si="0"/>
        <v>5.2180482157382357E-15</v>
      </c>
    </row>
    <row r="14" spans="1:32" x14ac:dyDescent="0.25">
      <c r="A14" s="27">
        <v>38513</v>
      </c>
      <c r="B14" s="7">
        <f>'[8]Jun Prod'!I13</f>
        <v>10500000</v>
      </c>
      <c r="C14" s="8">
        <f t="shared" si="1"/>
        <v>10.5</v>
      </c>
      <c r="D14" s="10">
        <f t="shared" si="2"/>
        <v>32.234999999999999</v>
      </c>
      <c r="E14" s="7">
        <f>'[8]Jun Prod'!E13</f>
        <v>12000000</v>
      </c>
      <c r="F14" s="8">
        <f t="shared" si="3"/>
        <v>12</v>
      </c>
      <c r="G14" s="10">
        <f t="shared" si="4"/>
        <v>36.839999999999996</v>
      </c>
      <c r="H14" s="7">
        <f>'[8]Jun Prod'!F13</f>
        <v>0</v>
      </c>
      <c r="I14" s="8">
        <f t="shared" si="5"/>
        <v>0</v>
      </c>
      <c r="J14" s="10">
        <f t="shared" si="6"/>
        <v>0</v>
      </c>
      <c r="K14" s="7">
        <f>'[8]Jun Prod'!H261</f>
        <v>1438979</v>
      </c>
      <c r="L14" s="8">
        <f t="shared" si="17"/>
        <v>1.438979</v>
      </c>
      <c r="M14" s="10">
        <f t="shared" si="7"/>
        <v>4.4176655299999998</v>
      </c>
      <c r="N14" s="21"/>
      <c r="O14" s="7">
        <f>'[8]Jun Prod'!H13</f>
        <v>9758000</v>
      </c>
      <c r="P14" s="8">
        <f t="shared" si="8"/>
        <v>9.7579999999999991</v>
      </c>
      <c r="Q14" s="10">
        <f t="shared" si="9"/>
        <v>29.957059999999995</v>
      </c>
      <c r="R14" s="7">
        <f>'[8]Jun Prod'!C13</f>
        <v>10090000</v>
      </c>
      <c r="S14" s="55">
        <f t="shared" si="10"/>
        <v>10.09</v>
      </c>
      <c r="T14" s="10">
        <f t="shared" si="11"/>
        <v>30.976299999999998</v>
      </c>
      <c r="U14" s="7">
        <f>'[8]Jun Prod'!D13</f>
        <v>0</v>
      </c>
      <c r="V14" s="8">
        <f t="shared" si="12"/>
        <v>0</v>
      </c>
      <c r="W14" s="10">
        <f t="shared" si="13"/>
        <v>0</v>
      </c>
      <c r="X14" s="7">
        <f>'[8]Jun Prod'!D261</f>
        <v>332000.00000000076</v>
      </c>
      <c r="Y14" s="8">
        <f t="shared" si="14"/>
        <v>0.33200000000000074</v>
      </c>
      <c r="Z14" s="10">
        <f t="shared" si="15"/>
        <v>1.0192400000000021</v>
      </c>
      <c r="AA14" s="15"/>
      <c r="AB14" s="7">
        <f t="shared" si="16"/>
        <v>20258000</v>
      </c>
      <c r="AC14" s="8">
        <f t="shared" si="16"/>
        <v>20.257999999999999</v>
      </c>
      <c r="AD14" s="8">
        <f t="shared" si="16"/>
        <v>62.192059999999998</v>
      </c>
      <c r="AF14" s="8">
        <f t="shared" si="0"/>
        <v>0</v>
      </c>
    </row>
    <row r="15" spans="1:32" x14ac:dyDescent="0.25">
      <c r="A15" s="27">
        <v>38514</v>
      </c>
      <c r="B15" s="7">
        <f>'[8]Jun Prod'!I14</f>
        <v>10000000</v>
      </c>
      <c r="C15" s="8">
        <f t="shared" si="1"/>
        <v>10</v>
      </c>
      <c r="D15" s="10">
        <f t="shared" si="2"/>
        <v>30.7</v>
      </c>
      <c r="E15" s="7">
        <f>'[8]Jun Prod'!E14</f>
        <v>8000000</v>
      </c>
      <c r="F15" s="8">
        <f t="shared" si="3"/>
        <v>8</v>
      </c>
      <c r="G15" s="10">
        <f t="shared" si="4"/>
        <v>24.56</v>
      </c>
      <c r="H15" s="7">
        <f>'[8]Jun Prod'!F14</f>
        <v>3170000</v>
      </c>
      <c r="I15" s="8">
        <f t="shared" si="5"/>
        <v>3.17</v>
      </c>
      <c r="J15" s="10">
        <f t="shared" si="6"/>
        <v>9.7318999999999996</v>
      </c>
      <c r="K15" s="7">
        <f>'[8]Jun Prod'!H262</f>
        <v>1420868</v>
      </c>
      <c r="L15" s="8">
        <f t="shared" si="17"/>
        <v>1.420868</v>
      </c>
      <c r="M15" s="10">
        <f t="shared" si="7"/>
        <v>4.36206476</v>
      </c>
      <c r="N15" s="21"/>
      <c r="O15" s="7">
        <f>'[8]Jun Prod'!H14</f>
        <v>8821000.0000000019</v>
      </c>
      <c r="P15" s="8">
        <f t="shared" si="8"/>
        <v>8.8210000000000015</v>
      </c>
      <c r="Q15" s="10">
        <f t="shared" si="9"/>
        <v>27.080470000000002</v>
      </c>
      <c r="R15" s="7">
        <f>'[8]Jun Prod'!C14</f>
        <v>9023000</v>
      </c>
      <c r="S15" s="55">
        <f t="shared" si="10"/>
        <v>9.0229999999999997</v>
      </c>
      <c r="T15" s="10">
        <f t="shared" si="11"/>
        <v>27.700609999999998</v>
      </c>
      <c r="U15" s="7">
        <f>'[8]Jun Prod'!D14</f>
        <v>0</v>
      </c>
      <c r="V15" s="8">
        <f t="shared" si="12"/>
        <v>0</v>
      </c>
      <c r="W15" s="10">
        <f t="shared" si="13"/>
        <v>0</v>
      </c>
      <c r="X15" s="7">
        <f>'[8]Jun Prod'!D262</f>
        <v>201999.9999999982</v>
      </c>
      <c r="Y15" s="8">
        <f t="shared" si="14"/>
        <v>0.20199999999999821</v>
      </c>
      <c r="Z15" s="10">
        <f t="shared" si="15"/>
        <v>0.62013999999999447</v>
      </c>
      <c r="AA15" s="15"/>
      <c r="AB15" s="7">
        <f t="shared" si="16"/>
        <v>18821000</v>
      </c>
      <c r="AC15" s="8">
        <f t="shared" si="16"/>
        <v>18.821000000000002</v>
      </c>
      <c r="AD15" s="8">
        <f t="shared" si="16"/>
        <v>57.780470000000001</v>
      </c>
      <c r="AF15" s="8">
        <f>T15-Q15-Z15</f>
        <v>1.2212453270876722E-15</v>
      </c>
    </row>
    <row r="16" spans="1:32" x14ac:dyDescent="0.25">
      <c r="A16" s="27">
        <v>38515</v>
      </c>
      <c r="B16" s="7">
        <f>'[8]Jun Prod'!I15</f>
        <v>9000000</v>
      </c>
      <c r="C16" s="8">
        <f t="shared" si="1"/>
        <v>9</v>
      </c>
      <c r="D16" s="10">
        <f t="shared" si="2"/>
        <v>27.63</v>
      </c>
      <c r="E16" s="7">
        <f>'[8]Jun Prod'!E15</f>
        <v>4000000</v>
      </c>
      <c r="F16" s="8">
        <f t="shared" si="3"/>
        <v>4</v>
      </c>
      <c r="G16" s="10">
        <f t="shared" si="4"/>
        <v>12.28</v>
      </c>
      <c r="H16" s="7">
        <f>'[8]Jun Prod'!F15</f>
        <v>4990000</v>
      </c>
      <c r="I16" s="8">
        <f t="shared" si="5"/>
        <v>4.99</v>
      </c>
      <c r="J16" s="10">
        <f t="shared" si="6"/>
        <v>15.3193</v>
      </c>
      <c r="K16" s="7">
        <f>'[8]Jun Prod'!H263</f>
        <v>1346397</v>
      </c>
      <c r="L16" s="8">
        <f t="shared" si="17"/>
        <v>1.3463970000000001</v>
      </c>
      <c r="M16" s="10">
        <f t="shared" si="7"/>
        <v>4.1334387899999996</v>
      </c>
      <c r="N16" s="21"/>
      <c r="O16" s="7">
        <f>'[8]Jun Prod'!H15</f>
        <v>5876000.0000000019</v>
      </c>
      <c r="P16" s="8">
        <f t="shared" si="8"/>
        <v>5.8760000000000021</v>
      </c>
      <c r="Q16" s="10">
        <f t="shared" si="9"/>
        <v>18.039320000000007</v>
      </c>
      <c r="R16" s="7">
        <f>'[8]Jun Prod'!C15</f>
        <v>6148000</v>
      </c>
      <c r="S16" s="55">
        <f t="shared" si="10"/>
        <v>6.1479999999999997</v>
      </c>
      <c r="T16" s="10">
        <f t="shared" si="11"/>
        <v>18.874359999999999</v>
      </c>
      <c r="U16" s="7">
        <f>'[8]Jun Prod'!D15</f>
        <v>0</v>
      </c>
      <c r="V16" s="8">
        <f t="shared" si="12"/>
        <v>0</v>
      </c>
      <c r="W16" s="10">
        <f t="shared" si="13"/>
        <v>0</v>
      </c>
      <c r="X16" s="7">
        <f>'[8]Jun Prod'!D263</f>
        <v>271999.99999999849</v>
      </c>
      <c r="Y16" s="8">
        <f t="shared" si="14"/>
        <v>0.27199999999999847</v>
      </c>
      <c r="Z16" s="10">
        <f t="shared" si="15"/>
        <v>0.83503999999999523</v>
      </c>
      <c r="AA16" s="15"/>
      <c r="AB16" s="7">
        <f t="shared" si="16"/>
        <v>14876000.000000002</v>
      </c>
      <c r="AC16" s="8">
        <f t="shared" si="16"/>
        <v>14.876000000000001</v>
      </c>
      <c r="AD16" s="8">
        <f t="shared" si="16"/>
        <v>45.669320000000006</v>
      </c>
      <c r="AF16" s="8">
        <f>T16-Q16-Z16</f>
        <v>-2.9976021664879227E-15</v>
      </c>
    </row>
    <row r="17" spans="1:32" x14ac:dyDescent="0.25">
      <c r="A17" s="27">
        <v>38516</v>
      </c>
      <c r="B17" s="7">
        <f>'[8]Jun Prod'!I16</f>
        <v>9200000.0000007283</v>
      </c>
      <c r="C17" s="8">
        <f t="shared" si="1"/>
        <v>9.2000000000007276</v>
      </c>
      <c r="D17" s="10">
        <f t="shared" si="2"/>
        <v>28.244000000002231</v>
      </c>
      <c r="E17" s="7">
        <f>'[8]Jun Prod'!E16</f>
        <v>5000000</v>
      </c>
      <c r="F17" s="8">
        <f t="shared" si="3"/>
        <v>5</v>
      </c>
      <c r="G17" s="10">
        <f t="shared" si="4"/>
        <v>15.35</v>
      </c>
      <c r="H17" s="7">
        <f>'[8]Jun Prod'!F16</f>
        <v>4960000</v>
      </c>
      <c r="I17" s="8">
        <f t="shared" si="5"/>
        <v>4.96</v>
      </c>
      <c r="J17" s="10">
        <f t="shared" si="6"/>
        <v>15.2272</v>
      </c>
      <c r="K17" s="7">
        <f>'[8]Jun Prod'!H264</f>
        <v>1203585</v>
      </c>
      <c r="L17" s="8">
        <f t="shared" si="17"/>
        <v>1.2035849999999999</v>
      </c>
      <c r="M17" s="10">
        <f t="shared" si="7"/>
        <v>3.6950059499999997</v>
      </c>
      <c r="N17" s="21"/>
      <c r="O17" s="7">
        <f>'[8]Jun Prod'!H16</f>
        <v>5966000</v>
      </c>
      <c r="P17" s="8">
        <f t="shared" si="8"/>
        <v>5.9660000000000002</v>
      </c>
      <c r="Q17" s="10">
        <f t="shared" si="9"/>
        <v>18.315619999999999</v>
      </c>
      <c r="R17" s="7">
        <f>'[8]Jun Prod'!C16</f>
        <v>6100000</v>
      </c>
      <c r="S17" s="55">
        <f t="shared" si="10"/>
        <v>6.1</v>
      </c>
      <c r="T17" s="10">
        <f t="shared" si="11"/>
        <v>18.726999999999997</v>
      </c>
      <c r="U17" s="7">
        <f>'[8]Jun Prod'!D16</f>
        <v>0</v>
      </c>
      <c r="V17" s="8">
        <f t="shared" si="12"/>
        <v>0</v>
      </c>
      <c r="W17" s="10">
        <f t="shared" si="13"/>
        <v>0</v>
      </c>
      <c r="X17" s="7">
        <f>'[8]Jun Prod'!D264</f>
        <v>134000.00000000035</v>
      </c>
      <c r="Y17" s="8">
        <f t="shared" si="14"/>
        <v>0.13400000000000034</v>
      </c>
      <c r="Z17" s="10">
        <f t="shared" si="15"/>
        <v>0.41138000000000102</v>
      </c>
      <c r="AA17" s="15"/>
      <c r="AB17" s="7">
        <f t="shared" si="16"/>
        <v>15166000.000000728</v>
      </c>
      <c r="AC17" s="8">
        <f t="shared" si="16"/>
        <v>15.166000000000729</v>
      </c>
      <c r="AD17" s="8">
        <f t="shared" si="16"/>
        <v>46.559620000002226</v>
      </c>
      <c r="AF17" s="8">
        <f>T17-Q17-Z17</f>
        <v>-3.3861802251067274E-15</v>
      </c>
    </row>
    <row r="18" spans="1:32" x14ac:dyDescent="0.25">
      <c r="A18" s="27">
        <v>38517</v>
      </c>
      <c r="B18" s="7">
        <f>'[8]Jun Prod'!I17</f>
        <v>9599999.9999985453</v>
      </c>
      <c r="C18" s="8">
        <f t="shared" si="1"/>
        <v>9.5999999999985448</v>
      </c>
      <c r="D18" s="10">
        <f t="shared" si="2"/>
        <v>29.471999999995532</v>
      </c>
      <c r="E18" s="7">
        <f>'[8]Jun Prod'!E17</f>
        <v>5000000</v>
      </c>
      <c r="F18" s="8">
        <f t="shared" si="3"/>
        <v>5</v>
      </c>
      <c r="G18" s="10">
        <f t="shared" si="4"/>
        <v>15.35</v>
      </c>
      <c r="H18" s="7">
        <f>'[8]Jun Prod'!F17</f>
        <v>5040000</v>
      </c>
      <c r="I18" s="8">
        <f t="shared" si="5"/>
        <v>5.04</v>
      </c>
      <c r="J18" s="10">
        <f t="shared" si="6"/>
        <v>15.472799999999999</v>
      </c>
      <c r="K18" s="7">
        <f>'[8]Jun Prod'!H265</f>
        <v>1243827</v>
      </c>
      <c r="L18" s="8">
        <f t="shared" si="17"/>
        <v>1.243827</v>
      </c>
      <c r="M18" s="10">
        <f t="shared" si="7"/>
        <v>3.8185488899999998</v>
      </c>
      <c r="N18" s="21"/>
      <c r="O18" s="7">
        <f>'[8]Jun Prod'!H17</f>
        <v>8489999.9999999981</v>
      </c>
      <c r="P18" s="8">
        <f t="shared" si="8"/>
        <v>8.4899999999999984</v>
      </c>
      <c r="Q18" s="10">
        <f t="shared" si="9"/>
        <v>26.064299999999992</v>
      </c>
      <c r="R18" s="7">
        <f>'[8]Jun Prod'!C17</f>
        <v>8620000</v>
      </c>
      <c r="S18" s="55">
        <f t="shared" si="10"/>
        <v>8.6199999999999992</v>
      </c>
      <c r="T18" s="10">
        <f t="shared" si="11"/>
        <v>26.463399999999996</v>
      </c>
      <c r="U18" s="7">
        <f>'[8]Jun Prod'!D17</f>
        <v>0</v>
      </c>
      <c r="V18" s="8">
        <f t="shared" si="12"/>
        <v>0</v>
      </c>
      <c r="W18" s="10">
        <f t="shared" si="13"/>
        <v>0</v>
      </c>
      <c r="X18" s="7">
        <f>'[8]Jun Prod'!D265</f>
        <v>130000.00000000256</v>
      </c>
      <c r="Y18" s="8">
        <f t="shared" si="14"/>
        <v>0.13000000000000256</v>
      </c>
      <c r="Z18" s="10">
        <f t="shared" si="15"/>
        <v>0.39910000000000784</v>
      </c>
      <c r="AA18" s="15"/>
      <c r="AB18" s="7">
        <f t="shared" si="16"/>
        <v>18089999.999998543</v>
      </c>
      <c r="AC18" s="8">
        <f t="shared" si="16"/>
        <v>18.089999999998543</v>
      </c>
      <c r="AD18" s="8">
        <f t="shared" si="16"/>
        <v>55.536299999995521</v>
      </c>
      <c r="AF18" s="8">
        <f>T18-Q18-Z18</f>
        <v>-3.6082248300317588E-15</v>
      </c>
    </row>
    <row r="19" spans="1:32" x14ac:dyDescent="0.25">
      <c r="A19" s="27">
        <v>38518</v>
      </c>
      <c r="B19" s="7">
        <f>'[8]Jun Prod'!I18</f>
        <v>9600000.000002183</v>
      </c>
      <c r="C19" s="8">
        <f t="shared" si="1"/>
        <v>9.6000000000021828</v>
      </c>
      <c r="D19" s="10">
        <f t="shared" si="2"/>
        <v>29.472000000006698</v>
      </c>
      <c r="E19" s="7">
        <f>'[8]Jun Prod'!E18</f>
        <v>2000000</v>
      </c>
      <c r="F19" s="8">
        <f t="shared" si="3"/>
        <v>2</v>
      </c>
      <c r="G19" s="10">
        <f t="shared" si="4"/>
        <v>6.14</v>
      </c>
      <c r="H19" s="7">
        <f>'[8]Jun Prod'!F18</f>
        <v>8109999.9999999991</v>
      </c>
      <c r="I19" s="8">
        <f t="shared" si="5"/>
        <v>8.11</v>
      </c>
      <c r="J19" s="10">
        <f t="shared" si="6"/>
        <v>24.897699999999997</v>
      </c>
      <c r="K19" s="7">
        <f>'[8]Jun Prod'!H266</f>
        <v>1254432</v>
      </c>
      <c r="L19" s="8">
        <f t="shared" si="17"/>
        <v>1.254432</v>
      </c>
      <c r="M19" s="10">
        <f t="shared" si="7"/>
        <v>3.8511062399999996</v>
      </c>
      <c r="N19" s="21"/>
      <c r="O19" s="7">
        <f>'[8]Jun Prod'!H18</f>
        <v>9779000.0000000075</v>
      </c>
      <c r="P19" s="8">
        <f t="shared" si="8"/>
        <v>9.779000000000007</v>
      </c>
      <c r="Q19" s="10">
        <f t="shared" si="9"/>
        <v>30.02153000000002</v>
      </c>
      <c r="R19" s="7">
        <f>'[8]Jun Prod'!C18</f>
        <v>10047000</v>
      </c>
      <c r="S19" s="55">
        <f t="shared" si="10"/>
        <v>10.047000000000001</v>
      </c>
      <c r="T19" s="10">
        <f t="shared" si="11"/>
        <v>30.844290000000001</v>
      </c>
      <c r="U19" s="7">
        <f>'[8]Jun Prod'!D18</f>
        <v>0</v>
      </c>
      <c r="V19" s="8">
        <f t="shared" si="12"/>
        <v>0</v>
      </c>
      <c r="W19" s="10">
        <f t="shared" si="13"/>
        <v>0</v>
      </c>
      <c r="X19" s="7">
        <f>'[8]Jun Prod'!D266</f>
        <v>267999.9999999936</v>
      </c>
      <c r="Y19" s="8">
        <f t="shared" si="14"/>
        <v>0.26799999999999358</v>
      </c>
      <c r="Z19" s="10">
        <f t="shared" si="15"/>
        <v>0.82275999999998028</v>
      </c>
      <c r="AA19" s="15"/>
      <c r="AB19" s="7">
        <f t="shared" si="16"/>
        <v>19379000.00000219</v>
      </c>
      <c r="AC19" s="8">
        <f t="shared" si="16"/>
        <v>19.37900000000219</v>
      </c>
      <c r="AD19" s="8">
        <f t="shared" si="16"/>
        <v>59.493530000006714</v>
      </c>
      <c r="AF19" s="8">
        <f>T19-Q19-Z19</f>
        <v>0</v>
      </c>
    </row>
    <row r="20" spans="1:32" x14ac:dyDescent="0.25">
      <c r="A20" s="27">
        <v>38519</v>
      </c>
      <c r="B20" s="7">
        <f>'[8]Jun Prod'!I19</f>
        <v>9699999.9999970905</v>
      </c>
      <c r="C20" s="8">
        <f t="shared" si="1"/>
        <v>9.6999999999970914</v>
      </c>
      <c r="D20" s="10">
        <f t="shared" si="2"/>
        <v>29.778999999991068</v>
      </c>
      <c r="E20" s="7">
        <f>'[8]Jun Prod'!E19</f>
        <v>0</v>
      </c>
      <c r="F20" s="8">
        <f t="shared" si="3"/>
        <v>0</v>
      </c>
      <c r="G20" s="10">
        <f t="shared" si="4"/>
        <v>0</v>
      </c>
      <c r="H20" s="7">
        <f>'[8]Jun Prod'!F19</f>
        <v>9460000</v>
      </c>
      <c r="I20" s="8">
        <f t="shared" si="5"/>
        <v>9.4600000000000009</v>
      </c>
      <c r="J20" s="10">
        <f t="shared" si="6"/>
        <v>29.042200000000001</v>
      </c>
      <c r="K20" s="7">
        <f>'[8]Jun Prod'!H267</f>
        <v>1278573</v>
      </c>
      <c r="L20" s="8">
        <f t="shared" si="17"/>
        <v>1.278573</v>
      </c>
      <c r="M20" s="10">
        <f t="shared" si="7"/>
        <v>3.9252191099999996</v>
      </c>
      <c r="N20" s="21"/>
      <c r="O20" s="7">
        <f>'[8]Jun Prod'!H19</f>
        <v>9765999.9999999944</v>
      </c>
      <c r="P20" s="8">
        <f t="shared" si="8"/>
        <v>9.7659999999999947</v>
      </c>
      <c r="Q20" s="10">
        <f t="shared" si="9"/>
        <v>29.981619999999982</v>
      </c>
      <c r="R20" s="7">
        <f>'[8]Jun Prod'!C19</f>
        <v>10041000</v>
      </c>
      <c r="S20" s="55">
        <f t="shared" si="10"/>
        <v>10.041</v>
      </c>
      <c r="T20" s="10">
        <f t="shared" si="11"/>
        <v>30.825869999999998</v>
      </c>
      <c r="U20" s="7">
        <f>'[8]Jun Prod'!D19</f>
        <v>0</v>
      </c>
      <c r="V20" s="8">
        <f t="shared" si="12"/>
        <v>0</v>
      </c>
      <c r="W20" s="10">
        <f t="shared" si="13"/>
        <v>0</v>
      </c>
      <c r="X20" s="7">
        <f>'[8]Jun Prod'!D267</f>
        <v>275000.0000000057</v>
      </c>
      <c r="Y20" s="8">
        <f t="shared" si="14"/>
        <v>0.27500000000000568</v>
      </c>
      <c r="Z20" s="10">
        <f t="shared" si="15"/>
        <v>0.84425000000001738</v>
      </c>
      <c r="AA20" s="15"/>
      <c r="AB20" s="7">
        <f t="shared" si="16"/>
        <v>19465999.999997087</v>
      </c>
      <c r="AC20" s="8">
        <f t="shared" si="16"/>
        <v>19.465999999997088</v>
      </c>
      <c r="AD20" s="8">
        <f t="shared" si="16"/>
        <v>59.76061999999105</v>
      </c>
      <c r="AF20" s="8">
        <f t="shared" ref="AF20:AF34" si="18">T20-Q20-Z20</f>
        <v>0</v>
      </c>
    </row>
    <row r="21" spans="1:32" x14ac:dyDescent="0.25">
      <c r="A21" s="27">
        <v>38520</v>
      </c>
      <c r="B21" s="7">
        <f>'[8]Jun Prod'!I20</f>
        <v>9500000</v>
      </c>
      <c r="C21" s="8">
        <f t="shared" si="1"/>
        <v>9.5</v>
      </c>
      <c r="D21" s="10">
        <f t="shared" si="2"/>
        <v>29.164999999999999</v>
      </c>
      <c r="E21" s="7">
        <f>'[8]Jun Prod'!E20</f>
        <v>0</v>
      </c>
      <c r="F21" s="8">
        <f t="shared" si="3"/>
        <v>0</v>
      </c>
      <c r="G21" s="10">
        <f t="shared" si="4"/>
        <v>0</v>
      </c>
      <c r="H21" s="7">
        <f>'[8]Jun Prod'!F20</f>
        <v>9240000</v>
      </c>
      <c r="I21" s="8">
        <f t="shared" si="5"/>
        <v>9.24</v>
      </c>
      <c r="J21" s="10">
        <f t="shared" si="6"/>
        <v>28.366799999999998</v>
      </c>
      <c r="K21" s="7">
        <f>'[8]Jun Prod'!H268</f>
        <v>1249485</v>
      </c>
      <c r="L21" s="8">
        <f t="shared" si="17"/>
        <v>1.249485</v>
      </c>
      <c r="M21" s="10">
        <f t="shared" si="7"/>
        <v>3.8359189499999995</v>
      </c>
      <c r="N21" s="21"/>
      <c r="O21" s="7">
        <f>'[8]Jun Prod'!H20</f>
        <v>7225999.9999999991</v>
      </c>
      <c r="P21" s="8">
        <f t="shared" si="8"/>
        <v>7.2259999999999991</v>
      </c>
      <c r="Q21" s="10">
        <f t="shared" si="9"/>
        <v>22.183819999999997</v>
      </c>
      <c r="R21" s="7">
        <f>'[8]Jun Prod'!C20</f>
        <v>7427000</v>
      </c>
      <c r="S21" s="8">
        <f t="shared" si="10"/>
        <v>7.4269999999999996</v>
      </c>
      <c r="T21" s="10">
        <f t="shared" si="11"/>
        <v>22.800889999999999</v>
      </c>
      <c r="U21" s="7">
        <f>'[8]Jun Prod'!D20</f>
        <v>0</v>
      </c>
      <c r="V21" s="8">
        <f t="shared" si="12"/>
        <v>0</v>
      </c>
      <c r="W21" s="10">
        <f t="shared" si="13"/>
        <v>0</v>
      </c>
      <c r="X21" s="7">
        <f>'[8]Jun Prod'!D268</f>
        <v>201000.00000000052</v>
      </c>
      <c r="Y21" s="8">
        <f t="shared" si="14"/>
        <v>0.20100000000000051</v>
      </c>
      <c r="Z21" s="10">
        <f t="shared" si="15"/>
        <v>0.61707000000000156</v>
      </c>
      <c r="AA21" s="15"/>
      <c r="AB21" s="7">
        <f t="shared" si="16"/>
        <v>16726000</v>
      </c>
      <c r="AC21" s="8">
        <f t="shared" si="16"/>
        <v>16.725999999999999</v>
      </c>
      <c r="AD21" s="8">
        <f t="shared" si="16"/>
        <v>51.348819999999996</v>
      </c>
      <c r="AF21" s="8">
        <f t="shared" si="18"/>
        <v>0</v>
      </c>
    </row>
    <row r="22" spans="1:32" x14ac:dyDescent="0.25">
      <c r="A22" s="27">
        <v>38521</v>
      </c>
      <c r="B22" s="7">
        <f>'[8]Jun Prod'!I21</f>
        <v>12900000.000001455</v>
      </c>
      <c r="C22" s="8">
        <f t="shared" si="1"/>
        <v>12.900000000001455</v>
      </c>
      <c r="D22" s="10">
        <f t="shared" si="2"/>
        <v>39.603000000004464</v>
      </c>
      <c r="E22" s="7">
        <f>'[8]Jun Prod'!E21</f>
        <v>0</v>
      </c>
      <c r="F22" s="8">
        <f t="shared" si="3"/>
        <v>0</v>
      </c>
      <c r="G22" s="10">
        <f t="shared" si="4"/>
        <v>0</v>
      </c>
      <c r="H22" s="7">
        <f>'[8]Jun Prod'!F21</f>
        <v>12510000</v>
      </c>
      <c r="I22" s="8">
        <f t="shared" si="5"/>
        <v>12.51</v>
      </c>
      <c r="J22" s="10">
        <f t="shared" si="6"/>
        <v>38.405699999999996</v>
      </c>
      <c r="K22" s="7">
        <f>'[8]Jun Prod'!H269</f>
        <v>1725000</v>
      </c>
      <c r="L22" s="8">
        <f t="shared" si="17"/>
        <v>1.7250000000000001</v>
      </c>
      <c r="M22" s="10">
        <f t="shared" si="7"/>
        <v>5.29575</v>
      </c>
      <c r="N22" s="21"/>
      <c r="O22" s="7">
        <f>'[8]Jun Prod'!H21</f>
        <v>10786000</v>
      </c>
      <c r="P22" s="8">
        <f t="shared" si="8"/>
        <v>10.786</v>
      </c>
      <c r="Q22" s="10">
        <f t="shared" si="9"/>
        <v>33.113019999999999</v>
      </c>
      <c r="R22" s="7">
        <f>'[8]Jun Prod'!C21</f>
        <v>11051000</v>
      </c>
      <c r="S22" s="8">
        <f t="shared" si="10"/>
        <v>11.051</v>
      </c>
      <c r="T22" s="10">
        <f t="shared" si="11"/>
        <v>33.926569999999998</v>
      </c>
      <c r="U22" s="7">
        <f>'[8]Jun Prod'!D21</f>
        <v>0</v>
      </c>
      <c r="V22" s="8">
        <f t="shared" si="12"/>
        <v>0</v>
      </c>
      <c r="W22" s="10">
        <f t="shared" si="13"/>
        <v>0</v>
      </c>
      <c r="X22" s="7">
        <f>'[8]Jun Prod'!D269</f>
        <v>265000.00000000058</v>
      </c>
      <c r="Y22" s="8">
        <f t="shared" si="14"/>
        <v>0.26500000000000057</v>
      </c>
      <c r="Z22" s="10">
        <f t="shared" si="15"/>
        <v>0.81355000000000166</v>
      </c>
      <c r="AA22" s="15"/>
      <c r="AB22" s="7">
        <f t="shared" si="16"/>
        <v>23686000.000001453</v>
      </c>
      <c r="AC22" s="8">
        <f t="shared" si="16"/>
        <v>23.686000000001457</v>
      </c>
      <c r="AD22" s="8">
        <f t="shared" si="16"/>
        <v>72.716020000004463</v>
      </c>
      <c r="AF22" s="8">
        <f t="shared" si="18"/>
        <v>-2.3314683517128287E-15</v>
      </c>
    </row>
    <row r="23" spans="1:32" x14ac:dyDescent="0.25">
      <c r="A23" s="27">
        <v>38522</v>
      </c>
      <c r="B23" s="7">
        <f>'[8]Jun Prod'!I22</f>
        <v>13400000.000001455</v>
      </c>
      <c r="C23" s="8">
        <f t="shared" si="1"/>
        <v>13.400000000001455</v>
      </c>
      <c r="D23" s="10">
        <f t="shared" si="2"/>
        <v>41.138000000004467</v>
      </c>
      <c r="E23" s="7">
        <f>'[8]Jun Prod'!E22</f>
        <v>0</v>
      </c>
      <c r="F23" s="8">
        <f t="shared" si="3"/>
        <v>0</v>
      </c>
      <c r="G23" s="10">
        <f t="shared" si="4"/>
        <v>0</v>
      </c>
      <c r="H23" s="7">
        <f>'[8]Jun Prod'!F22</f>
        <v>13010000</v>
      </c>
      <c r="I23" s="8">
        <f t="shared" si="5"/>
        <v>13.01</v>
      </c>
      <c r="J23" s="10">
        <f t="shared" si="6"/>
        <v>39.9407</v>
      </c>
      <c r="K23" s="7">
        <f>'[8]Jun Prod'!H270</f>
        <v>1772139</v>
      </c>
      <c r="L23" s="8">
        <f t="shared" si="17"/>
        <v>1.7721389999999999</v>
      </c>
      <c r="M23" s="10">
        <f t="shared" si="7"/>
        <v>5.4404667299999998</v>
      </c>
      <c r="N23" s="21"/>
      <c r="O23" s="7">
        <f>'[8]Jun Prod'!H22</f>
        <v>11641000.000000007</v>
      </c>
      <c r="P23" s="8">
        <f t="shared" si="8"/>
        <v>11.641000000000007</v>
      </c>
      <c r="Q23" s="10">
        <f t="shared" si="9"/>
        <v>35.737870000000022</v>
      </c>
      <c r="R23" s="7">
        <f>'[8]Jun Prod'!C22</f>
        <v>11906000</v>
      </c>
      <c r="S23" s="8">
        <f t="shared" ref="S23" si="19">R23/1000000</f>
        <v>11.906000000000001</v>
      </c>
      <c r="T23" s="10">
        <f t="shared" ref="T23" si="20">S23*3.07</f>
        <v>36.55142</v>
      </c>
      <c r="U23" s="7">
        <f>'[8]Jun Prod'!D22</f>
        <v>0</v>
      </c>
      <c r="V23" s="8">
        <f t="shared" si="12"/>
        <v>0</v>
      </c>
      <c r="W23" s="10">
        <f t="shared" si="13"/>
        <v>0</v>
      </c>
      <c r="X23" s="7">
        <f>'[8]Jun Prod'!D270</f>
        <v>264999.99999999348</v>
      </c>
      <c r="Y23" s="8">
        <f t="shared" si="14"/>
        <v>0.26499999999999346</v>
      </c>
      <c r="Z23" s="10">
        <f t="shared" si="15"/>
        <v>0.8135499999999799</v>
      </c>
      <c r="AA23" s="15"/>
      <c r="AB23" s="7">
        <f t="shared" si="16"/>
        <v>25041000.00000146</v>
      </c>
      <c r="AC23" s="8">
        <f t="shared" si="16"/>
        <v>25.041000000001461</v>
      </c>
      <c r="AD23" s="8">
        <f t="shared" si="16"/>
        <v>76.875870000004483</v>
      </c>
      <c r="AF23" s="8">
        <f t="shared" si="18"/>
        <v>-1.8873791418627661E-15</v>
      </c>
    </row>
    <row r="24" spans="1:32" x14ac:dyDescent="0.25">
      <c r="A24" s="27">
        <v>38523</v>
      </c>
      <c r="B24" s="7">
        <f>'[8]Jun Prod'!I23</f>
        <v>14500000</v>
      </c>
      <c r="C24" s="8">
        <f t="shared" si="1"/>
        <v>14.5</v>
      </c>
      <c r="D24" s="10">
        <f t="shared" si="2"/>
        <v>44.515000000000001</v>
      </c>
      <c r="E24" s="7">
        <f>'[8]Jun Prod'!E23</f>
        <v>0</v>
      </c>
      <c r="F24" s="8">
        <f t="shared" si="3"/>
        <v>0</v>
      </c>
      <c r="G24" s="10">
        <f t="shared" si="4"/>
        <v>0</v>
      </c>
      <c r="H24" s="7">
        <f>'[8]Jun Prod'!F23</f>
        <v>14790000</v>
      </c>
      <c r="I24" s="8">
        <f t="shared" si="5"/>
        <v>14.79</v>
      </c>
      <c r="J24" s="10">
        <f t="shared" si="6"/>
        <v>45.405299999999997</v>
      </c>
      <c r="K24" s="7">
        <f>'[8]Jun Prod'!H271</f>
        <v>1893362</v>
      </c>
      <c r="L24" s="8">
        <f t="shared" si="17"/>
        <v>1.893362</v>
      </c>
      <c r="M24" s="10">
        <f t="shared" si="7"/>
        <v>5.8126213399999997</v>
      </c>
      <c r="N24" s="21"/>
      <c r="O24" s="7">
        <f>'[8]Jun Prod'!H23</f>
        <v>11854999.999999998</v>
      </c>
      <c r="P24" s="8">
        <f t="shared" si="8"/>
        <v>11.854999999999999</v>
      </c>
      <c r="Q24" s="10">
        <f t="shared" si="9"/>
        <v>36.394849999999991</v>
      </c>
      <c r="R24" s="7">
        <f>'[8]Jun Prod'!C23</f>
        <v>12260000</v>
      </c>
      <c r="S24" s="8">
        <f t="shared" si="10"/>
        <v>12.26</v>
      </c>
      <c r="T24" s="10">
        <f t="shared" si="11"/>
        <v>37.638199999999998</v>
      </c>
      <c r="U24" s="7">
        <f>'[8]Jun Prod'!D23</f>
        <v>0</v>
      </c>
      <c r="V24" s="8">
        <f t="shared" si="12"/>
        <v>0</v>
      </c>
      <c r="W24" s="10">
        <f t="shared" si="13"/>
        <v>0</v>
      </c>
      <c r="X24" s="7">
        <f>'[8]Jun Prod'!D271</f>
        <v>405000.00000000116</v>
      </c>
      <c r="Y24" s="8">
        <f t="shared" si="14"/>
        <v>0.40500000000000114</v>
      </c>
      <c r="Z24" s="10">
        <f t="shared" si="15"/>
        <v>1.2433500000000035</v>
      </c>
      <c r="AA24" s="15"/>
      <c r="AB24" s="7">
        <f t="shared" si="16"/>
        <v>26355000</v>
      </c>
      <c r="AC24" s="8">
        <f t="shared" si="16"/>
        <v>26.354999999999997</v>
      </c>
      <c r="AD24" s="8">
        <f t="shared" si="16"/>
        <v>80.909849999999992</v>
      </c>
      <c r="AF24" s="8">
        <f t="shared" si="18"/>
        <v>3.1086244689504383E-15</v>
      </c>
    </row>
    <row r="25" spans="1:32" x14ac:dyDescent="0.25">
      <c r="A25" s="27">
        <v>38524</v>
      </c>
      <c r="B25" s="7">
        <f>'[8]Jun Prod'!I24</f>
        <v>21099999.999998543</v>
      </c>
      <c r="C25" s="8">
        <f t="shared" si="1"/>
        <v>21.099999999998545</v>
      </c>
      <c r="D25" s="10">
        <f t="shared" si="2"/>
        <v>64.776999999995525</v>
      </c>
      <c r="E25" s="7">
        <f>'[8]Jun Prod'!E24</f>
        <v>0</v>
      </c>
      <c r="F25" s="8">
        <f t="shared" si="3"/>
        <v>0</v>
      </c>
      <c r="G25" s="10">
        <f t="shared" si="4"/>
        <v>0</v>
      </c>
      <c r="H25" s="7">
        <f>'[8]Jun Prod'!F24</f>
        <v>20610000</v>
      </c>
      <c r="I25" s="8">
        <f t="shared" si="5"/>
        <v>20.61</v>
      </c>
      <c r="J25" s="10">
        <f t="shared" si="6"/>
        <v>63.272699999999993</v>
      </c>
      <c r="K25" s="7">
        <f>'[8]Jun Prod'!H272</f>
        <v>2516000</v>
      </c>
      <c r="L25" s="8">
        <f t="shared" si="17"/>
        <v>2.516</v>
      </c>
      <c r="M25" s="10">
        <f t="shared" si="7"/>
        <v>7.7241199999999992</v>
      </c>
      <c r="N25" s="21"/>
      <c r="O25" s="7">
        <f>'[8]Jun Prod'!H24</f>
        <v>9296000</v>
      </c>
      <c r="P25" s="8">
        <f t="shared" si="8"/>
        <v>9.2959999999999994</v>
      </c>
      <c r="Q25" s="10">
        <f t="shared" si="9"/>
        <v>28.538719999999998</v>
      </c>
      <c r="R25" s="7">
        <f>'[8]Jun Prod'!C24</f>
        <v>9497000</v>
      </c>
      <c r="S25" s="8">
        <f t="shared" si="10"/>
        <v>9.4969999999999999</v>
      </c>
      <c r="T25" s="10">
        <f t="shared" si="11"/>
        <v>29.15579</v>
      </c>
      <c r="U25" s="7">
        <f>'[8]Jun Prod'!D24</f>
        <v>0</v>
      </c>
      <c r="V25" s="8">
        <f t="shared" si="12"/>
        <v>0</v>
      </c>
      <c r="W25" s="10">
        <f t="shared" si="13"/>
        <v>0</v>
      </c>
      <c r="X25" s="7">
        <f>'[8]Jun Prod'!D272</f>
        <v>201000.00000000052</v>
      </c>
      <c r="Y25" s="8">
        <f t="shared" si="14"/>
        <v>0.20100000000000051</v>
      </c>
      <c r="Z25" s="10">
        <f t="shared" si="15"/>
        <v>0.61707000000000156</v>
      </c>
      <c r="AA25" s="15"/>
      <c r="AB25" s="7">
        <f t="shared" si="16"/>
        <v>30395999.999998543</v>
      </c>
      <c r="AC25" s="8">
        <f t="shared" si="16"/>
        <v>30.395999999998544</v>
      </c>
      <c r="AD25" s="8">
        <f t="shared" si="16"/>
        <v>93.315719999995522</v>
      </c>
      <c r="AF25" s="8">
        <f t="shared" si="18"/>
        <v>0</v>
      </c>
    </row>
    <row r="26" spans="1:32" x14ac:dyDescent="0.25">
      <c r="A26" s="27">
        <v>38525</v>
      </c>
      <c r="B26" s="7">
        <f>'[8]Jun Prod'!I25</f>
        <v>22400000.000001457</v>
      </c>
      <c r="C26" s="8">
        <f t="shared" si="1"/>
        <v>22.400000000001455</v>
      </c>
      <c r="D26" s="10">
        <f t="shared" si="2"/>
        <v>68.768000000004463</v>
      </c>
      <c r="E26" s="7">
        <f>'[8]Jun Prod'!E25</f>
        <v>0</v>
      </c>
      <c r="F26" s="8">
        <f t="shared" si="3"/>
        <v>0</v>
      </c>
      <c r="G26" s="10">
        <f t="shared" si="4"/>
        <v>0</v>
      </c>
      <c r="H26" s="7">
        <f>'[8]Jun Prod'!F25</f>
        <v>21150000</v>
      </c>
      <c r="I26" s="8">
        <f t="shared" si="5"/>
        <v>21.15</v>
      </c>
      <c r="J26" s="10">
        <f t="shared" si="6"/>
        <v>64.930499999999995</v>
      </c>
      <c r="K26" s="43">
        <f>'[8]Jun Prod'!H273</f>
        <v>-132962249</v>
      </c>
      <c r="L26" s="8">
        <f t="shared" si="17"/>
        <v>-132.96224900000001</v>
      </c>
      <c r="M26" s="10">
        <f t="shared" si="7"/>
        <v>-408.19410443000004</v>
      </c>
      <c r="N26" s="21"/>
      <c r="O26" s="7">
        <f>'[8]Jun Prod'!H25</f>
        <v>6464000.0000000019</v>
      </c>
      <c r="P26" s="8">
        <f t="shared" si="8"/>
        <v>6.4640000000000022</v>
      </c>
      <c r="Q26" s="10">
        <f t="shared" si="9"/>
        <v>19.844480000000004</v>
      </c>
      <c r="R26" s="7">
        <f>'[8]Jun Prod'!C25</f>
        <v>6736000</v>
      </c>
      <c r="S26" s="8">
        <f t="shared" si="10"/>
        <v>6.7359999999999998</v>
      </c>
      <c r="T26" s="10">
        <f t="shared" si="11"/>
        <v>20.679519999999997</v>
      </c>
      <c r="U26" s="7">
        <f>'[8]Jun Prod'!D25</f>
        <v>0</v>
      </c>
      <c r="V26" s="8">
        <f t="shared" si="12"/>
        <v>0</v>
      </c>
      <c r="W26" s="10">
        <f t="shared" si="13"/>
        <v>0</v>
      </c>
      <c r="X26" s="7">
        <f>'[8]Jun Prod'!D273</f>
        <v>271999.99999999849</v>
      </c>
      <c r="Y26" s="8">
        <f t="shared" si="14"/>
        <v>0.27199999999999847</v>
      </c>
      <c r="Z26" s="10">
        <f t="shared" si="15"/>
        <v>0.83503999999999523</v>
      </c>
      <c r="AA26" s="15"/>
      <c r="AB26" s="7">
        <f t="shared" si="16"/>
        <v>28864000.00000146</v>
      </c>
      <c r="AC26" s="8">
        <f t="shared" si="16"/>
        <v>28.864000000001457</v>
      </c>
      <c r="AD26" s="8">
        <f t="shared" si="16"/>
        <v>88.612480000004467</v>
      </c>
      <c r="AF26" s="8">
        <f t="shared" si="18"/>
        <v>-2.9976021664879227E-15</v>
      </c>
    </row>
    <row r="27" spans="1:32" x14ac:dyDescent="0.25">
      <c r="A27" s="27">
        <v>38526</v>
      </c>
      <c r="B27" s="7">
        <f>'[8]Jun Prod'!I26</f>
        <v>23399999.999997817</v>
      </c>
      <c r="C27" s="8">
        <f t="shared" si="1"/>
        <v>23.399999999997817</v>
      </c>
      <c r="D27" s="10">
        <f t="shared" si="2"/>
        <v>71.837999999993301</v>
      </c>
      <c r="E27" s="7">
        <f>'[8]Jun Prod'!E26</f>
        <v>0</v>
      </c>
      <c r="F27" s="8">
        <f t="shared" si="3"/>
        <v>0</v>
      </c>
      <c r="G27" s="10">
        <f t="shared" si="4"/>
        <v>0</v>
      </c>
      <c r="H27" s="7">
        <f>'[8]Jun Prod'!F26</f>
        <v>22530000</v>
      </c>
      <c r="I27" s="8">
        <f t="shared" si="5"/>
        <v>22.53</v>
      </c>
      <c r="J27" s="10">
        <f t="shared" si="6"/>
        <v>69.167100000000005</v>
      </c>
      <c r="K27" s="7">
        <f>'[8]Jun Prod'!H274</f>
        <v>2678125</v>
      </c>
      <c r="L27" s="8">
        <f t="shared" si="17"/>
        <v>2.6781250000000001</v>
      </c>
      <c r="M27" s="10">
        <f t="shared" si="7"/>
        <v>8.2218437499999997</v>
      </c>
      <c r="N27" s="21"/>
      <c r="O27" s="7">
        <f>'[8]Jun Prod'!H26</f>
        <v>6680999.9999999944</v>
      </c>
      <c r="P27" s="8">
        <f t="shared" si="8"/>
        <v>6.6809999999999947</v>
      </c>
      <c r="Q27" s="10">
        <f t="shared" si="9"/>
        <v>20.510669999999983</v>
      </c>
      <c r="R27" s="7">
        <f>'[8]Jun Prod'!C26</f>
        <v>6880000</v>
      </c>
      <c r="S27" s="8">
        <f t="shared" si="10"/>
        <v>6.88</v>
      </c>
      <c r="T27" s="10">
        <f t="shared" si="11"/>
        <v>21.121599999999997</v>
      </c>
      <c r="U27" s="7">
        <f>'[8]Jun Prod'!D26</f>
        <v>0</v>
      </c>
      <c r="V27" s="8">
        <f t="shared" si="12"/>
        <v>0</v>
      </c>
      <c r="W27" s="10">
        <f t="shared" si="13"/>
        <v>0</v>
      </c>
      <c r="X27" s="7">
        <f>'[8]Jun Prod'!D274</f>
        <v>199000.00000000518</v>
      </c>
      <c r="Y27" s="8">
        <f t="shared" si="14"/>
        <v>0.19900000000000517</v>
      </c>
      <c r="Z27" s="10">
        <f t="shared" si="15"/>
        <v>0.61093000000001585</v>
      </c>
      <c r="AA27" s="15"/>
      <c r="AB27" s="7">
        <f t="shared" si="16"/>
        <v>30080999.99999781</v>
      </c>
      <c r="AC27" s="8">
        <f t="shared" si="16"/>
        <v>30.080999999997811</v>
      </c>
      <c r="AD27" s="8">
        <f t="shared" si="16"/>
        <v>92.348669999993291</v>
      </c>
      <c r="AF27" s="8">
        <f t="shared" si="18"/>
        <v>-1.8873791418627661E-15</v>
      </c>
    </row>
    <row r="28" spans="1:32" x14ac:dyDescent="0.25">
      <c r="A28" s="27">
        <v>38527</v>
      </c>
      <c r="B28" s="7">
        <f>'[8]Jun Prod'!I27</f>
        <v>23900000.000001457</v>
      </c>
      <c r="C28" s="8">
        <f t="shared" si="1"/>
        <v>23.900000000001455</v>
      </c>
      <c r="D28" s="10">
        <f t="shared" si="2"/>
        <v>73.373000000004467</v>
      </c>
      <c r="E28" s="7">
        <f>'[8]Jun Prod'!E27</f>
        <v>0</v>
      </c>
      <c r="F28" s="8">
        <f t="shared" si="3"/>
        <v>0</v>
      </c>
      <c r="G28" s="10">
        <f t="shared" si="4"/>
        <v>0</v>
      </c>
      <c r="H28" s="7">
        <f>'[8]Jun Prod'!F27</f>
        <v>22250000</v>
      </c>
      <c r="I28" s="8">
        <f t="shared" si="5"/>
        <v>22.25</v>
      </c>
      <c r="J28" s="10">
        <f t="shared" si="6"/>
        <v>68.30749999999999</v>
      </c>
      <c r="K28" s="7">
        <f>'[8]Jun Prod'!H275</f>
        <v>2681978</v>
      </c>
      <c r="L28" s="8">
        <f t="shared" si="17"/>
        <v>2.681978</v>
      </c>
      <c r="M28" s="10">
        <f t="shared" si="7"/>
        <v>8.2336724599999993</v>
      </c>
      <c r="N28" s="21"/>
      <c r="O28" s="7">
        <f>'[8]Jun Prod'!H27</f>
        <v>5831000.0000000047</v>
      </c>
      <c r="P28" s="8">
        <f t="shared" si="8"/>
        <v>5.8310000000000048</v>
      </c>
      <c r="Q28" s="10">
        <f t="shared" si="9"/>
        <v>17.901170000000015</v>
      </c>
      <c r="R28" s="7">
        <f>'[8]Jun Prod'!C27</f>
        <v>6034000</v>
      </c>
      <c r="S28" s="8">
        <f t="shared" si="10"/>
        <v>6.0339999999999998</v>
      </c>
      <c r="T28" s="10">
        <f t="shared" si="11"/>
        <v>18.524379999999997</v>
      </c>
      <c r="U28" s="7">
        <f>'[8]Jun Prod'!D27</f>
        <v>0</v>
      </c>
      <c r="V28" s="8">
        <f t="shared" si="12"/>
        <v>0</v>
      </c>
      <c r="W28" s="10">
        <f t="shared" si="13"/>
        <v>0</v>
      </c>
      <c r="X28" s="7">
        <f>'[8]Jun Prod'!D275</f>
        <v>202999.99999999584</v>
      </c>
      <c r="Y28" s="8">
        <f t="shared" si="14"/>
        <v>0.20299999999999585</v>
      </c>
      <c r="Z28" s="10">
        <f t="shared" si="15"/>
        <v>0.62320999999998727</v>
      </c>
      <c r="AA28" s="15"/>
      <c r="AB28" s="7">
        <f t="shared" si="16"/>
        <v>29731000.00000146</v>
      </c>
      <c r="AC28" s="8">
        <f t="shared" si="16"/>
        <v>29.731000000001458</v>
      </c>
      <c r="AD28" s="8">
        <f t="shared" si="16"/>
        <v>91.274170000004489</v>
      </c>
      <c r="AF28" s="8">
        <f t="shared" si="18"/>
        <v>-4.7739590058881731E-15</v>
      </c>
    </row>
    <row r="29" spans="1:32" x14ac:dyDescent="0.25">
      <c r="A29" s="27">
        <v>38528</v>
      </c>
      <c r="B29" s="7">
        <f>'[8]Jun Prod'!I28</f>
        <v>20899999.999997817</v>
      </c>
      <c r="C29" s="8">
        <f t="shared" si="1"/>
        <v>20.899999999997817</v>
      </c>
      <c r="D29" s="10">
        <f t="shared" si="2"/>
        <v>64.162999999993289</v>
      </c>
      <c r="E29" s="7">
        <f>'[8]Jun Prod'!E28</f>
        <v>0</v>
      </c>
      <c r="F29" s="8">
        <f t="shared" si="3"/>
        <v>0</v>
      </c>
      <c r="G29" s="10">
        <f t="shared" si="4"/>
        <v>0</v>
      </c>
      <c r="H29" s="7">
        <f>'[8]Jun Prod'!F28</f>
        <v>19300000</v>
      </c>
      <c r="I29" s="8">
        <f t="shared" si="5"/>
        <v>19.3</v>
      </c>
      <c r="J29" s="10">
        <f t="shared" si="6"/>
        <v>59.250999999999998</v>
      </c>
      <c r="K29" s="7">
        <f>'[8]Jun Prod'!H276</f>
        <v>2421555</v>
      </c>
      <c r="L29" s="8">
        <f>K29/1000000</f>
        <v>2.4215550000000001</v>
      </c>
      <c r="M29" s="10">
        <f t="shared" si="7"/>
        <v>7.4341738499999996</v>
      </c>
      <c r="N29" s="21"/>
      <c r="O29" s="7">
        <f>'[8]Jun Prod'!H28</f>
        <v>5731999.9999999981</v>
      </c>
      <c r="P29" s="8">
        <f t="shared" si="8"/>
        <v>5.7319999999999984</v>
      </c>
      <c r="Q29" s="10">
        <f t="shared" si="9"/>
        <v>17.597239999999996</v>
      </c>
      <c r="R29" s="7">
        <f>'[8]Jun Prod'!C28</f>
        <v>6027000</v>
      </c>
      <c r="S29" s="8">
        <f t="shared" si="10"/>
        <v>6.0270000000000001</v>
      </c>
      <c r="T29" s="10">
        <f t="shared" si="11"/>
        <v>18.502890000000001</v>
      </c>
      <c r="U29" s="7">
        <f>'[8]Jun Prod'!D28</f>
        <v>0</v>
      </c>
      <c r="V29" s="8">
        <f t="shared" si="12"/>
        <v>0</v>
      </c>
      <c r="W29" s="10">
        <f t="shared" si="13"/>
        <v>0</v>
      </c>
      <c r="X29" s="7">
        <f>'[8]Jun Prod'!D276</f>
        <v>295000.00000000169</v>
      </c>
      <c r="Y29" s="8">
        <f t="shared" si="14"/>
        <v>0.29500000000000171</v>
      </c>
      <c r="Z29" s="10">
        <f t="shared" si="15"/>
        <v>0.90565000000000517</v>
      </c>
      <c r="AA29" s="15"/>
      <c r="AB29" s="7">
        <f t="shared" si="16"/>
        <v>26631999.999997817</v>
      </c>
      <c r="AC29" s="8">
        <f t="shared" si="16"/>
        <v>26.631999999997817</v>
      </c>
      <c r="AD29" s="8">
        <f t="shared" si="16"/>
        <v>81.760239999993289</v>
      </c>
      <c r="AF29" s="8">
        <f t="shared" si="18"/>
        <v>0</v>
      </c>
    </row>
    <row r="30" spans="1:32" x14ac:dyDescent="0.25">
      <c r="A30" s="27">
        <v>38529</v>
      </c>
      <c r="B30" s="7">
        <f>'[8]Jun Prod'!I29</f>
        <v>22600000.000002183</v>
      </c>
      <c r="C30" s="8">
        <f t="shared" si="1"/>
        <v>22.600000000002183</v>
      </c>
      <c r="D30" s="10">
        <f t="shared" si="2"/>
        <v>69.382000000006698</v>
      </c>
      <c r="E30" s="7">
        <f>'[8]Jun Prod'!E29</f>
        <v>0</v>
      </c>
      <c r="F30" s="8">
        <f t="shared" si="3"/>
        <v>0</v>
      </c>
      <c r="G30" s="10">
        <f t="shared" si="4"/>
        <v>0</v>
      </c>
      <c r="H30" s="7">
        <f>'[8]Jun Prod'!F29</f>
        <v>22030000</v>
      </c>
      <c r="I30" s="8">
        <f t="shared" si="5"/>
        <v>22.03</v>
      </c>
      <c r="J30" s="10">
        <f t="shared" si="6"/>
        <v>67.632099999999994</v>
      </c>
      <c r="K30" s="7">
        <f>'[8]Jun Prod'!H277</f>
        <v>2625145</v>
      </c>
      <c r="L30" s="8">
        <f t="shared" si="17"/>
        <v>2.6251449999999998</v>
      </c>
      <c r="M30" s="10">
        <f t="shared" si="7"/>
        <v>8.059195149999999</v>
      </c>
      <c r="N30" s="21"/>
      <c r="O30" s="7">
        <f>'[8]Jun Prod'!H29</f>
        <v>7028000.0000000019</v>
      </c>
      <c r="P30" s="8">
        <f t="shared" si="8"/>
        <v>7.0280000000000022</v>
      </c>
      <c r="Q30" s="10">
        <f t="shared" si="9"/>
        <v>21.575960000000006</v>
      </c>
      <c r="R30" s="7">
        <f>'[8]Jun Prod'!C29</f>
        <v>7160000</v>
      </c>
      <c r="S30" s="8">
        <f t="shared" si="10"/>
        <v>7.16</v>
      </c>
      <c r="T30" s="10">
        <f t="shared" si="11"/>
        <v>21.981199999999998</v>
      </c>
      <c r="U30" s="7">
        <f>'[8]Jun Prod'!D29</f>
        <v>0</v>
      </c>
      <c r="V30" s="8">
        <f t="shared" si="12"/>
        <v>0</v>
      </c>
      <c r="W30" s="10">
        <f t="shared" si="13"/>
        <v>0</v>
      </c>
      <c r="X30" s="7">
        <f>'[8]Jun Prod'!D277</f>
        <v>131999.9999999979</v>
      </c>
      <c r="Y30" s="8">
        <f t="shared" si="14"/>
        <v>0.1319999999999979</v>
      </c>
      <c r="Z30" s="10">
        <f t="shared" si="15"/>
        <v>0.40523999999999349</v>
      </c>
      <c r="AA30" s="15"/>
      <c r="AB30" s="7">
        <f t="shared" si="16"/>
        <v>29628000.000002183</v>
      </c>
      <c r="AC30" s="8">
        <f t="shared" si="16"/>
        <v>29.628000000002185</v>
      </c>
      <c r="AD30" s="8">
        <f t="shared" si="16"/>
        <v>90.957960000006707</v>
      </c>
      <c r="AF30" s="8">
        <f t="shared" si="18"/>
        <v>-1.4432899320127035E-15</v>
      </c>
    </row>
    <row r="31" spans="1:32" x14ac:dyDescent="0.25">
      <c r="A31" s="27">
        <v>38530</v>
      </c>
      <c r="B31" s="7">
        <f>'[8]Jun Prod'!I30</f>
        <v>22799999.999999274</v>
      </c>
      <c r="C31" s="8">
        <f t="shared" si="1"/>
        <v>22.799999999999272</v>
      </c>
      <c r="D31" s="10">
        <f t="shared" si="2"/>
        <v>69.995999999997764</v>
      </c>
      <c r="E31" s="7">
        <f>'[8]Jun Prod'!E30</f>
        <v>0</v>
      </c>
      <c r="F31" s="8">
        <f t="shared" si="3"/>
        <v>0</v>
      </c>
      <c r="G31" s="10">
        <f t="shared" si="4"/>
        <v>0</v>
      </c>
      <c r="H31" s="7">
        <f>'[8]Jun Prod'!F30</f>
        <v>21720000</v>
      </c>
      <c r="I31" s="8">
        <f t="shared" si="5"/>
        <v>21.72</v>
      </c>
      <c r="J31" s="10">
        <f t="shared" si="6"/>
        <v>66.680399999999992</v>
      </c>
      <c r="K31" s="7">
        <f>'[8]Jun Prod'!H278</f>
        <v>2685137</v>
      </c>
      <c r="L31" s="8">
        <f t="shared" si="17"/>
        <v>2.6851370000000001</v>
      </c>
      <c r="M31" s="10">
        <f t="shared" si="7"/>
        <v>8.2433705899999996</v>
      </c>
      <c r="N31" s="21"/>
      <c r="O31" s="7">
        <f>'[8]Jun Prod'!H30</f>
        <v>6940999.9999999991</v>
      </c>
      <c r="P31" s="8">
        <f t="shared" si="8"/>
        <v>6.9409999999999989</v>
      </c>
      <c r="Q31" s="10">
        <f t="shared" si="9"/>
        <v>21.308869999999995</v>
      </c>
      <c r="R31" s="7">
        <f>'[8]Jun Prod'!C30</f>
        <v>7395000</v>
      </c>
      <c r="S31" s="8">
        <f t="shared" si="10"/>
        <v>7.3949999999999996</v>
      </c>
      <c r="T31" s="10">
        <f t="shared" si="11"/>
        <v>22.702649999999998</v>
      </c>
      <c r="U31" s="7">
        <f>'[8]Jun Prod'!D30</f>
        <v>0</v>
      </c>
      <c r="V31" s="8">
        <f t="shared" si="12"/>
        <v>0</v>
      </c>
      <c r="W31" s="10">
        <f t="shared" si="13"/>
        <v>0</v>
      </c>
      <c r="X31" s="7">
        <f>'[8]Jun Prod'!D278</f>
        <v>454000.00000000064</v>
      </c>
      <c r="Y31" s="8">
        <f t="shared" si="14"/>
        <v>0.45400000000000063</v>
      </c>
      <c r="Z31" s="10">
        <f t="shared" si="15"/>
        <v>1.3937800000000018</v>
      </c>
      <c r="AA31" s="15"/>
      <c r="AB31" s="7">
        <f t="shared" si="16"/>
        <v>29740999.999999274</v>
      </c>
      <c r="AC31" s="8">
        <f t="shared" si="16"/>
        <v>29.740999999999271</v>
      </c>
      <c r="AD31" s="8">
        <f t="shared" si="16"/>
        <v>91.304869999997763</v>
      </c>
      <c r="AF31" s="8">
        <f t="shared" si="18"/>
        <v>0</v>
      </c>
    </row>
    <row r="32" spans="1:32" x14ac:dyDescent="0.25">
      <c r="A32" s="27">
        <v>38531</v>
      </c>
      <c r="B32" s="7">
        <f>'[8]Jun Prod'!I31</f>
        <v>28000000</v>
      </c>
      <c r="C32" s="8">
        <f t="shared" si="1"/>
        <v>28</v>
      </c>
      <c r="D32" s="10">
        <f t="shared" si="2"/>
        <v>85.96</v>
      </c>
      <c r="E32" s="7">
        <f>'[8]Jun Prod'!E31</f>
        <v>0</v>
      </c>
      <c r="F32" s="8">
        <f t="shared" si="3"/>
        <v>0</v>
      </c>
      <c r="G32" s="10">
        <f t="shared" si="4"/>
        <v>0</v>
      </c>
      <c r="H32" s="7">
        <f>'[8]Jun Prod'!F31</f>
        <v>26210000</v>
      </c>
      <c r="I32" s="8">
        <f t="shared" si="5"/>
        <v>26.21</v>
      </c>
      <c r="J32" s="10">
        <f t="shared" si="6"/>
        <v>80.464699999999993</v>
      </c>
      <c r="K32" s="7">
        <f>'[8]Jun Prod'!H279</f>
        <v>3074704</v>
      </c>
      <c r="L32" s="8">
        <f t="shared" si="17"/>
        <v>3.0747040000000001</v>
      </c>
      <c r="M32" s="10">
        <f t="shared" si="7"/>
        <v>9.4393412799999989</v>
      </c>
      <c r="N32" s="21"/>
      <c r="O32" s="7">
        <f>'[8]Jun Prod'!H31</f>
        <v>5393999.9999999963</v>
      </c>
      <c r="P32" s="8">
        <f t="shared" si="8"/>
        <v>5.3939999999999966</v>
      </c>
      <c r="Q32" s="10">
        <f t="shared" si="9"/>
        <v>16.55957999999999</v>
      </c>
      <c r="R32" s="7">
        <f>'[8]Jun Prod'!C31</f>
        <v>5676000</v>
      </c>
      <c r="S32" s="8">
        <f t="shared" si="10"/>
        <v>5.6760000000000002</v>
      </c>
      <c r="T32" s="10">
        <f t="shared" si="11"/>
        <v>17.425319999999999</v>
      </c>
      <c r="U32" s="7">
        <f>'[8]Jun Prod'!D31</f>
        <v>0</v>
      </c>
      <c r="V32" s="8">
        <f t="shared" si="12"/>
        <v>0</v>
      </c>
      <c r="W32" s="10">
        <f t="shared" si="13"/>
        <v>0</v>
      </c>
      <c r="X32" s="7">
        <f>'[8]Jun Prod'!D279</f>
        <v>282000.00000000361</v>
      </c>
      <c r="Y32" s="8">
        <f t="shared" si="14"/>
        <v>0.28200000000000358</v>
      </c>
      <c r="Z32" s="10">
        <f t="shared" si="15"/>
        <v>0.86574000000001095</v>
      </c>
      <c r="AA32" s="15"/>
      <c r="AB32" s="7">
        <f t="shared" si="16"/>
        <v>33393999.999999996</v>
      </c>
      <c r="AC32" s="8">
        <f>C32+P32</f>
        <v>33.393999999999998</v>
      </c>
      <c r="AD32" s="8">
        <f>D32+Q32</f>
        <v>102.51957999999999</v>
      </c>
      <c r="AF32" s="8">
        <f t="shared" si="18"/>
        <v>-1.4432899320127035E-15</v>
      </c>
    </row>
    <row r="33" spans="1:32" x14ac:dyDescent="0.25">
      <c r="A33" s="27">
        <v>38532</v>
      </c>
      <c r="B33" s="7">
        <f>'[8]Jun Prod'!I32</f>
        <v>26599999.999998543</v>
      </c>
      <c r="C33" s="8">
        <f t="shared" si="1"/>
        <v>26.599999999998545</v>
      </c>
      <c r="D33" s="10">
        <f t="shared" si="2"/>
        <v>81.66199999999553</v>
      </c>
      <c r="E33" s="7">
        <f>'[8]Jun Prod'!E32</f>
        <v>0</v>
      </c>
      <c r="F33" s="8">
        <f t="shared" si="3"/>
        <v>0</v>
      </c>
      <c r="G33" s="10">
        <f t="shared" si="4"/>
        <v>0</v>
      </c>
      <c r="H33" s="7">
        <f>'[8]Jun Prod'!F32</f>
        <v>25000000</v>
      </c>
      <c r="I33" s="8">
        <f t="shared" si="5"/>
        <v>25</v>
      </c>
      <c r="J33" s="10">
        <f t="shared" si="6"/>
        <v>76.75</v>
      </c>
      <c r="K33" s="7">
        <f>'[8]Jun Prod'!H280</f>
        <v>3052914</v>
      </c>
      <c r="L33" s="8">
        <f t="shared" si="17"/>
        <v>3.0529139999999999</v>
      </c>
      <c r="M33" s="10">
        <f t="shared" si="7"/>
        <v>9.3724459799999984</v>
      </c>
      <c r="N33" s="21"/>
      <c r="O33" s="7">
        <f>'[8]Jun Prod'!H32</f>
        <v>5532000.0000000047</v>
      </c>
      <c r="P33" s="8">
        <f t="shared" si="8"/>
        <v>5.5320000000000045</v>
      </c>
      <c r="Q33" s="10">
        <f t="shared" si="9"/>
        <v>16.983240000000013</v>
      </c>
      <c r="R33" s="7">
        <f>'[8]Jun Prod'!C32</f>
        <v>5732000</v>
      </c>
      <c r="S33" s="8">
        <f t="shared" si="10"/>
        <v>5.7320000000000002</v>
      </c>
      <c r="T33" s="10">
        <f t="shared" si="11"/>
        <v>17.597239999999999</v>
      </c>
      <c r="U33" s="7">
        <f>'[8]Jun Prod'!D32</f>
        <v>0</v>
      </c>
      <c r="V33" s="8">
        <f t="shared" si="12"/>
        <v>0</v>
      </c>
      <c r="W33" s="10">
        <f t="shared" si="13"/>
        <v>0</v>
      </c>
      <c r="X33" s="7">
        <f>'[8]Jun Prod'!D280</f>
        <v>199999.99999999575</v>
      </c>
      <c r="Y33" s="8">
        <f t="shared" si="14"/>
        <v>0.19999999999999576</v>
      </c>
      <c r="Z33" s="10">
        <f t="shared" si="15"/>
        <v>0.613999999999987</v>
      </c>
      <c r="AA33" s="15"/>
      <c r="AB33" s="7">
        <f t="shared" si="16"/>
        <v>32131999.999998547</v>
      </c>
      <c r="AC33" s="8">
        <f t="shared" si="16"/>
        <v>32.131999999998548</v>
      </c>
      <c r="AD33" s="8">
        <f t="shared" si="16"/>
        <v>98.645239999995539</v>
      </c>
      <c r="AF33" s="8">
        <f t="shared" si="18"/>
        <v>0</v>
      </c>
    </row>
    <row r="34" spans="1:32" ht="13.8" thickBot="1" x14ac:dyDescent="0.3">
      <c r="A34" s="27">
        <v>38533</v>
      </c>
      <c r="B34" s="7">
        <f>'[8]Jun Prod'!I33</f>
        <v>27200000.000000726</v>
      </c>
      <c r="C34" s="8">
        <f t="shared" si="1"/>
        <v>27.200000000000728</v>
      </c>
      <c r="D34" s="10">
        <f t="shared" si="2"/>
        <v>83.504000000002236</v>
      </c>
      <c r="E34" s="7">
        <f>'[8]Jun Prod'!E33</f>
        <v>0</v>
      </c>
      <c r="F34" s="8">
        <f t="shared" si="3"/>
        <v>0</v>
      </c>
      <c r="G34" s="10">
        <f t="shared" si="4"/>
        <v>0</v>
      </c>
      <c r="H34" s="7">
        <f>'[8]Jun Prod'!F33</f>
        <v>26310000</v>
      </c>
      <c r="I34" s="8">
        <f t="shared" si="5"/>
        <v>26.31</v>
      </c>
      <c r="J34" s="10">
        <f t="shared" si="6"/>
        <v>80.771699999999996</v>
      </c>
      <c r="K34" s="7">
        <f>'[8]Jun Prod'!H281</f>
        <v>3274250</v>
      </c>
      <c r="L34" s="8">
        <f t="shared" si="17"/>
        <v>3.2742499999999999</v>
      </c>
      <c r="M34" s="10">
        <f t="shared" si="7"/>
        <v>10.051947499999999</v>
      </c>
      <c r="N34" s="21"/>
      <c r="O34" s="7">
        <f>'[8]Jun Prod'!H33</f>
        <v>7126000.0000000009</v>
      </c>
      <c r="P34" s="8">
        <f t="shared" si="8"/>
        <v>7.1260000000000012</v>
      </c>
      <c r="Q34" s="10">
        <f t="shared" si="9"/>
        <v>21.876820000000002</v>
      </c>
      <c r="R34" s="7">
        <f>'[8]Jun Prod'!C33</f>
        <v>7236000</v>
      </c>
      <c r="S34" s="8">
        <f t="shared" si="10"/>
        <v>7.2359999999999998</v>
      </c>
      <c r="T34" s="10">
        <f t="shared" si="11"/>
        <v>22.214519999999997</v>
      </c>
      <c r="U34" s="7">
        <f>'[8]Jun Prod'!D33</f>
        <v>0</v>
      </c>
      <c r="V34" s="8">
        <f t="shared" si="12"/>
        <v>0</v>
      </c>
      <c r="W34" s="10">
        <f t="shared" si="13"/>
        <v>0</v>
      </c>
      <c r="X34" s="7">
        <f>'[8]Jun Prod'!D281</f>
        <v>109999.99999999943</v>
      </c>
      <c r="Y34" s="8">
        <f t="shared" si="14"/>
        <v>0.10999999999999943</v>
      </c>
      <c r="Z34" s="10">
        <f t="shared" si="15"/>
        <v>0.33769999999999822</v>
      </c>
      <c r="AA34" s="15"/>
      <c r="AB34" s="7">
        <f t="shared" si="16"/>
        <v>34326000.00000073</v>
      </c>
      <c r="AC34" s="8">
        <f t="shared" si="16"/>
        <v>34.326000000000732</v>
      </c>
      <c r="AD34" s="8">
        <f t="shared" si="16"/>
        <v>105.38082000000225</v>
      </c>
      <c r="AF34" s="8">
        <f t="shared" si="18"/>
        <v>-3.6637359812630166E-15</v>
      </c>
    </row>
    <row r="35" spans="1:32" ht="13.8" thickBot="1" x14ac:dyDescent="0.3">
      <c r="A35" s="3"/>
      <c r="B35" s="38"/>
      <c r="C35" s="39">
        <f>SUM(C5:C34)</f>
        <v>465</v>
      </c>
      <c r="D35" s="39">
        <f t="shared" si="2"/>
        <v>1427.55</v>
      </c>
      <c r="E35" s="38"/>
      <c r="F35" s="39">
        <f>SUM(F5:F34)</f>
        <v>161</v>
      </c>
      <c r="G35" s="39">
        <f t="shared" si="4"/>
        <v>494.27</v>
      </c>
      <c r="H35" s="38"/>
      <c r="I35" s="39">
        <f>SUM(I5:I34)</f>
        <v>312.39</v>
      </c>
      <c r="J35" s="39">
        <f t="shared" si="6"/>
        <v>959.03729999999996</v>
      </c>
      <c r="K35" s="38"/>
      <c r="L35" s="39">
        <f>SUM(L5:L34)</f>
        <v>-78.359798000000026</v>
      </c>
      <c r="M35" s="39">
        <f t="shared" si="7"/>
        <v>-240.56457986000007</v>
      </c>
      <c r="N35" s="14"/>
      <c r="O35" s="38"/>
      <c r="P35" s="39">
        <f>SUM(P5:P34)</f>
        <v>235.535</v>
      </c>
      <c r="Q35" s="39">
        <f t="shared" si="9"/>
        <v>723.09244999999999</v>
      </c>
      <c r="R35" s="38"/>
      <c r="S35" s="39">
        <f>SUM(S5:S34)</f>
        <v>242.4909999999999</v>
      </c>
      <c r="T35" s="39">
        <f t="shared" si="11"/>
        <v>744.44736999999964</v>
      </c>
      <c r="U35" s="38"/>
      <c r="V35" s="39">
        <f>SUM(V5:V34)</f>
        <v>0</v>
      </c>
      <c r="W35" s="39">
        <f t="shared" si="13"/>
        <v>0</v>
      </c>
      <c r="X35" s="38"/>
      <c r="Y35" s="39">
        <f>SUM(Y5:Y34)</f>
        <v>6.955999999999996</v>
      </c>
      <c r="Z35" s="39">
        <f t="shared" si="15"/>
        <v>21.354919999999986</v>
      </c>
      <c r="AA35" s="14"/>
      <c r="AB35" s="38"/>
      <c r="AC35" s="39">
        <f>SUM(AC5:AC34)</f>
        <v>700.53500000000008</v>
      </c>
      <c r="AD35" s="39">
        <f>AC35*3.07</f>
        <v>2150.6424500000003</v>
      </c>
      <c r="AF35" s="39">
        <f>SUM(AF5:AF34)</f>
        <v>-2.1621593404574924E-14</v>
      </c>
    </row>
    <row r="36" spans="1:32" x14ac:dyDescent="0.25">
      <c r="C36" s="18"/>
      <c r="E36" s="3"/>
      <c r="F36" s="3"/>
      <c r="G36" s="3"/>
      <c r="H36" s="3"/>
      <c r="I36" s="3"/>
      <c r="J36" s="3"/>
      <c r="K36" s="14"/>
      <c r="L36" s="3"/>
      <c r="M36" s="3"/>
      <c r="N36" s="3"/>
      <c r="O36" s="3"/>
      <c r="P36" s="3"/>
      <c r="Q36" s="3"/>
      <c r="R36" s="3"/>
      <c r="S36" s="3"/>
      <c r="T36" s="3"/>
      <c r="U36" s="14"/>
      <c r="AB36" s="14"/>
      <c r="AF36" s="30"/>
    </row>
    <row r="43" spans="1:32" x14ac:dyDescent="0.25">
      <c r="T43" s="18"/>
    </row>
  </sheetData>
  <mergeCells count="9">
    <mergeCell ref="AB3:AD3"/>
    <mergeCell ref="R3:T3"/>
    <mergeCell ref="U3:W3"/>
    <mergeCell ref="X3:Z3"/>
    <mergeCell ref="B3:D3"/>
    <mergeCell ref="E3:G3"/>
    <mergeCell ref="H3:J3"/>
    <mergeCell ref="O3:Q3"/>
    <mergeCell ref="K3:M3"/>
  </mergeCells>
  <phoneticPr fontId="1" type="noConversion"/>
  <pageMargins left="0.75" right="0.75" top="1" bottom="1" header="0.5" footer="0.5"/>
  <pageSetup scale="37" orientation="landscape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J37"/>
  <sheetViews>
    <sheetView workbookViewId="0">
      <pane xSplit="1" ySplit="4" topLeftCell="B14" activePane="bottomRight" state="frozen"/>
      <selection activeCell="J30" sqref="J30:J32"/>
      <selection pane="topRight" activeCell="J30" sqref="J30:J32"/>
      <selection pane="bottomLeft" activeCell="J30" sqref="J30:J32"/>
      <selection pane="bottomRight" activeCell="B5" sqref="B5"/>
    </sheetView>
  </sheetViews>
  <sheetFormatPr defaultRowHeight="13.2" x14ac:dyDescent="0.25"/>
  <cols>
    <col min="2" max="2" width="11.109375" customWidth="1"/>
    <col min="5" max="5" width="11.33203125" customWidth="1"/>
    <col min="8" max="8" width="13.5546875" customWidth="1"/>
    <col min="9" max="9" width="9.6640625" customWidth="1"/>
    <col min="10" max="10" width="11.5546875" customWidth="1"/>
    <col min="11" max="11" width="13.44140625" bestFit="1" customWidth="1"/>
    <col min="12" max="12" width="11.44140625" customWidth="1"/>
    <col min="15" max="15" width="11.109375" customWidth="1"/>
    <col min="18" max="18" width="11.109375" customWidth="1"/>
    <col min="21" max="21" width="10.6640625" bestFit="1" customWidth="1"/>
    <col min="22" max="22" width="10.5546875" customWidth="1"/>
    <col min="28" max="31" width="0" hidden="1" customWidth="1"/>
    <col min="32" max="32" width="12.109375" customWidth="1"/>
  </cols>
  <sheetData>
    <row r="1" spans="1:36" x14ac:dyDescent="0.25">
      <c r="A1" s="45"/>
      <c r="B1" s="40"/>
      <c r="C1" s="25"/>
      <c r="D1" s="25"/>
      <c r="E1" s="25"/>
      <c r="F1" s="25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14"/>
      <c r="V1" s="3"/>
      <c r="W1" s="3"/>
      <c r="X1" s="3"/>
    </row>
    <row r="2" spans="1:36" ht="13.8" thickBot="1" x14ac:dyDescent="0.3">
      <c r="A2" s="3"/>
      <c r="B2" s="3"/>
      <c r="C2" s="24"/>
      <c r="D2" s="3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  <c r="V2" s="3"/>
      <c r="W2" s="3"/>
      <c r="X2" s="3"/>
    </row>
    <row r="3" spans="1:36" ht="60.75" customHeight="1" thickBot="1" x14ac:dyDescent="0.3">
      <c r="A3" s="3"/>
      <c r="B3" s="61" t="s">
        <v>10</v>
      </c>
      <c r="C3" s="62"/>
      <c r="D3" s="63"/>
      <c r="E3" s="61" t="s">
        <v>11</v>
      </c>
      <c r="F3" s="62"/>
      <c r="G3" s="63"/>
      <c r="H3" s="61" t="s">
        <v>12</v>
      </c>
      <c r="I3" s="62"/>
      <c r="J3" s="63"/>
      <c r="K3" s="61" t="s">
        <v>13</v>
      </c>
      <c r="L3" s="62"/>
      <c r="M3" s="63"/>
      <c r="N3" s="19"/>
      <c r="O3" s="61" t="s">
        <v>4</v>
      </c>
      <c r="P3" s="62"/>
      <c r="Q3" s="63"/>
      <c r="R3" s="61" t="s">
        <v>3</v>
      </c>
      <c r="S3" s="62"/>
      <c r="T3" s="63"/>
      <c r="U3" s="61" t="s">
        <v>6</v>
      </c>
      <c r="V3" s="62"/>
      <c r="W3" s="63"/>
      <c r="X3" s="61" t="s">
        <v>7</v>
      </c>
      <c r="Y3" s="62"/>
      <c r="Z3" s="63"/>
      <c r="AA3" s="19"/>
      <c r="AB3" s="58" t="s">
        <v>5</v>
      </c>
      <c r="AC3" s="59"/>
      <c r="AD3" s="60"/>
      <c r="AF3" s="61" t="s">
        <v>8</v>
      </c>
      <c r="AG3" s="62"/>
      <c r="AH3" s="63"/>
      <c r="AJ3" s="34" t="s">
        <v>9</v>
      </c>
    </row>
    <row r="4" spans="1:36" x14ac:dyDescent="0.25">
      <c r="A4" s="26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4" t="s">
        <v>0</v>
      </c>
      <c r="AC4" s="5" t="s">
        <v>1</v>
      </c>
      <c r="AD4" s="6" t="s">
        <v>2</v>
      </c>
      <c r="AF4" s="35" t="s">
        <v>0</v>
      </c>
      <c r="AG4" s="36" t="s">
        <v>1</v>
      </c>
      <c r="AH4" s="37" t="s">
        <v>2</v>
      </c>
      <c r="AJ4" s="5" t="s">
        <v>2</v>
      </c>
    </row>
    <row r="5" spans="1:36" x14ac:dyDescent="0.25">
      <c r="A5" s="27">
        <v>38534</v>
      </c>
      <c r="B5" s="7">
        <f>'[9]Jul Prod'!I4</f>
        <v>27100000.000002183</v>
      </c>
      <c r="C5" s="8">
        <f t="shared" ref="C5:C35" si="0">B5/1000000</f>
        <v>27.100000000002183</v>
      </c>
      <c r="D5" s="10">
        <f t="shared" ref="D5:D36" si="1">C5*3.07</f>
        <v>83.197000000006696</v>
      </c>
      <c r="E5" s="7">
        <f>'[9]Jul Prod'!E4</f>
        <v>0</v>
      </c>
      <c r="F5" s="8">
        <f t="shared" ref="F5:F35" si="2">E5/1000000</f>
        <v>0</v>
      </c>
      <c r="G5" s="10">
        <f t="shared" ref="G5:G36" si="3">F5*3.07</f>
        <v>0</v>
      </c>
      <c r="H5" s="7">
        <f>'[9]Jul Prod'!F4</f>
        <v>26190000</v>
      </c>
      <c r="I5" s="8">
        <f t="shared" ref="I5:I35" si="4">H5/1000000</f>
        <v>26.19</v>
      </c>
      <c r="J5" s="10">
        <f t="shared" ref="J5:J36" si="5">I5*3.07</f>
        <v>80.403300000000002</v>
      </c>
      <c r="K5" s="7">
        <f>'[9]Jul Prod'!H259</f>
        <v>3233460</v>
      </c>
      <c r="L5" s="8">
        <f t="shared" ref="L5:L35" si="6">K5/1000000</f>
        <v>3.23346</v>
      </c>
      <c r="M5" s="10">
        <f t="shared" ref="M5:M36" si="7">L5*3.07</f>
        <v>9.9267221999999986</v>
      </c>
      <c r="N5" s="21"/>
      <c r="O5" s="7">
        <f>'[9]Jul Prod'!H4</f>
        <v>5722999.9999999963</v>
      </c>
      <c r="P5" s="8">
        <f t="shared" ref="P5:P35" si="8">O5/1000000</f>
        <v>5.7229999999999963</v>
      </c>
      <c r="Q5" s="10">
        <f t="shared" ref="Q5:Q36" si="9">P5*3.07</f>
        <v>17.569609999999987</v>
      </c>
      <c r="R5" s="7">
        <f>'[9]Jul Prod'!C4</f>
        <v>6270000</v>
      </c>
      <c r="S5" s="8">
        <f t="shared" ref="S5:S35" si="10">R5/1000000</f>
        <v>6.27</v>
      </c>
      <c r="T5" s="10">
        <f t="shared" ref="T5:T36" si="11">S5*3.07</f>
        <v>19.248899999999999</v>
      </c>
      <c r="U5" s="7">
        <f>'[9]Jul Prod'!D4</f>
        <v>0</v>
      </c>
      <c r="V5" s="8">
        <f t="shared" ref="V5:V35" si="12">U5/1000000</f>
        <v>0</v>
      </c>
      <c r="W5" s="10">
        <f t="shared" ref="W5:W36" si="13">V5*3.07</f>
        <v>0</v>
      </c>
      <c r="X5" s="7">
        <f>'[9]Jul Prod'!D259</f>
        <v>547000.00000000419</v>
      </c>
      <c r="Y5" s="8">
        <f t="shared" ref="Y5:Y35" si="14">X5/1000000</f>
        <v>0.54700000000000415</v>
      </c>
      <c r="Z5" s="10">
        <f t="shared" ref="Z5:Z36" si="15">Y5*3.07</f>
        <v>1.6792900000000126</v>
      </c>
      <c r="AA5" s="15"/>
      <c r="AB5" s="7">
        <f>'[9]Jul Prod'!G4</f>
        <v>0</v>
      </c>
      <c r="AC5" s="8">
        <f t="shared" ref="AC5:AC35" si="16">AB5/1000000</f>
        <v>0</v>
      </c>
      <c r="AD5" s="10">
        <f t="shared" ref="AD5:AD36" si="17">AC5*3.07</f>
        <v>0</v>
      </c>
      <c r="AF5" s="7">
        <f t="shared" ref="AF5:AF35" si="18">B5+O5</f>
        <v>32823000.000002179</v>
      </c>
      <c r="AG5" s="8">
        <f t="shared" ref="AG5:AG35" si="19">C5+P5</f>
        <v>32.823000000002182</v>
      </c>
      <c r="AH5" s="8">
        <f t="shared" ref="AH5:AH35" si="20">D5+Q5</f>
        <v>100.76661000000668</v>
      </c>
      <c r="AJ5" s="8">
        <f t="shared" ref="AJ5:AJ35" si="21">T5-Q5-Z5</f>
        <v>0</v>
      </c>
    </row>
    <row r="6" spans="1:36" x14ac:dyDescent="0.25">
      <c r="A6" s="27">
        <v>38535</v>
      </c>
      <c r="B6" s="7">
        <f>'[9]Jul Prod'!I5</f>
        <v>9099999.9999985453</v>
      </c>
      <c r="C6" s="8">
        <f t="shared" si="0"/>
        <v>9.0999999999985448</v>
      </c>
      <c r="D6" s="10">
        <f t="shared" si="1"/>
        <v>27.936999999995532</v>
      </c>
      <c r="E6" s="7">
        <f>'[9]Jul Prod'!E5</f>
        <v>2000000</v>
      </c>
      <c r="F6" s="8">
        <f t="shared" si="2"/>
        <v>2</v>
      </c>
      <c r="G6" s="10">
        <f t="shared" si="3"/>
        <v>6.14</v>
      </c>
      <c r="H6" s="7">
        <f>'[9]Jul Prod'!F5</f>
        <v>9070000</v>
      </c>
      <c r="I6" s="8">
        <f t="shared" si="4"/>
        <v>9.07</v>
      </c>
      <c r="J6" s="10">
        <f t="shared" si="5"/>
        <v>27.844899999999999</v>
      </c>
      <c r="K6" s="7">
        <f>'[9]Jul Prod'!H260</f>
        <v>1714148</v>
      </c>
      <c r="L6" s="8">
        <f t="shared" si="6"/>
        <v>1.714148</v>
      </c>
      <c r="M6" s="10">
        <f t="shared" si="7"/>
        <v>5.2624343599999994</v>
      </c>
      <c r="N6" s="21"/>
      <c r="O6" s="7">
        <f>'[9]Jul Prod'!H5</f>
        <v>13629000.000000002</v>
      </c>
      <c r="P6" s="8">
        <f t="shared" si="8"/>
        <v>13.629000000000001</v>
      </c>
      <c r="Q6" s="10">
        <f t="shared" si="9"/>
        <v>41.841030000000003</v>
      </c>
      <c r="R6" s="7">
        <f>'[9]Jul Prod'!C5</f>
        <v>13822000</v>
      </c>
      <c r="S6" s="8">
        <f t="shared" si="10"/>
        <v>13.821999999999999</v>
      </c>
      <c r="T6" s="10">
        <f t="shared" si="11"/>
        <v>42.433539999999994</v>
      </c>
      <c r="U6" s="7">
        <f>'[9]Jul Prod'!D5</f>
        <v>0</v>
      </c>
      <c r="V6" s="8">
        <f t="shared" si="12"/>
        <v>0</v>
      </c>
      <c r="W6" s="10">
        <f t="shared" si="13"/>
        <v>0</v>
      </c>
      <c r="X6" s="7">
        <f>'[9]Jul Prod'!D260</f>
        <v>192999.99999999785</v>
      </c>
      <c r="Y6" s="8">
        <f t="shared" si="14"/>
        <v>0.19299999999999784</v>
      </c>
      <c r="Z6" s="10">
        <f t="shared" si="15"/>
        <v>0.59250999999999332</v>
      </c>
      <c r="AA6" s="15"/>
      <c r="AB6" s="7">
        <f>'[9]Jul Prod'!G5</f>
        <v>2511000</v>
      </c>
      <c r="AC6" s="8">
        <f t="shared" si="16"/>
        <v>2.5110000000000001</v>
      </c>
      <c r="AD6" s="10">
        <f t="shared" si="17"/>
        <v>7.7087700000000003</v>
      </c>
      <c r="AF6" s="7">
        <f t="shared" si="18"/>
        <v>22728999.999998547</v>
      </c>
      <c r="AG6" s="8">
        <f t="shared" si="19"/>
        <v>22.728999999998546</v>
      </c>
      <c r="AH6" s="8">
        <f t="shared" si="20"/>
        <v>69.778029999995539</v>
      </c>
      <c r="AJ6" s="8">
        <f t="shared" si="21"/>
        <v>-3.219646771412954E-15</v>
      </c>
    </row>
    <row r="7" spans="1:36" x14ac:dyDescent="0.25">
      <c r="A7" s="27">
        <v>38536</v>
      </c>
      <c r="B7" s="7">
        <f>'[9]Jul Prod'!I6</f>
        <v>18599999.999998543</v>
      </c>
      <c r="C7" s="8">
        <f t="shared" si="0"/>
        <v>18.599999999998545</v>
      </c>
      <c r="D7" s="10">
        <f t="shared" si="1"/>
        <v>57.101999999995527</v>
      </c>
      <c r="E7" s="7">
        <f>'[9]Jul Prod'!E6</f>
        <v>22000000</v>
      </c>
      <c r="F7" s="8">
        <f t="shared" si="2"/>
        <v>22</v>
      </c>
      <c r="G7" s="10">
        <f t="shared" si="3"/>
        <v>67.539999999999992</v>
      </c>
      <c r="H7" s="7">
        <f>'[9]Jul Prod'!F6</f>
        <v>0</v>
      </c>
      <c r="I7" s="8">
        <f t="shared" si="4"/>
        <v>0</v>
      </c>
      <c r="J7" s="10">
        <f t="shared" si="5"/>
        <v>0</v>
      </c>
      <c r="K7" s="7">
        <f>'[9]Jul Prod'!H261</f>
        <v>2327382</v>
      </c>
      <c r="L7" s="8">
        <f t="shared" si="6"/>
        <v>2.3273820000000001</v>
      </c>
      <c r="M7" s="10">
        <f t="shared" si="7"/>
        <v>7.1450627400000002</v>
      </c>
      <c r="N7" s="21"/>
      <c r="O7" s="7">
        <f>'[9]Jul Prod'!H6</f>
        <v>6854999.9999999981</v>
      </c>
      <c r="P7" s="8">
        <f t="shared" si="8"/>
        <v>6.8549999999999978</v>
      </c>
      <c r="Q7" s="10">
        <f t="shared" si="9"/>
        <v>21.044849999999993</v>
      </c>
      <c r="R7" s="7">
        <f>'[9]Jul Prod'!C6</f>
        <v>7348000</v>
      </c>
      <c r="S7" s="8">
        <f t="shared" si="10"/>
        <v>7.3479999999999999</v>
      </c>
      <c r="T7" s="10">
        <f t="shared" si="11"/>
        <v>22.558359999999997</v>
      </c>
      <c r="U7" s="7">
        <f>'[9]Jul Prod'!D6</f>
        <v>0</v>
      </c>
      <c r="V7" s="8">
        <f t="shared" si="12"/>
        <v>0</v>
      </c>
      <c r="W7" s="10">
        <f t="shared" si="13"/>
        <v>0</v>
      </c>
      <c r="X7" s="7">
        <f>'[9]Jul Prod'!D261</f>
        <v>493000.0000000021</v>
      </c>
      <c r="Y7" s="8">
        <f t="shared" si="14"/>
        <v>0.4930000000000021</v>
      </c>
      <c r="Z7" s="10">
        <f t="shared" si="15"/>
        <v>1.5135100000000064</v>
      </c>
      <c r="AA7" s="15"/>
      <c r="AB7" s="7">
        <f>'[9]Jul Prod'!G6</f>
        <v>5589000</v>
      </c>
      <c r="AC7" s="8">
        <f t="shared" si="16"/>
        <v>5.5890000000000004</v>
      </c>
      <c r="AD7" s="10">
        <f t="shared" si="17"/>
        <v>17.15823</v>
      </c>
      <c r="AF7" s="7">
        <f t="shared" si="18"/>
        <v>25454999.99999854</v>
      </c>
      <c r="AG7" s="8">
        <f t="shared" si="19"/>
        <v>25.454999999998542</v>
      </c>
      <c r="AH7" s="8">
        <f t="shared" si="20"/>
        <v>78.146849999995524</v>
      </c>
      <c r="AJ7" s="8">
        <f t="shared" si="21"/>
        <v>-2.6645352591003757E-15</v>
      </c>
    </row>
    <row r="8" spans="1:36" x14ac:dyDescent="0.25">
      <c r="A8" s="27">
        <v>38537</v>
      </c>
      <c r="B8" s="7">
        <f>'[9]Jul Prod'!I7</f>
        <v>23300000.000002909</v>
      </c>
      <c r="C8" s="8">
        <f t="shared" si="0"/>
        <v>23.30000000000291</v>
      </c>
      <c r="D8" s="10">
        <f t="shared" si="1"/>
        <v>71.53100000000893</v>
      </c>
      <c r="E8" s="7">
        <f>'[9]Jul Prod'!E7</f>
        <v>27000000</v>
      </c>
      <c r="F8" s="8">
        <f t="shared" si="2"/>
        <v>27</v>
      </c>
      <c r="G8" s="10">
        <f t="shared" si="3"/>
        <v>82.89</v>
      </c>
      <c r="H8" s="7">
        <f>'[9]Jul Prod'!F7</f>
        <v>0</v>
      </c>
      <c r="I8" s="8">
        <f t="shared" si="4"/>
        <v>0</v>
      </c>
      <c r="J8" s="10">
        <f t="shared" si="5"/>
        <v>0</v>
      </c>
      <c r="K8" s="7">
        <f>'[9]Jul Prod'!H262</f>
        <v>2832827</v>
      </c>
      <c r="L8" s="8">
        <f t="shared" si="6"/>
        <v>2.832827</v>
      </c>
      <c r="M8" s="10">
        <f t="shared" si="7"/>
        <v>8.6967788899999992</v>
      </c>
      <c r="N8" s="21"/>
      <c r="O8" s="7">
        <f>'[9]Jul Prod'!H7</f>
        <v>8904000</v>
      </c>
      <c r="P8" s="8">
        <f t="shared" si="8"/>
        <v>8.9039999999999999</v>
      </c>
      <c r="Q8" s="10">
        <f t="shared" si="9"/>
        <v>27.335279999999997</v>
      </c>
      <c r="R8" s="7">
        <f>'[9]Jul Prod'!C7</f>
        <v>9084000</v>
      </c>
      <c r="S8" s="8">
        <f t="shared" si="10"/>
        <v>9.0839999999999996</v>
      </c>
      <c r="T8" s="10">
        <f t="shared" si="11"/>
        <v>27.887879999999999</v>
      </c>
      <c r="U8" s="7">
        <f>'[9]Jul Prod'!D7</f>
        <v>0</v>
      </c>
      <c r="V8" s="8">
        <f t="shared" si="12"/>
        <v>0</v>
      </c>
      <c r="W8" s="10">
        <f t="shared" si="13"/>
        <v>0</v>
      </c>
      <c r="X8" s="7">
        <f>'[9]Jul Prod'!D262</f>
        <v>179999.99999999971</v>
      </c>
      <c r="Y8" s="8">
        <f t="shared" si="14"/>
        <v>0.17999999999999972</v>
      </c>
      <c r="Z8" s="10">
        <f t="shared" si="15"/>
        <v>0.55259999999999909</v>
      </c>
      <c r="AA8" s="15"/>
      <c r="AB8" s="7">
        <f>'[9]Jul Prod'!G7</f>
        <v>0</v>
      </c>
      <c r="AC8" s="8">
        <f t="shared" si="16"/>
        <v>0</v>
      </c>
      <c r="AD8" s="10">
        <f t="shared" si="17"/>
        <v>0</v>
      </c>
      <c r="AF8" s="7">
        <f t="shared" si="18"/>
        <v>32204000.000002909</v>
      </c>
      <c r="AG8" s="8">
        <f t="shared" si="19"/>
        <v>32.204000000002907</v>
      </c>
      <c r="AH8" s="8">
        <f t="shared" si="20"/>
        <v>98.866280000008928</v>
      </c>
      <c r="AJ8" s="8">
        <f t="shared" si="21"/>
        <v>2.6645352591003757E-15</v>
      </c>
    </row>
    <row r="9" spans="1:36" x14ac:dyDescent="0.25">
      <c r="A9" s="27">
        <v>38538</v>
      </c>
      <c r="B9" s="7">
        <f>'[9]Jul Prod'!I8</f>
        <v>24299999.999999274</v>
      </c>
      <c r="C9" s="8">
        <f t="shared" si="0"/>
        <v>24.299999999999272</v>
      </c>
      <c r="D9" s="10">
        <f t="shared" si="1"/>
        <v>74.600999999997768</v>
      </c>
      <c r="E9" s="7">
        <f>'[9]Jul Prod'!E8</f>
        <v>28000000</v>
      </c>
      <c r="F9" s="8">
        <f t="shared" si="2"/>
        <v>28</v>
      </c>
      <c r="G9" s="10">
        <f t="shared" si="3"/>
        <v>85.96</v>
      </c>
      <c r="H9" s="7">
        <f>'[9]Jul Prod'!F8</f>
        <v>0</v>
      </c>
      <c r="I9" s="8">
        <f t="shared" si="4"/>
        <v>0</v>
      </c>
      <c r="J9" s="10">
        <f t="shared" si="5"/>
        <v>0</v>
      </c>
      <c r="K9" s="7">
        <f>'[9]Jul Prod'!H263</f>
        <v>2973375</v>
      </c>
      <c r="L9" s="8">
        <f t="shared" si="6"/>
        <v>2.9733749999999999</v>
      </c>
      <c r="M9" s="10">
        <f t="shared" si="7"/>
        <v>9.1282612499999995</v>
      </c>
      <c r="N9" s="21"/>
      <c r="O9" s="7">
        <f>'[9]Jul Prod'!H8</f>
        <v>6688000.0000000047</v>
      </c>
      <c r="P9" s="8">
        <f t="shared" si="8"/>
        <v>6.6880000000000051</v>
      </c>
      <c r="Q9" s="10">
        <f t="shared" si="9"/>
        <v>20.532160000000015</v>
      </c>
      <c r="R9" s="7">
        <f>'[9]Jul Prod'!C8</f>
        <v>6821000</v>
      </c>
      <c r="S9" s="8">
        <f t="shared" si="10"/>
        <v>6.8209999999999997</v>
      </c>
      <c r="T9" s="10">
        <f t="shared" si="11"/>
        <v>20.940469999999998</v>
      </c>
      <c r="U9" s="7">
        <f>'[9]Jul Prod'!D8</f>
        <v>0</v>
      </c>
      <c r="V9" s="8">
        <f t="shared" si="12"/>
        <v>0</v>
      </c>
      <c r="W9" s="10">
        <f t="shared" si="13"/>
        <v>0</v>
      </c>
      <c r="X9" s="7">
        <f>'[9]Jul Prod'!D263</f>
        <v>132999.99999999558</v>
      </c>
      <c r="Y9" s="8">
        <f t="shared" si="14"/>
        <v>0.13299999999999557</v>
      </c>
      <c r="Z9" s="10">
        <f t="shared" si="15"/>
        <v>0.40830999999998635</v>
      </c>
      <c r="AA9" s="15"/>
      <c r="AB9" s="7">
        <f>'[9]Jul Prod'!G8</f>
        <v>0</v>
      </c>
      <c r="AC9" s="8">
        <f t="shared" si="16"/>
        <v>0</v>
      </c>
      <c r="AD9" s="10">
        <f t="shared" si="17"/>
        <v>0</v>
      </c>
      <c r="AF9" s="7">
        <f t="shared" si="18"/>
        <v>30987999.999999277</v>
      </c>
      <c r="AG9" s="8">
        <f t="shared" si="19"/>
        <v>30.987999999999278</v>
      </c>
      <c r="AH9" s="8">
        <f t="shared" si="20"/>
        <v>95.133159999997787</v>
      </c>
      <c r="AJ9" s="8">
        <f t="shared" si="21"/>
        <v>-3.9412917374193057E-15</v>
      </c>
    </row>
    <row r="10" spans="1:36" x14ac:dyDescent="0.25">
      <c r="A10" s="27">
        <v>38539</v>
      </c>
      <c r="B10" s="7">
        <f>'[9]Jul Prod'!I9</f>
        <v>21299999.999999274</v>
      </c>
      <c r="C10" s="8">
        <f t="shared" si="0"/>
        <v>21.299999999999272</v>
      </c>
      <c r="D10" s="10">
        <f t="shared" si="1"/>
        <v>65.39099999999776</v>
      </c>
      <c r="E10" s="7">
        <f>'[9]Jul Prod'!E9</f>
        <v>25000000</v>
      </c>
      <c r="F10" s="8">
        <f t="shared" si="2"/>
        <v>25</v>
      </c>
      <c r="G10" s="10">
        <f t="shared" si="3"/>
        <v>76.75</v>
      </c>
      <c r="H10" s="7">
        <f>'[9]Jul Prod'!F9</f>
        <v>0</v>
      </c>
      <c r="I10" s="8">
        <f t="shared" si="4"/>
        <v>0</v>
      </c>
      <c r="J10" s="10">
        <f t="shared" si="5"/>
        <v>0</v>
      </c>
      <c r="K10" s="7">
        <f>'[9]Jul Prod'!H264</f>
        <v>2653963</v>
      </c>
      <c r="L10" s="8">
        <f t="shared" si="6"/>
        <v>2.6539630000000001</v>
      </c>
      <c r="M10" s="10">
        <f t="shared" si="7"/>
        <v>8.1476664099999994</v>
      </c>
      <c r="N10" s="21"/>
      <c r="O10" s="7">
        <f>'[9]Jul Prod'!H9</f>
        <v>6467000</v>
      </c>
      <c r="P10" s="8">
        <f t="shared" si="8"/>
        <v>6.4669999999999996</v>
      </c>
      <c r="Q10" s="10">
        <f t="shared" si="9"/>
        <v>19.853689999999997</v>
      </c>
      <c r="R10" s="7">
        <f>'[9]Jul Prod'!C9</f>
        <v>6601000</v>
      </c>
      <c r="S10" s="8">
        <f t="shared" si="10"/>
        <v>6.601</v>
      </c>
      <c r="T10" s="10">
        <f t="shared" si="11"/>
        <v>20.265069999999998</v>
      </c>
      <c r="U10" s="7">
        <f>'[9]Jul Prod'!D9</f>
        <v>0</v>
      </c>
      <c r="V10" s="8">
        <f t="shared" si="12"/>
        <v>0</v>
      </c>
      <c r="W10" s="10">
        <f t="shared" si="13"/>
        <v>0</v>
      </c>
      <c r="X10" s="7">
        <f>'[9]Jul Prod'!D264</f>
        <v>134000.00000000035</v>
      </c>
      <c r="Y10" s="8">
        <f t="shared" si="14"/>
        <v>0.13400000000000034</v>
      </c>
      <c r="Z10" s="10">
        <f t="shared" si="15"/>
        <v>0.41138000000000102</v>
      </c>
      <c r="AA10" s="15"/>
      <c r="AB10" s="7">
        <f>'[9]Jul Prod'!G9</f>
        <v>0</v>
      </c>
      <c r="AC10" s="8">
        <f t="shared" si="16"/>
        <v>0</v>
      </c>
      <c r="AD10" s="10">
        <f t="shared" si="17"/>
        <v>0</v>
      </c>
      <c r="AF10" s="7">
        <f t="shared" si="18"/>
        <v>27766999.999999274</v>
      </c>
      <c r="AG10" s="8">
        <f t="shared" si="19"/>
        <v>27.766999999999271</v>
      </c>
      <c r="AH10" s="8">
        <f t="shared" si="20"/>
        <v>85.24468999999776</v>
      </c>
      <c r="AJ10" s="8">
        <f t="shared" si="21"/>
        <v>0</v>
      </c>
    </row>
    <row r="11" spans="1:36" x14ac:dyDescent="0.25">
      <c r="A11" s="27">
        <v>38540</v>
      </c>
      <c r="B11" s="7">
        <f>'[9]Jul Prod'!I10</f>
        <v>17299999.999999274</v>
      </c>
      <c r="C11" s="8">
        <f t="shared" si="0"/>
        <v>17.299999999999272</v>
      </c>
      <c r="D11" s="10">
        <f t="shared" si="1"/>
        <v>53.110999999997766</v>
      </c>
      <c r="E11" s="7">
        <f>'[9]Jul Prod'!E10</f>
        <v>20000000</v>
      </c>
      <c r="F11" s="8">
        <f t="shared" si="2"/>
        <v>20</v>
      </c>
      <c r="G11" s="10">
        <f t="shared" si="3"/>
        <v>61.4</v>
      </c>
      <c r="H11" s="7">
        <f>'[9]Jul Prod'!F10</f>
        <v>0</v>
      </c>
      <c r="I11" s="8">
        <f t="shared" si="4"/>
        <v>0</v>
      </c>
      <c r="J11" s="10">
        <f t="shared" si="5"/>
        <v>0</v>
      </c>
      <c r="K11" s="7">
        <f>'[9]Jul Prod'!H265</f>
        <v>2099160</v>
      </c>
      <c r="L11" s="8">
        <f t="shared" si="6"/>
        <v>2.0991599999999999</v>
      </c>
      <c r="M11" s="10">
        <f t="shared" si="7"/>
        <v>6.444421199999999</v>
      </c>
      <c r="N11" s="21"/>
      <c r="O11" s="7">
        <f>'[9]Jul Prod'!H10</f>
        <v>6532000.0000000028</v>
      </c>
      <c r="P11" s="8">
        <f t="shared" si="8"/>
        <v>6.5320000000000027</v>
      </c>
      <c r="Q11" s="10">
        <f t="shared" si="9"/>
        <v>20.053240000000006</v>
      </c>
      <c r="R11" s="7">
        <f>'[9]Jul Prod'!C10</f>
        <v>6585000</v>
      </c>
      <c r="S11" s="8">
        <f t="shared" si="10"/>
        <v>6.585</v>
      </c>
      <c r="T11" s="10">
        <f t="shared" si="11"/>
        <v>20.215949999999999</v>
      </c>
      <c r="U11" s="7">
        <f>'[9]Jul Prod'!D10</f>
        <v>81000</v>
      </c>
      <c r="V11" s="8">
        <f t="shared" si="12"/>
        <v>8.1000000000000003E-2</v>
      </c>
      <c r="W11" s="10">
        <f t="shared" si="13"/>
        <v>0.24867</v>
      </c>
      <c r="X11" s="7">
        <f>'[9]Jul Prod'!D265</f>
        <v>52999.999999997272</v>
      </c>
      <c r="Y11" s="8">
        <f t="shared" si="14"/>
        <v>5.2999999999997272E-2</v>
      </c>
      <c r="Z11" s="10">
        <f t="shared" si="15"/>
        <v>0.16270999999999161</v>
      </c>
      <c r="AA11" s="15"/>
      <c r="AB11" s="7">
        <f>'[9]Jul Prod'!G10</f>
        <v>0</v>
      </c>
      <c r="AC11" s="8">
        <f t="shared" si="16"/>
        <v>0</v>
      </c>
      <c r="AD11" s="10">
        <f t="shared" si="17"/>
        <v>0</v>
      </c>
      <c r="AF11" s="7">
        <f t="shared" si="18"/>
        <v>23831999.999999277</v>
      </c>
      <c r="AG11" s="8">
        <f t="shared" si="19"/>
        <v>23.831999999999276</v>
      </c>
      <c r="AH11" s="8">
        <f t="shared" si="20"/>
        <v>73.164239999997775</v>
      </c>
      <c r="AJ11" s="8">
        <f t="shared" si="21"/>
        <v>1.8596235662471372E-15</v>
      </c>
    </row>
    <row r="12" spans="1:36" x14ac:dyDescent="0.25">
      <c r="A12" s="27">
        <v>38541</v>
      </c>
      <c r="B12" s="7">
        <f>'[9]Jul Prod'!I11</f>
        <v>21000000</v>
      </c>
      <c r="C12" s="8">
        <f t="shared" si="0"/>
        <v>21</v>
      </c>
      <c r="D12" s="10">
        <f t="shared" si="1"/>
        <v>64.47</v>
      </c>
      <c r="E12" s="7">
        <f>'[9]Jul Prod'!E11</f>
        <v>24000000</v>
      </c>
      <c r="F12" s="8">
        <f t="shared" si="2"/>
        <v>24</v>
      </c>
      <c r="G12" s="10">
        <f t="shared" si="3"/>
        <v>73.679999999999993</v>
      </c>
      <c r="H12" s="7">
        <f>'[9]Jul Prod'!F11</f>
        <v>0</v>
      </c>
      <c r="I12" s="8">
        <f t="shared" si="4"/>
        <v>0</v>
      </c>
      <c r="J12" s="10">
        <f t="shared" si="5"/>
        <v>0</v>
      </c>
      <c r="K12" s="7">
        <f>'[9]Jul Prod'!H266</f>
        <v>2359874</v>
      </c>
      <c r="L12" s="8">
        <f t="shared" si="6"/>
        <v>2.359874</v>
      </c>
      <c r="M12" s="10">
        <f t="shared" si="7"/>
        <v>7.2448131799999995</v>
      </c>
      <c r="N12" s="21"/>
      <c r="O12" s="7">
        <f>'[9]Jul Prod'!H11</f>
        <v>7919000</v>
      </c>
      <c r="P12" s="8">
        <f t="shared" si="8"/>
        <v>7.9189999999999996</v>
      </c>
      <c r="Q12" s="10">
        <f t="shared" si="9"/>
        <v>24.311329999999998</v>
      </c>
      <c r="R12" s="7">
        <f>'[9]Jul Prod'!C11</f>
        <v>8038000</v>
      </c>
      <c r="S12" s="8">
        <f t="shared" si="10"/>
        <v>8.0380000000000003</v>
      </c>
      <c r="T12" s="10">
        <f t="shared" si="11"/>
        <v>24.676659999999998</v>
      </c>
      <c r="U12" s="7">
        <f>'[9]Jul Prod'!D11</f>
        <v>285000</v>
      </c>
      <c r="V12" s="8">
        <f t="shared" si="12"/>
        <v>0.28499999999999998</v>
      </c>
      <c r="W12" s="10">
        <f t="shared" si="13"/>
        <v>0.87494999999999989</v>
      </c>
      <c r="X12" s="7">
        <f>'[9]Jul Prod'!D266</f>
        <v>118999.99999999977</v>
      </c>
      <c r="Y12" s="8">
        <f t="shared" si="14"/>
        <v>0.11899999999999977</v>
      </c>
      <c r="Z12" s="10">
        <f t="shared" si="15"/>
        <v>0.36532999999999927</v>
      </c>
      <c r="AA12" s="15"/>
      <c r="AB12" s="7">
        <f>'[9]Jul Prod'!G11</f>
        <v>0</v>
      </c>
      <c r="AC12" s="8">
        <f t="shared" si="16"/>
        <v>0</v>
      </c>
      <c r="AD12" s="10">
        <f t="shared" si="17"/>
        <v>0</v>
      </c>
      <c r="AF12" s="7">
        <f t="shared" si="18"/>
        <v>28919000</v>
      </c>
      <c r="AG12" s="8">
        <f t="shared" si="19"/>
        <v>28.919</v>
      </c>
      <c r="AH12" s="8">
        <f t="shared" si="20"/>
        <v>88.781329999999997</v>
      </c>
      <c r="AJ12" s="8">
        <f t="shared" si="21"/>
        <v>8.8817841970012523E-16</v>
      </c>
    </row>
    <row r="13" spans="1:36" x14ac:dyDescent="0.25">
      <c r="A13" s="27">
        <v>38542</v>
      </c>
      <c r="B13" s="7">
        <f>'[9]Jul Prod'!I12</f>
        <v>15299999.999999272</v>
      </c>
      <c r="C13" s="8">
        <f t="shared" si="0"/>
        <v>15.299999999999272</v>
      </c>
      <c r="D13" s="10">
        <f t="shared" si="1"/>
        <v>46.970999999997765</v>
      </c>
      <c r="E13" s="7">
        <f>'[9]Jul Prod'!E12</f>
        <v>15000000</v>
      </c>
      <c r="F13" s="8">
        <f t="shared" si="2"/>
        <v>15</v>
      </c>
      <c r="G13" s="10">
        <f t="shared" si="3"/>
        <v>46.05</v>
      </c>
      <c r="H13" s="7">
        <f>'[9]Jul Prod'!F12</f>
        <v>3090000</v>
      </c>
      <c r="I13" s="8">
        <f t="shared" si="4"/>
        <v>3.09</v>
      </c>
      <c r="J13" s="10">
        <f t="shared" si="5"/>
        <v>9.4863</v>
      </c>
      <c r="K13" s="7">
        <f>'[9]Jul Prod'!H267</f>
        <v>1912258</v>
      </c>
      <c r="L13" s="8">
        <f t="shared" si="6"/>
        <v>1.912258</v>
      </c>
      <c r="M13" s="10">
        <f t="shared" si="7"/>
        <v>5.8706320600000002</v>
      </c>
      <c r="N13" s="21"/>
      <c r="O13" s="7">
        <f>'[9]Jul Prod'!H12</f>
        <v>5958999.9999999916</v>
      </c>
      <c r="P13" s="8">
        <f t="shared" si="8"/>
        <v>5.9589999999999916</v>
      </c>
      <c r="Q13" s="10">
        <f t="shared" si="9"/>
        <v>18.294129999999974</v>
      </c>
      <c r="R13" s="7">
        <f>'[9]Jul Prod'!C12</f>
        <v>6056000</v>
      </c>
      <c r="S13" s="8">
        <f t="shared" si="10"/>
        <v>6.056</v>
      </c>
      <c r="T13" s="10">
        <f t="shared" si="11"/>
        <v>18.591919999999998</v>
      </c>
      <c r="U13" s="7">
        <f>'[9]Jul Prod'!D12</f>
        <v>3231000</v>
      </c>
      <c r="V13" s="8">
        <f t="shared" si="12"/>
        <v>3.2309999999999999</v>
      </c>
      <c r="W13" s="10">
        <f t="shared" si="13"/>
        <v>9.9191699999999994</v>
      </c>
      <c r="X13" s="7">
        <f>'[9]Jul Prod'!D267</f>
        <v>97000.000000008411</v>
      </c>
      <c r="Y13" s="8">
        <f t="shared" si="14"/>
        <v>9.7000000000008413E-2</v>
      </c>
      <c r="Z13" s="10">
        <f t="shared" si="15"/>
        <v>0.29779000000002581</v>
      </c>
      <c r="AA13" s="15"/>
      <c r="AB13" s="7">
        <f>'[9]Jul Prod'!G12</f>
        <v>0</v>
      </c>
      <c r="AC13" s="8">
        <f t="shared" si="16"/>
        <v>0</v>
      </c>
      <c r="AD13" s="10">
        <f t="shared" si="17"/>
        <v>0</v>
      </c>
      <c r="AF13" s="7">
        <f t="shared" si="18"/>
        <v>21258999.999999262</v>
      </c>
      <c r="AG13" s="8">
        <f t="shared" si="19"/>
        <v>21.258999999999265</v>
      </c>
      <c r="AH13" s="8">
        <f t="shared" si="20"/>
        <v>65.26512999999774</v>
      </c>
      <c r="AJ13" s="8">
        <f t="shared" si="21"/>
        <v>-1.8318679906315083E-15</v>
      </c>
    </row>
    <row r="14" spans="1:36" x14ac:dyDescent="0.25">
      <c r="A14" s="27">
        <v>38543</v>
      </c>
      <c r="B14" s="7">
        <f>'[9]Jul Prod'!I13</f>
        <v>17500000</v>
      </c>
      <c r="C14" s="8">
        <f t="shared" si="0"/>
        <v>17.5</v>
      </c>
      <c r="D14" s="10">
        <f t="shared" si="1"/>
        <v>53.724999999999994</v>
      </c>
      <c r="E14" s="7">
        <f>'[9]Jul Prod'!E13</f>
        <v>9000000</v>
      </c>
      <c r="F14" s="8">
        <f t="shared" si="2"/>
        <v>9</v>
      </c>
      <c r="G14" s="10">
        <f t="shared" si="3"/>
        <v>27.63</v>
      </c>
      <c r="H14" s="7">
        <f>'[9]Jul Prod'!F13</f>
        <v>8420000</v>
      </c>
      <c r="I14" s="8">
        <f t="shared" si="4"/>
        <v>8.42</v>
      </c>
      <c r="J14" s="10">
        <f t="shared" si="5"/>
        <v>25.849399999999999</v>
      </c>
      <c r="K14" s="7">
        <f>'[9]Jul Prod'!H268</f>
        <v>2135957</v>
      </c>
      <c r="L14" s="8">
        <f t="shared" si="6"/>
        <v>2.1359569999999999</v>
      </c>
      <c r="M14" s="10">
        <f t="shared" si="7"/>
        <v>6.5573879899999996</v>
      </c>
      <c r="N14" s="21"/>
      <c r="O14" s="7">
        <f>'[9]Jul Prod'!H13</f>
        <v>6189000</v>
      </c>
      <c r="P14" s="8">
        <f t="shared" si="8"/>
        <v>6.1890000000000001</v>
      </c>
      <c r="Q14" s="10">
        <f t="shared" si="9"/>
        <v>19.000229999999998</v>
      </c>
      <c r="R14" s="7">
        <f>'[9]Jul Prod'!C13</f>
        <v>6323000</v>
      </c>
      <c r="S14" s="8">
        <f t="shared" si="10"/>
        <v>6.3230000000000004</v>
      </c>
      <c r="T14" s="10">
        <f t="shared" si="11"/>
        <v>19.41161</v>
      </c>
      <c r="U14" s="7">
        <f>'[9]Jul Prod'!D13</f>
        <v>5000000</v>
      </c>
      <c r="V14" s="8">
        <f t="shared" si="12"/>
        <v>5</v>
      </c>
      <c r="W14" s="10">
        <f t="shared" si="13"/>
        <v>15.35</v>
      </c>
      <c r="X14" s="7">
        <f>'[9]Jul Prod'!D268</f>
        <v>134000.00000000035</v>
      </c>
      <c r="Y14" s="8">
        <f t="shared" si="14"/>
        <v>0.13400000000000034</v>
      </c>
      <c r="Z14" s="10">
        <f t="shared" si="15"/>
        <v>0.41138000000000102</v>
      </c>
      <c r="AA14" s="15"/>
      <c r="AB14" s="7">
        <f>'[9]Jul Prod'!G13</f>
        <v>0</v>
      </c>
      <c r="AC14" s="8">
        <f t="shared" si="16"/>
        <v>0</v>
      </c>
      <c r="AD14" s="10">
        <f t="shared" si="17"/>
        <v>0</v>
      </c>
      <c r="AF14" s="7">
        <f t="shared" si="18"/>
        <v>23689000</v>
      </c>
      <c r="AG14" s="8">
        <f t="shared" si="19"/>
        <v>23.689</v>
      </c>
      <c r="AH14" s="8">
        <f t="shared" si="20"/>
        <v>72.725229999999996</v>
      </c>
      <c r="AJ14" s="8">
        <f t="shared" si="21"/>
        <v>0</v>
      </c>
    </row>
    <row r="15" spans="1:36" x14ac:dyDescent="0.25">
      <c r="A15" s="27">
        <v>38544</v>
      </c>
      <c r="B15" s="7">
        <f>'[9]Jul Prod'!I14</f>
        <v>18300000.000002909</v>
      </c>
      <c r="C15" s="8">
        <f t="shared" si="0"/>
        <v>18.30000000000291</v>
      </c>
      <c r="D15" s="10">
        <f t="shared" si="1"/>
        <v>56.181000000008929</v>
      </c>
      <c r="E15" s="7">
        <f>'[9]Jul Prod'!E14</f>
        <v>10000000</v>
      </c>
      <c r="F15" s="8">
        <f t="shared" si="2"/>
        <v>10</v>
      </c>
      <c r="G15" s="10">
        <f t="shared" si="3"/>
        <v>30.7</v>
      </c>
      <c r="H15" s="7">
        <f>'[9]Jul Prod'!F14</f>
        <v>9210000</v>
      </c>
      <c r="I15" s="8">
        <f t="shared" si="4"/>
        <v>9.2100000000000009</v>
      </c>
      <c r="J15" s="10">
        <f t="shared" si="5"/>
        <v>28.274700000000003</v>
      </c>
      <c r="K15" s="7">
        <f>'[9]Jul Prod'!H269</f>
        <v>2198733</v>
      </c>
      <c r="L15" s="8">
        <f t="shared" si="6"/>
        <v>2.1987329999999998</v>
      </c>
      <c r="M15" s="10">
        <f t="shared" si="7"/>
        <v>6.7501103099999993</v>
      </c>
      <c r="N15" s="21"/>
      <c r="O15" s="7">
        <f>'[9]Jul Prod'!H14</f>
        <v>5742000.0000000037</v>
      </c>
      <c r="P15" s="8">
        <f t="shared" si="8"/>
        <v>5.7420000000000035</v>
      </c>
      <c r="Q15" s="10">
        <f t="shared" si="9"/>
        <v>17.627940000000009</v>
      </c>
      <c r="R15" s="7">
        <f>'[9]Jul Prod'!C14</f>
        <v>5777000</v>
      </c>
      <c r="S15" s="8">
        <f t="shared" si="10"/>
        <v>5.7770000000000001</v>
      </c>
      <c r="T15" s="10">
        <f t="shared" si="11"/>
        <v>17.735389999999999</v>
      </c>
      <c r="U15" s="7">
        <f>'[9]Jul Prod'!D14</f>
        <v>5028000</v>
      </c>
      <c r="V15" s="8">
        <f t="shared" si="12"/>
        <v>5.0279999999999996</v>
      </c>
      <c r="W15" s="10">
        <f t="shared" si="13"/>
        <v>15.435959999999998</v>
      </c>
      <c r="X15" s="7">
        <f>'[9]Jul Prod'!D269</f>
        <v>34999.999999996588</v>
      </c>
      <c r="Y15" s="8">
        <f t="shared" si="14"/>
        <v>3.4999999999996589E-2</v>
      </c>
      <c r="Z15" s="10">
        <f t="shared" si="15"/>
        <v>0.10744999999998953</v>
      </c>
      <c r="AA15" s="15"/>
      <c r="AB15" s="7">
        <f>'[9]Jul Prod'!G14</f>
        <v>0</v>
      </c>
      <c r="AC15" s="8">
        <f t="shared" si="16"/>
        <v>0</v>
      </c>
      <c r="AD15" s="10">
        <f t="shared" si="17"/>
        <v>0</v>
      </c>
      <c r="AF15" s="7">
        <f t="shared" si="18"/>
        <v>24042000.000002913</v>
      </c>
      <c r="AG15" s="8">
        <f t="shared" si="19"/>
        <v>24.042000000002915</v>
      </c>
      <c r="AH15" s="8">
        <f t="shared" si="20"/>
        <v>73.808940000008931</v>
      </c>
      <c r="AJ15" s="8">
        <f t="shared" si="21"/>
        <v>-1.3877787807814457E-16</v>
      </c>
    </row>
    <row r="16" spans="1:36" x14ac:dyDescent="0.25">
      <c r="A16" s="27">
        <v>38545</v>
      </c>
      <c r="B16" s="7">
        <f>'[9]Jul Prod'!I15</f>
        <v>23500000</v>
      </c>
      <c r="C16" s="8">
        <f t="shared" si="0"/>
        <v>23.5</v>
      </c>
      <c r="D16" s="10">
        <f t="shared" si="1"/>
        <v>72.144999999999996</v>
      </c>
      <c r="E16" s="7">
        <f>'[9]Jul Prod'!E15</f>
        <v>12000000</v>
      </c>
      <c r="F16" s="8">
        <f t="shared" si="2"/>
        <v>12</v>
      </c>
      <c r="G16" s="10">
        <f t="shared" si="3"/>
        <v>36.839999999999996</v>
      </c>
      <c r="H16" s="7">
        <f>'[9]Jul Prod'!F15</f>
        <v>12990000</v>
      </c>
      <c r="I16" s="8">
        <f t="shared" si="4"/>
        <v>12.99</v>
      </c>
      <c r="J16" s="10">
        <f t="shared" si="5"/>
        <v>39.879300000000001</v>
      </c>
      <c r="K16" s="7">
        <f>'[9]Jul Prod'!H270</f>
        <v>2848631</v>
      </c>
      <c r="L16" s="8">
        <f t="shared" si="6"/>
        <v>2.8486310000000001</v>
      </c>
      <c r="M16" s="10">
        <f t="shared" si="7"/>
        <v>8.7452971700000006</v>
      </c>
      <c r="N16" s="21"/>
      <c r="O16" s="7">
        <f>'[9]Jul Prod'!H15</f>
        <v>6922999.9999999925</v>
      </c>
      <c r="P16" s="8">
        <f t="shared" si="8"/>
        <v>6.9229999999999929</v>
      </c>
      <c r="Q16" s="10">
        <f t="shared" si="9"/>
        <v>21.253609999999977</v>
      </c>
      <c r="R16" s="7">
        <f>'[9]Jul Prod'!C15</f>
        <v>6990000</v>
      </c>
      <c r="S16" s="8">
        <f t="shared" si="10"/>
        <v>6.99</v>
      </c>
      <c r="T16" s="10">
        <f t="shared" si="11"/>
        <v>21.459299999999999</v>
      </c>
      <c r="U16" s="7">
        <f>'[9]Jul Prod'!D15</f>
        <v>5019000</v>
      </c>
      <c r="V16" s="8">
        <f t="shared" si="12"/>
        <v>5.0190000000000001</v>
      </c>
      <c r="W16" s="10">
        <f t="shared" si="13"/>
        <v>15.408329999999999</v>
      </c>
      <c r="X16" s="7">
        <f>'[9]Jul Prod'!D270</f>
        <v>67000.000000007276</v>
      </c>
      <c r="Y16" s="8">
        <f t="shared" si="14"/>
        <v>6.7000000000007276E-2</v>
      </c>
      <c r="Z16" s="10">
        <f t="shared" si="15"/>
        <v>0.20569000000002233</v>
      </c>
      <c r="AA16" s="15"/>
      <c r="AB16" s="7">
        <f>'[9]Jul Prod'!G15</f>
        <v>0</v>
      </c>
      <c r="AC16" s="8">
        <f t="shared" si="16"/>
        <v>0</v>
      </c>
      <c r="AD16" s="10">
        <f t="shared" si="17"/>
        <v>0</v>
      </c>
      <c r="AF16" s="7">
        <f t="shared" si="18"/>
        <v>30422999.999999993</v>
      </c>
      <c r="AG16" s="8">
        <f t="shared" si="19"/>
        <v>30.422999999999995</v>
      </c>
      <c r="AH16" s="8">
        <f t="shared" si="20"/>
        <v>93.398609999999977</v>
      </c>
      <c r="AJ16" s="8">
        <f t="shared" si="21"/>
        <v>-4.163336342344337E-16</v>
      </c>
    </row>
    <row r="17" spans="1:36" x14ac:dyDescent="0.25">
      <c r="A17" s="27">
        <v>38546</v>
      </c>
      <c r="B17" s="7">
        <f>'[9]Jul Prod'!I16</f>
        <v>23899999.999997817</v>
      </c>
      <c r="C17" s="8">
        <f t="shared" si="0"/>
        <v>23.899999999997817</v>
      </c>
      <c r="D17" s="10">
        <f t="shared" si="1"/>
        <v>73.372999999993297</v>
      </c>
      <c r="E17" s="7">
        <f>'[9]Jul Prod'!E16</f>
        <v>11000000</v>
      </c>
      <c r="F17" s="8">
        <f t="shared" si="2"/>
        <v>11</v>
      </c>
      <c r="G17" s="10">
        <f t="shared" si="3"/>
        <v>33.769999999999996</v>
      </c>
      <c r="H17" s="7">
        <f>'[9]Jul Prod'!F16</f>
        <v>12930000</v>
      </c>
      <c r="I17" s="8">
        <f t="shared" si="4"/>
        <v>12.93</v>
      </c>
      <c r="J17" s="10">
        <f t="shared" si="5"/>
        <v>39.695099999999996</v>
      </c>
      <c r="K17" s="7">
        <f>'[9]Jul Prod'!H271</f>
        <v>2729285</v>
      </c>
      <c r="L17" s="8">
        <f t="shared" si="6"/>
        <v>2.729285</v>
      </c>
      <c r="M17" s="10">
        <f t="shared" si="7"/>
        <v>8.378904949999999</v>
      </c>
      <c r="N17" s="21"/>
      <c r="O17" s="7">
        <f>'[9]Jul Prod'!H16</f>
        <v>6270000.0000000112</v>
      </c>
      <c r="P17" s="8">
        <f t="shared" si="8"/>
        <v>6.2700000000000111</v>
      </c>
      <c r="Q17" s="10">
        <f t="shared" si="9"/>
        <v>19.248900000000035</v>
      </c>
      <c r="R17" s="7">
        <f>'[9]Jul Prod'!C16</f>
        <v>6473000</v>
      </c>
      <c r="S17" s="8">
        <f t="shared" si="10"/>
        <v>6.4729999999999999</v>
      </c>
      <c r="T17" s="10">
        <f t="shared" si="11"/>
        <v>19.872109999999999</v>
      </c>
      <c r="U17" s="7">
        <f>'[9]Jul Prod'!D16</f>
        <v>5101000</v>
      </c>
      <c r="V17" s="8">
        <f t="shared" si="12"/>
        <v>5.101</v>
      </c>
      <c r="W17" s="10">
        <f t="shared" si="13"/>
        <v>15.660069999999999</v>
      </c>
      <c r="X17" s="7">
        <f>'[9]Jul Prod'!D271</f>
        <v>202999.99999998874</v>
      </c>
      <c r="Y17" s="8">
        <f t="shared" si="14"/>
        <v>0.20299999999998875</v>
      </c>
      <c r="Z17" s="10">
        <f t="shared" si="15"/>
        <v>0.6232099999999654</v>
      </c>
      <c r="AA17" s="15"/>
      <c r="AB17" s="7">
        <f>'[9]Jul Prod'!G16</f>
        <v>0</v>
      </c>
      <c r="AC17" s="8">
        <f t="shared" si="16"/>
        <v>0</v>
      </c>
      <c r="AD17" s="10">
        <f t="shared" si="17"/>
        <v>0</v>
      </c>
      <c r="AF17" s="7">
        <f t="shared" si="18"/>
        <v>30169999.999997828</v>
      </c>
      <c r="AG17" s="8">
        <f t="shared" si="19"/>
        <v>30.169999999997827</v>
      </c>
      <c r="AH17" s="8">
        <f t="shared" si="20"/>
        <v>92.621899999993332</v>
      </c>
      <c r="AJ17" s="8">
        <f t="shared" si="21"/>
        <v>0</v>
      </c>
    </row>
    <row r="18" spans="1:36" x14ac:dyDescent="0.25">
      <c r="A18" s="27">
        <v>38547</v>
      </c>
      <c r="B18" s="7">
        <f>'[9]Jul Prod'!I17</f>
        <v>21200000.000000726</v>
      </c>
      <c r="C18" s="8">
        <f t="shared" si="0"/>
        <v>21.200000000000728</v>
      </c>
      <c r="D18" s="10">
        <f t="shared" si="1"/>
        <v>65.084000000002234</v>
      </c>
      <c r="E18" s="7">
        <f>'[9]Jul Prod'!E17</f>
        <v>10000000</v>
      </c>
      <c r="F18" s="8">
        <f t="shared" si="2"/>
        <v>10</v>
      </c>
      <c r="G18" s="10">
        <f t="shared" si="3"/>
        <v>30.7</v>
      </c>
      <c r="H18" s="7">
        <f>'[9]Jul Prod'!F17</f>
        <v>11380000</v>
      </c>
      <c r="I18" s="8">
        <f t="shared" si="4"/>
        <v>11.38</v>
      </c>
      <c r="J18" s="10">
        <f t="shared" si="5"/>
        <v>34.936599999999999</v>
      </c>
      <c r="K18" s="7">
        <f>'[9]Jul Prod'!H272</f>
        <v>2426124</v>
      </c>
      <c r="L18" s="8">
        <f t="shared" si="6"/>
        <v>2.4261240000000002</v>
      </c>
      <c r="M18" s="10">
        <f t="shared" si="7"/>
        <v>7.4482006800000002</v>
      </c>
      <c r="N18" s="21"/>
      <c r="O18" s="7">
        <f>'[9]Jul Prod'!H17</f>
        <v>5876999.9999999907</v>
      </c>
      <c r="P18" s="8">
        <f t="shared" si="8"/>
        <v>5.8769999999999909</v>
      </c>
      <c r="Q18" s="10">
        <f t="shared" si="9"/>
        <v>18.042389999999973</v>
      </c>
      <c r="R18" s="7">
        <f>'[9]Jul Prod'!C17</f>
        <v>5989000</v>
      </c>
      <c r="S18" s="8">
        <f t="shared" si="10"/>
        <v>5.9889999999999999</v>
      </c>
      <c r="T18" s="10">
        <f t="shared" si="11"/>
        <v>18.386229999999998</v>
      </c>
      <c r="U18" s="7">
        <f>'[9]Jul Prod'!D17</f>
        <v>5030000</v>
      </c>
      <c r="V18" s="8">
        <f t="shared" si="12"/>
        <v>5.03</v>
      </c>
      <c r="W18" s="10">
        <f t="shared" si="13"/>
        <v>15.4421</v>
      </c>
      <c r="X18" s="7">
        <f>'[9]Jul Prod'!D272</f>
        <v>112000.00000000898</v>
      </c>
      <c r="Y18" s="8">
        <f t="shared" si="14"/>
        <v>0.11200000000000898</v>
      </c>
      <c r="Z18" s="10">
        <f t="shared" si="15"/>
        <v>0.34384000000002757</v>
      </c>
      <c r="AA18" s="15"/>
      <c r="AB18" s="7">
        <f>'[9]Jul Prod'!G17</f>
        <v>0</v>
      </c>
      <c r="AC18" s="8">
        <f t="shared" si="16"/>
        <v>0</v>
      </c>
      <c r="AD18" s="10">
        <f t="shared" si="17"/>
        <v>0</v>
      </c>
      <c r="AF18" s="7">
        <f t="shared" si="18"/>
        <v>27077000.000000715</v>
      </c>
      <c r="AG18" s="8">
        <f t="shared" si="19"/>
        <v>27.077000000000719</v>
      </c>
      <c r="AH18" s="8">
        <f t="shared" si="20"/>
        <v>83.126390000002203</v>
      </c>
      <c r="AJ18" s="8">
        <f t="shared" si="21"/>
        <v>-2.55351295663786E-15</v>
      </c>
    </row>
    <row r="19" spans="1:36" x14ac:dyDescent="0.25">
      <c r="A19" s="27">
        <v>38548</v>
      </c>
      <c r="B19" s="7">
        <f>'[9]Jul Prod'!I18</f>
        <v>20200000.000000726</v>
      </c>
      <c r="C19" s="8">
        <f t="shared" si="0"/>
        <v>20.200000000000728</v>
      </c>
      <c r="D19" s="10">
        <f t="shared" si="1"/>
        <v>62.014000000002234</v>
      </c>
      <c r="E19" s="7">
        <f>'[9]Jul Prod'!E18</f>
        <v>10000000</v>
      </c>
      <c r="F19" s="8">
        <f t="shared" si="2"/>
        <v>10</v>
      </c>
      <c r="G19" s="10">
        <f t="shared" si="3"/>
        <v>30.7</v>
      </c>
      <c r="H19" s="7">
        <f>'[9]Jul Prod'!F18</f>
        <v>11310000</v>
      </c>
      <c r="I19" s="8">
        <f t="shared" si="4"/>
        <v>11.31</v>
      </c>
      <c r="J19" s="10">
        <f t="shared" si="5"/>
        <v>34.721699999999998</v>
      </c>
      <c r="K19" s="7">
        <f>'[9]Jul Prod'!H273</f>
        <v>2405628</v>
      </c>
      <c r="L19" s="8">
        <f t="shared" si="6"/>
        <v>2.4056280000000001</v>
      </c>
      <c r="M19" s="10">
        <f t="shared" si="7"/>
        <v>7.3852779599999998</v>
      </c>
      <c r="N19" s="21"/>
      <c r="O19" s="7">
        <f>'[9]Jul Prod'!H18</f>
        <v>5760000.0000000019</v>
      </c>
      <c r="P19" s="8">
        <f t="shared" si="8"/>
        <v>5.7600000000000016</v>
      </c>
      <c r="Q19" s="10">
        <f t="shared" si="9"/>
        <v>17.683200000000003</v>
      </c>
      <c r="R19" s="7">
        <f>'[9]Jul Prod'!C18</f>
        <v>5968000</v>
      </c>
      <c r="S19" s="8">
        <f t="shared" si="10"/>
        <v>5.968</v>
      </c>
      <c r="T19" s="10">
        <f t="shared" si="11"/>
        <v>18.321759999999998</v>
      </c>
      <c r="U19" s="7">
        <f>'[9]Jul Prod'!D18</f>
        <v>5013000</v>
      </c>
      <c r="V19" s="8">
        <f t="shared" si="12"/>
        <v>5.0129999999999999</v>
      </c>
      <c r="W19" s="10">
        <f t="shared" si="13"/>
        <v>15.389909999999999</v>
      </c>
      <c r="X19" s="7">
        <f>'[9]Jul Prod'!D273</f>
        <v>207999.9999999984</v>
      </c>
      <c r="Y19" s="8">
        <f t="shared" si="14"/>
        <v>0.20799999999999841</v>
      </c>
      <c r="Z19" s="10">
        <f t="shared" si="15"/>
        <v>0.63855999999999513</v>
      </c>
      <c r="AA19" s="15"/>
      <c r="AB19" s="7">
        <f>'[9]Jul Prod'!G18</f>
        <v>0</v>
      </c>
      <c r="AC19" s="8">
        <f t="shared" si="16"/>
        <v>0</v>
      </c>
      <c r="AD19" s="10">
        <f t="shared" si="17"/>
        <v>0</v>
      </c>
      <c r="AF19" s="7">
        <f t="shared" si="18"/>
        <v>25960000.00000073</v>
      </c>
      <c r="AG19" s="8">
        <f t="shared" si="19"/>
        <v>25.960000000000729</v>
      </c>
      <c r="AH19" s="8">
        <f t="shared" si="20"/>
        <v>79.69720000000224</v>
      </c>
      <c r="AJ19" s="8">
        <f t="shared" si="21"/>
        <v>0</v>
      </c>
    </row>
    <row r="20" spans="1:36" x14ac:dyDescent="0.25">
      <c r="A20" s="27">
        <v>38549</v>
      </c>
      <c r="B20" s="7">
        <f>'[9]Jul Prod'!I19</f>
        <v>20299999.999999274</v>
      </c>
      <c r="C20" s="8">
        <f t="shared" si="0"/>
        <v>20.299999999999272</v>
      </c>
      <c r="D20" s="10">
        <f t="shared" si="1"/>
        <v>62.32099999999776</v>
      </c>
      <c r="E20" s="7">
        <f>'[9]Jul Prod'!E19</f>
        <v>9000000</v>
      </c>
      <c r="F20" s="8">
        <f t="shared" si="2"/>
        <v>9</v>
      </c>
      <c r="G20" s="10">
        <f t="shared" si="3"/>
        <v>27.63</v>
      </c>
      <c r="H20" s="7">
        <f>'[9]Jul Prod'!F19</f>
        <v>10000000</v>
      </c>
      <c r="I20" s="8">
        <f t="shared" si="4"/>
        <v>10</v>
      </c>
      <c r="J20" s="10">
        <f t="shared" si="5"/>
        <v>30.7</v>
      </c>
      <c r="K20" s="43">
        <f>'[9]Jul Prod'!H274</f>
        <v>0</v>
      </c>
      <c r="L20" s="56">
        <f t="shared" si="6"/>
        <v>0</v>
      </c>
      <c r="M20" s="57">
        <f t="shared" si="7"/>
        <v>0</v>
      </c>
      <c r="N20" s="21"/>
      <c r="O20" s="7">
        <f>'[9]Jul Prod'!H19</f>
        <v>6673999.9999999981</v>
      </c>
      <c r="P20" s="8">
        <f t="shared" si="8"/>
        <v>6.6739999999999977</v>
      </c>
      <c r="Q20" s="10">
        <f t="shared" si="9"/>
        <v>20.48917999999999</v>
      </c>
      <c r="R20" s="7">
        <f>'[9]Jul Prod'!C19</f>
        <v>6835000</v>
      </c>
      <c r="S20" s="8">
        <f t="shared" si="10"/>
        <v>6.835</v>
      </c>
      <c r="T20" s="10">
        <f t="shared" si="11"/>
        <v>20.983449999999998</v>
      </c>
      <c r="U20" s="7">
        <f>'[9]Jul Prod'!D19</f>
        <v>5145000</v>
      </c>
      <c r="V20" s="8">
        <f t="shared" si="12"/>
        <v>5.1449999999999996</v>
      </c>
      <c r="W20" s="10">
        <f t="shared" si="13"/>
        <v>15.795149999999998</v>
      </c>
      <c r="X20" s="7">
        <f>'[9]Jul Prod'!D274</f>
        <v>161000.00000000137</v>
      </c>
      <c r="Y20" s="8">
        <f t="shared" si="14"/>
        <v>0.16100000000000136</v>
      </c>
      <c r="Z20" s="10">
        <f t="shared" si="15"/>
        <v>0.49427000000000415</v>
      </c>
      <c r="AA20" s="15"/>
      <c r="AB20" s="7">
        <f>'[9]Jul Prod'!G19</f>
        <v>0</v>
      </c>
      <c r="AC20" s="8">
        <f t="shared" si="16"/>
        <v>0</v>
      </c>
      <c r="AD20" s="10">
        <f t="shared" si="17"/>
        <v>0</v>
      </c>
      <c r="AF20" s="7">
        <f t="shared" si="18"/>
        <v>26973999.99999927</v>
      </c>
      <c r="AG20" s="8">
        <f t="shared" si="19"/>
        <v>26.973999999999272</v>
      </c>
      <c r="AH20" s="8">
        <f t="shared" si="20"/>
        <v>82.810179999997757</v>
      </c>
      <c r="AJ20" s="8">
        <f t="shared" si="21"/>
        <v>3.1641356201816961E-15</v>
      </c>
    </row>
    <row r="21" spans="1:36" x14ac:dyDescent="0.25">
      <c r="A21" s="27">
        <v>38550</v>
      </c>
      <c r="B21" s="7">
        <f>'[9]Jul Prod'!I20</f>
        <v>19599999.999998543</v>
      </c>
      <c r="C21" s="8">
        <f t="shared" si="0"/>
        <v>19.599999999998545</v>
      </c>
      <c r="D21" s="10">
        <f t="shared" si="1"/>
        <v>60.171999999995528</v>
      </c>
      <c r="E21" s="7">
        <f>'[9]Jul Prod'!E20</f>
        <v>11000000</v>
      </c>
      <c r="F21" s="8">
        <f t="shared" si="2"/>
        <v>11</v>
      </c>
      <c r="G21" s="10">
        <f t="shared" si="3"/>
        <v>33.769999999999996</v>
      </c>
      <c r="H21" s="7">
        <f>'[9]Jul Prod'!F20</f>
        <v>10340000</v>
      </c>
      <c r="I21" s="8">
        <f t="shared" si="4"/>
        <v>10.34</v>
      </c>
      <c r="J21" s="10">
        <f t="shared" si="5"/>
        <v>31.743799999999997</v>
      </c>
      <c r="K21" s="7">
        <f>'[9]Jul Prod'!H275</f>
        <v>2376069</v>
      </c>
      <c r="L21" s="8">
        <f t="shared" si="6"/>
        <v>2.3760690000000002</v>
      </c>
      <c r="M21" s="10">
        <f t="shared" si="7"/>
        <v>7.2945318300000004</v>
      </c>
      <c r="N21" s="21"/>
      <c r="O21" s="7">
        <f>'[9]Jul Prod'!H20</f>
        <v>7709000.0000000037</v>
      </c>
      <c r="P21" s="8">
        <f t="shared" si="8"/>
        <v>7.7090000000000041</v>
      </c>
      <c r="Q21" s="10">
        <f t="shared" si="9"/>
        <v>23.666630000000012</v>
      </c>
      <c r="R21" s="7">
        <f>'[9]Jul Prod'!C20</f>
        <v>7875000</v>
      </c>
      <c r="S21" s="8">
        <f t="shared" si="10"/>
        <v>7.875</v>
      </c>
      <c r="T21" s="10">
        <f t="shared" si="11"/>
        <v>24.17625</v>
      </c>
      <c r="U21" s="7">
        <f>'[9]Jul Prod'!D20</f>
        <v>4965000</v>
      </c>
      <c r="V21" s="8">
        <f t="shared" si="12"/>
        <v>4.9649999999999999</v>
      </c>
      <c r="W21" s="10">
        <f t="shared" si="13"/>
        <v>15.24255</v>
      </c>
      <c r="X21" s="7">
        <f>'[9]Jul Prod'!D275</f>
        <v>165999.99999999683</v>
      </c>
      <c r="Y21" s="8">
        <f t="shared" si="14"/>
        <v>0.16599999999999682</v>
      </c>
      <c r="Z21" s="10">
        <f t="shared" si="15"/>
        <v>0.50961999999999019</v>
      </c>
      <c r="AA21" s="15"/>
      <c r="AB21" s="7">
        <f>'[9]Jul Prod'!G20</f>
        <v>0</v>
      </c>
      <c r="AC21" s="8">
        <f t="shared" si="16"/>
        <v>0</v>
      </c>
      <c r="AD21" s="10">
        <f t="shared" si="17"/>
        <v>0</v>
      </c>
      <c r="AF21" s="7">
        <f t="shared" si="18"/>
        <v>27308999.999998547</v>
      </c>
      <c r="AG21" s="8">
        <f t="shared" si="19"/>
        <v>27.308999999998548</v>
      </c>
      <c r="AH21" s="8">
        <f t="shared" si="20"/>
        <v>83.838629999995533</v>
      </c>
      <c r="AJ21" s="8">
        <f t="shared" si="21"/>
        <v>-2.6645352591003757E-15</v>
      </c>
    </row>
    <row r="22" spans="1:36" x14ac:dyDescent="0.25">
      <c r="A22" s="27">
        <v>38551</v>
      </c>
      <c r="B22" s="7">
        <f>'[9]Jul Prod'!I21</f>
        <v>23600000.000002183</v>
      </c>
      <c r="C22" s="8">
        <f t="shared" si="0"/>
        <v>23.600000000002183</v>
      </c>
      <c r="D22" s="10">
        <f t="shared" si="1"/>
        <v>72.452000000006691</v>
      </c>
      <c r="E22" s="7">
        <f>'[9]Jul Prod'!E21</f>
        <v>11000000</v>
      </c>
      <c r="F22" s="8">
        <f t="shared" si="2"/>
        <v>11</v>
      </c>
      <c r="G22" s="10">
        <f t="shared" si="3"/>
        <v>33.769999999999996</v>
      </c>
      <c r="H22" s="7">
        <f>'[9]Jul Prod'!F21</f>
        <v>12860000</v>
      </c>
      <c r="I22" s="8">
        <f t="shared" si="4"/>
        <v>12.86</v>
      </c>
      <c r="J22" s="10">
        <f t="shared" si="5"/>
        <v>39.480199999999996</v>
      </c>
      <c r="K22" s="7">
        <f>'[9]Jul Prod'!H276</f>
        <v>2775623</v>
      </c>
      <c r="L22" s="8">
        <f t="shared" si="6"/>
        <v>2.775623</v>
      </c>
      <c r="M22" s="10">
        <f t="shared" si="7"/>
        <v>8.5211626099999993</v>
      </c>
      <c r="N22" s="21"/>
      <c r="O22" s="7">
        <f>'[9]Jul Prod'!H21</f>
        <v>7742999.9999999963</v>
      </c>
      <c r="P22" s="8">
        <f t="shared" si="8"/>
        <v>7.7429999999999959</v>
      </c>
      <c r="Q22" s="10">
        <f t="shared" si="9"/>
        <v>23.771009999999986</v>
      </c>
      <c r="R22" s="7">
        <f>'[9]Jul Prod'!C21</f>
        <v>7848000</v>
      </c>
      <c r="S22" s="8">
        <f t="shared" si="10"/>
        <v>7.8479999999999999</v>
      </c>
      <c r="T22" s="10">
        <f t="shared" si="11"/>
        <v>24.093359999999997</v>
      </c>
      <c r="U22" s="7">
        <f>'[9]Jul Prod'!D21</f>
        <v>5030000</v>
      </c>
      <c r="V22" s="8">
        <f t="shared" si="12"/>
        <v>5.03</v>
      </c>
      <c r="W22" s="10">
        <f t="shared" si="13"/>
        <v>15.4421</v>
      </c>
      <c r="X22" s="7">
        <f>'[9]Jul Prod'!D276</f>
        <v>105000.00000000397</v>
      </c>
      <c r="Y22" s="8">
        <f t="shared" si="14"/>
        <v>0.10500000000000398</v>
      </c>
      <c r="Z22" s="10">
        <f t="shared" si="15"/>
        <v>0.32235000000001218</v>
      </c>
      <c r="AA22" s="15"/>
      <c r="AB22" s="7">
        <f>'[9]Jul Prod'!G21</f>
        <v>0</v>
      </c>
      <c r="AC22" s="8">
        <f t="shared" si="16"/>
        <v>0</v>
      </c>
      <c r="AD22" s="10">
        <f t="shared" si="17"/>
        <v>0</v>
      </c>
      <c r="AF22" s="7">
        <f t="shared" si="18"/>
        <v>31343000.000002179</v>
      </c>
      <c r="AG22" s="8">
        <f t="shared" si="19"/>
        <v>31.343000000002178</v>
      </c>
      <c r="AH22" s="8">
        <f t="shared" si="20"/>
        <v>96.223010000006681</v>
      </c>
      <c r="AI22" s="18"/>
      <c r="AJ22" s="8">
        <f t="shared" si="21"/>
        <v>-1.3877787807814457E-15</v>
      </c>
    </row>
    <row r="23" spans="1:36" x14ac:dyDescent="0.25">
      <c r="A23" s="27">
        <v>38552</v>
      </c>
      <c r="B23" s="7">
        <f>'[9]Jul Prod'!I22</f>
        <v>22799999.999999274</v>
      </c>
      <c r="C23" s="8">
        <f t="shared" si="0"/>
        <v>22.799999999999272</v>
      </c>
      <c r="D23" s="10">
        <f t="shared" si="1"/>
        <v>69.995999999997764</v>
      </c>
      <c r="E23" s="7">
        <f>'[9]Jul Prod'!E22</f>
        <v>11000000</v>
      </c>
      <c r="F23" s="8">
        <f t="shared" si="2"/>
        <v>11</v>
      </c>
      <c r="G23" s="10">
        <f t="shared" si="3"/>
        <v>33.769999999999996</v>
      </c>
      <c r="H23" s="7">
        <f>'[9]Jul Prod'!F22</f>
        <v>11720000</v>
      </c>
      <c r="I23" s="8">
        <f t="shared" si="4"/>
        <v>11.72</v>
      </c>
      <c r="J23" s="10">
        <f t="shared" si="5"/>
        <v>35.980400000000003</v>
      </c>
      <c r="K23" s="7">
        <f>'[9]Jul Prod'!H277</f>
        <v>2658129</v>
      </c>
      <c r="L23" s="8">
        <f t="shared" si="6"/>
        <v>2.6581290000000002</v>
      </c>
      <c r="M23" s="10">
        <f t="shared" si="7"/>
        <v>8.1604560300000006</v>
      </c>
      <c r="N23" s="21"/>
      <c r="O23" s="7">
        <f>'[9]Jul Prod'!H22</f>
        <v>9010000.0000000037</v>
      </c>
      <c r="P23" s="8">
        <f t="shared" si="8"/>
        <v>9.0100000000000033</v>
      </c>
      <c r="Q23" s="10">
        <f t="shared" si="9"/>
        <v>27.660700000000009</v>
      </c>
      <c r="R23" s="7">
        <f>'[9]Jul Prod'!C22</f>
        <v>9271000</v>
      </c>
      <c r="S23" s="8">
        <f t="shared" si="10"/>
        <v>9.2710000000000008</v>
      </c>
      <c r="T23" s="10">
        <f t="shared" si="11"/>
        <v>28.461970000000001</v>
      </c>
      <c r="U23" s="7">
        <f>'[9]Jul Prod'!D22</f>
        <v>5084000</v>
      </c>
      <c r="V23" s="8">
        <f t="shared" si="12"/>
        <v>5.0839999999999996</v>
      </c>
      <c r="W23" s="10">
        <f t="shared" si="13"/>
        <v>15.607879999999998</v>
      </c>
      <c r="X23" s="7">
        <f>'[9]Jul Prod'!D277</f>
        <v>260999.99999999569</v>
      </c>
      <c r="Y23" s="8">
        <f t="shared" si="14"/>
        <v>0.26099999999999568</v>
      </c>
      <c r="Z23" s="10">
        <f t="shared" si="15"/>
        <v>0.80126999999998672</v>
      </c>
      <c r="AA23" s="15"/>
      <c r="AB23" s="7">
        <f>'[9]Jul Prod'!G22</f>
        <v>0</v>
      </c>
      <c r="AC23" s="8">
        <f t="shared" si="16"/>
        <v>0</v>
      </c>
      <c r="AD23" s="10">
        <f t="shared" si="17"/>
        <v>0</v>
      </c>
      <c r="AF23" s="7">
        <f t="shared" si="18"/>
        <v>31809999.999999277</v>
      </c>
      <c r="AG23" s="8">
        <f t="shared" si="19"/>
        <v>31.809999999999278</v>
      </c>
      <c r="AH23" s="8">
        <f t="shared" si="20"/>
        <v>97.65669999999777</v>
      </c>
      <c r="AJ23" s="8">
        <f t="shared" si="21"/>
        <v>4.9960036108132044E-15</v>
      </c>
    </row>
    <row r="24" spans="1:36" x14ac:dyDescent="0.25">
      <c r="A24" s="27">
        <v>38553</v>
      </c>
      <c r="B24" s="7">
        <f>'[9]Jul Prod'!I23</f>
        <v>23400000.000001457</v>
      </c>
      <c r="C24" s="8">
        <f t="shared" si="0"/>
        <v>23.400000000001455</v>
      </c>
      <c r="D24" s="10">
        <f t="shared" si="1"/>
        <v>71.83800000000447</v>
      </c>
      <c r="E24" s="7">
        <f>'[9]Jul Prod'!E23</f>
        <v>12000000</v>
      </c>
      <c r="F24" s="8">
        <f t="shared" si="2"/>
        <v>12</v>
      </c>
      <c r="G24" s="10">
        <f t="shared" si="3"/>
        <v>36.839999999999996</v>
      </c>
      <c r="H24" s="7">
        <f>'[9]Jul Prod'!F23</f>
        <v>12580000</v>
      </c>
      <c r="I24" s="8">
        <f t="shared" si="4"/>
        <v>12.58</v>
      </c>
      <c r="J24" s="10">
        <f t="shared" si="5"/>
        <v>38.620599999999996</v>
      </c>
      <c r="K24" s="7">
        <f>'[9]Jul Prod'!H278</f>
        <v>2899670</v>
      </c>
      <c r="L24" s="8">
        <f t="shared" si="6"/>
        <v>2.89967</v>
      </c>
      <c r="M24" s="10">
        <f t="shared" si="7"/>
        <v>8.9019868999999989</v>
      </c>
      <c r="N24" s="21"/>
      <c r="O24" s="7">
        <f>'[9]Jul Prod'!H23</f>
        <v>8300000.0000000037</v>
      </c>
      <c r="P24" s="8">
        <f t="shared" si="8"/>
        <v>8.3000000000000043</v>
      </c>
      <c r="Q24" s="10">
        <f t="shared" si="9"/>
        <v>25.481000000000012</v>
      </c>
      <c r="R24" s="7">
        <f>'[9]Jul Prod'!C23</f>
        <v>8570000</v>
      </c>
      <c r="S24" s="8">
        <f t="shared" si="10"/>
        <v>8.57</v>
      </c>
      <c r="T24" s="10">
        <f t="shared" si="11"/>
        <v>26.309899999999999</v>
      </c>
      <c r="U24" s="7">
        <f>'[9]Jul Prod'!D23</f>
        <v>5004000</v>
      </c>
      <c r="V24" s="8">
        <f t="shared" si="12"/>
        <v>5.0039999999999996</v>
      </c>
      <c r="W24" s="10">
        <f t="shared" si="13"/>
        <v>15.362279999999998</v>
      </c>
      <c r="X24" s="7">
        <f>'[9]Jul Prod'!D278</f>
        <v>269999.99999999604</v>
      </c>
      <c r="Y24" s="8">
        <f t="shared" si="14"/>
        <v>0.26999999999999602</v>
      </c>
      <c r="Z24" s="10">
        <f t="shared" si="15"/>
        <v>0.82889999999998776</v>
      </c>
      <c r="AA24" s="15"/>
      <c r="AB24" s="7">
        <f>'[9]Jul Prod'!G23</f>
        <v>0</v>
      </c>
      <c r="AC24" s="8">
        <f t="shared" si="16"/>
        <v>0</v>
      </c>
      <c r="AD24" s="10">
        <f t="shared" si="17"/>
        <v>0</v>
      </c>
      <c r="AF24" s="7">
        <f t="shared" si="18"/>
        <v>31700000.00000146</v>
      </c>
      <c r="AG24" s="8">
        <f t="shared" si="19"/>
        <v>31.700000000001459</v>
      </c>
      <c r="AH24" s="8">
        <f t="shared" si="20"/>
        <v>97.319000000004479</v>
      </c>
      <c r="AJ24" s="8">
        <f t="shared" si="21"/>
        <v>-1.1102230246251565E-15</v>
      </c>
    </row>
    <row r="25" spans="1:36" x14ac:dyDescent="0.25">
      <c r="A25" s="27">
        <v>38554</v>
      </c>
      <c r="B25" s="7">
        <f>'[9]Jul Prod'!I24</f>
        <v>25000000</v>
      </c>
      <c r="C25" s="8">
        <f t="shared" si="0"/>
        <v>25</v>
      </c>
      <c r="D25" s="10">
        <f t="shared" si="1"/>
        <v>76.75</v>
      </c>
      <c r="E25" s="7">
        <f>'[9]Jul Prod'!E24</f>
        <v>13000000</v>
      </c>
      <c r="F25" s="8">
        <f t="shared" si="2"/>
        <v>13</v>
      </c>
      <c r="G25" s="10">
        <f t="shared" si="3"/>
        <v>39.909999999999997</v>
      </c>
      <c r="H25" s="7">
        <f>'[9]Jul Prod'!F24</f>
        <v>12970000</v>
      </c>
      <c r="I25" s="8">
        <f t="shared" si="4"/>
        <v>12.97</v>
      </c>
      <c r="J25" s="10">
        <f t="shared" si="5"/>
        <v>39.817900000000002</v>
      </c>
      <c r="K25" s="7">
        <f>'[9]Jul Prod'!H279</f>
        <v>3004213</v>
      </c>
      <c r="L25" s="8">
        <f t="shared" si="6"/>
        <v>3.004213</v>
      </c>
      <c r="M25" s="10">
        <f t="shared" si="7"/>
        <v>9.2229339100000001</v>
      </c>
      <c r="N25" s="21"/>
      <c r="O25" s="7">
        <f>'[9]Jul Prod'!H24</f>
        <v>6485000.0000000009</v>
      </c>
      <c r="P25" s="8">
        <f t="shared" si="8"/>
        <v>6.4850000000000012</v>
      </c>
      <c r="Q25" s="10">
        <f t="shared" si="9"/>
        <v>19.908950000000004</v>
      </c>
      <c r="R25" s="7">
        <f>'[9]Jul Prod'!C24</f>
        <v>6595000</v>
      </c>
      <c r="S25" s="8">
        <f t="shared" si="10"/>
        <v>6.5949999999999998</v>
      </c>
      <c r="T25" s="10">
        <f t="shared" si="11"/>
        <v>20.246649999999999</v>
      </c>
      <c r="U25" s="7">
        <f>'[9]Jul Prod'!D24</f>
        <v>5074000</v>
      </c>
      <c r="V25" s="8">
        <f t="shared" si="12"/>
        <v>5.0739999999999998</v>
      </c>
      <c r="W25" s="10">
        <f t="shared" si="13"/>
        <v>15.577179999999998</v>
      </c>
      <c r="X25" s="7">
        <f>'[9]Jul Prod'!D279</f>
        <v>109999.99999999943</v>
      </c>
      <c r="Y25" s="8">
        <f t="shared" si="14"/>
        <v>0.10999999999999943</v>
      </c>
      <c r="Z25" s="10">
        <f t="shared" si="15"/>
        <v>0.33769999999999822</v>
      </c>
      <c r="AA25" s="15"/>
      <c r="AB25" s="7">
        <f>'[9]Jul Prod'!G24</f>
        <v>0</v>
      </c>
      <c r="AC25" s="8">
        <f t="shared" si="16"/>
        <v>0</v>
      </c>
      <c r="AD25" s="10">
        <f t="shared" si="17"/>
        <v>0</v>
      </c>
      <c r="AF25" s="7">
        <f t="shared" si="18"/>
        <v>31485000</v>
      </c>
      <c r="AG25" s="8">
        <f t="shared" si="19"/>
        <v>31.484999999999999</v>
      </c>
      <c r="AH25" s="8">
        <f t="shared" si="20"/>
        <v>96.658950000000004</v>
      </c>
      <c r="AJ25" s="8">
        <f t="shared" si="21"/>
        <v>-3.6637359812630166E-15</v>
      </c>
    </row>
    <row r="26" spans="1:36" x14ac:dyDescent="0.25">
      <c r="A26" s="27">
        <v>38555</v>
      </c>
      <c r="B26" s="7">
        <f>'[9]Jul Prod'!I25</f>
        <v>23399999.999997817</v>
      </c>
      <c r="C26" s="8">
        <f t="shared" si="0"/>
        <v>23.399999999997817</v>
      </c>
      <c r="D26" s="10">
        <f t="shared" si="1"/>
        <v>71.837999999993301</v>
      </c>
      <c r="E26" s="7">
        <f>'[9]Jul Prod'!E25</f>
        <v>12000000</v>
      </c>
      <c r="F26" s="8">
        <f t="shared" si="2"/>
        <v>12</v>
      </c>
      <c r="G26" s="10">
        <f t="shared" si="3"/>
        <v>36.839999999999996</v>
      </c>
      <c r="H26" s="7">
        <f>'[9]Jul Prod'!F25</f>
        <v>12330000</v>
      </c>
      <c r="I26" s="8">
        <f t="shared" si="4"/>
        <v>12.33</v>
      </c>
      <c r="J26" s="10">
        <f t="shared" si="5"/>
        <v>37.853099999999998</v>
      </c>
      <c r="K26" s="7">
        <f>'[9]Jul Prod'!H280</f>
        <v>2796805</v>
      </c>
      <c r="L26" s="8">
        <f t="shared" si="6"/>
        <v>2.796805</v>
      </c>
      <c r="M26" s="10">
        <f t="shared" si="7"/>
        <v>8.58619135</v>
      </c>
      <c r="N26" s="21"/>
      <c r="O26" s="7">
        <f>'[9]Jul Prod'!H25</f>
        <v>6602999.9999999907</v>
      </c>
      <c r="P26" s="8">
        <f t="shared" si="8"/>
        <v>6.6029999999999909</v>
      </c>
      <c r="Q26" s="10">
        <f t="shared" si="9"/>
        <v>20.271209999999972</v>
      </c>
      <c r="R26" s="7">
        <f>'[9]Jul Prod'!C25</f>
        <v>6709000</v>
      </c>
      <c r="S26" s="8">
        <f t="shared" si="10"/>
        <v>6.7089999999999996</v>
      </c>
      <c r="T26" s="10">
        <f t="shared" si="11"/>
        <v>20.596629999999998</v>
      </c>
      <c r="U26" s="43">
        <f>'[9]Jul Prod'!D25</f>
        <v>-60502000</v>
      </c>
      <c r="V26" s="8">
        <f t="shared" si="12"/>
        <v>-60.502000000000002</v>
      </c>
      <c r="W26" s="10">
        <f t="shared" si="13"/>
        <v>-185.74114</v>
      </c>
      <c r="X26" s="7">
        <f>'[9]Jul Prod'!D280</f>
        <v>106000.00000000876</v>
      </c>
      <c r="Y26" s="8">
        <f t="shared" si="14"/>
        <v>0.10600000000000875</v>
      </c>
      <c r="Z26" s="10">
        <f t="shared" si="15"/>
        <v>0.32542000000002685</v>
      </c>
      <c r="AA26" s="15"/>
      <c r="AB26" s="7">
        <f>'[9]Jul Prod'!G25</f>
        <v>0</v>
      </c>
      <c r="AC26" s="8">
        <f t="shared" si="16"/>
        <v>0</v>
      </c>
      <c r="AD26" s="10">
        <f t="shared" si="17"/>
        <v>0</v>
      </c>
      <c r="AF26" s="7">
        <f t="shared" si="18"/>
        <v>30002999.99999781</v>
      </c>
      <c r="AG26" s="8">
        <f t="shared" si="19"/>
        <v>30.002999999997808</v>
      </c>
      <c r="AH26" s="8">
        <f t="shared" si="20"/>
        <v>92.109209999993269</v>
      </c>
      <c r="AJ26" s="8">
        <f t="shared" si="21"/>
        <v>-8.3266726846886741E-16</v>
      </c>
    </row>
    <row r="27" spans="1:36" x14ac:dyDescent="0.25">
      <c r="A27" s="27">
        <v>38556</v>
      </c>
      <c r="B27" s="7">
        <f>'[9]Jul Prod'!I26</f>
        <v>26500000</v>
      </c>
      <c r="C27" s="8">
        <f t="shared" si="0"/>
        <v>26.5</v>
      </c>
      <c r="D27" s="10">
        <f t="shared" si="1"/>
        <v>81.35499999999999</v>
      </c>
      <c r="E27" s="7">
        <f>'[9]Jul Prod'!E26</f>
        <v>14000000</v>
      </c>
      <c r="F27" s="8">
        <f t="shared" si="2"/>
        <v>14</v>
      </c>
      <c r="G27" s="10">
        <f t="shared" si="3"/>
        <v>42.98</v>
      </c>
      <c r="H27" s="7">
        <f>'[9]Jul Prod'!F26</f>
        <v>13930000</v>
      </c>
      <c r="I27" s="8">
        <f t="shared" si="4"/>
        <v>13.93</v>
      </c>
      <c r="J27" s="10">
        <f t="shared" si="5"/>
        <v>42.765099999999997</v>
      </c>
      <c r="K27" s="7">
        <f>'[9]Jul Prod'!H281</f>
        <v>3174311</v>
      </c>
      <c r="L27" s="8">
        <f t="shared" si="6"/>
        <v>3.1743109999999999</v>
      </c>
      <c r="M27" s="10">
        <f t="shared" si="7"/>
        <v>9.7451347699999999</v>
      </c>
      <c r="N27" s="21"/>
      <c r="O27" s="7">
        <f>'[9]Jul Prod'!H26</f>
        <v>5736000.0000000065</v>
      </c>
      <c r="P27" s="8">
        <f t="shared" si="8"/>
        <v>5.7360000000000069</v>
      </c>
      <c r="Q27" s="10">
        <f t="shared" si="9"/>
        <v>17.609520000000021</v>
      </c>
      <c r="R27" s="7">
        <f>'[9]Jul Prod'!C26</f>
        <v>5952000</v>
      </c>
      <c r="S27" s="8">
        <f t="shared" si="10"/>
        <v>5.952</v>
      </c>
      <c r="T27" s="10">
        <f t="shared" si="11"/>
        <v>18.272639999999999</v>
      </c>
      <c r="U27" s="7">
        <f>'[9]Jul Prod'!D26</f>
        <v>4975000</v>
      </c>
      <c r="V27" s="8">
        <f t="shared" si="12"/>
        <v>4.9749999999999996</v>
      </c>
      <c r="W27" s="10">
        <f t="shared" si="13"/>
        <v>15.273249999999997</v>
      </c>
      <c r="X27" s="7">
        <f>'[9]Jul Prod'!D281</f>
        <v>215999.99999999398</v>
      </c>
      <c r="Y27" s="8">
        <f t="shared" si="14"/>
        <v>0.21599999999999397</v>
      </c>
      <c r="Z27" s="10">
        <f t="shared" si="15"/>
        <v>0.6631199999999815</v>
      </c>
      <c r="AA27" s="15"/>
      <c r="AB27" s="7">
        <f>'[9]Jul Prod'!G26</f>
        <v>0</v>
      </c>
      <c r="AC27" s="8">
        <f t="shared" si="16"/>
        <v>0</v>
      </c>
      <c r="AD27" s="10">
        <f t="shared" si="17"/>
        <v>0</v>
      </c>
      <c r="AF27" s="7">
        <f t="shared" si="18"/>
        <v>32236000.000000007</v>
      </c>
      <c r="AG27" s="8">
        <f t="shared" si="19"/>
        <v>32.236000000000004</v>
      </c>
      <c r="AH27" s="8">
        <f t="shared" si="20"/>
        <v>98.964520000000007</v>
      </c>
      <c r="AJ27" s="8">
        <f t="shared" si="21"/>
        <v>-3.5527136788005009E-15</v>
      </c>
    </row>
    <row r="28" spans="1:36" x14ac:dyDescent="0.25">
      <c r="A28" s="27">
        <v>38557</v>
      </c>
      <c r="B28" s="7">
        <f>'[9]Jul Prod'!I27</f>
        <v>28400000.000001457</v>
      </c>
      <c r="C28" s="8">
        <f t="shared" si="0"/>
        <v>28.400000000001455</v>
      </c>
      <c r="D28" s="10">
        <f t="shared" si="1"/>
        <v>87.188000000004465</v>
      </c>
      <c r="E28" s="7">
        <f>'[9]Jul Prod'!E27</f>
        <v>15000000</v>
      </c>
      <c r="F28" s="8">
        <f t="shared" si="2"/>
        <v>15</v>
      </c>
      <c r="G28" s="10">
        <f t="shared" si="3"/>
        <v>46.05</v>
      </c>
      <c r="H28" s="7">
        <f>'[9]Jul Prod'!F27</f>
        <v>14820000</v>
      </c>
      <c r="I28" s="8">
        <f t="shared" si="4"/>
        <v>14.82</v>
      </c>
      <c r="J28" s="10">
        <f t="shared" si="5"/>
        <v>45.497399999999999</v>
      </c>
      <c r="K28" s="7">
        <f>'[9]Jul Prod'!H282</f>
        <v>3353203</v>
      </c>
      <c r="L28" s="8">
        <f t="shared" si="6"/>
        <v>3.3532030000000002</v>
      </c>
      <c r="M28" s="10">
        <f t="shared" si="7"/>
        <v>10.29433321</v>
      </c>
      <c r="N28" s="21"/>
      <c r="O28" s="7">
        <f>'[9]Jul Prod'!H27</f>
        <v>5803000.0000000019</v>
      </c>
      <c r="P28" s="8">
        <f t="shared" si="8"/>
        <v>5.8030000000000017</v>
      </c>
      <c r="Q28" s="10">
        <f t="shared" si="9"/>
        <v>17.815210000000004</v>
      </c>
      <c r="R28" s="7">
        <f>'[9]Jul Prod'!C27</f>
        <v>6008000</v>
      </c>
      <c r="S28" s="8">
        <f t="shared" si="10"/>
        <v>6.008</v>
      </c>
      <c r="T28" s="10">
        <f t="shared" si="11"/>
        <v>18.444559999999999</v>
      </c>
      <c r="U28" s="7">
        <f>'[9]Jul Prod'!D27</f>
        <v>5034000</v>
      </c>
      <c r="V28" s="8">
        <f t="shared" si="12"/>
        <v>5.0339999999999998</v>
      </c>
      <c r="W28" s="10">
        <f t="shared" si="13"/>
        <v>15.454379999999999</v>
      </c>
      <c r="X28" s="7">
        <f>'[9]Jul Prod'!D282</f>
        <v>204999.99999999828</v>
      </c>
      <c r="Y28" s="8">
        <f t="shared" si="14"/>
        <v>0.20499999999999829</v>
      </c>
      <c r="Z28" s="10">
        <f t="shared" si="15"/>
        <v>0.62934999999999475</v>
      </c>
      <c r="AA28" s="15"/>
      <c r="AB28" s="7">
        <f>'[9]Jul Prod'!G27</f>
        <v>0</v>
      </c>
      <c r="AC28" s="8">
        <f t="shared" si="16"/>
        <v>0</v>
      </c>
      <c r="AD28" s="10">
        <f t="shared" si="17"/>
        <v>0</v>
      </c>
      <c r="AF28" s="7">
        <f t="shared" si="18"/>
        <v>34203000.00000146</v>
      </c>
      <c r="AG28" s="8">
        <f t="shared" si="19"/>
        <v>34.20300000000146</v>
      </c>
      <c r="AH28" s="8">
        <f t="shared" si="20"/>
        <v>105.00321000000447</v>
      </c>
      <c r="AJ28" s="8">
        <f t="shared" si="21"/>
        <v>0</v>
      </c>
    </row>
    <row r="29" spans="1:36" x14ac:dyDescent="0.25">
      <c r="A29" s="27">
        <v>38558</v>
      </c>
      <c r="B29" s="7">
        <f>'[9]Jul Prod'!I28</f>
        <v>27599999.999998543</v>
      </c>
      <c r="C29" s="8">
        <f t="shared" si="0"/>
        <v>27.599999999998545</v>
      </c>
      <c r="D29" s="10">
        <f t="shared" si="1"/>
        <v>84.731999999995523</v>
      </c>
      <c r="E29" s="7">
        <f>'[9]Jul Prod'!E28</f>
        <v>14000000</v>
      </c>
      <c r="F29" s="8">
        <f t="shared" si="2"/>
        <v>14</v>
      </c>
      <c r="G29" s="10">
        <f t="shared" si="3"/>
        <v>42.98</v>
      </c>
      <c r="H29" s="7">
        <f>'[9]Jul Prod'!F28</f>
        <v>14310000</v>
      </c>
      <c r="I29" s="8">
        <f t="shared" si="4"/>
        <v>14.31</v>
      </c>
      <c r="J29" s="10">
        <f t="shared" si="5"/>
        <v>43.931699999999999</v>
      </c>
      <c r="K29" s="7">
        <f>'[9]Jul Prod'!H283</f>
        <v>3323240</v>
      </c>
      <c r="L29" s="8">
        <f t="shared" si="6"/>
        <v>3.3232400000000002</v>
      </c>
      <c r="M29" s="10">
        <f t="shared" si="7"/>
        <v>10.202346800000001</v>
      </c>
      <c r="N29" s="21"/>
      <c r="O29" s="7">
        <f>'[9]Jul Prod'!H28</f>
        <v>6038999.9999999935</v>
      </c>
      <c r="P29" s="8">
        <f t="shared" si="8"/>
        <v>6.0389999999999935</v>
      </c>
      <c r="Q29" s="10">
        <f t="shared" si="9"/>
        <v>18.539729999999977</v>
      </c>
      <c r="R29" s="7">
        <f>'[9]Jul Prod'!C28</f>
        <v>6201000</v>
      </c>
      <c r="S29" s="8">
        <f t="shared" si="10"/>
        <v>6.2009999999999996</v>
      </c>
      <c r="T29" s="10">
        <f t="shared" si="11"/>
        <v>19.037069999999996</v>
      </c>
      <c r="U29" s="7">
        <f>'[9]Jul Prod'!D28</f>
        <v>5252000</v>
      </c>
      <c r="V29" s="8">
        <f t="shared" si="12"/>
        <v>5.2519999999999998</v>
      </c>
      <c r="W29" s="10">
        <f t="shared" si="13"/>
        <v>16.123639999999998</v>
      </c>
      <c r="X29" s="7">
        <f>'[9]Jul Prod'!D283</f>
        <v>162000.00000000614</v>
      </c>
      <c r="Y29" s="8">
        <f t="shared" si="14"/>
        <v>0.16200000000000614</v>
      </c>
      <c r="Z29" s="10">
        <f t="shared" si="15"/>
        <v>0.49734000000001882</v>
      </c>
      <c r="AA29" s="15"/>
      <c r="AB29" s="7">
        <f>'[9]Jul Prod'!G28</f>
        <v>0</v>
      </c>
      <c r="AC29" s="8">
        <f t="shared" si="16"/>
        <v>0</v>
      </c>
      <c r="AD29" s="10">
        <f t="shared" si="17"/>
        <v>0</v>
      </c>
      <c r="AF29" s="7">
        <f t="shared" si="18"/>
        <v>33638999.99999854</v>
      </c>
      <c r="AG29" s="8">
        <f t="shared" si="19"/>
        <v>33.638999999998539</v>
      </c>
      <c r="AH29" s="8">
        <f t="shared" si="20"/>
        <v>103.2717299999955</v>
      </c>
      <c r="AJ29" s="8">
        <f t="shared" si="21"/>
        <v>0</v>
      </c>
    </row>
    <row r="30" spans="1:36" x14ac:dyDescent="0.25">
      <c r="A30" s="27">
        <v>38559</v>
      </c>
      <c r="B30" s="7">
        <f>'[9]Jul Prod'!I29</f>
        <v>28299999.999999274</v>
      </c>
      <c r="C30" s="8">
        <f t="shared" si="0"/>
        <v>28.299999999999272</v>
      </c>
      <c r="D30" s="10">
        <f t="shared" si="1"/>
        <v>86.880999999997755</v>
      </c>
      <c r="E30" s="7">
        <f>'[9]Jul Prod'!E29</f>
        <v>15000000</v>
      </c>
      <c r="F30" s="8">
        <f t="shared" si="2"/>
        <v>15</v>
      </c>
      <c r="G30" s="10">
        <f t="shared" si="3"/>
        <v>46.05</v>
      </c>
      <c r="H30" s="7">
        <f>'[9]Jul Prod'!F29</f>
        <v>14900000</v>
      </c>
      <c r="I30" s="8">
        <f t="shared" si="4"/>
        <v>14.9</v>
      </c>
      <c r="J30" s="10">
        <f t="shared" si="5"/>
        <v>45.743000000000002</v>
      </c>
      <c r="K30" s="7">
        <f>'[9]Jul Prod'!H284</f>
        <v>3418018</v>
      </c>
      <c r="L30" s="8">
        <f t="shared" si="6"/>
        <v>3.418018</v>
      </c>
      <c r="M30" s="10">
        <f t="shared" si="7"/>
        <v>10.493315259999999</v>
      </c>
      <c r="N30" s="21"/>
      <c r="O30" s="7">
        <f>'[9]Jul Prod'!H29</f>
        <v>5876000.0000000102</v>
      </c>
      <c r="P30" s="8">
        <f t="shared" si="8"/>
        <v>5.8760000000000101</v>
      </c>
      <c r="Q30" s="10">
        <f t="shared" si="9"/>
        <v>18.039320000000028</v>
      </c>
      <c r="R30" s="7">
        <f>'[9]Jul Prod'!C29</f>
        <v>5996000</v>
      </c>
      <c r="S30" s="8">
        <f t="shared" si="10"/>
        <v>5.9960000000000004</v>
      </c>
      <c r="T30" s="10">
        <f t="shared" si="11"/>
        <v>18.407720000000001</v>
      </c>
      <c r="U30" s="7">
        <f>'[9]Jul Prod'!D29</f>
        <v>4650000</v>
      </c>
      <c r="V30" s="8">
        <f t="shared" si="12"/>
        <v>4.6500000000000004</v>
      </c>
      <c r="W30" s="10">
        <f t="shared" si="13"/>
        <v>14.275500000000001</v>
      </c>
      <c r="X30" s="7">
        <f>'[9]Jul Prod'!D284</f>
        <v>119999.99999999034</v>
      </c>
      <c r="Y30" s="8">
        <f t="shared" si="14"/>
        <v>0.11999999999999034</v>
      </c>
      <c r="Z30" s="10">
        <f t="shared" si="15"/>
        <v>0.36839999999997031</v>
      </c>
      <c r="AA30" s="15"/>
      <c r="AB30" s="7">
        <f>'[9]Jul Prod'!G29</f>
        <v>0</v>
      </c>
      <c r="AC30" s="8">
        <f t="shared" si="16"/>
        <v>0</v>
      </c>
      <c r="AD30" s="10">
        <f t="shared" si="17"/>
        <v>0</v>
      </c>
      <c r="AF30" s="7">
        <f t="shared" si="18"/>
        <v>34175999.999999285</v>
      </c>
      <c r="AG30" s="8">
        <f t="shared" si="19"/>
        <v>34.175999999999284</v>
      </c>
      <c r="AH30" s="8">
        <f t="shared" si="20"/>
        <v>104.92031999999779</v>
      </c>
      <c r="AJ30" s="8">
        <f t="shared" si="21"/>
        <v>2.4424906541753444E-15</v>
      </c>
    </row>
    <row r="31" spans="1:36" x14ac:dyDescent="0.25">
      <c r="A31" s="27">
        <v>38560</v>
      </c>
      <c r="B31" s="7">
        <f>'[9]Jul Prod'!I30</f>
        <v>26600000.000002183</v>
      </c>
      <c r="C31" s="8">
        <f t="shared" si="0"/>
        <v>26.600000000002183</v>
      </c>
      <c r="D31" s="10">
        <f t="shared" si="1"/>
        <v>81.662000000006699</v>
      </c>
      <c r="E31" s="7">
        <f>'[9]Jul Prod'!E30</f>
        <v>14000000</v>
      </c>
      <c r="F31" s="8">
        <f t="shared" si="2"/>
        <v>14</v>
      </c>
      <c r="G31" s="10">
        <f t="shared" si="3"/>
        <v>42.98</v>
      </c>
      <c r="H31" s="7">
        <f>'[9]Jul Prod'!F30</f>
        <v>13810000</v>
      </c>
      <c r="I31" s="8">
        <f t="shared" si="4"/>
        <v>13.81</v>
      </c>
      <c r="J31" s="10">
        <f t="shared" si="5"/>
        <v>42.396700000000003</v>
      </c>
      <c r="K31" s="7">
        <f>'[9]Jul Prod'!H285</f>
        <v>3011101</v>
      </c>
      <c r="L31" s="8">
        <f t="shared" si="6"/>
        <v>3.011101</v>
      </c>
      <c r="M31" s="10">
        <f t="shared" si="7"/>
        <v>9.244080069999999</v>
      </c>
      <c r="N31" s="21"/>
      <c r="O31" s="7">
        <f>'[9]Jul Prod'!H30</f>
        <v>7576999.9999999991</v>
      </c>
      <c r="P31" s="8">
        <f t="shared" si="8"/>
        <v>7.5769999999999991</v>
      </c>
      <c r="Q31" s="10">
        <f t="shared" si="9"/>
        <v>23.261389999999995</v>
      </c>
      <c r="R31" s="7">
        <f>'[9]Jul Prod'!C30</f>
        <v>7726000</v>
      </c>
      <c r="S31" s="8">
        <f t="shared" si="10"/>
        <v>7.726</v>
      </c>
      <c r="T31" s="10">
        <f t="shared" si="11"/>
        <v>23.718819999999997</v>
      </c>
      <c r="U31" s="7">
        <f>'[9]Jul Prod'!D30</f>
        <v>2223000</v>
      </c>
      <c r="V31" s="8">
        <f t="shared" si="12"/>
        <v>2.2229999999999999</v>
      </c>
      <c r="W31" s="10">
        <f t="shared" si="13"/>
        <v>6.824609999999999</v>
      </c>
      <c r="X31" s="7">
        <f>'[9]Jul Prod'!D285</f>
        <v>149000.0000000009</v>
      </c>
      <c r="Y31" s="8">
        <f t="shared" si="14"/>
        <v>0.14900000000000091</v>
      </c>
      <c r="Z31" s="10">
        <f t="shared" si="15"/>
        <v>0.45743000000000278</v>
      </c>
      <c r="AA31" s="15"/>
      <c r="AB31" s="7">
        <f>'[9]Jul Prod'!G30</f>
        <v>0</v>
      </c>
      <c r="AC31" s="8">
        <f t="shared" si="16"/>
        <v>0</v>
      </c>
      <c r="AD31" s="10">
        <f t="shared" si="17"/>
        <v>0</v>
      </c>
      <c r="AF31" s="7">
        <f t="shared" si="18"/>
        <v>34177000.000002183</v>
      </c>
      <c r="AG31" s="8">
        <f t="shared" si="19"/>
        <v>34.177000000002181</v>
      </c>
      <c r="AH31" s="8">
        <f t="shared" si="20"/>
        <v>104.92339000000669</v>
      </c>
      <c r="AJ31" s="8">
        <f t="shared" si="21"/>
        <v>-5.5511151231257827E-16</v>
      </c>
    </row>
    <row r="32" spans="1:36" x14ac:dyDescent="0.25">
      <c r="A32" s="27">
        <v>38561</v>
      </c>
      <c r="B32" s="7">
        <f>'[9]Jul Prod'!I31</f>
        <v>30200000.000000726</v>
      </c>
      <c r="C32" s="8">
        <f t="shared" si="0"/>
        <v>30.200000000000728</v>
      </c>
      <c r="D32" s="10">
        <f t="shared" si="1"/>
        <v>92.71400000000223</v>
      </c>
      <c r="E32" s="7">
        <f>'[9]Jul Prod'!E31</f>
        <v>16000000</v>
      </c>
      <c r="F32" s="8">
        <f t="shared" si="2"/>
        <v>16</v>
      </c>
      <c r="G32" s="10">
        <f t="shared" si="3"/>
        <v>49.12</v>
      </c>
      <c r="H32" s="7">
        <f>'[9]Jul Prod'!F31</f>
        <v>15590000</v>
      </c>
      <c r="I32" s="8">
        <f t="shared" si="4"/>
        <v>15.59</v>
      </c>
      <c r="J32" s="10">
        <f t="shared" si="5"/>
        <v>47.8613</v>
      </c>
      <c r="K32" s="7">
        <f>'[9]Jul Prod'!H286</f>
        <v>3485561</v>
      </c>
      <c r="L32" s="8">
        <f t="shared" si="6"/>
        <v>3.4855610000000001</v>
      </c>
      <c r="M32" s="10">
        <f t="shared" si="7"/>
        <v>10.70067227</v>
      </c>
      <c r="N32" s="21"/>
      <c r="O32" s="7">
        <f>'[9]Jul Prod'!H31</f>
        <v>8303999.9999999907</v>
      </c>
      <c r="P32" s="8">
        <f t="shared" si="8"/>
        <v>8.3039999999999914</v>
      </c>
      <c r="Q32" s="10">
        <f t="shared" si="9"/>
        <v>25.493279999999974</v>
      </c>
      <c r="R32" s="7">
        <f>'[9]Jul Prod'!C31</f>
        <v>8526000</v>
      </c>
      <c r="S32" s="8">
        <f t="shared" si="10"/>
        <v>8.5259999999999998</v>
      </c>
      <c r="T32" s="10">
        <f t="shared" si="11"/>
        <v>26.174819999999997</v>
      </c>
      <c r="U32" s="7">
        <f>'[9]Jul Prod'!D31</f>
        <v>0</v>
      </c>
      <c r="V32" s="8">
        <f t="shared" si="12"/>
        <v>0</v>
      </c>
      <c r="W32" s="10">
        <f t="shared" si="13"/>
        <v>0</v>
      </c>
      <c r="X32" s="7">
        <f>'[9]Jul Prod'!D286</f>
        <v>222000.00000000841</v>
      </c>
      <c r="Y32" s="8">
        <f t="shared" si="14"/>
        <v>0.22200000000000841</v>
      </c>
      <c r="Z32" s="10">
        <f t="shared" si="15"/>
        <v>0.68154000000002579</v>
      </c>
      <c r="AA32" s="15"/>
      <c r="AB32" s="7">
        <f>'[9]Jul Prod'!G31</f>
        <v>0</v>
      </c>
      <c r="AC32" s="8">
        <f t="shared" si="16"/>
        <v>0</v>
      </c>
      <c r="AD32" s="10">
        <f t="shared" si="17"/>
        <v>0</v>
      </c>
      <c r="AF32" s="7">
        <f t="shared" si="18"/>
        <v>38504000.000000715</v>
      </c>
      <c r="AG32" s="8">
        <f t="shared" si="19"/>
        <v>38.504000000000715</v>
      </c>
      <c r="AH32" s="8">
        <f t="shared" si="20"/>
        <v>118.2072800000022</v>
      </c>
      <c r="AJ32" s="8">
        <f t="shared" si="21"/>
        <v>-2.6645352591003757E-15</v>
      </c>
    </row>
    <row r="33" spans="1:36" x14ac:dyDescent="0.25">
      <c r="A33" s="27">
        <v>38562</v>
      </c>
      <c r="B33" s="7">
        <f>'[9]Jul Prod'!I32</f>
        <v>31199999.999997091</v>
      </c>
      <c r="C33" s="8">
        <f t="shared" si="0"/>
        <v>31.19999999999709</v>
      </c>
      <c r="D33" s="10">
        <f t="shared" si="1"/>
        <v>95.783999999991053</v>
      </c>
      <c r="E33" s="7">
        <f>'[9]Jul Prod'!E32</f>
        <v>16000000</v>
      </c>
      <c r="F33" s="8">
        <f t="shared" si="2"/>
        <v>16</v>
      </c>
      <c r="G33" s="10">
        <f t="shared" si="3"/>
        <v>49.12</v>
      </c>
      <c r="H33" s="7">
        <f>'[9]Jul Prod'!F32</f>
        <v>16330000.000000002</v>
      </c>
      <c r="I33" s="8">
        <f t="shared" si="4"/>
        <v>16.330000000000002</v>
      </c>
      <c r="J33" s="10">
        <f t="shared" si="5"/>
        <v>50.133100000000006</v>
      </c>
      <c r="K33" s="7">
        <f>'[9]Jul Prod'!H287</f>
        <v>3473380</v>
      </c>
      <c r="L33" s="8">
        <f t="shared" si="6"/>
        <v>3.4733800000000001</v>
      </c>
      <c r="M33" s="10">
        <f t="shared" si="7"/>
        <v>10.6632766</v>
      </c>
      <c r="N33" s="21"/>
      <c r="O33" s="7">
        <f>'[9]Jul Prod'!H32</f>
        <v>5462999.9999999981</v>
      </c>
      <c r="P33" s="8">
        <f t="shared" si="8"/>
        <v>5.4629999999999983</v>
      </c>
      <c r="Q33" s="10">
        <f t="shared" si="9"/>
        <v>16.771409999999992</v>
      </c>
      <c r="R33" s="7">
        <f>'[9]Jul Prod'!C32</f>
        <v>5627000</v>
      </c>
      <c r="S33" s="8">
        <f t="shared" si="10"/>
        <v>5.6269999999999998</v>
      </c>
      <c r="T33" s="10">
        <f t="shared" si="11"/>
        <v>17.274889999999999</v>
      </c>
      <c r="U33" s="7">
        <f>'[9]Jul Prod'!D32</f>
        <v>0</v>
      </c>
      <c r="V33" s="8">
        <f t="shared" si="12"/>
        <v>0</v>
      </c>
      <c r="W33" s="10">
        <f t="shared" si="13"/>
        <v>0</v>
      </c>
      <c r="X33" s="7">
        <f>'[9]Jul Prod'!D287</f>
        <v>164000.00000000148</v>
      </c>
      <c r="Y33" s="8">
        <f t="shared" si="14"/>
        <v>0.16400000000000148</v>
      </c>
      <c r="Z33" s="10">
        <f t="shared" si="15"/>
        <v>0.50348000000000448</v>
      </c>
      <c r="AA33" s="15"/>
      <c r="AB33" s="7">
        <f>'[9]Jul Prod'!G32</f>
        <v>0</v>
      </c>
      <c r="AC33" s="8">
        <f t="shared" si="16"/>
        <v>0</v>
      </c>
      <c r="AD33" s="10">
        <f t="shared" si="17"/>
        <v>0</v>
      </c>
      <c r="AF33" s="7">
        <f t="shared" si="18"/>
        <v>36662999.999997087</v>
      </c>
      <c r="AG33" s="8">
        <f t="shared" si="19"/>
        <v>36.662999999997091</v>
      </c>
      <c r="AH33" s="8">
        <f t="shared" si="20"/>
        <v>112.55540999999104</v>
      </c>
      <c r="AJ33" s="8">
        <f t="shared" si="21"/>
        <v>2.3314683517128287E-15</v>
      </c>
    </row>
    <row r="34" spans="1:36" x14ac:dyDescent="0.25">
      <c r="A34" s="27">
        <v>38563</v>
      </c>
      <c r="B34" s="7">
        <f>'[9]Jul Prod'!I33</f>
        <v>29300000.000002909</v>
      </c>
      <c r="C34" s="8">
        <f t="shared" si="0"/>
        <v>29.30000000000291</v>
      </c>
      <c r="D34" s="10">
        <f t="shared" si="1"/>
        <v>89.951000000008932</v>
      </c>
      <c r="E34" s="7">
        <f>'[9]Jul Prod'!E33</f>
        <v>15000000</v>
      </c>
      <c r="F34" s="8">
        <f t="shared" si="2"/>
        <v>15</v>
      </c>
      <c r="G34" s="10">
        <f t="shared" si="3"/>
        <v>46.05</v>
      </c>
      <c r="H34" s="7">
        <f>'[9]Jul Prod'!F33</f>
        <v>15230000</v>
      </c>
      <c r="I34" s="8">
        <f t="shared" si="4"/>
        <v>15.23</v>
      </c>
      <c r="J34" s="10">
        <f t="shared" si="5"/>
        <v>46.756099999999996</v>
      </c>
      <c r="K34" s="7">
        <f>'[9]Jul Prod'!H288</f>
        <v>3329215</v>
      </c>
      <c r="L34" s="8">
        <f t="shared" si="6"/>
        <v>3.329215</v>
      </c>
      <c r="M34" s="10">
        <f t="shared" si="7"/>
        <v>10.22069005</v>
      </c>
      <c r="N34" s="21"/>
      <c r="O34" s="7">
        <f>'[9]Jul Prod'!H33</f>
        <v>5353000.0000000084</v>
      </c>
      <c r="P34" s="8">
        <f t="shared" si="8"/>
        <v>5.3530000000000086</v>
      </c>
      <c r="Q34" s="10">
        <f t="shared" si="9"/>
        <v>16.433710000000026</v>
      </c>
      <c r="R34" s="7">
        <f>'[9]Jul Prod'!C33</f>
        <v>5509000</v>
      </c>
      <c r="S34" s="8">
        <f t="shared" si="10"/>
        <v>5.5090000000000003</v>
      </c>
      <c r="T34" s="10">
        <f t="shared" si="11"/>
        <v>16.91263</v>
      </c>
      <c r="U34" s="7">
        <f>'[9]Jul Prod'!D33</f>
        <v>0</v>
      </c>
      <c r="V34" s="8">
        <f t="shared" si="12"/>
        <v>0</v>
      </c>
      <c r="W34" s="10">
        <f t="shared" si="13"/>
        <v>0</v>
      </c>
      <c r="X34" s="7">
        <f>'[9]Jul Prod'!D288</f>
        <v>155999.99999999171</v>
      </c>
      <c r="Y34" s="8">
        <f t="shared" si="14"/>
        <v>0.1559999999999917</v>
      </c>
      <c r="Z34" s="10">
        <f t="shared" si="15"/>
        <v>0.47891999999997448</v>
      </c>
      <c r="AA34" s="15"/>
      <c r="AB34" s="7">
        <f>'[9]Jul Prod'!G33</f>
        <v>0</v>
      </c>
      <c r="AC34" s="8">
        <f t="shared" si="16"/>
        <v>0</v>
      </c>
      <c r="AD34" s="10">
        <f t="shared" si="17"/>
        <v>0</v>
      </c>
      <c r="AF34" s="7">
        <f t="shared" si="18"/>
        <v>34653000.000002921</v>
      </c>
      <c r="AG34" s="8">
        <f t="shared" si="19"/>
        <v>34.653000000002919</v>
      </c>
      <c r="AH34" s="8">
        <f t="shared" si="20"/>
        <v>106.38471000000897</v>
      </c>
      <c r="AJ34" s="8">
        <f t="shared" si="21"/>
        <v>-6.6613381477509392E-16</v>
      </c>
    </row>
    <row r="35" spans="1:36" ht="13.8" thickBot="1" x14ac:dyDescent="0.3">
      <c r="A35" s="27">
        <v>38564</v>
      </c>
      <c r="B35" s="7">
        <f>'[9]Jul Prod'!I34</f>
        <v>28899999.999997817</v>
      </c>
      <c r="C35" s="9">
        <f t="shared" si="0"/>
        <v>28.899999999997817</v>
      </c>
      <c r="D35" s="11">
        <f t="shared" si="1"/>
        <v>88.722999999993291</v>
      </c>
      <c r="E35" s="7">
        <f>'[9]Jul Prod'!E34</f>
        <v>14000000</v>
      </c>
      <c r="F35" s="9">
        <f t="shared" si="2"/>
        <v>14</v>
      </c>
      <c r="G35" s="11">
        <f t="shared" si="3"/>
        <v>42.98</v>
      </c>
      <c r="H35" s="7">
        <f>'[9]Jul Prod'!F34</f>
        <v>15530000</v>
      </c>
      <c r="I35" s="8">
        <f t="shared" si="4"/>
        <v>15.53</v>
      </c>
      <c r="J35" s="11">
        <f t="shared" si="5"/>
        <v>47.677099999999996</v>
      </c>
      <c r="K35" s="7">
        <f>'[9]Jul Prod'!H289</f>
        <v>3372776</v>
      </c>
      <c r="L35" s="9">
        <f t="shared" si="6"/>
        <v>3.372776</v>
      </c>
      <c r="M35" s="11">
        <f t="shared" si="7"/>
        <v>10.354422319999999</v>
      </c>
      <c r="N35" s="21"/>
      <c r="O35" s="7">
        <f>'[9]Jul Prod'!H34</f>
        <v>6956999.9999999907</v>
      </c>
      <c r="P35" s="9">
        <f t="shared" si="8"/>
        <v>6.956999999999991</v>
      </c>
      <c r="Q35" s="11">
        <f t="shared" si="9"/>
        <v>21.357989999999972</v>
      </c>
      <c r="R35" s="7">
        <f>'[9]Jul Prod'!C34</f>
        <v>7072000</v>
      </c>
      <c r="S35" s="9">
        <f t="shared" si="10"/>
        <v>7.0720000000000001</v>
      </c>
      <c r="T35" s="11">
        <f t="shared" si="11"/>
        <v>21.711040000000001</v>
      </c>
      <c r="U35" s="7">
        <f>'[9]Jul Prod'!D34</f>
        <v>0</v>
      </c>
      <c r="V35" s="9">
        <f t="shared" si="12"/>
        <v>0</v>
      </c>
      <c r="W35" s="11">
        <f t="shared" si="13"/>
        <v>0</v>
      </c>
      <c r="X35" s="7">
        <f>'[9]Jul Prod'!D289</f>
        <v>115000.00000000909</v>
      </c>
      <c r="Y35" s="9">
        <f t="shared" si="14"/>
        <v>0.11500000000000909</v>
      </c>
      <c r="Z35" s="11">
        <f t="shared" si="15"/>
        <v>0.3530500000000279</v>
      </c>
      <c r="AA35" s="15"/>
      <c r="AB35" s="7">
        <f>'[9]Jul Prod'!G34</f>
        <v>0</v>
      </c>
      <c r="AC35" s="9">
        <f t="shared" si="16"/>
        <v>0</v>
      </c>
      <c r="AD35" s="11">
        <f t="shared" si="17"/>
        <v>0</v>
      </c>
      <c r="AF35" s="7">
        <f t="shared" si="18"/>
        <v>35856999.99999781</v>
      </c>
      <c r="AG35" s="8">
        <f t="shared" si="19"/>
        <v>35.856999999997811</v>
      </c>
      <c r="AH35" s="8">
        <f t="shared" si="20"/>
        <v>110.08098999999326</v>
      </c>
      <c r="AJ35" s="8">
        <f t="shared" si="21"/>
        <v>0</v>
      </c>
    </row>
    <row r="36" spans="1:36" ht="13.8" thickBot="1" x14ac:dyDescent="0.3">
      <c r="A36" s="14"/>
      <c r="B36" s="38"/>
      <c r="C36" s="39">
        <f>SUM(C5:C35)</f>
        <v>717</v>
      </c>
      <c r="D36" s="39">
        <f t="shared" si="1"/>
        <v>2201.19</v>
      </c>
      <c r="E36" s="38"/>
      <c r="F36" s="39">
        <f>SUM(F5:F35)</f>
        <v>437</v>
      </c>
      <c r="G36" s="39">
        <f t="shared" si="3"/>
        <v>1341.59</v>
      </c>
      <c r="H36" s="38"/>
      <c r="I36" s="39">
        <f>SUM(I5:I35)</f>
        <v>321.83999999999997</v>
      </c>
      <c r="J36" s="39">
        <f t="shared" si="5"/>
        <v>988.04879999999991</v>
      </c>
      <c r="K36" s="38"/>
      <c r="L36" s="39">
        <f>SUM(L5:L35)</f>
        <v>83.302119000000033</v>
      </c>
      <c r="M36" s="39">
        <f t="shared" si="7"/>
        <v>255.73750533000009</v>
      </c>
      <c r="N36" s="14"/>
      <c r="O36" s="38"/>
      <c r="P36" s="39">
        <f>SUM(P5:P35)</f>
        <v>215.06899999999999</v>
      </c>
      <c r="Q36" s="39">
        <f t="shared" si="9"/>
        <v>660.26182999999992</v>
      </c>
      <c r="R36" s="38"/>
      <c r="S36" s="39">
        <f>SUM(S5:S35)</f>
        <v>220.46500000000003</v>
      </c>
      <c r="T36" s="39">
        <f t="shared" si="11"/>
        <v>676.82755000000009</v>
      </c>
      <c r="U36" s="38"/>
      <c r="V36" s="39">
        <f>SUM(V5:V35)</f>
        <v>25.722000000000001</v>
      </c>
      <c r="W36" s="39">
        <f t="shared" si="13"/>
        <v>78.966539999999995</v>
      </c>
      <c r="X36" s="38"/>
      <c r="Y36" s="39">
        <f>SUM(Y5:Y35)</f>
        <v>5.3960000000000079</v>
      </c>
      <c r="Z36" s="39">
        <f t="shared" si="15"/>
        <v>16.565720000000024</v>
      </c>
      <c r="AA36" s="14"/>
      <c r="AB36" s="38"/>
      <c r="AC36" s="39">
        <f>SUM(AC5:AC35)</f>
        <v>8.1000000000000014</v>
      </c>
      <c r="AD36" s="39">
        <f t="shared" si="17"/>
        <v>24.867000000000004</v>
      </c>
      <c r="AF36" s="38"/>
      <c r="AG36" s="39">
        <f>SUM(AG5:AG35)</f>
        <v>932.06899999999985</v>
      </c>
      <c r="AH36" s="39">
        <f>AG36*3.07</f>
        <v>2861.4518299999995</v>
      </c>
      <c r="AJ36" s="39">
        <f>SUM(AJ5:AJ35)</f>
        <v>-1.3516965324811281E-14</v>
      </c>
    </row>
    <row r="37" spans="1:36" x14ac:dyDescent="0.25">
      <c r="C37" s="18"/>
      <c r="E37" s="3"/>
      <c r="F37" s="3"/>
      <c r="G37" s="3"/>
      <c r="H37" s="3"/>
      <c r="I37" s="3"/>
      <c r="J37" s="3"/>
      <c r="K37" s="14"/>
      <c r="L37" s="3"/>
      <c r="M37" s="3"/>
      <c r="N37" s="3"/>
      <c r="O37" s="3"/>
      <c r="P37" s="3"/>
      <c r="Q37" s="3"/>
      <c r="R37" s="3"/>
      <c r="S37" s="3"/>
      <c r="T37" s="3"/>
      <c r="U37" s="14"/>
    </row>
  </sheetData>
  <mergeCells count="10">
    <mergeCell ref="U3:W3"/>
    <mergeCell ref="X3:Z3"/>
    <mergeCell ref="AB3:AD3"/>
    <mergeCell ref="AF3:AH3"/>
    <mergeCell ref="B3:D3"/>
    <mergeCell ref="E3:G3"/>
    <mergeCell ref="H3:J3"/>
    <mergeCell ref="K3:M3"/>
    <mergeCell ref="O3:Q3"/>
    <mergeCell ref="R3:T3"/>
  </mergeCells>
  <pageMargins left="0.75" right="0.75" top="1" bottom="1" header="0.5" footer="0.5"/>
  <pageSetup paperSize="5" scale="50" orientation="landscape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AF38"/>
  <sheetViews>
    <sheetView workbookViewId="0">
      <pane xSplit="1" ySplit="4" topLeftCell="B11" activePane="bottomRight" state="frozen"/>
      <selection pane="topRight" activeCell="B1" sqref="B1"/>
      <selection pane="bottomLeft" activeCell="A5" sqref="A5"/>
      <selection pane="bottomRight" activeCell="K35" sqref="K35"/>
    </sheetView>
  </sheetViews>
  <sheetFormatPr defaultRowHeight="13.2" x14ac:dyDescent="0.25"/>
  <cols>
    <col min="2" max="2" width="14.44140625" bestFit="1" customWidth="1"/>
    <col min="5" max="5" width="12.88671875" customWidth="1"/>
    <col min="8" max="8" width="11" customWidth="1"/>
    <col min="11" max="11" width="11" customWidth="1"/>
    <col min="12" max="12" width="10.88671875" customWidth="1"/>
    <col min="15" max="15" width="11.33203125" customWidth="1"/>
    <col min="18" max="18" width="10.5546875" customWidth="1"/>
    <col min="22" max="22" width="10.5546875" customWidth="1"/>
    <col min="28" max="28" width="10.6640625" customWidth="1"/>
  </cols>
  <sheetData>
    <row r="1" spans="1:32" x14ac:dyDescent="0.25">
      <c r="A1" s="44" t="s">
        <v>14</v>
      </c>
      <c r="B1" s="40"/>
      <c r="C1" s="25"/>
      <c r="D1" s="25"/>
      <c r="E1" s="25"/>
      <c r="F1" s="25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14"/>
      <c r="V1" s="3"/>
      <c r="W1" s="3"/>
      <c r="X1" s="3"/>
    </row>
    <row r="2" spans="1:32" ht="13.8" thickBot="1" x14ac:dyDescent="0.3">
      <c r="A2" s="3"/>
      <c r="B2" s="3"/>
      <c r="C2" s="24"/>
      <c r="D2" s="3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  <c r="V2" s="3"/>
      <c r="W2" s="3"/>
      <c r="X2" s="3"/>
    </row>
    <row r="3" spans="1:32" ht="60.75" customHeight="1" thickBot="1" x14ac:dyDescent="0.3">
      <c r="A3" s="3"/>
      <c r="B3" s="61" t="s">
        <v>10</v>
      </c>
      <c r="C3" s="62"/>
      <c r="D3" s="63"/>
      <c r="E3" s="61" t="s">
        <v>11</v>
      </c>
      <c r="F3" s="62"/>
      <c r="G3" s="63"/>
      <c r="H3" s="61" t="s">
        <v>12</v>
      </c>
      <c r="I3" s="62"/>
      <c r="J3" s="63"/>
      <c r="K3" s="61" t="s">
        <v>13</v>
      </c>
      <c r="L3" s="62"/>
      <c r="M3" s="63"/>
      <c r="N3" s="19"/>
      <c r="O3" s="61" t="s">
        <v>4</v>
      </c>
      <c r="P3" s="62"/>
      <c r="Q3" s="63"/>
      <c r="R3" s="61" t="s">
        <v>3</v>
      </c>
      <c r="S3" s="62"/>
      <c r="T3" s="63"/>
      <c r="U3" s="61" t="s">
        <v>6</v>
      </c>
      <c r="V3" s="62"/>
      <c r="W3" s="63"/>
      <c r="X3" s="61" t="s">
        <v>7</v>
      </c>
      <c r="Y3" s="62"/>
      <c r="Z3" s="63"/>
      <c r="AA3" s="19"/>
      <c r="AB3" s="58" t="s">
        <v>8</v>
      </c>
      <c r="AC3" s="59"/>
      <c r="AD3" s="60"/>
      <c r="AF3" s="34" t="s">
        <v>9</v>
      </c>
    </row>
    <row r="4" spans="1:32" x14ac:dyDescent="0.25">
      <c r="A4" s="26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31" t="s">
        <v>0</v>
      </c>
      <c r="AC4" s="32" t="s">
        <v>1</v>
      </c>
      <c r="AD4" s="33" t="s">
        <v>2</v>
      </c>
      <c r="AF4" s="5" t="s">
        <v>2</v>
      </c>
    </row>
    <row r="5" spans="1:32" x14ac:dyDescent="0.25">
      <c r="A5" s="27">
        <v>38565</v>
      </c>
      <c r="B5" s="7">
        <f>'[10]Aug Prod'!I4</f>
        <v>30400000.000001457</v>
      </c>
      <c r="C5" s="8">
        <f>B5/1000000</f>
        <v>30.400000000001455</v>
      </c>
      <c r="D5" s="10">
        <f>C5*3.07</f>
        <v>93.328000000004465</v>
      </c>
      <c r="E5" s="7">
        <f>'[10]Aug Prod'!E4</f>
        <v>13000000</v>
      </c>
      <c r="F5" s="8">
        <f>E5/1000000</f>
        <v>13</v>
      </c>
      <c r="G5" s="10">
        <f>F5*3.07</f>
        <v>39.909999999999997</v>
      </c>
      <c r="H5" s="7">
        <f>'[10]Aug Prod'!F4</f>
        <v>17820000</v>
      </c>
      <c r="I5" s="8">
        <f>H5/1000000</f>
        <v>17.82</v>
      </c>
      <c r="J5" s="10">
        <f>I5*3.07</f>
        <v>54.7074</v>
      </c>
      <c r="K5" s="7">
        <f>'[10]Aug Prod'!H259</f>
        <v>3619783</v>
      </c>
      <c r="L5" s="8">
        <f>K5/1000000</f>
        <v>3.619783</v>
      </c>
      <c r="M5" s="10">
        <f>L5*3.07</f>
        <v>11.11273381</v>
      </c>
      <c r="N5" s="21"/>
      <c r="O5" s="7">
        <f>'[10]Aug Prod'!H4</f>
        <v>6840000.0000000056</v>
      </c>
      <c r="P5" s="8">
        <f>O5/1000000</f>
        <v>6.8400000000000052</v>
      </c>
      <c r="Q5" s="10">
        <f>P5*3.07</f>
        <v>20.998800000000013</v>
      </c>
      <c r="R5" s="7">
        <f>'[10]Aug Prod'!C4</f>
        <v>7083000</v>
      </c>
      <c r="S5" s="8">
        <f>R5/1000000</f>
        <v>7.0830000000000002</v>
      </c>
      <c r="T5" s="10">
        <f>S5*3.07</f>
        <v>21.744810000000001</v>
      </c>
      <c r="U5" s="7">
        <f>'[10]Aug Prod'!D4</f>
        <v>0</v>
      </c>
      <c r="V5" s="8">
        <f>U5/1000000</f>
        <v>0</v>
      </c>
      <c r="W5" s="10">
        <f>V5*3.07</f>
        <v>0</v>
      </c>
      <c r="X5" s="7">
        <f>'[10]Aug Prod'!D259</f>
        <v>242999.99999999499</v>
      </c>
      <c r="Y5" s="8">
        <f>X5/1000000</f>
        <v>0.242999999999995</v>
      </c>
      <c r="Z5" s="10">
        <f>Y5*3.07</f>
        <v>0.74600999999998463</v>
      </c>
      <c r="AA5" s="15"/>
      <c r="AB5" s="7">
        <f>B5+O5</f>
        <v>37240000.00000146</v>
      </c>
      <c r="AC5" s="8">
        <f>C5+P5</f>
        <v>37.240000000001459</v>
      </c>
      <c r="AD5" s="8">
        <f>D5+Q5</f>
        <v>114.32680000000448</v>
      </c>
      <c r="AF5" s="8">
        <f t="shared" ref="AF5:AF14" si="0">T5-Q5-Z5</f>
        <v>2.9976021664879227E-15</v>
      </c>
    </row>
    <row r="6" spans="1:32" x14ac:dyDescent="0.25">
      <c r="A6" s="27">
        <v>38566</v>
      </c>
      <c r="B6" s="7">
        <f>'[10]Aug Prod'!I5</f>
        <v>31500000</v>
      </c>
      <c r="C6" s="8">
        <f t="shared" ref="C6:C35" si="1">B6/1000000</f>
        <v>31.5</v>
      </c>
      <c r="D6" s="10">
        <f t="shared" ref="D6:D35" si="2">C6*3.07</f>
        <v>96.704999999999998</v>
      </c>
      <c r="E6" s="7">
        <f>'[10]Aug Prod'!E5</f>
        <v>11000000</v>
      </c>
      <c r="F6" s="8">
        <f t="shared" ref="F6:F35" si="3">E6/1000000</f>
        <v>11</v>
      </c>
      <c r="G6" s="10">
        <f t="shared" ref="G6:G35" si="4">F6*3.07</f>
        <v>33.769999999999996</v>
      </c>
      <c r="H6" s="7">
        <f>'[10]Aug Prod'!F5</f>
        <v>20480000</v>
      </c>
      <c r="I6" s="8">
        <f t="shared" ref="I6:I35" si="5">H6/1000000</f>
        <v>20.48</v>
      </c>
      <c r="J6" s="10">
        <f t="shared" ref="J6:J35" si="6">I6*3.07</f>
        <v>62.873599999999996</v>
      </c>
      <c r="K6" s="7">
        <f>'[10]Aug Prod'!H260</f>
        <v>3611987</v>
      </c>
      <c r="L6" s="8">
        <f t="shared" ref="L6:L32" si="7">K6/1000000</f>
        <v>3.6119870000000001</v>
      </c>
      <c r="M6" s="10">
        <f t="shared" ref="M6:M32" si="8">L6*3.07</f>
        <v>11.088800089999999</v>
      </c>
      <c r="N6" s="21"/>
      <c r="O6" s="7">
        <f>'[10]Aug Prod'!H5</f>
        <v>6597000.0000000028</v>
      </c>
      <c r="P6" s="8">
        <f t="shared" ref="P6:P35" si="9">O6/1000000</f>
        <v>6.5970000000000031</v>
      </c>
      <c r="Q6" s="10">
        <f t="shared" ref="Q6:Q35" si="10">P6*3.07</f>
        <v>20.252790000000008</v>
      </c>
      <c r="R6" s="7">
        <f>'[10]Aug Prod'!C5</f>
        <v>6766000</v>
      </c>
      <c r="S6" s="8">
        <f t="shared" ref="S6:S35" si="11">R6/1000000</f>
        <v>6.766</v>
      </c>
      <c r="T6" s="10">
        <f t="shared" ref="T6:T35" si="12">S6*3.07</f>
        <v>20.771619999999999</v>
      </c>
      <c r="U6" s="7">
        <f>'[10]Aug Prod'!D5</f>
        <v>0</v>
      </c>
      <c r="V6" s="8">
        <f t="shared" ref="V6:V35" si="13">U6/1000000</f>
        <v>0</v>
      </c>
      <c r="W6" s="10">
        <f t="shared" ref="W6:W35" si="14">V6*3.07</f>
        <v>0</v>
      </c>
      <c r="X6" s="7">
        <f>'[10]Aug Prod'!D260</f>
        <v>168999.99999999694</v>
      </c>
      <c r="Y6" s="8">
        <f t="shared" ref="Y6:Y35" si="15">X6/1000000</f>
        <v>0.16899999999999693</v>
      </c>
      <c r="Z6" s="10">
        <f t="shared" ref="Z6:Z35" si="16">Y6*3.07</f>
        <v>0.51882999999999058</v>
      </c>
      <c r="AA6" s="15"/>
      <c r="AB6" s="7">
        <f t="shared" ref="AB6:AD35" si="17">B6+O6</f>
        <v>38097000</v>
      </c>
      <c r="AC6" s="8">
        <f t="shared" si="17"/>
        <v>38.097000000000001</v>
      </c>
      <c r="AD6" s="8">
        <f t="shared" si="17"/>
        <v>116.95779</v>
      </c>
      <c r="AF6" s="8">
        <f t="shared" si="0"/>
        <v>0</v>
      </c>
    </row>
    <row r="7" spans="1:32" x14ac:dyDescent="0.25">
      <c r="A7" s="27">
        <v>38567</v>
      </c>
      <c r="B7" s="7">
        <f>'[10]Aug Prod'!I6</f>
        <v>32299999.999999274</v>
      </c>
      <c r="C7" s="8">
        <f t="shared" si="1"/>
        <v>32.299999999999272</v>
      </c>
      <c r="D7" s="10">
        <f t="shared" si="2"/>
        <v>99.160999999997756</v>
      </c>
      <c r="E7" s="7">
        <f>'[10]Aug Prod'!E6</f>
        <v>10000000</v>
      </c>
      <c r="F7" s="8">
        <f t="shared" si="3"/>
        <v>10</v>
      </c>
      <c r="G7" s="10">
        <f t="shared" si="4"/>
        <v>30.7</v>
      </c>
      <c r="H7" s="7">
        <f>'[10]Aug Prod'!F6</f>
        <v>22610000</v>
      </c>
      <c r="I7" s="8">
        <f t="shared" si="5"/>
        <v>22.61</v>
      </c>
      <c r="J7" s="10">
        <f t="shared" si="6"/>
        <v>69.412700000000001</v>
      </c>
      <c r="K7" s="7">
        <f>'[10]Aug Prod'!H261</f>
        <v>3688888</v>
      </c>
      <c r="L7" s="8">
        <f t="shared" si="7"/>
        <v>3.6888879999999999</v>
      </c>
      <c r="M7" s="10">
        <f t="shared" si="8"/>
        <v>11.324886159999998</v>
      </c>
      <c r="N7" s="21"/>
      <c r="O7" s="7">
        <f>'[10]Aug Prod'!H6</f>
        <v>4745999.9999999991</v>
      </c>
      <c r="P7" s="8">
        <f t="shared" si="9"/>
        <v>4.7459999999999987</v>
      </c>
      <c r="Q7" s="10">
        <f t="shared" si="10"/>
        <v>14.570219999999996</v>
      </c>
      <c r="R7" s="7">
        <f>'[10]Aug Prod'!C6</f>
        <v>5026000</v>
      </c>
      <c r="S7" s="8">
        <f t="shared" si="11"/>
        <v>5.0259999999999998</v>
      </c>
      <c r="T7" s="10">
        <f t="shared" si="12"/>
        <v>15.429819999999999</v>
      </c>
      <c r="U7" s="7">
        <f>'[10]Aug Prod'!D6</f>
        <v>0</v>
      </c>
      <c r="V7" s="8">
        <f t="shared" si="13"/>
        <v>0</v>
      </c>
      <c r="W7" s="10">
        <f t="shared" si="14"/>
        <v>0</v>
      </c>
      <c r="X7" s="7">
        <f>'[10]Aug Prod'!D261</f>
        <v>280000.00000000116</v>
      </c>
      <c r="Y7" s="8">
        <f t="shared" si="15"/>
        <v>0.28000000000000114</v>
      </c>
      <c r="Z7" s="10">
        <f t="shared" si="16"/>
        <v>0.85960000000000347</v>
      </c>
      <c r="AA7" s="15"/>
      <c r="AB7" s="7">
        <f t="shared" si="17"/>
        <v>37045999.99999927</v>
      </c>
      <c r="AC7" s="8">
        <f t="shared" si="17"/>
        <v>37.045999999999268</v>
      </c>
      <c r="AD7" s="8">
        <f t="shared" si="17"/>
        <v>113.73121999999775</v>
      </c>
      <c r="AF7" s="8">
        <f t="shared" si="0"/>
        <v>0</v>
      </c>
    </row>
    <row r="8" spans="1:32" x14ac:dyDescent="0.25">
      <c r="A8" s="27">
        <v>38568</v>
      </c>
      <c r="B8" s="7">
        <f>'[10]Aug Prod'!I7</f>
        <v>29099999.999998543</v>
      </c>
      <c r="C8" s="8">
        <f t="shared" si="1"/>
        <v>29.099999999998545</v>
      </c>
      <c r="D8" s="10">
        <f t="shared" si="2"/>
        <v>89.336999999995527</v>
      </c>
      <c r="E8" s="7">
        <f>'[10]Aug Prod'!E7</f>
        <v>11000000</v>
      </c>
      <c r="F8" s="8">
        <f t="shared" si="3"/>
        <v>11</v>
      </c>
      <c r="G8" s="10">
        <f t="shared" si="4"/>
        <v>33.769999999999996</v>
      </c>
      <c r="H8" s="7">
        <f>'[10]Aug Prod'!F7</f>
        <v>18330000</v>
      </c>
      <c r="I8" s="8">
        <f t="shared" si="5"/>
        <v>18.329999999999998</v>
      </c>
      <c r="J8" s="10">
        <f t="shared" si="6"/>
        <v>56.273099999999992</v>
      </c>
      <c r="K8" s="7">
        <f>'[10]Aug Prod'!H262</f>
        <v>3411217</v>
      </c>
      <c r="L8" s="8">
        <f t="shared" si="7"/>
        <v>3.4112170000000002</v>
      </c>
      <c r="M8" s="10">
        <f t="shared" si="8"/>
        <v>10.47243619</v>
      </c>
      <c r="N8" s="21"/>
      <c r="O8" s="7">
        <f>'[10]Aug Prod'!H7</f>
        <v>5461999.9999999935</v>
      </c>
      <c r="P8" s="8">
        <f t="shared" si="9"/>
        <v>5.4619999999999935</v>
      </c>
      <c r="Q8" s="10">
        <f t="shared" si="10"/>
        <v>16.768339999999981</v>
      </c>
      <c r="R8" s="7">
        <f>'[10]Aug Prod'!C7</f>
        <v>5496000</v>
      </c>
      <c r="S8" s="8">
        <f t="shared" si="11"/>
        <v>5.4960000000000004</v>
      </c>
      <c r="T8" s="10">
        <f t="shared" si="12"/>
        <v>16.872720000000001</v>
      </c>
      <c r="U8" s="7">
        <f>'[10]Aug Prod'!D7</f>
        <v>0</v>
      </c>
      <c r="V8" s="8">
        <f t="shared" si="13"/>
        <v>0</v>
      </c>
      <c r="W8" s="10">
        <f t="shared" si="14"/>
        <v>0</v>
      </c>
      <c r="X8" s="7">
        <f>'[10]Aug Prod'!D262</f>
        <v>34000.000000006024</v>
      </c>
      <c r="Y8" s="8">
        <f t="shared" si="15"/>
        <v>3.4000000000006025E-2</v>
      </c>
      <c r="Z8" s="10">
        <f t="shared" si="16"/>
        <v>0.10438000000001849</v>
      </c>
      <c r="AA8" s="15"/>
      <c r="AB8" s="7">
        <f t="shared" si="17"/>
        <v>34561999.99999854</v>
      </c>
      <c r="AC8" s="8">
        <f t="shared" si="17"/>
        <v>34.561999999998541</v>
      </c>
      <c r="AD8" s="8">
        <f>D8+Q8</f>
        <v>106.10533999999551</v>
      </c>
      <c r="AF8" s="8">
        <f t="shared" si="0"/>
        <v>1.8596235662471372E-15</v>
      </c>
    </row>
    <row r="9" spans="1:32" x14ac:dyDescent="0.25">
      <c r="A9" s="27">
        <v>38569</v>
      </c>
      <c r="B9" s="7">
        <f>'[10]Aug Prod'!I8</f>
        <v>31800000.000002909</v>
      </c>
      <c r="C9" s="8">
        <f t="shared" si="1"/>
        <v>31.80000000000291</v>
      </c>
      <c r="D9" s="10">
        <f t="shared" si="2"/>
        <v>97.626000000008929</v>
      </c>
      <c r="E9" s="7">
        <f>'[10]Aug Prod'!E8</f>
        <v>13000000</v>
      </c>
      <c r="F9" s="8">
        <f t="shared" si="3"/>
        <v>13</v>
      </c>
      <c r="G9" s="10">
        <f t="shared" si="4"/>
        <v>39.909999999999997</v>
      </c>
      <c r="H9" s="7">
        <f>'[10]Aug Prod'!F8</f>
        <v>18970000</v>
      </c>
      <c r="I9" s="8">
        <f t="shared" si="5"/>
        <v>18.97</v>
      </c>
      <c r="J9" s="10">
        <f t="shared" si="6"/>
        <v>58.237899999999996</v>
      </c>
      <c r="K9" s="7">
        <f>'[10]Aug Prod'!H263</f>
        <v>3695676</v>
      </c>
      <c r="L9" s="8">
        <f t="shared" si="7"/>
        <v>3.6956760000000002</v>
      </c>
      <c r="M9" s="10">
        <f t="shared" si="8"/>
        <v>11.34572532</v>
      </c>
      <c r="N9" s="21"/>
      <c r="O9" s="7">
        <f>'[10]Aug Prod'!H8</f>
        <v>4898000.0000000093</v>
      </c>
      <c r="P9" s="8">
        <f t="shared" si="9"/>
        <v>4.8980000000000095</v>
      </c>
      <c r="Q9" s="10">
        <f t="shared" si="10"/>
        <v>15.036860000000027</v>
      </c>
      <c r="R9" s="7">
        <f>'[10]Aug Prod'!C8</f>
        <v>5036000</v>
      </c>
      <c r="S9" s="8">
        <f t="shared" si="11"/>
        <v>5.0359999999999996</v>
      </c>
      <c r="T9" s="10">
        <f t="shared" si="12"/>
        <v>15.460519999999997</v>
      </c>
      <c r="U9" s="7">
        <f>'[10]Aug Prod'!D8</f>
        <v>0</v>
      </c>
      <c r="V9" s="8">
        <f t="shared" si="13"/>
        <v>0</v>
      </c>
      <c r="W9" s="10">
        <f t="shared" si="14"/>
        <v>0</v>
      </c>
      <c r="X9" s="7">
        <f>'[10]Aug Prod'!D263</f>
        <v>137999.99999999101</v>
      </c>
      <c r="Y9" s="8">
        <f t="shared" si="15"/>
        <v>0.13799999999999102</v>
      </c>
      <c r="Z9" s="10">
        <f t="shared" si="16"/>
        <v>0.42365999999997239</v>
      </c>
      <c r="AA9" s="15"/>
      <c r="AB9" s="7">
        <f t="shared" si="17"/>
        <v>36698000.000002921</v>
      </c>
      <c r="AC9" s="8">
        <f t="shared" si="17"/>
        <v>36.698000000002921</v>
      </c>
      <c r="AD9" s="8">
        <f t="shared" si="17"/>
        <v>112.66286000000896</v>
      </c>
      <c r="AF9" s="8">
        <f t="shared" si="0"/>
        <v>-2.6645352591003757E-15</v>
      </c>
    </row>
    <row r="10" spans="1:32" x14ac:dyDescent="0.25">
      <c r="A10" s="27">
        <v>38570</v>
      </c>
      <c r="B10" s="7">
        <f>'[10]Aug Prod'!I9</f>
        <v>32899999.999997817</v>
      </c>
      <c r="C10" s="8">
        <f t="shared" si="1"/>
        <v>32.899999999997817</v>
      </c>
      <c r="D10" s="10">
        <f t="shared" si="2"/>
        <v>101.00299999999329</v>
      </c>
      <c r="E10" s="7">
        <f>'[10]Aug Prod'!E9</f>
        <v>15000000</v>
      </c>
      <c r="F10" s="8">
        <f t="shared" si="3"/>
        <v>15</v>
      </c>
      <c r="G10" s="10">
        <f t="shared" si="4"/>
        <v>46.05</v>
      </c>
      <c r="H10" s="7">
        <f>'[10]Aug Prod'!F9</f>
        <v>18680000</v>
      </c>
      <c r="I10" s="8">
        <f t="shared" si="5"/>
        <v>18.68</v>
      </c>
      <c r="J10" s="10">
        <f t="shared" si="6"/>
        <v>57.347599999999993</v>
      </c>
      <c r="K10" s="7">
        <f>'[10]Aug Prod'!H264</f>
        <v>3717539</v>
      </c>
      <c r="L10" s="8">
        <f t="shared" si="7"/>
        <v>3.7175389999999999</v>
      </c>
      <c r="M10" s="10">
        <f t="shared" si="8"/>
        <v>11.41284473</v>
      </c>
      <c r="N10" s="21"/>
      <c r="O10" s="7">
        <f>'[10]Aug Prod'!H9</f>
        <v>4954999.9999999879</v>
      </c>
      <c r="P10" s="8">
        <f t="shared" si="9"/>
        <v>4.9549999999999876</v>
      </c>
      <c r="Q10" s="10">
        <f t="shared" si="10"/>
        <v>15.211849999999961</v>
      </c>
      <c r="R10" s="7">
        <f>'[10]Aug Prod'!C9</f>
        <v>5023000</v>
      </c>
      <c r="S10" s="8">
        <f t="shared" si="11"/>
        <v>5.0229999999999997</v>
      </c>
      <c r="T10" s="10">
        <f t="shared" si="12"/>
        <v>15.420609999999998</v>
      </c>
      <c r="U10" s="7">
        <f>'[10]Aug Prod'!D9</f>
        <v>0</v>
      </c>
      <c r="V10" s="8">
        <f t="shared" si="13"/>
        <v>0</v>
      </c>
      <c r="W10" s="10">
        <f t="shared" si="14"/>
        <v>0</v>
      </c>
      <c r="X10" s="7">
        <f>'[10]Aug Prod'!D264</f>
        <v>68000.000000012049</v>
      </c>
      <c r="Y10" s="8">
        <f t="shared" si="15"/>
        <v>6.8000000000012051E-2</v>
      </c>
      <c r="Z10" s="10">
        <f t="shared" si="16"/>
        <v>0.20876000000003697</v>
      </c>
      <c r="AA10" s="15"/>
      <c r="AB10" s="7">
        <f t="shared" si="17"/>
        <v>37854999.999997802</v>
      </c>
      <c r="AC10" s="8">
        <f t="shared" si="17"/>
        <v>37.854999999997801</v>
      </c>
      <c r="AD10" s="8">
        <f t="shared" si="17"/>
        <v>116.21484999999325</v>
      </c>
      <c r="AF10" s="8">
        <f t="shared" si="0"/>
        <v>0</v>
      </c>
    </row>
    <row r="11" spans="1:32" x14ac:dyDescent="0.25">
      <c r="A11" s="27">
        <v>38571</v>
      </c>
      <c r="B11" s="7">
        <f>'[10]Aug Prod'!I10</f>
        <v>31200000.000000726</v>
      </c>
      <c r="C11" s="8">
        <f t="shared" si="1"/>
        <v>31.200000000000728</v>
      </c>
      <c r="D11" s="10">
        <f t="shared" si="2"/>
        <v>95.784000000002223</v>
      </c>
      <c r="E11" s="7">
        <f>'[10]Aug Prod'!E10</f>
        <v>14000000</v>
      </c>
      <c r="F11" s="8">
        <f t="shared" si="3"/>
        <v>14</v>
      </c>
      <c r="G11" s="10">
        <f t="shared" si="4"/>
        <v>42.98</v>
      </c>
      <c r="H11" s="7">
        <f>'[10]Aug Prod'!F10</f>
        <v>18310000</v>
      </c>
      <c r="I11" s="8">
        <f t="shared" si="5"/>
        <v>18.309999999999999</v>
      </c>
      <c r="J11" s="10">
        <f t="shared" si="6"/>
        <v>56.211699999999993</v>
      </c>
      <c r="K11" s="7">
        <f>'[10]Aug Prod'!H265</f>
        <v>3437300</v>
      </c>
      <c r="L11" s="8">
        <f t="shared" si="7"/>
        <v>3.4373</v>
      </c>
      <c r="M11" s="10">
        <f t="shared" si="8"/>
        <v>10.552510999999999</v>
      </c>
      <c r="N11" s="21"/>
      <c r="O11" s="7">
        <f>'[10]Aug Prod'!H10</f>
        <v>5547000.0000000056</v>
      </c>
      <c r="P11" s="8">
        <f t="shared" si="9"/>
        <v>5.5470000000000059</v>
      </c>
      <c r="Q11" s="10">
        <f t="shared" si="10"/>
        <v>17.029290000000017</v>
      </c>
      <c r="R11" s="7">
        <f>'[10]Aug Prod'!C10</f>
        <v>5653000</v>
      </c>
      <c r="S11" s="8">
        <f t="shared" si="11"/>
        <v>5.6529999999999996</v>
      </c>
      <c r="T11" s="10">
        <f t="shared" si="12"/>
        <v>17.354709999999997</v>
      </c>
      <c r="U11" s="7">
        <f>'[10]Aug Prod'!D10</f>
        <v>0</v>
      </c>
      <c r="V11" s="8">
        <f t="shared" si="13"/>
        <v>0</v>
      </c>
      <c r="W11" s="10">
        <f t="shared" si="14"/>
        <v>0</v>
      </c>
      <c r="X11" s="7">
        <f>'[10]Aug Prod'!D265</f>
        <v>105999.99999999454</v>
      </c>
      <c r="Y11" s="8">
        <f t="shared" si="15"/>
        <v>0.10599999999999454</v>
      </c>
      <c r="Z11" s="10">
        <f t="shared" si="16"/>
        <v>0.32541999999998322</v>
      </c>
      <c r="AA11" s="15"/>
      <c r="AB11" s="7">
        <f t="shared" si="17"/>
        <v>36747000.00000073</v>
      </c>
      <c r="AC11" s="8">
        <f t="shared" si="17"/>
        <v>36.747000000000732</v>
      </c>
      <c r="AD11" s="8">
        <f t="shared" si="17"/>
        <v>112.81329000000224</v>
      </c>
      <c r="AF11" s="8">
        <f t="shared" si="0"/>
        <v>-3.3861802251067274E-15</v>
      </c>
    </row>
    <row r="12" spans="1:32" x14ac:dyDescent="0.25">
      <c r="A12" s="27">
        <v>38572</v>
      </c>
      <c r="B12" s="7">
        <f>'[10]Aug Prod'!I11</f>
        <v>34299999.99999927</v>
      </c>
      <c r="C12" s="8">
        <f t="shared" si="1"/>
        <v>34.299999999999272</v>
      </c>
      <c r="D12" s="10">
        <f t="shared" si="2"/>
        <v>105.30099999999776</v>
      </c>
      <c r="E12" s="7">
        <f>'[10]Aug Prod'!E11</f>
        <v>14000000</v>
      </c>
      <c r="F12" s="8">
        <f t="shared" si="3"/>
        <v>14</v>
      </c>
      <c r="G12" s="10">
        <f t="shared" si="4"/>
        <v>42.98</v>
      </c>
      <c r="H12" s="7">
        <f>'[10]Aug Prod'!F11</f>
        <v>19640000</v>
      </c>
      <c r="I12" s="8">
        <f t="shared" si="5"/>
        <v>19.64</v>
      </c>
      <c r="J12" s="10">
        <f t="shared" si="6"/>
        <v>60.294799999999995</v>
      </c>
      <c r="K12" s="7">
        <f>'[10]Aug Prod'!H266</f>
        <v>3780242</v>
      </c>
      <c r="L12" s="8">
        <f t="shared" si="7"/>
        <v>3.7802419999999999</v>
      </c>
      <c r="M12" s="10">
        <f t="shared" si="8"/>
        <v>11.60534294</v>
      </c>
      <c r="N12" s="21"/>
      <c r="O12" s="7">
        <f>'[10]Aug Prod'!H11</f>
        <v>5169000.0000000056</v>
      </c>
      <c r="P12" s="8">
        <f t="shared" si="9"/>
        <v>5.1690000000000058</v>
      </c>
      <c r="Q12" s="10">
        <f t="shared" si="10"/>
        <v>15.868830000000017</v>
      </c>
      <c r="R12" s="7">
        <f>'[10]Aug Prod'!C11</f>
        <v>5278000</v>
      </c>
      <c r="S12" s="8">
        <f t="shared" si="11"/>
        <v>5.2779999999999996</v>
      </c>
      <c r="T12" s="10">
        <f t="shared" si="12"/>
        <v>16.203459999999996</v>
      </c>
      <c r="U12" s="7">
        <f>'[10]Aug Prod'!D11</f>
        <v>0</v>
      </c>
      <c r="V12" s="8">
        <f t="shared" si="13"/>
        <v>0</v>
      </c>
      <c r="W12" s="10">
        <f t="shared" si="14"/>
        <v>0</v>
      </c>
      <c r="X12" s="7">
        <f>'[10]Aug Prod'!D266</f>
        <v>108999.99999999466</v>
      </c>
      <c r="Y12" s="8">
        <f t="shared" si="15"/>
        <v>0.10899999999999466</v>
      </c>
      <c r="Z12" s="10">
        <f t="shared" si="16"/>
        <v>0.33462999999998355</v>
      </c>
      <c r="AA12" s="15"/>
      <c r="AB12" s="7">
        <f t="shared" si="17"/>
        <v>39468999.999999277</v>
      </c>
      <c r="AC12" s="8">
        <f t="shared" si="17"/>
        <v>39.468999999999276</v>
      </c>
      <c r="AD12" s="8">
        <f t="shared" si="17"/>
        <v>121.16982999999777</v>
      </c>
      <c r="AF12" s="8">
        <f t="shared" si="0"/>
        <v>-4.2188474935755949E-15</v>
      </c>
    </row>
    <row r="13" spans="1:32" x14ac:dyDescent="0.25">
      <c r="A13" s="27">
        <v>38573</v>
      </c>
      <c r="B13" s="7">
        <f>'[10]Aug Prod'!I12</f>
        <v>32799999.999999274</v>
      </c>
      <c r="C13" s="8">
        <f t="shared" si="1"/>
        <v>32.799999999999272</v>
      </c>
      <c r="D13" s="10">
        <f t="shared" si="2"/>
        <v>100.69599999999777</v>
      </c>
      <c r="E13" s="7">
        <f>'[10]Aug Prod'!E12</f>
        <v>15000000</v>
      </c>
      <c r="F13" s="8">
        <f t="shared" si="3"/>
        <v>15</v>
      </c>
      <c r="G13" s="10">
        <f t="shared" si="4"/>
        <v>46.05</v>
      </c>
      <c r="H13" s="7">
        <f>'[10]Aug Prod'!F12</f>
        <v>18500000</v>
      </c>
      <c r="I13" s="8">
        <f t="shared" si="5"/>
        <v>18.5</v>
      </c>
      <c r="J13" s="10">
        <f t="shared" si="6"/>
        <v>56.794999999999995</v>
      </c>
      <c r="K13" s="7">
        <f>'[10]Aug Prod'!H267</f>
        <v>3732000</v>
      </c>
      <c r="L13" s="8">
        <f t="shared" si="7"/>
        <v>3.7320000000000002</v>
      </c>
      <c r="M13" s="10">
        <f t="shared" si="8"/>
        <v>11.457240000000001</v>
      </c>
      <c r="N13" s="21"/>
      <c r="O13" s="7">
        <f>'[10]Aug Prod'!H12</f>
        <v>5344999.9999999972</v>
      </c>
      <c r="P13" s="8">
        <f t="shared" si="9"/>
        <v>5.3449999999999971</v>
      </c>
      <c r="Q13" s="10">
        <f t="shared" si="10"/>
        <v>16.40914999999999</v>
      </c>
      <c r="R13" s="7">
        <f>'[10]Aug Prod'!C12</f>
        <v>5420000</v>
      </c>
      <c r="S13" s="8">
        <f t="shared" si="11"/>
        <v>5.42</v>
      </c>
      <c r="T13" s="10">
        <f t="shared" si="12"/>
        <v>16.639399999999998</v>
      </c>
      <c r="U13" s="7">
        <f>'[10]Aug Prod'!D12</f>
        <v>0</v>
      </c>
      <c r="V13" s="8">
        <f t="shared" si="13"/>
        <v>0</v>
      </c>
      <c r="W13" s="10">
        <f t="shared" si="14"/>
        <v>0</v>
      </c>
      <c r="X13" s="7">
        <f>'[10]Aug Prod'!D267</f>
        <v>75000.000000002838</v>
      </c>
      <c r="Y13" s="8">
        <f t="shared" si="15"/>
        <v>7.5000000000002842E-2</v>
      </c>
      <c r="Z13" s="10">
        <f t="shared" si="16"/>
        <v>0.23025000000000873</v>
      </c>
      <c r="AA13" s="15"/>
      <c r="AB13" s="7">
        <f t="shared" si="17"/>
        <v>38144999.99999927</v>
      </c>
      <c r="AC13" s="8">
        <f t="shared" si="17"/>
        <v>38.144999999999271</v>
      </c>
      <c r="AD13" s="8">
        <f t="shared" si="17"/>
        <v>117.10514999999776</v>
      </c>
      <c r="AF13" s="8">
        <f t="shared" si="0"/>
        <v>0</v>
      </c>
    </row>
    <row r="14" spans="1:32" x14ac:dyDescent="0.25">
      <c r="A14" s="27">
        <v>38574</v>
      </c>
      <c r="B14" s="7">
        <f>'[10]Aug Prod'!I13</f>
        <v>28300000.000002909</v>
      </c>
      <c r="C14" s="8">
        <f t="shared" si="1"/>
        <v>28.30000000000291</v>
      </c>
      <c r="D14" s="10">
        <f t="shared" si="2"/>
        <v>86.881000000008925</v>
      </c>
      <c r="E14" s="7">
        <f>'[10]Aug Prod'!E13</f>
        <v>12000000</v>
      </c>
      <c r="F14" s="8">
        <f t="shared" si="3"/>
        <v>12</v>
      </c>
      <c r="G14" s="10">
        <f t="shared" si="4"/>
        <v>36.839999999999996</v>
      </c>
      <c r="H14" s="7">
        <f>'[10]Aug Prod'!F13</f>
        <v>16920000</v>
      </c>
      <c r="I14" s="8">
        <f t="shared" si="5"/>
        <v>16.920000000000002</v>
      </c>
      <c r="J14" s="10">
        <f t="shared" si="6"/>
        <v>51.944400000000002</v>
      </c>
      <c r="K14" s="7">
        <f>'[10]Aug Prod'!H268</f>
        <v>3397801</v>
      </c>
      <c r="L14" s="8">
        <f t="shared" si="7"/>
        <v>3.3978009999999998</v>
      </c>
      <c r="M14" s="10">
        <f t="shared" si="8"/>
        <v>10.43124907</v>
      </c>
      <c r="N14" s="21"/>
      <c r="O14" s="7">
        <f>'[10]Aug Prod'!H13</f>
        <v>5297999.9999999963</v>
      </c>
      <c r="P14" s="8">
        <f t="shared" si="9"/>
        <v>5.2979999999999965</v>
      </c>
      <c r="Q14" s="10">
        <f t="shared" si="10"/>
        <v>16.264859999999988</v>
      </c>
      <c r="R14" s="7">
        <f>'[10]Aug Prod'!C13</f>
        <v>5403000</v>
      </c>
      <c r="S14" s="8">
        <f t="shared" si="11"/>
        <v>5.4029999999999996</v>
      </c>
      <c r="T14" s="10">
        <f t="shared" si="12"/>
        <v>16.587209999999999</v>
      </c>
      <c r="U14" s="7">
        <f>'[10]Aug Prod'!D13</f>
        <v>0</v>
      </c>
      <c r="V14" s="8">
        <f t="shared" si="13"/>
        <v>0</v>
      </c>
      <c r="W14" s="10">
        <f t="shared" si="14"/>
        <v>0</v>
      </c>
      <c r="X14" s="7">
        <f>'[10]Aug Prod'!D268</f>
        <v>105000.00000000397</v>
      </c>
      <c r="Y14" s="8">
        <f t="shared" si="15"/>
        <v>0.10500000000000398</v>
      </c>
      <c r="Z14" s="10">
        <f t="shared" si="16"/>
        <v>0.32235000000001218</v>
      </c>
      <c r="AA14" s="15"/>
      <c r="AB14" s="7">
        <f t="shared" si="17"/>
        <v>33598000.000002906</v>
      </c>
      <c r="AC14" s="8">
        <f t="shared" si="17"/>
        <v>33.598000000002905</v>
      </c>
      <c r="AD14" s="8">
        <f t="shared" si="17"/>
        <v>103.14586000000891</v>
      </c>
      <c r="AF14" s="8">
        <f t="shared" si="0"/>
        <v>-1.3877787807814457E-15</v>
      </c>
    </row>
    <row r="15" spans="1:32" x14ac:dyDescent="0.25">
      <c r="A15" s="27">
        <v>38575</v>
      </c>
      <c r="B15" s="7">
        <f>'[10]Aug Prod'!I14</f>
        <v>28199999.999997091</v>
      </c>
      <c r="C15" s="8">
        <f t="shared" si="1"/>
        <v>28.19999999999709</v>
      </c>
      <c r="D15" s="10">
        <f t="shared" si="2"/>
        <v>86.573999999991059</v>
      </c>
      <c r="E15" s="7">
        <f>'[10]Aug Prod'!E14</f>
        <v>13000000</v>
      </c>
      <c r="F15" s="8">
        <f t="shared" si="3"/>
        <v>13</v>
      </c>
      <c r="G15" s="10">
        <f t="shared" si="4"/>
        <v>39.909999999999997</v>
      </c>
      <c r="H15" s="7">
        <f>'[10]Aug Prod'!F14</f>
        <v>16530000.000000002</v>
      </c>
      <c r="I15" s="8">
        <f t="shared" si="5"/>
        <v>16.53</v>
      </c>
      <c r="J15" s="10">
        <f t="shared" si="6"/>
        <v>50.747100000000003</v>
      </c>
      <c r="K15" s="7">
        <f>'[10]Aug Prod'!H269</f>
        <v>3258793</v>
      </c>
      <c r="L15" s="8">
        <f t="shared" si="7"/>
        <v>3.2587929999999998</v>
      </c>
      <c r="M15" s="10">
        <f t="shared" si="8"/>
        <v>10.004494509999999</v>
      </c>
      <c r="N15" s="21"/>
      <c r="O15" s="7">
        <f>'[10]Aug Prod'!H14</f>
        <v>5206000.0000000019</v>
      </c>
      <c r="P15" s="8">
        <f t="shared" si="9"/>
        <v>5.2060000000000022</v>
      </c>
      <c r="Q15" s="10">
        <f t="shared" si="10"/>
        <v>15.982420000000007</v>
      </c>
      <c r="R15" s="7">
        <f>'[10]Aug Prod'!C14</f>
        <v>5277000</v>
      </c>
      <c r="S15" s="8">
        <f t="shared" si="11"/>
        <v>5.2770000000000001</v>
      </c>
      <c r="T15" s="10">
        <f t="shared" si="12"/>
        <v>16.200389999999999</v>
      </c>
      <c r="U15" s="7">
        <f>'[10]Aug Prod'!D14</f>
        <v>0</v>
      </c>
      <c r="V15" s="8">
        <f t="shared" si="13"/>
        <v>0</v>
      </c>
      <c r="W15" s="10">
        <f t="shared" si="14"/>
        <v>0</v>
      </c>
      <c r="X15" s="7">
        <f>'[10]Aug Prod'!D269</f>
        <v>70999.999999997948</v>
      </c>
      <c r="Y15" s="8">
        <f t="shared" si="15"/>
        <v>7.0999999999997954E-2</v>
      </c>
      <c r="Z15" s="10">
        <f t="shared" si="16"/>
        <v>0.2179699999999937</v>
      </c>
      <c r="AA15" s="15"/>
      <c r="AB15" s="7">
        <f t="shared" si="17"/>
        <v>33405999.999997094</v>
      </c>
      <c r="AC15" s="8">
        <f t="shared" si="17"/>
        <v>33.405999999997093</v>
      </c>
      <c r="AD15" s="8">
        <f t="shared" si="17"/>
        <v>102.55641999999106</v>
      </c>
      <c r="AF15" s="8">
        <f>T15-Q15-Z15</f>
        <v>-1.4710455076283324E-15</v>
      </c>
    </row>
    <row r="16" spans="1:32" x14ac:dyDescent="0.25">
      <c r="A16" s="27">
        <v>38576</v>
      </c>
      <c r="B16" s="7">
        <f>'[10]Aug Prod'!I15</f>
        <v>29700000.000000726</v>
      </c>
      <c r="C16" s="8">
        <f t="shared" si="1"/>
        <v>29.700000000000728</v>
      </c>
      <c r="D16" s="10">
        <f t="shared" si="2"/>
        <v>91.179000000002233</v>
      </c>
      <c r="E16" s="7">
        <f>'[10]Aug Prod'!E15</f>
        <v>14000000</v>
      </c>
      <c r="F16" s="8">
        <f t="shared" si="3"/>
        <v>14</v>
      </c>
      <c r="G16" s="10">
        <f t="shared" si="4"/>
        <v>42.98</v>
      </c>
      <c r="H16" s="7">
        <f>'[10]Aug Prod'!F15</f>
        <v>15560000</v>
      </c>
      <c r="I16" s="8">
        <f t="shared" si="5"/>
        <v>15.56</v>
      </c>
      <c r="J16" s="10">
        <f t="shared" si="6"/>
        <v>47.769199999999998</v>
      </c>
      <c r="K16" s="7">
        <f>'[10]Aug Prod'!H270</f>
        <v>3502838</v>
      </c>
      <c r="L16" s="8">
        <f t="shared" si="7"/>
        <v>3.5028380000000001</v>
      </c>
      <c r="M16" s="10">
        <f t="shared" si="8"/>
        <v>10.75371266</v>
      </c>
      <c r="N16" s="21"/>
      <c r="O16" s="7">
        <f>'[10]Aug Prod'!H15</f>
        <v>5276999.9999999991</v>
      </c>
      <c r="P16" s="8">
        <f t="shared" si="9"/>
        <v>5.2769999999999992</v>
      </c>
      <c r="Q16" s="10">
        <f t="shared" si="10"/>
        <v>16.200389999999995</v>
      </c>
      <c r="R16" s="7">
        <f>'[10]Aug Prod'!C15</f>
        <v>5417000</v>
      </c>
      <c r="S16" s="8">
        <f t="shared" si="11"/>
        <v>5.4169999999999998</v>
      </c>
      <c r="T16" s="10">
        <f t="shared" si="12"/>
        <v>16.630189999999999</v>
      </c>
      <c r="U16" s="7">
        <f>'[10]Aug Prod'!D15</f>
        <v>0</v>
      </c>
      <c r="V16" s="8">
        <f t="shared" si="13"/>
        <v>0</v>
      </c>
      <c r="W16" s="10">
        <f t="shared" si="14"/>
        <v>0</v>
      </c>
      <c r="X16" s="7">
        <f>'[10]Aug Prod'!D270</f>
        <v>140000.00000000058</v>
      </c>
      <c r="Y16" s="8">
        <f t="shared" si="15"/>
        <v>0.14000000000000057</v>
      </c>
      <c r="Z16" s="10">
        <f t="shared" si="16"/>
        <v>0.42980000000000174</v>
      </c>
      <c r="AA16" s="15"/>
      <c r="AB16" s="7">
        <f t="shared" si="17"/>
        <v>34977000.000000723</v>
      </c>
      <c r="AC16" s="8">
        <f t="shared" si="17"/>
        <v>34.977000000000729</v>
      </c>
      <c r="AD16" s="8">
        <f t="shared" si="17"/>
        <v>107.37939000000223</v>
      </c>
      <c r="AF16" s="8">
        <f>T16-Q16-Z16</f>
        <v>1.9984014443252818E-15</v>
      </c>
    </row>
    <row r="17" spans="1:32" x14ac:dyDescent="0.25">
      <c r="A17" s="27">
        <v>38577</v>
      </c>
      <c r="B17" s="7">
        <f>'[10]Aug Prod'!I16</f>
        <v>30000000</v>
      </c>
      <c r="C17" s="8">
        <f t="shared" si="1"/>
        <v>30</v>
      </c>
      <c r="D17" s="10">
        <f t="shared" si="2"/>
        <v>92.1</v>
      </c>
      <c r="E17" s="7">
        <f>'[10]Aug Prod'!E16</f>
        <v>18000000</v>
      </c>
      <c r="F17" s="8">
        <f t="shared" si="3"/>
        <v>18</v>
      </c>
      <c r="G17" s="10">
        <f t="shared" si="4"/>
        <v>55.26</v>
      </c>
      <c r="H17" s="7">
        <f>'[10]Aug Prod'!F16</f>
        <v>13630000</v>
      </c>
      <c r="I17" s="8">
        <f t="shared" si="5"/>
        <v>13.63</v>
      </c>
      <c r="J17" s="10">
        <f t="shared" si="6"/>
        <v>41.844099999999997</v>
      </c>
      <c r="K17" s="7">
        <f>'[10]Aug Prod'!H271</f>
        <v>3470714</v>
      </c>
      <c r="L17" s="8">
        <f t="shared" si="7"/>
        <v>3.4707140000000001</v>
      </c>
      <c r="M17" s="10">
        <f t="shared" si="8"/>
        <v>10.65509198</v>
      </c>
      <c r="N17" s="21"/>
      <c r="O17" s="7">
        <f>'[10]Aug Prod'!H16</f>
        <v>4848999.9999999963</v>
      </c>
      <c r="P17" s="8">
        <f t="shared" si="9"/>
        <v>4.8489999999999966</v>
      </c>
      <c r="Q17" s="10">
        <f t="shared" si="10"/>
        <v>14.886429999999988</v>
      </c>
      <c r="R17" s="7">
        <f>'[10]Aug Prod'!C16</f>
        <v>4957000</v>
      </c>
      <c r="S17" s="8">
        <f t="shared" si="11"/>
        <v>4.9569999999999999</v>
      </c>
      <c r="T17" s="10">
        <f t="shared" si="12"/>
        <v>15.217989999999999</v>
      </c>
      <c r="U17" s="7">
        <f>'[10]Aug Prod'!D16</f>
        <v>0</v>
      </c>
      <c r="V17" s="8">
        <f t="shared" si="13"/>
        <v>0</v>
      </c>
      <c r="W17" s="10">
        <f t="shared" si="14"/>
        <v>0</v>
      </c>
      <c r="X17" s="7">
        <f>'[10]Aug Prod'!D271</f>
        <v>108000.00000000409</v>
      </c>
      <c r="Y17" s="8">
        <f t="shared" si="15"/>
        <v>0.10800000000000409</v>
      </c>
      <c r="Z17" s="10">
        <f t="shared" si="16"/>
        <v>0.33156000000001257</v>
      </c>
      <c r="AA17" s="15"/>
      <c r="AB17" s="7">
        <f t="shared" si="17"/>
        <v>34849000</v>
      </c>
      <c r="AC17" s="8">
        <f t="shared" si="17"/>
        <v>34.848999999999997</v>
      </c>
      <c r="AD17" s="8">
        <f t="shared" si="17"/>
        <v>106.98642999999998</v>
      </c>
      <c r="AF17" s="8">
        <f>T17-Q17-Z17</f>
        <v>-2.2759572004815709E-15</v>
      </c>
    </row>
    <row r="18" spans="1:32" x14ac:dyDescent="0.25">
      <c r="A18" s="27">
        <v>38578</v>
      </c>
      <c r="B18" s="7">
        <f>'[10]Aug Prod'!I17</f>
        <v>32100000.000002183</v>
      </c>
      <c r="C18" s="8">
        <f t="shared" si="1"/>
        <v>32.100000000002183</v>
      </c>
      <c r="D18" s="10">
        <f t="shared" si="2"/>
        <v>98.54700000000669</v>
      </c>
      <c r="E18" s="7">
        <f>'[10]Aug Prod'!E17</f>
        <v>21000000</v>
      </c>
      <c r="F18" s="8">
        <f t="shared" si="3"/>
        <v>21</v>
      </c>
      <c r="G18" s="10">
        <f t="shared" si="4"/>
        <v>64.47</v>
      </c>
      <c r="H18" s="7">
        <f>'[10]Aug Prod'!F17</f>
        <v>12930000</v>
      </c>
      <c r="I18" s="8">
        <f t="shared" si="5"/>
        <v>12.93</v>
      </c>
      <c r="J18" s="10">
        <f t="shared" si="6"/>
        <v>39.695099999999996</v>
      </c>
      <c r="K18" s="7">
        <f>'[10]Aug Prod'!H272</f>
        <v>3580000</v>
      </c>
      <c r="L18" s="8">
        <f t="shared" si="7"/>
        <v>3.58</v>
      </c>
      <c r="M18" s="10">
        <f t="shared" si="8"/>
        <v>10.990599999999999</v>
      </c>
      <c r="N18" s="21"/>
      <c r="O18" s="7">
        <f>'[10]Aug Prod'!H17</f>
        <v>5034999.9999999991</v>
      </c>
      <c r="P18" s="8">
        <f t="shared" si="9"/>
        <v>5.0349999999999993</v>
      </c>
      <c r="Q18" s="10">
        <f t="shared" si="10"/>
        <v>15.457449999999996</v>
      </c>
      <c r="R18" s="7">
        <f>'[10]Aug Prod'!C17</f>
        <v>5175000</v>
      </c>
      <c r="S18" s="8">
        <f t="shared" si="11"/>
        <v>5.1749999999999998</v>
      </c>
      <c r="T18" s="10">
        <f t="shared" si="12"/>
        <v>15.887249999999998</v>
      </c>
      <c r="U18" s="7">
        <f>'[10]Aug Prod'!D17</f>
        <v>0</v>
      </c>
      <c r="V18" s="8">
        <f t="shared" si="13"/>
        <v>0</v>
      </c>
      <c r="W18" s="10">
        <f t="shared" si="14"/>
        <v>0</v>
      </c>
      <c r="X18" s="7">
        <f>'[10]Aug Prod'!D272</f>
        <v>140000.00000000058</v>
      </c>
      <c r="Y18" s="8">
        <f t="shared" si="15"/>
        <v>0.14000000000000057</v>
      </c>
      <c r="Z18" s="10">
        <f t="shared" si="16"/>
        <v>0.42980000000000174</v>
      </c>
      <c r="AA18" s="15"/>
      <c r="AB18" s="7">
        <f t="shared" si="17"/>
        <v>37135000.000002183</v>
      </c>
      <c r="AC18" s="8">
        <f t="shared" si="17"/>
        <v>37.135000000002179</v>
      </c>
      <c r="AD18" s="8">
        <f t="shared" si="17"/>
        <v>114.00445000000668</v>
      </c>
      <c r="AF18" s="8">
        <f>T18-Q18-Z18</f>
        <v>0</v>
      </c>
    </row>
    <row r="19" spans="1:32" x14ac:dyDescent="0.25">
      <c r="A19" s="27">
        <v>38579</v>
      </c>
      <c r="B19" s="7">
        <f>'[10]Aug Prod'!I18</f>
        <v>33799999.99999927</v>
      </c>
      <c r="C19" s="8">
        <f t="shared" si="1"/>
        <v>33.799999999999272</v>
      </c>
      <c r="D19" s="10">
        <f t="shared" si="2"/>
        <v>103.76599999999776</v>
      </c>
      <c r="E19" s="7">
        <f>'[10]Aug Prod'!E18</f>
        <v>21000000</v>
      </c>
      <c r="F19" s="8">
        <f t="shared" si="3"/>
        <v>21</v>
      </c>
      <c r="G19" s="10">
        <f t="shared" si="4"/>
        <v>64.47</v>
      </c>
      <c r="H19" s="7">
        <f>'[10]Aug Prod'!F18</f>
        <v>13560000</v>
      </c>
      <c r="I19" s="8">
        <f t="shared" si="5"/>
        <v>13.56</v>
      </c>
      <c r="J19" s="10">
        <f t="shared" si="6"/>
        <v>41.629199999999997</v>
      </c>
      <c r="K19" s="7">
        <f>'[10]Aug Prod'!H273</f>
        <v>3925510</v>
      </c>
      <c r="L19" s="8">
        <f t="shared" si="7"/>
        <v>3.9255100000000001</v>
      </c>
      <c r="M19" s="10">
        <f t="shared" si="8"/>
        <v>12.0513157</v>
      </c>
      <c r="N19" s="21"/>
      <c r="O19" s="7">
        <f>'[10]Aug Prod'!H18</f>
        <v>4748000.0000000047</v>
      </c>
      <c r="P19" s="8">
        <f t="shared" si="9"/>
        <v>4.7480000000000047</v>
      </c>
      <c r="Q19" s="10">
        <f t="shared" si="10"/>
        <v>14.576360000000014</v>
      </c>
      <c r="R19" s="7">
        <f>'[10]Aug Prod'!C18</f>
        <v>4881000</v>
      </c>
      <c r="S19" s="8">
        <f t="shared" si="11"/>
        <v>4.8810000000000002</v>
      </c>
      <c r="T19" s="10">
        <f t="shared" si="12"/>
        <v>14.984669999999999</v>
      </c>
      <c r="U19" s="7">
        <f>'[10]Aug Prod'!D18</f>
        <v>0</v>
      </c>
      <c r="V19" s="8">
        <f t="shared" si="13"/>
        <v>0</v>
      </c>
      <c r="W19" s="10">
        <f t="shared" si="14"/>
        <v>0</v>
      </c>
      <c r="X19" s="7">
        <f>'[10]Aug Prod'!D273</f>
        <v>132999.99999999558</v>
      </c>
      <c r="Y19" s="8">
        <f t="shared" si="15"/>
        <v>0.13299999999999557</v>
      </c>
      <c r="Z19" s="10">
        <f t="shared" si="16"/>
        <v>0.40830999999998635</v>
      </c>
      <c r="AA19" s="15"/>
      <c r="AB19" s="7">
        <f t="shared" si="17"/>
        <v>38547999.999999277</v>
      </c>
      <c r="AC19" s="8">
        <f t="shared" si="17"/>
        <v>38.547999999999277</v>
      </c>
      <c r="AD19" s="8">
        <f>D19+Q19</f>
        <v>118.34235999999777</v>
      </c>
      <c r="AF19" s="8">
        <f>T19-Q19-Z19</f>
        <v>0</v>
      </c>
    </row>
    <row r="20" spans="1:32" x14ac:dyDescent="0.25">
      <c r="A20" s="27">
        <v>38580</v>
      </c>
      <c r="B20" s="7">
        <f>'[10]Aug Prod'!I19</f>
        <v>30299999.999999274</v>
      </c>
      <c r="C20" s="8">
        <f t="shared" si="1"/>
        <v>30.299999999999272</v>
      </c>
      <c r="D20" s="10">
        <f t="shared" si="2"/>
        <v>93.020999999997755</v>
      </c>
      <c r="E20" s="7">
        <f>'[10]Aug Prod'!E19</f>
        <v>19000000</v>
      </c>
      <c r="F20" s="8">
        <f t="shared" si="3"/>
        <v>19</v>
      </c>
      <c r="G20" s="10">
        <f t="shared" si="4"/>
        <v>58.33</v>
      </c>
      <c r="H20" s="7">
        <f>'[10]Aug Prod'!F19</f>
        <v>13760000</v>
      </c>
      <c r="I20" s="8">
        <f t="shared" si="5"/>
        <v>13.76</v>
      </c>
      <c r="J20" s="10">
        <f t="shared" si="6"/>
        <v>42.243199999999995</v>
      </c>
      <c r="K20" s="7">
        <f>'[10]Aug Prod'!H274</f>
        <v>3568288</v>
      </c>
      <c r="L20" s="8">
        <f t="shared" si="7"/>
        <v>3.5682879999999999</v>
      </c>
      <c r="M20" s="10">
        <f t="shared" si="8"/>
        <v>10.954644159999999</v>
      </c>
      <c r="N20" s="21"/>
      <c r="O20" s="7">
        <f>'[10]Aug Prod'!H19</f>
        <v>4956000.0000000019</v>
      </c>
      <c r="P20" s="8">
        <f t="shared" si="9"/>
        <v>4.9560000000000022</v>
      </c>
      <c r="Q20" s="10">
        <f t="shared" si="10"/>
        <v>15.214920000000006</v>
      </c>
      <c r="R20" s="7">
        <f>'[10]Aug Prod'!C19</f>
        <v>5024000</v>
      </c>
      <c r="S20" s="8">
        <f t="shared" si="11"/>
        <v>5.024</v>
      </c>
      <c r="T20" s="10">
        <f t="shared" si="12"/>
        <v>15.423679999999999</v>
      </c>
      <c r="U20" s="7">
        <f>'[10]Aug Prod'!D19</f>
        <v>0</v>
      </c>
      <c r="V20" s="8">
        <f t="shared" si="13"/>
        <v>0</v>
      </c>
      <c r="W20" s="10">
        <f t="shared" si="14"/>
        <v>0</v>
      </c>
      <c r="X20" s="7">
        <f>'[10]Aug Prod'!D274</f>
        <v>67999.999999997846</v>
      </c>
      <c r="Y20" s="8">
        <f t="shared" si="15"/>
        <v>6.799999999999784E-2</v>
      </c>
      <c r="Z20" s="10">
        <f t="shared" si="16"/>
        <v>0.20875999999999337</v>
      </c>
      <c r="AA20" s="15"/>
      <c r="AB20" s="7">
        <f t="shared" si="17"/>
        <v>35255999.999999277</v>
      </c>
      <c r="AC20" s="8">
        <f t="shared" si="17"/>
        <v>35.255999999999275</v>
      </c>
      <c r="AD20" s="8">
        <f t="shared" si="17"/>
        <v>108.23591999999776</v>
      </c>
      <c r="AF20" s="8">
        <f t="shared" ref="AF20:AF35" si="18">T20-Q20-Z20</f>
        <v>-6.3837823915946501E-16</v>
      </c>
    </row>
    <row r="21" spans="1:32" x14ac:dyDescent="0.25">
      <c r="A21" s="27">
        <v>38581</v>
      </c>
      <c r="B21" s="7">
        <f>'[10]Aug Prod'!I20</f>
        <v>30299999.999999274</v>
      </c>
      <c r="C21" s="8">
        <f t="shared" si="1"/>
        <v>30.299999999999272</v>
      </c>
      <c r="D21" s="10">
        <f t="shared" si="2"/>
        <v>93.020999999997755</v>
      </c>
      <c r="E21" s="7">
        <f>'[10]Aug Prod'!E20</f>
        <v>18000000</v>
      </c>
      <c r="F21" s="8">
        <f t="shared" si="3"/>
        <v>18</v>
      </c>
      <c r="G21" s="10">
        <f t="shared" si="4"/>
        <v>55.26</v>
      </c>
      <c r="H21" s="7">
        <f>'[10]Aug Prod'!F20</f>
        <v>13100000</v>
      </c>
      <c r="I21" s="8">
        <f t="shared" si="5"/>
        <v>13.1</v>
      </c>
      <c r="J21" s="10">
        <f t="shared" si="6"/>
        <v>40.216999999999999</v>
      </c>
      <c r="K21" s="7">
        <f>'[10]Aug Prod'!H275</f>
        <v>3572489</v>
      </c>
      <c r="L21" s="8">
        <f t="shared" si="7"/>
        <v>3.572489</v>
      </c>
      <c r="M21" s="10">
        <f t="shared" si="8"/>
        <v>10.96754123</v>
      </c>
      <c r="N21" s="21"/>
      <c r="O21" s="7">
        <f>'[10]Aug Prod'!H20</f>
        <v>4859999.9999999963</v>
      </c>
      <c r="P21" s="8">
        <f t="shared" si="9"/>
        <v>4.8599999999999959</v>
      </c>
      <c r="Q21" s="10">
        <f t="shared" si="10"/>
        <v>14.920199999999987</v>
      </c>
      <c r="R21" s="7">
        <f>'[10]Aug Prod'!C20</f>
        <v>4959000</v>
      </c>
      <c r="S21" s="8">
        <f t="shared" si="11"/>
        <v>4.9589999999999996</v>
      </c>
      <c r="T21" s="10">
        <f t="shared" si="12"/>
        <v>15.224129999999999</v>
      </c>
      <c r="U21" s="7">
        <f>'[10]Aug Prod'!D20</f>
        <v>0</v>
      </c>
      <c r="V21" s="8">
        <f t="shared" si="13"/>
        <v>0</v>
      </c>
      <c r="W21" s="10">
        <f t="shared" si="14"/>
        <v>0</v>
      </c>
      <c r="X21" s="7">
        <f>'[10]Aug Prod'!D275</f>
        <v>99000.000000003754</v>
      </c>
      <c r="Y21" s="8">
        <f t="shared" si="15"/>
        <v>9.9000000000003752E-2</v>
      </c>
      <c r="Z21" s="10">
        <f t="shared" si="16"/>
        <v>0.30393000000001152</v>
      </c>
      <c r="AA21" s="15"/>
      <c r="AB21" s="7">
        <f t="shared" si="17"/>
        <v>35159999.99999927</v>
      </c>
      <c r="AC21" s="8">
        <f t="shared" si="17"/>
        <v>35.159999999999272</v>
      </c>
      <c r="AD21" s="8">
        <f t="shared" si="17"/>
        <v>107.94119999999774</v>
      </c>
      <c r="AF21" s="8">
        <f t="shared" si="18"/>
        <v>0</v>
      </c>
    </row>
    <row r="22" spans="1:32" x14ac:dyDescent="0.25">
      <c r="A22" s="27">
        <v>38582</v>
      </c>
      <c r="B22" s="7">
        <f>'[10]Aug Prod'!I21</f>
        <v>25700000.000000726</v>
      </c>
      <c r="C22" s="8">
        <f t="shared" si="1"/>
        <v>25.700000000000728</v>
      </c>
      <c r="D22" s="10">
        <f t="shared" si="2"/>
        <v>78.899000000002232</v>
      </c>
      <c r="E22" s="7">
        <f>'[10]Aug Prod'!E21</f>
        <v>16000000</v>
      </c>
      <c r="F22" s="8">
        <f t="shared" si="3"/>
        <v>16</v>
      </c>
      <c r="G22" s="10">
        <f t="shared" si="4"/>
        <v>49.12</v>
      </c>
      <c r="H22" s="7">
        <f>'[10]Aug Prod'!F21</f>
        <v>11130000</v>
      </c>
      <c r="I22" s="8">
        <f t="shared" si="5"/>
        <v>11.13</v>
      </c>
      <c r="J22" s="10">
        <f t="shared" si="6"/>
        <v>34.1691</v>
      </c>
      <c r="K22" s="7">
        <f>'[10]Aug Prod'!H276</f>
        <v>3052107</v>
      </c>
      <c r="L22" s="8">
        <f t="shared" si="7"/>
        <v>3.0521069999999999</v>
      </c>
      <c r="M22" s="10">
        <f t="shared" si="8"/>
        <v>9.3699684899999998</v>
      </c>
      <c r="N22" s="21"/>
      <c r="O22" s="7">
        <f>'[10]Aug Prod'!H21</f>
        <v>5488000.0000000056</v>
      </c>
      <c r="P22" s="8">
        <f t="shared" si="9"/>
        <v>5.4880000000000058</v>
      </c>
      <c r="Q22" s="10">
        <f t="shared" si="10"/>
        <v>16.848160000000018</v>
      </c>
      <c r="R22" s="7">
        <f>'[10]Aug Prod'!C21</f>
        <v>5588000</v>
      </c>
      <c r="S22" s="8">
        <f t="shared" si="11"/>
        <v>5.5880000000000001</v>
      </c>
      <c r="T22" s="10">
        <f t="shared" si="12"/>
        <v>17.155159999999999</v>
      </c>
      <c r="U22" s="7">
        <f>'[10]Aug Prod'!D21</f>
        <v>0</v>
      </c>
      <c r="V22" s="8">
        <f t="shared" si="13"/>
        <v>0</v>
      </c>
      <c r="W22" s="10">
        <f t="shared" si="14"/>
        <v>0</v>
      </c>
      <c r="X22" s="7">
        <f>'[10]Aug Prod'!D276</f>
        <v>99999.99999999431</v>
      </c>
      <c r="Y22" s="8">
        <f t="shared" si="15"/>
        <v>9.9999999999994316E-2</v>
      </c>
      <c r="Z22" s="10">
        <f t="shared" si="16"/>
        <v>0.30699999999998251</v>
      </c>
      <c r="AA22" s="15"/>
      <c r="AB22" s="7">
        <f t="shared" si="17"/>
        <v>31188000.00000073</v>
      </c>
      <c r="AC22" s="8">
        <f t="shared" si="17"/>
        <v>31.188000000000734</v>
      </c>
      <c r="AD22" s="8">
        <f t="shared" si="17"/>
        <v>95.747160000002253</v>
      </c>
      <c r="AF22" s="8">
        <f t="shared" si="18"/>
        <v>-1.6653345369377348E-15</v>
      </c>
    </row>
    <row r="23" spans="1:32" x14ac:dyDescent="0.25">
      <c r="A23" s="27">
        <v>38583</v>
      </c>
      <c r="B23" s="7">
        <f>'[10]Aug Prod'!I22</f>
        <v>22500000</v>
      </c>
      <c r="C23" s="8">
        <f t="shared" si="1"/>
        <v>22.5</v>
      </c>
      <c r="D23" s="10">
        <f t="shared" si="2"/>
        <v>69.075000000000003</v>
      </c>
      <c r="E23" s="7">
        <f>'[10]Aug Prod'!E22</f>
        <v>14000000</v>
      </c>
      <c r="F23" s="8">
        <f t="shared" si="3"/>
        <v>14</v>
      </c>
      <c r="G23" s="10">
        <f t="shared" si="4"/>
        <v>42.98</v>
      </c>
      <c r="H23" s="7">
        <f>'[10]Aug Prod'!F22</f>
        <v>9380000</v>
      </c>
      <c r="I23" s="8">
        <f t="shared" si="5"/>
        <v>9.3800000000000008</v>
      </c>
      <c r="J23" s="10">
        <f t="shared" si="6"/>
        <v>28.796600000000002</v>
      </c>
      <c r="K23" s="7">
        <f>'[10]Aug Prod'!H277</f>
        <v>2577955</v>
      </c>
      <c r="L23" s="8">
        <f t="shared" si="7"/>
        <v>2.5779550000000002</v>
      </c>
      <c r="M23" s="10">
        <f t="shared" si="8"/>
        <v>7.9143218500000003</v>
      </c>
      <c r="N23" s="21"/>
      <c r="O23" s="7">
        <f>'[10]Aug Prod'!H22</f>
        <v>5671999.9999999944</v>
      </c>
      <c r="P23" s="8">
        <f t="shared" si="9"/>
        <v>5.6719999999999944</v>
      </c>
      <c r="Q23" s="10">
        <f t="shared" si="10"/>
        <v>17.413039999999981</v>
      </c>
      <c r="R23" s="7">
        <f>'[10]Aug Prod'!C22</f>
        <v>5804000</v>
      </c>
      <c r="S23" s="8">
        <f t="shared" si="11"/>
        <v>5.8040000000000003</v>
      </c>
      <c r="T23" s="10">
        <f t="shared" si="12"/>
        <v>17.818280000000001</v>
      </c>
      <c r="U23" s="7">
        <f>'[10]Aug Prod'!D22</f>
        <v>0</v>
      </c>
      <c r="V23" s="8">
        <f t="shared" si="13"/>
        <v>0</v>
      </c>
      <c r="W23" s="10">
        <f t="shared" si="14"/>
        <v>0</v>
      </c>
      <c r="X23" s="7">
        <f>'[10]Aug Prod'!D277</f>
        <v>132000.00000000501</v>
      </c>
      <c r="Y23" s="8">
        <f t="shared" si="15"/>
        <v>0.132000000000005</v>
      </c>
      <c r="Z23" s="10">
        <f t="shared" si="16"/>
        <v>0.40524000000001531</v>
      </c>
      <c r="AA23" s="15"/>
      <c r="AB23" s="7">
        <f t="shared" si="17"/>
        <v>28171999.999999993</v>
      </c>
      <c r="AC23" s="8">
        <f t="shared" si="17"/>
        <v>28.171999999999993</v>
      </c>
      <c r="AD23" s="8">
        <f t="shared" si="17"/>
        <v>86.488039999999984</v>
      </c>
      <c r="AF23" s="8">
        <f t="shared" si="18"/>
        <v>5.1625370645069779E-15</v>
      </c>
    </row>
    <row r="24" spans="1:32" x14ac:dyDescent="0.25">
      <c r="A24" s="27">
        <v>38584</v>
      </c>
      <c r="B24" s="7">
        <f>'[10]Aug Prod'!I23</f>
        <v>24700000.000000726</v>
      </c>
      <c r="C24" s="8">
        <f t="shared" si="1"/>
        <v>24.700000000000728</v>
      </c>
      <c r="D24" s="10">
        <f t="shared" si="2"/>
        <v>75.829000000002225</v>
      </c>
      <c r="E24" s="7">
        <f>'[10]Aug Prod'!E23</f>
        <v>14000000</v>
      </c>
      <c r="F24" s="8">
        <f t="shared" si="3"/>
        <v>14</v>
      </c>
      <c r="G24" s="10">
        <f t="shared" si="4"/>
        <v>42.98</v>
      </c>
      <c r="H24" s="7">
        <f>'[10]Aug Prod'!F23</f>
        <v>11660000</v>
      </c>
      <c r="I24" s="8">
        <f t="shared" si="5"/>
        <v>11.66</v>
      </c>
      <c r="J24" s="10">
        <f t="shared" si="6"/>
        <v>35.796199999999999</v>
      </c>
      <c r="K24" s="7">
        <f>'[10]Aug Prod'!H278</f>
        <v>2816592</v>
      </c>
      <c r="L24" s="8">
        <f t="shared" si="7"/>
        <v>2.816592</v>
      </c>
      <c r="M24" s="10">
        <f t="shared" si="8"/>
        <v>8.6469374400000003</v>
      </c>
      <c r="N24" s="21"/>
      <c r="O24" s="7">
        <f>'[10]Aug Prod'!H23</f>
        <v>5852000.0000000019</v>
      </c>
      <c r="P24" s="8">
        <f t="shared" si="9"/>
        <v>5.8520000000000021</v>
      </c>
      <c r="Q24" s="10">
        <f t="shared" si="10"/>
        <v>17.965640000000004</v>
      </c>
      <c r="R24" s="7">
        <f>'[10]Aug Prod'!C23</f>
        <v>5917000</v>
      </c>
      <c r="S24" s="8">
        <f t="shared" si="11"/>
        <v>5.9169999999999998</v>
      </c>
      <c r="T24" s="10">
        <f t="shared" si="12"/>
        <v>18.165189999999999</v>
      </c>
      <c r="U24" s="7">
        <f>'[10]Aug Prod'!D23</f>
        <v>0</v>
      </c>
      <c r="V24" s="8">
        <f t="shared" si="13"/>
        <v>0</v>
      </c>
      <c r="W24" s="10">
        <f t="shared" si="14"/>
        <v>0</v>
      </c>
      <c r="X24" s="7">
        <f>'[10]Aug Prod'!D278</f>
        <v>64999.99999999773</v>
      </c>
      <c r="Y24" s="8">
        <f t="shared" si="15"/>
        <v>6.4999999999997726E-2</v>
      </c>
      <c r="Z24" s="10">
        <f t="shared" si="16"/>
        <v>0.19954999999999301</v>
      </c>
      <c r="AA24" s="15"/>
      <c r="AB24" s="7">
        <f t="shared" si="17"/>
        <v>30552000.00000073</v>
      </c>
      <c r="AC24" s="8">
        <f t="shared" si="17"/>
        <v>30.552000000000731</v>
      </c>
      <c r="AD24" s="8">
        <f>D24+Q24</f>
        <v>93.794640000002232</v>
      </c>
      <c r="AF24" s="8">
        <f t="shared" si="18"/>
        <v>1.9984014443252818E-15</v>
      </c>
    </row>
    <row r="25" spans="1:32" x14ac:dyDescent="0.25">
      <c r="A25" s="27">
        <v>38585</v>
      </c>
      <c r="B25" s="7">
        <f>'[10]Aug Prod'!I24</f>
        <v>30399999.999997817</v>
      </c>
      <c r="C25" s="8">
        <f t="shared" si="1"/>
        <v>30.399999999997817</v>
      </c>
      <c r="D25" s="10">
        <f t="shared" si="2"/>
        <v>93.327999999993295</v>
      </c>
      <c r="E25" s="7">
        <f>'[10]Aug Prod'!E24</f>
        <v>16000000</v>
      </c>
      <c r="F25" s="8">
        <f t="shared" si="3"/>
        <v>16</v>
      </c>
      <c r="G25" s="10">
        <f t="shared" si="4"/>
        <v>49.12</v>
      </c>
      <c r="H25" s="7">
        <f>'[10]Aug Prod'!F24</f>
        <v>15980000</v>
      </c>
      <c r="I25" s="8">
        <f t="shared" si="5"/>
        <v>15.98</v>
      </c>
      <c r="J25" s="10">
        <f t="shared" si="6"/>
        <v>49.058599999999998</v>
      </c>
      <c r="K25" s="7">
        <f>'[10]Aug Prod'!H279</f>
        <v>3567721</v>
      </c>
      <c r="L25" s="8">
        <f t="shared" si="7"/>
        <v>3.5677210000000001</v>
      </c>
      <c r="M25" s="10">
        <f t="shared" si="8"/>
        <v>10.952903470000001</v>
      </c>
      <c r="N25" s="21"/>
      <c r="O25" s="7">
        <f>'[10]Aug Prod'!H24</f>
        <v>6772000</v>
      </c>
      <c r="P25" s="8">
        <f t="shared" si="9"/>
        <v>6.7720000000000002</v>
      </c>
      <c r="Q25" s="10">
        <f t="shared" si="10"/>
        <v>20.790040000000001</v>
      </c>
      <c r="R25" s="7">
        <f>'[10]Aug Prod'!C24</f>
        <v>6903000</v>
      </c>
      <c r="S25" s="8">
        <f t="shared" si="11"/>
        <v>6.9029999999999996</v>
      </c>
      <c r="T25" s="10">
        <f t="shared" si="12"/>
        <v>21.192209999999999</v>
      </c>
      <c r="U25" s="7">
        <f>'[10]Aug Prod'!D24</f>
        <v>0</v>
      </c>
      <c r="V25" s="8">
        <f t="shared" si="13"/>
        <v>0</v>
      </c>
      <c r="W25" s="10">
        <f t="shared" si="14"/>
        <v>0</v>
      </c>
      <c r="X25" s="7">
        <f>'[10]Aug Prod'!D279</f>
        <v>131000.00000000023</v>
      </c>
      <c r="Y25" s="8">
        <f t="shared" si="15"/>
        <v>0.13100000000000023</v>
      </c>
      <c r="Z25" s="10">
        <f t="shared" si="16"/>
        <v>0.40217000000000069</v>
      </c>
      <c r="AA25" s="15"/>
      <c r="AB25" s="7">
        <f t="shared" si="17"/>
        <v>37171999.999997817</v>
      </c>
      <c r="AC25" s="8">
        <f t="shared" si="17"/>
        <v>37.171999999997816</v>
      </c>
      <c r="AD25" s="8">
        <f t="shared" si="17"/>
        <v>114.1180399999933</v>
      </c>
      <c r="AF25" s="8">
        <f t="shared" si="18"/>
        <v>-2.55351295663786E-15</v>
      </c>
    </row>
    <row r="26" spans="1:32" x14ac:dyDescent="0.25">
      <c r="A26" s="27">
        <v>38586</v>
      </c>
      <c r="B26" s="7">
        <f>'[10]Aug Prod'!I25</f>
        <v>31000000</v>
      </c>
      <c r="C26" s="8">
        <f t="shared" si="1"/>
        <v>31</v>
      </c>
      <c r="D26" s="10">
        <f t="shared" si="2"/>
        <v>95.17</v>
      </c>
      <c r="E26" s="7">
        <f>'[10]Aug Prod'!E25</f>
        <v>16000000</v>
      </c>
      <c r="F26" s="8">
        <f t="shared" si="3"/>
        <v>16</v>
      </c>
      <c r="G26" s="10">
        <f t="shared" si="4"/>
        <v>49.12</v>
      </c>
      <c r="H26" s="7">
        <f>'[10]Aug Prod'!F25</f>
        <v>15840000</v>
      </c>
      <c r="I26" s="8">
        <f t="shared" si="5"/>
        <v>15.84</v>
      </c>
      <c r="J26" s="10">
        <f t="shared" si="6"/>
        <v>48.628799999999998</v>
      </c>
      <c r="K26" s="7">
        <f>'[10]Aug Prod'!H280</f>
        <v>3496858</v>
      </c>
      <c r="L26" s="8">
        <f t="shared" si="7"/>
        <v>3.496858</v>
      </c>
      <c r="M26" s="10">
        <f t="shared" si="8"/>
        <v>10.735354059999999</v>
      </c>
      <c r="N26" s="21"/>
      <c r="O26" s="7">
        <f>'[10]Aug Prod'!H25</f>
        <v>5604000</v>
      </c>
      <c r="P26" s="8">
        <f t="shared" si="9"/>
        <v>5.6040000000000001</v>
      </c>
      <c r="Q26" s="10">
        <f t="shared" si="10"/>
        <v>17.204280000000001</v>
      </c>
      <c r="R26" s="7">
        <f>'[10]Aug Prod'!C25</f>
        <v>5735000</v>
      </c>
      <c r="S26" s="8">
        <f t="shared" si="11"/>
        <v>5.7350000000000003</v>
      </c>
      <c r="T26" s="10">
        <f t="shared" si="12"/>
        <v>17.606449999999999</v>
      </c>
      <c r="U26" s="7">
        <f>'[10]Aug Prod'!D25</f>
        <v>0</v>
      </c>
      <c r="V26" s="8">
        <f t="shared" si="13"/>
        <v>0</v>
      </c>
      <c r="W26" s="10">
        <f t="shared" si="14"/>
        <v>0</v>
      </c>
      <c r="X26" s="7">
        <f>'[10]Aug Prod'!D280</f>
        <v>131000.00000000023</v>
      </c>
      <c r="Y26" s="8">
        <f t="shared" si="15"/>
        <v>0.13100000000000023</v>
      </c>
      <c r="Z26" s="10">
        <f t="shared" si="16"/>
        <v>0.40217000000000069</v>
      </c>
      <c r="AA26" s="15"/>
      <c r="AB26" s="7">
        <f t="shared" si="17"/>
        <v>36604000</v>
      </c>
      <c r="AC26" s="8">
        <f t="shared" si="17"/>
        <v>36.603999999999999</v>
      </c>
      <c r="AD26" s="8">
        <f t="shared" si="17"/>
        <v>112.37428</v>
      </c>
      <c r="AF26" s="8">
        <f t="shared" si="18"/>
        <v>-2.55351295663786E-15</v>
      </c>
    </row>
    <row r="27" spans="1:32" x14ac:dyDescent="0.25">
      <c r="A27" s="27">
        <v>38587</v>
      </c>
      <c r="B27" s="7">
        <f>'[10]Aug Prod'!I26</f>
        <v>32500000</v>
      </c>
      <c r="C27" s="8">
        <f t="shared" si="1"/>
        <v>32.5</v>
      </c>
      <c r="D27" s="10">
        <f t="shared" si="2"/>
        <v>99.774999999999991</v>
      </c>
      <c r="E27" s="7">
        <f>'[10]Aug Prod'!E26</f>
        <v>17000000</v>
      </c>
      <c r="F27" s="8">
        <f t="shared" si="3"/>
        <v>17</v>
      </c>
      <c r="G27" s="10">
        <f t="shared" si="4"/>
        <v>52.19</v>
      </c>
      <c r="H27" s="7">
        <f>'[10]Aug Prod'!F26</f>
        <v>16750000</v>
      </c>
      <c r="I27" s="8">
        <f t="shared" si="5"/>
        <v>16.75</v>
      </c>
      <c r="J27" s="10">
        <f t="shared" si="6"/>
        <v>51.422499999999999</v>
      </c>
      <c r="K27" s="7">
        <f>'[10]Aug Prod'!H281</f>
        <v>3727848</v>
      </c>
      <c r="L27" s="8">
        <f t="shared" si="7"/>
        <v>3.7278479999999998</v>
      </c>
      <c r="M27" s="10">
        <f t="shared" si="8"/>
        <v>11.444493359999999</v>
      </c>
      <c r="N27" s="21"/>
      <c r="O27" s="7">
        <f>'[10]Aug Prod'!H26</f>
        <v>5634000.0000000056</v>
      </c>
      <c r="P27" s="8">
        <f t="shared" si="9"/>
        <v>5.6340000000000057</v>
      </c>
      <c r="Q27" s="10">
        <f t="shared" si="10"/>
        <v>17.296380000000017</v>
      </c>
      <c r="R27" s="7">
        <f>'[10]Aug Prod'!C26</f>
        <v>5734000</v>
      </c>
      <c r="S27" s="8">
        <f t="shared" si="11"/>
        <v>5.734</v>
      </c>
      <c r="T27" s="10">
        <f t="shared" si="12"/>
        <v>17.603379999999998</v>
      </c>
      <c r="U27" s="7">
        <f>'[10]Aug Prod'!D26</f>
        <v>0</v>
      </c>
      <c r="V27" s="8">
        <f t="shared" si="13"/>
        <v>0</v>
      </c>
      <c r="W27" s="10">
        <f t="shared" si="14"/>
        <v>0</v>
      </c>
      <c r="X27" s="7">
        <f>'[10]Aug Prod'!D281</f>
        <v>99999.99999999431</v>
      </c>
      <c r="Y27" s="8">
        <f t="shared" si="15"/>
        <v>9.9999999999994316E-2</v>
      </c>
      <c r="Z27" s="10">
        <f t="shared" si="16"/>
        <v>0.30699999999998251</v>
      </c>
      <c r="AA27" s="15"/>
      <c r="AB27" s="7">
        <f t="shared" si="17"/>
        <v>38134000.000000007</v>
      </c>
      <c r="AC27" s="8">
        <f t="shared" si="17"/>
        <v>38.134000000000007</v>
      </c>
      <c r="AD27" s="8">
        <f t="shared" si="17"/>
        <v>117.07138</v>
      </c>
      <c r="AF27" s="8">
        <f>T27-Q27-Z27</f>
        <v>-1.6653345369377348E-15</v>
      </c>
    </row>
    <row r="28" spans="1:32" x14ac:dyDescent="0.25">
      <c r="A28" s="27">
        <v>38588</v>
      </c>
      <c r="B28" s="7">
        <f>'[10]Aug Prod'!I27</f>
        <v>28500000</v>
      </c>
      <c r="C28" s="8">
        <f t="shared" si="1"/>
        <v>28.5</v>
      </c>
      <c r="D28" s="10">
        <f t="shared" si="2"/>
        <v>87.49499999999999</v>
      </c>
      <c r="E28" s="7">
        <f>'[10]Aug Prod'!E27</f>
        <v>14000000</v>
      </c>
      <c r="F28" s="8">
        <f t="shared" si="3"/>
        <v>14</v>
      </c>
      <c r="G28" s="10">
        <f t="shared" si="4"/>
        <v>42.98</v>
      </c>
      <c r="H28" s="7">
        <f>'[10]Aug Prod'!F27</f>
        <v>14510000</v>
      </c>
      <c r="I28" s="8">
        <f t="shared" si="5"/>
        <v>14.51</v>
      </c>
      <c r="J28" s="10">
        <f t="shared" si="6"/>
        <v>44.545699999999997</v>
      </c>
      <c r="K28" s="7">
        <f>'[10]Aug Prod'!H282</f>
        <v>3213914</v>
      </c>
      <c r="L28" s="8">
        <f t="shared" si="7"/>
        <v>3.2139139999999999</v>
      </c>
      <c r="M28" s="10">
        <f t="shared" si="8"/>
        <v>9.8667159799999986</v>
      </c>
      <c r="N28" s="21"/>
      <c r="O28" s="7">
        <f>'[10]Aug Prod'!H27</f>
        <v>5460999.9999999963</v>
      </c>
      <c r="P28" s="8">
        <f t="shared" si="9"/>
        <v>5.4609999999999959</v>
      </c>
      <c r="Q28" s="10">
        <f t="shared" si="10"/>
        <v>16.765269999999987</v>
      </c>
      <c r="R28" s="7">
        <f>'[10]Aug Prod'!C27</f>
        <v>5560000</v>
      </c>
      <c r="S28" s="8">
        <f t="shared" si="11"/>
        <v>5.56</v>
      </c>
      <c r="T28" s="10">
        <f t="shared" si="12"/>
        <v>17.069199999999999</v>
      </c>
      <c r="U28" s="7">
        <f>'[10]Aug Prod'!D27</f>
        <v>0</v>
      </c>
      <c r="V28" s="8">
        <f t="shared" si="13"/>
        <v>0</v>
      </c>
      <c r="W28" s="10">
        <f t="shared" si="14"/>
        <v>0</v>
      </c>
      <c r="X28" s="7">
        <f>'[10]Aug Prod'!D282</f>
        <v>99000.000000003754</v>
      </c>
      <c r="Y28" s="8">
        <f t="shared" si="15"/>
        <v>9.9000000000003752E-2</v>
      </c>
      <c r="Z28" s="10">
        <f t="shared" si="16"/>
        <v>0.30393000000001152</v>
      </c>
      <c r="AA28" s="15"/>
      <c r="AB28" s="7">
        <f t="shared" si="17"/>
        <v>33961000</v>
      </c>
      <c r="AC28" s="8">
        <f t="shared" si="17"/>
        <v>33.960999999999999</v>
      </c>
      <c r="AD28" s="8">
        <f t="shared" si="17"/>
        <v>104.26026999999998</v>
      </c>
      <c r="AF28" s="8">
        <f t="shared" si="18"/>
        <v>0</v>
      </c>
    </row>
    <row r="29" spans="1:32" x14ac:dyDescent="0.25">
      <c r="A29" s="27">
        <v>38589</v>
      </c>
      <c r="B29" s="7">
        <f>'[10]Aug Prod'!I28</f>
        <v>28900000.000001457</v>
      </c>
      <c r="C29" s="8">
        <f t="shared" si="1"/>
        <v>28.900000000001455</v>
      </c>
      <c r="D29" s="10">
        <f t="shared" si="2"/>
        <v>88.723000000004461</v>
      </c>
      <c r="E29" s="7">
        <f>'[10]Aug Prod'!E28</f>
        <v>16000000</v>
      </c>
      <c r="F29" s="8">
        <f t="shared" si="3"/>
        <v>16</v>
      </c>
      <c r="G29" s="10">
        <f t="shared" si="4"/>
        <v>49.12</v>
      </c>
      <c r="H29" s="7">
        <f>'[10]Aug Prod'!F28</f>
        <v>14690000</v>
      </c>
      <c r="I29" s="8">
        <f t="shared" si="5"/>
        <v>14.69</v>
      </c>
      <c r="J29" s="10">
        <f t="shared" si="6"/>
        <v>45.098299999999995</v>
      </c>
      <c r="K29" s="7">
        <f>'[10]Aug Prod'!H283</f>
        <v>3493000</v>
      </c>
      <c r="L29" s="8">
        <f t="shared" si="7"/>
        <v>3.4929999999999999</v>
      </c>
      <c r="M29" s="10">
        <f t="shared" si="8"/>
        <v>10.723509999999999</v>
      </c>
      <c r="N29" s="21"/>
      <c r="O29" s="7">
        <f>'[10]Aug Prod'!H28</f>
        <v>5641999.9999999991</v>
      </c>
      <c r="P29" s="8">
        <f t="shared" si="9"/>
        <v>5.6419999999999995</v>
      </c>
      <c r="Q29" s="10">
        <f t="shared" si="10"/>
        <v>17.320939999999997</v>
      </c>
      <c r="R29" s="7">
        <f>'[10]Aug Prod'!C28</f>
        <v>5675000</v>
      </c>
      <c r="S29" s="8">
        <f t="shared" si="11"/>
        <v>5.6749999999999998</v>
      </c>
      <c r="T29" s="10">
        <f t="shared" si="12"/>
        <v>17.422249999999998</v>
      </c>
      <c r="U29" s="7">
        <f>'[10]Aug Prod'!D28</f>
        <v>0</v>
      </c>
      <c r="V29" s="8">
        <f t="shared" si="13"/>
        <v>0</v>
      </c>
      <c r="W29" s="10">
        <f t="shared" si="14"/>
        <v>0</v>
      </c>
      <c r="X29" s="7">
        <f>'[10]Aug Prod'!D283</f>
        <v>33000.000000001251</v>
      </c>
      <c r="Y29" s="8">
        <f t="shared" si="15"/>
        <v>3.3000000000001251E-2</v>
      </c>
      <c r="Z29" s="10">
        <f t="shared" si="16"/>
        <v>0.10131000000000383</v>
      </c>
      <c r="AA29" s="15"/>
      <c r="AB29" s="7">
        <f t="shared" si="17"/>
        <v>34542000.000001453</v>
      </c>
      <c r="AC29" s="8">
        <f t="shared" si="17"/>
        <v>34.542000000001451</v>
      </c>
      <c r="AD29" s="8">
        <f t="shared" si="17"/>
        <v>106.04394000000445</v>
      </c>
      <c r="AF29" s="8">
        <f t="shared" si="18"/>
        <v>-2.2620794126737565E-15</v>
      </c>
    </row>
    <row r="30" spans="1:32" x14ac:dyDescent="0.25">
      <c r="A30" s="27">
        <v>38590</v>
      </c>
      <c r="B30" s="7">
        <f>'[10]Aug Prod'!I29</f>
        <v>33200000.000000726</v>
      </c>
      <c r="C30" s="8">
        <f t="shared" si="1"/>
        <v>33.200000000000728</v>
      </c>
      <c r="D30" s="10">
        <f t="shared" si="2"/>
        <v>101.92400000000222</v>
      </c>
      <c r="E30" s="7">
        <f>'[10]Aug Prod'!E29</f>
        <v>17000000</v>
      </c>
      <c r="F30" s="8">
        <f t="shared" si="3"/>
        <v>17</v>
      </c>
      <c r="G30" s="10">
        <f t="shared" si="4"/>
        <v>52.19</v>
      </c>
      <c r="H30" s="7">
        <f>'[10]Aug Prod'!F29</f>
        <v>17000000</v>
      </c>
      <c r="I30" s="8">
        <f t="shared" si="5"/>
        <v>17</v>
      </c>
      <c r="J30" s="10">
        <f t="shared" si="6"/>
        <v>52.19</v>
      </c>
      <c r="K30" s="7">
        <f>'[10]Aug Prod'!H284</f>
        <v>3901853</v>
      </c>
      <c r="L30" s="8">
        <f t="shared" si="7"/>
        <v>3.901853</v>
      </c>
      <c r="M30" s="10">
        <f t="shared" si="8"/>
        <v>11.97868871</v>
      </c>
      <c r="N30" s="21"/>
      <c r="O30" s="7">
        <f>'[10]Aug Prod'!H29</f>
        <v>4816000.0000000037</v>
      </c>
      <c r="P30" s="8">
        <f t="shared" si="9"/>
        <v>4.8160000000000034</v>
      </c>
      <c r="Q30" s="10">
        <f t="shared" si="10"/>
        <v>14.78512000000001</v>
      </c>
      <c r="R30" s="7">
        <f>'[10]Aug Prod'!C29</f>
        <v>4979000</v>
      </c>
      <c r="S30" s="8">
        <f t="shared" si="11"/>
        <v>4.9790000000000001</v>
      </c>
      <c r="T30" s="10">
        <f t="shared" si="12"/>
        <v>15.28553</v>
      </c>
      <c r="U30" s="7">
        <f>'[10]Aug Prod'!D29</f>
        <v>0</v>
      </c>
      <c r="V30" s="8">
        <f t="shared" si="13"/>
        <v>0</v>
      </c>
      <c r="W30" s="10">
        <f t="shared" si="14"/>
        <v>0</v>
      </c>
      <c r="X30" s="7">
        <f>'[10]Aug Prod'!D284</f>
        <v>162999.99999999671</v>
      </c>
      <c r="Y30" s="8">
        <f t="shared" si="15"/>
        <v>0.1629999999999967</v>
      </c>
      <c r="Z30" s="10">
        <f t="shared" si="16"/>
        <v>0.50040999999998981</v>
      </c>
      <c r="AA30" s="15"/>
      <c r="AB30" s="7">
        <f t="shared" si="17"/>
        <v>38016000.00000073</v>
      </c>
      <c r="AC30" s="8">
        <f t="shared" si="17"/>
        <v>38.01600000000073</v>
      </c>
      <c r="AD30" s="8">
        <f>D30+Q30</f>
        <v>116.70912000000223</v>
      </c>
      <c r="AF30" s="8">
        <f t="shared" si="18"/>
        <v>0</v>
      </c>
    </row>
    <row r="31" spans="1:32" x14ac:dyDescent="0.25">
      <c r="A31" s="27">
        <v>38591</v>
      </c>
      <c r="B31" s="7">
        <f>'[10]Aug Prod'!I30</f>
        <v>31200000.000000726</v>
      </c>
      <c r="C31" s="8">
        <f t="shared" si="1"/>
        <v>31.200000000000728</v>
      </c>
      <c r="D31" s="10">
        <f t="shared" si="2"/>
        <v>95.784000000002223</v>
      </c>
      <c r="E31" s="7">
        <f>'[10]Aug Prod'!E30</f>
        <v>16000000</v>
      </c>
      <c r="F31" s="8">
        <f t="shared" si="3"/>
        <v>16</v>
      </c>
      <c r="G31" s="10">
        <f t="shared" si="4"/>
        <v>49.12</v>
      </c>
      <c r="H31" s="7">
        <f>'[10]Aug Prod'!F30</f>
        <v>16250000</v>
      </c>
      <c r="I31" s="8">
        <f t="shared" si="5"/>
        <v>16.25</v>
      </c>
      <c r="J31" s="10">
        <f t="shared" si="6"/>
        <v>49.887499999999996</v>
      </c>
      <c r="K31" s="7">
        <f>'[10]Aug Prod'!H285</f>
        <v>3634675</v>
      </c>
      <c r="L31" s="8">
        <f t="shared" si="7"/>
        <v>3.6346750000000001</v>
      </c>
      <c r="M31" s="10">
        <f t="shared" si="8"/>
        <v>11.15845225</v>
      </c>
      <c r="N31" s="21"/>
      <c r="O31" s="7">
        <f>'[10]Aug Prod'!H30</f>
        <v>4885000.0000000019</v>
      </c>
      <c r="P31" s="8">
        <f t="shared" si="9"/>
        <v>4.8850000000000016</v>
      </c>
      <c r="Q31" s="10">
        <f t="shared" si="10"/>
        <v>14.996950000000004</v>
      </c>
      <c r="R31" s="7">
        <f>'[10]Aug Prod'!C30</f>
        <v>4953000</v>
      </c>
      <c r="S31" s="8">
        <f t="shared" si="11"/>
        <v>4.9530000000000003</v>
      </c>
      <c r="T31" s="10">
        <f t="shared" si="12"/>
        <v>15.20571</v>
      </c>
      <c r="U31" s="7">
        <f>'[10]Aug Prod'!D30</f>
        <v>0</v>
      </c>
      <c r="V31" s="8">
        <f t="shared" si="13"/>
        <v>0</v>
      </c>
      <c r="W31" s="10">
        <f t="shared" si="14"/>
        <v>0</v>
      </c>
      <c r="X31" s="7">
        <f>'[10]Aug Prod'!D285</f>
        <v>67999.999999997846</v>
      </c>
      <c r="Y31" s="8">
        <f t="shared" si="15"/>
        <v>6.799999999999784E-2</v>
      </c>
      <c r="Z31" s="10">
        <f t="shared" si="16"/>
        <v>0.20875999999999337</v>
      </c>
      <c r="AA31" s="15"/>
      <c r="AB31" s="7">
        <f t="shared" si="17"/>
        <v>36085000.00000073</v>
      </c>
      <c r="AC31" s="8">
        <f t="shared" si="17"/>
        <v>36.085000000000733</v>
      </c>
      <c r="AD31" s="8">
        <f t="shared" si="17"/>
        <v>110.78095000000222</v>
      </c>
      <c r="AF31" s="8">
        <f t="shared" si="18"/>
        <v>2.9143354396410359E-15</v>
      </c>
    </row>
    <row r="32" spans="1:32" x14ac:dyDescent="0.25">
      <c r="A32" s="27">
        <v>38592</v>
      </c>
      <c r="B32" s="7">
        <f>'[10]Aug Prod'!I31</f>
        <v>27599999.999998543</v>
      </c>
      <c r="C32" s="8">
        <f t="shared" si="1"/>
        <v>27.599999999998545</v>
      </c>
      <c r="D32" s="10">
        <f t="shared" si="2"/>
        <v>84.731999999995523</v>
      </c>
      <c r="E32" s="7">
        <f>'[10]Aug Prod'!E31</f>
        <v>14000000</v>
      </c>
      <c r="F32" s="8">
        <f t="shared" si="3"/>
        <v>14</v>
      </c>
      <c r="G32" s="10">
        <f t="shared" si="4"/>
        <v>42.98</v>
      </c>
      <c r="H32" s="7">
        <f>'[10]Aug Prod'!F31</f>
        <v>14860000</v>
      </c>
      <c r="I32" s="8">
        <f t="shared" si="5"/>
        <v>14.86</v>
      </c>
      <c r="J32" s="10">
        <f t="shared" si="6"/>
        <v>45.620199999999997</v>
      </c>
      <c r="K32" s="7">
        <f>'[10]Aug Prod'!H286</f>
        <v>3193771</v>
      </c>
      <c r="L32" s="8">
        <f t="shared" si="7"/>
        <v>3.1937709999999999</v>
      </c>
      <c r="M32" s="10">
        <f t="shared" si="8"/>
        <v>9.8048769699999987</v>
      </c>
      <c r="N32" s="21"/>
      <c r="O32" s="7">
        <f>'[10]Aug Prod'!H31</f>
        <v>4988999.9999999916</v>
      </c>
      <c r="P32" s="8">
        <f t="shared" si="9"/>
        <v>4.9889999999999919</v>
      </c>
      <c r="Q32" s="10">
        <f t="shared" si="10"/>
        <v>15.316229999999974</v>
      </c>
      <c r="R32" s="7">
        <f>'[10]Aug Prod'!C31</f>
        <v>5089000</v>
      </c>
      <c r="S32" s="8">
        <f t="shared" si="11"/>
        <v>5.0890000000000004</v>
      </c>
      <c r="T32" s="10">
        <f t="shared" si="12"/>
        <v>15.623230000000001</v>
      </c>
      <c r="U32" s="7">
        <f>'[10]Aug Prod'!D31</f>
        <v>0</v>
      </c>
      <c r="V32" s="8">
        <f t="shared" si="13"/>
        <v>0</v>
      </c>
      <c r="W32" s="10">
        <f t="shared" si="14"/>
        <v>0</v>
      </c>
      <c r="X32" s="7">
        <f>'[10]Aug Prod'!D286</f>
        <v>100000.00000000853</v>
      </c>
      <c r="Y32" s="8">
        <f t="shared" si="15"/>
        <v>0.10000000000000853</v>
      </c>
      <c r="Z32" s="10">
        <f t="shared" si="16"/>
        <v>0.30700000000002614</v>
      </c>
      <c r="AA32" s="15"/>
      <c r="AB32" s="7">
        <f t="shared" si="17"/>
        <v>32588999.999998536</v>
      </c>
      <c r="AC32" s="8">
        <f t="shared" si="17"/>
        <v>32.588999999998535</v>
      </c>
      <c r="AD32" s="8">
        <f t="shared" si="17"/>
        <v>100.0482299999955</v>
      </c>
      <c r="AF32" s="8">
        <f t="shared" si="18"/>
        <v>8.8817841970012523E-16</v>
      </c>
    </row>
    <row r="33" spans="1:32" x14ac:dyDescent="0.25">
      <c r="A33" s="27">
        <v>38593</v>
      </c>
      <c r="B33" s="7">
        <f>'[10]Aug Prod'!I32</f>
        <v>31099999.999998543</v>
      </c>
      <c r="C33" s="8">
        <f t="shared" si="1"/>
        <v>31.099999999998545</v>
      </c>
      <c r="D33" s="10">
        <f t="shared" si="2"/>
        <v>95.476999999995527</v>
      </c>
      <c r="E33" s="7">
        <f>'[10]Aug Prod'!E32</f>
        <v>13000000</v>
      </c>
      <c r="F33" s="8">
        <f t="shared" si="3"/>
        <v>13</v>
      </c>
      <c r="G33" s="10">
        <f t="shared" si="4"/>
        <v>39.909999999999997</v>
      </c>
      <c r="H33" s="7">
        <f>'[10]Aug Prod'!F32</f>
        <v>18690000</v>
      </c>
      <c r="I33" s="8">
        <f t="shared" si="5"/>
        <v>18.690000000000001</v>
      </c>
      <c r="J33" s="10">
        <f t="shared" si="6"/>
        <v>57.378300000000003</v>
      </c>
      <c r="K33" s="7">
        <f>'[10]Aug Prod'!H287</f>
        <v>3725650</v>
      </c>
      <c r="L33" s="8">
        <f t="shared" ref="L33" si="19">K33/1000000</f>
        <v>3.7256499999999999</v>
      </c>
      <c r="M33" s="10">
        <f t="shared" ref="M33" si="20">L33*3.07</f>
        <v>11.437745499999998</v>
      </c>
      <c r="N33" s="21"/>
      <c r="O33" s="7">
        <f>'[10]Aug Prod'!H32</f>
        <v>4865000.0000000047</v>
      </c>
      <c r="P33" s="8">
        <f t="shared" si="9"/>
        <v>4.8650000000000047</v>
      </c>
      <c r="Q33" s="10">
        <f t="shared" si="10"/>
        <v>14.935550000000013</v>
      </c>
      <c r="R33" s="7">
        <f>'[10]Aug Prod'!C32</f>
        <v>5004000</v>
      </c>
      <c r="S33" s="8">
        <f t="shared" si="11"/>
        <v>5.0039999999999996</v>
      </c>
      <c r="T33" s="10">
        <f t="shared" si="12"/>
        <v>15.362279999999998</v>
      </c>
      <c r="U33" s="7">
        <f>'[10]Aug Prod'!D32</f>
        <v>0</v>
      </c>
      <c r="V33" s="8">
        <f t="shared" si="13"/>
        <v>0</v>
      </c>
      <c r="W33" s="10">
        <f t="shared" si="14"/>
        <v>0</v>
      </c>
      <c r="X33" s="7">
        <f>'[10]Aug Prod'!D287</f>
        <v>138999.99999999578</v>
      </c>
      <c r="Y33" s="8">
        <f t="shared" si="15"/>
        <v>0.13899999999999579</v>
      </c>
      <c r="Z33" s="10">
        <f t="shared" si="16"/>
        <v>0.42672999999998706</v>
      </c>
      <c r="AA33" s="15"/>
      <c r="AB33" s="7">
        <f t="shared" si="17"/>
        <v>35964999.999998547</v>
      </c>
      <c r="AC33" s="8">
        <f t="shared" si="17"/>
        <v>35.964999999998547</v>
      </c>
      <c r="AD33" s="8">
        <f t="shared" si="17"/>
        <v>110.41254999999555</v>
      </c>
      <c r="AF33" s="8">
        <f t="shared" si="18"/>
        <v>-2.1094237467877974E-15</v>
      </c>
    </row>
    <row r="34" spans="1:32" x14ac:dyDescent="0.25">
      <c r="A34" s="27">
        <v>38594</v>
      </c>
      <c r="B34" s="7">
        <f>'[10]Aug Prod'!I33</f>
        <v>30000000</v>
      </c>
      <c r="C34" s="8">
        <f t="shared" si="1"/>
        <v>30</v>
      </c>
      <c r="D34" s="10">
        <f t="shared" si="2"/>
        <v>92.1</v>
      </c>
      <c r="E34" s="7">
        <f>'[10]Aug Prod'!E33</f>
        <v>13000000</v>
      </c>
      <c r="F34" s="8">
        <f t="shared" si="3"/>
        <v>13</v>
      </c>
      <c r="G34" s="10">
        <f t="shared" si="4"/>
        <v>39.909999999999997</v>
      </c>
      <c r="H34" s="7">
        <f>'[10]Aug Prod'!F33</f>
        <v>21050000</v>
      </c>
      <c r="I34" s="8">
        <f t="shared" si="5"/>
        <v>21.05</v>
      </c>
      <c r="J34" s="10">
        <f t="shared" si="6"/>
        <v>64.623499999999993</v>
      </c>
      <c r="K34" s="7">
        <f>'[10]Aug Prod'!H288</f>
        <v>3843001</v>
      </c>
      <c r="L34" s="8">
        <f t="shared" ref="L34:L35" si="21">K34/1000000</f>
        <v>3.8430010000000001</v>
      </c>
      <c r="M34" s="10">
        <f t="shared" ref="M34:M35" si="22">L34*3.07</f>
        <v>11.79801307</v>
      </c>
      <c r="N34" s="21"/>
      <c r="O34" s="7">
        <f>'[10]Aug Prod'!H33</f>
        <v>5031999.9999999925</v>
      </c>
      <c r="P34" s="8">
        <f t="shared" si="9"/>
        <v>5.0319999999999929</v>
      </c>
      <c r="Q34" s="10">
        <f t="shared" si="10"/>
        <v>15.448239999999977</v>
      </c>
      <c r="R34" s="7">
        <f>'[10]Aug Prod'!C33</f>
        <v>5102000</v>
      </c>
      <c r="S34" s="8">
        <f t="shared" si="11"/>
        <v>5.1020000000000003</v>
      </c>
      <c r="T34" s="10">
        <f t="shared" si="12"/>
        <v>15.66314</v>
      </c>
      <c r="U34" s="7">
        <f>'[10]Aug Prod'!D33</f>
        <v>0</v>
      </c>
      <c r="V34" s="8">
        <f t="shared" si="13"/>
        <v>0</v>
      </c>
      <c r="W34" s="10">
        <f t="shared" si="14"/>
        <v>0</v>
      </c>
      <c r="X34" s="7">
        <f>'[10]Aug Prod'!D288</f>
        <v>70000.000000007392</v>
      </c>
      <c r="Y34" s="8">
        <f t="shared" si="15"/>
        <v>7.000000000000739E-2</v>
      </c>
      <c r="Z34" s="10">
        <f t="shared" si="16"/>
        <v>0.21490000000002268</v>
      </c>
      <c r="AA34" s="15"/>
      <c r="AB34" s="7">
        <f t="shared" si="17"/>
        <v>35031999.999999993</v>
      </c>
      <c r="AC34" s="8">
        <f t="shared" si="17"/>
        <v>35.031999999999996</v>
      </c>
      <c r="AD34" s="8">
        <f t="shared" si="17"/>
        <v>107.54823999999996</v>
      </c>
      <c r="AF34" s="8">
        <f t="shared" si="18"/>
        <v>4.9960036108132044E-16</v>
      </c>
    </row>
    <row r="35" spans="1:32" ht="13.8" thickBot="1" x14ac:dyDescent="0.3">
      <c r="A35" s="27">
        <v>38595</v>
      </c>
      <c r="B35" s="7">
        <f>'[10]Aug Prod'!I34</f>
        <v>33100000.000002183</v>
      </c>
      <c r="C35" s="8">
        <f t="shared" si="1"/>
        <v>33.100000000002183</v>
      </c>
      <c r="D35" s="10">
        <f t="shared" si="2"/>
        <v>101.6170000000067</v>
      </c>
      <c r="E35" s="7">
        <f>'[10]Aug Prod'!E34</f>
        <v>11000000</v>
      </c>
      <c r="F35" s="8">
        <f t="shared" si="3"/>
        <v>11</v>
      </c>
      <c r="G35" s="10">
        <f t="shared" si="4"/>
        <v>33.769999999999996</v>
      </c>
      <c r="H35" s="7">
        <f>'[10]Aug Prod'!F34</f>
        <v>18250000</v>
      </c>
      <c r="I35" s="8">
        <f t="shared" si="5"/>
        <v>18.25</v>
      </c>
      <c r="J35" s="10">
        <f t="shared" si="6"/>
        <v>56.027499999999996</v>
      </c>
      <c r="K35" s="43">
        <f>'[10]Aug Prod'!H289</f>
        <v>-91266568</v>
      </c>
      <c r="L35" s="8">
        <f t="shared" si="21"/>
        <v>-91.266568000000007</v>
      </c>
      <c r="M35" s="10">
        <f t="shared" si="22"/>
        <v>-280.18836376000002</v>
      </c>
      <c r="N35" s="21"/>
      <c r="O35" s="7">
        <f>'[10]Aug Prod'!H34</f>
        <v>4775000</v>
      </c>
      <c r="P35" s="8">
        <f t="shared" si="9"/>
        <v>4.7750000000000004</v>
      </c>
      <c r="Q35" s="10">
        <f t="shared" si="10"/>
        <v>14.65925</v>
      </c>
      <c r="R35" s="7">
        <f>'[10]Aug Prod'!C34</f>
        <v>4912000</v>
      </c>
      <c r="S35" s="8">
        <f t="shared" si="11"/>
        <v>4.9119999999999999</v>
      </c>
      <c r="T35" s="10">
        <f t="shared" si="12"/>
        <v>15.079839999999999</v>
      </c>
      <c r="U35" s="7">
        <f>'[10]Aug Prod'!D34</f>
        <v>0</v>
      </c>
      <c r="V35" s="8">
        <f t="shared" si="13"/>
        <v>0</v>
      </c>
      <c r="W35" s="10">
        <f t="shared" si="14"/>
        <v>0</v>
      </c>
      <c r="X35" s="7">
        <f>'[10]Aug Prod'!D289</f>
        <v>137000.00000000047</v>
      </c>
      <c r="Y35" s="8">
        <f t="shared" si="15"/>
        <v>0.13700000000000045</v>
      </c>
      <c r="Z35" s="10">
        <f t="shared" si="16"/>
        <v>0.42059000000000135</v>
      </c>
      <c r="AA35" s="15"/>
      <c r="AB35" s="7">
        <f t="shared" si="17"/>
        <v>37875000.000002183</v>
      </c>
      <c r="AC35" s="8">
        <f t="shared" si="17"/>
        <v>37.875000000002181</v>
      </c>
      <c r="AD35" s="8">
        <f t="shared" si="17"/>
        <v>116.2762500000067</v>
      </c>
      <c r="AF35" s="8">
        <f t="shared" si="18"/>
        <v>-2.4424906541753444E-15</v>
      </c>
    </row>
    <row r="36" spans="1:32" ht="13.8" thickBot="1" x14ac:dyDescent="0.3">
      <c r="A36" s="14"/>
      <c r="B36" s="38"/>
      <c r="C36" s="39">
        <f>SUM(C5:C35)</f>
        <v>939.40000000000146</v>
      </c>
      <c r="D36" s="39">
        <f t="shared" ref="D36" si="23">C36*3.07</f>
        <v>2883.9580000000042</v>
      </c>
      <c r="E36" s="38"/>
      <c r="F36" s="39">
        <f>SUM(F5:F35)</f>
        <v>459</v>
      </c>
      <c r="G36" s="39">
        <f t="shared" ref="G36" si="24">F36*3.07</f>
        <v>1409.1299999999999</v>
      </c>
      <c r="H36" s="38"/>
      <c r="I36" s="39">
        <f>SUM(I5:I35)</f>
        <v>505.37</v>
      </c>
      <c r="J36" s="39">
        <f t="shared" ref="J36" si="25">I36*3.07</f>
        <v>1551.4858999999999</v>
      </c>
      <c r="K36" s="38"/>
      <c r="L36" s="39">
        <f>SUM(L5:L35)</f>
        <v>13.949442000000005</v>
      </c>
      <c r="M36" s="39">
        <f t="shared" ref="M36" si="26">L36*3.07</f>
        <v>42.82478694000001</v>
      </c>
      <c r="N36" s="14"/>
      <c r="O36" s="38"/>
      <c r="P36" s="39">
        <f>SUM(P5:P35)</f>
        <v>165.27499999999998</v>
      </c>
      <c r="Q36" s="39">
        <f t="shared" ref="Q36" si="27">P36*3.07</f>
        <v>507.39424999999989</v>
      </c>
      <c r="R36" s="38"/>
      <c r="S36" s="39">
        <f>SUM(S5:S35)</f>
        <v>168.82900000000001</v>
      </c>
      <c r="T36" s="39">
        <f t="shared" ref="T36" si="28">S36*3.07</f>
        <v>518.30502999999999</v>
      </c>
      <c r="U36" s="38"/>
      <c r="V36" s="39">
        <f>SUM(V5:V35)</f>
        <v>0</v>
      </c>
      <c r="W36" s="39">
        <f t="shared" ref="W36" si="29">V36*3.07</f>
        <v>0</v>
      </c>
      <c r="X36" s="38"/>
      <c r="Y36" s="39">
        <f>SUM(Y5:Y35)</f>
        <v>3.554000000000002</v>
      </c>
      <c r="Z36" s="39">
        <f t="shared" ref="Z36" si="30">Y36*3.07</f>
        <v>10.910780000000006</v>
      </c>
      <c r="AA36" s="14"/>
      <c r="AB36" s="38"/>
      <c r="AC36" s="39">
        <f>SUM(AC5:AC35)</f>
        <v>1104.6750000000018</v>
      </c>
      <c r="AD36" s="39">
        <f>AC36*3.07</f>
        <v>3391.3522500000054</v>
      </c>
      <c r="AF36" s="39">
        <f>SUM(AF5:AF35)</f>
        <v>-1.2975731600306517E-14</v>
      </c>
    </row>
    <row r="37" spans="1:32" x14ac:dyDescent="0.25">
      <c r="C37" s="18"/>
      <c r="E37" s="3"/>
      <c r="F37" s="3"/>
      <c r="G37" s="3"/>
      <c r="H37" s="3"/>
      <c r="I37" s="3"/>
      <c r="J37" s="3"/>
      <c r="K37" s="14"/>
      <c r="L37" s="3"/>
      <c r="M37" s="3"/>
      <c r="N37" s="3"/>
      <c r="O37" s="3"/>
      <c r="P37" s="3"/>
      <c r="Q37" s="3"/>
      <c r="R37" s="3"/>
      <c r="S37" s="3"/>
      <c r="T37" s="3"/>
      <c r="U37" s="14"/>
    </row>
    <row r="38" spans="1:32" x14ac:dyDescent="0.25">
      <c r="G38" s="15"/>
    </row>
  </sheetData>
  <mergeCells count="9">
    <mergeCell ref="AB3:AD3"/>
    <mergeCell ref="R3:T3"/>
    <mergeCell ref="U3:W3"/>
    <mergeCell ref="X3:Z3"/>
    <mergeCell ref="B3:D3"/>
    <mergeCell ref="E3:G3"/>
    <mergeCell ref="H3:J3"/>
    <mergeCell ref="O3:Q3"/>
    <mergeCell ref="K3:M3"/>
  </mergeCells>
  <phoneticPr fontId="1" type="noConversion"/>
  <pageMargins left="0.75" right="0.75" top="1" bottom="1" header="0.5" footer="0.5"/>
  <pageSetup scale="37" orientation="landscape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AF38"/>
  <sheetViews>
    <sheetView workbookViewId="0">
      <pane xSplit="1" ySplit="4" topLeftCell="O11" activePane="bottomRight" state="frozen"/>
      <selection activeCell="T39" sqref="T39"/>
      <selection pane="topRight" activeCell="T39" sqref="T39"/>
      <selection pane="bottomLeft" activeCell="T39" sqref="T39"/>
      <selection pane="bottomRight" activeCell="AD33" sqref="AD33:AD34"/>
    </sheetView>
  </sheetViews>
  <sheetFormatPr defaultRowHeight="13.2" x14ac:dyDescent="0.25"/>
  <cols>
    <col min="2" max="2" width="12.5546875" customWidth="1"/>
    <col min="5" max="5" width="11.33203125" customWidth="1"/>
    <col min="8" max="8" width="11.33203125" customWidth="1"/>
    <col min="11" max="11" width="14.44140625" customWidth="1"/>
    <col min="12" max="12" width="10.44140625" customWidth="1"/>
    <col min="13" max="13" width="10.109375" customWidth="1"/>
    <col min="15" max="15" width="13.5546875" customWidth="1"/>
    <col min="18" max="18" width="11.109375" customWidth="1"/>
    <col min="22" max="22" width="11" customWidth="1"/>
    <col min="28" max="28" width="11.109375" customWidth="1"/>
  </cols>
  <sheetData>
    <row r="1" spans="1:32" x14ac:dyDescent="0.25">
      <c r="A1" s="44" t="s">
        <v>14</v>
      </c>
      <c r="B1" s="41"/>
      <c r="C1" s="42"/>
      <c r="D1" s="42"/>
      <c r="E1" s="25"/>
      <c r="F1" s="25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14"/>
      <c r="V1" s="3"/>
      <c r="W1" s="3"/>
      <c r="X1" s="3"/>
    </row>
    <row r="2" spans="1:32" ht="13.8" thickBot="1" x14ac:dyDescent="0.3">
      <c r="A2" s="3"/>
      <c r="B2" s="3"/>
      <c r="C2" s="24"/>
      <c r="D2" s="3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  <c r="V2" s="3"/>
      <c r="W2" s="3"/>
      <c r="X2" s="3"/>
    </row>
    <row r="3" spans="1:32" ht="60.75" customHeight="1" thickBot="1" x14ac:dyDescent="0.3">
      <c r="A3" s="3"/>
      <c r="B3" s="61" t="s">
        <v>10</v>
      </c>
      <c r="C3" s="62"/>
      <c r="D3" s="63"/>
      <c r="E3" s="61" t="s">
        <v>11</v>
      </c>
      <c r="F3" s="62"/>
      <c r="G3" s="63"/>
      <c r="H3" s="61" t="s">
        <v>12</v>
      </c>
      <c r="I3" s="62"/>
      <c r="J3" s="63"/>
      <c r="K3" s="61" t="s">
        <v>13</v>
      </c>
      <c r="L3" s="62"/>
      <c r="M3" s="63"/>
      <c r="N3" s="19"/>
      <c r="O3" s="61" t="s">
        <v>4</v>
      </c>
      <c r="P3" s="62"/>
      <c r="Q3" s="63"/>
      <c r="R3" s="61" t="s">
        <v>3</v>
      </c>
      <c r="S3" s="62"/>
      <c r="T3" s="63"/>
      <c r="U3" s="61" t="s">
        <v>6</v>
      </c>
      <c r="V3" s="62"/>
      <c r="W3" s="63"/>
      <c r="X3" s="61" t="s">
        <v>7</v>
      </c>
      <c r="Y3" s="62"/>
      <c r="Z3" s="63"/>
      <c r="AA3" s="19"/>
      <c r="AB3" s="58" t="s">
        <v>8</v>
      </c>
      <c r="AC3" s="59"/>
      <c r="AD3" s="60"/>
      <c r="AF3" s="34" t="s">
        <v>9</v>
      </c>
    </row>
    <row r="4" spans="1:32" x14ac:dyDescent="0.25">
      <c r="A4" s="26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31" t="s">
        <v>0</v>
      </c>
      <c r="AC4" s="32" t="s">
        <v>1</v>
      </c>
      <c r="AD4" s="33" t="s">
        <v>2</v>
      </c>
      <c r="AF4" s="5" t="s">
        <v>2</v>
      </c>
    </row>
    <row r="5" spans="1:32" x14ac:dyDescent="0.25">
      <c r="A5" s="27">
        <v>38596</v>
      </c>
      <c r="B5" s="7">
        <f>'[11]Sep Prod'!I4</f>
        <v>25500000</v>
      </c>
      <c r="C5" s="8">
        <f>B5/1000000</f>
        <v>25.5</v>
      </c>
      <c r="D5" s="10">
        <f>C5*3.07</f>
        <v>78.284999999999997</v>
      </c>
      <c r="E5" s="7">
        <f>'[11]Sep Prod'!E4</f>
        <v>10000000</v>
      </c>
      <c r="F5" s="8">
        <f>E5/1000000</f>
        <v>10</v>
      </c>
      <c r="G5" s="10">
        <f>F5*3.07</f>
        <v>30.7</v>
      </c>
      <c r="H5" s="7">
        <f>'[11]Sep Prod'!F4</f>
        <v>15800000</v>
      </c>
      <c r="I5" s="8">
        <f t="shared" ref="I5" si="0">H5/1000000</f>
        <v>15.8</v>
      </c>
      <c r="J5" s="10">
        <f>I5*3.07</f>
        <v>48.506</v>
      </c>
      <c r="K5" s="7">
        <f>'[11]Sep Prod'!H252</f>
        <v>2936748</v>
      </c>
      <c r="L5" s="8">
        <f>K5/1000000</f>
        <v>2.9367480000000001</v>
      </c>
      <c r="M5" s="10">
        <f>L5*3.07</f>
        <v>9.0158163600000005</v>
      </c>
      <c r="N5" s="21"/>
      <c r="O5" s="7">
        <f>'[11]Sep Prod'!H4</f>
        <v>4923000.0000000102</v>
      </c>
      <c r="P5" s="8">
        <f>O5/1000000</f>
        <v>4.9230000000000098</v>
      </c>
      <c r="Q5" s="10">
        <f>P5*3.07</f>
        <v>15.11361000000003</v>
      </c>
      <c r="R5" s="7">
        <f>'[11]Sep Prod'!C4</f>
        <v>5025000</v>
      </c>
      <c r="S5" s="8">
        <f>R5/1000000</f>
        <v>5.0250000000000004</v>
      </c>
      <c r="T5" s="10">
        <f>S5*3.07</f>
        <v>15.42675</v>
      </c>
      <c r="U5" s="7">
        <f>'[11]Sep Prod'!D4</f>
        <v>0</v>
      </c>
      <c r="V5" s="8">
        <f>U5/1000000</f>
        <v>0</v>
      </c>
      <c r="W5" s="10">
        <f>V5*3.07</f>
        <v>0</v>
      </c>
      <c r="X5" s="7">
        <f>'[11]Sep Prod'!D252</f>
        <v>101999.99999998965</v>
      </c>
      <c r="Y5" s="8">
        <f>X5/1000000</f>
        <v>0.10199999999998965</v>
      </c>
      <c r="Z5" s="10">
        <f>Y5*3.07</f>
        <v>0.31313999999996822</v>
      </c>
      <c r="AA5" s="15"/>
      <c r="AB5" s="7">
        <f>B5+O5</f>
        <v>30423000.000000011</v>
      </c>
      <c r="AC5" s="8">
        <f>C5+P5</f>
        <v>30.423000000000009</v>
      </c>
      <c r="AD5" s="8">
        <f>D5+Q5</f>
        <v>93.398610000000019</v>
      </c>
      <c r="AF5" s="8">
        <f>T5-Q5-Z5</f>
        <v>2.2204460492503131E-15</v>
      </c>
    </row>
    <row r="6" spans="1:32" x14ac:dyDescent="0.25">
      <c r="A6" s="27">
        <v>38597</v>
      </c>
      <c r="B6" s="7">
        <f>'[11]Sep Prod'!I5</f>
        <v>23700000.000000726</v>
      </c>
      <c r="C6" s="8">
        <f t="shared" ref="C6:C34" si="1">B6/1000000</f>
        <v>23.700000000000728</v>
      </c>
      <c r="D6" s="10">
        <f t="shared" ref="D6:D34" si="2">C6*3.07</f>
        <v>72.759000000002231</v>
      </c>
      <c r="E6" s="7">
        <f>'[11]Sep Prod'!E5</f>
        <v>10000000</v>
      </c>
      <c r="F6" s="8">
        <f t="shared" ref="F6:F34" si="3">E6/1000000</f>
        <v>10</v>
      </c>
      <c r="G6" s="10">
        <f t="shared" ref="G6:G34" si="4">F6*3.07</f>
        <v>30.7</v>
      </c>
      <c r="H6" s="7">
        <f>'[11]Sep Prod'!F5</f>
        <v>14570000</v>
      </c>
      <c r="I6" s="8">
        <f t="shared" ref="I6:I34" si="5">H6/1000000</f>
        <v>14.57</v>
      </c>
      <c r="J6" s="10">
        <f t="shared" ref="J6:J34" si="6">I6*3.07</f>
        <v>44.729900000000001</v>
      </c>
      <c r="K6" s="7">
        <f>'[11]Sep Prod'!H253</f>
        <v>2846566</v>
      </c>
      <c r="L6" s="8">
        <f t="shared" ref="L6:L34" si="7">K6/1000000</f>
        <v>2.8465660000000002</v>
      </c>
      <c r="M6" s="10">
        <f t="shared" ref="M6:M34" si="8">L6*3.07</f>
        <v>8.7389576200000008</v>
      </c>
      <c r="N6" s="21"/>
      <c r="O6" s="7">
        <f>'[11]Sep Prod'!H5</f>
        <v>7773000.0000000009</v>
      </c>
      <c r="P6" s="8">
        <f t="shared" ref="P6:P34" si="9">O6/1000000</f>
        <v>7.7730000000000006</v>
      </c>
      <c r="Q6" s="10">
        <f t="shared" ref="Q6:Q34" si="10">P6*3.07</f>
        <v>23.863109999999999</v>
      </c>
      <c r="R6" s="7">
        <f>'[11]Sep Prod'!C5</f>
        <v>7883000</v>
      </c>
      <c r="S6" s="8">
        <f t="shared" ref="S6:S34" si="11">R6/1000000</f>
        <v>7.883</v>
      </c>
      <c r="T6" s="10">
        <f t="shared" ref="T6:T34" si="12">S6*3.07</f>
        <v>24.200809999999997</v>
      </c>
      <c r="U6" s="7">
        <f>'[11]Sep Prod'!D5</f>
        <v>0</v>
      </c>
      <c r="V6" s="8">
        <f t="shared" ref="V6:V34" si="13">U6/1000000</f>
        <v>0</v>
      </c>
      <c r="W6" s="10">
        <f t="shared" ref="W6:W34" si="14">V6*3.07</f>
        <v>0</v>
      </c>
      <c r="X6" s="7">
        <f>'[11]Sep Prod'!D253</f>
        <v>109999.99999999943</v>
      </c>
      <c r="Y6" s="8">
        <f t="shared" ref="Y6:Y34" si="15">X6/1000000</f>
        <v>0.10999999999999943</v>
      </c>
      <c r="Z6" s="10">
        <f t="shared" ref="Z6:Z35" si="16">Y6*3.07</f>
        <v>0.33769999999999822</v>
      </c>
      <c r="AA6" s="15"/>
      <c r="AB6" s="7">
        <f t="shared" ref="AB6:AD35" si="17">B6+O6</f>
        <v>31473000.000000726</v>
      </c>
      <c r="AC6" s="8">
        <f t="shared" si="17"/>
        <v>31.473000000000727</v>
      </c>
      <c r="AD6" s="8">
        <f t="shared" si="17"/>
        <v>96.622110000002237</v>
      </c>
      <c r="AF6" s="8">
        <f t="shared" ref="AF6:AF14" si="18">T6-Q6-Z6</f>
        <v>0</v>
      </c>
    </row>
    <row r="7" spans="1:32" x14ac:dyDescent="0.25">
      <c r="A7" s="27">
        <v>38598</v>
      </c>
      <c r="B7" s="7">
        <f>'[11]Sep Prod'!I6</f>
        <v>27199999.999997091</v>
      </c>
      <c r="C7" s="8">
        <f t="shared" si="1"/>
        <v>27.19999999999709</v>
      </c>
      <c r="D7" s="10">
        <f t="shared" si="2"/>
        <v>83.503999999991066</v>
      </c>
      <c r="E7" s="7">
        <f>'[11]Sep Prod'!E6</f>
        <v>11000000</v>
      </c>
      <c r="F7" s="8">
        <f t="shared" si="3"/>
        <v>11</v>
      </c>
      <c r="G7" s="10">
        <f t="shared" si="4"/>
        <v>33.769999999999996</v>
      </c>
      <c r="H7" s="7">
        <f>'[11]Sep Prod'!F6</f>
        <v>16910000</v>
      </c>
      <c r="I7" s="8">
        <f t="shared" si="5"/>
        <v>16.91</v>
      </c>
      <c r="J7" s="10">
        <f t="shared" si="6"/>
        <v>51.913699999999999</v>
      </c>
      <c r="K7" s="7">
        <f>'[11]Sep Prod'!H254</f>
        <v>3183848</v>
      </c>
      <c r="L7" s="8">
        <f t="shared" si="7"/>
        <v>3.1838479999999998</v>
      </c>
      <c r="M7" s="10">
        <f t="shared" si="8"/>
        <v>9.7744133599999987</v>
      </c>
      <c r="N7" s="21"/>
      <c r="O7" s="7">
        <f>'[11]Sep Prod'!H6</f>
        <v>8024999.9999999972</v>
      </c>
      <c r="P7" s="8">
        <f t="shared" si="9"/>
        <v>8.0249999999999968</v>
      </c>
      <c r="Q7" s="10">
        <f t="shared" si="10"/>
        <v>24.636749999999989</v>
      </c>
      <c r="R7" s="7">
        <f>'[11]Sep Prod'!C6</f>
        <v>8228000</v>
      </c>
      <c r="S7" s="8">
        <f t="shared" si="11"/>
        <v>8.2279999999999998</v>
      </c>
      <c r="T7" s="10">
        <f t="shared" si="12"/>
        <v>25.25996</v>
      </c>
      <c r="U7" s="7">
        <f>'[11]Sep Prod'!D6</f>
        <v>0</v>
      </c>
      <c r="V7" s="8">
        <f t="shared" si="13"/>
        <v>0</v>
      </c>
      <c r="W7" s="10">
        <f t="shared" si="14"/>
        <v>0</v>
      </c>
      <c r="X7" s="7">
        <f>'[11]Sep Prod'!D254</f>
        <v>203000.00000000297</v>
      </c>
      <c r="Y7" s="8">
        <f t="shared" si="15"/>
        <v>0.20300000000000296</v>
      </c>
      <c r="Z7" s="10">
        <f t="shared" si="16"/>
        <v>0.62321000000000903</v>
      </c>
      <c r="AA7" s="15"/>
      <c r="AB7" s="7">
        <f t="shared" si="17"/>
        <v>35224999.999997087</v>
      </c>
      <c r="AC7" s="8">
        <f t="shared" si="17"/>
        <v>35.224999999997088</v>
      </c>
      <c r="AD7" s="8">
        <f t="shared" si="17"/>
        <v>108.14074999999106</v>
      </c>
      <c r="AF7" s="8">
        <f t="shared" si="18"/>
        <v>1.8873791418627661E-15</v>
      </c>
    </row>
    <row r="8" spans="1:32" x14ac:dyDescent="0.25">
      <c r="A8" s="27">
        <v>38599</v>
      </c>
      <c r="B8" s="7">
        <f>'[11]Sep Prod'!I7</f>
        <v>22200000.000000726</v>
      </c>
      <c r="C8" s="8">
        <f t="shared" si="1"/>
        <v>22.200000000000728</v>
      </c>
      <c r="D8" s="10">
        <f t="shared" si="2"/>
        <v>68.154000000002227</v>
      </c>
      <c r="E8" s="7">
        <f>'[11]Sep Prod'!E7</f>
        <v>11000000</v>
      </c>
      <c r="F8" s="8">
        <f t="shared" si="3"/>
        <v>11</v>
      </c>
      <c r="G8" s="10">
        <f t="shared" si="4"/>
        <v>33.769999999999996</v>
      </c>
      <c r="H8" s="7">
        <f>'[11]Sep Prod'!F7</f>
        <v>12210000</v>
      </c>
      <c r="I8" s="8">
        <f t="shared" si="5"/>
        <v>12.21</v>
      </c>
      <c r="J8" s="10">
        <f t="shared" si="6"/>
        <v>37.484700000000004</v>
      </c>
      <c r="K8" s="7">
        <f>'[11]Sep Prod'!H255</f>
        <v>2658491</v>
      </c>
      <c r="L8" s="8">
        <f t="shared" si="7"/>
        <v>2.6584910000000002</v>
      </c>
      <c r="M8" s="10">
        <f t="shared" si="8"/>
        <v>8.1615673700000002</v>
      </c>
      <c r="N8" s="21"/>
      <c r="O8" s="7">
        <f>'[11]Sep Prod'!H7</f>
        <v>7688999.9999999953</v>
      </c>
      <c r="P8" s="8">
        <f t="shared" si="9"/>
        <v>7.6889999999999956</v>
      </c>
      <c r="Q8" s="10">
        <f t="shared" si="10"/>
        <v>23.605229999999985</v>
      </c>
      <c r="R8" s="7">
        <f>'[11]Sep Prod'!C7</f>
        <v>7806000</v>
      </c>
      <c r="S8" s="8">
        <f t="shared" si="11"/>
        <v>7.806</v>
      </c>
      <c r="T8" s="10">
        <f t="shared" si="12"/>
        <v>23.96442</v>
      </c>
      <c r="U8" s="7">
        <f>'[11]Sep Prod'!D7</f>
        <v>0</v>
      </c>
      <c r="V8" s="8">
        <f t="shared" si="13"/>
        <v>0</v>
      </c>
      <c r="W8" s="10">
        <f t="shared" si="14"/>
        <v>0</v>
      </c>
      <c r="X8" s="7">
        <f>'[11]Sep Prod'!D255</f>
        <v>117000.00000000444</v>
      </c>
      <c r="Y8" s="8">
        <f t="shared" si="15"/>
        <v>0.11700000000000443</v>
      </c>
      <c r="Z8" s="10">
        <f t="shared" si="16"/>
        <v>0.35919000000001361</v>
      </c>
      <c r="AA8" s="15"/>
      <c r="AB8" s="7">
        <f t="shared" si="17"/>
        <v>29889000.000000723</v>
      </c>
      <c r="AC8" s="8">
        <f t="shared" si="17"/>
        <v>29.889000000000724</v>
      </c>
      <c r="AD8" s="8">
        <f>D8+Q8</f>
        <v>91.759230000002219</v>
      </c>
      <c r="AF8" s="8">
        <f t="shared" si="18"/>
        <v>2.2759572004815709E-15</v>
      </c>
    </row>
    <row r="9" spans="1:32" x14ac:dyDescent="0.25">
      <c r="A9" s="27">
        <v>38600</v>
      </c>
      <c r="B9" s="7">
        <f>'[11]Sep Prod'!I8</f>
        <v>24299999.999999274</v>
      </c>
      <c r="C9" s="8">
        <f t="shared" si="1"/>
        <v>24.299999999999272</v>
      </c>
      <c r="D9" s="10">
        <f t="shared" si="2"/>
        <v>74.600999999997768</v>
      </c>
      <c r="E9" s="7">
        <f>'[11]Sep Prod'!E8</f>
        <v>12000000</v>
      </c>
      <c r="F9" s="8">
        <f t="shared" si="3"/>
        <v>12</v>
      </c>
      <c r="G9" s="10">
        <f t="shared" si="4"/>
        <v>36.839999999999996</v>
      </c>
      <c r="H9" s="7">
        <f>'[11]Sep Prod'!F8</f>
        <v>12590000</v>
      </c>
      <c r="I9" s="8">
        <f t="shared" si="5"/>
        <v>12.59</v>
      </c>
      <c r="J9" s="10">
        <f t="shared" si="6"/>
        <v>38.651299999999999</v>
      </c>
      <c r="K9" s="7">
        <f>'[11]Sep Prod'!H256</f>
        <v>2828685</v>
      </c>
      <c r="L9" s="8">
        <f t="shared" si="7"/>
        <v>2.8286850000000001</v>
      </c>
      <c r="M9" s="10">
        <f t="shared" si="8"/>
        <v>8.6840629499999995</v>
      </c>
      <c r="N9" s="21"/>
      <c r="O9" s="7">
        <f>'[11]Sep Prod'!H8</f>
        <v>10621000</v>
      </c>
      <c r="P9" s="8">
        <f t="shared" si="9"/>
        <v>10.621</v>
      </c>
      <c r="Q9" s="10">
        <f t="shared" si="10"/>
        <v>32.606470000000002</v>
      </c>
      <c r="R9" s="7">
        <f>'[11]Sep Prod'!C8</f>
        <v>10740000</v>
      </c>
      <c r="S9" s="8">
        <f t="shared" si="11"/>
        <v>10.74</v>
      </c>
      <c r="T9" s="10">
        <f t="shared" si="12"/>
        <v>32.971800000000002</v>
      </c>
      <c r="U9" s="7">
        <f>'[11]Sep Prod'!D8</f>
        <v>0</v>
      </c>
      <c r="V9" s="8">
        <f t="shared" si="13"/>
        <v>0</v>
      </c>
      <c r="W9" s="10">
        <f t="shared" si="14"/>
        <v>0</v>
      </c>
      <c r="X9" s="7">
        <f>'[11]Sep Prod'!D256</f>
        <v>118999.99999999977</v>
      </c>
      <c r="Y9" s="8">
        <f t="shared" si="15"/>
        <v>0.11899999999999977</v>
      </c>
      <c r="Z9" s="10">
        <f t="shared" si="16"/>
        <v>0.36532999999999927</v>
      </c>
      <c r="AA9" s="15"/>
      <c r="AB9" s="7">
        <f t="shared" si="17"/>
        <v>34920999.99999927</v>
      </c>
      <c r="AC9" s="8">
        <f t="shared" si="17"/>
        <v>34.920999999999275</v>
      </c>
      <c r="AD9" s="8">
        <f t="shared" si="17"/>
        <v>107.20746999999777</v>
      </c>
      <c r="AF9" s="8">
        <f t="shared" si="18"/>
        <v>8.8817841970012523E-16</v>
      </c>
    </row>
    <row r="10" spans="1:32" x14ac:dyDescent="0.25">
      <c r="A10" s="27">
        <v>38601</v>
      </c>
      <c r="B10" s="7">
        <f>'[11]Sep Prod'!I9</f>
        <v>23900000.000001457</v>
      </c>
      <c r="C10" s="8">
        <f t="shared" si="1"/>
        <v>23.900000000001455</v>
      </c>
      <c r="D10" s="10">
        <f t="shared" si="2"/>
        <v>73.373000000004467</v>
      </c>
      <c r="E10" s="7">
        <f>'[11]Sep Prod'!E9</f>
        <v>12000000</v>
      </c>
      <c r="F10" s="8">
        <f t="shared" si="3"/>
        <v>12</v>
      </c>
      <c r="G10" s="10">
        <f t="shared" si="4"/>
        <v>36.839999999999996</v>
      </c>
      <c r="H10" s="7">
        <f>'[11]Sep Prod'!F9</f>
        <v>12570000</v>
      </c>
      <c r="I10" s="8">
        <f t="shared" si="5"/>
        <v>12.57</v>
      </c>
      <c r="J10" s="10">
        <f t="shared" si="6"/>
        <v>38.5899</v>
      </c>
      <c r="K10" s="7">
        <f>'[11]Sep Prod'!H257</f>
        <v>2468644</v>
      </c>
      <c r="L10" s="8">
        <f t="shared" si="7"/>
        <v>2.4686439999999998</v>
      </c>
      <c r="M10" s="10">
        <f t="shared" si="8"/>
        <v>7.5787370799999989</v>
      </c>
      <c r="N10" s="21"/>
      <c r="O10" s="7">
        <f>'[11]Sep Prod'!H9</f>
        <v>10915999.999999996</v>
      </c>
      <c r="P10" s="8">
        <f t="shared" si="9"/>
        <v>10.915999999999997</v>
      </c>
      <c r="Q10" s="10">
        <f t="shared" si="10"/>
        <v>33.512119999999989</v>
      </c>
      <c r="R10" s="7">
        <f>'[11]Sep Prod'!C9</f>
        <v>11116000</v>
      </c>
      <c r="S10" s="8">
        <f t="shared" si="11"/>
        <v>11.116</v>
      </c>
      <c r="T10" s="10">
        <f t="shared" si="12"/>
        <v>34.12612</v>
      </c>
      <c r="U10" s="7">
        <f>'[11]Sep Prod'!D9</f>
        <v>0</v>
      </c>
      <c r="V10" s="8">
        <f t="shared" si="13"/>
        <v>0</v>
      </c>
      <c r="W10" s="10">
        <f t="shared" si="14"/>
        <v>0</v>
      </c>
      <c r="X10" s="7">
        <f>'[11]Sep Prod'!D257</f>
        <v>200000.00000000285</v>
      </c>
      <c r="Y10" s="8">
        <f t="shared" si="15"/>
        <v>0.20000000000000284</v>
      </c>
      <c r="Z10" s="10">
        <f t="shared" si="16"/>
        <v>0.61400000000000865</v>
      </c>
      <c r="AA10" s="15"/>
      <c r="AB10" s="7">
        <f t="shared" si="17"/>
        <v>34816000.000001453</v>
      </c>
      <c r="AC10" s="8">
        <f t="shared" si="17"/>
        <v>34.816000000001452</v>
      </c>
      <c r="AD10" s="8">
        <f t="shared" si="17"/>
        <v>106.88512000000446</v>
      </c>
      <c r="AF10" s="8">
        <f t="shared" si="18"/>
        <v>2.7755575615628914E-15</v>
      </c>
    </row>
    <row r="11" spans="1:32" x14ac:dyDescent="0.25">
      <c r="A11" s="27">
        <v>38602</v>
      </c>
      <c r="B11" s="7">
        <f>'[11]Sep Prod'!I10</f>
        <v>26000000</v>
      </c>
      <c r="C11" s="8">
        <f t="shared" si="1"/>
        <v>26</v>
      </c>
      <c r="D11" s="10">
        <f t="shared" si="2"/>
        <v>79.819999999999993</v>
      </c>
      <c r="E11" s="7">
        <f>'[11]Sep Prod'!E10</f>
        <v>13000000</v>
      </c>
      <c r="F11" s="8">
        <f t="shared" si="3"/>
        <v>13</v>
      </c>
      <c r="G11" s="10">
        <f t="shared" si="4"/>
        <v>39.909999999999997</v>
      </c>
      <c r="H11" s="7">
        <f>'[11]Sep Prod'!F10</f>
        <v>13640000</v>
      </c>
      <c r="I11" s="8">
        <f t="shared" si="5"/>
        <v>13.64</v>
      </c>
      <c r="J11" s="10">
        <f t="shared" si="6"/>
        <v>41.8748</v>
      </c>
      <c r="K11" s="7">
        <f>'[11]Sep Prod'!H258</f>
        <v>3033219</v>
      </c>
      <c r="L11" s="8">
        <f t="shared" si="7"/>
        <v>3.0332189999999999</v>
      </c>
      <c r="M11" s="10">
        <f t="shared" si="8"/>
        <v>9.3119823299999993</v>
      </c>
      <c r="N11" s="21"/>
      <c r="O11" s="7">
        <f>'[11]Sep Prod'!H10</f>
        <v>8818000.0000000075</v>
      </c>
      <c r="P11" s="8">
        <f t="shared" si="9"/>
        <v>8.8180000000000067</v>
      </c>
      <c r="Q11" s="10">
        <f t="shared" si="10"/>
        <v>27.07126000000002</v>
      </c>
      <c r="R11" s="7">
        <f>'[11]Sep Prod'!C10</f>
        <v>9004000</v>
      </c>
      <c r="S11" s="8">
        <f t="shared" si="11"/>
        <v>9.0039999999999996</v>
      </c>
      <c r="T11" s="10">
        <f t="shared" si="12"/>
        <v>27.642279999999996</v>
      </c>
      <c r="U11" s="7">
        <f>'[11]Sep Prod'!D10</f>
        <v>0</v>
      </c>
      <c r="V11" s="8">
        <f t="shared" si="13"/>
        <v>0</v>
      </c>
      <c r="W11" s="10">
        <f t="shared" si="14"/>
        <v>0</v>
      </c>
      <c r="X11" s="7">
        <f>'[11]Sep Prod'!D258</f>
        <v>185999.99999999284</v>
      </c>
      <c r="Y11" s="8">
        <f t="shared" si="15"/>
        <v>0.18599999999999284</v>
      </c>
      <c r="Z11" s="10">
        <f t="shared" si="16"/>
        <v>0.57101999999997799</v>
      </c>
      <c r="AA11" s="15"/>
      <c r="AB11" s="7">
        <f t="shared" si="17"/>
        <v>34818000.000000007</v>
      </c>
      <c r="AC11" s="8">
        <f t="shared" si="17"/>
        <v>34.818000000000005</v>
      </c>
      <c r="AD11" s="8">
        <f t="shared" si="17"/>
        <v>106.89126000000002</v>
      </c>
      <c r="AF11" s="8">
        <f t="shared" si="18"/>
        <v>-2.1094237467877974E-15</v>
      </c>
    </row>
    <row r="12" spans="1:32" x14ac:dyDescent="0.25">
      <c r="A12" s="27">
        <v>38603</v>
      </c>
      <c r="B12" s="7">
        <f>'[11]Sep Prod'!I11</f>
        <v>24299999.999999274</v>
      </c>
      <c r="C12" s="8">
        <f t="shared" si="1"/>
        <v>24.299999999999272</v>
      </c>
      <c r="D12" s="10">
        <f t="shared" si="2"/>
        <v>74.600999999997768</v>
      </c>
      <c r="E12" s="7">
        <f>'[11]Sep Prod'!E11</f>
        <v>13000000</v>
      </c>
      <c r="F12" s="8">
        <f t="shared" si="3"/>
        <v>13</v>
      </c>
      <c r="G12" s="10">
        <f t="shared" si="4"/>
        <v>39.909999999999997</v>
      </c>
      <c r="H12" s="7">
        <f>'[11]Sep Prod'!F11</f>
        <v>12460000</v>
      </c>
      <c r="I12" s="8">
        <f t="shared" si="5"/>
        <v>12.46</v>
      </c>
      <c r="J12" s="10">
        <f t="shared" si="6"/>
        <v>38.252200000000002</v>
      </c>
      <c r="K12" s="7">
        <f>'[11]Sep Prod'!H259</f>
        <v>2958846</v>
      </c>
      <c r="L12" s="8">
        <f t="shared" si="7"/>
        <v>2.9588459999999999</v>
      </c>
      <c r="M12" s="10">
        <f t="shared" si="8"/>
        <v>9.0836572199999992</v>
      </c>
      <c r="N12" s="21"/>
      <c r="O12" s="7">
        <f>'[11]Sep Prod'!H11</f>
        <v>8413999.9999999944</v>
      </c>
      <c r="P12" s="8">
        <f t="shared" si="9"/>
        <v>8.4139999999999944</v>
      </c>
      <c r="Q12" s="10">
        <f t="shared" si="10"/>
        <v>25.830979999999983</v>
      </c>
      <c r="R12" s="7">
        <f>'[11]Sep Prod'!C11</f>
        <v>8567000</v>
      </c>
      <c r="S12" s="8">
        <f t="shared" si="11"/>
        <v>8.5670000000000002</v>
      </c>
      <c r="T12" s="10">
        <f t="shared" si="12"/>
        <v>26.300689999999999</v>
      </c>
      <c r="U12" s="7">
        <f>'[11]Sep Prod'!D11</f>
        <v>0</v>
      </c>
      <c r="V12" s="8">
        <f t="shared" si="13"/>
        <v>0</v>
      </c>
      <c r="W12" s="10">
        <f t="shared" si="14"/>
        <v>0</v>
      </c>
      <c r="X12" s="7">
        <f>'[11]Sep Prod'!D259</f>
        <v>153000.00000000579</v>
      </c>
      <c r="Y12" s="8">
        <f t="shared" si="15"/>
        <v>0.1530000000000058</v>
      </c>
      <c r="Z12" s="10">
        <f t="shared" si="16"/>
        <v>0.46971000000001778</v>
      </c>
      <c r="AA12" s="15"/>
      <c r="AB12" s="7">
        <f t="shared" si="17"/>
        <v>32713999.99999927</v>
      </c>
      <c r="AC12" s="8">
        <f t="shared" si="17"/>
        <v>32.713999999999267</v>
      </c>
      <c r="AD12" s="8">
        <f t="shared" si="17"/>
        <v>100.43197999999775</v>
      </c>
      <c r="AF12" s="8">
        <f t="shared" si="18"/>
        <v>-8.3266726846886741E-16</v>
      </c>
    </row>
    <row r="13" spans="1:32" x14ac:dyDescent="0.25">
      <c r="A13" s="27">
        <v>38604</v>
      </c>
      <c r="B13" s="7">
        <f>'[11]Sep Prod'!I12</f>
        <v>24299999.999999274</v>
      </c>
      <c r="C13" s="8">
        <f t="shared" si="1"/>
        <v>24.299999999999272</v>
      </c>
      <c r="D13" s="10">
        <f t="shared" si="2"/>
        <v>74.600999999997768</v>
      </c>
      <c r="E13" s="7">
        <f>'[11]Sep Prod'!E12</f>
        <v>13000000</v>
      </c>
      <c r="F13" s="8">
        <f t="shared" si="3"/>
        <v>13</v>
      </c>
      <c r="G13" s="10">
        <f t="shared" si="4"/>
        <v>39.909999999999997</v>
      </c>
      <c r="H13" s="7">
        <f>'[11]Sep Prod'!F12</f>
        <v>12910000</v>
      </c>
      <c r="I13" s="8">
        <f t="shared" si="5"/>
        <v>12.91</v>
      </c>
      <c r="J13" s="10">
        <f t="shared" si="6"/>
        <v>39.633699999999997</v>
      </c>
      <c r="K13" s="7">
        <f>'[11]Sep Prod'!H260</f>
        <v>2914019</v>
      </c>
      <c r="L13" s="8">
        <f t="shared" si="7"/>
        <v>2.9140190000000001</v>
      </c>
      <c r="M13" s="10">
        <f t="shared" si="8"/>
        <v>8.9460383300000004</v>
      </c>
      <c r="N13" s="21"/>
      <c r="O13" s="7">
        <f>'[11]Sep Prod'!H12</f>
        <v>9297000.0000000112</v>
      </c>
      <c r="P13" s="8">
        <f t="shared" si="9"/>
        <v>9.2970000000000113</v>
      </c>
      <c r="Q13" s="10">
        <f t="shared" si="10"/>
        <v>28.541790000000034</v>
      </c>
      <c r="R13" s="7">
        <f>'[11]Sep Prod'!C12</f>
        <v>9408000</v>
      </c>
      <c r="S13" s="8">
        <f t="shared" si="11"/>
        <v>9.4079999999999995</v>
      </c>
      <c r="T13" s="10">
        <f t="shared" si="12"/>
        <v>28.882559999999998</v>
      </c>
      <c r="U13" s="7">
        <f>'[11]Sep Prod'!D12</f>
        <v>0</v>
      </c>
      <c r="V13" s="8">
        <f t="shared" si="13"/>
        <v>0</v>
      </c>
      <c r="W13" s="10">
        <f t="shared" si="14"/>
        <v>0</v>
      </c>
      <c r="X13" s="7">
        <f>'[11]Sep Prod'!D260</f>
        <v>110999.99999998999</v>
      </c>
      <c r="Y13" s="8">
        <f t="shared" si="15"/>
        <v>0.11099999999998998</v>
      </c>
      <c r="Z13" s="10">
        <f t="shared" si="16"/>
        <v>0.34076999999996921</v>
      </c>
      <c r="AA13" s="15"/>
      <c r="AB13" s="7">
        <f t="shared" si="17"/>
        <v>33596999.999999285</v>
      </c>
      <c r="AC13" s="8">
        <f t="shared" si="17"/>
        <v>33.596999999999284</v>
      </c>
      <c r="AD13" s="8">
        <f t="shared" si="17"/>
        <v>103.1427899999978</v>
      </c>
      <c r="AF13" s="8">
        <f t="shared" si="18"/>
        <v>-5.6066262743570405E-15</v>
      </c>
    </row>
    <row r="14" spans="1:32" x14ac:dyDescent="0.25">
      <c r="A14" s="27">
        <v>38605</v>
      </c>
      <c r="B14" s="7">
        <f>'[11]Sep Prod'!I13</f>
        <v>22900000.000001457</v>
      </c>
      <c r="C14" s="8">
        <f t="shared" si="1"/>
        <v>22.900000000001455</v>
      </c>
      <c r="D14" s="10">
        <f t="shared" si="2"/>
        <v>70.303000000004459</v>
      </c>
      <c r="E14" s="7">
        <f>'[11]Sep Prod'!E13</f>
        <v>9000000</v>
      </c>
      <c r="F14" s="8">
        <f t="shared" si="3"/>
        <v>9</v>
      </c>
      <c r="G14" s="10">
        <f t="shared" si="4"/>
        <v>27.63</v>
      </c>
      <c r="H14" s="7">
        <f>'[11]Sep Prod'!F13</f>
        <v>14510000</v>
      </c>
      <c r="I14" s="8">
        <f t="shared" si="5"/>
        <v>14.51</v>
      </c>
      <c r="J14" s="10">
        <f t="shared" si="6"/>
        <v>44.545699999999997</v>
      </c>
      <c r="K14" s="7">
        <f>'[11]Sep Prod'!H261</f>
        <v>2766181</v>
      </c>
      <c r="L14" s="8">
        <f t="shared" si="7"/>
        <v>2.766181</v>
      </c>
      <c r="M14" s="10">
        <f t="shared" si="8"/>
        <v>8.49217567</v>
      </c>
      <c r="N14" s="21"/>
      <c r="O14" s="7">
        <f>'[11]Sep Prod'!H13</f>
        <v>9972999.9999999981</v>
      </c>
      <c r="P14" s="8">
        <f t="shared" si="9"/>
        <v>9.972999999999999</v>
      </c>
      <c r="Q14" s="10">
        <f t="shared" si="10"/>
        <v>30.617109999999997</v>
      </c>
      <c r="R14" s="7">
        <f>'[11]Sep Prod'!C13</f>
        <v>10128000</v>
      </c>
      <c r="S14" s="8">
        <f t="shared" si="11"/>
        <v>10.128</v>
      </c>
      <c r="T14" s="10">
        <f t="shared" si="12"/>
        <v>31.092959999999998</v>
      </c>
      <c r="U14" s="7">
        <f>'[11]Sep Prod'!D13</f>
        <v>0</v>
      </c>
      <c r="V14" s="8">
        <f t="shared" si="13"/>
        <v>0</v>
      </c>
      <c r="W14" s="10">
        <f t="shared" si="14"/>
        <v>0</v>
      </c>
      <c r="X14" s="7">
        <f>'[11]Sep Prod'!D261</f>
        <v>155000.00000000114</v>
      </c>
      <c r="Y14" s="8">
        <f t="shared" si="15"/>
        <v>0.15500000000000114</v>
      </c>
      <c r="Z14" s="10">
        <f t="shared" si="16"/>
        <v>0.47585000000000349</v>
      </c>
      <c r="AA14" s="15"/>
      <c r="AB14" s="7">
        <f t="shared" si="17"/>
        <v>32873000.000001453</v>
      </c>
      <c r="AC14" s="8">
        <f t="shared" si="17"/>
        <v>32.873000000001454</v>
      </c>
      <c r="AD14" s="8">
        <f t="shared" si="17"/>
        <v>100.92011000000446</v>
      </c>
      <c r="AF14" s="8">
        <f t="shared" si="18"/>
        <v>-2.2759572004815709E-15</v>
      </c>
    </row>
    <row r="15" spans="1:32" x14ac:dyDescent="0.25">
      <c r="A15" s="27">
        <v>38606</v>
      </c>
      <c r="B15" s="7">
        <f>'[11]Sep Prod'!I14</f>
        <v>24500000</v>
      </c>
      <c r="C15" s="8">
        <f t="shared" si="1"/>
        <v>24.5</v>
      </c>
      <c r="D15" s="10">
        <f t="shared" si="2"/>
        <v>75.214999999999989</v>
      </c>
      <c r="E15" s="7">
        <f>'[11]Sep Prod'!E14</f>
        <v>7000000</v>
      </c>
      <c r="F15" s="8">
        <f t="shared" si="3"/>
        <v>7</v>
      </c>
      <c r="G15" s="10">
        <f t="shared" si="4"/>
        <v>21.49</v>
      </c>
      <c r="H15" s="7">
        <f>'[11]Sep Prod'!F14</f>
        <v>16850000</v>
      </c>
      <c r="I15" s="8">
        <f t="shared" si="5"/>
        <v>16.850000000000001</v>
      </c>
      <c r="J15" s="10">
        <f t="shared" si="6"/>
        <v>51.729500000000002</v>
      </c>
      <c r="K15" s="7">
        <f>'[11]Sep Prod'!H262</f>
        <v>2896609</v>
      </c>
      <c r="L15" s="8">
        <f t="shared" si="7"/>
        <v>2.8966090000000002</v>
      </c>
      <c r="M15" s="10">
        <f t="shared" si="8"/>
        <v>8.8925896299999998</v>
      </c>
      <c r="N15" s="21"/>
      <c r="O15" s="7">
        <f>'[11]Sep Prod'!H14</f>
        <v>9616000.0000000019</v>
      </c>
      <c r="P15" s="8">
        <f t="shared" si="9"/>
        <v>9.6160000000000014</v>
      </c>
      <c r="Q15" s="10">
        <f t="shared" si="10"/>
        <v>29.521120000000003</v>
      </c>
      <c r="R15" s="7">
        <f>'[11]Sep Prod'!C14</f>
        <v>9836000</v>
      </c>
      <c r="S15" s="8">
        <f t="shared" si="11"/>
        <v>9.8360000000000003</v>
      </c>
      <c r="T15" s="10">
        <f t="shared" si="12"/>
        <v>30.19652</v>
      </c>
      <c r="U15" s="7">
        <f>'[11]Sep Prod'!D14</f>
        <v>0</v>
      </c>
      <c r="V15" s="8">
        <f t="shared" si="13"/>
        <v>0</v>
      </c>
      <c r="W15" s="10">
        <f t="shared" si="14"/>
        <v>0</v>
      </c>
      <c r="X15" s="7">
        <f>'[11]Sep Prod'!D262</f>
        <v>219999.99999999886</v>
      </c>
      <c r="Y15" s="8">
        <f t="shared" si="15"/>
        <v>0.21999999999999886</v>
      </c>
      <c r="Z15" s="10">
        <f t="shared" si="16"/>
        <v>0.67539999999999645</v>
      </c>
      <c r="AA15" s="15"/>
      <c r="AB15" s="7">
        <f t="shared" si="17"/>
        <v>34116000</v>
      </c>
      <c r="AC15" s="8">
        <f t="shared" si="17"/>
        <v>34.116</v>
      </c>
      <c r="AD15" s="8">
        <f t="shared" si="17"/>
        <v>104.73612</v>
      </c>
      <c r="AF15" s="8">
        <f>T15-Q15-Z15</f>
        <v>0</v>
      </c>
    </row>
    <row r="16" spans="1:32" x14ac:dyDescent="0.25">
      <c r="A16" s="27">
        <v>38607</v>
      </c>
      <c r="B16" s="7">
        <f>'[11]Sep Prod'!I15</f>
        <v>25799999.999999274</v>
      </c>
      <c r="C16" s="8">
        <f t="shared" si="1"/>
        <v>25.799999999999272</v>
      </c>
      <c r="D16" s="10">
        <f t="shared" si="2"/>
        <v>79.205999999997758</v>
      </c>
      <c r="E16" s="7">
        <f>'[11]Sep Prod'!E15</f>
        <v>8000000</v>
      </c>
      <c r="F16" s="8">
        <f t="shared" si="3"/>
        <v>8</v>
      </c>
      <c r="G16" s="10">
        <f t="shared" si="4"/>
        <v>24.56</v>
      </c>
      <c r="H16" s="7">
        <f>'[11]Sep Prod'!F15</f>
        <v>18230000</v>
      </c>
      <c r="I16" s="8">
        <f t="shared" si="5"/>
        <v>18.23</v>
      </c>
      <c r="J16" s="10">
        <f t="shared" si="6"/>
        <v>55.966099999999997</v>
      </c>
      <c r="K16" s="7">
        <f>'[11]Sep Prod'!H263</f>
        <v>2914722</v>
      </c>
      <c r="L16" s="8">
        <f t="shared" si="7"/>
        <v>2.9147219999999998</v>
      </c>
      <c r="M16" s="10">
        <f t="shared" si="8"/>
        <v>8.9481965399999996</v>
      </c>
      <c r="N16" s="21"/>
      <c r="O16" s="7">
        <f>'[11]Sep Prod'!H15</f>
        <v>8630000.0000000019</v>
      </c>
      <c r="P16" s="8">
        <f t="shared" si="9"/>
        <v>8.6300000000000026</v>
      </c>
      <c r="Q16" s="10">
        <f t="shared" si="10"/>
        <v>26.494100000000007</v>
      </c>
      <c r="R16" s="7">
        <f>'[11]Sep Prod'!C15</f>
        <v>8838000</v>
      </c>
      <c r="S16" s="8">
        <f t="shared" si="11"/>
        <v>8.8379999999999992</v>
      </c>
      <c r="T16" s="10">
        <f t="shared" si="12"/>
        <v>27.132659999999998</v>
      </c>
      <c r="U16" s="7">
        <f>'[11]Sep Prod'!D15</f>
        <v>0</v>
      </c>
      <c r="V16" s="8">
        <f t="shared" si="13"/>
        <v>0</v>
      </c>
      <c r="W16" s="10">
        <f t="shared" si="14"/>
        <v>0</v>
      </c>
      <c r="X16" s="7">
        <f>'[11]Sep Prod'!D263</f>
        <v>207999.9999999984</v>
      </c>
      <c r="Y16" s="8">
        <f t="shared" si="15"/>
        <v>0.20799999999999841</v>
      </c>
      <c r="Z16" s="10">
        <f t="shared" si="16"/>
        <v>0.63855999999999513</v>
      </c>
      <c r="AA16" s="15"/>
      <c r="AB16" s="7">
        <f t="shared" si="17"/>
        <v>34429999.999999277</v>
      </c>
      <c r="AC16" s="8">
        <f t="shared" si="17"/>
        <v>34.429999999999275</v>
      </c>
      <c r="AD16" s="8">
        <f t="shared" si="17"/>
        <v>105.70009999999776</v>
      </c>
      <c r="AF16" s="8">
        <f>T16-Q16-Z16</f>
        <v>-3.9968028886505635E-15</v>
      </c>
    </row>
    <row r="17" spans="1:32" x14ac:dyDescent="0.25">
      <c r="A17" s="27">
        <v>38608</v>
      </c>
      <c r="B17" s="7">
        <f>'[11]Sep Prod'!I16</f>
        <v>28400000.000001457</v>
      </c>
      <c r="C17" s="8">
        <f t="shared" si="1"/>
        <v>28.400000000001455</v>
      </c>
      <c r="D17" s="10">
        <f t="shared" si="2"/>
        <v>87.188000000004465</v>
      </c>
      <c r="E17" s="7">
        <f>'[11]Sep Prod'!E16</f>
        <v>8000000</v>
      </c>
      <c r="F17" s="8">
        <f t="shared" si="3"/>
        <v>8</v>
      </c>
      <c r="G17" s="10">
        <f t="shared" si="4"/>
        <v>24.56</v>
      </c>
      <c r="H17" s="7">
        <f>'[11]Sep Prod'!F16</f>
        <v>20930000</v>
      </c>
      <c r="I17" s="8">
        <f t="shared" si="5"/>
        <v>20.93</v>
      </c>
      <c r="J17" s="10">
        <f t="shared" si="6"/>
        <v>64.255099999999999</v>
      </c>
      <c r="K17" s="7">
        <f>'[11]Sep Prod'!H264</f>
        <v>3411518</v>
      </c>
      <c r="L17" s="8">
        <f t="shared" si="7"/>
        <v>3.4115180000000001</v>
      </c>
      <c r="M17" s="10">
        <f t="shared" si="8"/>
        <v>10.47336026</v>
      </c>
      <c r="N17" s="21"/>
      <c r="O17" s="7">
        <f>'[11]Sep Prod'!H16</f>
        <v>7420999.9999999944</v>
      </c>
      <c r="P17" s="8">
        <f t="shared" si="9"/>
        <v>7.420999999999994</v>
      </c>
      <c r="Q17" s="10">
        <f t="shared" si="10"/>
        <v>22.782469999999982</v>
      </c>
      <c r="R17" s="7">
        <f>'[11]Sep Prod'!C16</f>
        <v>7562000</v>
      </c>
      <c r="S17" s="8">
        <f t="shared" si="11"/>
        <v>7.5620000000000003</v>
      </c>
      <c r="T17" s="10">
        <f t="shared" si="12"/>
        <v>23.215340000000001</v>
      </c>
      <c r="U17" s="7">
        <f>'[11]Sep Prod'!D16</f>
        <v>0</v>
      </c>
      <c r="V17" s="8">
        <f t="shared" si="13"/>
        <v>0</v>
      </c>
      <c r="W17" s="10">
        <f t="shared" si="14"/>
        <v>0</v>
      </c>
      <c r="X17" s="7">
        <f>'[11]Sep Prod'!D264</f>
        <v>141000.00000000536</v>
      </c>
      <c r="Y17" s="8">
        <f t="shared" si="15"/>
        <v>0.14100000000000534</v>
      </c>
      <c r="Z17" s="10">
        <f t="shared" si="16"/>
        <v>0.43287000000001641</v>
      </c>
      <c r="AA17" s="15"/>
      <c r="AB17" s="7">
        <f t="shared" si="17"/>
        <v>35821000.000001453</v>
      </c>
      <c r="AC17" s="8">
        <f t="shared" si="17"/>
        <v>35.821000000001447</v>
      </c>
      <c r="AD17" s="8">
        <f t="shared" si="17"/>
        <v>109.97047000000444</v>
      </c>
      <c r="AF17" s="8">
        <f>T17-Q17-Z17</f>
        <v>2.55351295663786E-15</v>
      </c>
    </row>
    <row r="18" spans="1:32" x14ac:dyDescent="0.25">
      <c r="A18" s="27">
        <v>38609</v>
      </c>
      <c r="B18" s="7">
        <f>'[11]Sep Prod'!I17</f>
        <v>26000000</v>
      </c>
      <c r="C18" s="8">
        <f t="shared" si="1"/>
        <v>26</v>
      </c>
      <c r="D18" s="10">
        <f t="shared" si="2"/>
        <v>79.819999999999993</v>
      </c>
      <c r="E18" s="7">
        <f>'[11]Sep Prod'!E17</f>
        <v>7000000</v>
      </c>
      <c r="F18" s="8">
        <f t="shared" si="3"/>
        <v>7</v>
      </c>
      <c r="G18" s="10">
        <f t="shared" si="4"/>
        <v>21.49</v>
      </c>
      <c r="H18" s="7">
        <f>'[11]Sep Prod'!F17</f>
        <v>18020000</v>
      </c>
      <c r="I18" s="8">
        <f t="shared" si="5"/>
        <v>18.02</v>
      </c>
      <c r="J18" s="10">
        <f t="shared" si="6"/>
        <v>55.321399999999997</v>
      </c>
      <c r="K18" s="7">
        <f>'[11]Sep Prod'!H265</f>
        <v>2924599</v>
      </c>
      <c r="L18" s="8">
        <f t="shared" si="7"/>
        <v>2.9245990000000002</v>
      </c>
      <c r="M18" s="10">
        <f t="shared" si="8"/>
        <v>8.9785189299999999</v>
      </c>
      <c r="N18" s="21"/>
      <c r="O18" s="7">
        <f>'[11]Sep Prod'!H17</f>
        <v>7808999.9999999953</v>
      </c>
      <c r="P18" s="8">
        <f t="shared" si="9"/>
        <v>7.8089999999999957</v>
      </c>
      <c r="Q18" s="10">
        <f t="shared" si="10"/>
        <v>23.973629999999986</v>
      </c>
      <c r="R18" s="7">
        <f>'[11]Sep Prod'!C17</f>
        <v>8048000</v>
      </c>
      <c r="S18" s="8">
        <f t="shared" si="11"/>
        <v>8.048</v>
      </c>
      <c r="T18" s="10">
        <f t="shared" si="12"/>
        <v>24.707359999999998</v>
      </c>
      <c r="U18" s="7">
        <f>'[11]Sep Prod'!D17</f>
        <v>0</v>
      </c>
      <c r="V18" s="8">
        <f t="shared" si="13"/>
        <v>0</v>
      </c>
      <c r="W18" s="10">
        <f t="shared" si="14"/>
        <v>0</v>
      </c>
      <c r="X18" s="7">
        <f>'[11]Sep Prod'!D265</f>
        <v>239000.00000000431</v>
      </c>
      <c r="Y18" s="8">
        <f t="shared" si="15"/>
        <v>0.23900000000000432</v>
      </c>
      <c r="Z18" s="10">
        <f t="shared" si="16"/>
        <v>0.7337300000000132</v>
      </c>
      <c r="AA18" s="15"/>
      <c r="AB18" s="7">
        <f t="shared" si="17"/>
        <v>33808999.999999993</v>
      </c>
      <c r="AC18" s="8">
        <f t="shared" si="17"/>
        <v>33.808999999999997</v>
      </c>
      <c r="AD18" s="8">
        <f t="shared" si="17"/>
        <v>103.79362999999998</v>
      </c>
      <c r="AF18" s="8">
        <f>T18-Q18-Z18</f>
        <v>-1.2212453270876722E-15</v>
      </c>
    </row>
    <row r="19" spans="1:32" x14ac:dyDescent="0.25">
      <c r="A19" s="27">
        <v>38610</v>
      </c>
      <c r="B19" s="7">
        <f>'[11]Sep Prod'!I18</f>
        <v>23299999.999999274</v>
      </c>
      <c r="C19" s="8">
        <f t="shared" si="1"/>
        <v>23.299999999999272</v>
      </c>
      <c r="D19" s="10">
        <f t="shared" si="2"/>
        <v>71.530999999997761</v>
      </c>
      <c r="E19" s="7">
        <f>'[11]Sep Prod'!E18</f>
        <v>7000000</v>
      </c>
      <c r="F19" s="8">
        <f t="shared" si="3"/>
        <v>7</v>
      </c>
      <c r="G19" s="10">
        <f t="shared" si="4"/>
        <v>21.49</v>
      </c>
      <c r="H19" s="7">
        <f>'[11]Sep Prod'!F18</f>
        <v>16329999.999999998</v>
      </c>
      <c r="I19" s="8">
        <f t="shared" si="5"/>
        <v>16.329999999999998</v>
      </c>
      <c r="J19" s="10">
        <f t="shared" si="6"/>
        <v>50.133099999999992</v>
      </c>
      <c r="K19" s="7">
        <f>'[11]Sep Prod'!H266</f>
        <v>2677275</v>
      </c>
      <c r="L19" s="8">
        <f t="shared" si="7"/>
        <v>2.6772749999999998</v>
      </c>
      <c r="M19" s="10">
        <f t="shared" si="8"/>
        <v>8.2192342499999995</v>
      </c>
      <c r="N19" s="21"/>
      <c r="O19" s="7">
        <f>'[11]Sep Prod'!H18</f>
        <v>11598000.000000007</v>
      </c>
      <c r="P19" s="8">
        <f t="shared" si="9"/>
        <v>11.598000000000008</v>
      </c>
      <c r="Q19" s="10">
        <f t="shared" si="10"/>
        <v>35.605860000000021</v>
      </c>
      <c r="R19" s="7">
        <f>'[11]Sep Prod'!C18</f>
        <v>11784000</v>
      </c>
      <c r="S19" s="8">
        <f t="shared" si="11"/>
        <v>11.784000000000001</v>
      </c>
      <c r="T19" s="10">
        <f t="shared" si="12"/>
        <v>36.176879999999997</v>
      </c>
      <c r="U19" s="7">
        <f>'[11]Sep Prod'!D18</f>
        <v>0</v>
      </c>
      <c r="V19" s="8">
        <f t="shared" si="13"/>
        <v>0</v>
      </c>
      <c r="W19" s="10">
        <f t="shared" si="14"/>
        <v>0</v>
      </c>
      <c r="X19" s="7">
        <f>'[11]Sep Prod'!D266</f>
        <v>185999.99999999284</v>
      </c>
      <c r="Y19" s="8">
        <f t="shared" si="15"/>
        <v>0.18599999999999284</v>
      </c>
      <c r="Z19" s="10">
        <f t="shared" si="16"/>
        <v>0.57101999999997799</v>
      </c>
      <c r="AA19" s="15"/>
      <c r="AB19" s="7">
        <f t="shared" si="17"/>
        <v>34897999.999999285</v>
      </c>
      <c r="AC19" s="8">
        <f t="shared" si="17"/>
        <v>34.897999999999278</v>
      </c>
      <c r="AD19" s="8">
        <f>D19+Q19</f>
        <v>107.13685999999778</v>
      </c>
      <c r="AF19" s="8">
        <f>T19-Q19-Z19</f>
        <v>-2.1094237467877974E-15</v>
      </c>
    </row>
    <row r="20" spans="1:32" x14ac:dyDescent="0.25">
      <c r="A20" s="27">
        <v>38611</v>
      </c>
      <c r="B20" s="7">
        <f>'[11]Sep Prod'!I19</f>
        <v>19299999.999999274</v>
      </c>
      <c r="C20" s="8">
        <f t="shared" si="1"/>
        <v>19.299999999999272</v>
      </c>
      <c r="D20" s="10">
        <f t="shared" si="2"/>
        <v>59.250999999997767</v>
      </c>
      <c r="E20" s="7">
        <f>'[11]Sep Prod'!E19</f>
        <v>8000000</v>
      </c>
      <c r="F20" s="8">
        <f t="shared" si="3"/>
        <v>8</v>
      </c>
      <c r="G20" s="10">
        <f t="shared" si="4"/>
        <v>24.56</v>
      </c>
      <c r="H20" s="7">
        <f>'[11]Sep Prod'!F19</f>
        <v>12460000</v>
      </c>
      <c r="I20" s="8">
        <f t="shared" si="5"/>
        <v>12.46</v>
      </c>
      <c r="J20" s="10">
        <f t="shared" si="6"/>
        <v>38.252200000000002</v>
      </c>
      <c r="K20" s="7">
        <f>'[11]Sep Prod'!H267</f>
        <v>2283202</v>
      </c>
      <c r="L20" s="8">
        <f t="shared" si="7"/>
        <v>2.2832020000000002</v>
      </c>
      <c r="M20" s="10">
        <f t="shared" si="8"/>
        <v>7.0094301400000001</v>
      </c>
      <c r="N20" s="21"/>
      <c r="O20" s="7">
        <f>'[11]Sep Prod'!H19</f>
        <v>12346000.000000002</v>
      </c>
      <c r="P20" s="8">
        <f t="shared" si="9"/>
        <v>12.346000000000002</v>
      </c>
      <c r="Q20" s="10">
        <f t="shared" si="10"/>
        <v>37.902220000000007</v>
      </c>
      <c r="R20" s="7">
        <f>'[11]Sep Prod'!C19</f>
        <v>12533000</v>
      </c>
      <c r="S20" s="8">
        <f t="shared" si="11"/>
        <v>12.532999999999999</v>
      </c>
      <c r="T20" s="10">
        <f t="shared" si="12"/>
        <v>38.476309999999998</v>
      </c>
      <c r="U20" s="7">
        <f>'[11]Sep Prod'!D19</f>
        <v>0</v>
      </c>
      <c r="V20" s="8">
        <f t="shared" si="13"/>
        <v>0</v>
      </c>
      <c r="W20" s="10">
        <f t="shared" si="14"/>
        <v>0</v>
      </c>
      <c r="X20" s="7">
        <f>'[11]Sep Prod'!D267</f>
        <v>186999.99999999761</v>
      </c>
      <c r="Y20" s="8">
        <f t="shared" si="15"/>
        <v>0.18699999999999761</v>
      </c>
      <c r="Z20" s="10">
        <f t="shared" si="16"/>
        <v>0.57408999999999266</v>
      </c>
      <c r="AA20" s="15"/>
      <c r="AB20" s="7">
        <f t="shared" si="17"/>
        <v>31645999.999999277</v>
      </c>
      <c r="AC20" s="8">
        <f t="shared" si="17"/>
        <v>31.645999999999276</v>
      </c>
      <c r="AD20" s="8">
        <f t="shared" si="17"/>
        <v>97.153219999997773</v>
      </c>
      <c r="AF20" s="8">
        <f t="shared" ref="AF20:AF35" si="19">T20-Q20-Z20</f>
        <v>-1.5543122344752192E-15</v>
      </c>
    </row>
    <row r="21" spans="1:32" x14ac:dyDescent="0.25">
      <c r="A21" s="27">
        <v>38612</v>
      </c>
      <c r="B21" s="7">
        <f>'[11]Sep Prod'!I20</f>
        <v>19900000.000001457</v>
      </c>
      <c r="C21" s="8">
        <f t="shared" si="1"/>
        <v>19.900000000001455</v>
      </c>
      <c r="D21" s="10">
        <f t="shared" si="2"/>
        <v>61.093000000004466</v>
      </c>
      <c r="E21" s="7">
        <f>'[11]Sep Prod'!E20</f>
        <v>10000000</v>
      </c>
      <c r="F21" s="8">
        <f t="shared" si="3"/>
        <v>10</v>
      </c>
      <c r="G21" s="10">
        <f t="shared" si="4"/>
        <v>30.7</v>
      </c>
      <c r="H21" s="7">
        <f>'[11]Sep Prod'!F20</f>
        <v>10310000</v>
      </c>
      <c r="I21" s="8">
        <f t="shared" si="5"/>
        <v>10.31</v>
      </c>
      <c r="J21" s="10">
        <f t="shared" si="6"/>
        <v>31.651699999999998</v>
      </c>
      <c r="K21" s="7">
        <f>'[11]Sep Prod'!H268</f>
        <v>2378952</v>
      </c>
      <c r="L21" s="8">
        <f t="shared" si="7"/>
        <v>2.378952</v>
      </c>
      <c r="M21" s="10">
        <f t="shared" si="8"/>
        <v>7.3033826399999997</v>
      </c>
      <c r="N21" s="21"/>
      <c r="O21" s="7">
        <f>'[11]Sep Prod'!H20</f>
        <v>12237999.999999996</v>
      </c>
      <c r="P21" s="8">
        <f t="shared" si="9"/>
        <v>12.237999999999996</v>
      </c>
      <c r="Q21" s="10">
        <f t="shared" si="10"/>
        <v>37.570659999999982</v>
      </c>
      <c r="R21" s="7">
        <f>'[11]Sep Prod'!C20</f>
        <v>12450000</v>
      </c>
      <c r="S21" s="8">
        <f t="shared" si="11"/>
        <v>12.45</v>
      </c>
      <c r="T21" s="10">
        <f t="shared" si="12"/>
        <v>38.221499999999999</v>
      </c>
      <c r="U21" s="7">
        <f>'[11]Sep Prod'!D20</f>
        <v>0</v>
      </c>
      <c r="V21" s="8">
        <f t="shared" si="13"/>
        <v>0</v>
      </c>
      <c r="W21" s="10">
        <f t="shared" si="14"/>
        <v>0</v>
      </c>
      <c r="X21" s="7">
        <f>'[11]Sep Prod'!D268</f>
        <v>212000.00000000329</v>
      </c>
      <c r="Y21" s="8">
        <f t="shared" si="15"/>
        <v>0.2120000000000033</v>
      </c>
      <c r="Z21" s="10">
        <f t="shared" si="16"/>
        <v>0.65084000000001008</v>
      </c>
      <c r="AA21" s="15"/>
      <c r="AB21" s="7">
        <f t="shared" si="17"/>
        <v>32138000.000001453</v>
      </c>
      <c r="AC21" s="8">
        <f t="shared" si="17"/>
        <v>32.138000000001455</v>
      </c>
      <c r="AD21" s="8">
        <f t="shared" si="17"/>
        <v>98.663660000004455</v>
      </c>
      <c r="AF21" s="8">
        <f t="shared" si="19"/>
        <v>6.4392935428259079E-15</v>
      </c>
    </row>
    <row r="22" spans="1:32" x14ac:dyDescent="0.25">
      <c r="A22" s="27">
        <v>38613</v>
      </c>
      <c r="B22" s="7">
        <f>'[11]Sep Prod'!I21</f>
        <v>21500000</v>
      </c>
      <c r="C22" s="8">
        <f t="shared" si="1"/>
        <v>21.5</v>
      </c>
      <c r="D22" s="10">
        <f t="shared" si="2"/>
        <v>66.004999999999995</v>
      </c>
      <c r="E22" s="7">
        <f>'[11]Sep Prod'!E21</f>
        <v>11000000</v>
      </c>
      <c r="F22" s="8">
        <f t="shared" si="3"/>
        <v>11</v>
      </c>
      <c r="G22" s="10">
        <f t="shared" si="4"/>
        <v>33.769999999999996</v>
      </c>
      <c r="H22" s="7">
        <f>'[11]Sep Prod'!F21</f>
        <v>10870000</v>
      </c>
      <c r="I22" s="8">
        <f t="shared" si="5"/>
        <v>10.87</v>
      </c>
      <c r="J22" s="10">
        <f t="shared" si="6"/>
        <v>33.370899999999999</v>
      </c>
      <c r="K22" s="7">
        <f>'[11]Sep Prod'!H269</f>
        <v>2455601</v>
      </c>
      <c r="L22" s="8">
        <f t="shared" si="7"/>
        <v>2.4556010000000001</v>
      </c>
      <c r="M22" s="10">
        <f t="shared" si="8"/>
        <v>7.5386950700000002</v>
      </c>
      <c r="N22" s="21"/>
      <c r="O22" s="7">
        <f>'[11]Sep Prod'!H21</f>
        <v>12125999.999999991</v>
      </c>
      <c r="P22" s="8">
        <f t="shared" si="9"/>
        <v>12.125999999999991</v>
      </c>
      <c r="Q22" s="10">
        <f t="shared" si="10"/>
        <v>37.226819999999968</v>
      </c>
      <c r="R22" s="7">
        <f>'[11]Sep Prod'!C21</f>
        <v>12372000</v>
      </c>
      <c r="S22" s="8">
        <f t="shared" si="11"/>
        <v>12.372</v>
      </c>
      <c r="T22" s="10">
        <f t="shared" si="12"/>
        <v>37.982039999999998</v>
      </c>
      <c r="U22" s="7">
        <f>'[11]Sep Prod'!D21</f>
        <v>0</v>
      </c>
      <c r="V22" s="8">
        <f t="shared" si="13"/>
        <v>0</v>
      </c>
      <c r="W22" s="10">
        <f t="shared" si="14"/>
        <v>0</v>
      </c>
      <c r="X22" s="7">
        <f>'[11]Sep Prod'!D269</f>
        <v>246000.00000000931</v>
      </c>
      <c r="Y22" s="8">
        <f t="shared" si="15"/>
        <v>0.24600000000000932</v>
      </c>
      <c r="Z22" s="10">
        <f t="shared" si="16"/>
        <v>0.75522000000002854</v>
      </c>
      <c r="AA22" s="15"/>
      <c r="AB22" s="7">
        <f t="shared" si="17"/>
        <v>33625999.999999993</v>
      </c>
      <c r="AC22" s="8">
        <f t="shared" si="17"/>
        <v>33.625999999999991</v>
      </c>
      <c r="AD22" s="8">
        <f t="shared" si="17"/>
        <v>103.23181999999997</v>
      </c>
      <c r="AF22" s="8">
        <f t="shared" si="19"/>
        <v>1.2212453270876722E-15</v>
      </c>
    </row>
    <row r="23" spans="1:32" x14ac:dyDescent="0.25">
      <c r="A23" s="27">
        <v>38614</v>
      </c>
      <c r="B23" s="7">
        <f>'[11]Sep Prod'!I22</f>
        <v>20299999.999999274</v>
      </c>
      <c r="C23" s="8">
        <f t="shared" si="1"/>
        <v>20.299999999999272</v>
      </c>
      <c r="D23" s="10">
        <f t="shared" si="2"/>
        <v>62.32099999999776</v>
      </c>
      <c r="E23" s="7">
        <f>'[11]Sep Prod'!E22</f>
        <v>10000000</v>
      </c>
      <c r="F23" s="8">
        <f t="shared" si="3"/>
        <v>10</v>
      </c>
      <c r="G23" s="10">
        <f t="shared" si="4"/>
        <v>30.7</v>
      </c>
      <c r="H23" s="7">
        <f>'[11]Sep Prod'!F22</f>
        <v>11200000</v>
      </c>
      <c r="I23" s="8">
        <f t="shared" si="5"/>
        <v>11.2</v>
      </c>
      <c r="J23" s="10">
        <f t="shared" si="6"/>
        <v>34.383999999999993</v>
      </c>
      <c r="K23" s="7">
        <f>'[11]Sep Prod'!H270</f>
        <v>2422938</v>
      </c>
      <c r="L23" s="8">
        <f t="shared" si="7"/>
        <v>2.4229379999999998</v>
      </c>
      <c r="M23" s="10">
        <f t="shared" si="8"/>
        <v>7.4384196599999992</v>
      </c>
      <c r="N23" s="21"/>
      <c r="O23" s="7">
        <f>'[11]Sep Prod'!H22</f>
        <v>12354000.000000009</v>
      </c>
      <c r="P23" s="8">
        <f t="shared" si="9"/>
        <v>12.35400000000001</v>
      </c>
      <c r="Q23" s="10">
        <f t="shared" si="10"/>
        <v>37.926780000000029</v>
      </c>
      <c r="R23" s="7">
        <f>'[11]Sep Prod'!C22</f>
        <v>12608000</v>
      </c>
      <c r="S23" s="8">
        <f t="shared" si="11"/>
        <v>12.608000000000001</v>
      </c>
      <c r="T23" s="10">
        <f t="shared" si="12"/>
        <v>38.706560000000003</v>
      </c>
      <c r="U23" s="7">
        <f>'[11]Sep Prod'!D22</f>
        <v>0</v>
      </c>
      <c r="V23" s="8">
        <f t="shared" si="13"/>
        <v>0</v>
      </c>
      <c r="W23" s="10">
        <f t="shared" si="14"/>
        <v>0</v>
      </c>
      <c r="X23" s="7">
        <f>'[11]Sep Prod'!D270</f>
        <v>253999.99999999069</v>
      </c>
      <c r="Y23" s="8">
        <f t="shared" si="15"/>
        <v>0.25399999999999068</v>
      </c>
      <c r="Z23" s="10">
        <f t="shared" si="16"/>
        <v>0.77977999999997138</v>
      </c>
      <c r="AA23" s="15"/>
      <c r="AB23" s="7">
        <f t="shared" si="17"/>
        <v>32653999.999999285</v>
      </c>
      <c r="AC23" s="8">
        <f t="shared" si="17"/>
        <v>32.653999999999286</v>
      </c>
      <c r="AD23" s="8">
        <f t="shared" si="17"/>
        <v>100.24777999999779</v>
      </c>
      <c r="AF23" s="8">
        <f t="shared" si="19"/>
        <v>2.55351295663786E-15</v>
      </c>
    </row>
    <row r="24" spans="1:32" x14ac:dyDescent="0.25">
      <c r="A24" s="27">
        <v>38615</v>
      </c>
      <c r="B24" s="7">
        <f>'[11]Sep Prod'!I23</f>
        <v>20299999.999999274</v>
      </c>
      <c r="C24" s="8">
        <f t="shared" si="1"/>
        <v>20.299999999999272</v>
      </c>
      <c r="D24" s="10">
        <f t="shared" si="2"/>
        <v>62.32099999999776</v>
      </c>
      <c r="E24" s="7">
        <f>'[11]Sep Prod'!E23</f>
        <v>11000000</v>
      </c>
      <c r="F24" s="8">
        <f t="shared" si="3"/>
        <v>11</v>
      </c>
      <c r="G24" s="10">
        <f t="shared" si="4"/>
        <v>33.769999999999996</v>
      </c>
      <c r="H24" s="7">
        <f>'[11]Sep Prod'!F23</f>
        <v>9970000</v>
      </c>
      <c r="I24" s="8">
        <f t="shared" si="5"/>
        <v>9.9700000000000006</v>
      </c>
      <c r="J24" s="10">
        <f t="shared" si="6"/>
        <v>30.607900000000001</v>
      </c>
      <c r="K24" s="7">
        <f>'[11]Sep Prod'!H271</f>
        <v>2326399</v>
      </c>
      <c r="L24" s="8">
        <f t="shared" si="7"/>
        <v>2.3263989999999999</v>
      </c>
      <c r="M24" s="10">
        <f t="shared" si="8"/>
        <v>7.1420449299999991</v>
      </c>
      <c r="N24" s="21"/>
      <c r="O24" s="7">
        <f>'[11]Sep Prod'!H23</f>
        <v>12202000.000000004</v>
      </c>
      <c r="P24" s="8">
        <f t="shared" si="9"/>
        <v>12.202000000000004</v>
      </c>
      <c r="Q24" s="10">
        <f t="shared" si="10"/>
        <v>37.46014000000001</v>
      </c>
      <c r="R24" s="7">
        <f>'[11]Sep Prod'!C23</f>
        <v>12359000</v>
      </c>
      <c r="S24" s="8">
        <f t="shared" si="11"/>
        <v>12.359</v>
      </c>
      <c r="T24" s="10">
        <f t="shared" si="12"/>
        <v>37.942129999999999</v>
      </c>
      <c r="U24" s="7">
        <f>'[11]Sep Prod'!D23</f>
        <v>0</v>
      </c>
      <c r="V24" s="8">
        <f t="shared" si="13"/>
        <v>0</v>
      </c>
      <c r="W24" s="10">
        <f t="shared" si="14"/>
        <v>0</v>
      </c>
      <c r="X24" s="7">
        <f>'[11]Sep Prod'!D271</f>
        <v>156999.99999999648</v>
      </c>
      <c r="Y24" s="8">
        <f t="shared" si="15"/>
        <v>0.15699999999999648</v>
      </c>
      <c r="Z24" s="10">
        <f t="shared" si="16"/>
        <v>0.48198999999998915</v>
      </c>
      <c r="AA24" s="15"/>
      <c r="AB24" s="7">
        <f t="shared" si="17"/>
        <v>32501999.999999277</v>
      </c>
      <c r="AC24" s="8">
        <f t="shared" si="17"/>
        <v>32.501999999999278</v>
      </c>
      <c r="AD24" s="8">
        <f>D24+Q24</f>
        <v>99.781139999997777</v>
      </c>
      <c r="AF24" s="8">
        <f t="shared" si="19"/>
        <v>0</v>
      </c>
    </row>
    <row r="25" spans="1:32" x14ac:dyDescent="0.25">
      <c r="A25" s="27">
        <v>38616</v>
      </c>
      <c r="B25" s="7">
        <f>'[11]Sep Prod'!I24</f>
        <v>24700000.000000726</v>
      </c>
      <c r="C25" s="8">
        <f t="shared" si="1"/>
        <v>24.700000000000728</v>
      </c>
      <c r="D25" s="10">
        <f t="shared" si="2"/>
        <v>75.829000000002225</v>
      </c>
      <c r="E25" s="7">
        <f>'[11]Sep Prod'!E24</f>
        <v>13000000</v>
      </c>
      <c r="F25" s="8">
        <f t="shared" si="3"/>
        <v>13</v>
      </c>
      <c r="G25" s="10">
        <f t="shared" si="4"/>
        <v>39.909999999999997</v>
      </c>
      <c r="H25" s="7">
        <f>'[11]Sep Prod'!F24</f>
        <v>13440000</v>
      </c>
      <c r="I25" s="8">
        <f t="shared" si="5"/>
        <v>13.44</v>
      </c>
      <c r="J25" s="10">
        <f t="shared" si="6"/>
        <v>41.260799999999996</v>
      </c>
      <c r="K25" s="7">
        <f>'[11]Sep Prod'!H272</f>
        <v>2945066</v>
      </c>
      <c r="L25" s="8">
        <f t="shared" si="7"/>
        <v>2.9450660000000002</v>
      </c>
      <c r="M25" s="10">
        <f t="shared" si="8"/>
        <v>9.0413526199999996</v>
      </c>
      <c r="N25" s="21"/>
      <c r="O25" s="7">
        <f>'[11]Sep Prod'!H24</f>
        <v>12579999.999999991</v>
      </c>
      <c r="P25" s="8">
        <f t="shared" si="9"/>
        <v>12.579999999999991</v>
      </c>
      <c r="Q25" s="10">
        <f t="shared" si="10"/>
        <v>38.620599999999968</v>
      </c>
      <c r="R25" s="7">
        <f>'[11]Sep Prod'!C24</f>
        <v>12832000</v>
      </c>
      <c r="S25" s="8">
        <f t="shared" si="11"/>
        <v>12.832000000000001</v>
      </c>
      <c r="T25" s="10">
        <f t="shared" si="12"/>
        <v>39.394240000000003</v>
      </c>
      <c r="U25" s="7">
        <f>'[11]Sep Prod'!D24</f>
        <v>0</v>
      </c>
      <c r="V25" s="8">
        <f t="shared" si="13"/>
        <v>0</v>
      </c>
      <c r="W25" s="10">
        <f t="shared" si="14"/>
        <v>0</v>
      </c>
      <c r="X25" s="7">
        <f>'[11]Sep Prod'!D272</f>
        <v>252000.00000000955</v>
      </c>
      <c r="Y25" s="8">
        <f t="shared" si="15"/>
        <v>0.25200000000000955</v>
      </c>
      <c r="Z25" s="10">
        <f t="shared" si="16"/>
        <v>0.7736400000000293</v>
      </c>
      <c r="AA25" s="15"/>
      <c r="AB25" s="7">
        <f t="shared" si="17"/>
        <v>37280000.000000715</v>
      </c>
      <c r="AC25" s="8">
        <f t="shared" si="17"/>
        <v>37.280000000000719</v>
      </c>
      <c r="AD25" s="8">
        <f t="shared" si="17"/>
        <v>114.44960000000219</v>
      </c>
      <c r="AF25" s="8">
        <f t="shared" si="19"/>
        <v>6.5503158452884236E-15</v>
      </c>
    </row>
    <row r="26" spans="1:32" x14ac:dyDescent="0.25">
      <c r="A26" s="27">
        <v>38617</v>
      </c>
      <c r="B26" s="7">
        <f>'[11]Sep Prod'!I25</f>
        <v>17599999.999998543</v>
      </c>
      <c r="C26" s="8">
        <f t="shared" si="1"/>
        <v>17.599999999998545</v>
      </c>
      <c r="D26" s="10">
        <f t="shared" si="2"/>
        <v>54.031999999995527</v>
      </c>
      <c r="E26" s="7">
        <f>'[11]Sep Prod'!E25</f>
        <v>9000000</v>
      </c>
      <c r="F26" s="8">
        <f t="shared" si="3"/>
        <v>9</v>
      </c>
      <c r="G26" s="10">
        <f t="shared" si="4"/>
        <v>27.63</v>
      </c>
      <c r="H26" s="7">
        <f>'[11]Sep Prod'!F25</f>
        <v>9230000</v>
      </c>
      <c r="I26" s="8">
        <f t="shared" si="5"/>
        <v>9.23</v>
      </c>
      <c r="J26" s="10">
        <f t="shared" si="6"/>
        <v>28.336099999999998</v>
      </c>
      <c r="K26" s="7">
        <f>'[11]Sep Prod'!H273</f>
        <v>2109718</v>
      </c>
      <c r="L26" s="8">
        <f t="shared" si="7"/>
        <v>2.109718</v>
      </c>
      <c r="M26" s="10">
        <f t="shared" si="8"/>
        <v>6.4768342599999995</v>
      </c>
      <c r="N26" s="21"/>
      <c r="O26" s="7">
        <f>'[11]Sep Prod'!H25</f>
        <v>12256999.999999996</v>
      </c>
      <c r="P26" s="8">
        <f t="shared" si="9"/>
        <v>12.256999999999996</v>
      </c>
      <c r="Q26" s="10">
        <f t="shared" si="10"/>
        <v>37.628989999999988</v>
      </c>
      <c r="R26" s="7">
        <f>'[11]Sep Prod'!C25</f>
        <v>12466000</v>
      </c>
      <c r="S26" s="8">
        <f t="shared" si="11"/>
        <v>12.465999999999999</v>
      </c>
      <c r="T26" s="10">
        <f t="shared" si="12"/>
        <v>38.270619999999994</v>
      </c>
      <c r="U26" s="7">
        <f>'[11]Sep Prod'!D25</f>
        <v>0</v>
      </c>
      <c r="V26" s="8">
        <f t="shared" si="13"/>
        <v>0</v>
      </c>
      <c r="W26" s="10">
        <f t="shared" si="14"/>
        <v>0</v>
      </c>
      <c r="X26" s="7">
        <f>'[11]Sep Prod'!D273</f>
        <v>209000.00000000317</v>
      </c>
      <c r="Y26" s="8">
        <f t="shared" si="15"/>
        <v>0.20900000000000318</v>
      </c>
      <c r="Z26" s="10">
        <f t="shared" si="16"/>
        <v>0.64163000000000969</v>
      </c>
      <c r="AA26" s="15"/>
      <c r="AB26" s="7">
        <f t="shared" si="17"/>
        <v>29856999.99999854</v>
      </c>
      <c r="AC26" s="8">
        <f t="shared" si="17"/>
        <v>29.856999999998543</v>
      </c>
      <c r="AD26" s="8">
        <f t="shared" si="17"/>
        <v>91.660989999995508</v>
      </c>
      <c r="AF26" s="8">
        <f t="shared" si="19"/>
        <v>-3.3306690738754696E-15</v>
      </c>
    </row>
    <row r="27" spans="1:32" x14ac:dyDescent="0.25">
      <c r="A27" s="27">
        <v>38618</v>
      </c>
      <c r="B27" s="7">
        <f>'[11]Sep Prod'!I26</f>
        <v>21600000.000002183</v>
      </c>
      <c r="C27" s="8">
        <f t="shared" si="1"/>
        <v>21.600000000002183</v>
      </c>
      <c r="D27" s="10">
        <f t="shared" si="2"/>
        <v>66.312000000006691</v>
      </c>
      <c r="E27" s="7">
        <f>'[11]Sep Prod'!E26</f>
        <v>14000000</v>
      </c>
      <c r="F27" s="8">
        <f t="shared" si="3"/>
        <v>14</v>
      </c>
      <c r="G27" s="10">
        <f t="shared" si="4"/>
        <v>42.98</v>
      </c>
      <c r="H27" s="7">
        <f>'[11]Sep Prod'!F26</f>
        <v>9290000</v>
      </c>
      <c r="I27" s="8">
        <f t="shared" si="5"/>
        <v>9.2899999999999991</v>
      </c>
      <c r="J27" s="10">
        <f t="shared" si="6"/>
        <v>28.520299999999995</v>
      </c>
      <c r="K27" s="7">
        <f>'[11]Sep Prod'!H274</f>
        <v>2503043</v>
      </c>
      <c r="L27" s="8">
        <f t="shared" si="7"/>
        <v>2.5030429999999999</v>
      </c>
      <c r="M27" s="10">
        <f t="shared" si="8"/>
        <v>7.6843420099999991</v>
      </c>
      <c r="N27" s="21"/>
      <c r="O27" s="7">
        <f>'[11]Sep Prod'!H26</f>
        <v>12097000</v>
      </c>
      <c r="P27" s="8">
        <f t="shared" si="9"/>
        <v>12.097</v>
      </c>
      <c r="Q27" s="10">
        <f t="shared" si="10"/>
        <v>37.137789999999995</v>
      </c>
      <c r="R27" s="7">
        <f>'[11]Sep Prod'!C26</f>
        <v>12368000</v>
      </c>
      <c r="S27" s="8">
        <f t="shared" si="11"/>
        <v>12.368</v>
      </c>
      <c r="T27" s="10">
        <f t="shared" si="12"/>
        <v>37.969760000000001</v>
      </c>
      <c r="U27" s="7">
        <f>'[11]Sep Prod'!D26</f>
        <v>0</v>
      </c>
      <c r="V27" s="8">
        <f t="shared" si="13"/>
        <v>0</v>
      </c>
      <c r="W27" s="10">
        <f t="shared" si="14"/>
        <v>0</v>
      </c>
      <c r="X27" s="7">
        <f>'[11]Sep Prod'!D274</f>
        <v>271000.00000000081</v>
      </c>
      <c r="Y27" s="8">
        <f t="shared" si="15"/>
        <v>0.2710000000000008</v>
      </c>
      <c r="Z27" s="10">
        <f t="shared" si="16"/>
        <v>0.83197000000000243</v>
      </c>
      <c r="AA27" s="15"/>
      <c r="AB27" s="7">
        <f t="shared" si="17"/>
        <v>33697000.000002183</v>
      </c>
      <c r="AC27" s="8">
        <f t="shared" si="17"/>
        <v>33.697000000002184</v>
      </c>
      <c r="AD27" s="8">
        <f t="shared" si="17"/>
        <v>103.44979000000669</v>
      </c>
      <c r="AF27" s="8">
        <f t="shared" si="19"/>
        <v>2.9976021664879227E-15</v>
      </c>
    </row>
    <row r="28" spans="1:32" x14ac:dyDescent="0.25">
      <c r="A28" s="27">
        <v>38619</v>
      </c>
      <c r="B28" s="7">
        <f>'[11]Sep Prod'!I27</f>
        <v>13299999.999999272</v>
      </c>
      <c r="C28" s="8">
        <f t="shared" si="1"/>
        <v>13.299999999999272</v>
      </c>
      <c r="D28" s="10">
        <f t="shared" si="2"/>
        <v>40.830999999997765</v>
      </c>
      <c r="E28" s="7">
        <f>'[11]Sep Prod'!E27</f>
        <v>8000000</v>
      </c>
      <c r="F28" s="8">
        <f t="shared" si="3"/>
        <v>8</v>
      </c>
      <c r="G28" s="10">
        <f t="shared" si="4"/>
        <v>24.56</v>
      </c>
      <c r="H28" s="7">
        <f>'[11]Sep Prod'!F27</f>
        <v>5450000</v>
      </c>
      <c r="I28" s="8">
        <f t="shared" si="5"/>
        <v>5.45</v>
      </c>
      <c r="J28" s="10">
        <f t="shared" si="6"/>
        <v>16.7315</v>
      </c>
      <c r="K28" s="7">
        <f>'[11]Sep Prod'!H275</f>
        <v>1505649</v>
      </c>
      <c r="L28" s="8">
        <f t="shared" si="7"/>
        <v>1.505649</v>
      </c>
      <c r="M28" s="10">
        <f t="shared" si="8"/>
        <v>4.6223424299999998</v>
      </c>
      <c r="N28" s="21"/>
      <c r="O28" s="7">
        <f>'[11]Sep Prod'!H27</f>
        <v>15011000.000000002</v>
      </c>
      <c r="P28" s="8">
        <f t="shared" si="9"/>
        <v>15.011000000000001</v>
      </c>
      <c r="Q28" s="10">
        <f t="shared" si="10"/>
        <v>46.083770000000001</v>
      </c>
      <c r="R28" s="7">
        <f>'[11]Sep Prod'!C27</f>
        <v>15219000</v>
      </c>
      <c r="S28" s="8">
        <f t="shared" si="11"/>
        <v>15.218999999999999</v>
      </c>
      <c r="T28" s="10">
        <f t="shared" si="12"/>
        <v>46.722329999999992</v>
      </c>
      <c r="U28" s="7">
        <f>'[11]Sep Prod'!D27</f>
        <v>0</v>
      </c>
      <c r="V28" s="8">
        <f t="shared" si="13"/>
        <v>0</v>
      </c>
      <c r="W28" s="10">
        <f t="shared" si="14"/>
        <v>0</v>
      </c>
      <c r="X28" s="7">
        <f>'[11]Sep Prod'!D275</f>
        <v>207999.9999999984</v>
      </c>
      <c r="Y28" s="8">
        <f t="shared" si="15"/>
        <v>0.20799999999999841</v>
      </c>
      <c r="Z28" s="10">
        <f t="shared" si="16"/>
        <v>0.63855999999999513</v>
      </c>
      <c r="AA28" s="15"/>
      <c r="AB28" s="7">
        <f t="shared" si="17"/>
        <v>28310999.999999274</v>
      </c>
      <c r="AC28" s="8">
        <f t="shared" si="17"/>
        <v>28.310999999999275</v>
      </c>
      <c r="AD28" s="8">
        <f t="shared" si="17"/>
        <v>86.914769999997759</v>
      </c>
      <c r="AF28" s="8">
        <f t="shared" si="19"/>
        <v>-3.9968028886505635E-15</v>
      </c>
    </row>
    <row r="29" spans="1:32" x14ac:dyDescent="0.25">
      <c r="A29" s="27">
        <v>38620</v>
      </c>
      <c r="B29" s="7">
        <f>'[11]Sep Prod'!I28</f>
        <v>17799999.999999274</v>
      </c>
      <c r="C29" s="8">
        <f t="shared" si="1"/>
        <v>17.799999999999272</v>
      </c>
      <c r="D29" s="10">
        <f t="shared" si="2"/>
        <v>54.645999999997763</v>
      </c>
      <c r="E29" s="7">
        <f>'[11]Sep Prod'!E28</f>
        <v>14000000</v>
      </c>
      <c r="F29" s="8">
        <f t="shared" si="3"/>
        <v>14</v>
      </c>
      <c r="G29" s="10">
        <f t="shared" si="4"/>
        <v>42.98</v>
      </c>
      <c r="H29" s="7">
        <f>'[11]Sep Prod'!F28</f>
        <v>5080000</v>
      </c>
      <c r="I29" s="8">
        <f t="shared" si="5"/>
        <v>5.08</v>
      </c>
      <c r="J29" s="10">
        <f t="shared" si="6"/>
        <v>15.595599999999999</v>
      </c>
      <c r="K29" s="7">
        <f>'[11]Sep Prod'!H276</f>
        <v>2117197</v>
      </c>
      <c r="L29" s="8">
        <f t="shared" si="7"/>
        <v>2.117197</v>
      </c>
      <c r="M29" s="10">
        <f t="shared" si="8"/>
        <v>6.4997947899999993</v>
      </c>
      <c r="N29" s="21"/>
      <c r="O29" s="7">
        <f>'[11]Sep Prod'!H28</f>
        <v>17071000</v>
      </c>
      <c r="P29" s="8">
        <f t="shared" si="9"/>
        <v>17.071000000000002</v>
      </c>
      <c r="Q29" s="10">
        <f t="shared" si="10"/>
        <v>52.407969999999999</v>
      </c>
      <c r="R29" s="7">
        <f>'[11]Sep Prod'!C28</f>
        <v>17282000</v>
      </c>
      <c r="S29" s="8">
        <f t="shared" si="11"/>
        <v>17.282</v>
      </c>
      <c r="T29" s="10">
        <f t="shared" si="12"/>
        <v>53.05574</v>
      </c>
      <c r="U29" s="7">
        <f>'[11]Sep Prod'!D28</f>
        <v>0</v>
      </c>
      <c r="V29" s="8">
        <f t="shared" si="13"/>
        <v>0</v>
      </c>
      <c r="W29" s="10">
        <f t="shared" si="14"/>
        <v>0</v>
      </c>
      <c r="X29" s="7">
        <f>'[11]Sep Prod'!D276</f>
        <v>210999.99999999852</v>
      </c>
      <c r="Y29" s="8">
        <f t="shared" si="15"/>
        <v>0.21099999999999852</v>
      </c>
      <c r="Z29" s="10">
        <f t="shared" si="16"/>
        <v>0.64776999999999541</v>
      </c>
      <c r="AA29" s="15"/>
      <c r="AB29" s="7">
        <f t="shared" si="17"/>
        <v>34870999.99999927</v>
      </c>
      <c r="AC29" s="8">
        <f t="shared" si="17"/>
        <v>34.87099999999927</v>
      </c>
      <c r="AD29" s="8">
        <f t="shared" si="17"/>
        <v>107.05396999999776</v>
      </c>
      <c r="AF29" s="8">
        <f t="shared" si="19"/>
        <v>5.8841820305133297E-15</v>
      </c>
    </row>
    <row r="30" spans="1:32" x14ac:dyDescent="0.25">
      <c r="A30" s="27">
        <v>38621</v>
      </c>
      <c r="B30" s="7">
        <f>'[11]Sep Prod'!I29</f>
        <v>15299999.999999272</v>
      </c>
      <c r="C30" s="8">
        <f t="shared" si="1"/>
        <v>15.299999999999272</v>
      </c>
      <c r="D30" s="10">
        <f t="shared" si="2"/>
        <v>46.970999999997765</v>
      </c>
      <c r="E30" s="7">
        <f>'[11]Sep Prod'!E29</f>
        <v>11000000</v>
      </c>
      <c r="F30" s="8">
        <f t="shared" si="3"/>
        <v>11</v>
      </c>
      <c r="G30" s="10">
        <f t="shared" si="4"/>
        <v>33.769999999999996</v>
      </c>
      <c r="H30" s="7">
        <f>'[11]Sep Prod'!F29</f>
        <v>5570000</v>
      </c>
      <c r="I30" s="8">
        <f t="shared" si="5"/>
        <v>5.57</v>
      </c>
      <c r="J30" s="10">
        <f t="shared" si="6"/>
        <v>17.099900000000002</v>
      </c>
      <c r="K30" s="7">
        <f>'[11]Sep Prod'!H277</f>
        <v>1868954</v>
      </c>
      <c r="L30" s="8">
        <f t="shared" si="7"/>
        <v>1.868954</v>
      </c>
      <c r="M30" s="10">
        <f t="shared" si="8"/>
        <v>5.73768878</v>
      </c>
      <c r="N30" s="21"/>
      <c r="O30" s="7">
        <f>'[11]Sep Prod'!H29</f>
        <v>16792999.999999996</v>
      </c>
      <c r="P30" s="8">
        <f t="shared" si="9"/>
        <v>16.792999999999996</v>
      </c>
      <c r="Q30" s="10">
        <f t="shared" si="10"/>
        <v>51.554509999999986</v>
      </c>
      <c r="R30" s="7">
        <f>'[11]Sep Prod'!C29</f>
        <v>16981000</v>
      </c>
      <c r="S30" s="8">
        <f t="shared" si="11"/>
        <v>16.981000000000002</v>
      </c>
      <c r="T30" s="10">
        <f t="shared" si="12"/>
        <v>52.13167</v>
      </c>
      <c r="U30" s="7">
        <f>'[11]Sep Prod'!D29</f>
        <v>0</v>
      </c>
      <c r="V30" s="8">
        <f t="shared" si="13"/>
        <v>0</v>
      </c>
      <c r="W30" s="10">
        <f t="shared" si="14"/>
        <v>0</v>
      </c>
      <c r="X30" s="7">
        <f>'[11]Sep Prod'!D277</f>
        <v>188000.00000000239</v>
      </c>
      <c r="Y30" s="8">
        <f t="shared" si="15"/>
        <v>0.18800000000000239</v>
      </c>
      <c r="Z30" s="10">
        <f t="shared" si="16"/>
        <v>0.57716000000000733</v>
      </c>
      <c r="AA30" s="15"/>
      <c r="AB30" s="7">
        <f t="shared" si="17"/>
        <v>32092999.99999927</v>
      </c>
      <c r="AC30" s="8">
        <f t="shared" si="17"/>
        <v>32.092999999999265</v>
      </c>
      <c r="AD30" s="8">
        <f>D30+Q30</f>
        <v>98.525509999997752</v>
      </c>
      <c r="AF30" s="8">
        <f t="shared" si="19"/>
        <v>6.106226635438361E-15</v>
      </c>
    </row>
    <row r="31" spans="1:32" x14ac:dyDescent="0.25">
      <c r="A31" s="27">
        <v>38622</v>
      </c>
      <c r="B31" s="7">
        <f>'[11]Sep Prod'!I30</f>
        <v>17700000.000000726</v>
      </c>
      <c r="C31" s="8">
        <f t="shared" si="1"/>
        <v>17.700000000000728</v>
      </c>
      <c r="D31" s="10">
        <f t="shared" si="2"/>
        <v>54.33900000000223</v>
      </c>
      <c r="E31" s="7">
        <f>'[11]Sep Prod'!E30</f>
        <v>13000000</v>
      </c>
      <c r="F31" s="8">
        <f t="shared" si="3"/>
        <v>13</v>
      </c>
      <c r="G31" s="10">
        <f t="shared" si="4"/>
        <v>39.909999999999997</v>
      </c>
      <c r="H31" s="7">
        <f>'[11]Sep Prod'!F30</f>
        <v>5580000</v>
      </c>
      <c r="I31" s="8">
        <f t="shared" si="5"/>
        <v>5.58</v>
      </c>
      <c r="J31" s="10">
        <f t="shared" si="6"/>
        <v>17.130599999999998</v>
      </c>
      <c r="K31" s="7">
        <f>'[11]Sep Prod'!H278</f>
        <v>2028159</v>
      </c>
      <c r="L31" s="8">
        <f t="shared" si="7"/>
        <v>2.028159</v>
      </c>
      <c r="M31" s="10">
        <f t="shared" si="8"/>
        <v>6.2264481299999996</v>
      </c>
      <c r="N31" s="21"/>
      <c r="O31" s="7">
        <f>'[11]Sep Prod'!H30</f>
        <v>17125000.000000004</v>
      </c>
      <c r="P31" s="8">
        <f t="shared" si="9"/>
        <v>17.125000000000004</v>
      </c>
      <c r="Q31" s="10">
        <f t="shared" si="10"/>
        <v>52.573750000000011</v>
      </c>
      <c r="R31" s="7">
        <f>'[11]Sep Prod'!C30</f>
        <v>17386000</v>
      </c>
      <c r="S31" s="8">
        <f t="shared" si="11"/>
        <v>17.385999999999999</v>
      </c>
      <c r="T31" s="10">
        <f t="shared" si="12"/>
        <v>53.375019999999992</v>
      </c>
      <c r="U31" s="7">
        <f>'[11]Sep Prod'!D30</f>
        <v>0</v>
      </c>
      <c r="V31" s="8">
        <f t="shared" si="13"/>
        <v>0</v>
      </c>
      <c r="W31" s="10">
        <f t="shared" si="14"/>
        <v>0</v>
      </c>
      <c r="X31" s="7">
        <f>'[11]Sep Prod'!D278</f>
        <v>260999.99999999569</v>
      </c>
      <c r="Y31" s="8">
        <f t="shared" si="15"/>
        <v>0.26099999999999568</v>
      </c>
      <c r="Z31" s="10">
        <f t="shared" si="16"/>
        <v>0.80126999999998672</v>
      </c>
      <c r="AA31" s="15"/>
      <c r="AB31" s="7">
        <f t="shared" si="17"/>
        <v>34825000.00000073</v>
      </c>
      <c r="AC31" s="8">
        <f t="shared" si="17"/>
        <v>34.825000000000728</v>
      </c>
      <c r="AD31" s="8">
        <f t="shared" si="17"/>
        <v>106.91275000000223</v>
      </c>
      <c r="AF31" s="8">
        <f>T31-Q31-Z31</f>
        <v>-5.6621374255882984E-15</v>
      </c>
    </row>
    <row r="32" spans="1:32" x14ac:dyDescent="0.25">
      <c r="A32" s="27">
        <v>38623</v>
      </c>
      <c r="B32" s="7">
        <f>'[11]Sep Prod'!I31</f>
        <v>15200000.000000728</v>
      </c>
      <c r="C32" s="8">
        <f t="shared" si="1"/>
        <v>15.200000000000728</v>
      </c>
      <c r="D32" s="10">
        <f t="shared" si="2"/>
        <v>46.664000000002233</v>
      </c>
      <c r="E32" s="7">
        <f>'[11]Sep Prod'!E31</f>
        <v>11000000</v>
      </c>
      <c r="F32" s="8">
        <f t="shared" si="3"/>
        <v>11</v>
      </c>
      <c r="G32" s="10">
        <f t="shared" si="4"/>
        <v>33.769999999999996</v>
      </c>
      <c r="H32" s="7">
        <f>'[11]Sep Prod'!F31</f>
        <v>5380000</v>
      </c>
      <c r="I32" s="8">
        <f t="shared" si="5"/>
        <v>5.38</v>
      </c>
      <c r="J32" s="10">
        <f t="shared" si="6"/>
        <v>16.5166</v>
      </c>
      <c r="K32" s="7">
        <f>'[11]Sep Prod'!H279</f>
        <v>1781304</v>
      </c>
      <c r="L32" s="8">
        <f t="shared" si="7"/>
        <v>1.781304</v>
      </c>
      <c r="M32" s="10">
        <f t="shared" si="8"/>
        <v>5.46860328</v>
      </c>
      <c r="N32" s="21"/>
      <c r="O32" s="7">
        <f>'[11]Sep Prod'!H31</f>
        <v>16705000</v>
      </c>
      <c r="P32" s="8">
        <f t="shared" si="9"/>
        <v>16.704999999999998</v>
      </c>
      <c r="Q32" s="10">
        <f t="shared" si="10"/>
        <v>51.284349999999989</v>
      </c>
      <c r="R32" s="7">
        <f>'[11]Sep Prod'!C31</f>
        <v>17035000</v>
      </c>
      <c r="S32" s="8">
        <f t="shared" si="11"/>
        <v>17.035</v>
      </c>
      <c r="T32" s="10">
        <f t="shared" si="12"/>
        <v>52.297449999999998</v>
      </c>
      <c r="U32" s="7">
        <f>'[11]Sep Prod'!D31</f>
        <v>0</v>
      </c>
      <c r="V32" s="8">
        <f t="shared" si="13"/>
        <v>0</v>
      </c>
      <c r="W32" s="10">
        <f t="shared" si="14"/>
        <v>0</v>
      </c>
      <c r="X32" s="7">
        <f>'[11]Sep Prod'!D279</f>
        <v>329999.99999999831</v>
      </c>
      <c r="Y32" s="8">
        <f t="shared" si="15"/>
        <v>0.32999999999999829</v>
      </c>
      <c r="Z32" s="10">
        <f t="shared" si="16"/>
        <v>1.0130999999999948</v>
      </c>
      <c r="AA32" s="15"/>
      <c r="AB32" s="7">
        <f t="shared" si="17"/>
        <v>31905000.00000073</v>
      </c>
      <c r="AC32" s="8">
        <f t="shared" si="17"/>
        <v>31.905000000000726</v>
      </c>
      <c r="AD32" s="8">
        <f t="shared" si="17"/>
        <v>97.948350000002222</v>
      </c>
      <c r="AF32" s="8">
        <f t="shared" si="19"/>
        <v>1.3766765505351941E-14</v>
      </c>
    </row>
    <row r="33" spans="1:32" x14ac:dyDescent="0.25">
      <c r="A33" s="27">
        <v>38624</v>
      </c>
      <c r="B33" s="7">
        <f>'[11]Sep Prod'!I32</f>
        <v>12000000</v>
      </c>
      <c r="C33" s="8">
        <f t="shared" si="1"/>
        <v>12</v>
      </c>
      <c r="D33" s="10">
        <f t="shared" si="2"/>
        <v>36.839999999999996</v>
      </c>
      <c r="E33" s="7">
        <f>'[11]Sep Prod'!E32</f>
        <v>6000000</v>
      </c>
      <c r="F33" s="8">
        <f t="shared" si="3"/>
        <v>6</v>
      </c>
      <c r="G33" s="10">
        <f t="shared" si="4"/>
        <v>18.419999999999998</v>
      </c>
      <c r="H33" s="7">
        <f>'[11]Sep Prod'!F32</f>
        <v>4910000</v>
      </c>
      <c r="I33" s="8">
        <f t="shared" si="5"/>
        <v>4.91</v>
      </c>
      <c r="J33" s="10">
        <f t="shared" si="6"/>
        <v>15.073699999999999</v>
      </c>
      <c r="K33" s="7">
        <f>'[11]Sep Prod'!H280</f>
        <v>1196740</v>
      </c>
      <c r="L33" s="8">
        <f t="shared" si="7"/>
        <v>1.1967399999999999</v>
      </c>
      <c r="M33" s="10">
        <f t="shared" si="8"/>
        <v>3.6739917999999996</v>
      </c>
      <c r="N33" s="21"/>
      <c r="O33" s="7">
        <f>'[11]Sep Prod'!H32</f>
        <v>15825000.000000002</v>
      </c>
      <c r="P33" s="8">
        <f t="shared" si="9"/>
        <v>15.825000000000001</v>
      </c>
      <c r="Q33" s="10">
        <f t="shared" si="10"/>
        <v>48.582749999999997</v>
      </c>
      <c r="R33" s="7">
        <f>'[11]Sep Prod'!C32</f>
        <v>16030000</v>
      </c>
      <c r="S33" s="8">
        <f t="shared" si="11"/>
        <v>16.03</v>
      </c>
      <c r="T33" s="10">
        <f t="shared" si="12"/>
        <v>49.2121</v>
      </c>
      <c r="U33" s="7">
        <f>'[11]Sep Prod'!D32</f>
        <v>0</v>
      </c>
      <c r="V33" s="8">
        <f t="shared" si="13"/>
        <v>0</v>
      </c>
      <c r="W33" s="10">
        <f t="shared" si="14"/>
        <v>0</v>
      </c>
      <c r="X33" s="7">
        <f>'[11]Sep Prod'!D280</f>
        <v>204999.99999999828</v>
      </c>
      <c r="Y33" s="8">
        <f t="shared" si="15"/>
        <v>0.20499999999999829</v>
      </c>
      <c r="Z33" s="10">
        <f t="shared" si="16"/>
        <v>0.62934999999999475</v>
      </c>
      <c r="AA33" s="15"/>
      <c r="AB33" s="7">
        <f t="shared" si="17"/>
        <v>27825000</v>
      </c>
      <c r="AC33" s="8">
        <f t="shared" si="17"/>
        <v>27.825000000000003</v>
      </c>
      <c r="AD33" s="8">
        <f t="shared" si="17"/>
        <v>85.422749999999994</v>
      </c>
      <c r="AF33" s="8">
        <f t="shared" si="19"/>
        <v>7.5495165674510645E-15</v>
      </c>
    </row>
    <row r="34" spans="1:32" ht="13.8" thickBot="1" x14ac:dyDescent="0.3">
      <c r="A34" s="27">
        <v>38625</v>
      </c>
      <c r="B34" s="7">
        <f>'[11]Sep Prod'!I33</f>
        <v>20000000</v>
      </c>
      <c r="C34" s="8">
        <f t="shared" si="1"/>
        <v>20</v>
      </c>
      <c r="D34" s="10">
        <f t="shared" si="2"/>
        <v>61.4</v>
      </c>
      <c r="E34" s="7">
        <f>'[11]Sep Prod'!E33</f>
        <v>15000000</v>
      </c>
      <c r="F34" s="8">
        <f t="shared" si="3"/>
        <v>15</v>
      </c>
      <c r="G34" s="10">
        <f t="shared" si="4"/>
        <v>46.05</v>
      </c>
      <c r="H34" s="7">
        <f>'[11]Sep Prod'!F33</f>
        <v>6390000</v>
      </c>
      <c r="I34" s="8">
        <f t="shared" si="5"/>
        <v>6.39</v>
      </c>
      <c r="J34" s="10">
        <f t="shared" si="6"/>
        <v>19.617299999999997</v>
      </c>
      <c r="K34" s="7">
        <f>'[11]Sep Prod'!H281</f>
        <v>2495866</v>
      </c>
      <c r="L34" s="8">
        <f t="shared" si="7"/>
        <v>2.4958659999999999</v>
      </c>
      <c r="M34" s="10">
        <f t="shared" si="8"/>
        <v>7.6623086199999992</v>
      </c>
      <c r="N34" s="21"/>
      <c r="O34" s="7">
        <f>'[11]Sep Prod'!H33</f>
        <v>9150000</v>
      </c>
      <c r="P34" s="8">
        <f t="shared" si="9"/>
        <v>9.15</v>
      </c>
      <c r="Q34" s="10">
        <f t="shared" si="10"/>
        <v>28.090499999999999</v>
      </c>
      <c r="R34" s="7">
        <f>'[11]Sep Prod'!C33</f>
        <v>9406000</v>
      </c>
      <c r="S34" s="8">
        <f t="shared" si="11"/>
        <v>9.4060000000000006</v>
      </c>
      <c r="T34" s="10">
        <f t="shared" si="12"/>
        <v>28.87642</v>
      </c>
      <c r="U34" s="7">
        <f>'[11]Sep Prod'!D33</f>
        <v>0</v>
      </c>
      <c r="V34" s="8">
        <f t="shared" si="13"/>
        <v>0</v>
      </c>
      <c r="W34" s="10">
        <f t="shared" si="14"/>
        <v>0</v>
      </c>
      <c r="X34" s="7">
        <f>'[11]Sep Prod'!D281</f>
        <v>256000.00000000023</v>
      </c>
      <c r="Y34" s="8">
        <f t="shared" si="15"/>
        <v>0.25600000000000023</v>
      </c>
      <c r="Z34" s="10">
        <f t="shared" si="16"/>
        <v>0.78592000000000062</v>
      </c>
      <c r="AA34" s="15"/>
      <c r="AB34" s="7">
        <f t="shared" si="17"/>
        <v>29150000</v>
      </c>
      <c r="AC34" s="8">
        <f t="shared" si="17"/>
        <v>29.15</v>
      </c>
      <c r="AD34" s="8">
        <f t="shared" si="17"/>
        <v>89.490499999999997</v>
      </c>
      <c r="AF34" s="8">
        <f t="shared" si="19"/>
        <v>0</v>
      </c>
    </row>
    <row r="35" spans="1:32" ht="13.8" thickBot="1" x14ac:dyDescent="0.3">
      <c r="A35" s="3"/>
      <c r="B35" s="38">
        <f t="shared" ref="B35:I35" si="20">SUM(B5:B34)</f>
        <v>648799999.99999928</v>
      </c>
      <c r="C35" s="39">
        <f t="shared" si="20"/>
        <v>648.79999999999927</v>
      </c>
      <c r="D35" s="39">
        <f t="shared" si="20"/>
        <v>1991.8159999999975</v>
      </c>
      <c r="E35" s="38">
        <f t="shared" si="20"/>
        <v>315000000</v>
      </c>
      <c r="F35" s="39">
        <f t="shared" si="20"/>
        <v>315</v>
      </c>
      <c r="G35" s="39">
        <f t="shared" si="20"/>
        <v>967.04999999999984</v>
      </c>
      <c r="H35" s="38">
        <f t="shared" si="20"/>
        <v>353660000</v>
      </c>
      <c r="I35" s="39">
        <f t="shared" si="20"/>
        <v>353.65999999999997</v>
      </c>
      <c r="J35" s="39">
        <f t="shared" ref="J35" si="21">I35*3.07</f>
        <v>1085.7361999999998</v>
      </c>
      <c r="K35" s="38">
        <f>SUM(K5:K34)</f>
        <v>75838758</v>
      </c>
      <c r="L35" s="39">
        <f>SUM(L5:L34)</f>
        <v>75.838758000000041</v>
      </c>
      <c r="M35" s="39">
        <f t="shared" ref="M35" si="22">L35*3.07</f>
        <v>232.82498706000013</v>
      </c>
      <c r="N35" s="14"/>
      <c r="O35" s="38">
        <f>SUM(O5:O34)</f>
        <v>337403000</v>
      </c>
      <c r="P35" s="39">
        <f>SUM(P5:P34)</f>
        <v>337.40299999999996</v>
      </c>
      <c r="Q35" s="39">
        <f t="shared" ref="Q35" si="23">P35*3.07</f>
        <v>1035.8272099999999</v>
      </c>
      <c r="R35" s="38"/>
      <c r="S35" s="39">
        <f>SUM(S5:S34)</f>
        <v>343.3</v>
      </c>
      <c r="T35" s="39">
        <f t="shared" ref="T35" si="24">S35*3.07</f>
        <v>1053.931</v>
      </c>
      <c r="U35" s="38">
        <f>SUM(U5:U34)</f>
        <v>0</v>
      </c>
      <c r="V35" s="39">
        <f>SUM(V5:V34)</f>
        <v>0</v>
      </c>
      <c r="W35" s="39">
        <f t="shared" ref="W35" si="25">V35*3.07</f>
        <v>0</v>
      </c>
      <c r="X35" s="38"/>
      <c r="Y35" s="39">
        <f>SUM(Y5:Y34)</f>
        <v>5.8969999999999914</v>
      </c>
      <c r="Z35" s="39">
        <f t="shared" si="16"/>
        <v>18.103789999999972</v>
      </c>
      <c r="AA35" s="14"/>
      <c r="AB35" s="38">
        <f>B35+O35</f>
        <v>986202999.99999928</v>
      </c>
      <c r="AC35" s="39">
        <f t="shared" si="17"/>
        <v>986.20299999999929</v>
      </c>
      <c r="AD35" s="39">
        <f t="shared" si="17"/>
        <v>3027.6432099999975</v>
      </c>
      <c r="AF35" s="8">
        <f t="shared" si="19"/>
        <v>1.4566126083082054E-13</v>
      </c>
    </row>
    <row r="36" spans="1:32" x14ac:dyDescent="0.25">
      <c r="C36" s="18"/>
      <c r="E36" s="3"/>
      <c r="F36" s="3"/>
      <c r="G36" s="3"/>
      <c r="H36" s="3"/>
      <c r="I36" s="3"/>
      <c r="J36" s="3"/>
      <c r="K36" s="14"/>
      <c r="L36" s="3"/>
      <c r="M36" s="3"/>
      <c r="N36" s="3"/>
      <c r="O36" s="3"/>
      <c r="P36" s="3"/>
      <c r="Q36" s="3"/>
      <c r="R36" s="3"/>
      <c r="S36" s="3"/>
      <c r="T36" s="3"/>
      <c r="U36" s="14"/>
      <c r="AB36" s="30"/>
      <c r="AC36" s="30"/>
      <c r="AD36" s="23"/>
      <c r="AF36" s="30"/>
    </row>
    <row r="37" spans="1:32" x14ac:dyDescent="0.25">
      <c r="Q37" s="18"/>
    </row>
    <row r="38" spans="1:32" x14ac:dyDescent="0.25">
      <c r="Q38" s="18"/>
    </row>
  </sheetData>
  <mergeCells count="9">
    <mergeCell ref="AB3:AD3"/>
    <mergeCell ref="R3:T3"/>
    <mergeCell ref="U3:W3"/>
    <mergeCell ref="X3:Z3"/>
    <mergeCell ref="B3:D3"/>
    <mergeCell ref="E3:G3"/>
    <mergeCell ref="H3:J3"/>
    <mergeCell ref="O3:Q3"/>
    <mergeCell ref="K3:M3"/>
  </mergeCells>
  <phoneticPr fontId="1" type="noConversion"/>
  <pageMargins left="0.75" right="0.75" top="1" bottom="1" header="0.5" footer="0.5"/>
  <pageSetup scale="37" orientation="landscape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F37"/>
  <sheetViews>
    <sheetView workbookViewId="0">
      <pane xSplit="1" ySplit="4" topLeftCell="F5" activePane="bottomRight" state="frozen"/>
      <selection pane="topRight" activeCell="B1" sqref="B1"/>
      <selection pane="bottomLeft" activeCell="A5" sqref="A5"/>
      <selection pane="bottomRight" activeCell="T5" sqref="T5"/>
    </sheetView>
  </sheetViews>
  <sheetFormatPr defaultRowHeight="13.2" x14ac:dyDescent="0.25"/>
  <cols>
    <col min="2" max="2" width="11" customWidth="1"/>
    <col min="5" max="5" width="11.33203125" customWidth="1"/>
    <col min="8" max="8" width="14.33203125" customWidth="1"/>
    <col min="11" max="11" width="15.44140625" customWidth="1"/>
    <col min="12" max="12" width="10.6640625" customWidth="1"/>
    <col min="13" max="13" width="12.109375" customWidth="1"/>
    <col min="15" max="15" width="11" customWidth="1"/>
    <col min="18" max="18" width="10.6640625" customWidth="1"/>
    <col min="22" max="22" width="10.6640625" customWidth="1"/>
    <col min="28" max="28" width="13.44140625" customWidth="1"/>
  </cols>
  <sheetData>
    <row r="1" spans="1:32" x14ac:dyDescent="0.25">
      <c r="A1" s="44" t="s">
        <v>14</v>
      </c>
      <c r="B1" s="41"/>
      <c r="C1" s="42"/>
      <c r="D1" s="42"/>
      <c r="E1" s="25"/>
      <c r="F1" s="25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14"/>
      <c r="V1" s="3"/>
      <c r="W1" s="3"/>
      <c r="X1" s="3"/>
    </row>
    <row r="2" spans="1:32" ht="13.8" thickBot="1" x14ac:dyDescent="0.3">
      <c r="A2" s="3"/>
      <c r="B2" s="3"/>
      <c r="C2" s="24"/>
      <c r="D2" s="3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  <c r="V2" s="3"/>
      <c r="W2" s="3"/>
      <c r="X2" s="3"/>
    </row>
    <row r="3" spans="1:32" ht="60.75" customHeight="1" thickBot="1" x14ac:dyDescent="0.3">
      <c r="A3" s="3"/>
      <c r="B3" s="61" t="s">
        <v>10</v>
      </c>
      <c r="C3" s="62"/>
      <c r="D3" s="63"/>
      <c r="E3" s="61" t="s">
        <v>11</v>
      </c>
      <c r="F3" s="62"/>
      <c r="G3" s="63"/>
      <c r="H3" s="61" t="s">
        <v>12</v>
      </c>
      <c r="I3" s="62"/>
      <c r="J3" s="63"/>
      <c r="K3" s="61" t="s">
        <v>13</v>
      </c>
      <c r="L3" s="62"/>
      <c r="M3" s="63"/>
      <c r="N3" s="19"/>
      <c r="O3" s="61" t="s">
        <v>4</v>
      </c>
      <c r="P3" s="62"/>
      <c r="Q3" s="63"/>
      <c r="R3" s="61" t="s">
        <v>3</v>
      </c>
      <c r="S3" s="62"/>
      <c r="T3" s="63"/>
      <c r="U3" s="61" t="s">
        <v>6</v>
      </c>
      <c r="V3" s="62"/>
      <c r="W3" s="63"/>
      <c r="X3" s="61" t="s">
        <v>7</v>
      </c>
      <c r="Y3" s="62"/>
      <c r="Z3" s="63"/>
      <c r="AA3" s="19"/>
      <c r="AB3" s="58" t="s">
        <v>8</v>
      </c>
      <c r="AC3" s="59"/>
      <c r="AD3" s="60"/>
      <c r="AF3" s="34" t="s">
        <v>9</v>
      </c>
    </row>
    <row r="4" spans="1:32" x14ac:dyDescent="0.25">
      <c r="A4" s="26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31" t="s">
        <v>0</v>
      </c>
      <c r="AC4" s="32" t="s">
        <v>1</v>
      </c>
      <c r="AD4" s="33" t="s">
        <v>2</v>
      </c>
      <c r="AF4" s="5" t="s">
        <v>2</v>
      </c>
    </row>
    <row r="5" spans="1:32" x14ac:dyDescent="0.25">
      <c r="A5" s="27">
        <v>38626</v>
      </c>
      <c r="B5" s="7">
        <f>'[12]Oct Prod'!I4</f>
        <v>24500000</v>
      </c>
      <c r="C5" s="8">
        <f>B5/1000000</f>
        <v>24.5</v>
      </c>
      <c r="D5" s="10">
        <f>C5*3.07</f>
        <v>75.214999999999989</v>
      </c>
      <c r="E5" s="7">
        <f>'[12]Oct Prod'!E4</f>
        <v>20000000</v>
      </c>
      <c r="F5" s="8">
        <f>E5/1000000</f>
        <v>20</v>
      </c>
      <c r="G5" s="10">
        <f>F5*3.07</f>
        <v>61.4</v>
      </c>
      <c r="H5" s="7">
        <f>'[12]Oct Prod'!F4</f>
        <v>7250000</v>
      </c>
      <c r="I5" s="8">
        <f>H5/1000000</f>
        <v>7.25</v>
      </c>
      <c r="J5" s="10">
        <f>I5*3.07</f>
        <v>22.2575</v>
      </c>
      <c r="K5" s="7">
        <f>'[12]Oct Prod'!H259</f>
        <v>2975827</v>
      </c>
      <c r="L5" s="8">
        <f>K5/1000000</f>
        <v>2.9758270000000002</v>
      </c>
      <c r="M5" s="10">
        <f>L5*3.07</f>
        <v>9.1357888900000006</v>
      </c>
      <c r="N5" s="21"/>
      <c r="O5" s="7">
        <f>'[12]Oct Prod'!H4</f>
        <v>2481999.9999999939</v>
      </c>
      <c r="P5" s="8">
        <f>O5/1000000</f>
        <v>2.481999999999994</v>
      </c>
      <c r="Q5" s="10">
        <f>P5*3.07</f>
        <v>7.6197399999999815</v>
      </c>
      <c r="R5" s="7">
        <f>'[12]Oct Prod'!C4</f>
        <v>2638000</v>
      </c>
      <c r="S5" s="8">
        <f>R5/1000000</f>
        <v>2.6379999999999999</v>
      </c>
      <c r="T5" s="10">
        <f>S5*3.07</f>
        <v>8.0986599999999989</v>
      </c>
      <c r="U5" s="7">
        <f>'[12]Oct Prod'!D4</f>
        <v>0</v>
      </c>
      <c r="V5" s="8">
        <f>U5/1000000</f>
        <v>0</v>
      </c>
      <c r="W5" s="10">
        <f>V5*3.07</f>
        <v>0</v>
      </c>
      <c r="X5" s="7">
        <f>'[12]Oct Prod'!D259</f>
        <v>156000.00000000591</v>
      </c>
      <c r="Y5" s="8">
        <f>X5/1000000</f>
        <v>0.15600000000000591</v>
      </c>
      <c r="Z5" s="10">
        <f>Y5*3.07</f>
        <v>0.47892000000001811</v>
      </c>
      <c r="AA5" s="15"/>
      <c r="AB5" s="7">
        <f>B5+O5</f>
        <v>26981999.999999993</v>
      </c>
      <c r="AC5" s="8">
        <f>C5+P5</f>
        <v>26.981999999999992</v>
      </c>
      <c r="AD5" s="8">
        <f>D5+Q5</f>
        <v>82.834739999999968</v>
      </c>
      <c r="AF5" s="8">
        <f>T5-Q5-Z5</f>
        <v>-7.7715611723760958E-16</v>
      </c>
    </row>
    <row r="6" spans="1:32" x14ac:dyDescent="0.25">
      <c r="A6" s="27">
        <v>38627</v>
      </c>
      <c r="B6" s="7">
        <f>'[12]Oct Prod'!I5</f>
        <v>26799999.999999274</v>
      </c>
      <c r="C6" s="8">
        <f t="shared" ref="C6:C35" si="0">B6/1000000</f>
        <v>26.799999999999272</v>
      </c>
      <c r="D6" s="10">
        <f t="shared" ref="D6:D35" si="1">C6*3.07</f>
        <v>82.275999999997765</v>
      </c>
      <c r="E6" s="7">
        <f>'[12]Oct Prod'!E5</f>
        <v>20000000</v>
      </c>
      <c r="F6" s="8">
        <f t="shared" ref="F6:F35" si="2">E6/1000000</f>
        <v>20</v>
      </c>
      <c r="G6" s="10">
        <f t="shared" ref="G6:G35" si="3">F6*3.07</f>
        <v>61.4</v>
      </c>
      <c r="H6" s="7">
        <f>'[12]Oct Prod'!F5</f>
        <v>8580000</v>
      </c>
      <c r="I6" s="8">
        <f t="shared" ref="I6:I35" si="4">H6/1000000</f>
        <v>8.58</v>
      </c>
      <c r="J6" s="10">
        <f t="shared" ref="J6:J35" si="5">I6*3.07</f>
        <v>26.340599999999998</v>
      </c>
      <c r="K6" s="7">
        <f>'[12]Oct Prod'!H260</f>
        <v>3253219</v>
      </c>
      <c r="L6" s="8">
        <f t="shared" ref="L6:L32" si="6">K6/1000000</f>
        <v>3.2532190000000001</v>
      </c>
      <c r="M6" s="10">
        <f t="shared" ref="M6:M32" si="7">L6*3.07</f>
        <v>9.9873823299999991</v>
      </c>
      <c r="N6" s="21"/>
      <c r="O6" s="7">
        <f>'[12]Oct Prod'!H5</f>
        <v>0</v>
      </c>
      <c r="P6" s="8">
        <f t="shared" ref="P6:P35" si="8">O6/1000000</f>
        <v>0</v>
      </c>
      <c r="Q6" s="10">
        <f t="shared" ref="Q6:Q35" si="9">P6*3.07</f>
        <v>0</v>
      </c>
      <c r="R6" s="7">
        <f>'[12]Oct Prod'!C5</f>
        <v>0</v>
      </c>
      <c r="S6" s="8">
        <f t="shared" ref="S6:S35" si="10">R6/1000000</f>
        <v>0</v>
      </c>
      <c r="T6" s="10">
        <f t="shared" ref="T6:T35" si="11">S6*3.07</f>
        <v>0</v>
      </c>
      <c r="U6" s="7">
        <f>'[12]Oct Prod'!D5</f>
        <v>0</v>
      </c>
      <c r="V6" s="8">
        <f t="shared" ref="V6:V35" si="12">U6/1000000</f>
        <v>0</v>
      </c>
      <c r="W6" s="10">
        <f t="shared" ref="W6:W35" si="13">V6*3.07</f>
        <v>0</v>
      </c>
      <c r="X6" s="7">
        <f>'[12]Oct Prod'!D260</f>
        <v>0</v>
      </c>
      <c r="Y6" s="8">
        <f t="shared" ref="Y6:Y35" si="14">X6/1000000</f>
        <v>0</v>
      </c>
      <c r="Z6" s="10">
        <f t="shared" ref="Z6:Z35" si="15">Y6*3.07</f>
        <v>0</v>
      </c>
      <c r="AA6" s="15"/>
      <c r="AB6" s="7">
        <f t="shared" ref="AB6:AD35" si="16">B6+O6</f>
        <v>26799999.999999274</v>
      </c>
      <c r="AC6" s="8">
        <f t="shared" si="16"/>
        <v>26.799999999999272</v>
      </c>
      <c r="AD6" s="8">
        <f t="shared" si="16"/>
        <v>82.275999999997765</v>
      </c>
      <c r="AF6" s="8">
        <f>T6-Q6-Z6</f>
        <v>0</v>
      </c>
    </row>
    <row r="7" spans="1:32" x14ac:dyDescent="0.25">
      <c r="A7" s="27">
        <v>38628</v>
      </c>
      <c r="B7" s="7">
        <f>'[12]Oct Prod'!I6</f>
        <v>24299999.999999274</v>
      </c>
      <c r="C7" s="8">
        <f t="shared" si="0"/>
        <v>24.299999999999272</v>
      </c>
      <c r="D7" s="10">
        <f t="shared" si="1"/>
        <v>74.600999999997768</v>
      </c>
      <c r="E7" s="7">
        <f>'[12]Oct Prod'!E6</f>
        <v>19000000</v>
      </c>
      <c r="F7" s="8">
        <f t="shared" si="2"/>
        <v>19</v>
      </c>
      <c r="G7" s="10">
        <f t="shared" si="3"/>
        <v>58.33</v>
      </c>
      <c r="H7" s="7">
        <f>'[12]Oct Prod'!F6</f>
        <v>7860000</v>
      </c>
      <c r="I7" s="8">
        <f t="shared" si="4"/>
        <v>7.86</v>
      </c>
      <c r="J7" s="10">
        <f t="shared" si="5"/>
        <v>24.130199999999999</v>
      </c>
      <c r="K7" s="7">
        <f>'[12]Oct Prod'!H261</f>
        <v>2975347</v>
      </c>
      <c r="L7" s="8">
        <f t="shared" si="6"/>
        <v>2.9753470000000002</v>
      </c>
      <c r="M7" s="10">
        <f t="shared" si="7"/>
        <v>9.13431529</v>
      </c>
      <c r="N7" s="21"/>
      <c r="O7" s="7">
        <f>'[12]Oct Prod'!H6</f>
        <v>0</v>
      </c>
      <c r="P7" s="8">
        <f t="shared" si="8"/>
        <v>0</v>
      </c>
      <c r="Q7" s="10">
        <f t="shared" si="9"/>
        <v>0</v>
      </c>
      <c r="R7" s="7">
        <f>'[12]Oct Prod'!C6</f>
        <v>0</v>
      </c>
      <c r="S7" s="8">
        <f t="shared" si="10"/>
        <v>0</v>
      </c>
      <c r="T7" s="10">
        <f t="shared" si="11"/>
        <v>0</v>
      </c>
      <c r="U7" s="7">
        <f>'[12]Oct Prod'!D6</f>
        <v>0</v>
      </c>
      <c r="V7" s="8">
        <f t="shared" si="12"/>
        <v>0</v>
      </c>
      <c r="W7" s="10">
        <f t="shared" si="13"/>
        <v>0</v>
      </c>
      <c r="X7" s="7">
        <f>'[12]Oct Prod'!D261</f>
        <v>0</v>
      </c>
      <c r="Y7" s="8">
        <f t="shared" si="14"/>
        <v>0</v>
      </c>
      <c r="Z7" s="10">
        <f t="shared" si="15"/>
        <v>0</v>
      </c>
      <c r="AA7" s="15"/>
      <c r="AB7" s="7">
        <f t="shared" si="16"/>
        <v>24299999.999999274</v>
      </c>
      <c r="AC7" s="8">
        <f t="shared" si="16"/>
        <v>24.299999999999272</v>
      </c>
      <c r="AD7" s="8">
        <f t="shared" si="16"/>
        <v>74.600999999997768</v>
      </c>
      <c r="AF7" s="8">
        <f t="shared" ref="AF7:AF14" si="17">T7-Q7-Z7</f>
        <v>0</v>
      </c>
    </row>
    <row r="8" spans="1:32" x14ac:dyDescent="0.25">
      <c r="A8" s="27">
        <v>38629</v>
      </c>
      <c r="B8" s="7">
        <f>'[12]Oct Prod'!I7</f>
        <v>24400000.000001457</v>
      </c>
      <c r="C8" s="8">
        <f t="shared" si="0"/>
        <v>24.400000000001455</v>
      </c>
      <c r="D8" s="10">
        <f t="shared" si="1"/>
        <v>74.908000000004463</v>
      </c>
      <c r="E8" s="7">
        <f>'[12]Oct Prod'!E7</f>
        <v>19000000</v>
      </c>
      <c r="F8" s="8">
        <f t="shared" si="2"/>
        <v>19</v>
      </c>
      <c r="G8" s="10">
        <f t="shared" si="3"/>
        <v>58.33</v>
      </c>
      <c r="H8" s="7">
        <f>'[12]Oct Prod'!F7</f>
        <v>8140000.0000000009</v>
      </c>
      <c r="I8" s="8">
        <f t="shared" si="4"/>
        <v>8.14</v>
      </c>
      <c r="J8" s="10">
        <f t="shared" si="5"/>
        <v>24.989799999999999</v>
      </c>
      <c r="K8" s="7">
        <f>'[12]Oct Prod'!H262</f>
        <v>2992540</v>
      </c>
      <c r="L8" s="8">
        <f t="shared" si="6"/>
        <v>2.99254</v>
      </c>
      <c r="M8" s="10">
        <f t="shared" si="7"/>
        <v>9.1870978000000001</v>
      </c>
      <c r="N8" s="21"/>
      <c r="O8" s="7">
        <f>'[12]Oct Prod'!H7</f>
        <v>0</v>
      </c>
      <c r="P8" s="8">
        <f t="shared" si="8"/>
        <v>0</v>
      </c>
      <c r="Q8" s="10">
        <f t="shared" si="9"/>
        <v>0</v>
      </c>
      <c r="R8" s="7">
        <f>'[12]Oct Prod'!C7</f>
        <v>0</v>
      </c>
      <c r="S8" s="8">
        <f t="shared" si="10"/>
        <v>0</v>
      </c>
      <c r="T8" s="10">
        <f t="shared" si="11"/>
        <v>0</v>
      </c>
      <c r="U8" s="7">
        <f>'[12]Oct Prod'!D7</f>
        <v>0</v>
      </c>
      <c r="V8" s="8">
        <f t="shared" si="12"/>
        <v>0</v>
      </c>
      <c r="W8" s="10">
        <f t="shared" si="13"/>
        <v>0</v>
      </c>
      <c r="X8" s="7">
        <f>'[12]Oct Prod'!D262</f>
        <v>0</v>
      </c>
      <c r="Y8" s="8">
        <f t="shared" si="14"/>
        <v>0</v>
      </c>
      <c r="Z8" s="10">
        <f t="shared" si="15"/>
        <v>0</v>
      </c>
      <c r="AA8" s="15"/>
      <c r="AB8" s="7">
        <f t="shared" si="16"/>
        <v>24400000.000001457</v>
      </c>
      <c r="AC8" s="8">
        <f t="shared" si="16"/>
        <v>24.400000000001455</v>
      </c>
      <c r="AD8" s="8">
        <f>D8+Q8</f>
        <v>74.908000000004463</v>
      </c>
      <c r="AF8" s="8">
        <f t="shared" si="17"/>
        <v>0</v>
      </c>
    </row>
    <row r="9" spans="1:32" x14ac:dyDescent="0.25">
      <c r="A9" s="27">
        <v>38630</v>
      </c>
      <c r="B9" s="7">
        <f>'[12]Oct Prod'!I8</f>
        <v>28400000.000001457</v>
      </c>
      <c r="C9" s="8">
        <f t="shared" si="0"/>
        <v>28.400000000001455</v>
      </c>
      <c r="D9" s="10">
        <f t="shared" si="1"/>
        <v>87.188000000004465</v>
      </c>
      <c r="E9" s="7">
        <f>'[12]Oct Prod'!E8</f>
        <v>21000000</v>
      </c>
      <c r="F9" s="8">
        <f t="shared" si="2"/>
        <v>21</v>
      </c>
      <c r="G9" s="10">
        <f t="shared" si="3"/>
        <v>64.47</v>
      </c>
      <c r="H9" s="7">
        <f>'[12]Oct Prod'!F8</f>
        <v>9020000</v>
      </c>
      <c r="I9" s="8">
        <f t="shared" si="4"/>
        <v>9.02</v>
      </c>
      <c r="J9" s="10">
        <f t="shared" si="5"/>
        <v>27.691399999999998</v>
      </c>
      <c r="K9" s="7">
        <f>'[12]Oct Prod'!H263</f>
        <v>3195114</v>
      </c>
      <c r="L9" s="8">
        <f t="shared" si="6"/>
        <v>3.1951139999999998</v>
      </c>
      <c r="M9" s="10">
        <f t="shared" si="7"/>
        <v>9.8089999799999994</v>
      </c>
      <c r="N9" s="21"/>
      <c r="O9" s="7">
        <f>'[12]Oct Prod'!H8</f>
        <v>0</v>
      </c>
      <c r="P9" s="8">
        <f t="shared" si="8"/>
        <v>0</v>
      </c>
      <c r="Q9" s="10">
        <f t="shared" si="9"/>
        <v>0</v>
      </c>
      <c r="R9" s="7">
        <f>'[12]Oct Prod'!C8</f>
        <v>0</v>
      </c>
      <c r="S9" s="8">
        <f t="shared" si="10"/>
        <v>0</v>
      </c>
      <c r="T9" s="10">
        <f t="shared" si="11"/>
        <v>0</v>
      </c>
      <c r="U9" s="7">
        <f>'[12]Oct Prod'!D8</f>
        <v>0</v>
      </c>
      <c r="V9" s="8">
        <f t="shared" si="12"/>
        <v>0</v>
      </c>
      <c r="W9" s="10">
        <f t="shared" si="13"/>
        <v>0</v>
      </c>
      <c r="X9" s="7">
        <f>'[12]Oct Prod'!D263</f>
        <v>120999.99999999511</v>
      </c>
      <c r="Y9" s="8">
        <f t="shared" si="14"/>
        <v>0.12099999999999511</v>
      </c>
      <c r="Z9" s="10">
        <f t="shared" si="15"/>
        <v>0.37146999999998498</v>
      </c>
      <c r="AA9" s="15"/>
      <c r="AB9" s="7">
        <f t="shared" si="16"/>
        <v>28400000.000001457</v>
      </c>
      <c r="AC9" s="8">
        <f t="shared" si="16"/>
        <v>28.400000000001455</v>
      </c>
      <c r="AD9" s="8">
        <f t="shared" si="16"/>
        <v>87.188000000004465</v>
      </c>
      <c r="AF9" s="8">
        <f t="shared" si="17"/>
        <v>-0.37146999999998498</v>
      </c>
    </row>
    <row r="10" spans="1:32" x14ac:dyDescent="0.25">
      <c r="A10" s="27">
        <v>38631</v>
      </c>
      <c r="B10" s="7">
        <f>'[12]Oct Prod'!I9</f>
        <v>22099999.999998543</v>
      </c>
      <c r="C10" s="8">
        <f t="shared" si="0"/>
        <v>22.099999999998545</v>
      </c>
      <c r="D10" s="10">
        <f t="shared" si="1"/>
        <v>67.846999999995532</v>
      </c>
      <c r="E10" s="7">
        <f>'[12]Oct Prod'!E9</f>
        <v>15000000</v>
      </c>
      <c r="F10" s="8">
        <f t="shared" si="2"/>
        <v>15</v>
      </c>
      <c r="G10" s="10">
        <f t="shared" si="3"/>
        <v>46.05</v>
      </c>
      <c r="H10" s="7">
        <f>'[12]Oct Prod'!F9</f>
        <v>8710000</v>
      </c>
      <c r="I10" s="8">
        <f t="shared" si="4"/>
        <v>8.7100000000000009</v>
      </c>
      <c r="J10" s="10">
        <f t="shared" si="5"/>
        <v>26.739700000000003</v>
      </c>
      <c r="K10" s="7">
        <f>'[12]Oct Prod'!H264</f>
        <v>2639130</v>
      </c>
      <c r="L10" s="8">
        <f t="shared" si="6"/>
        <v>2.6391300000000002</v>
      </c>
      <c r="M10" s="10">
        <f t="shared" si="7"/>
        <v>8.1021291000000009</v>
      </c>
      <c r="N10" s="21"/>
      <c r="O10" s="7">
        <f>'[12]Oct Prod'!H9</f>
        <v>0</v>
      </c>
      <c r="P10" s="8">
        <f t="shared" si="8"/>
        <v>0</v>
      </c>
      <c r="Q10" s="10">
        <f t="shared" si="9"/>
        <v>0</v>
      </c>
      <c r="R10" s="7">
        <f>'[12]Oct Prod'!C9</f>
        <v>0</v>
      </c>
      <c r="S10" s="8">
        <f t="shared" si="10"/>
        <v>0</v>
      </c>
      <c r="T10" s="10">
        <f t="shared" si="11"/>
        <v>0</v>
      </c>
      <c r="U10" s="7">
        <f>'[12]Oct Prod'!D9</f>
        <v>0</v>
      </c>
      <c r="V10" s="8">
        <f t="shared" si="12"/>
        <v>0</v>
      </c>
      <c r="W10" s="10">
        <f t="shared" si="13"/>
        <v>0</v>
      </c>
      <c r="X10" s="7">
        <f>'[12]Oct Prod'!D264</f>
        <v>45000.000000001703</v>
      </c>
      <c r="Y10" s="8">
        <f t="shared" si="14"/>
        <v>4.5000000000001705E-2</v>
      </c>
      <c r="Z10" s="10">
        <f t="shared" si="15"/>
        <v>0.13815000000000524</v>
      </c>
      <c r="AA10" s="15"/>
      <c r="AB10" s="7">
        <f t="shared" si="16"/>
        <v>22099999.999998543</v>
      </c>
      <c r="AC10" s="8">
        <f t="shared" si="16"/>
        <v>22.099999999998545</v>
      </c>
      <c r="AD10" s="8">
        <f t="shared" si="16"/>
        <v>67.846999999995532</v>
      </c>
      <c r="AF10" s="8">
        <f t="shared" si="17"/>
        <v>-0.13815000000000524</v>
      </c>
    </row>
    <row r="11" spans="1:32" x14ac:dyDescent="0.25">
      <c r="A11" s="27">
        <v>38632</v>
      </c>
      <c r="B11" s="7">
        <f>'[12]Oct Prod'!I10</f>
        <v>20200000.000000726</v>
      </c>
      <c r="C11" s="8">
        <f t="shared" si="0"/>
        <v>20.200000000000728</v>
      </c>
      <c r="D11" s="10">
        <f t="shared" si="1"/>
        <v>62.014000000002234</v>
      </c>
      <c r="E11" s="7">
        <f>'[12]Oct Prod'!E10</f>
        <v>10000000</v>
      </c>
      <c r="F11" s="8">
        <f t="shared" si="2"/>
        <v>10</v>
      </c>
      <c r="G11" s="10">
        <f t="shared" si="3"/>
        <v>30.7</v>
      </c>
      <c r="H11" s="7">
        <f>'[12]Oct Prod'!F10</f>
        <v>11050000</v>
      </c>
      <c r="I11" s="8">
        <f t="shared" si="4"/>
        <v>11.05</v>
      </c>
      <c r="J11" s="10">
        <f t="shared" si="5"/>
        <v>33.923499999999997</v>
      </c>
      <c r="K11" s="7">
        <f>'[12]Oct Prod'!H265</f>
        <v>2262164</v>
      </c>
      <c r="L11" s="8">
        <f t="shared" si="6"/>
        <v>2.2621639999999998</v>
      </c>
      <c r="M11" s="10">
        <f t="shared" si="7"/>
        <v>6.9448434799999994</v>
      </c>
      <c r="N11" s="21"/>
      <c r="O11" s="7">
        <f>'[12]Oct Prod'!H10</f>
        <v>0</v>
      </c>
      <c r="P11" s="8">
        <f t="shared" si="8"/>
        <v>0</v>
      </c>
      <c r="Q11" s="10">
        <f t="shared" si="9"/>
        <v>0</v>
      </c>
      <c r="R11" s="7">
        <f>'[12]Oct Prod'!C10</f>
        <v>0</v>
      </c>
      <c r="S11" s="8">
        <f t="shared" si="10"/>
        <v>0</v>
      </c>
      <c r="T11" s="10">
        <f t="shared" si="11"/>
        <v>0</v>
      </c>
      <c r="U11" s="7">
        <f>'[12]Oct Prod'!D10</f>
        <v>0</v>
      </c>
      <c r="V11" s="8">
        <f t="shared" si="12"/>
        <v>0</v>
      </c>
      <c r="W11" s="10">
        <f t="shared" si="13"/>
        <v>0</v>
      </c>
      <c r="X11" s="7">
        <f>'[12]Oct Prod'!D265</f>
        <v>0</v>
      </c>
      <c r="Y11" s="8">
        <f t="shared" si="14"/>
        <v>0</v>
      </c>
      <c r="Z11" s="10">
        <f t="shared" si="15"/>
        <v>0</v>
      </c>
      <c r="AA11" s="15"/>
      <c r="AB11" s="7">
        <f t="shared" si="16"/>
        <v>20200000.000000726</v>
      </c>
      <c r="AC11" s="8">
        <f t="shared" si="16"/>
        <v>20.200000000000728</v>
      </c>
      <c r="AD11" s="8">
        <f t="shared" si="16"/>
        <v>62.014000000002234</v>
      </c>
      <c r="AF11" s="8">
        <f t="shared" si="17"/>
        <v>0</v>
      </c>
    </row>
    <row r="12" spans="1:32" x14ac:dyDescent="0.25">
      <c r="A12" s="27">
        <v>38633</v>
      </c>
      <c r="B12" s="7">
        <f>'[12]Oct Prod'!I11</f>
        <v>17799999.999999274</v>
      </c>
      <c r="C12" s="8">
        <f t="shared" si="0"/>
        <v>17.799999999999272</v>
      </c>
      <c r="D12" s="10">
        <f t="shared" si="1"/>
        <v>54.645999999997763</v>
      </c>
      <c r="E12" s="7">
        <f>'[12]Oct Prod'!E11</f>
        <v>9000000</v>
      </c>
      <c r="F12" s="8">
        <f t="shared" si="2"/>
        <v>9</v>
      </c>
      <c r="G12" s="10">
        <f t="shared" si="3"/>
        <v>27.63</v>
      </c>
      <c r="H12" s="7">
        <f>'[12]Oct Prod'!F11</f>
        <v>9170000</v>
      </c>
      <c r="I12" s="8">
        <f t="shared" si="4"/>
        <v>9.17</v>
      </c>
      <c r="J12" s="10">
        <f t="shared" si="5"/>
        <v>28.151899999999998</v>
      </c>
      <c r="K12" s="7">
        <f>'[12]Oct Prod'!H266</f>
        <v>2042013</v>
      </c>
      <c r="L12" s="8">
        <f t="shared" si="6"/>
        <v>2.0420129999999999</v>
      </c>
      <c r="M12" s="10">
        <f t="shared" si="7"/>
        <v>6.2689799099999997</v>
      </c>
      <c r="N12" s="21"/>
      <c r="O12" s="7">
        <f>'[12]Oct Prod'!H11</f>
        <v>0</v>
      </c>
      <c r="P12" s="8">
        <f t="shared" si="8"/>
        <v>0</v>
      </c>
      <c r="Q12" s="10">
        <f t="shared" si="9"/>
        <v>0</v>
      </c>
      <c r="R12" s="7">
        <f>'[12]Oct Prod'!C11</f>
        <v>0</v>
      </c>
      <c r="S12" s="8">
        <f t="shared" si="10"/>
        <v>0</v>
      </c>
      <c r="T12" s="10">
        <f t="shared" si="11"/>
        <v>0</v>
      </c>
      <c r="U12" s="7">
        <f>'[12]Oct Prod'!D11</f>
        <v>0</v>
      </c>
      <c r="V12" s="8">
        <f t="shared" si="12"/>
        <v>0</v>
      </c>
      <c r="W12" s="10">
        <f t="shared" si="13"/>
        <v>0</v>
      </c>
      <c r="X12" s="7">
        <f>'[12]Oct Prod'!D266</f>
        <v>0</v>
      </c>
      <c r="Y12" s="8">
        <f t="shared" si="14"/>
        <v>0</v>
      </c>
      <c r="Z12" s="10">
        <f t="shared" si="15"/>
        <v>0</v>
      </c>
      <c r="AA12" s="15"/>
      <c r="AB12" s="7">
        <f t="shared" si="16"/>
        <v>17799999.999999274</v>
      </c>
      <c r="AC12" s="8">
        <f t="shared" si="16"/>
        <v>17.799999999999272</v>
      </c>
      <c r="AD12" s="8">
        <f t="shared" si="16"/>
        <v>54.645999999997763</v>
      </c>
      <c r="AF12" s="8">
        <f t="shared" si="17"/>
        <v>0</v>
      </c>
    </row>
    <row r="13" spans="1:32" x14ac:dyDescent="0.25">
      <c r="A13" s="27">
        <v>38634</v>
      </c>
      <c r="B13" s="7">
        <f>'[12]Oct Prod'!I12</f>
        <v>23200000.000000726</v>
      </c>
      <c r="C13" s="8">
        <f t="shared" si="0"/>
        <v>23.200000000000728</v>
      </c>
      <c r="D13" s="10">
        <f t="shared" si="1"/>
        <v>71.224000000002235</v>
      </c>
      <c r="E13" s="7">
        <f>'[12]Oct Prod'!E12</f>
        <v>11000000</v>
      </c>
      <c r="F13" s="8">
        <f t="shared" si="2"/>
        <v>11</v>
      </c>
      <c r="G13" s="10">
        <f t="shared" si="3"/>
        <v>33.769999999999996</v>
      </c>
      <c r="H13" s="7">
        <f>'[12]Oct Prod'!F12</f>
        <v>12800000</v>
      </c>
      <c r="I13" s="8">
        <f t="shared" si="4"/>
        <v>12.8</v>
      </c>
      <c r="J13" s="10">
        <f t="shared" si="5"/>
        <v>39.295999999999999</v>
      </c>
      <c r="K13" s="7">
        <f>'[12]Oct Prod'!H267</f>
        <v>2822600</v>
      </c>
      <c r="L13" s="8">
        <f t="shared" si="6"/>
        <v>2.8226</v>
      </c>
      <c r="M13" s="10">
        <f t="shared" si="7"/>
        <v>8.6653819999999993</v>
      </c>
      <c r="N13" s="21"/>
      <c r="O13" s="7">
        <f>'[12]Oct Prod'!H12</f>
        <v>0</v>
      </c>
      <c r="P13" s="8">
        <f t="shared" si="8"/>
        <v>0</v>
      </c>
      <c r="Q13" s="10">
        <f t="shared" si="9"/>
        <v>0</v>
      </c>
      <c r="R13" s="7">
        <f>'[12]Oct Prod'!C12</f>
        <v>0</v>
      </c>
      <c r="S13" s="8">
        <f t="shared" si="10"/>
        <v>0</v>
      </c>
      <c r="T13" s="10">
        <f t="shared" si="11"/>
        <v>0</v>
      </c>
      <c r="U13" s="7">
        <f>'[12]Oct Prod'!D12</f>
        <v>0</v>
      </c>
      <c r="V13" s="8">
        <f t="shared" si="12"/>
        <v>0</v>
      </c>
      <c r="W13" s="10">
        <f t="shared" si="13"/>
        <v>0</v>
      </c>
      <c r="X13" s="7">
        <f>'[12]Oct Prod'!D267</f>
        <v>0</v>
      </c>
      <c r="Y13" s="8">
        <f t="shared" si="14"/>
        <v>0</v>
      </c>
      <c r="Z13" s="10">
        <f t="shared" si="15"/>
        <v>0</v>
      </c>
      <c r="AA13" s="15"/>
      <c r="AB13" s="7">
        <f t="shared" si="16"/>
        <v>23200000.000000726</v>
      </c>
      <c r="AC13" s="8">
        <f t="shared" si="16"/>
        <v>23.200000000000728</v>
      </c>
      <c r="AD13" s="8">
        <f t="shared" si="16"/>
        <v>71.224000000002235</v>
      </c>
      <c r="AF13" s="8">
        <f t="shared" si="17"/>
        <v>0</v>
      </c>
    </row>
    <row r="14" spans="1:32" x14ac:dyDescent="0.25">
      <c r="A14" s="27">
        <v>38635</v>
      </c>
      <c r="B14" s="7">
        <f>'[12]Oct Prod'!I13</f>
        <v>22399999.999997817</v>
      </c>
      <c r="C14" s="8">
        <f t="shared" si="0"/>
        <v>22.399999999997817</v>
      </c>
      <c r="D14" s="10">
        <f t="shared" si="1"/>
        <v>68.767999999993293</v>
      </c>
      <c r="E14" s="7">
        <f>'[12]Oct Prod'!E13</f>
        <v>10000000</v>
      </c>
      <c r="F14" s="8">
        <f t="shared" si="2"/>
        <v>10</v>
      </c>
      <c r="G14" s="10">
        <f t="shared" si="3"/>
        <v>30.7</v>
      </c>
      <c r="H14" s="7">
        <f>'[12]Oct Prod'!F13</f>
        <v>12980000</v>
      </c>
      <c r="I14" s="8">
        <f t="shared" si="4"/>
        <v>12.98</v>
      </c>
      <c r="J14" s="10">
        <f t="shared" si="5"/>
        <v>39.848599999999998</v>
      </c>
      <c r="K14" s="7">
        <f>'[12]Oct Prod'!H268</f>
        <v>2671180</v>
      </c>
      <c r="L14" s="8">
        <f t="shared" si="6"/>
        <v>2.6711800000000001</v>
      </c>
      <c r="M14" s="10">
        <f t="shared" si="7"/>
        <v>8.2005225999999993</v>
      </c>
      <c r="N14" s="21"/>
      <c r="O14" s="7">
        <f>'[12]Oct Prod'!H13</f>
        <v>0</v>
      </c>
      <c r="P14" s="8">
        <f t="shared" si="8"/>
        <v>0</v>
      </c>
      <c r="Q14" s="10">
        <f t="shared" si="9"/>
        <v>0</v>
      </c>
      <c r="R14" s="7">
        <f>'[12]Oct Prod'!C13</f>
        <v>0</v>
      </c>
      <c r="S14" s="8">
        <f t="shared" si="10"/>
        <v>0</v>
      </c>
      <c r="T14" s="10">
        <f t="shared" si="11"/>
        <v>0</v>
      </c>
      <c r="U14" s="7">
        <f>'[12]Oct Prod'!D13</f>
        <v>0</v>
      </c>
      <c r="V14" s="8">
        <f t="shared" ref="V14:V16" si="18">U14/1000000</f>
        <v>0</v>
      </c>
      <c r="W14" s="10">
        <f t="shared" ref="W14:W16" si="19">V14*3.07</f>
        <v>0</v>
      </c>
      <c r="X14" s="7">
        <f>'[12]Oct Prod'!D268</f>
        <v>0</v>
      </c>
      <c r="Y14" s="8">
        <f t="shared" si="14"/>
        <v>0</v>
      </c>
      <c r="Z14" s="10">
        <f t="shared" si="15"/>
        <v>0</v>
      </c>
      <c r="AA14" s="15"/>
      <c r="AB14" s="7">
        <f t="shared" si="16"/>
        <v>22399999.999997817</v>
      </c>
      <c r="AC14" s="8">
        <f t="shared" si="16"/>
        <v>22.399999999997817</v>
      </c>
      <c r="AD14" s="8">
        <f t="shared" si="16"/>
        <v>68.767999999993293</v>
      </c>
      <c r="AF14" s="8">
        <f t="shared" si="17"/>
        <v>0</v>
      </c>
    </row>
    <row r="15" spans="1:32" x14ac:dyDescent="0.25">
      <c r="A15" s="27">
        <v>38636</v>
      </c>
      <c r="B15" s="7">
        <f>'[12]Oct Prod'!I14</f>
        <v>24300000.000002909</v>
      </c>
      <c r="C15" s="8">
        <f t="shared" si="0"/>
        <v>24.30000000000291</v>
      </c>
      <c r="D15" s="10">
        <f t="shared" si="1"/>
        <v>74.601000000008938</v>
      </c>
      <c r="E15" s="7">
        <f>'[12]Oct Prod'!E14</f>
        <v>10000000</v>
      </c>
      <c r="F15" s="8">
        <f t="shared" si="2"/>
        <v>10</v>
      </c>
      <c r="G15" s="10">
        <f t="shared" si="3"/>
        <v>30.7</v>
      </c>
      <c r="H15" s="7">
        <f>'[12]Oct Prod'!F14</f>
        <v>14850000</v>
      </c>
      <c r="I15" s="8">
        <f t="shared" si="4"/>
        <v>14.85</v>
      </c>
      <c r="J15" s="10">
        <f t="shared" si="5"/>
        <v>45.589499999999994</v>
      </c>
      <c r="K15" s="7">
        <f>'[12]Oct Prod'!H269</f>
        <v>2857000</v>
      </c>
      <c r="L15" s="8">
        <f t="shared" si="6"/>
        <v>2.8570000000000002</v>
      </c>
      <c r="M15" s="10">
        <f t="shared" si="7"/>
        <v>8.7709899999999994</v>
      </c>
      <c r="N15" s="21"/>
      <c r="O15" s="7">
        <f>'[12]Oct Prod'!H14</f>
        <v>0</v>
      </c>
      <c r="P15" s="8">
        <f t="shared" si="8"/>
        <v>0</v>
      </c>
      <c r="Q15" s="10">
        <f t="shared" si="9"/>
        <v>0</v>
      </c>
      <c r="R15" s="7">
        <f>'[12]Oct Prod'!C14</f>
        <v>0</v>
      </c>
      <c r="S15" s="8">
        <f t="shared" si="10"/>
        <v>0</v>
      </c>
      <c r="T15" s="10">
        <f t="shared" si="11"/>
        <v>0</v>
      </c>
      <c r="U15" s="7">
        <f>'[12]Oct Prod'!D14</f>
        <v>0</v>
      </c>
      <c r="V15" s="8">
        <f t="shared" si="18"/>
        <v>0</v>
      </c>
      <c r="W15" s="10">
        <f t="shared" si="19"/>
        <v>0</v>
      </c>
      <c r="X15" s="7">
        <f>'[12]Oct Prod'!D269</f>
        <v>0</v>
      </c>
      <c r="Y15" s="8">
        <f t="shared" si="14"/>
        <v>0</v>
      </c>
      <c r="Z15" s="10">
        <f t="shared" si="15"/>
        <v>0</v>
      </c>
      <c r="AA15" s="15"/>
      <c r="AB15" s="7">
        <f t="shared" si="16"/>
        <v>24300000.000002909</v>
      </c>
      <c r="AC15" s="8">
        <f t="shared" si="16"/>
        <v>24.30000000000291</v>
      </c>
      <c r="AD15" s="8">
        <f t="shared" si="16"/>
        <v>74.601000000008938</v>
      </c>
      <c r="AF15" s="8">
        <f>T15-Q15-Z15</f>
        <v>0</v>
      </c>
    </row>
    <row r="16" spans="1:32" x14ac:dyDescent="0.25">
      <c r="A16" s="27">
        <v>38637</v>
      </c>
      <c r="B16" s="7">
        <f>'[12]Oct Prod'!I15</f>
        <v>22699999.999997091</v>
      </c>
      <c r="C16" s="8">
        <f t="shared" si="0"/>
        <v>22.69999999999709</v>
      </c>
      <c r="D16" s="10">
        <f t="shared" si="1"/>
        <v>69.688999999991069</v>
      </c>
      <c r="E16" s="7">
        <f>'[12]Oct Prod'!E15</f>
        <v>9000000</v>
      </c>
      <c r="F16" s="8">
        <f t="shared" si="2"/>
        <v>9</v>
      </c>
      <c r="G16" s="10">
        <f t="shared" si="3"/>
        <v>27.63</v>
      </c>
      <c r="H16" s="7">
        <f>'[12]Oct Prod'!F15</f>
        <v>14790000</v>
      </c>
      <c r="I16" s="8">
        <f t="shared" si="4"/>
        <v>14.79</v>
      </c>
      <c r="J16" s="10">
        <f t="shared" si="5"/>
        <v>45.405299999999997</v>
      </c>
      <c r="K16" s="7">
        <f>'[12]Oct Prod'!H270</f>
        <v>2678653</v>
      </c>
      <c r="L16" s="8">
        <f t="shared" ref="L16:L20" si="20">K16/1000000</f>
        <v>2.6786530000000002</v>
      </c>
      <c r="M16" s="10">
        <f t="shared" ref="M16:M20" si="21">L16*3.07</f>
        <v>8.22346471</v>
      </c>
      <c r="N16" s="21"/>
      <c r="O16" s="7">
        <f>'[12]Oct Prod'!H15</f>
        <v>0</v>
      </c>
      <c r="P16" s="8">
        <f t="shared" si="8"/>
        <v>0</v>
      </c>
      <c r="Q16" s="10">
        <f t="shared" si="9"/>
        <v>0</v>
      </c>
      <c r="R16" s="7">
        <f>'[12]Oct Prod'!C15</f>
        <v>0</v>
      </c>
      <c r="S16" s="8">
        <f t="shared" si="10"/>
        <v>0</v>
      </c>
      <c r="T16" s="10">
        <f t="shared" si="11"/>
        <v>0</v>
      </c>
      <c r="U16" s="7">
        <f>'[12]Oct Prod'!D15</f>
        <v>0</v>
      </c>
      <c r="V16" s="8">
        <f t="shared" si="18"/>
        <v>0</v>
      </c>
      <c r="W16" s="10">
        <f t="shared" si="19"/>
        <v>0</v>
      </c>
      <c r="X16" s="7">
        <f>'[12]Oct Prod'!D270</f>
        <v>16000.000000005344</v>
      </c>
      <c r="Y16" s="8">
        <f t="shared" si="14"/>
        <v>1.6000000000005343E-2</v>
      </c>
      <c r="Z16" s="10">
        <f t="shared" si="15"/>
        <v>4.9120000000016401E-2</v>
      </c>
      <c r="AA16" s="15"/>
      <c r="AB16" s="7">
        <f t="shared" si="16"/>
        <v>22699999.999997091</v>
      </c>
      <c r="AC16" s="8">
        <f t="shared" si="16"/>
        <v>22.69999999999709</v>
      </c>
      <c r="AD16" s="8">
        <f t="shared" si="16"/>
        <v>69.688999999991069</v>
      </c>
      <c r="AF16" s="8">
        <f>T16-Q16-Z16</f>
        <v>-4.9120000000016401E-2</v>
      </c>
    </row>
    <row r="17" spans="1:32" x14ac:dyDescent="0.25">
      <c r="A17" s="27">
        <v>38638</v>
      </c>
      <c r="B17" s="7">
        <f>'[12]Oct Prod'!I16</f>
        <v>21600000.000002183</v>
      </c>
      <c r="C17" s="8">
        <f t="shared" si="0"/>
        <v>21.600000000002183</v>
      </c>
      <c r="D17" s="10">
        <f t="shared" si="1"/>
        <v>66.312000000006691</v>
      </c>
      <c r="E17" s="7">
        <f>'[12]Oct Prod'!E16</f>
        <v>7000000</v>
      </c>
      <c r="F17" s="8">
        <f t="shared" si="2"/>
        <v>7</v>
      </c>
      <c r="G17" s="10">
        <f t="shared" si="3"/>
        <v>21.49</v>
      </c>
      <c r="H17" s="7">
        <f>'[12]Oct Prod'!F16</f>
        <v>15360000</v>
      </c>
      <c r="I17" s="8">
        <f t="shared" si="4"/>
        <v>15.36</v>
      </c>
      <c r="J17" s="10">
        <f t="shared" si="5"/>
        <v>47.155199999999994</v>
      </c>
      <c r="K17" s="7">
        <f>'[12]Oct Prod'!H271</f>
        <v>2914365</v>
      </c>
      <c r="L17" s="8">
        <f t="shared" si="20"/>
        <v>2.9143650000000001</v>
      </c>
      <c r="M17" s="10">
        <f t="shared" si="21"/>
        <v>8.94710055</v>
      </c>
      <c r="N17" s="21"/>
      <c r="O17" s="7">
        <f>'[12]Oct Prod'!H16</f>
        <v>0</v>
      </c>
      <c r="P17" s="8">
        <f t="shared" si="8"/>
        <v>0</v>
      </c>
      <c r="Q17" s="10">
        <f t="shared" si="9"/>
        <v>0</v>
      </c>
      <c r="R17" s="7">
        <f>'[12]Oct Prod'!C16</f>
        <v>0</v>
      </c>
      <c r="S17" s="8">
        <f t="shared" si="10"/>
        <v>0</v>
      </c>
      <c r="T17" s="10">
        <f t="shared" si="11"/>
        <v>0</v>
      </c>
      <c r="U17" s="7">
        <f>'[12]Oct Prod'!D16</f>
        <v>0</v>
      </c>
      <c r="V17" s="8">
        <f t="shared" si="12"/>
        <v>0</v>
      </c>
      <c r="W17" s="10">
        <f t="shared" si="13"/>
        <v>0</v>
      </c>
      <c r="X17" s="7">
        <f>'[12]Oct Prod'!D271</f>
        <v>15999.999999991132</v>
      </c>
      <c r="Y17" s="8">
        <f t="shared" si="14"/>
        <v>1.5999999999991132E-2</v>
      </c>
      <c r="Z17" s="10">
        <f t="shared" si="15"/>
        <v>4.9119999999972776E-2</v>
      </c>
      <c r="AA17" s="15"/>
      <c r="AB17" s="7">
        <f t="shared" si="16"/>
        <v>21600000.000002183</v>
      </c>
      <c r="AC17" s="8">
        <f t="shared" si="16"/>
        <v>21.600000000002183</v>
      </c>
      <c r="AD17" s="8">
        <f t="shared" si="16"/>
        <v>66.312000000006691</v>
      </c>
      <c r="AF17" s="8">
        <f>T17-Q17-Z17</f>
        <v>-4.9119999999972776E-2</v>
      </c>
    </row>
    <row r="18" spans="1:32" x14ac:dyDescent="0.25">
      <c r="A18" s="27">
        <v>38639</v>
      </c>
      <c r="B18" s="7">
        <f>'[12]Oct Prod'!I17</f>
        <v>24599999.999998543</v>
      </c>
      <c r="C18" s="8">
        <f t="shared" si="0"/>
        <v>24.599999999998545</v>
      </c>
      <c r="D18" s="10">
        <f t="shared" si="1"/>
        <v>75.521999999995529</v>
      </c>
      <c r="E18" s="7">
        <f>'[12]Oct Prod'!E17</f>
        <v>7000000</v>
      </c>
      <c r="F18" s="8">
        <f t="shared" si="2"/>
        <v>7</v>
      </c>
      <c r="G18" s="10">
        <f t="shared" si="3"/>
        <v>21.49</v>
      </c>
      <c r="H18" s="7">
        <f>'[12]Oct Prod'!F17</f>
        <v>16850000</v>
      </c>
      <c r="I18" s="8">
        <f t="shared" si="4"/>
        <v>16.850000000000001</v>
      </c>
      <c r="J18" s="10">
        <f t="shared" si="5"/>
        <v>51.729500000000002</v>
      </c>
      <c r="K18" s="7">
        <f>'[12]Oct Prod'!H272</f>
        <v>2881407</v>
      </c>
      <c r="L18" s="8">
        <f t="shared" si="20"/>
        <v>2.8814069999999998</v>
      </c>
      <c r="M18" s="10">
        <f t="shared" si="21"/>
        <v>8.8459194899999982</v>
      </c>
      <c r="N18" s="21"/>
      <c r="O18" s="7">
        <f>'[12]Oct Prod'!H17</f>
        <v>0</v>
      </c>
      <c r="P18" s="8">
        <f t="shared" si="8"/>
        <v>0</v>
      </c>
      <c r="Q18" s="10">
        <f t="shared" si="9"/>
        <v>0</v>
      </c>
      <c r="R18" s="7">
        <f>'[12]Oct Prod'!C17</f>
        <v>0</v>
      </c>
      <c r="S18" s="8">
        <f t="shared" si="10"/>
        <v>0</v>
      </c>
      <c r="T18" s="10">
        <f t="shared" si="11"/>
        <v>0</v>
      </c>
      <c r="U18" s="7">
        <f>'[12]Oct Prod'!D17</f>
        <v>0</v>
      </c>
      <c r="V18" s="8">
        <f t="shared" si="12"/>
        <v>0</v>
      </c>
      <c r="W18" s="10">
        <f t="shared" si="13"/>
        <v>0</v>
      </c>
      <c r="X18" s="7">
        <f>'[12]Oct Prod'!D272</f>
        <v>28000.000000005799</v>
      </c>
      <c r="Y18" s="8">
        <f t="shared" si="14"/>
        <v>2.8000000000005798E-2</v>
      </c>
      <c r="Z18" s="10">
        <f t="shared" si="15"/>
        <v>8.59600000000178E-2</v>
      </c>
      <c r="AA18" s="15"/>
      <c r="AB18" s="7">
        <f t="shared" si="16"/>
        <v>24599999.999998543</v>
      </c>
      <c r="AC18" s="8">
        <f t="shared" si="16"/>
        <v>24.599999999998545</v>
      </c>
      <c r="AD18" s="8">
        <f t="shared" si="16"/>
        <v>75.521999999995529</v>
      </c>
      <c r="AF18" s="8">
        <f>T18-Q18-Z18</f>
        <v>-8.59600000000178E-2</v>
      </c>
    </row>
    <row r="19" spans="1:32" x14ac:dyDescent="0.25">
      <c r="A19" s="27">
        <v>38640</v>
      </c>
      <c r="B19" s="7">
        <f>'[12]Oct Prod'!I18</f>
        <v>22000000</v>
      </c>
      <c r="C19" s="8">
        <f t="shared" si="0"/>
        <v>22</v>
      </c>
      <c r="D19" s="10">
        <f t="shared" si="1"/>
        <v>67.539999999999992</v>
      </c>
      <c r="E19" s="7">
        <f>'[12]Oct Prod'!E18</f>
        <v>7000000</v>
      </c>
      <c r="F19" s="8">
        <f t="shared" si="2"/>
        <v>7</v>
      </c>
      <c r="G19" s="10">
        <f t="shared" si="3"/>
        <v>21.49</v>
      </c>
      <c r="H19" s="7">
        <f>'[12]Oct Prod'!F18</f>
        <v>16050000</v>
      </c>
      <c r="I19" s="8">
        <f t="shared" si="4"/>
        <v>16.05</v>
      </c>
      <c r="J19" s="10">
        <f t="shared" si="5"/>
        <v>49.273499999999999</v>
      </c>
      <c r="K19" s="7">
        <f>'[12]Oct Prod'!H273</f>
        <v>2646827</v>
      </c>
      <c r="L19" s="8">
        <f t="shared" si="20"/>
        <v>2.646827</v>
      </c>
      <c r="M19" s="10">
        <f t="shared" si="21"/>
        <v>8.1257588900000002</v>
      </c>
      <c r="N19" s="21"/>
      <c r="O19" s="7">
        <f>'[12]Oct Prod'!H18</f>
        <v>0</v>
      </c>
      <c r="P19" s="8">
        <f t="shared" si="8"/>
        <v>0</v>
      </c>
      <c r="Q19" s="10">
        <f t="shared" si="9"/>
        <v>0</v>
      </c>
      <c r="R19" s="7">
        <f>'[12]Oct Prod'!C18</f>
        <v>0</v>
      </c>
      <c r="S19" s="8">
        <f t="shared" si="10"/>
        <v>0</v>
      </c>
      <c r="T19" s="10">
        <f t="shared" si="11"/>
        <v>0</v>
      </c>
      <c r="U19" s="7">
        <f>'[12]Oct Prod'!D18</f>
        <v>0</v>
      </c>
      <c r="V19" s="8">
        <f t="shared" si="12"/>
        <v>0</v>
      </c>
      <c r="W19" s="10">
        <f t="shared" si="13"/>
        <v>0</v>
      </c>
      <c r="X19" s="7">
        <f>'[12]Oct Prod'!D273</f>
        <v>0</v>
      </c>
      <c r="Y19" s="8">
        <f t="shared" si="14"/>
        <v>0</v>
      </c>
      <c r="Z19" s="10">
        <f t="shared" si="15"/>
        <v>0</v>
      </c>
      <c r="AA19" s="15"/>
      <c r="AB19" s="7">
        <f t="shared" si="16"/>
        <v>22000000</v>
      </c>
      <c r="AC19" s="8">
        <f t="shared" si="16"/>
        <v>22</v>
      </c>
      <c r="AD19" s="8">
        <f>D19+Q19</f>
        <v>67.539999999999992</v>
      </c>
      <c r="AF19" s="8">
        <f>T19-Q19-Z19</f>
        <v>0</v>
      </c>
    </row>
    <row r="20" spans="1:32" x14ac:dyDescent="0.25">
      <c r="A20" s="27">
        <v>38641</v>
      </c>
      <c r="B20" s="7">
        <f>'[12]Oct Prod'!I19</f>
        <v>19200000.000000726</v>
      </c>
      <c r="C20" s="8">
        <f t="shared" si="0"/>
        <v>19.200000000000728</v>
      </c>
      <c r="D20" s="10">
        <f t="shared" si="1"/>
        <v>58.944000000002234</v>
      </c>
      <c r="E20" s="7">
        <f>'[12]Oct Prod'!E19</f>
        <v>5000000</v>
      </c>
      <c r="F20" s="8">
        <f t="shared" si="2"/>
        <v>5</v>
      </c>
      <c r="G20" s="10">
        <f t="shared" si="3"/>
        <v>15.35</v>
      </c>
      <c r="H20" s="7">
        <f>'[12]Oct Prod'!F19</f>
        <v>13610000</v>
      </c>
      <c r="I20" s="8">
        <f t="shared" si="4"/>
        <v>13.61</v>
      </c>
      <c r="J20" s="10">
        <f t="shared" si="5"/>
        <v>41.782699999999998</v>
      </c>
      <c r="K20" s="7">
        <f>'[12]Oct Prod'!H274</f>
        <v>2209000</v>
      </c>
      <c r="L20" s="8">
        <f t="shared" si="20"/>
        <v>2.2090000000000001</v>
      </c>
      <c r="M20" s="10">
        <f t="shared" si="21"/>
        <v>6.7816299999999998</v>
      </c>
      <c r="N20" s="21"/>
      <c r="O20" s="7">
        <f>'[12]Oct Prod'!H19</f>
        <v>0</v>
      </c>
      <c r="P20" s="8">
        <f t="shared" si="8"/>
        <v>0</v>
      </c>
      <c r="Q20" s="10">
        <f t="shared" si="9"/>
        <v>0</v>
      </c>
      <c r="R20" s="7">
        <f>'[12]Oct Prod'!C19</f>
        <v>0</v>
      </c>
      <c r="S20" s="8">
        <f t="shared" si="10"/>
        <v>0</v>
      </c>
      <c r="T20" s="10">
        <f t="shared" si="11"/>
        <v>0</v>
      </c>
      <c r="U20" s="7">
        <f>'[12]Oct Prod'!D19</f>
        <v>0</v>
      </c>
      <c r="V20" s="8">
        <f t="shared" si="12"/>
        <v>0</v>
      </c>
      <c r="W20" s="10">
        <f t="shared" si="13"/>
        <v>0</v>
      </c>
      <c r="X20" s="7">
        <f>'[12]Oct Prod'!D274</f>
        <v>0</v>
      </c>
      <c r="Y20" s="8">
        <f t="shared" si="14"/>
        <v>0</v>
      </c>
      <c r="Z20" s="10">
        <f t="shared" si="15"/>
        <v>0</v>
      </c>
      <c r="AA20" s="15"/>
      <c r="AB20" s="7">
        <f t="shared" si="16"/>
        <v>19200000.000000726</v>
      </c>
      <c r="AC20" s="8">
        <f t="shared" si="16"/>
        <v>19.200000000000728</v>
      </c>
      <c r="AD20" s="8">
        <f t="shared" si="16"/>
        <v>58.944000000002234</v>
      </c>
      <c r="AF20" s="8">
        <f t="shared" ref="AF20:AF35" si="22">T20-Q20-Z20</f>
        <v>0</v>
      </c>
    </row>
    <row r="21" spans="1:32" x14ac:dyDescent="0.25">
      <c r="A21" s="27">
        <v>38642</v>
      </c>
      <c r="B21" s="7">
        <f>'[12]Oct Prod'!I20</f>
        <v>18400000.000001457</v>
      </c>
      <c r="C21" s="8">
        <f t="shared" si="0"/>
        <v>18.400000000001455</v>
      </c>
      <c r="D21" s="10">
        <f t="shared" si="1"/>
        <v>56.488000000004462</v>
      </c>
      <c r="E21" s="7">
        <f>'[12]Oct Prod'!E20</f>
        <v>6000000</v>
      </c>
      <c r="F21" s="8">
        <f t="shared" si="2"/>
        <v>6</v>
      </c>
      <c r="G21" s="10">
        <f t="shared" si="3"/>
        <v>18.419999999999998</v>
      </c>
      <c r="H21" s="7">
        <f>'[12]Oct Prod'!F20</f>
        <v>13910000</v>
      </c>
      <c r="I21" s="8">
        <f t="shared" si="4"/>
        <v>13.91</v>
      </c>
      <c r="J21" s="10">
        <f t="shared" si="5"/>
        <v>42.703699999999998</v>
      </c>
      <c r="K21" s="7">
        <f>'[12]Oct Prod'!H275</f>
        <v>2349460</v>
      </c>
      <c r="L21" s="8">
        <f t="shared" si="6"/>
        <v>2.3494600000000001</v>
      </c>
      <c r="M21" s="10">
        <f t="shared" si="7"/>
        <v>7.2128421999999999</v>
      </c>
      <c r="N21" s="21"/>
      <c r="O21" s="7">
        <f>'[12]Oct Prod'!H20</f>
        <v>0</v>
      </c>
      <c r="P21" s="8">
        <f t="shared" si="8"/>
        <v>0</v>
      </c>
      <c r="Q21" s="10">
        <f t="shared" si="9"/>
        <v>0</v>
      </c>
      <c r="R21" s="7">
        <f>'[12]Oct Prod'!C20</f>
        <v>0</v>
      </c>
      <c r="S21" s="8">
        <f t="shared" si="10"/>
        <v>0</v>
      </c>
      <c r="T21" s="10">
        <f t="shared" si="11"/>
        <v>0</v>
      </c>
      <c r="U21" s="7">
        <f>'[12]Oct Prod'!D20</f>
        <v>0</v>
      </c>
      <c r="V21" s="8">
        <f t="shared" si="12"/>
        <v>0</v>
      </c>
      <c r="W21" s="10">
        <f t="shared" si="13"/>
        <v>0</v>
      </c>
      <c r="X21" s="7">
        <f>'[12]Oct Prod'!D275</f>
        <v>0</v>
      </c>
      <c r="Y21" s="8">
        <f t="shared" si="14"/>
        <v>0</v>
      </c>
      <c r="Z21" s="10">
        <f t="shared" si="15"/>
        <v>0</v>
      </c>
      <c r="AA21" s="15"/>
      <c r="AB21" s="7">
        <f t="shared" si="16"/>
        <v>18400000.000001457</v>
      </c>
      <c r="AC21" s="8">
        <f t="shared" si="16"/>
        <v>18.400000000001455</v>
      </c>
      <c r="AD21" s="8">
        <f t="shared" si="16"/>
        <v>56.488000000004462</v>
      </c>
      <c r="AF21" s="8">
        <f t="shared" si="22"/>
        <v>0</v>
      </c>
    </row>
    <row r="22" spans="1:32" x14ac:dyDescent="0.25">
      <c r="A22" s="27">
        <v>38643</v>
      </c>
      <c r="B22" s="7">
        <f>'[12]Oct Prod'!I21</f>
        <v>23000000</v>
      </c>
      <c r="C22" s="8">
        <f t="shared" si="0"/>
        <v>23</v>
      </c>
      <c r="D22" s="10">
        <f t="shared" si="1"/>
        <v>70.61</v>
      </c>
      <c r="E22" s="7">
        <f>'[12]Oct Prod'!E21</f>
        <v>7000000</v>
      </c>
      <c r="F22" s="8">
        <f t="shared" si="2"/>
        <v>7</v>
      </c>
      <c r="G22" s="10">
        <f t="shared" si="3"/>
        <v>21.49</v>
      </c>
      <c r="H22" s="7">
        <f>'[12]Oct Prod'!F21</f>
        <v>16059999.999999998</v>
      </c>
      <c r="I22" s="8">
        <f t="shared" si="4"/>
        <v>16.059999999999999</v>
      </c>
      <c r="J22" s="10">
        <f t="shared" si="5"/>
        <v>49.304199999999994</v>
      </c>
      <c r="K22" s="7">
        <f>'[12]Oct Prod'!H276</f>
        <v>2438143</v>
      </c>
      <c r="L22" s="8">
        <f t="shared" si="6"/>
        <v>2.4381430000000002</v>
      </c>
      <c r="M22" s="10">
        <f t="shared" si="7"/>
        <v>7.4850990099999999</v>
      </c>
      <c r="N22" s="21"/>
      <c r="O22" s="7">
        <f>'[12]Oct Prod'!H21</f>
        <v>0</v>
      </c>
      <c r="P22" s="8">
        <f t="shared" si="8"/>
        <v>0</v>
      </c>
      <c r="Q22" s="10">
        <f t="shared" si="9"/>
        <v>0</v>
      </c>
      <c r="R22" s="7">
        <f>'[12]Oct Prod'!C21</f>
        <v>0</v>
      </c>
      <c r="S22" s="8">
        <f t="shared" si="10"/>
        <v>0</v>
      </c>
      <c r="T22" s="10">
        <f t="shared" si="11"/>
        <v>0</v>
      </c>
      <c r="U22" s="7">
        <f>'[12]Oct Prod'!D21</f>
        <v>0</v>
      </c>
      <c r="V22" s="8">
        <f t="shared" si="12"/>
        <v>0</v>
      </c>
      <c r="W22" s="10">
        <f t="shared" si="13"/>
        <v>0</v>
      </c>
      <c r="X22" s="7">
        <f>'[12]Oct Prod'!D276</f>
        <v>0</v>
      </c>
      <c r="Y22" s="8">
        <f t="shared" si="14"/>
        <v>0</v>
      </c>
      <c r="Z22" s="10">
        <f t="shared" si="15"/>
        <v>0</v>
      </c>
      <c r="AA22" s="15"/>
      <c r="AB22" s="7">
        <f t="shared" si="16"/>
        <v>23000000</v>
      </c>
      <c r="AC22" s="8">
        <f t="shared" si="16"/>
        <v>23</v>
      </c>
      <c r="AD22" s="8">
        <f t="shared" si="16"/>
        <v>70.61</v>
      </c>
      <c r="AF22" s="8">
        <f t="shared" si="22"/>
        <v>0</v>
      </c>
    </row>
    <row r="23" spans="1:32" x14ac:dyDescent="0.25">
      <c r="A23" s="27">
        <v>38644</v>
      </c>
      <c r="B23" s="7">
        <f>'[12]Oct Prod'!I22</f>
        <v>20599999.999998543</v>
      </c>
      <c r="C23" s="8">
        <f t="shared" si="0"/>
        <v>20.599999999998545</v>
      </c>
      <c r="D23" s="10">
        <f t="shared" si="1"/>
        <v>63.241999999995528</v>
      </c>
      <c r="E23" s="7">
        <f>'[12]Oct Prod'!E22</f>
        <v>6000000</v>
      </c>
      <c r="F23" s="8">
        <f t="shared" si="2"/>
        <v>6</v>
      </c>
      <c r="G23" s="10">
        <f t="shared" si="3"/>
        <v>18.419999999999998</v>
      </c>
      <c r="H23" s="7">
        <f>'[12]Oct Prod'!F22</f>
        <v>14360000</v>
      </c>
      <c r="I23" s="8">
        <f t="shared" si="4"/>
        <v>14.36</v>
      </c>
      <c r="J23" s="10">
        <f t="shared" si="5"/>
        <v>44.085199999999993</v>
      </c>
      <c r="K23" s="7">
        <f>'[12]Oct Prod'!H277</f>
        <v>2403220</v>
      </c>
      <c r="L23" s="8">
        <f t="shared" si="6"/>
        <v>2.4032200000000001</v>
      </c>
      <c r="M23" s="10">
        <f t="shared" si="7"/>
        <v>7.3778854000000003</v>
      </c>
      <c r="N23" s="21"/>
      <c r="O23" s="7">
        <f>'[12]Oct Prod'!H22</f>
        <v>0</v>
      </c>
      <c r="P23" s="8">
        <f t="shared" si="8"/>
        <v>0</v>
      </c>
      <c r="Q23" s="10">
        <f t="shared" si="9"/>
        <v>0</v>
      </c>
      <c r="R23" s="7">
        <f>'[12]Oct Prod'!C22</f>
        <v>0</v>
      </c>
      <c r="S23" s="8">
        <f t="shared" si="10"/>
        <v>0</v>
      </c>
      <c r="T23" s="10">
        <f t="shared" si="11"/>
        <v>0</v>
      </c>
      <c r="U23" s="7">
        <f>'[12]Oct Prod'!D22</f>
        <v>0</v>
      </c>
      <c r="V23" s="8">
        <f t="shared" si="12"/>
        <v>0</v>
      </c>
      <c r="W23" s="10">
        <f t="shared" si="13"/>
        <v>0</v>
      </c>
      <c r="X23" s="7">
        <f>'[12]Oct Prod'!D277</f>
        <v>0</v>
      </c>
      <c r="Y23" s="8">
        <f t="shared" si="14"/>
        <v>0</v>
      </c>
      <c r="Z23" s="10">
        <f t="shared" si="15"/>
        <v>0</v>
      </c>
      <c r="AA23" s="15"/>
      <c r="AB23" s="7">
        <f t="shared" si="16"/>
        <v>20599999.999998543</v>
      </c>
      <c r="AC23" s="8">
        <f t="shared" si="16"/>
        <v>20.599999999998545</v>
      </c>
      <c r="AD23" s="8">
        <f t="shared" si="16"/>
        <v>63.241999999995528</v>
      </c>
      <c r="AF23" s="8">
        <f t="shared" si="22"/>
        <v>0</v>
      </c>
    </row>
    <row r="24" spans="1:32" x14ac:dyDescent="0.25">
      <c r="A24" s="27">
        <v>38645</v>
      </c>
      <c r="B24" s="7">
        <f>'[12]Oct Prod'!I23</f>
        <v>14799999.999999272</v>
      </c>
      <c r="C24" s="8">
        <f t="shared" si="0"/>
        <v>14.799999999999272</v>
      </c>
      <c r="D24" s="10">
        <f t="shared" si="1"/>
        <v>45.435999999997762</v>
      </c>
      <c r="E24" s="7">
        <f>'[12]Oct Prod'!E23</f>
        <v>5000000</v>
      </c>
      <c r="F24" s="8">
        <f t="shared" si="2"/>
        <v>5</v>
      </c>
      <c r="G24" s="10">
        <f t="shared" si="3"/>
        <v>15.35</v>
      </c>
      <c r="H24" s="7">
        <f>'[12]Oct Prod'!F23</f>
        <v>9870000.0000000019</v>
      </c>
      <c r="I24" s="8">
        <f t="shared" si="4"/>
        <v>9.870000000000001</v>
      </c>
      <c r="J24" s="10">
        <f t="shared" si="5"/>
        <v>30.300900000000002</v>
      </c>
      <c r="K24" s="7">
        <f>'[12]Oct Prod'!H278</f>
        <v>1731808</v>
      </c>
      <c r="L24" s="8">
        <f t="shared" si="6"/>
        <v>1.731808</v>
      </c>
      <c r="M24" s="10">
        <f t="shared" si="7"/>
        <v>5.3166505599999994</v>
      </c>
      <c r="N24" s="21"/>
      <c r="O24" s="7">
        <f>'[12]Oct Prod'!H23</f>
        <v>0</v>
      </c>
      <c r="P24" s="8">
        <f t="shared" si="8"/>
        <v>0</v>
      </c>
      <c r="Q24" s="10">
        <f t="shared" si="9"/>
        <v>0</v>
      </c>
      <c r="R24" s="7">
        <f>'[12]Oct Prod'!C23</f>
        <v>0</v>
      </c>
      <c r="S24" s="8">
        <f t="shared" si="10"/>
        <v>0</v>
      </c>
      <c r="T24" s="10">
        <f t="shared" si="11"/>
        <v>0</v>
      </c>
      <c r="U24" s="7">
        <f>'[12]Oct Prod'!D23</f>
        <v>0</v>
      </c>
      <c r="V24" s="8">
        <f t="shared" si="12"/>
        <v>0</v>
      </c>
      <c r="W24" s="10">
        <f t="shared" si="13"/>
        <v>0</v>
      </c>
      <c r="X24" s="7">
        <f>'[12]Oct Prod'!D278</f>
        <v>0</v>
      </c>
      <c r="Y24" s="8">
        <f t="shared" si="14"/>
        <v>0</v>
      </c>
      <c r="Z24" s="10">
        <f t="shared" si="15"/>
        <v>0</v>
      </c>
      <c r="AA24" s="15"/>
      <c r="AB24" s="7">
        <f t="shared" si="16"/>
        <v>14799999.999999272</v>
      </c>
      <c r="AC24" s="8">
        <f t="shared" si="16"/>
        <v>14.799999999999272</v>
      </c>
      <c r="AD24" s="8">
        <f>D24+Q24</f>
        <v>45.435999999997762</v>
      </c>
      <c r="AF24" s="8">
        <f t="shared" si="22"/>
        <v>0</v>
      </c>
    </row>
    <row r="25" spans="1:32" x14ac:dyDescent="0.25">
      <c r="A25" s="27">
        <v>38646</v>
      </c>
      <c r="B25" s="7">
        <f>'[12]Oct Prod'!I24</f>
        <v>14799999.999999272</v>
      </c>
      <c r="C25" s="8">
        <f t="shared" si="0"/>
        <v>14.799999999999272</v>
      </c>
      <c r="D25" s="10">
        <f t="shared" si="1"/>
        <v>45.435999999997762</v>
      </c>
      <c r="E25" s="7">
        <f>'[12]Oct Prod'!E24</f>
        <v>5000000</v>
      </c>
      <c r="F25" s="8">
        <f t="shared" si="2"/>
        <v>5</v>
      </c>
      <c r="G25" s="10">
        <f t="shared" si="3"/>
        <v>15.35</v>
      </c>
      <c r="H25" s="7">
        <f>'[12]Oct Prod'!F24</f>
        <v>10630000</v>
      </c>
      <c r="I25" s="8">
        <f t="shared" si="4"/>
        <v>10.63</v>
      </c>
      <c r="J25" s="10">
        <f t="shared" si="5"/>
        <v>32.634100000000004</v>
      </c>
      <c r="K25" s="7">
        <f>'[12]Oct Prod'!H279</f>
        <v>1902121</v>
      </c>
      <c r="L25" s="8">
        <f t="shared" si="6"/>
        <v>1.902121</v>
      </c>
      <c r="M25" s="10">
        <f t="shared" si="7"/>
        <v>5.8395114699999997</v>
      </c>
      <c r="N25" s="21"/>
      <c r="O25" s="7">
        <f>'[12]Oct Prod'!H24</f>
        <v>0</v>
      </c>
      <c r="P25" s="8">
        <f t="shared" si="8"/>
        <v>0</v>
      </c>
      <c r="Q25" s="10">
        <f t="shared" si="9"/>
        <v>0</v>
      </c>
      <c r="R25" s="7">
        <f>'[12]Oct Prod'!C24</f>
        <v>0</v>
      </c>
      <c r="S25" s="8">
        <f t="shared" si="10"/>
        <v>0</v>
      </c>
      <c r="T25" s="10">
        <f t="shared" si="11"/>
        <v>0</v>
      </c>
      <c r="U25" s="7">
        <f>'[12]Oct Prod'!D24</f>
        <v>0</v>
      </c>
      <c r="V25" s="8">
        <f t="shared" si="12"/>
        <v>0</v>
      </c>
      <c r="W25" s="10">
        <f t="shared" si="13"/>
        <v>0</v>
      </c>
      <c r="X25" s="7">
        <f>'[12]Oct Prod'!D279</f>
        <v>12999.999999991018</v>
      </c>
      <c r="Y25" s="8">
        <f t="shared" si="14"/>
        <v>1.2999999999991017E-2</v>
      </c>
      <c r="Z25" s="10">
        <f t="shared" si="15"/>
        <v>3.9909999999972419E-2</v>
      </c>
      <c r="AA25" s="15"/>
      <c r="AB25" s="7">
        <f t="shared" si="16"/>
        <v>14799999.999999272</v>
      </c>
      <c r="AC25" s="8">
        <f t="shared" si="16"/>
        <v>14.799999999999272</v>
      </c>
      <c r="AD25" s="8">
        <f t="shared" si="16"/>
        <v>45.435999999997762</v>
      </c>
      <c r="AF25" s="8">
        <f t="shared" si="22"/>
        <v>-3.9909999999972419E-2</v>
      </c>
    </row>
    <row r="26" spans="1:32" x14ac:dyDescent="0.25">
      <c r="A26" s="27">
        <v>38647</v>
      </c>
      <c r="B26" s="7">
        <f>'[12]Oct Prod'!I25</f>
        <v>13600000.000002183</v>
      </c>
      <c r="C26" s="8">
        <f t="shared" si="0"/>
        <v>13.600000000002183</v>
      </c>
      <c r="D26" s="10">
        <f t="shared" si="1"/>
        <v>41.752000000006696</v>
      </c>
      <c r="E26" s="7">
        <f>'[12]Oct Prod'!E25</f>
        <v>4000000</v>
      </c>
      <c r="F26" s="8">
        <f t="shared" si="2"/>
        <v>4</v>
      </c>
      <c r="G26" s="10">
        <f t="shared" si="3"/>
        <v>12.28</v>
      </c>
      <c r="H26" s="7">
        <f>'[12]Oct Prod'!F25</f>
        <v>9480000</v>
      </c>
      <c r="I26" s="8">
        <f t="shared" si="4"/>
        <v>9.48</v>
      </c>
      <c r="J26" s="10">
        <f t="shared" si="5"/>
        <v>29.1036</v>
      </c>
      <c r="K26" s="7">
        <f>'[12]Oct Prod'!H280</f>
        <v>1795937</v>
      </c>
      <c r="L26" s="8">
        <f t="shared" si="6"/>
        <v>1.7959369999999999</v>
      </c>
      <c r="M26" s="10">
        <f t="shared" si="7"/>
        <v>5.5135265899999997</v>
      </c>
      <c r="N26" s="21"/>
      <c r="O26" s="7">
        <f>'[12]Oct Prod'!H25</f>
        <v>0</v>
      </c>
      <c r="P26" s="8">
        <f t="shared" si="8"/>
        <v>0</v>
      </c>
      <c r="Q26" s="10">
        <f t="shared" si="9"/>
        <v>0</v>
      </c>
      <c r="R26" s="7">
        <f>'[12]Oct Prod'!C25</f>
        <v>0</v>
      </c>
      <c r="S26" s="8">
        <f t="shared" si="10"/>
        <v>0</v>
      </c>
      <c r="T26" s="10">
        <f t="shared" si="11"/>
        <v>0</v>
      </c>
      <c r="U26" s="7">
        <f>'[12]Oct Prod'!D25</f>
        <v>0</v>
      </c>
      <c r="V26" s="8">
        <f t="shared" si="12"/>
        <v>0</v>
      </c>
      <c r="W26" s="10">
        <f t="shared" si="13"/>
        <v>0</v>
      </c>
      <c r="X26" s="7">
        <f>'[12]Oct Prod'!D280</f>
        <v>50000.000000011365</v>
      </c>
      <c r="Y26" s="8">
        <f t="shared" si="14"/>
        <v>5.0000000000011362E-2</v>
      </c>
      <c r="Z26" s="10">
        <f t="shared" si="15"/>
        <v>0.15350000000003489</v>
      </c>
      <c r="AA26" s="15"/>
      <c r="AB26" s="7">
        <f t="shared" si="16"/>
        <v>13600000.000002183</v>
      </c>
      <c r="AC26" s="8">
        <f t="shared" si="16"/>
        <v>13.600000000002183</v>
      </c>
      <c r="AD26" s="8">
        <f t="shared" si="16"/>
        <v>41.752000000006696</v>
      </c>
      <c r="AF26" s="8">
        <f t="shared" si="22"/>
        <v>-0.15350000000003489</v>
      </c>
    </row>
    <row r="27" spans="1:32" x14ac:dyDescent="0.25">
      <c r="A27" s="27">
        <v>38648</v>
      </c>
      <c r="B27" s="7">
        <f>'[12]Oct Prod'!I26</f>
        <v>14000000</v>
      </c>
      <c r="C27" s="8">
        <f t="shared" si="0"/>
        <v>14</v>
      </c>
      <c r="D27" s="10">
        <f t="shared" si="1"/>
        <v>42.98</v>
      </c>
      <c r="E27" s="7">
        <f>'[12]Oct Prod'!E26</f>
        <v>4000000</v>
      </c>
      <c r="F27" s="8">
        <f t="shared" si="2"/>
        <v>4</v>
      </c>
      <c r="G27" s="10">
        <f t="shared" si="3"/>
        <v>12.28</v>
      </c>
      <c r="H27" s="7">
        <f>'[12]Oct Prod'!F26</f>
        <v>9980000</v>
      </c>
      <c r="I27" s="8">
        <f t="shared" si="4"/>
        <v>9.98</v>
      </c>
      <c r="J27" s="10">
        <f t="shared" si="5"/>
        <v>30.6386</v>
      </c>
      <c r="K27" s="7">
        <f>'[12]Oct Prod'!H281</f>
        <v>1689753</v>
      </c>
      <c r="L27" s="8">
        <f t="shared" si="6"/>
        <v>1.6897530000000001</v>
      </c>
      <c r="M27" s="10">
        <f t="shared" si="7"/>
        <v>5.1875417099999996</v>
      </c>
      <c r="N27" s="21"/>
      <c r="O27" s="7">
        <f>'[12]Oct Prod'!H26</f>
        <v>0</v>
      </c>
      <c r="P27" s="8">
        <f t="shared" si="8"/>
        <v>0</v>
      </c>
      <c r="Q27" s="10">
        <f t="shared" si="9"/>
        <v>0</v>
      </c>
      <c r="R27" s="7">
        <f>'[12]Oct Prod'!C26</f>
        <v>0</v>
      </c>
      <c r="S27" s="8">
        <f t="shared" si="10"/>
        <v>0</v>
      </c>
      <c r="T27" s="10">
        <f t="shared" si="11"/>
        <v>0</v>
      </c>
      <c r="U27" s="7">
        <f>'[12]Oct Prod'!D26</f>
        <v>0</v>
      </c>
      <c r="V27" s="8">
        <f t="shared" si="12"/>
        <v>0</v>
      </c>
      <c r="W27" s="10">
        <f t="shared" si="13"/>
        <v>0</v>
      </c>
      <c r="X27" s="7">
        <f>'[12]Oct Prod'!D281</f>
        <v>0</v>
      </c>
      <c r="Y27" s="8">
        <f t="shared" si="14"/>
        <v>0</v>
      </c>
      <c r="Z27" s="10">
        <f t="shared" si="15"/>
        <v>0</v>
      </c>
      <c r="AA27" s="15"/>
      <c r="AB27" s="7">
        <f t="shared" si="16"/>
        <v>14000000</v>
      </c>
      <c r="AC27" s="8">
        <f t="shared" si="16"/>
        <v>14</v>
      </c>
      <c r="AD27" s="8">
        <f t="shared" si="16"/>
        <v>42.98</v>
      </c>
      <c r="AF27" s="8">
        <f t="shared" si="22"/>
        <v>0</v>
      </c>
    </row>
    <row r="28" spans="1:32" x14ac:dyDescent="0.25">
      <c r="A28" s="27">
        <v>38649</v>
      </c>
      <c r="B28" s="7">
        <f>'[12]Oct Prod'!I27</f>
        <v>14000000</v>
      </c>
      <c r="C28" s="8">
        <f t="shared" si="0"/>
        <v>14</v>
      </c>
      <c r="D28" s="10">
        <f t="shared" si="1"/>
        <v>42.98</v>
      </c>
      <c r="E28" s="7">
        <f>'[12]Oct Prod'!E27</f>
        <v>5000000</v>
      </c>
      <c r="F28" s="8">
        <f t="shared" si="2"/>
        <v>5</v>
      </c>
      <c r="G28" s="10">
        <f t="shared" si="3"/>
        <v>15.35</v>
      </c>
      <c r="H28" s="7">
        <f>'[12]Oct Prod'!F27</f>
        <v>9900000</v>
      </c>
      <c r="I28" s="8">
        <f t="shared" si="4"/>
        <v>9.9</v>
      </c>
      <c r="J28" s="10">
        <f t="shared" si="5"/>
        <v>30.393000000000001</v>
      </c>
      <c r="K28" s="7">
        <f>'[12]Oct Prod'!H282</f>
        <v>1702317</v>
      </c>
      <c r="L28" s="8">
        <f t="shared" si="6"/>
        <v>1.7023170000000001</v>
      </c>
      <c r="M28" s="10">
        <f t="shared" si="7"/>
        <v>5.2261131900000004</v>
      </c>
      <c r="N28" s="21"/>
      <c r="O28" s="7">
        <f>'[12]Oct Prod'!H27</f>
        <v>0</v>
      </c>
      <c r="P28" s="8">
        <f t="shared" si="8"/>
        <v>0</v>
      </c>
      <c r="Q28" s="10">
        <f t="shared" si="9"/>
        <v>0</v>
      </c>
      <c r="R28" s="7">
        <f>'[12]Oct Prod'!C27</f>
        <v>0</v>
      </c>
      <c r="S28" s="8">
        <f t="shared" si="10"/>
        <v>0</v>
      </c>
      <c r="T28" s="10">
        <f t="shared" si="11"/>
        <v>0</v>
      </c>
      <c r="U28" s="7">
        <f>'[12]Oct Prod'!D27</f>
        <v>0</v>
      </c>
      <c r="V28" s="8">
        <f t="shared" si="12"/>
        <v>0</v>
      </c>
      <c r="W28" s="10">
        <f t="shared" si="13"/>
        <v>0</v>
      </c>
      <c r="X28" s="7">
        <f>'[12]Oct Prod'!D282</f>
        <v>0</v>
      </c>
      <c r="Y28" s="8">
        <f t="shared" si="14"/>
        <v>0</v>
      </c>
      <c r="Z28" s="10">
        <f t="shared" si="15"/>
        <v>0</v>
      </c>
      <c r="AA28" s="15"/>
      <c r="AB28" s="7">
        <f t="shared" si="16"/>
        <v>14000000</v>
      </c>
      <c r="AC28" s="8">
        <f t="shared" si="16"/>
        <v>14</v>
      </c>
      <c r="AD28" s="8">
        <f t="shared" si="16"/>
        <v>42.98</v>
      </c>
      <c r="AF28" s="8">
        <f t="shared" si="22"/>
        <v>0</v>
      </c>
    </row>
    <row r="29" spans="1:32" x14ac:dyDescent="0.25">
      <c r="A29" s="27">
        <v>38650</v>
      </c>
      <c r="B29" s="7">
        <f>'[12]Oct Prod'!I28</f>
        <v>13799999.999999272</v>
      </c>
      <c r="C29" s="8">
        <f t="shared" si="0"/>
        <v>13.799999999999272</v>
      </c>
      <c r="D29" s="10">
        <f t="shared" si="1"/>
        <v>42.365999999997761</v>
      </c>
      <c r="E29" s="7">
        <f>'[12]Oct Prod'!E28</f>
        <v>4000000</v>
      </c>
      <c r="F29" s="8">
        <f t="shared" si="2"/>
        <v>4</v>
      </c>
      <c r="G29" s="10">
        <f t="shared" si="3"/>
        <v>12.28</v>
      </c>
      <c r="H29" s="7">
        <f>'[12]Oct Prod'!F28</f>
        <v>9950000.0000000019</v>
      </c>
      <c r="I29" s="8">
        <f t="shared" si="4"/>
        <v>9.9500000000000011</v>
      </c>
      <c r="J29" s="10">
        <f t="shared" si="5"/>
        <v>30.546500000000002</v>
      </c>
      <c r="K29" s="7">
        <f>'[12]Oct Prod'!H283</f>
        <v>1865939</v>
      </c>
      <c r="L29" s="8">
        <f t="shared" si="6"/>
        <v>1.865939</v>
      </c>
      <c r="M29" s="10">
        <f t="shared" si="7"/>
        <v>5.7284327299999998</v>
      </c>
      <c r="N29" s="21"/>
      <c r="O29" s="7">
        <f>'[12]Oct Prod'!H28</f>
        <v>0</v>
      </c>
      <c r="P29" s="8">
        <f t="shared" si="8"/>
        <v>0</v>
      </c>
      <c r="Q29" s="10">
        <f t="shared" si="9"/>
        <v>0</v>
      </c>
      <c r="R29" s="7">
        <f>'[12]Oct Prod'!C28</f>
        <v>0</v>
      </c>
      <c r="S29" s="8">
        <f t="shared" si="10"/>
        <v>0</v>
      </c>
      <c r="T29" s="10">
        <f t="shared" si="11"/>
        <v>0</v>
      </c>
      <c r="U29" s="7">
        <f>'[12]Oct Prod'!D28</f>
        <v>0</v>
      </c>
      <c r="V29" s="8">
        <f t="shared" si="12"/>
        <v>0</v>
      </c>
      <c r="W29" s="10">
        <f t="shared" si="13"/>
        <v>0</v>
      </c>
      <c r="X29" s="7">
        <f>'[12]Oct Prod'!D283</f>
        <v>37999.999999996704</v>
      </c>
      <c r="Y29" s="8">
        <f t="shared" si="14"/>
        <v>3.7999999999996703E-2</v>
      </c>
      <c r="Z29" s="10">
        <f t="shared" si="15"/>
        <v>0.11665999999998987</v>
      </c>
      <c r="AA29" s="15"/>
      <c r="AB29" s="7">
        <f t="shared" si="16"/>
        <v>13799999.999999272</v>
      </c>
      <c r="AC29" s="8">
        <f t="shared" si="16"/>
        <v>13.799999999999272</v>
      </c>
      <c r="AD29" s="8">
        <f t="shared" si="16"/>
        <v>42.365999999997761</v>
      </c>
      <c r="AF29" s="8">
        <f t="shared" si="22"/>
        <v>-0.11665999999998987</v>
      </c>
    </row>
    <row r="30" spans="1:32" x14ac:dyDescent="0.25">
      <c r="A30" s="27">
        <v>38651</v>
      </c>
      <c r="B30" s="7">
        <f>'[12]Oct Prod'!I29</f>
        <v>13500000</v>
      </c>
      <c r="C30" s="8">
        <f t="shared" si="0"/>
        <v>13.5</v>
      </c>
      <c r="D30" s="10">
        <f t="shared" si="1"/>
        <v>41.445</v>
      </c>
      <c r="E30" s="7">
        <f>'[12]Oct Prod'!E29</f>
        <v>4000000</v>
      </c>
      <c r="F30" s="8">
        <f t="shared" si="2"/>
        <v>4</v>
      </c>
      <c r="G30" s="10">
        <f t="shared" si="3"/>
        <v>12.28</v>
      </c>
      <c r="H30" s="7">
        <f>'[12]Oct Prod'!F29</f>
        <v>9990000</v>
      </c>
      <c r="I30" s="8">
        <f t="shared" si="4"/>
        <v>9.99</v>
      </c>
      <c r="J30" s="10">
        <f t="shared" si="5"/>
        <v>30.6693</v>
      </c>
      <c r="K30" s="7">
        <f>'[12]Oct Prod'!H284</f>
        <v>1709327</v>
      </c>
      <c r="L30" s="8">
        <f t="shared" si="6"/>
        <v>1.709327</v>
      </c>
      <c r="M30" s="10">
        <f t="shared" si="7"/>
        <v>5.2476338899999995</v>
      </c>
      <c r="N30" s="21"/>
      <c r="O30" s="7">
        <f>'[12]Oct Prod'!H29</f>
        <v>0</v>
      </c>
      <c r="P30" s="8">
        <f t="shared" si="8"/>
        <v>0</v>
      </c>
      <c r="Q30" s="10">
        <f t="shared" si="9"/>
        <v>0</v>
      </c>
      <c r="R30" s="7">
        <f>'[12]Oct Prod'!C29</f>
        <v>0</v>
      </c>
      <c r="S30" s="8">
        <f t="shared" si="10"/>
        <v>0</v>
      </c>
      <c r="T30" s="10">
        <f t="shared" si="11"/>
        <v>0</v>
      </c>
      <c r="U30" s="7">
        <f>'[12]Oct Prod'!D29</f>
        <v>0</v>
      </c>
      <c r="V30" s="8">
        <f t="shared" si="12"/>
        <v>0</v>
      </c>
      <c r="W30" s="10">
        <f t="shared" si="13"/>
        <v>0</v>
      </c>
      <c r="X30" s="7">
        <f>'[12]Oct Prod'!D284</f>
        <v>0</v>
      </c>
      <c r="Y30" s="8">
        <f t="shared" si="14"/>
        <v>0</v>
      </c>
      <c r="Z30" s="10">
        <f t="shared" si="15"/>
        <v>0</v>
      </c>
      <c r="AA30" s="15"/>
      <c r="AB30" s="7">
        <f t="shared" si="16"/>
        <v>13500000</v>
      </c>
      <c r="AC30" s="8">
        <f t="shared" si="16"/>
        <v>13.5</v>
      </c>
      <c r="AD30" s="8">
        <f>D30+Q30</f>
        <v>41.445</v>
      </c>
      <c r="AF30" s="8">
        <f t="shared" si="22"/>
        <v>0</v>
      </c>
    </row>
    <row r="31" spans="1:32" x14ac:dyDescent="0.25">
      <c r="A31" s="27">
        <v>38652</v>
      </c>
      <c r="B31" s="7">
        <f>'[12]Oct Prod'!I30</f>
        <v>10799999.999999272</v>
      </c>
      <c r="C31" s="8">
        <f t="shared" si="0"/>
        <v>10.799999999999272</v>
      </c>
      <c r="D31" s="10">
        <f t="shared" si="1"/>
        <v>33.155999999997768</v>
      </c>
      <c r="E31" s="7">
        <f>'[12]Oct Prod'!E30</f>
        <v>5000000</v>
      </c>
      <c r="F31" s="8">
        <f t="shared" si="2"/>
        <v>5</v>
      </c>
      <c r="G31" s="10">
        <f t="shared" si="3"/>
        <v>15.35</v>
      </c>
      <c r="H31" s="7">
        <f>'[12]Oct Prod'!F30</f>
        <v>7250000</v>
      </c>
      <c r="I31" s="8">
        <f t="shared" si="4"/>
        <v>7.25</v>
      </c>
      <c r="J31" s="10">
        <f t="shared" si="5"/>
        <v>22.2575</v>
      </c>
      <c r="K31" s="7">
        <f>'[12]Oct Prod'!H285</f>
        <v>1725165</v>
      </c>
      <c r="L31" s="8">
        <f t="shared" si="6"/>
        <v>1.7251650000000001</v>
      </c>
      <c r="M31" s="10">
        <f t="shared" si="7"/>
        <v>5.2962565499999998</v>
      </c>
      <c r="N31" s="21"/>
      <c r="O31" s="7">
        <f>'[12]Oct Prod'!H30</f>
        <v>0</v>
      </c>
      <c r="P31" s="8">
        <f t="shared" si="8"/>
        <v>0</v>
      </c>
      <c r="Q31" s="10">
        <f t="shared" si="9"/>
        <v>0</v>
      </c>
      <c r="R31" s="7">
        <f>'[12]Oct Prod'!C30</f>
        <v>0</v>
      </c>
      <c r="S31" s="8">
        <f t="shared" si="10"/>
        <v>0</v>
      </c>
      <c r="T31" s="10">
        <f t="shared" si="11"/>
        <v>0</v>
      </c>
      <c r="U31" s="7">
        <f>'[12]Oct Prod'!D30</f>
        <v>0</v>
      </c>
      <c r="V31" s="8">
        <f t="shared" si="12"/>
        <v>0</v>
      </c>
      <c r="W31" s="10">
        <f t="shared" si="13"/>
        <v>0</v>
      </c>
      <c r="X31" s="7">
        <f>'[12]Oct Prod'!D285</f>
        <v>0</v>
      </c>
      <c r="Y31" s="8">
        <f t="shared" si="14"/>
        <v>0</v>
      </c>
      <c r="Z31" s="10">
        <f t="shared" si="15"/>
        <v>0</v>
      </c>
      <c r="AA31" s="15"/>
      <c r="AB31" s="7">
        <f t="shared" si="16"/>
        <v>10799999.999999272</v>
      </c>
      <c r="AC31" s="8">
        <f t="shared" si="16"/>
        <v>10.799999999999272</v>
      </c>
      <c r="AD31" s="8">
        <f t="shared" si="16"/>
        <v>33.155999999997768</v>
      </c>
      <c r="AF31" s="8">
        <f>T31-Q31-Z31</f>
        <v>0</v>
      </c>
    </row>
    <row r="32" spans="1:32" x14ac:dyDescent="0.25">
      <c r="A32" s="27">
        <v>38653</v>
      </c>
      <c r="B32" s="7">
        <f>'[12]Oct Prod'!I31</f>
        <v>14600000.000002183</v>
      </c>
      <c r="C32" s="8">
        <f t="shared" si="0"/>
        <v>14.600000000002183</v>
      </c>
      <c r="D32" s="10">
        <f t="shared" si="1"/>
        <v>44.822000000006696</v>
      </c>
      <c r="E32" s="7">
        <f>'[12]Oct Prod'!E31</f>
        <v>7000000</v>
      </c>
      <c r="F32" s="8">
        <f t="shared" si="2"/>
        <v>7</v>
      </c>
      <c r="G32" s="10">
        <f t="shared" si="3"/>
        <v>21.49</v>
      </c>
      <c r="H32" s="7">
        <f>'[12]Oct Prod'!F31</f>
        <v>7240000</v>
      </c>
      <c r="I32" s="8">
        <f t="shared" si="4"/>
        <v>7.24</v>
      </c>
      <c r="J32" s="10">
        <f t="shared" si="5"/>
        <v>22.226800000000001</v>
      </c>
      <c r="K32" s="7">
        <f>'[12]Oct Prod'!H286</f>
        <v>1850213</v>
      </c>
      <c r="L32" s="8">
        <f t="shared" si="6"/>
        <v>1.8502130000000001</v>
      </c>
      <c r="M32" s="10">
        <f t="shared" si="7"/>
        <v>5.6801539100000005</v>
      </c>
      <c r="N32" s="21"/>
      <c r="O32" s="7">
        <f>'[12]Oct Prod'!H31</f>
        <v>0</v>
      </c>
      <c r="P32" s="8">
        <f t="shared" si="8"/>
        <v>0</v>
      </c>
      <c r="Q32" s="10">
        <f t="shared" si="9"/>
        <v>0</v>
      </c>
      <c r="R32" s="7">
        <f>'[12]Oct Prod'!C31</f>
        <v>0</v>
      </c>
      <c r="S32" s="8">
        <f t="shared" si="10"/>
        <v>0</v>
      </c>
      <c r="T32" s="10">
        <f t="shared" si="11"/>
        <v>0</v>
      </c>
      <c r="U32" s="7">
        <f>'[12]Oct Prod'!D31</f>
        <v>0</v>
      </c>
      <c r="V32" s="8">
        <f t="shared" si="12"/>
        <v>0</v>
      </c>
      <c r="W32" s="10">
        <f t="shared" si="13"/>
        <v>0</v>
      </c>
      <c r="X32" s="7">
        <f>'[12]Oct Prod'!D286</f>
        <v>0</v>
      </c>
      <c r="Y32" s="8">
        <f t="shared" si="14"/>
        <v>0</v>
      </c>
      <c r="Z32" s="10">
        <f t="shared" si="15"/>
        <v>0</v>
      </c>
      <c r="AA32" s="15"/>
      <c r="AB32" s="7">
        <f t="shared" si="16"/>
        <v>14600000.000002183</v>
      </c>
      <c r="AC32" s="8">
        <f t="shared" si="16"/>
        <v>14.600000000002183</v>
      </c>
      <c r="AD32" s="8">
        <f t="shared" si="16"/>
        <v>44.822000000006696</v>
      </c>
      <c r="AF32" s="8">
        <f t="shared" si="22"/>
        <v>0</v>
      </c>
    </row>
    <row r="33" spans="1:32" x14ac:dyDescent="0.25">
      <c r="A33" s="27">
        <v>38654</v>
      </c>
      <c r="B33" s="7">
        <f>'[12]Oct Prod'!I32</f>
        <v>14599999.999998545</v>
      </c>
      <c r="C33" s="8">
        <f t="shared" si="0"/>
        <v>14.599999999998545</v>
      </c>
      <c r="D33" s="10">
        <f t="shared" si="1"/>
        <v>44.821999999995533</v>
      </c>
      <c r="E33" s="7">
        <f>'[12]Oct Prod'!E32</f>
        <v>7000000</v>
      </c>
      <c r="F33" s="8">
        <f t="shared" si="2"/>
        <v>7</v>
      </c>
      <c r="G33" s="10">
        <f t="shared" si="3"/>
        <v>21.49</v>
      </c>
      <c r="H33" s="7">
        <f>'[12]Oct Prod'!F32</f>
        <v>8130000.0000000009</v>
      </c>
      <c r="I33" s="8">
        <f t="shared" si="4"/>
        <v>8.1300000000000008</v>
      </c>
      <c r="J33" s="10">
        <f t="shared" si="5"/>
        <v>24.959099999999999</v>
      </c>
      <c r="K33" s="7">
        <f>'[12]Oct Prod'!H287</f>
        <v>1306581</v>
      </c>
      <c r="L33" s="8">
        <f t="shared" ref="L33:L35" si="23">K33/1000000</f>
        <v>1.306581</v>
      </c>
      <c r="M33" s="10">
        <f t="shared" ref="M33:M35" si="24">L33*3.07</f>
        <v>4.0112036699999996</v>
      </c>
      <c r="N33" s="21"/>
      <c r="O33" s="7">
        <f>'[12]Oct Prod'!H32</f>
        <v>0</v>
      </c>
      <c r="P33" s="8">
        <f t="shared" si="8"/>
        <v>0</v>
      </c>
      <c r="Q33" s="10">
        <f t="shared" si="9"/>
        <v>0</v>
      </c>
      <c r="R33" s="7">
        <f>'[12]Oct Prod'!C32</f>
        <v>0</v>
      </c>
      <c r="S33" s="8">
        <f t="shared" si="10"/>
        <v>0</v>
      </c>
      <c r="T33" s="10">
        <f t="shared" si="11"/>
        <v>0</v>
      </c>
      <c r="U33" s="7">
        <f>'[12]Oct Prod'!D32</f>
        <v>0</v>
      </c>
      <c r="V33" s="8">
        <f t="shared" si="12"/>
        <v>0</v>
      </c>
      <c r="W33" s="10">
        <f t="shared" si="13"/>
        <v>0</v>
      </c>
      <c r="X33" s="7">
        <f>'[12]Oct Prod'!D287</f>
        <v>0</v>
      </c>
      <c r="Y33" s="8">
        <f t="shared" si="14"/>
        <v>0</v>
      </c>
      <c r="Z33" s="10">
        <f t="shared" si="15"/>
        <v>0</v>
      </c>
      <c r="AA33" s="15"/>
      <c r="AB33" s="7">
        <f t="shared" si="16"/>
        <v>14599999.999998545</v>
      </c>
      <c r="AC33" s="8">
        <f t="shared" si="16"/>
        <v>14.599999999998545</v>
      </c>
      <c r="AD33" s="8">
        <f t="shared" si="16"/>
        <v>44.821999999995533</v>
      </c>
      <c r="AF33" s="8">
        <f t="shared" si="22"/>
        <v>0</v>
      </c>
    </row>
    <row r="34" spans="1:32" x14ac:dyDescent="0.25">
      <c r="A34" s="27">
        <v>38655</v>
      </c>
      <c r="B34" s="7">
        <f>'[12]Oct Prod'!I33</f>
        <v>10000000</v>
      </c>
      <c r="C34" s="8">
        <f t="shared" si="0"/>
        <v>10</v>
      </c>
      <c r="D34" s="10">
        <f t="shared" si="1"/>
        <v>30.7</v>
      </c>
      <c r="E34" s="7">
        <f>'[12]Oct Prod'!E33</f>
        <v>6000000</v>
      </c>
      <c r="F34" s="8">
        <f t="shared" si="2"/>
        <v>6</v>
      </c>
      <c r="G34" s="10">
        <f t="shared" si="3"/>
        <v>18.419999999999998</v>
      </c>
      <c r="H34" s="7">
        <f>'[12]Oct Prod'!F33</f>
        <v>5610000</v>
      </c>
      <c r="I34" s="8">
        <f t="shared" si="4"/>
        <v>5.61</v>
      </c>
      <c r="J34" s="10">
        <f t="shared" si="5"/>
        <v>17.2227</v>
      </c>
      <c r="K34" s="7">
        <f>'[12]Oct Prod'!H288</f>
        <v>1420658</v>
      </c>
      <c r="L34" s="8">
        <f t="shared" si="23"/>
        <v>1.420658</v>
      </c>
      <c r="M34" s="10">
        <f t="shared" si="24"/>
        <v>4.3614200599999995</v>
      </c>
      <c r="N34" s="21"/>
      <c r="O34" s="7">
        <f>'[12]Oct Prod'!H33</f>
        <v>0</v>
      </c>
      <c r="P34" s="8">
        <f t="shared" si="8"/>
        <v>0</v>
      </c>
      <c r="Q34" s="10">
        <f t="shared" si="9"/>
        <v>0</v>
      </c>
      <c r="R34" s="7">
        <f>'[12]Oct Prod'!C33</f>
        <v>111000</v>
      </c>
      <c r="S34" s="8">
        <f t="shared" si="10"/>
        <v>0.111</v>
      </c>
      <c r="T34" s="10">
        <f t="shared" si="11"/>
        <v>0.34076999999999996</v>
      </c>
      <c r="U34" s="7">
        <f>'[12]Oct Prod'!D33</f>
        <v>0</v>
      </c>
      <c r="V34" s="8">
        <f t="shared" si="12"/>
        <v>0</v>
      </c>
      <c r="W34" s="10">
        <f t="shared" si="13"/>
        <v>0</v>
      </c>
      <c r="X34" s="7">
        <f>'[12]Oct Prod'!D288</f>
        <v>0</v>
      </c>
      <c r="Y34" s="8">
        <f t="shared" si="14"/>
        <v>0</v>
      </c>
      <c r="Z34" s="10">
        <f t="shared" si="15"/>
        <v>0</v>
      </c>
      <c r="AA34" s="15"/>
      <c r="AB34" s="7">
        <f t="shared" si="16"/>
        <v>10000000</v>
      </c>
      <c r="AC34" s="8">
        <f t="shared" si="16"/>
        <v>10</v>
      </c>
      <c r="AD34" s="8">
        <f t="shared" si="16"/>
        <v>30.7</v>
      </c>
      <c r="AF34" s="8">
        <f t="shared" si="22"/>
        <v>0.34076999999999996</v>
      </c>
    </row>
    <row r="35" spans="1:32" ht="13.8" thickBot="1" x14ac:dyDescent="0.3">
      <c r="A35" s="27">
        <v>38656</v>
      </c>
      <c r="B35" s="29">
        <f>'[12]Oct Prod'!I34</f>
        <v>13700000.000000728</v>
      </c>
      <c r="C35" s="9">
        <f t="shared" si="0"/>
        <v>13.700000000000728</v>
      </c>
      <c r="D35" s="11">
        <f t="shared" si="1"/>
        <v>42.059000000002229</v>
      </c>
      <c r="E35" s="29">
        <f>'[12]Oct Prod'!E34</f>
        <v>7000000</v>
      </c>
      <c r="F35" s="9">
        <f t="shared" si="2"/>
        <v>7</v>
      </c>
      <c r="G35" s="11">
        <f t="shared" si="3"/>
        <v>21.49</v>
      </c>
      <c r="H35" s="29">
        <f>'[12]Oct Prod'!F34</f>
        <v>7210000</v>
      </c>
      <c r="I35" s="9">
        <f t="shared" si="4"/>
        <v>7.21</v>
      </c>
      <c r="J35" s="11">
        <f t="shared" si="5"/>
        <v>22.134699999999999</v>
      </c>
      <c r="K35" s="7">
        <f>'[12]Oct Prod'!H289</f>
        <v>1325618</v>
      </c>
      <c r="L35" s="8">
        <f t="shared" si="23"/>
        <v>1.325618</v>
      </c>
      <c r="M35" s="10">
        <f t="shared" si="24"/>
        <v>4.06964726</v>
      </c>
      <c r="N35" s="21"/>
      <c r="O35" s="29">
        <f>'[12]Oct Prod'!H34</f>
        <v>0</v>
      </c>
      <c r="P35" s="9">
        <f t="shared" si="8"/>
        <v>0</v>
      </c>
      <c r="Q35" s="11">
        <f t="shared" si="9"/>
        <v>0</v>
      </c>
      <c r="R35" s="29">
        <f>'[12]Oct Prod'!C34</f>
        <v>0</v>
      </c>
      <c r="S35" s="9">
        <f t="shared" si="10"/>
        <v>0</v>
      </c>
      <c r="T35" s="11">
        <f t="shared" si="11"/>
        <v>0</v>
      </c>
      <c r="U35" s="29">
        <f>'[12]Oct Prod'!D34</f>
        <v>0</v>
      </c>
      <c r="V35" s="9">
        <f t="shared" si="12"/>
        <v>0</v>
      </c>
      <c r="W35" s="11">
        <f t="shared" si="13"/>
        <v>0</v>
      </c>
      <c r="X35" s="7">
        <f>'[12]Oct Prod'!D289</f>
        <v>69999.999999993175</v>
      </c>
      <c r="Y35" s="9">
        <f t="shared" si="14"/>
        <v>6.9999999999993179E-2</v>
      </c>
      <c r="Z35" s="11">
        <f t="shared" si="15"/>
        <v>0.21489999999997905</v>
      </c>
      <c r="AA35" s="15"/>
      <c r="AB35" s="7">
        <f t="shared" si="16"/>
        <v>13700000.000000728</v>
      </c>
      <c r="AC35" s="8">
        <f t="shared" si="16"/>
        <v>13.700000000000728</v>
      </c>
      <c r="AD35" s="8">
        <f t="shared" si="16"/>
        <v>42.059000000002229</v>
      </c>
      <c r="AF35" s="8">
        <f t="shared" si="22"/>
        <v>-0.21489999999997905</v>
      </c>
    </row>
    <row r="36" spans="1:32" ht="13.8" thickBot="1" x14ac:dyDescent="0.3">
      <c r="A36" s="14"/>
      <c r="B36" s="38"/>
      <c r="C36" s="39">
        <f>SUM(C5:C35)</f>
        <v>592.70000000000073</v>
      </c>
      <c r="D36" s="39">
        <f>SUM(D5:D35)</f>
        <v>1819.5890000000022</v>
      </c>
      <c r="E36" s="38"/>
      <c r="F36" s="39">
        <f>SUM(F5:F35)</f>
        <v>281</v>
      </c>
      <c r="G36" s="39">
        <f>SUM(G5:G35)</f>
        <v>862.66999999999985</v>
      </c>
      <c r="H36" s="38"/>
      <c r="I36" s="39">
        <f>SUM(I5:I35)</f>
        <v>336.64</v>
      </c>
      <c r="J36" s="39">
        <f>SUM(J5:J35)</f>
        <v>1033.4848000000002</v>
      </c>
      <c r="K36" s="38"/>
      <c r="L36" s="39">
        <f>SUM(L5:L35)</f>
        <v>71.232646000000003</v>
      </c>
      <c r="M36" s="39">
        <f>SUM(M5:M35)</f>
        <v>218.68422322000001</v>
      </c>
      <c r="N36" s="14"/>
      <c r="O36" s="38"/>
      <c r="P36" s="39">
        <f>SUM(P5:P35)</f>
        <v>2.481999999999994</v>
      </c>
      <c r="Q36" s="39">
        <f>SUM(Q5:Q35)</f>
        <v>7.6197399999999815</v>
      </c>
      <c r="R36" s="38"/>
      <c r="S36" s="39">
        <f>SUM(S5:S35)</f>
        <v>2.7490000000000001</v>
      </c>
      <c r="T36" s="39">
        <f>SUM(T5:T35)</f>
        <v>8.439429999999998</v>
      </c>
      <c r="U36" s="38"/>
      <c r="V36" s="39">
        <f>SUM(V5:V35)</f>
        <v>0</v>
      </c>
      <c r="W36" s="39">
        <f>SUM(W5:W35)</f>
        <v>0</v>
      </c>
      <c r="X36" s="38"/>
      <c r="Y36" s="39">
        <f>SUM(Y5:Y35)</f>
        <v>0.55299999999999727</v>
      </c>
      <c r="Z36" s="39">
        <f>SUM(Z5:Z35)</f>
        <v>1.6977099999999912</v>
      </c>
      <c r="AA36" s="14"/>
      <c r="AB36" s="38"/>
      <c r="AC36" s="39">
        <f>SUM(AC5:AC35)</f>
        <v>595.1820000000007</v>
      </c>
      <c r="AD36" s="39">
        <f>AC36*3.07</f>
        <v>1827.2087400000021</v>
      </c>
      <c r="AF36" s="39">
        <f>SUM(AF5:AF35)</f>
        <v>-0.87801999999997404</v>
      </c>
    </row>
    <row r="37" spans="1:32" x14ac:dyDescent="0.25">
      <c r="A37" s="3"/>
      <c r="B37" s="3"/>
      <c r="C37" s="24"/>
      <c r="D37" s="3"/>
      <c r="E37" s="3"/>
      <c r="F37" s="3"/>
      <c r="G37" s="3"/>
      <c r="H37" s="3"/>
      <c r="I37" s="3"/>
      <c r="J37" s="3"/>
      <c r="K37" s="14"/>
      <c r="L37" s="3"/>
      <c r="M37" s="3"/>
      <c r="N37" s="3"/>
      <c r="O37" s="3"/>
      <c r="P37" s="3"/>
      <c r="Q37" s="3"/>
      <c r="R37" s="3"/>
      <c r="S37" s="3"/>
      <c r="T37" s="3"/>
      <c r="U37" s="14"/>
      <c r="V37" s="3"/>
      <c r="W37" s="3"/>
      <c r="X37" s="3"/>
    </row>
  </sheetData>
  <mergeCells count="9">
    <mergeCell ref="AB3:AD3"/>
    <mergeCell ref="R3:T3"/>
    <mergeCell ref="U3:W3"/>
    <mergeCell ref="X3:Z3"/>
    <mergeCell ref="B3:D3"/>
    <mergeCell ref="E3:G3"/>
    <mergeCell ref="H3:J3"/>
    <mergeCell ref="O3:Q3"/>
    <mergeCell ref="K3:M3"/>
  </mergeCells>
  <phoneticPr fontId="1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17"/>
  <sheetViews>
    <sheetView tabSelected="1" workbookViewId="0">
      <selection activeCell="I17" sqref="I17"/>
    </sheetView>
  </sheetViews>
  <sheetFormatPr defaultColWidth="9.109375" defaultRowHeight="13.2" x14ac:dyDescent="0.25"/>
  <cols>
    <col min="1" max="1" width="9.109375" style="53"/>
    <col min="2" max="2" width="16" style="53" bestFit="1" customWidth="1"/>
    <col min="3" max="3" width="16.33203125" style="53" bestFit="1" customWidth="1"/>
    <col min="4" max="4" width="16.88671875" style="53" bestFit="1" customWidth="1"/>
    <col min="5" max="5" width="15.6640625" style="53" bestFit="1" customWidth="1"/>
    <col min="6" max="6" width="13.88671875" style="53" bestFit="1" customWidth="1"/>
    <col min="7" max="7" width="21.88671875" style="53" bestFit="1" customWidth="1"/>
    <col min="8" max="8" width="14.109375" style="53" bestFit="1" customWidth="1"/>
    <col min="9" max="9" width="13.5546875" style="53" bestFit="1" customWidth="1"/>
    <col min="10" max="16384" width="9.109375" style="53"/>
  </cols>
  <sheetData>
    <row r="1" spans="1:11" s="46" customFormat="1" x14ac:dyDescent="0.25">
      <c r="B1" s="47" t="s">
        <v>10</v>
      </c>
      <c r="C1" s="47" t="s">
        <v>11</v>
      </c>
      <c r="D1" s="47" t="s">
        <v>12</v>
      </c>
      <c r="E1" s="47" t="s">
        <v>13</v>
      </c>
      <c r="F1" s="47" t="s">
        <v>4</v>
      </c>
      <c r="G1" s="47" t="s">
        <v>3</v>
      </c>
      <c r="H1" s="47" t="s">
        <v>6</v>
      </c>
      <c r="I1" s="47" t="s">
        <v>7</v>
      </c>
      <c r="J1" s="47"/>
      <c r="K1" s="47"/>
    </row>
    <row r="2" spans="1:11" s="48" customFormat="1" x14ac:dyDescent="0.25">
      <c r="B2" s="49" t="s">
        <v>2</v>
      </c>
      <c r="C2" s="49" t="s">
        <v>2</v>
      </c>
      <c r="D2" s="49" t="s">
        <v>2</v>
      </c>
      <c r="E2" s="49" t="s">
        <v>2</v>
      </c>
      <c r="F2" s="49" t="s">
        <v>2</v>
      </c>
      <c r="G2" s="49" t="s">
        <v>2</v>
      </c>
      <c r="H2" s="49" t="s">
        <v>2</v>
      </c>
      <c r="I2" s="49" t="s">
        <v>2</v>
      </c>
      <c r="J2" s="50"/>
      <c r="K2" s="50"/>
    </row>
    <row r="3" spans="1:11" x14ac:dyDescent="0.25">
      <c r="A3" s="51">
        <v>41944</v>
      </c>
      <c r="B3" s="52">
        <f>November!D35</f>
        <v>860.2140000000021</v>
      </c>
      <c r="C3" s="52">
        <f>November!G35</f>
        <v>294.71999999999997</v>
      </c>
      <c r="D3" s="52">
        <f>November!J35</f>
        <v>566.84479999999974</v>
      </c>
      <c r="E3" s="52">
        <f>November!M35</f>
        <v>72.239288910000013</v>
      </c>
      <c r="F3" s="52">
        <f>November!Q35</f>
        <v>257.72189499999996</v>
      </c>
      <c r="G3" s="52">
        <f>November!T35</f>
        <v>270.53914500000002</v>
      </c>
      <c r="H3" s="52">
        <f>November!W35</f>
        <v>0</v>
      </c>
      <c r="I3" s="52">
        <f>November!Z35</f>
        <v>13.523350000000011</v>
      </c>
    </row>
    <row r="4" spans="1:11" x14ac:dyDescent="0.25">
      <c r="A4" s="51">
        <v>41974</v>
      </c>
      <c r="B4" s="52">
        <f>December!D36</f>
        <v>37.146999999995522</v>
      </c>
      <c r="C4" s="52">
        <f>December!G36</f>
        <v>0</v>
      </c>
      <c r="D4" s="52">
        <f>December!J36</f>
        <v>28.765900000000002</v>
      </c>
      <c r="E4" s="52">
        <f>December!M36</f>
        <v>4.6404922700000002</v>
      </c>
      <c r="F4" s="52">
        <f>December!Q36</f>
        <v>1066.7390400000002</v>
      </c>
      <c r="G4" s="52">
        <f>December!T36</f>
        <v>1103.6189499999998</v>
      </c>
      <c r="H4" s="52">
        <f>December!W36</f>
        <v>0</v>
      </c>
      <c r="I4" s="52">
        <f>December!Z36</f>
        <v>36.879909999999995</v>
      </c>
    </row>
    <row r="5" spans="1:11" x14ac:dyDescent="0.25">
      <c r="A5" s="51">
        <v>42005</v>
      </c>
      <c r="B5" s="52">
        <f>January!D36</f>
        <v>0</v>
      </c>
      <c r="C5" s="52">
        <f>January!G36</f>
        <v>0</v>
      </c>
      <c r="D5" s="52">
        <f>January!J36</f>
        <v>1.2586999999999997</v>
      </c>
      <c r="E5" s="52">
        <f>January!M36</f>
        <v>0.57873184</v>
      </c>
      <c r="F5" s="52">
        <f>January!Q36</f>
        <v>1112.2702099999999</v>
      </c>
      <c r="G5" s="52">
        <f>January!T36</f>
        <v>1149.8255199999999</v>
      </c>
      <c r="H5" s="52">
        <f>January!W36</f>
        <v>0</v>
      </c>
      <c r="I5" s="52">
        <f>January!Z36</f>
        <v>37.555309999999999</v>
      </c>
    </row>
    <row r="6" spans="1:11" x14ac:dyDescent="0.25">
      <c r="A6" s="51">
        <v>42036</v>
      </c>
      <c r="B6" s="52">
        <f>February!D34</f>
        <v>0</v>
      </c>
      <c r="C6" s="52">
        <f>February!G34</f>
        <v>0</v>
      </c>
      <c r="D6" s="52">
        <f>February!J34</f>
        <v>0</v>
      </c>
      <c r="E6" s="52">
        <f>February!M34</f>
        <v>1.1540805399999998</v>
      </c>
      <c r="F6" s="52">
        <f>February!Q34</f>
        <v>996.51892999999973</v>
      </c>
      <c r="G6" s="52">
        <f>February!T34</f>
        <v>1025.2694800000002</v>
      </c>
      <c r="H6" s="52">
        <f>February!W34</f>
        <v>0</v>
      </c>
      <c r="I6" s="52">
        <f>February!Z34</f>
        <v>28.750549999999993</v>
      </c>
    </row>
    <row r="7" spans="1:11" x14ac:dyDescent="0.25">
      <c r="A7" s="51">
        <v>42064</v>
      </c>
      <c r="B7" s="52">
        <f>March!D36</f>
        <v>267.08999999999992</v>
      </c>
      <c r="C7" s="52">
        <f>March!G36</f>
        <v>368.40000000000003</v>
      </c>
      <c r="D7" s="52">
        <f>March!J36</f>
        <v>0</v>
      </c>
      <c r="E7" s="52">
        <f>March!M36</f>
        <v>41.562378379999998</v>
      </c>
      <c r="F7" s="52">
        <f>March!Q36</f>
        <v>891.07363999999995</v>
      </c>
      <c r="G7" s="52">
        <f>March!T36</f>
        <v>913.96663000000001</v>
      </c>
      <c r="H7" s="52">
        <f>March!W36</f>
        <v>0</v>
      </c>
      <c r="I7" s="52">
        <f>March!Z36</f>
        <v>22.892990000000001</v>
      </c>
    </row>
    <row r="8" spans="1:11" x14ac:dyDescent="0.25">
      <c r="A8" s="51">
        <v>42095</v>
      </c>
      <c r="B8" s="52">
        <f>April!D35</f>
        <v>904.72900000000209</v>
      </c>
      <c r="C8" s="52">
        <f>April!G35</f>
        <v>1053.01</v>
      </c>
      <c r="D8" s="52">
        <f>April!J35</f>
        <v>0.89029999999999998</v>
      </c>
      <c r="E8" s="52">
        <f>April!M35</f>
        <v>114.94657773999998</v>
      </c>
      <c r="F8" s="52">
        <f>April!Q35</f>
        <v>455.12750000000005</v>
      </c>
      <c r="G8" s="52">
        <f>April!T35</f>
        <v>470.76301000000001</v>
      </c>
      <c r="H8" s="52">
        <f>April!W35</f>
        <v>0</v>
      </c>
      <c r="I8" s="52">
        <f>April!Z35</f>
        <v>17.858189999999979</v>
      </c>
    </row>
    <row r="9" spans="1:11" x14ac:dyDescent="0.25">
      <c r="A9" s="51">
        <v>42125</v>
      </c>
      <c r="B9" s="52">
        <f>May!D36</f>
        <v>733.73</v>
      </c>
      <c r="C9" s="52">
        <f>May!G36</f>
        <v>868.81</v>
      </c>
      <c r="D9" s="52">
        <f>May!J36</f>
        <v>0</v>
      </c>
      <c r="E9" s="52">
        <f>May!M36</f>
        <v>135.73154609999997</v>
      </c>
      <c r="F9" s="52">
        <f>May!Q36</f>
        <v>641.74665999999979</v>
      </c>
      <c r="G9" s="52">
        <f>May!T36</f>
        <v>661.55736999999988</v>
      </c>
      <c r="H9" s="52">
        <f>May!W36</f>
        <v>0</v>
      </c>
      <c r="I9" s="52">
        <f>May!Z36</f>
        <v>19.810710000000007</v>
      </c>
    </row>
    <row r="10" spans="1:11" x14ac:dyDescent="0.25">
      <c r="A10" s="51">
        <v>42156</v>
      </c>
      <c r="B10" s="52">
        <f>June!D35</f>
        <v>1427.55</v>
      </c>
      <c r="C10" s="52">
        <f>June!G35</f>
        <v>494.27</v>
      </c>
      <c r="D10" s="52">
        <f>June!J35</f>
        <v>959.03729999999996</v>
      </c>
      <c r="E10" s="52">
        <f>June!M35</f>
        <v>-240.56457986000007</v>
      </c>
      <c r="F10" s="52">
        <f>June!Q35</f>
        <v>723.09244999999999</v>
      </c>
      <c r="G10" s="52">
        <f>June!T35</f>
        <v>744.44736999999964</v>
      </c>
      <c r="H10" s="52">
        <f>June!W35</f>
        <v>0</v>
      </c>
      <c r="I10" s="52">
        <f>June!Z35</f>
        <v>21.354919999999986</v>
      </c>
    </row>
    <row r="11" spans="1:11" x14ac:dyDescent="0.25">
      <c r="A11" s="51">
        <v>42186</v>
      </c>
      <c r="B11" s="52">
        <f>July!D36</f>
        <v>2201.19</v>
      </c>
      <c r="C11" s="52">
        <f>June!G35</f>
        <v>494.27</v>
      </c>
      <c r="D11" s="52">
        <f>July!J36</f>
        <v>988.04879999999991</v>
      </c>
      <c r="E11" s="52">
        <f>July!M36</f>
        <v>255.73750533000009</v>
      </c>
      <c r="F11" s="52">
        <f>July!Q36</f>
        <v>660.26182999999992</v>
      </c>
      <c r="G11" s="52">
        <f>July!T36</f>
        <v>676.82755000000009</v>
      </c>
      <c r="H11" s="52">
        <f>July!W36</f>
        <v>78.966539999999995</v>
      </c>
      <c r="I11" s="52">
        <f>July!Z36</f>
        <v>16.565720000000024</v>
      </c>
    </row>
    <row r="12" spans="1:11" x14ac:dyDescent="0.25">
      <c r="A12" s="51">
        <v>42217</v>
      </c>
      <c r="B12" s="52">
        <f>August!D36</f>
        <v>2883.9580000000042</v>
      </c>
      <c r="C12" s="52">
        <f>August!G36</f>
        <v>1409.1299999999999</v>
      </c>
      <c r="D12" s="52">
        <f>August!J36</f>
        <v>1551.4858999999999</v>
      </c>
      <c r="E12" s="52">
        <f>August!M36</f>
        <v>42.82478694000001</v>
      </c>
      <c r="F12" s="52">
        <f>August!Q36</f>
        <v>507.39424999999989</v>
      </c>
      <c r="G12" s="52">
        <f>August!T36</f>
        <v>518.30502999999999</v>
      </c>
      <c r="H12" s="52">
        <f>August!W36</f>
        <v>0</v>
      </c>
      <c r="I12" s="52">
        <f>August!Z36</f>
        <v>10.910780000000006</v>
      </c>
    </row>
    <row r="13" spans="1:11" x14ac:dyDescent="0.25">
      <c r="A13" s="51">
        <v>42248</v>
      </c>
      <c r="B13" s="52">
        <f>September!D35</f>
        <v>1991.8159999999975</v>
      </c>
      <c r="C13" s="52">
        <f>September!G35</f>
        <v>967.04999999999984</v>
      </c>
      <c r="D13" s="52">
        <f>September!J35</f>
        <v>1085.7361999999998</v>
      </c>
      <c r="E13" s="52">
        <f>September!M35</f>
        <v>232.82498706000013</v>
      </c>
      <c r="F13" s="52">
        <f>September!Q35</f>
        <v>1035.8272099999999</v>
      </c>
      <c r="G13" s="52">
        <f>September!T35</f>
        <v>1053.931</v>
      </c>
      <c r="H13" s="52">
        <f>September!W35</f>
        <v>0</v>
      </c>
      <c r="I13" s="52">
        <f>September!Z35</f>
        <v>18.103789999999972</v>
      </c>
    </row>
    <row r="14" spans="1:11" x14ac:dyDescent="0.25">
      <c r="A14" s="51">
        <v>42278</v>
      </c>
      <c r="B14" s="52">
        <f>October!D36</f>
        <v>1819.5890000000022</v>
      </c>
      <c r="C14" s="52">
        <f>October!G36</f>
        <v>862.66999999999985</v>
      </c>
      <c r="D14" s="52">
        <f>October!J36</f>
        <v>1033.4848000000002</v>
      </c>
      <c r="E14" s="52">
        <f>October!M36</f>
        <v>218.68422322000001</v>
      </c>
      <c r="F14" s="52">
        <f>October!Q36</f>
        <v>7.6197399999999815</v>
      </c>
      <c r="G14" s="52">
        <f>October!T36</f>
        <v>8.439429999999998</v>
      </c>
      <c r="H14" s="52">
        <f>October!W36</f>
        <v>0</v>
      </c>
      <c r="I14" s="52">
        <f>October!Z36</f>
        <v>1.6977099999999912</v>
      </c>
    </row>
    <row r="15" spans="1:11" x14ac:dyDescent="0.25">
      <c r="A15" s="51">
        <v>42309</v>
      </c>
      <c r="B15" s="52">
        <f>[13]November!$D$35</f>
        <v>561.19599999999787</v>
      </c>
      <c r="C15" s="52">
        <f>[13]November!$G$35</f>
        <v>598.65000000000009</v>
      </c>
      <c r="D15" s="52">
        <f>[13]November!$J$35</f>
        <v>52.988199999999992</v>
      </c>
      <c r="E15" s="52">
        <f>[13]November!$M$35</f>
        <v>74.78560524000001</v>
      </c>
      <c r="F15" s="52">
        <f>[13]November!$Q$35</f>
        <v>575.33949000000007</v>
      </c>
      <c r="G15" s="52">
        <f>[13]November!$T$35</f>
        <v>585.25252</v>
      </c>
      <c r="H15" s="52">
        <f>[13]November!$W$35</f>
        <v>0</v>
      </c>
      <c r="I15" s="52">
        <f>[13]November!$Z$35</f>
        <v>9.9130299999999973</v>
      </c>
    </row>
    <row r="16" spans="1:11" x14ac:dyDescent="0.25">
      <c r="A16" s="51">
        <v>42339</v>
      </c>
      <c r="B16" s="52">
        <f>[13]December!$D$36</f>
        <v>55.566999999995531</v>
      </c>
      <c r="C16" s="52">
        <f>[13]December!$G$36</f>
        <v>58.33</v>
      </c>
      <c r="D16" s="52">
        <f>[13]December!$J$36</f>
        <v>0</v>
      </c>
      <c r="E16" s="52">
        <f>[13]December!$M$36</f>
        <v>12.545208089999999</v>
      </c>
      <c r="F16" s="52">
        <f>[13]December!$Q$36</f>
        <v>1078.1379500000003</v>
      </c>
      <c r="G16" s="52">
        <f>[13]December!$T$36</f>
        <v>1103.5391299999997</v>
      </c>
      <c r="H16" s="52">
        <f>[13]December!$W$36</f>
        <v>0</v>
      </c>
      <c r="I16" s="52">
        <f>[13]December!$Z$36</f>
        <v>25.401180000000032</v>
      </c>
    </row>
    <row r="17" spans="1:9" x14ac:dyDescent="0.25">
      <c r="A17" s="54" t="s">
        <v>15</v>
      </c>
      <c r="B17" s="52">
        <f>SUM(B3:B14)</f>
        <v>13127.013000000003</v>
      </c>
      <c r="C17" s="52">
        <f t="shared" ref="C17:I17" si="0">SUM(C3:C14)</f>
        <v>6812.33</v>
      </c>
      <c r="D17" s="52">
        <f t="shared" si="0"/>
        <v>6215.5527000000002</v>
      </c>
      <c r="E17" s="52">
        <f t="shared" si="0"/>
        <v>880.36001847000023</v>
      </c>
      <c r="F17" s="52">
        <f t="shared" si="0"/>
        <v>8355.3933550000002</v>
      </c>
      <c r="G17" s="52">
        <f t="shared" si="0"/>
        <v>8597.4904850000003</v>
      </c>
      <c r="H17" s="52">
        <f t="shared" si="0"/>
        <v>78.966539999999995</v>
      </c>
      <c r="I17" s="52">
        <f t="shared" si="0"/>
        <v>245.90393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69E3D5A97D13E42A3FA97F9F6490356" ma:contentTypeVersion="7" ma:contentTypeDescription="Create a new document." ma:contentTypeScope="" ma:versionID="28c826bd0c557c42625fe5e73ffe2532">
  <xsd:schema xmlns:xsd="http://www.w3.org/2001/XMLSchema" xmlns:xs="http://www.w3.org/2001/XMLSchema" xmlns:p="http://schemas.microsoft.com/office/2006/metadata/properties" xmlns:ns2="c3ceea8c-8d7b-4050-a6dd-ca802b319f33" targetNamespace="http://schemas.microsoft.com/office/2006/metadata/properties" ma:root="true" ma:fieldsID="11134dd55bc57a9ac07ab25088c1a3a5" ns2:_="">
    <xsd:import namespace="c3ceea8c-8d7b-4050-a6dd-ca802b319f3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ceea8c-8d7b-4050-a6dd-ca802b319f3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DB3CF156-BAA7-49FD-877A-0621FE519184}"/>
</file>

<file path=customXml/itemProps2.xml><?xml version="1.0" encoding="utf-8"?>
<ds:datastoreItem xmlns:ds="http://schemas.openxmlformats.org/officeDocument/2006/customXml" ds:itemID="{40BFBD0B-583B-4EC6-9E90-E05D0841A136}"/>
</file>

<file path=customXml/itemProps3.xml><?xml version="1.0" encoding="utf-8"?>
<ds:datastoreItem xmlns:ds="http://schemas.openxmlformats.org/officeDocument/2006/customXml" ds:itemID="{98261AF3-C5C2-492D-AB1E-CD62F4446A91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12</vt:i4>
      </vt:variant>
    </vt:vector>
  </HeadingPairs>
  <TitlesOfParts>
    <vt:vector size="25" baseType="lpstr">
      <vt:lpstr>November</vt:lpstr>
      <vt:lpstr>December</vt:lpstr>
      <vt:lpstr>January</vt:lpstr>
      <vt:lpstr>February</vt:lpstr>
      <vt:lpstr>March</vt:lpstr>
      <vt:lpstr>April</vt:lpstr>
      <vt:lpstr>May</vt:lpstr>
      <vt:lpstr>June</vt:lpstr>
      <vt:lpstr>July</vt:lpstr>
      <vt:lpstr>August</vt:lpstr>
      <vt:lpstr>September</vt:lpstr>
      <vt:lpstr>October</vt:lpstr>
      <vt:lpstr>Summary</vt:lpstr>
      <vt:lpstr>February!Print_Area</vt:lpstr>
      <vt:lpstr>May!Print_Area</vt:lpstr>
      <vt:lpstr>November!Print_Area</vt:lpstr>
      <vt:lpstr>April!Print_Titles</vt:lpstr>
      <vt:lpstr>August!Print_Titles</vt:lpstr>
      <vt:lpstr>February!Print_Titles</vt:lpstr>
      <vt:lpstr>January!Print_Titles</vt:lpstr>
      <vt:lpstr>July!Print_Titles</vt:lpstr>
      <vt:lpstr>June!Print_Titles</vt:lpstr>
      <vt:lpstr>March!Print_Titles</vt:lpstr>
      <vt:lpstr>May!Print_Titles</vt:lpstr>
      <vt:lpstr>September!Print_Titles</vt:lpstr>
    </vt:vector>
  </TitlesOfParts>
  <Company>City of Thornton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mpacheco</dc:creator>
  <cp:lastModifiedBy>Elena Acker</cp:lastModifiedBy>
  <cp:lastPrinted>2012-07-11T20:09:08Z</cp:lastPrinted>
  <dcterms:created xsi:type="dcterms:W3CDTF">2004-01-27T20:05:57Z</dcterms:created>
  <dcterms:modified xsi:type="dcterms:W3CDTF">2017-01-12T15:39:10Z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0x010100C69E3D5A97D13E42A3FA97F9F6490356</vt:lpwstr>
  </property>
</Properties>
</file>