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0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1.xml" ContentType="application/vnd.openxmlformats-officedocument.spreadsheetml.comment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1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9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D\WR\Accounting\WY2016\Production\"/>
    </mc:Choice>
  </mc:AlternateContent>
  <bookViews>
    <workbookView xWindow="1716" yWindow="72" windowWidth="16740" windowHeight="11400" tabRatio="706" firstSheet="1" activeTab="12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62913"/>
</workbook>
</file>

<file path=xl/calcChain.xml><?xml version="1.0" encoding="utf-8"?>
<calcChain xmlns="http://schemas.openxmlformats.org/spreadsheetml/2006/main">
  <c r="C17" i="15" l="1"/>
  <c r="D17" i="15"/>
  <c r="E17" i="15"/>
  <c r="F17" i="15"/>
  <c r="G17" i="15"/>
  <c r="H17" i="15"/>
  <c r="I17" i="15"/>
  <c r="B17" i="15"/>
  <c r="I16" i="15" l="1"/>
  <c r="H16" i="15"/>
  <c r="G16" i="15"/>
  <c r="F16" i="15"/>
  <c r="E16" i="15"/>
  <c r="D16" i="15"/>
  <c r="C16" i="15"/>
  <c r="B16" i="15"/>
  <c r="I15" i="15"/>
  <c r="H15" i="15"/>
  <c r="G15" i="15"/>
  <c r="F15" i="15"/>
  <c r="E15" i="15"/>
  <c r="D15" i="15"/>
  <c r="C15" i="15"/>
  <c r="B15" i="15"/>
  <c r="K7" i="12" l="1"/>
  <c r="K8" i="12"/>
  <c r="B35" i="5" l="1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X35" i="5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U16" i="5"/>
  <c r="R16" i="5"/>
  <c r="O16" i="5"/>
  <c r="X15" i="5"/>
  <c r="U15" i="5"/>
  <c r="R15" i="5"/>
  <c r="O15" i="5"/>
  <c r="X14" i="5"/>
  <c r="U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E35" i="5"/>
  <c r="K34" i="5"/>
  <c r="H34" i="5"/>
  <c r="E34" i="5"/>
  <c r="K33" i="5"/>
  <c r="H33" i="5"/>
  <c r="E33" i="5"/>
  <c r="K32" i="5"/>
  <c r="H32" i="5"/>
  <c r="E32" i="5"/>
  <c r="K31" i="5"/>
  <c r="H31" i="5"/>
  <c r="E31" i="5"/>
  <c r="K30" i="5"/>
  <c r="H30" i="5"/>
  <c r="E30" i="5"/>
  <c r="K29" i="5"/>
  <c r="H29" i="5"/>
  <c r="E29" i="5"/>
  <c r="K28" i="5"/>
  <c r="H28" i="5"/>
  <c r="E28" i="5"/>
  <c r="K27" i="5"/>
  <c r="H27" i="5"/>
  <c r="E27" i="5"/>
  <c r="K26" i="5"/>
  <c r="H26" i="5"/>
  <c r="E26" i="5"/>
  <c r="K25" i="5"/>
  <c r="H25" i="5"/>
  <c r="E25" i="5"/>
  <c r="K24" i="5"/>
  <c r="H24" i="5"/>
  <c r="E24" i="5"/>
  <c r="K23" i="5"/>
  <c r="H23" i="5"/>
  <c r="E23" i="5"/>
  <c r="K22" i="5"/>
  <c r="H22" i="5"/>
  <c r="E22" i="5"/>
  <c r="K21" i="5"/>
  <c r="H21" i="5"/>
  <c r="E21" i="5"/>
  <c r="K20" i="5"/>
  <c r="H20" i="5"/>
  <c r="E20" i="5"/>
  <c r="K19" i="5"/>
  <c r="H19" i="5"/>
  <c r="E19" i="5"/>
  <c r="K18" i="5"/>
  <c r="H18" i="5"/>
  <c r="E18" i="5"/>
  <c r="K17" i="5"/>
  <c r="H17" i="5"/>
  <c r="E17" i="5"/>
  <c r="K16" i="5"/>
  <c r="H16" i="5"/>
  <c r="E16" i="5"/>
  <c r="K15" i="5"/>
  <c r="H15" i="5"/>
  <c r="E15" i="5"/>
  <c r="K14" i="5"/>
  <c r="H14" i="5"/>
  <c r="E14" i="5"/>
  <c r="K13" i="5"/>
  <c r="H13" i="5"/>
  <c r="E13" i="5"/>
  <c r="K12" i="5"/>
  <c r="H12" i="5"/>
  <c r="E12" i="5"/>
  <c r="K11" i="5"/>
  <c r="H11" i="5"/>
  <c r="E11" i="5"/>
  <c r="K10" i="5"/>
  <c r="H10" i="5"/>
  <c r="E10" i="5"/>
  <c r="K9" i="5"/>
  <c r="H9" i="5"/>
  <c r="E9" i="5"/>
  <c r="K8" i="5"/>
  <c r="H8" i="5"/>
  <c r="E8" i="5"/>
  <c r="K7" i="5"/>
  <c r="H7" i="5"/>
  <c r="E7" i="5"/>
  <c r="K6" i="5"/>
  <c r="H6" i="5"/>
  <c r="E6" i="5"/>
  <c r="K5" i="5"/>
  <c r="H5" i="5"/>
  <c r="E5" i="5"/>
  <c r="B5" i="5" l="1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E34" i="12"/>
  <c r="B34" i="12"/>
  <c r="K33" i="12"/>
  <c r="H33" i="12"/>
  <c r="E33" i="12"/>
  <c r="B33" i="12"/>
  <c r="K32" i="12"/>
  <c r="H32" i="12"/>
  <c r="E32" i="12"/>
  <c r="B32" i="12"/>
  <c r="K31" i="12"/>
  <c r="H31" i="12"/>
  <c r="E31" i="12"/>
  <c r="B31" i="12"/>
  <c r="K30" i="12"/>
  <c r="H30" i="12"/>
  <c r="E30" i="12"/>
  <c r="B30" i="12"/>
  <c r="K29" i="12"/>
  <c r="H29" i="12"/>
  <c r="E29" i="12"/>
  <c r="B29" i="12"/>
  <c r="K28" i="12"/>
  <c r="H28" i="12"/>
  <c r="E28" i="12"/>
  <c r="B28" i="12"/>
  <c r="K27" i="12"/>
  <c r="H27" i="12"/>
  <c r="E27" i="12"/>
  <c r="B27" i="12"/>
  <c r="K26" i="12"/>
  <c r="H26" i="12"/>
  <c r="E26" i="12"/>
  <c r="B26" i="12"/>
  <c r="K25" i="12"/>
  <c r="H25" i="12"/>
  <c r="E25" i="12"/>
  <c r="B25" i="12"/>
  <c r="K24" i="12"/>
  <c r="H24" i="12"/>
  <c r="E24" i="12"/>
  <c r="B24" i="12"/>
  <c r="K23" i="12"/>
  <c r="H23" i="12"/>
  <c r="E23" i="12"/>
  <c r="B23" i="12"/>
  <c r="K22" i="12"/>
  <c r="H22" i="12"/>
  <c r="E22" i="12"/>
  <c r="B22" i="12"/>
  <c r="K21" i="12"/>
  <c r="H21" i="12"/>
  <c r="E21" i="12"/>
  <c r="B21" i="12"/>
  <c r="K20" i="12"/>
  <c r="H20" i="12"/>
  <c r="E20" i="12"/>
  <c r="B20" i="12"/>
  <c r="K19" i="12"/>
  <c r="H19" i="12"/>
  <c r="E19" i="12"/>
  <c r="B19" i="12"/>
  <c r="K18" i="12"/>
  <c r="H18" i="12"/>
  <c r="E18" i="12"/>
  <c r="B18" i="12"/>
  <c r="K17" i="12"/>
  <c r="H17" i="12"/>
  <c r="E17" i="12"/>
  <c r="B17" i="12"/>
  <c r="K16" i="12"/>
  <c r="H16" i="12"/>
  <c r="E16" i="12"/>
  <c r="B16" i="12"/>
  <c r="K15" i="12"/>
  <c r="H15" i="12"/>
  <c r="E15" i="12"/>
  <c r="B15" i="12"/>
  <c r="K14" i="12"/>
  <c r="H14" i="12"/>
  <c r="E14" i="12"/>
  <c r="B14" i="12"/>
  <c r="K13" i="12"/>
  <c r="H13" i="12"/>
  <c r="E13" i="12"/>
  <c r="B13" i="12"/>
  <c r="K12" i="12"/>
  <c r="H12" i="12"/>
  <c r="E12" i="12"/>
  <c r="B12" i="12"/>
  <c r="K11" i="12"/>
  <c r="H11" i="12"/>
  <c r="E11" i="12"/>
  <c r="B11" i="12"/>
  <c r="K10" i="12"/>
  <c r="H10" i="12"/>
  <c r="E10" i="12"/>
  <c r="B10" i="12"/>
  <c r="K9" i="12"/>
  <c r="H9" i="12"/>
  <c r="E9" i="12"/>
  <c r="B9" i="12"/>
  <c r="H8" i="12"/>
  <c r="E8" i="12"/>
  <c r="B8" i="12"/>
  <c r="H7" i="12"/>
  <c r="E7" i="12"/>
  <c r="B7" i="12"/>
  <c r="K6" i="12"/>
  <c r="H6" i="12"/>
  <c r="E6" i="12"/>
  <c r="B6" i="12"/>
  <c r="K5" i="12"/>
  <c r="H5" i="12"/>
  <c r="E5" i="12"/>
  <c r="B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K35" i="11"/>
  <c r="H35" i="11"/>
  <c r="E35" i="11"/>
  <c r="B35" i="11"/>
  <c r="K34" i="11"/>
  <c r="H34" i="11"/>
  <c r="E34" i="11"/>
  <c r="B34" i="11"/>
  <c r="K33" i="11"/>
  <c r="H33" i="11"/>
  <c r="E33" i="11"/>
  <c r="B33" i="11"/>
  <c r="K32" i="11"/>
  <c r="H32" i="11"/>
  <c r="E32" i="11"/>
  <c r="B32" i="11"/>
  <c r="K31" i="11"/>
  <c r="H31" i="11"/>
  <c r="E31" i="11"/>
  <c r="B31" i="11"/>
  <c r="K30" i="11"/>
  <c r="H30" i="11"/>
  <c r="E30" i="11"/>
  <c r="B30" i="11"/>
  <c r="K29" i="11"/>
  <c r="H29" i="11"/>
  <c r="E29" i="11"/>
  <c r="B29" i="11"/>
  <c r="K28" i="11"/>
  <c r="H28" i="11"/>
  <c r="E28" i="11"/>
  <c r="B28" i="11"/>
  <c r="K27" i="11"/>
  <c r="H27" i="11"/>
  <c r="E27" i="11"/>
  <c r="B27" i="11"/>
  <c r="K26" i="11"/>
  <c r="H26" i="11"/>
  <c r="E26" i="11"/>
  <c r="B26" i="11"/>
  <c r="K25" i="11"/>
  <c r="H25" i="11"/>
  <c r="E25" i="11"/>
  <c r="B25" i="11"/>
  <c r="K24" i="11"/>
  <c r="H24" i="11"/>
  <c r="E24" i="11"/>
  <c r="B24" i="11"/>
  <c r="K23" i="11"/>
  <c r="H23" i="11"/>
  <c r="E23" i="11"/>
  <c r="B23" i="11"/>
  <c r="K22" i="11"/>
  <c r="H22" i="11"/>
  <c r="E22" i="11"/>
  <c r="B22" i="11"/>
  <c r="K21" i="11"/>
  <c r="H21" i="11"/>
  <c r="E21" i="11"/>
  <c r="B21" i="11"/>
  <c r="K20" i="11"/>
  <c r="H20" i="11"/>
  <c r="E20" i="11"/>
  <c r="B20" i="11"/>
  <c r="K19" i="11"/>
  <c r="H19" i="11"/>
  <c r="E19" i="11"/>
  <c r="B19" i="11"/>
  <c r="K18" i="11"/>
  <c r="H18" i="11"/>
  <c r="E18" i="11"/>
  <c r="B18" i="11"/>
  <c r="K17" i="11"/>
  <c r="H17" i="11"/>
  <c r="E17" i="11"/>
  <c r="B17" i="11"/>
  <c r="K16" i="11"/>
  <c r="H16" i="11"/>
  <c r="E16" i="11"/>
  <c r="B16" i="11"/>
  <c r="K15" i="11"/>
  <c r="H15" i="11"/>
  <c r="E15" i="11"/>
  <c r="B15" i="11"/>
  <c r="K14" i="11"/>
  <c r="H14" i="11"/>
  <c r="E14" i="11"/>
  <c r="B14" i="11"/>
  <c r="K13" i="11"/>
  <c r="H13" i="11"/>
  <c r="E13" i="11"/>
  <c r="B13" i="11"/>
  <c r="K12" i="11"/>
  <c r="H12" i="11"/>
  <c r="E12" i="11"/>
  <c r="B12" i="11"/>
  <c r="K11" i="11"/>
  <c r="H11" i="11"/>
  <c r="E11" i="11"/>
  <c r="B11" i="11"/>
  <c r="K10" i="11"/>
  <c r="H10" i="11"/>
  <c r="E10" i="11"/>
  <c r="B10" i="11"/>
  <c r="K9" i="11"/>
  <c r="H9" i="11"/>
  <c r="E9" i="11"/>
  <c r="B9" i="11"/>
  <c r="K8" i="11"/>
  <c r="H8" i="11"/>
  <c r="E8" i="11"/>
  <c r="B8" i="11"/>
  <c r="K7" i="11"/>
  <c r="H7" i="11"/>
  <c r="E7" i="11"/>
  <c r="B7" i="11"/>
  <c r="K6" i="11"/>
  <c r="H6" i="11"/>
  <c r="E6" i="11"/>
  <c r="B6" i="11"/>
  <c r="K5" i="11"/>
  <c r="H5" i="11"/>
  <c r="E5" i="11"/>
  <c r="B5" i="11"/>
  <c r="AB35" i="16"/>
  <c r="AB34" i="16"/>
  <c r="AB33" i="16"/>
  <c r="AB32" i="16"/>
  <c r="AB31" i="16"/>
  <c r="AB30" i="16"/>
  <c r="AB29" i="16"/>
  <c r="AB28" i="16"/>
  <c r="AB27" i="16"/>
  <c r="AB26" i="16"/>
  <c r="AB25" i="16"/>
  <c r="AB24" i="16"/>
  <c r="AB23" i="16"/>
  <c r="AB22" i="16"/>
  <c r="AB21" i="16"/>
  <c r="AB20" i="16"/>
  <c r="AB19" i="16"/>
  <c r="AB18" i="16"/>
  <c r="AB17" i="16"/>
  <c r="AB16" i="16"/>
  <c r="AB15" i="16"/>
  <c r="AB14" i="16"/>
  <c r="AB13" i="16"/>
  <c r="AB12" i="16"/>
  <c r="AB11" i="16"/>
  <c r="AB10" i="16"/>
  <c r="AB9" i="16"/>
  <c r="AB8" i="16"/>
  <c r="AB7" i="16"/>
  <c r="AB6" i="16"/>
  <c r="AB5" i="16"/>
  <c r="X35" i="16"/>
  <c r="U35" i="16"/>
  <c r="R35" i="16"/>
  <c r="O35" i="16"/>
  <c r="X34" i="16"/>
  <c r="U34" i="16"/>
  <c r="R34" i="16"/>
  <c r="O34" i="16"/>
  <c r="X33" i="16"/>
  <c r="U33" i="16"/>
  <c r="R33" i="16"/>
  <c r="O33" i="16"/>
  <c r="X32" i="16"/>
  <c r="U32" i="16"/>
  <c r="R32" i="16"/>
  <c r="O32" i="16"/>
  <c r="X31" i="16"/>
  <c r="U31" i="16"/>
  <c r="R31" i="16"/>
  <c r="O31" i="16"/>
  <c r="X30" i="16"/>
  <c r="U30" i="16"/>
  <c r="R30" i="16"/>
  <c r="O30" i="16"/>
  <c r="X29" i="16"/>
  <c r="U29" i="16"/>
  <c r="R29" i="16"/>
  <c r="O29" i="16"/>
  <c r="X28" i="16"/>
  <c r="U28" i="16"/>
  <c r="R28" i="16"/>
  <c r="O28" i="16"/>
  <c r="X27" i="16"/>
  <c r="U27" i="16"/>
  <c r="R27" i="16"/>
  <c r="O27" i="16"/>
  <c r="X26" i="16"/>
  <c r="U26" i="16"/>
  <c r="R26" i="16"/>
  <c r="O26" i="16"/>
  <c r="X25" i="16"/>
  <c r="U25" i="16"/>
  <c r="R25" i="16"/>
  <c r="O25" i="16"/>
  <c r="X24" i="16"/>
  <c r="U24" i="16"/>
  <c r="R24" i="16"/>
  <c r="O24" i="16"/>
  <c r="X23" i="16"/>
  <c r="U23" i="16"/>
  <c r="R23" i="16"/>
  <c r="O23" i="16"/>
  <c r="X22" i="16"/>
  <c r="U22" i="16"/>
  <c r="R22" i="16"/>
  <c r="O22" i="16"/>
  <c r="X21" i="16"/>
  <c r="U21" i="16"/>
  <c r="R21" i="16"/>
  <c r="O21" i="16"/>
  <c r="X20" i="16"/>
  <c r="U20" i="16"/>
  <c r="R20" i="16"/>
  <c r="O20" i="16"/>
  <c r="X19" i="16"/>
  <c r="U19" i="16"/>
  <c r="R19" i="16"/>
  <c r="O19" i="16"/>
  <c r="X18" i="16"/>
  <c r="U18" i="16"/>
  <c r="R18" i="16"/>
  <c r="O18" i="16"/>
  <c r="X17" i="16"/>
  <c r="U17" i="16"/>
  <c r="R17" i="16"/>
  <c r="O17" i="16"/>
  <c r="X16" i="16"/>
  <c r="U16" i="16"/>
  <c r="R16" i="16"/>
  <c r="O16" i="16"/>
  <c r="X15" i="16"/>
  <c r="U15" i="16"/>
  <c r="R15" i="16"/>
  <c r="O15" i="16"/>
  <c r="X14" i="16"/>
  <c r="U14" i="16"/>
  <c r="R14" i="16"/>
  <c r="O14" i="16"/>
  <c r="X13" i="16"/>
  <c r="U13" i="16"/>
  <c r="R13" i="16"/>
  <c r="O13" i="16"/>
  <c r="X12" i="16"/>
  <c r="U12" i="16"/>
  <c r="R12" i="16"/>
  <c r="O12" i="16"/>
  <c r="X11" i="16"/>
  <c r="U11" i="16"/>
  <c r="R11" i="16"/>
  <c r="O11" i="16"/>
  <c r="X10" i="16"/>
  <c r="U10" i="16"/>
  <c r="R10" i="16"/>
  <c r="O10" i="16"/>
  <c r="X9" i="16"/>
  <c r="U9" i="16"/>
  <c r="R9" i="16"/>
  <c r="O9" i="16"/>
  <c r="X8" i="16"/>
  <c r="U8" i="16"/>
  <c r="R8" i="16"/>
  <c r="O8" i="16"/>
  <c r="X7" i="16"/>
  <c r="U7" i="16"/>
  <c r="R7" i="16"/>
  <c r="O7" i="16"/>
  <c r="X6" i="16"/>
  <c r="U6" i="16"/>
  <c r="R6" i="16"/>
  <c r="O6" i="16"/>
  <c r="X5" i="16"/>
  <c r="U5" i="16"/>
  <c r="R5" i="16"/>
  <c r="O5" i="16"/>
  <c r="K35" i="16"/>
  <c r="H35" i="16"/>
  <c r="E35" i="16"/>
  <c r="B35" i="16"/>
  <c r="K34" i="16"/>
  <c r="H34" i="16"/>
  <c r="E34" i="16"/>
  <c r="B34" i="16"/>
  <c r="K33" i="16"/>
  <c r="H33" i="16"/>
  <c r="E33" i="16"/>
  <c r="B33" i="16"/>
  <c r="K32" i="16"/>
  <c r="H32" i="16"/>
  <c r="E32" i="16"/>
  <c r="B32" i="16"/>
  <c r="K31" i="16"/>
  <c r="H31" i="16"/>
  <c r="E31" i="16"/>
  <c r="B31" i="16"/>
  <c r="K30" i="16"/>
  <c r="H30" i="16"/>
  <c r="E30" i="16"/>
  <c r="B30" i="16"/>
  <c r="K29" i="16"/>
  <c r="H29" i="16"/>
  <c r="E29" i="16"/>
  <c r="B29" i="16"/>
  <c r="K28" i="16"/>
  <c r="H28" i="16"/>
  <c r="E28" i="16"/>
  <c r="B28" i="16"/>
  <c r="K27" i="16"/>
  <c r="H27" i="16"/>
  <c r="E27" i="16"/>
  <c r="B27" i="16"/>
  <c r="K26" i="16"/>
  <c r="H26" i="16"/>
  <c r="E26" i="16"/>
  <c r="B26" i="16"/>
  <c r="K25" i="16"/>
  <c r="H25" i="16"/>
  <c r="E25" i="16"/>
  <c r="B25" i="16"/>
  <c r="K24" i="16"/>
  <c r="H24" i="16"/>
  <c r="E24" i="16"/>
  <c r="B24" i="16"/>
  <c r="K23" i="16"/>
  <c r="H23" i="16"/>
  <c r="E23" i="16"/>
  <c r="B23" i="16"/>
  <c r="K22" i="16"/>
  <c r="H22" i="16"/>
  <c r="E22" i="16"/>
  <c r="B22" i="16"/>
  <c r="K21" i="16"/>
  <c r="H21" i="16"/>
  <c r="E21" i="16"/>
  <c r="B21" i="16"/>
  <c r="K20" i="16"/>
  <c r="H20" i="16"/>
  <c r="E20" i="16"/>
  <c r="B20" i="16"/>
  <c r="K19" i="16"/>
  <c r="H19" i="16"/>
  <c r="E19" i="16"/>
  <c r="B19" i="16"/>
  <c r="K18" i="16"/>
  <c r="H18" i="16"/>
  <c r="E18" i="16"/>
  <c r="B18" i="16"/>
  <c r="K17" i="16"/>
  <c r="H17" i="16"/>
  <c r="E17" i="16"/>
  <c r="B17" i="16"/>
  <c r="K16" i="16"/>
  <c r="H16" i="16"/>
  <c r="E16" i="16"/>
  <c r="B16" i="16"/>
  <c r="K15" i="16"/>
  <c r="H15" i="16"/>
  <c r="E15" i="16"/>
  <c r="B15" i="16"/>
  <c r="K14" i="16"/>
  <c r="H14" i="16"/>
  <c r="E14" i="16"/>
  <c r="B14" i="16"/>
  <c r="K13" i="16"/>
  <c r="H13" i="16"/>
  <c r="E13" i="16"/>
  <c r="B13" i="16"/>
  <c r="K12" i="16"/>
  <c r="H12" i="16"/>
  <c r="E12" i="16"/>
  <c r="B12" i="16"/>
  <c r="K11" i="16"/>
  <c r="H11" i="16"/>
  <c r="E11" i="16"/>
  <c r="B11" i="16"/>
  <c r="K10" i="16"/>
  <c r="H10" i="16"/>
  <c r="E10" i="16"/>
  <c r="B10" i="16"/>
  <c r="K9" i="16"/>
  <c r="H9" i="16"/>
  <c r="E9" i="16"/>
  <c r="B9" i="16"/>
  <c r="K8" i="16"/>
  <c r="H8" i="16"/>
  <c r="E8" i="16"/>
  <c r="B8" i="16"/>
  <c r="K7" i="16"/>
  <c r="H7" i="16"/>
  <c r="E7" i="16"/>
  <c r="B7" i="16"/>
  <c r="K6" i="16"/>
  <c r="H6" i="16"/>
  <c r="E6" i="16"/>
  <c r="B6" i="16"/>
  <c r="K5" i="16"/>
  <c r="H5" i="16"/>
  <c r="E5" i="16"/>
  <c r="B5" i="16"/>
  <c r="X34" i="9"/>
  <c r="U34" i="9"/>
  <c r="R34" i="9"/>
  <c r="O34" i="9"/>
  <c r="X33" i="9"/>
  <c r="U33" i="9"/>
  <c r="R33" i="9"/>
  <c r="O33" i="9"/>
  <c r="X32" i="9"/>
  <c r="U32" i="9"/>
  <c r="R32" i="9"/>
  <c r="O32" i="9"/>
  <c r="X31" i="9"/>
  <c r="U31" i="9"/>
  <c r="R31" i="9"/>
  <c r="O31" i="9"/>
  <c r="X30" i="9"/>
  <c r="U30" i="9"/>
  <c r="R30" i="9"/>
  <c r="O30" i="9"/>
  <c r="X29" i="9"/>
  <c r="U29" i="9"/>
  <c r="R29" i="9"/>
  <c r="O29" i="9"/>
  <c r="X28" i="9"/>
  <c r="U28" i="9"/>
  <c r="R28" i="9"/>
  <c r="O28" i="9"/>
  <c r="X27" i="9"/>
  <c r="U27" i="9"/>
  <c r="R27" i="9"/>
  <c r="O27" i="9"/>
  <c r="X26" i="9"/>
  <c r="U26" i="9"/>
  <c r="R26" i="9"/>
  <c r="O26" i="9"/>
  <c r="X25" i="9"/>
  <c r="U25" i="9"/>
  <c r="R25" i="9"/>
  <c r="O25" i="9"/>
  <c r="X24" i="9"/>
  <c r="U24" i="9"/>
  <c r="R24" i="9"/>
  <c r="O24" i="9"/>
  <c r="X23" i="9"/>
  <c r="U23" i="9"/>
  <c r="R23" i="9"/>
  <c r="O23" i="9"/>
  <c r="X22" i="9"/>
  <c r="U22" i="9"/>
  <c r="R22" i="9"/>
  <c r="O22" i="9"/>
  <c r="X21" i="9"/>
  <c r="U21" i="9"/>
  <c r="R21" i="9"/>
  <c r="O21" i="9"/>
  <c r="X20" i="9"/>
  <c r="U20" i="9"/>
  <c r="R20" i="9"/>
  <c r="O20" i="9"/>
  <c r="X19" i="9"/>
  <c r="U19" i="9"/>
  <c r="R19" i="9"/>
  <c r="O19" i="9"/>
  <c r="X18" i="9"/>
  <c r="U18" i="9"/>
  <c r="R18" i="9"/>
  <c r="O18" i="9"/>
  <c r="X17" i="9"/>
  <c r="U17" i="9"/>
  <c r="R17" i="9"/>
  <c r="O17" i="9"/>
  <c r="X16" i="9"/>
  <c r="U16" i="9"/>
  <c r="R16" i="9"/>
  <c r="O16" i="9"/>
  <c r="X15" i="9"/>
  <c r="U15" i="9"/>
  <c r="R15" i="9"/>
  <c r="O15" i="9"/>
  <c r="X14" i="9"/>
  <c r="U14" i="9"/>
  <c r="R14" i="9"/>
  <c r="O14" i="9"/>
  <c r="X13" i="9"/>
  <c r="U13" i="9"/>
  <c r="R13" i="9"/>
  <c r="O13" i="9"/>
  <c r="X12" i="9"/>
  <c r="U12" i="9"/>
  <c r="R12" i="9"/>
  <c r="O12" i="9"/>
  <c r="X11" i="9"/>
  <c r="U11" i="9"/>
  <c r="R11" i="9"/>
  <c r="O11" i="9"/>
  <c r="X10" i="9"/>
  <c r="U10" i="9"/>
  <c r="R10" i="9"/>
  <c r="O10" i="9"/>
  <c r="X9" i="9"/>
  <c r="U9" i="9"/>
  <c r="R9" i="9"/>
  <c r="O9" i="9"/>
  <c r="X8" i="9"/>
  <c r="U8" i="9"/>
  <c r="R8" i="9"/>
  <c r="O8" i="9"/>
  <c r="X7" i="9"/>
  <c r="U7" i="9"/>
  <c r="R7" i="9"/>
  <c r="O7" i="9"/>
  <c r="X6" i="9"/>
  <c r="U6" i="9"/>
  <c r="R6" i="9"/>
  <c r="O6" i="9"/>
  <c r="X5" i="9"/>
  <c r="U5" i="9"/>
  <c r="R5" i="9"/>
  <c r="O5" i="9"/>
  <c r="K34" i="9"/>
  <c r="H34" i="9"/>
  <c r="E34" i="9"/>
  <c r="B34" i="9"/>
  <c r="K33" i="9"/>
  <c r="H33" i="9"/>
  <c r="E33" i="9"/>
  <c r="B33" i="9"/>
  <c r="K32" i="9"/>
  <c r="H32" i="9"/>
  <c r="E32" i="9"/>
  <c r="B32" i="9"/>
  <c r="K31" i="9"/>
  <c r="H31" i="9"/>
  <c r="E31" i="9"/>
  <c r="B31" i="9"/>
  <c r="K30" i="9"/>
  <c r="H30" i="9"/>
  <c r="E30" i="9"/>
  <c r="B30" i="9"/>
  <c r="K29" i="9"/>
  <c r="H29" i="9"/>
  <c r="E29" i="9"/>
  <c r="B29" i="9"/>
  <c r="K28" i="9"/>
  <c r="H28" i="9"/>
  <c r="E28" i="9"/>
  <c r="B28" i="9"/>
  <c r="K27" i="9"/>
  <c r="H27" i="9"/>
  <c r="E27" i="9"/>
  <c r="B27" i="9"/>
  <c r="K26" i="9"/>
  <c r="H26" i="9"/>
  <c r="E26" i="9"/>
  <c r="B26" i="9"/>
  <c r="K25" i="9"/>
  <c r="H25" i="9"/>
  <c r="E25" i="9"/>
  <c r="B25" i="9"/>
  <c r="K24" i="9"/>
  <c r="H24" i="9"/>
  <c r="E24" i="9"/>
  <c r="B24" i="9"/>
  <c r="K23" i="9"/>
  <c r="H23" i="9"/>
  <c r="E23" i="9"/>
  <c r="B23" i="9"/>
  <c r="K22" i="9"/>
  <c r="H22" i="9"/>
  <c r="E22" i="9"/>
  <c r="B22" i="9"/>
  <c r="K21" i="9"/>
  <c r="H21" i="9"/>
  <c r="E21" i="9"/>
  <c r="B21" i="9"/>
  <c r="K20" i="9"/>
  <c r="H20" i="9"/>
  <c r="E20" i="9"/>
  <c r="B20" i="9"/>
  <c r="K19" i="9"/>
  <c r="H19" i="9"/>
  <c r="E19" i="9"/>
  <c r="B19" i="9"/>
  <c r="K18" i="9"/>
  <c r="H18" i="9"/>
  <c r="E18" i="9"/>
  <c r="B18" i="9"/>
  <c r="K17" i="9"/>
  <c r="H17" i="9"/>
  <c r="E17" i="9"/>
  <c r="B17" i="9"/>
  <c r="K16" i="9"/>
  <c r="H16" i="9"/>
  <c r="E16" i="9"/>
  <c r="B16" i="9"/>
  <c r="K15" i="9"/>
  <c r="H15" i="9"/>
  <c r="E15" i="9"/>
  <c r="B15" i="9"/>
  <c r="K14" i="9"/>
  <c r="H14" i="9"/>
  <c r="E14" i="9"/>
  <c r="B14" i="9"/>
  <c r="K13" i="9"/>
  <c r="H13" i="9"/>
  <c r="E13" i="9"/>
  <c r="B13" i="9"/>
  <c r="K12" i="9"/>
  <c r="H12" i="9"/>
  <c r="E12" i="9"/>
  <c r="B12" i="9"/>
  <c r="K11" i="9"/>
  <c r="H11" i="9"/>
  <c r="E11" i="9"/>
  <c r="B11" i="9"/>
  <c r="K10" i="9"/>
  <c r="H10" i="9"/>
  <c r="E10" i="9"/>
  <c r="B10" i="9"/>
  <c r="K9" i="9"/>
  <c r="H9" i="9"/>
  <c r="E9" i="9"/>
  <c r="B9" i="9"/>
  <c r="K8" i="9"/>
  <c r="H8" i="9"/>
  <c r="E8" i="9"/>
  <c r="B8" i="9"/>
  <c r="K7" i="9"/>
  <c r="H7" i="9"/>
  <c r="E7" i="9"/>
  <c r="B7" i="9"/>
  <c r="K6" i="9"/>
  <c r="H6" i="9"/>
  <c r="E6" i="9"/>
  <c r="B6" i="9"/>
  <c r="K5" i="9"/>
  <c r="H5" i="9"/>
  <c r="E5" i="9"/>
  <c r="B5" i="9"/>
  <c r="O33" i="4" l="1"/>
  <c r="P33" i="4" s="1"/>
  <c r="Q33" i="4" s="1"/>
  <c r="R33" i="4"/>
  <c r="S33" i="4" s="1"/>
  <c r="T33" i="4" s="1"/>
  <c r="U33" i="4"/>
  <c r="V33" i="4" s="1"/>
  <c r="W33" i="4" s="1"/>
  <c r="X33" i="4"/>
  <c r="Y33" i="4" s="1"/>
  <c r="Z33" i="4" s="1"/>
  <c r="B33" i="4"/>
  <c r="C33" i="4" s="1"/>
  <c r="D33" i="4" s="1"/>
  <c r="E33" i="4"/>
  <c r="F33" i="4" s="1"/>
  <c r="G33" i="4" s="1"/>
  <c r="H33" i="4"/>
  <c r="I33" i="4" s="1"/>
  <c r="J33" i="4" s="1"/>
  <c r="K33" i="4"/>
  <c r="L33" i="4" s="1"/>
  <c r="M33" i="4" s="1"/>
  <c r="AD33" i="4" l="1"/>
  <c r="AC33" i="4"/>
  <c r="AB33" i="4"/>
  <c r="X35" i="8" l="1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L31" i="8" s="1"/>
  <c r="H31" i="8"/>
  <c r="E31" i="8"/>
  <c r="B31" i="8"/>
  <c r="K30" i="8"/>
  <c r="L30" i="8" s="1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K34" i="7"/>
  <c r="H34" i="7"/>
  <c r="E34" i="7"/>
  <c r="B34" i="7"/>
  <c r="K33" i="7"/>
  <c r="H33" i="7"/>
  <c r="E33" i="7"/>
  <c r="B33" i="7"/>
  <c r="K32" i="7"/>
  <c r="H32" i="7"/>
  <c r="E32" i="7"/>
  <c r="B32" i="7"/>
  <c r="K31" i="7"/>
  <c r="H31" i="7"/>
  <c r="E31" i="7"/>
  <c r="B31" i="7"/>
  <c r="K30" i="7"/>
  <c r="H30" i="7"/>
  <c r="E30" i="7"/>
  <c r="B30" i="7"/>
  <c r="K29" i="7"/>
  <c r="H29" i="7"/>
  <c r="E29" i="7"/>
  <c r="B29" i="7"/>
  <c r="K28" i="7"/>
  <c r="H28" i="7"/>
  <c r="E28" i="7"/>
  <c r="B28" i="7"/>
  <c r="K27" i="7"/>
  <c r="H27" i="7"/>
  <c r="E27" i="7"/>
  <c r="B27" i="7"/>
  <c r="K26" i="7"/>
  <c r="H26" i="7"/>
  <c r="E26" i="7"/>
  <c r="B26" i="7"/>
  <c r="K25" i="7"/>
  <c r="H25" i="7"/>
  <c r="E25" i="7"/>
  <c r="B25" i="7"/>
  <c r="K24" i="7"/>
  <c r="H24" i="7"/>
  <c r="E24" i="7"/>
  <c r="B24" i="7"/>
  <c r="K23" i="7"/>
  <c r="H23" i="7"/>
  <c r="E23" i="7"/>
  <c r="B23" i="7"/>
  <c r="K22" i="7"/>
  <c r="H22" i="7"/>
  <c r="E22" i="7"/>
  <c r="B22" i="7"/>
  <c r="K21" i="7"/>
  <c r="H21" i="7"/>
  <c r="E21" i="7"/>
  <c r="B21" i="7"/>
  <c r="K20" i="7"/>
  <c r="H20" i="7"/>
  <c r="E20" i="7"/>
  <c r="B20" i="7"/>
  <c r="K19" i="7"/>
  <c r="H19" i="7"/>
  <c r="E19" i="7"/>
  <c r="B19" i="7"/>
  <c r="K18" i="7"/>
  <c r="H18" i="7"/>
  <c r="E18" i="7"/>
  <c r="B18" i="7"/>
  <c r="K17" i="7"/>
  <c r="H17" i="7"/>
  <c r="E17" i="7"/>
  <c r="B17" i="7"/>
  <c r="K16" i="7"/>
  <c r="H16" i="7"/>
  <c r="E16" i="7"/>
  <c r="B16" i="7"/>
  <c r="K15" i="7"/>
  <c r="H15" i="7"/>
  <c r="E15" i="7"/>
  <c r="B15" i="7"/>
  <c r="K14" i="7"/>
  <c r="H14" i="7"/>
  <c r="E14" i="7"/>
  <c r="B14" i="7"/>
  <c r="K13" i="7"/>
  <c r="H13" i="7"/>
  <c r="E13" i="7"/>
  <c r="B13" i="7"/>
  <c r="K12" i="7"/>
  <c r="H12" i="7"/>
  <c r="E12" i="7"/>
  <c r="B12" i="7"/>
  <c r="K11" i="7"/>
  <c r="H11" i="7"/>
  <c r="E11" i="7"/>
  <c r="B11" i="7"/>
  <c r="K10" i="7"/>
  <c r="H10" i="7"/>
  <c r="E10" i="7"/>
  <c r="B10" i="7"/>
  <c r="K9" i="7"/>
  <c r="H9" i="7"/>
  <c r="E9" i="7"/>
  <c r="B9" i="7"/>
  <c r="K8" i="7"/>
  <c r="H8" i="7"/>
  <c r="E8" i="7"/>
  <c r="B8" i="7"/>
  <c r="K7" i="7"/>
  <c r="H7" i="7"/>
  <c r="E7" i="7"/>
  <c r="B7" i="7"/>
  <c r="K6" i="7"/>
  <c r="H6" i="7"/>
  <c r="E6" i="7"/>
  <c r="B6" i="7"/>
  <c r="K5" i="7"/>
  <c r="H5" i="7"/>
  <c r="E5" i="7"/>
  <c r="B5" i="7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X32" i="4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E35" i="1"/>
  <c r="B35" i="1"/>
  <c r="K34" i="1"/>
  <c r="H34" i="1"/>
  <c r="B34" i="1"/>
  <c r="K33" i="1"/>
  <c r="H33" i="1"/>
  <c r="E33" i="1"/>
  <c r="B33" i="1"/>
  <c r="K32" i="1"/>
  <c r="H32" i="1"/>
  <c r="E32" i="1"/>
  <c r="B32" i="1"/>
  <c r="K31" i="1"/>
  <c r="H31" i="1"/>
  <c r="E31" i="1"/>
  <c r="B31" i="1"/>
  <c r="K30" i="1"/>
  <c r="H30" i="1"/>
  <c r="E30" i="1"/>
  <c r="B30" i="1"/>
  <c r="K29" i="1"/>
  <c r="H29" i="1"/>
  <c r="E29" i="1"/>
  <c r="B29" i="1"/>
  <c r="K28" i="1"/>
  <c r="H28" i="1"/>
  <c r="E28" i="1"/>
  <c r="B28" i="1"/>
  <c r="K27" i="1"/>
  <c r="H27" i="1"/>
  <c r="E27" i="1"/>
  <c r="B27" i="1"/>
  <c r="K26" i="1"/>
  <c r="H26" i="1"/>
  <c r="E26" i="1"/>
  <c r="B26" i="1"/>
  <c r="K25" i="1"/>
  <c r="H25" i="1"/>
  <c r="E25" i="1"/>
  <c r="B25" i="1"/>
  <c r="K24" i="1"/>
  <c r="H24" i="1"/>
  <c r="E24" i="1"/>
  <c r="B24" i="1"/>
  <c r="K23" i="1"/>
  <c r="H23" i="1"/>
  <c r="E23" i="1"/>
  <c r="B23" i="1"/>
  <c r="K22" i="1"/>
  <c r="H22" i="1"/>
  <c r="E22" i="1"/>
  <c r="B22" i="1"/>
  <c r="K21" i="1"/>
  <c r="H21" i="1"/>
  <c r="E21" i="1"/>
  <c r="B21" i="1"/>
  <c r="K20" i="1"/>
  <c r="H20" i="1"/>
  <c r="E20" i="1"/>
  <c r="B20" i="1"/>
  <c r="K19" i="1"/>
  <c r="H19" i="1"/>
  <c r="E19" i="1"/>
  <c r="B19" i="1"/>
  <c r="K18" i="1"/>
  <c r="H18" i="1"/>
  <c r="E18" i="1"/>
  <c r="B18" i="1"/>
  <c r="K17" i="1"/>
  <c r="H17" i="1"/>
  <c r="E17" i="1"/>
  <c r="B17" i="1"/>
  <c r="K16" i="1"/>
  <c r="H16" i="1"/>
  <c r="E16" i="1"/>
  <c r="B16" i="1"/>
  <c r="K15" i="1"/>
  <c r="H15" i="1"/>
  <c r="E15" i="1"/>
  <c r="B15" i="1"/>
  <c r="K14" i="1"/>
  <c r="H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X35" i="13" l="1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H34" i="14"/>
  <c r="E34" i="14"/>
  <c r="B34" i="14"/>
  <c r="K33" i="14"/>
  <c r="H33" i="14"/>
  <c r="E33" i="14"/>
  <c r="B33" i="14"/>
  <c r="K32" i="14"/>
  <c r="H32" i="14"/>
  <c r="E32" i="14"/>
  <c r="B32" i="14"/>
  <c r="K31" i="14"/>
  <c r="H31" i="14"/>
  <c r="E31" i="14"/>
  <c r="B31" i="14"/>
  <c r="K30" i="14"/>
  <c r="H30" i="14"/>
  <c r="E30" i="14"/>
  <c r="B30" i="14"/>
  <c r="K29" i="14"/>
  <c r="H29" i="14"/>
  <c r="E29" i="14"/>
  <c r="B29" i="14"/>
  <c r="K28" i="14"/>
  <c r="H28" i="14"/>
  <c r="E28" i="14"/>
  <c r="B28" i="14"/>
  <c r="K27" i="14"/>
  <c r="H27" i="14"/>
  <c r="E27" i="14"/>
  <c r="B27" i="14"/>
  <c r="K26" i="14"/>
  <c r="H26" i="14"/>
  <c r="E26" i="14"/>
  <c r="B26" i="14"/>
  <c r="K25" i="14"/>
  <c r="H25" i="14"/>
  <c r="E25" i="14"/>
  <c r="B25" i="14"/>
  <c r="K24" i="14"/>
  <c r="H24" i="14"/>
  <c r="E24" i="14"/>
  <c r="B24" i="14"/>
  <c r="K23" i="14"/>
  <c r="H23" i="14"/>
  <c r="E23" i="14"/>
  <c r="B23" i="14"/>
  <c r="K22" i="14"/>
  <c r="H22" i="14"/>
  <c r="E22" i="14"/>
  <c r="B22" i="14"/>
  <c r="K21" i="14"/>
  <c r="H21" i="14"/>
  <c r="E21" i="14"/>
  <c r="B21" i="14"/>
  <c r="K20" i="14"/>
  <c r="H20" i="14"/>
  <c r="E20" i="14"/>
  <c r="B20" i="14"/>
  <c r="K19" i="14"/>
  <c r="H19" i="14"/>
  <c r="E19" i="14"/>
  <c r="B19" i="14"/>
  <c r="K18" i="14"/>
  <c r="H18" i="14"/>
  <c r="E18" i="14"/>
  <c r="B18" i="14"/>
  <c r="K17" i="14"/>
  <c r="H17" i="14"/>
  <c r="E17" i="14"/>
  <c r="B17" i="14"/>
  <c r="K16" i="14"/>
  <c r="H16" i="14"/>
  <c r="E16" i="14"/>
  <c r="B16" i="14"/>
  <c r="K15" i="14"/>
  <c r="H15" i="14"/>
  <c r="E15" i="14"/>
  <c r="B15" i="14"/>
  <c r="K14" i="14"/>
  <c r="H14" i="14"/>
  <c r="E14" i="14"/>
  <c r="B14" i="14"/>
  <c r="K13" i="14"/>
  <c r="H13" i="14"/>
  <c r="E13" i="14"/>
  <c r="B13" i="14"/>
  <c r="K12" i="14"/>
  <c r="H12" i="14"/>
  <c r="E12" i="14"/>
  <c r="B12" i="14"/>
  <c r="K11" i="14"/>
  <c r="H11" i="14"/>
  <c r="E11" i="14"/>
  <c r="B11" i="14"/>
  <c r="K10" i="14"/>
  <c r="H10" i="14"/>
  <c r="E10" i="14"/>
  <c r="B10" i="14"/>
  <c r="K9" i="14"/>
  <c r="H9" i="14"/>
  <c r="E9" i="14"/>
  <c r="B9" i="14"/>
  <c r="K8" i="14"/>
  <c r="H8" i="14"/>
  <c r="E8" i="14"/>
  <c r="B8" i="14"/>
  <c r="K7" i="14"/>
  <c r="H7" i="14"/>
  <c r="E7" i="14"/>
  <c r="B7" i="14"/>
  <c r="K6" i="14"/>
  <c r="H6" i="14"/>
  <c r="E6" i="14"/>
  <c r="B6" i="14"/>
  <c r="K5" i="14"/>
  <c r="H5" i="14"/>
  <c r="E5" i="14"/>
  <c r="B5" i="14"/>
  <c r="C5" i="16" l="1"/>
  <c r="D5" i="16" s="1"/>
  <c r="F5" i="16"/>
  <c r="G5" i="16" s="1"/>
  <c r="I5" i="16"/>
  <c r="J5" i="16" s="1"/>
  <c r="L5" i="16"/>
  <c r="M5" i="16" s="1"/>
  <c r="P5" i="16"/>
  <c r="S5" i="16"/>
  <c r="T5" i="16" s="1"/>
  <c r="V5" i="16"/>
  <c r="W5" i="16" s="1"/>
  <c r="Y5" i="16"/>
  <c r="Z5" i="16" s="1"/>
  <c r="AC5" i="16"/>
  <c r="AD5" i="16" s="1"/>
  <c r="C6" i="16"/>
  <c r="D6" i="16" s="1"/>
  <c r="F6" i="16"/>
  <c r="G6" i="16" s="1"/>
  <c r="I6" i="16"/>
  <c r="J6" i="16" s="1"/>
  <c r="L6" i="16"/>
  <c r="M6" i="16" s="1"/>
  <c r="P6" i="16"/>
  <c r="Q6" i="16" s="1"/>
  <c r="S6" i="16"/>
  <c r="T6" i="16" s="1"/>
  <c r="V6" i="16"/>
  <c r="W6" i="16" s="1"/>
  <c r="Y6" i="16"/>
  <c r="Z6" i="16" s="1"/>
  <c r="AC6" i="16"/>
  <c r="AD6" i="16" s="1"/>
  <c r="C7" i="16"/>
  <c r="D7" i="16" s="1"/>
  <c r="F7" i="16"/>
  <c r="G7" i="16" s="1"/>
  <c r="I7" i="16"/>
  <c r="J7" i="16" s="1"/>
  <c r="L7" i="16"/>
  <c r="M7" i="16" s="1"/>
  <c r="S7" i="16"/>
  <c r="T7" i="16" s="1"/>
  <c r="V7" i="16"/>
  <c r="W7" i="16" s="1"/>
  <c r="Y7" i="16"/>
  <c r="Z7" i="16" s="1"/>
  <c r="AC7" i="16"/>
  <c r="AD7" i="16" s="1"/>
  <c r="C8" i="16"/>
  <c r="D8" i="16" s="1"/>
  <c r="F8" i="16"/>
  <c r="G8" i="16" s="1"/>
  <c r="I8" i="16"/>
  <c r="J8" i="16" s="1"/>
  <c r="L8" i="16"/>
  <c r="M8" i="16" s="1"/>
  <c r="P8" i="16"/>
  <c r="Q8" i="16" s="1"/>
  <c r="S8" i="16"/>
  <c r="T8" i="16" s="1"/>
  <c r="V8" i="16"/>
  <c r="W8" i="16" s="1"/>
  <c r="Y8" i="16"/>
  <c r="Z8" i="16" s="1"/>
  <c r="AC8" i="16"/>
  <c r="AD8" i="16" s="1"/>
  <c r="C9" i="16"/>
  <c r="F9" i="16"/>
  <c r="G9" i="16" s="1"/>
  <c r="I9" i="16"/>
  <c r="J9" i="16" s="1"/>
  <c r="L9" i="16"/>
  <c r="M9" i="16" s="1"/>
  <c r="P9" i="16"/>
  <c r="Q9" i="16" s="1"/>
  <c r="S9" i="16"/>
  <c r="T9" i="16" s="1"/>
  <c r="V9" i="16"/>
  <c r="W9" i="16" s="1"/>
  <c r="Y9" i="16"/>
  <c r="Z9" i="16" s="1"/>
  <c r="AC9" i="16"/>
  <c r="AD9" i="16" s="1"/>
  <c r="C10" i="16"/>
  <c r="F10" i="16"/>
  <c r="G10" i="16" s="1"/>
  <c r="I10" i="16"/>
  <c r="J10" i="16" s="1"/>
  <c r="L10" i="16"/>
  <c r="M10" i="16" s="1"/>
  <c r="P10" i="16"/>
  <c r="Q10" i="16" s="1"/>
  <c r="S10" i="16"/>
  <c r="T10" i="16" s="1"/>
  <c r="V10" i="16"/>
  <c r="W10" i="16" s="1"/>
  <c r="Y10" i="16"/>
  <c r="Z10" i="16" s="1"/>
  <c r="AC10" i="16"/>
  <c r="AD10" i="16" s="1"/>
  <c r="C11" i="16"/>
  <c r="F11" i="16"/>
  <c r="G11" i="16" s="1"/>
  <c r="I11" i="16"/>
  <c r="J11" i="16" s="1"/>
  <c r="L11" i="16"/>
  <c r="M11" i="16" s="1"/>
  <c r="P11" i="16"/>
  <c r="Q11" i="16" s="1"/>
  <c r="S11" i="16"/>
  <c r="T11" i="16" s="1"/>
  <c r="V11" i="16"/>
  <c r="W11" i="16" s="1"/>
  <c r="Y11" i="16"/>
  <c r="Z11" i="16" s="1"/>
  <c r="AC11" i="16"/>
  <c r="AD11" i="16" s="1"/>
  <c r="C12" i="16"/>
  <c r="D12" i="16" s="1"/>
  <c r="F12" i="16"/>
  <c r="G12" i="16" s="1"/>
  <c r="I12" i="16"/>
  <c r="J12" i="16" s="1"/>
  <c r="L12" i="16"/>
  <c r="M12" i="16" s="1"/>
  <c r="P12" i="16"/>
  <c r="Q12" i="16" s="1"/>
  <c r="S12" i="16"/>
  <c r="T12" i="16" s="1"/>
  <c r="V12" i="16"/>
  <c r="W12" i="16" s="1"/>
  <c r="Y12" i="16"/>
  <c r="Z12" i="16" s="1"/>
  <c r="AC12" i="16"/>
  <c r="AD12" i="16" s="1"/>
  <c r="C13" i="16"/>
  <c r="F13" i="16"/>
  <c r="G13" i="16" s="1"/>
  <c r="I13" i="16"/>
  <c r="J13" i="16" s="1"/>
  <c r="L13" i="16"/>
  <c r="M13" i="16" s="1"/>
  <c r="P13" i="16"/>
  <c r="Q13" i="16" s="1"/>
  <c r="S13" i="16"/>
  <c r="T13" i="16" s="1"/>
  <c r="V13" i="16"/>
  <c r="W13" i="16" s="1"/>
  <c r="Y13" i="16"/>
  <c r="Z13" i="16" s="1"/>
  <c r="AC13" i="16"/>
  <c r="AD13" i="16" s="1"/>
  <c r="C14" i="16"/>
  <c r="D14" i="16" s="1"/>
  <c r="F14" i="16"/>
  <c r="G14" i="16" s="1"/>
  <c r="I14" i="16"/>
  <c r="J14" i="16" s="1"/>
  <c r="L14" i="16"/>
  <c r="M14" i="16" s="1"/>
  <c r="P14" i="16"/>
  <c r="Q14" i="16" s="1"/>
  <c r="S14" i="16"/>
  <c r="T14" i="16" s="1"/>
  <c r="V14" i="16"/>
  <c r="W14" i="16" s="1"/>
  <c r="Y14" i="16"/>
  <c r="Z14" i="16" s="1"/>
  <c r="AC14" i="16"/>
  <c r="AD14" i="16" s="1"/>
  <c r="C15" i="16"/>
  <c r="D15" i="16" s="1"/>
  <c r="F15" i="16"/>
  <c r="G15" i="16" s="1"/>
  <c r="I15" i="16"/>
  <c r="J15" i="16" s="1"/>
  <c r="L15" i="16"/>
  <c r="M15" i="16" s="1"/>
  <c r="AF15" i="16"/>
  <c r="S15" i="16"/>
  <c r="T15" i="16" s="1"/>
  <c r="V15" i="16"/>
  <c r="W15" i="16" s="1"/>
  <c r="Y15" i="16"/>
  <c r="Z15" i="16" s="1"/>
  <c r="AC15" i="16"/>
  <c r="AD15" i="16" s="1"/>
  <c r="C16" i="16"/>
  <c r="D16" i="16" s="1"/>
  <c r="F16" i="16"/>
  <c r="G16" i="16" s="1"/>
  <c r="I16" i="16"/>
  <c r="J16" i="16" s="1"/>
  <c r="L16" i="16"/>
  <c r="M16" i="16" s="1"/>
  <c r="P16" i="16"/>
  <c r="Q16" i="16" s="1"/>
  <c r="S16" i="16"/>
  <c r="T16" i="16" s="1"/>
  <c r="V16" i="16"/>
  <c r="W16" i="16" s="1"/>
  <c r="Y16" i="16"/>
  <c r="Z16" i="16" s="1"/>
  <c r="AC16" i="16"/>
  <c r="AD16" i="16" s="1"/>
  <c r="C17" i="16"/>
  <c r="F17" i="16"/>
  <c r="G17" i="16" s="1"/>
  <c r="I17" i="16"/>
  <c r="J17" i="16" s="1"/>
  <c r="L17" i="16"/>
  <c r="M17" i="16" s="1"/>
  <c r="P17" i="16"/>
  <c r="Q17" i="16" s="1"/>
  <c r="S17" i="16"/>
  <c r="T17" i="16" s="1"/>
  <c r="V17" i="16"/>
  <c r="W17" i="16" s="1"/>
  <c r="Y17" i="16"/>
  <c r="Z17" i="16" s="1"/>
  <c r="AC17" i="16"/>
  <c r="AD17" i="16" s="1"/>
  <c r="F18" i="16"/>
  <c r="G18" i="16" s="1"/>
  <c r="I18" i="16"/>
  <c r="J18" i="16" s="1"/>
  <c r="L18" i="16"/>
  <c r="M18" i="16" s="1"/>
  <c r="P18" i="16"/>
  <c r="Q18" i="16" s="1"/>
  <c r="S18" i="16"/>
  <c r="T18" i="16" s="1"/>
  <c r="V18" i="16"/>
  <c r="W18" i="16" s="1"/>
  <c r="Y18" i="16"/>
  <c r="Z18" i="16" s="1"/>
  <c r="AC18" i="16"/>
  <c r="AD18" i="16" s="1"/>
  <c r="C19" i="16"/>
  <c r="F19" i="16"/>
  <c r="G19" i="16" s="1"/>
  <c r="I19" i="16"/>
  <c r="J19" i="16" s="1"/>
  <c r="L19" i="16"/>
  <c r="M19" i="16" s="1"/>
  <c r="P19" i="16"/>
  <c r="Q19" i="16" s="1"/>
  <c r="S19" i="16"/>
  <c r="T19" i="16" s="1"/>
  <c r="V19" i="16"/>
  <c r="W19" i="16" s="1"/>
  <c r="Y19" i="16"/>
  <c r="Z19" i="16" s="1"/>
  <c r="AC19" i="16"/>
  <c r="AD19" i="16" s="1"/>
  <c r="C20" i="16"/>
  <c r="F20" i="16"/>
  <c r="G20" i="16" s="1"/>
  <c r="I20" i="16"/>
  <c r="J20" i="16" s="1"/>
  <c r="L20" i="16"/>
  <c r="M20" i="16" s="1"/>
  <c r="P20" i="16"/>
  <c r="Q20" i="16" s="1"/>
  <c r="S20" i="16"/>
  <c r="T20" i="16" s="1"/>
  <c r="V20" i="16"/>
  <c r="W20" i="16" s="1"/>
  <c r="Y20" i="16"/>
  <c r="Z20" i="16" s="1"/>
  <c r="AC20" i="16"/>
  <c r="AD20" i="16" s="1"/>
  <c r="F21" i="16"/>
  <c r="G21" i="16" s="1"/>
  <c r="I21" i="16"/>
  <c r="J21" i="16" s="1"/>
  <c r="L21" i="16"/>
  <c r="M21" i="16" s="1"/>
  <c r="P21" i="16"/>
  <c r="Q21" i="16" s="1"/>
  <c r="S21" i="16"/>
  <c r="T21" i="16" s="1"/>
  <c r="V21" i="16"/>
  <c r="W21" i="16" s="1"/>
  <c r="Y21" i="16"/>
  <c r="Z21" i="16" s="1"/>
  <c r="AC21" i="16"/>
  <c r="AD21" i="16" s="1"/>
  <c r="F22" i="16"/>
  <c r="G22" i="16" s="1"/>
  <c r="I22" i="16"/>
  <c r="J22" i="16" s="1"/>
  <c r="L22" i="16"/>
  <c r="M22" i="16" s="1"/>
  <c r="P22" i="16"/>
  <c r="Q22" i="16" s="1"/>
  <c r="S22" i="16"/>
  <c r="T22" i="16" s="1"/>
  <c r="V22" i="16"/>
  <c r="W22" i="16" s="1"/>
  <c r="Y22" i="16"/>
  <c r="Z22" i="16" s="1"/>
  <c r="AC22" i="16"/>
  <c r="AD22" i="16" s="1"/>
  <c r="C23" i="16"/>
  <c r="F23" i="16"/>
  <c r="G23" i="16" s="1"/>
  <c r="I23" i="16"/>
  <c r="J23" i="16" s="1"/>
  <c r="L23" i="16"/>
  <c r="M23" i="16" s="1"/>
  <c r="P23" i="16"/>
  <c r="Q23" i="16" s="1"/>
  <c r="S23" i="16"/>
  <c r="T23" i="16" s="1"/>
  <c r="V23" i="16"/>
  <c r="W23" i="16" s="1"/>
  <c r="Y23" i="16"/>
  <c r="Z23" i="16" s="1"/>
  <c r="AC23" i="16"/>
  <c r="AD23" i="16" s="1"/>
  <c r="F24" i="16"/>
  <c r="G24" i="16" s="1"/>
  <c r="I24" i="16"/>
  <c r="J24" i="16" s="1"/>
  <c r="L24" i="16"/>
  <c r="M24" i="16" s="1"/>
  <c r="P24" i="16"/>
  <c r="Q24" i="16" s="1"/>
  <c r="S24" i="16"/>
  <c r="T24" i="16" s="1"/>
  <c r="V24" i="16"/>
  <c r="W24" i="16" s="1"/>
  <c r="Y24" i="16"/>
  <c r="Z24" i="16" s="1"/>
  <c r="AC24" i="16"/>
  <c r="AD24" i="16" s="1"/>
  <c r="C25" i="16"/>
  <c r="F25" i="16"/>
  <c r="G25" i="16" s="1"/>
  <c r="I25" i="16"/>
  <c r="J25" i="16" s="1"/>
  <c r="L25" i="16"/>
  <c r="M25" i="16" s="1"/>
  <c r="P25" i="16"/>
  <c r="Q25" i="16" s="1"/>
  <c r="S25" i="16"/>
  <c r="T25" i="16" s="1"/>
  <c r="V25" i="16"/>
  <c r="W25" i="16" s="1"/>
  <c r="Y25" i="16"/>
  <c r="Z25" i="16" s="1"/>
  <c r="AC25" i="16"/>
  <c r="AD25" i="16" s="1"/>
  <c r="F26" i="16"/>
  <c r="G26" i="16" s="1"/>
  <c r="I26" i="16"/>
  <c r="J26" i="16" s="1"/>
  <c r="L26" i="16"/>
  <c r="M26" i="16" s="1"/>
  <c r="P26" i="16"/>
  <c r="Q26" i="16" s="1"/>
  <c r="S26" i="16"/>
  <c r="T26" i="16" s="1"/>
  <c r="V26" i="16"/>
  <c r="W26" i="16" s="1"/>
  <c r="Y26" i="16"/>
  <c r="Z26" i="16" s="1"/>
  <c r="AC26" i="16"/>
  <c r="AD26" i="16" s="1"/>
  <c r="C27" i="16"/>
  <c r="F27" i="16"/>
  <c r="G27" i="16" s="1"/>
  <c r="I27" i="16"/>
  <c r="L27" i="16"/>
  <c r="M27" i="16" s="1"/>
  <c r="P27" i="16"/>
  <c r="Q27" i="16" s="1"/>
  <c r="S27" i="16"/>
  <c r="T27" i="16" s="1"/>
  <c r="V27" i="16"/>
  <c r="W27" i="16" s="1"/>
  <c r="Y27" i="16"/>
  <c r="AC27" i="16"/>
  <c r="AD27" i="16" s="1"/>
  <c r="C28" i="16"/>
  <c r="D28" i="16" s="1"/>
  <c r="F28" i="16"/>
  <c r="I28" i="16"/>
  <c r="J28" i="16" s="1"/>
  <c r="L28" i="16"/>
  <c r="M28" i="16" s="1"/>
  <c r="P28" i="16"/>
  <c r="Q28" i="16" s="1"/>
  <c r="S28" i="16"/>
  <c r="T28" i="16" s="1"/>
  <c r="V28" i="16"/>
  <c r="Y28" i="16"/>
  <c r="Z28" i="16" s="1"/>
  <c r="AC28" i="16"/>
  <c r="AD28" i="16" s="1"/>
  <c r="C29" i="16"/>
  <c r="D29" i="16" s="1"/>
  <c r="F29" i="16"/>
  <c r="G29" i="16" s="1"/>
  <c r="I29" i="16"/>
  <c r="J29" i="16" s="1"/>
  <c r="L29" i="16"/>
  <c r="M29" i="16" s="1"/>
  <c r="P29" i="16"/>
  <c r="S29" i="16"/>
  <c r="T29" i="16" s="1"/>
  <c r="V29" i="16"/>
  <c r="W29" i="16" s="1"/>
  <c r="Y29" i="16"/>
  <c r="Z29" i="16" s="1"/>
  <c r="AC29" i="16"/>
  <c r="AD29" i="16" s="1"/>
  <c r="F30" i="16"/>
  <c r="G30" i="16" s="1"/>
  <c r="I30" i="16"/>
  <c r="J30" i="16" s="1"/>
  <c r="L30" i="16"/>
  <c r="M30" i="16" s="1"/>
  <c r="P30" i="16"/>
  <c r="Q30" i="16" s="1"/>
  <c r="S30" i="16"/>
  <c r="T30" i="16" s="1"/>
  <c r="V30" i="16"/>
  <c r="W30" i="16" s="1"/>
  <c r="Y30" i="16"/>
  <c r="Z30" i="16" s="1"/>
  <c r="AC30" i="16"/>
  <c r="AD30" i="16" s="1"/>
  <c r="C31" i="16"/>
  <c r="D31" i="16" s="1"/>
  <c r="F31" i="16"/>
  <c r="G31" i="16" s="1"/>
  <c r="I31" i="16"/>
  <c r="J31" i="16" s="1"/>
  <c r="L31" i="16"/>
  <c r="M31" i="16" s="1"/>
  <c r="P31" i="16"/>
  <c r="Q31" i="16" s="1"/>
  <c r="S31" i="16"/>
  <c r="T31" i="16" s="1"/>
  <c r="V31" i="16"/>
  <c r="W31" i="16" s="1"/>
  <c r="Y31" i="16"/>
  <c r="Z31" i="16" s="1"/>
  <c r="AC31" i="16"/>
  <c r="AD31" i="16" s="1"/>
  <c r="C32" i="16"/>
  <c r="D32" i="16" s="1"/>
  <c r="F32" i="16"/>
  <c r="G32" i="16" s="1"/>
  <c r="I32" i="16"/>
  <c r="J32" i="16" s="1"/>
  <c r="L32" i="16"/>
  <c r="M32" i="16" s="1"/>
  <c r="P32" i="16"/>
  <c r="Q32" i="16" s="1"/>
  <c r="S32" i="16"/>
  <c r="V32" i="16"/>
  <c r="W32" i="16" s="1"/>
  <c r="Y32" i="16"/>
  <c r="Z32" i="16" s="1"/>
  <c r="AC32" i="16"/>
  <c r="AD32" i="16" s="1"/>
  <c r="C33" i="16"/>
  <c r="F33" i="16"/>
  <c r="G33" i="16" s="1"/>
  <c r="I33" i="16"/>
  <c r="J33" i="16" s="1"/>
  <c r="L33" i="16"/>
  <c r="M33" i="16" s="1"/>
  <c r="P33" i="16"/>
  <c r="Q33" i="16" s="1"/>
  <c r="S33" i="16"/>
  <c r="T33" i="16" s="1"/>
  <c r="V33" i="16"/>
  <c r="W33" i="16" s="1"/>
  <c r="Y33" i="16"/>
  <c r="Z33" i="16" s="1"/>
  <c r="AC33" i="16"/>
  <c r="AD33" i="16" s="1"/>
  <c r="C34" i="16"/>
  <c r="D34" i="16" s="1"/>
  <c r="F34" i="16"/>
  <c r="G34" i="16" s="1"/>
  <c r="I34" i="16"/>
  <c r="J34" i="16" s="1"/>
  <c r="L34" i="16"/>
  <c r="M34" i="16" s="1"/>
  <c r="P34" i="16"/>
  <c r="S34" i="16"/>
  <c r="T34" i="16" s="1"/>
  <c r="V34" i="16"/>
  <c r="W34" i="16" s="1"/>
  <c r="Y34" i="16"/>
  <c r="Z34" i="16" s="1"/>
  <c r="AC34" i="16"/>
  <c r="AD34" i="16" s="1"/>
  <c r="C35" i="16"/>
  <c r="F35" i="16"/>
  <c r="G35" i="16" s="1"/>
  <c r="I35" i="16"/>
  <c r="J35" i="16" s="1"/>
  <c r="L35" i="16"/>
  <c r="M35" i="16" s="1"/>
  <c r="P35" i="16"/>
  <c r="Q35" i="16" s="1"/>
  <c r="S35" i="16"/>
  <c r="T35" i="16" s="1"/>
  <c r="V35" i="16"/>
  <c r="W35" i="16" s="1"/>
  <c r="Y35" i="16"/>
  <c r="Z35" i="16" s="1"/>
  <c r="AC35" i="16"/>
  <c r="AD35" i="16" s="1"/>
  <c r="AG20" i="16" l="1"/>
  <c r="AJ12" i="16"/>
  <c r="AF7" i="16"/>
  <c r="AF8" i="16"/>
  <c r="AJ16" i="16"/>
  <c r="AF21" i="16"/>
  <c r="AF11" i="16"/>
  <c r="AF25" i="16"/>
  <c r="C21" i="16"/>
  <c r="D21" i="16" s="1"/>
  <c r="AH21" i="16" s="1"/>
  <c r="D20" i="16"/>
  <c r="AH20" i="16" s="1"/>
  <c r="AJ24" i="16"/>
  <c r="AF18" i="16"/>
  <c r="AG16" i="16"/>
  <c r="D10" i="16"/>
  <c r="AH10" i="16" s="1"/>
  <c r="AG10" i="16"/>
  <c r="AJ19" i="16"/>
  <c r="P15" i="16"/>
  <c r="Q15" i="16" s="1"/>
  <c r="AH15" i="16" s="1"/>
  <c r="AF31" i="16"/>
  <c r="AF29" i="16"/>
  <c r="AG11" i="16"/>
  <c r="AJ28" i="16"/>
  <c r="AF35" i="16"/>
  <c r="AG35" i="16"/>
  <c r="AJ20" i="16"/>
  <c r="AJ30" i="16"/>
  <c r="AJ33" i="16"/>
  <c r="AJ26" i="16"/>
  <c r="AF5" i="16"/>
  <c r="AH32" i="16"/>
  <c r="AF28" i="16"/>
  <c r="AF23" i="16"/>
  <c r="AF20" i="16"/>
  <c r="AF19" i="16"/>
  <c r="C18" i="16"/>
  <c r="D18" i="16" s="1"/>
  <c r="AH18" i="16" s="1"/>
  <c r="AF13" i="16"/>
  <c r="AG12" i="16"/>
  <c r="AF10" i="16"/>
  <c r="AG8" i="16"/>
  <c r="P7" i="16"/>
  <c r="Q7" i="16" s="1"/>
  <c r="AH7" i="16" s="1"/>
  <c r="AG27" i="16"/>
  <c r="AG21" i="16"/>
  <c r="AH16" i="16"/>
  <c r="AJ14" i="16"/>
  <c r="AJ35" i="16"/>
  <c r="AF30" i="16"/>
  <c r="AF27" i="16"/>
  <c r="AJ25" i="16"/>
  <c r="AJ23" i="16"/>
  <c r="AJ17" i="16"/>
  <c r="AF16" i="16"/>
  <c r="AJ11" i="16"/>
  <c r="W28" i="16"/>
  <c r="V36" i="16"/>
  <c r="W36" i="16" s="1"/>
  <c r="H11" i="15" s="1"/>
  <c r="Z27" i="16"/>
  <c r="AJ27" i="16" s="1"/>
  <c r="Y36" i="16"/>
  <c r="Z36" i="16" s="1"/>
  <c r="I11" i="15" s="1"/>
  <c r="J27" i="16"/>
  <c r="I36" i="16"/>
  <c r="J36" i="16" s="1"/>
  <c r="D11" i="15" s="1"/>
  <c r="G28" i="16"/>
  <c r="F36" i="16"/>
  <c r="G36" i="16" s="1"/>
  <c r="AG34" i="16"/>
  <c r="Q34" i="16"/>
  <c r="AH34" i="16" s="1"/>
  <c r="D33" i="16"/>
  <c r="AH33" i="16" s="1"/>
  <c r="AG33" i="16"/>
  <c r="T32" i="16"/>
  <c r="AJ32" i="16" s="1"/>
  <c r="S36" i="16"/>
  <c r="T36" i="16" s="1"/>
  <c r="G11" i="15" s="1"/>
  <c r="AJ31" i="16"/>
  <c r="AH31" i="16"/>
  <c r="Q29" i="16"/>
  <c r="AJ29" i="16" s="1"/>
  <c r="AF33" i="16"/>
  <c r="AG32" i="16"/>
  <c r="AG31" i="16"/>
  <c r="AH28" i="16"/>
  <c r="C26" i="16"/>
  <c r="AF26" i="16"/>
  <c r="AF24" i="16"/>
  <c r="C24" i="16"/>
  <c r="AJ18" i="16"/>
  <c r="D13" i="16"/>
  <c r="AH13" i="16" s="1"/>
  <c r="AG13" i="16"/>
  <c r="D9" i="16"/>
  <c r="AH9" i="16" s="1"/>
  <c r="AG9" i="16"/>
  <c r="AJ8" i="16"/>
  <c r="AC36" i="16"/>
  <c r="AD36" i="16" s="1"/>
  <c r="L36" i="16"/>
  <c r="M36" i="16" s="1"/>
  <c r="E11" i="15" s="1"/>
  <c r="D35" i="16"/>
  <c r="AH35" i="16" s="1"/>
  <c r="AF34" i="16"/>
  <c r="AF32" i="16"/>
  <c r="AG29" i="16"/>
  <c r="D27" i="16"/>
  <c r="AH27" i="16" s="1"/>
  <c r="D17" i="16"/>
  <c r="AH17" i="16" s="1"/>
  <c r="AG17" i="16"/>
  <c r="AJ10" i="16"/>
  <c r="AJ6" i="16"/>
  <c r="C30" i="16"/>
  <c r="AG28" i="16"/>
  <c r="D23" i="16"/>
  <c r="AH23" i="16" s="1"/>
  <c r="AG23" i="16"/>
  <c r="AJ22" i="16"/>
  <c r="AJ13" i="16"/>
  <c r="AJ9" i="16"/>
  <c r="AH6" i="16"/>
  <c r="Q5" i="16"/>
  <c r="AH5" i="16" s="1"/>
  <c r="AG5" i="16"/>
  <c r="AG25" i="16"/>
  <c r="D25" i="16"/>
  <c r="AH25" i="16" s="1"/>
  <c r="C22" i="16"/>
  <c r="AF22" i="16"/>
  <c r="AJ21" i="16"/>
  <c r="AG19" i="16"/>
  <c r="D19" i="16"/>
  <c r="AH19" i="16" s="1"/>
  <c r="AH14" i="16"/>
  <c r="AH8" i="16"/>
  <c r="AF14" i="16"/>
  <c r="AF12" i="16"/>
  <c r="AF6" i="16"/>
  <c r="AF17" i="16"/>
  <c r="AG14" i="16"/>
  <c r="AH12" i="16"/>
  <c r="AF9" i="16"/>
  <c r="AG6" i="16"/>
  <c r="D11" i="16"/>
  <c r="AH11" i="16" s="1"/>
  <c r="P36" i="16" l="1"/>
  <c r="Q36" i="16" s="1"/>
  <c r="F11" i="15" s="1"/>
  <c r="AG18" i="16"/>
  <c r="AJ15" i="16"/>
  <c r="AG7" i="16"/>
  <c r="AG15" i="16"/>
  <c r="AJ7" i="16"/>
  <c r="D22" i="16"/>
  <c r="AH22" i="16" s="1"/>
  <c r="AG22" i="16"/>
  <c r="D30" i="16"/>
  <c r="AH30" i="16" s="1"/>
  <c r="AG30" i="16"/>
  <c r="AJ34" i="16"/>
  <c r="AJ5" i="16"/>
  <c r="C36" i="16"/>
  <c r="D36" i="16" s="1"/>
  <c r="B11" i="15" s="1"/>
  <c r="D26" i="16"/>
  <c r="AH26" i="16" s="1"/>
  <c r="AG26" i="16"/>
  <c r="D24" i="16"/>
  <c r="AH24" i="16" s="1"/>
  <c r="AG24" i="16"/>
  <c r="AH29" i="16"/>
  <c r="AG36" i="16" l="1"/>
  <c r="AH36" i="16" s="1"/>
  <c r="AJ36" i="16"/>
  <c r="L24" i="9" l="1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14" i="11" l="1"/>
  <c r="M14" i="11" s="1"/>
  <c r="L15" i="11"/>
  <c r="M15" i="11" s="1"/>
  <c r="L16" i="11"/>
  <c r="L13" i="11"/>
  <c r="M13" i="11" s="1"/>
  <c r="L18" i="4" l="1"/>
  <c r="M18" i="4" s="1"/>
  <c r="L19" i="4"/>
  <c r="M19" i="4" s="1"/>
  <c r="L20" i="4"/>
  <c r="M20" i="4" s="1"/>
  <c r="L34" i="11" l="1"/>
  <c r="M34" i="11" s="1"/>
  <c r="L35" i="11"/>
  <c r="M35" i="11" s="1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L33" i="5" l="1"/>
  <c r="M33" i="5" s="1"/>
  <c r="L34" i="5"/>
  <c r="M34" i="5" s="1"/>
  <c r="L35" i="5"/>
  <c r="M35" i="5" s="1"/>
  <c r="P6" i="12" l="1"/>
  <c r="Q6" i="12" s="1"/>
  <c r="S6" i="12"/>
  <c r="T6" i="12" s="1"/>
  <c r="V6" i="12"/>
  <c r="W6" i="12" s="1"/>
  <c r="P7" i="12"/>
  <c r="Q7" i="12" s="1"/>
  <c r="S7" i="12"/>
  <c r="T7" i="12" s="1"/>
  <c r="V7" i="12"/>
  <c r="W7" i="12" s="1"/>
  <c r="P8" i="12"/>
  <c r="Q8" i="12" s="1"/>
  <c r="S8" i="12"/>
  <c r="T8" i="12" s="1"/>
  <c r="V8" i="12"/>
  <c r="W8" i="12" s="1"/>
  <c r="P9" i="12"/>
  <c r="Q9" i="12" s="1"/>
  <c r="S9" i="12"/>
  <c r="T9" i="12" s="1"/>
  <c r="V9" i="12"/>
  <c r="W9" i="12" s="1"/>
  <c r="P10" i="12"/>
  <c r="Q10" i="12" s="1"/>
  <c r="S10" i="12"/>
  <c r="T10" i="12" s="1"/>
  <c r="V10" i="12"/>
  <c r="W10" i="12" s="1"/>
  <c r="P11" i="12"/>
  <c r="Q11" i="12" s="1"/>
  <c r="S11" i="12"/>
  <c r="T11" i="12" s="1"/>
  <c r="V11" i="12"/>
  <c r="W11" i="12" s="1"/>
  <c r="P12" i="12"/>
  <c r="Q12" i="12" s="1"/>
  <c r="S12" i="12"/>
  <c r="T12" i="12" s="1"/>
  <c r="V12" i="12"/>
  <c r="W12" i="12" s="1"/>
  <c r="P13" i="12"/>
  <c r="Q13" i="12" s="1"/>
  <c r="S13" i="12"/>
  <c r="T13" i="12" s="1"/>
  <c r="V13" i="12"/>
  <c r="W13" i="12" s="1"/>
  <c r="P14" i="12"/>
  <c r="Q14" i="12" s="1"/>
  <c r="S14" i="12"/>
  <c r="T14" i="12" s="1"/>
  <c r="V14" i="12"/>
  <c r="W14" i="12" s="1"/>
  <c r="P15" i="12"/>
  <c r="Q15" i="12" s="1"/>
  <c r="S15" i="12"/>
  <c r="T15" i="12" s="1"/>
  <c r="V15" i="12"/>
  <c r="W15" i="12" s="1"/>
  <c r="P16" i="12"/>
  <c r="Q16" i="12" s="1"/>
  <c r="S16" i="12"/>
  <c r="T16" i="12" s="1"/>
  <c r="V16" i="12"/>
  <c r="W16" i="12" s="1"/>
  <c r="P17" i="12"/>
  <c r="Q17" i="12" s="1"/>
  <c r="S17" i="12"/>
  <c r="T17" i="12" s="1"/>
  <c r="V17" i="12"/>
  <c r="W17" i="12" s="1"/>
  <c r="P18" i="12"/>
  <c r="Q18" i="12" s="1"/>
  <c r="S18" i="12"/>
  <c r="T18" i="12" s="1"/>
  <c r="V18" i="12"/>
  <c r="W18" i="12" s="1"/>
  <c r="P19" i="12"/>
  <c r="Q19" i="12" s="1"/>
  <c r="S19" i="12"/>
  <c r="T19" i="12" s="1"/>
  <c r="V19" i="12"/>
  <c r="W19" i="12" s="1"/>
  <c r="P20" i="12"/>
  <c r="Q20" i="12" s="1"/>
  <c r="S20" i="12"/>
  <c r="T20" i="12" s="1"/>
  <c r="V20" i="12"/>
  <c r="W20" i="12" s="1"/>
  <c r="P21" i="12"/>
  <c r="Q21" i="12" s="1"/>
  <c r="S21" i="12"/>
  <c r="T21" i="12" s="1"/>
  <c r="V21" i="12"/>
  <c r="W21" i="12" s="1"/>
  <c r="P22" i="12"/>
  <c r="Q22" i="12" s="1"/>
  <c r="S22" i="12"/>
  <c r="T22" i="12" s="1"/>
  <c r="V22" i="12"/>
  <c r="W22" i="12" s="1"/>
  <c r="P23" i="12"/>
  <c r="Q23" i="12" s="1"/>
  <c r="S23" i="12"/>
  <c r="T23" i="12" s="1"/>
  <c r="V23" i="12"/>
  <c r="W23" i="12" s="1"/>
  <c r="P24" i="12"/>
  <c r="Q24" i="12" s="1"/>
  <c r="S24" i="12"/>
  <c r="T24" i="12" s="1"/>
  <c r="V24" i="12"/>
  <c r="W24" i="12" s="1"/>
  <c r="P25" i="12"/>
  <c r="Q25" i="12" s="1"/>
  <c r="S25" i="12"/>
  <c r="T25" i="12" s="1"/>
  <c r="V25" i="12"/>
  <c r="W25" i="12" s="1"/>
  <c r="P26" i="12"/>
  <c r="Q26" i="12" s="1"/>
  <c r="S26" i="12"/>
  <c r="T26" i="12" s="1"/>
  <c r="V26" i="12"/>
  <c r="W26" i="12" s="1"/>
  <c r="P27" i="12"/>
  <c r="Q27" i="12" s="1"/>
  <c r="S27" i="12"/>
  <c r="T27" i="12" s="1"/>
  <c r="V27" i="12"/>
  <c r="W27" i="12" s="1"/>
  <c r="P28" i="12"/>
  <c r="Q28" i="12" s="1"/>
  <c r="S28" i="12"/>
  <c r="T28" i="12" s="1"/>
  <c r="V28" i="12"/>
  <c r="W28" i="12" s="1"/>
  <c r="P29" i="12"/>
  <c r="Q29" i="12" s="1"/>
  <c r="S29" i="12"/>
  <c r="T29" i="12" s="1"/>
  <c r="V29" i="12"/>
  <c r="W29" i="12" s="1"/>
  <c r="P30" i="12"/>
  <c r="Q30" i="12" s="1"/>
  <c r="S30" i="12"/>
  <c r="T30" i="12" s="1"/>
  <c r="V30" i="12"/>
  <c r="W30" i="12" s="1"/>
  <c r="P31" i="12"/>
  <c r="Q31" i="12" s="1"/>
  <c r="S31" i="12"/>
  <c r="T31" i="12" s="1"/>
  <c r="V31" i="12"/>
  <c r="W31" i="12" s="1"/>
  <c r="P32" i="12"/>
  <c r="Q32" i="12" s="1"/>
  <c r="S32" i="12"/>
  <c r="T32" i="12" s="1"/>
  <c r="V32" i="12"/>
  <c r="W32" i="12" s="1"/>
  <c r="P33" i="12"/>
  <c r="Q33" i="12" s="1"/>
  <c r="S33" i="12"/>
  <c r="T33" i="12" s="1"/>
  <c r="V33" i="12"/>
  <c r="W33" i="12" s="1"/>
  <c r="P34" i="12"/>
  <c r="Q34" i="12" s="1"/>
  <c r="S34" i="12"/>
  <c r="T34" i="12" s="1"/>
  <c r="V34" i="12"/>
  <c r="W34" i="12" s="1"/>
  <c r="C6" i="12" l="1"/>
  <c r="D6" i="12" s="1"/>
  <c r="F6" i="12"/>
  <c r="G6" i="12" s="1"/>
  <c r="I6" i="12"/>
  <c r="J6" i="12" s="1"/>
  <c r="L6" i="12"/>
  <c r="M6" i="12" s="1"/>
  <c r="C7" i="12"/>
  <c r="D7" i="12" s="1"/>
  <c r="F7" i="12"/>
  <c r="G7" i="12" s="1"/>
  <c r="I7" i="12"/>
  <c r="J7" i="12" s="1"/>
  <c r="L7" i="12"/>
  <c r="M7" i="12" s="1"/>
  <c r="C8" i="12"/>
  <c r="D8" i="12" s="1"/>
  <c r="F8" i="12"/>
  <c r="G8" i="12" s="1"/>
  <c r="I8" i="12"/>
  <c r="J8" i="12" s="1"/>
  <c r="L8" i="12"/>
  <c r="M8" i="12" s="1"/>
  <c r="C9" i="12"/>
  <c r="D9" i="12" s="1"/>
  <c r="F9" i="12"/>
  <c r="G9" i="12" s="1"/>
  <c r="I9" i="12"/>
  <c r="J9" i="12" s="1"/>
  <c r="L9" i="12"/>
  <c r="M9" i="12" s="1"/>
  <c r="C10" i="12"/>
  <c r="D10" i="12" s="1"/>
  <c r="F10" i="12"/>
  <c r="G10" i="12" s="1"/>
  <c r="I10" i="12"/>
  <c r="J10" i="12" s="1"/>
  <c r="L10" i="12"/>
  <c r="M10" i="12" s="1"/>
  <c r="C11" i="12"/>
  <c r="D11" i="12" s="1"/>
  <c r="F11" i="12"/>
  <c r="G11" i="12" s="1"/>
  <c r="I11" i="12"/>
  <c r="J11" i="12" s="1"/>
  <c r="L11" i="12"/>
  <c r="M11" i="12" s="1"/>
  <c r="C12" i="12"/>
  <c r="D12" i="12" s="1"/>
  <c r="F12" i="12"/>
  <c r="G12" i="12" s="1"/>
  <c r="I12" i="12"/>
  <c r="J12" i="12" s="1"/>
  <c r="L12" i="12"/>
  <c r="M12" i="12" s="1"/>
  <c r="C13" i="12"/>
  <c r="D13" i="12" s="1"/>
  <c r="F13" i="12"/>
  <c r="G13" i="12" s="1"/>
  <c r="I13" i="12"/>
  <c r="J13" i="12" s="1"/>
  <c r="L13" i="12"/>
  <c r="M13" i="12" s="1"/>
  <c r="C14" i="12"/>
  <c r="D14" i="12" s="1"/>
  <c r="F14" i="12"/>
  <c r="G14" i="12" s="1"/>
  <c r="I14" i="12"/>
  <c r="J14" i="12" s="1"/>
  <c r="L14" i="12"/>
  <c r="M14" i="12" s="1"/>
  <c r="C15" i="12"/>
  <c r="D15" i="12" s="1"/>
  <c r="F15" i="12"/>
  <c r="G15" i="12" s="1"/>
  <c r="I15" i="12"/>
  <c r="J15" i="12" s="1"/>
  <c r="L15" i="12"/>
  <c r="M15" i="12" s="1"/>
  <c r="C16" i="12"/>
  <c r="D16" i="12" s="1"/>
  <c r="F16" i="12"/>
  <c r="G16" i="12" s="1"/>
  <c r="I16" i="12"/>
  <c r="J16" i="12" s="1"/>
  <c r="L16" i="12"/>
  <c r="M16" i="12" s="1"/>
  <c r="C17" i="12"/>
  <c r="D17" i="12" s="1"/>
  <c r="F17" i="12"/>
  <c r="G17" i="12" s="1"/>
  <c r="I17" i="12"/>
  <c r="J17" i="12" s="1"/>
  <c r="L17" i="12"/>
  <c r="M17" i="12" s="1"/>
  <c r="C18" i="12"/>
  <c r="D18" i="12" s="1"/>
  <c r="F18" i="12"/>
  <c r="G18" i="12" s="1"/>
  <c r="I18" i="12"/>
  <c r="J18" i="12" s="1"/>
  <c r="L18" i="12"/>
  <c r="M18" i="12" s="1"/>
  <c r="C19" i="12"/>
  <c r="D19" i="12" s="1"/>
  <c r="F19" i="12"/>
  <c r="G19" i="12" s="1"/>
  <c r="I19" i="12"/>
  <c r="J19" i="12" s="1"/>
  <c r="L19" i="12"/>
  <c r="M19" i="12" s="1"/>
  <c r="C20" i="12"/>
  <c r="D20" i="12" s="1"/>
  <c r="F20" i="12"/>
  <c r="G20" i="12" s="1"/>
  <c r="I20" i="12"/>
  <c r="J20" i="12" s="1"/>
  <c r="L20" i="12"/>
  <c r="M20" i="12" s="1"/>
  <c r="C21" i="12"/>
  <c r="D21" i="12" s="1"/>
  <c r="F21" i="12"/>
  <c r="G21" i="12" s="1"/>
  <c r="I21" i="12"/>
  <c r="J21" i="12" s="1"/>
  <c r="L21" i="12"/>
  <c r="M21" i="12" s="1"/>
  <c r="C22" i="12"/>
  <c r="D22" i="12" s="1"/>
  <c r="F22" i="12"/>
  <c r="G22" i="12" s="1"/>
  <c r="I22" i="12"/>
  <c r="J22" i="12" s="1"/>
  <c r="L22" i="12"/>
  <c r="M22" i="12" s="1"/>
  <c r="C23" i="12"/>
  <c r="D23" i="12" s="1"/>
  <c r="F23" i="12"/>
  <c r="G23" i="12" s="1"/>
  <c r="I23" i="12"/>
  <c r="J23" i="12" s="1"/>
  <c r="L23" i="12"/>
  <c r="M23" i="12" s="1"/>
  <c r="C24" i="12"/>
  <c r="D24" i="12" s="1"/>
  <c r="F24" i="12"/>
  <c r="G24" i="12" s="1"/>
  <c r="I24" i="12"/>
  <c r="J24" i="12" s="1"/>
  <c r="L24" i="12"/>
  <c r="M24" i="12" s="1"/>
  <c r="C25" i="12"/>
  <c r="D25" i="12" s="1"/>
  <c r="F25" i="12"/>
  <c r="G25" i="12" s="1"/>
  <c r="I25" i="12"/>
  <c r="J25" i="12" s="1"/>
  <c r="L25" i="12"/>
  <c r="M25" i="12" s="1"/>
  <c r="C26" i="12"/>
  <c r="D26" i="12" s="1"/>
  <c r="F26" i="12"/>
  <c r="G26" i="12" s="1"/>
  <c r="I26" i="12"/>
  <c r="J26" i="12" s="1"/>
  <c r="L26" i="12"/>
  <c r="M26" i="12" s="1"/>
  <c r="C27" i="12"/>
  <c r="D27" i="12" s="1"/>
  <c r="F27" i="12"/>
  <c r="G27" i="12" s="1"/>
  <c r="I27" i="12"/>
  <c r="J27" i="12" s="1"/>
  <c r="L27" i="12"/>
  <c r="M27" i="12" s="1"/>
  <c r="C28" i="12"/>
  <c r="D28" i="12" s="1"/>
  <c r="F28" i="12"/>
  <c r="G28" i="12" s="1"/>
  <c r="I28" i="12"/>
  <c r="J28" i="12" s="1"/>
  <c r="L28" i="12"/>
  <c r="M28" i="12" s="1"/>
  <c r="C29" i="12"/>
  <c r="D29" i="12" s="1"/>
  <c r="F29" i="12"/>
  <c r="G29" i="12" s="1"/>
  <c r="I29" i="12"/>
  <c r="J29" i="12" s="1"/>
  <c r="L29" i="12"/>
  <c r="M29" i="12" s="1"/>
  <c r="C30" i="12"/>
  <c r="D30" i="12" s="1"/>
  <c r="F30" i="12"/>
  <c r="G30" i="12" s="1"/>
  <c r="I30" i="12"/>
  <c r="J30" i="12" s="1"/>
  <c r="L30" i="12"/>
  <c r="M30" i="12" s="1"/>
  <c r="C31" i="12"/>
  <c r="D31" i="12" s="1"/>
  <c r="F31" i="12"/>
  <c r="G31" i="12" s="1"/>
  <c r="I31" i="12"/>
  <c r="J31" i="12" s="1"/>
  <c r="L31" i="12"/>
  <c r="M31" i="12" s="1"/>
  <c r="C32" i="12"/>
  <c r="D32" i="12" s="1"/>
  <c r="F32" i="12"/>
  <c r="G32" i="12" s="1"/>
  <c r="I32" i="12"/>
  <c r="J32" i="12" s="1"/>
  <c r="L32" i="12"/>
  <c r="M32" i="12" s="1"/>
  <c r="C33" i="12"/>
  <c r="D33" i="12" s="1"/>
  <c r="F33" i="12"/>
  <c r="G33" i="12" s="1"/>
  <c r="I33" i="12"/>
  <c r="J33" i="12" s="1"/>
  <c r="L33" i="12"/>
  <c r="M33" i="12" s="1"/>
  <c r="C34" i="12"/>
  <c r="D34" i="12" s="1"/>
  <c r="F34" i="12"/>
  <c r="G34" i="12" s="1"/>
  <c r="I34" i="12"/>
  <c r="J34" i="12" s="1"/>
  <c r="L34" i="12"/>
  <c r="M34" i="12" s="1"/>
  <c r="L33" i="11" l="1"/>
  <c r="M33" i="11" s="1"/>
  <c r="P6" i="11" l="1"/>
  <c r="Q6" i="11" s="1"/>
  <c r="S6" i="11"/>
  <c r="T6" i="11" s="1"/>
  <c r="V6" i="11"/>
  <c r="W6" i="11" s="1"/>
  <c r="Y6" i="11"/>
  <c r="Z6" i="11" s="1"/>
  <c r="P7" i="11"/>
  <c r="Q7" i="11" s="1"/>
  <c r="S7" i="11"/>
  <c r="T7" i="11" s="1"/>
  <c r="V7" i="11"/>
  <c r="W7" i="11" s="1"/>
  <c r="Y7" i="11"/>
  <c r="Z7" i="11" s="1"/>
  <c r="P8" i="11"/>
  <c r="Q8" i="11" s="1"/>
  <c r="S8" i="11"/>
  <c r="T8" i="11" s="1"/>
  <c r="V8" i="11"/>
  <c r="W8" i="11" s="1"/>
  <c r="Y8" i="11"/>
  <c r="Z8" i="11" s="1"/>
  <c r="P9" i="11"/>
  <c r="Q9" i="11" s="1"/>
  <c r="S9" i="11"/>
  <c r="T9" i="11" s="1"/>
  <c r="V9" i="11"/>
  <c r="W9" i="11" s="1"/>
  <c r="Y9" i="11"/>
  <c r="Z9" i="11" s="1"/>
  <c r="P10" i="11"/>
  <c r="Q10" i="11" s="1"/>
  <c r="S10" i="11"/>
  <c r="T10" i="11" s="1"/>
  <c r="V10" i="11"/>
  <c r="W10" i="11" s="1"/>
  <c r="Y10" i="11"/>
  <c r="Z10" i="11" s="1"/>
  <c r="P11" i="11"/>
  <c r="Q11" i="11" s="1"/>
  <c r="S11" i="11"/>
  <c r="T11" i="11" s="1"/>
  <c r="V11" i="11"/>
  <c r="W11" i="11" s="1"/>
  <c r="Y11" i="11"/>
  <c r="Z11" i="11" s="1"/>
  <c r="P12" i="11"/>
  <c r="Q12" i="11" s="1"/>
  <c r="S12" i="11"/>
  <c r="T12" i="11" s="1"/>
  <c r="V12" i="11"/>
  <c r="W12" i="11" s="1"/>
  <c r="Y12" i="11"/>
  <c r="Z12" i="11" s="1"/>
  <c r="P13" i="11"/>
  <c r="Q13" i="11" s="1"/>
  <c r="S13" i="11"/>
  <c r="T13" i="11" s="1"/>
  <c r="V13" i="11"/>
  <c r="W13" i="11" s="1"/>
  <c r="Y13" i="11"/>
  <c r="Z13" i="11" s="1"/>
  <c r="P14" i="11"/>
  <c r="Q14" i="11" s="1"/>
  <c r="S14" i="11"/>
  <c r="T14" i="11" s="1"/>
  <c r="V14" i="11"/>
  <c r="W14" i="11" s="1"/>
  <c r="Y14" i="11"/>
  <c r="Z14" i="11" s="1"/>
  <c r="P15" i="11"/>
  <c r="Q15" i="11" s="1"/>
  <c r="S15" i="11"/>
  <c r="T15" i="11" s="1"/>
  <c r="V15" i="11"/>
  <c r="W15" i="11" s="1"/>
  <c r="Y15" i="11"/>
  <c r="Z15" i="11" s="1"/>
  <c r="P16" i="11"/>
  <c r="Q16" i="11" s="1"/>
  <c r="S16" i="11"/>
  <c r="T16" i="11" s="1"/>
  <c r="V16" i="11"/>
  <c r="W16" i="11" s="1"/>
  <c r="Y16" i="11"/>
  <c r="Z16" i="11" s="1"/>
  <c r="P17" i="11"/>
  <c r="Q17" i="11" s="1"/>
  <c r="S17" i="11"/>
  <c r="T17" i="11" s="1"/>
  <c r="V17" i="11"/>
  <c r="W17" i="11" s="1"/>
  <c r="Y17" i="11"/>
  <c r="Z17" i="11" s="1"/>
  <c r="P18" i="11"/>
  <c r="Q18" i="11" s="1"/>
  <c r="S18" i="11"/>
  <c r="T18" i="11" s="1"/>
  <c r="V18" i="11"/>
  <c r="W18" i="11" s="1"/>
  <c r="Y18" i="11"/>
  <c r="Z18" i="11" s="1"/>
  <c r="P19" i="11"/>
  <c r="Q19" i="11" s="1"/>
  <c r="S19" i="11"/>
  <c r="T19" i="11" s="1"/>
  <c r="V19" i="11"/>
  <c r="W19" i="11" s="1"/>
  <c r="Y19" i="11"/>
  <c r="Z19" i="11" s="1"/>
  <c r="P20" i="11"/>
  <c r="Q20" i="11" s="1"/>
  <c r="S20" i="11"/>
  <c r="T20" i="11" s="1"/>
  <c r="V20" i="11"/>
  <c r="W20" i="11" s="1"/>
  <c r="Y20" i="11"/>
  <c r="Z20" i="11" s="1"/>
  <c r="P21" i="11"/>
  <c r="Q21" i="11" s="1"/>
  <c r="S21" i="11"/>
  <c r="T21" i="11" s="1"/>
  <c r="V21" i="11"/>
  <c r="W21" i="11" s="1"/>
  <c r="Y21" i="11"/>
  <c r="Z21" i="11" s="1"/>
  <c r="P22" i="11"/>
  <c r="Q22" i="11" s="1"/>
  <c r="S22" i="11"/>
  <c r="T22" i="11" s="1"/>
  <c r="V22" i="11"/>
  <c r="W22" i="11" s="1"/>
  <c r="Y22" i="11"/>
  <c r="Z22" i="11" s="1"/>
  <c r="P23" i="11"/>
  <c r="Q23" i="11" s="1"/>
  <c r="S23" i="11"/>
  <c r="T23" i="11" s="1"/>
  <c r="V23" i="11"/>
  <c r="W23" i="11" s="1"/>
  <c r="Y23" i="11"/>
  <c r="Z23" i="11" s="1"/>
  <c r="P24" i="11"/>
  <c r="Q24" i="11" s="1"/>
  <c r="S24" i="11"/>
  <c r="T24" i="11" s="1"/>
  <c r="V24" i="11"/>
  <c r="W24" i="11" s="1"/>
  <c r="Y24" i="11"/>
  <c r="Z24" i="11" s="1"/>
  <c r="P25" i="11"/>
  <c r="Q25" i="11" s="1"/>
  <c r="S25" i="11"/>
  <c r="T25" i="11" s="1"/>
  <c r="V25" i="11"/>
  <c r="W25" i="11" s="1"/>
  <c r="Y25" i="11"/>
  <c r="Z25" i="11" s="1"/>
  <c r="P26" i="11"/>
  <c r="Q26" i="11" s="1"/>
  <c r="S26" i="11"/>
  <c r="T26" i="11" s="1"/>
  <c r="V26" i="11"/>
  <c r="W26" i="11" s="1"/>
  <c r="Y26" i="11"/>
  <c r="Z26" i="11" s="1"/>
  <c r="P27" i="11"/>
  <c r="Q27" i="11" s="1"/>
  <c r="S27" i="11"/>
  <c r="T27" i="11" s="1"/>
  <c r="V27" i="11"/>
  <c r="W27" i="11" s="1"/>
  <c r="Y27" i="11"/>
  <c r="Z27" i="11" s="1"/>
  <c r="P28" i="11"/>
  <c r="Q28" i="11" s="1"/>
  <c r="S28" i="11"/>
  <c r="T28" i="11" s="1"/>
  <c r="V28" i="11"/>
  <c r="W28" i="11" s="1"/>
  <c r="Y28" i="11"/>
  <c r="Z28" i="11" s="1"/>
  <c r="P29" i="11"/>
  <c r="Q29" i="11" s="1"/>
  <c r="S29" i="11"/>
  <c r="T29" i="11" s="1"/>
  <c r="V29" i="11"/>
  <c r="W29" i="11" s="1"/>
  <c r="Y29" i="11"/>
  <c r="Z29" i="11" s="1"/>
  <c r="P30" i="11"/>
  <c r="Q30" i="11" s="1"/>
  <c r="S30" i="11"/>
  <c r="T30" i="11" s="1"/>
  <c r="V30" i="11"/>
  <c r="W30" i="11" s="1"/>
  <c r="Y30" i="11"/>
  <c r="Z30" i="11" s="1"/>
  <c r="P31" i="11"/>
  <c r="Q31" i="11" s="1"/>
  <c r="S31" i="11"/>
  <c r="T31" i="11" s="1"/>
  <c r="V31" i="11"/>
  <c r="W31" i="11" s="1"/>
  <c r="Y31" i="11"/>
  <c r="Z31" i="11" s="1"/>
  <c r="P32" i="11"/>
  <c r="Q32" i="11" s="1"/>
  <c r="S32" i="11"/>
  <c r="T32" i="11" s="1"/>
  <c r="V32" i="11"/>
  <c r="W32" i="11" s="1"/>
  <c r="Y32" i="11"/>
  <c r="Z32" i="11" s="1"/>
  <c r="P33" i="11"/>
  <c r="Q33" i="11" s="1"/>
  <c r="S33" i="11"/>
  <c r="T33" i="11" s="1"/>
  <c r="V33" i="11"/>
  <c r="W33" i="11" s="1"/>
  <c r="Y33" i="11"/>
  <c r="Z33" i="11" s="1"/>
  <c r="P34" i="11"/>
  <c r="Q34" i="11" s="1"/>
  <c r="S34" i="11"/>
  <c r="T34" i="11" s="1"/>
  <c r="V34" i="11"/>
  <c r="W34" i="11" s="1"/>
  <c r="Y34" i="11"/>
  <c r="Z34" i="11" s="1"/>
  <c r="P35" i="11"/>
  <c r="Q35" i="11" s="1"/>
  <c r="S35" i="11"/>
  <c r="T35" i="11" s="1"/>
  <c r="V35" i="11"/>
  <c r="W35" i="11" s="1"/>
  <c r="Y35" i="11"/>
  <c r="Z35" i="11" s="1"/>
  <c r="C6" i="11" l="1"/>
  <c r="D6" i="11" s="1"/>
  <c r="F6" i="11"/>
  <c r="G6" i="11" s="1"/>
  <c r="I6" i="11"/>
  <c r="J6" i="11" s="1"/>
  <c r="L6" i="11"/>
  <c r="M6" i="11" s="1"/>
  <c r="C7" i="11"/>
  <c r="D7" i="11" s="1"/>
  <c r="F7" i="11"/>
  <c r="G7" i="11" s="1"/>
  <c r="I7" i="11"/>
  <c r="J7" i="11" s="1"/>
  <c r="L7" i="11"/>
  <c r="M7" i="11" s="1"/>
  <c r="C8" i="11"/>
  <c r="D8" i="11" s="1"/>
  <c r="F8" i="11"/>
  <c r="G8" i="11" s="1"/>
  <c r="I8" i="11"/>
  <c r="J8" i="11" s="1"/>
  <c r="L8" i="11"/>
  <c r="M8" i="11" s="1"/>
  <c r="C9" i="11"/>
  <c r="D9" i="11" s="1"/>
  <c r="F9" i="11"/>
  <c r="G9" i="11" s="1"/>
  <c r="I9" i="11"/>
  <c r="J9" i="11" s="1"/>
  <c r="L9" i="11"/>
  <c r="M9" i="11" s="1"/>
  <c r="C10" i="11"/>
  <c r="D10" i="11" s="1"/>
  <c r="F10" i="11"/>
  <c r="G10" i="11" s="1"/>
  <c r="I10" i="11"/>
  <c r="J10" i="11" s="1"/>
  <c r="L10" i="11"/>
  <c r="M10" i="11" s="1"/>
  <c r="C11" i="11"/>
  <c r="D11" i="11" s="1"/>
  <c r="F11" i="11"/>
  <c r="G11" i="11" s="1"/>
  <c r="I11" i="11"/>
  <c r="J11" i="11" s="1"/>
  <c r="L11" i="11"/>
  <c r="M11" i="11" s="1"/>
  <c r="C12" i="11"/>
  <c r="D12" i="11" s="1"/>
  <c r="F12" i="11"/>
  <c r="G12" i="11" s="1"/>
  <c r="I12" i="11"/>
  <c r="J12" i="11" s="1"/>
  <c r="L12" i="11"/>
  <c r="M12" i="11" s="1"/>
  <c r="C13" i="11"/>
  <c r="D13" i="11" s="1"/>
  <c r="F13" i="11"/>
  <c r="G13" i="11" s="1"/>
  <c r="I13" i="11"/>
  <c r="J13" i="11" s="1"/>
  <c r="C14" i="11"/>
  <c r="D14" i="11" s="1"/>
  <c r="F14" i="11"/>
  <c r="G14" i="11" s="1"/>
  <c r="I14" i="11"/>
  <c r="J14" i="11" s="1"/>
  <c r="C15" i="11"/>
  <c r="D15" i="11" s="1"/>
  <c r="F15" i="11"/>
  <c r="G15" i="11" s="1"/>
  <c r="I15" i="11"/>
  <c r="J15" i="11" s="1"/>
  <c r="C16" i="11"/>
  <c r="D16" i="11" s="1"/>
  <c r="F16" i="11"/>
  <c r="G16" i="11" s="1"/>
  <c r="I16" i="11"/>
  <c r="J16" i="11" s="1"/>
  <c r="M16" i="11"/>
  <c r="C17" i="11"/>
  <c r="D17" i="11" s="1"/>
  <c r="F17" i="11"/>
  <c r="G17" i="11" s="1"/>
  <c r="I17" i="11"/>
  <c r="J17" i="11" s="1"/>
  <c r="L17" i="11"/>
  <c r="M17" i="11" s="1"/>
  <c r="C18" i="11"/>
  <c r="D18" i="11" s="1"/>
  <c r="F18" i="11"/>
  <c r="G18" i="11" s="1"/>
  <c r="I18" i="11"/>
  <c r="J18" i="11" s="1"/>
  <c r="L18" i="11"/>
  <c r="M18" i="11" s="1"/>
  <c r="C19" i="11"/>
  <c r="D19" i="11" s="1"/>
  <c r="F19" i="11"/>
  <c r="G19" i="11" s="1"/>
  <c r="I19" i="11"/>
  <c r="J19" i="11" s="1"/>
  <c r="L19" i="11"/>
  <c r="M19" i="11" s="1"/>
  <c r="C20" i="11"/>
  <c r="D20" i="11" s="1"/>
  <c r="F20" i="11"/>
  <c r="G20" i="11" s="1"/>
  <c r="I20" i="11"/>
  <c r="J20" i="11" s="1"/>
  <c r="L20" i="11"/>
  <c r="M20" i="11" s="1"/>
  <c r="C21" i="11"/>
  <c r="D21" i="11" s="1"/>
  <c r="F21" i="11"/>
  <c r="G21" i="11" s="1"/>
  <c r="I21" i="11"/>
  <c r="J21" i="11" s="1"/>
  <c r="L21" i="11"/>
  <c r="M21" i="11" s="1"/>
  <c r="C22" i="11"/>
  <c r="D22" i="11" s="1"/>
  <c r="F22" i="11"/>
  <c r="G22" i="11" s="1"/>
  <c r="I22" i="11"/>
  <c r="J22" i="11" s="1"/>
  <c r="L22" i="11"/>
  <c r="M22" i="11" s="1"/>
  <c r="C23" i="11"/>
  <c r="D23" i="11" s="1"/>
  <c r="F23" i="11"/>
  <c r="G23" i="11" s="1"/>
  <c r="I23" i="11"/>
  <c r="J23" i="11" s="1"/>
  <c r="L23" i="11"/>
  <c r="M23" i="11" s="1"/>
  <c r="C24" i="11"/>
  <c r="D24" i="11" s="1"/>
  <c r="F24" i="11"/>
  <c r="G24" i="11" s="1"/>
  <c r="I24" i="11"/>
  <c r="J24" i="11" s="1"/>
  <c r="L24" i="11"/>
  <c r="M24" i="11" s="1"/>
  <c r="C25" i="11"/>
  <c r="D25" i="11" s="1"/>
  <c r="F25" i="11"/>
  <c r="G25" i="11" s="1"/>
  <c r="I25" i="11"/>
  <c r="J25" i="11" s="1"/>
  <c r="L25" i="11"/>
  <c r="M25" i="11" s="1"/>
  <c r="C26" i="11"/>
  <c r="D26" i="11" s="1"/>
  <c r="F26" i="11"/>
  <c r="G26" i="11" s="1"/>
  <c r="I26" i="11"/>
  <c r="J26" i="11" s="1"/>
  <c r="L26" i="11"/>
  <c r="M26" i="11" s="1"/>
  <c r="C27" i="11"/>
  <c r="D27" i="11" s="1"/>
  <c r="F27" i="11"/>
  <c r="G27" i="11" s="1"/>
  <c r="I27" i="11"/>
  <c r="J27" i="11" s="1"/>
  <c r="L27" i="11"/>
  <c r="M27" i="11" s="1"/>
  <c r="C28" i="11"/>
  <c r="D28" i="11" s="1"/>
  <c r="F28" i="11"/>
  <c r="G28" i="11" s="1"/>
  <c r="I28" i="11"/>
  <c r="J28" i="11" s="1"/>
  <c r="L28" i="11"/>
  <c r="M28" i="11" s="1"/>
  <c r="C29" i="11"/>
  <c r="D29" i="11" s="1"/>
  <c r="F29" i="11"/>
  <c r="G29" i="11" s="1"/>
  <c r="I29" i="11"/>
  <c r="J29" i="11" s="1"/>
  <c r="L29" i="11"/>
  <c r="M29" i="11" s="1"/>
  <c r="C30" i="11"/>
  <c r="D30" i="11" s="1"/>
  <c r="F30" i="11"/>
  <c r="G30" i="11" s="1"/>
  <c r="I30" i="11"/>
  <c r="J30" i="11" s="1"/>
  <c r="L30" i="11"/>
  <c r="M30" i="11" s="1"/>
  <c r="C31" i="11"/>
  <c r="D31" i="11" s="1"/>
  <c r="F31" i="11"/>
  <c r="G31" i="11" s="1"/>
  <c r="I31" i="11"/>
  <c r="J31" i="11" s="1"/>
  <c r="L31" i="11"/>
  <c r="M31" i="11" s="1"/>
  <c r="C32" i="11"/>
  <c r="D32" i="11" s="1"/>
  <c r="F32" i="11"/>
  <c r="G32" i="11" s="1"/>
  <c r="I32" i="11"/>
  <c r="J32" i="11" s="1"/>
  <c r="L32" i="11"/>
  <c r="M32" i="11" s="1"/>
  <c r="C33" i="11"/>
  <c r="D33" i="11" s="1"/>
  <c r="F33" i="11"/>
  <c r="G33" i="11" s="1"/>
  <c r="I33" i="11"/>
  <c r="J33" i="11" s="1"/>
  <c r="C34" i="11"/>
  <c r="D34" i="11" s="1"/>
  <c r="F34" i="11"/>
  <c r="G34" i="11" s="1"/>
  <c r="I34" i="11"/>
  <c r="J34" i="11" s="1"/>
  <c r="C35" i="11"/>
  <c r="D35" i="11" s="1"/>
  <c r="F35" i="11"/>
  <c r="G35" i="11" s="1"/>
  <c r="I35" i="11"/>
  <c r="J35" i="11" s="1"/>
  <c r="S23" i="9" l="1"/>
  <c r="T23" i="9" s="1"/>
  <c r="I34" i="9" l="1"/>
  <c r="I33" i="9"/>
  <c r="I32" i="9"/>
  <c r="I31" i="9"/>
  <c r="I30" i="9"/>
  <c r="L11" i="7" l="1"/>
  <c r="L12" i="7"/>
  <c r="M12" i="7" l="1"/>
  <c r="M11" i="7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P9" i="7"/>
  <c r="P10" i="7"/>
  <c r="P11" i="7"/>
  <c r="P12" i="7"/>
  <c r="P13" i="7"/>
  <c r="Q13" i="7" l="1"/>
  <c r="Q11" i="7"/>
  <c r="Q9" i="7"/>
  <c r="Q12" i="7"/>
  <c r="Q10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30" i="6" l="1"/>
  <c r="I31" i="6"/>
  <c r="I32" i="6"/>
  <c r="I33" i="6"/>
  <c r="I34" i="6"/>
  <c r="I35" i="6"/>
  <c r="AB7" i="4" l="1"/>
  <c r="AB9" i="4"/>
  <c r="AB11" i="4"/>
  <c r="AB13" i="4"/>
  <c r="AB15" i="4"/>
  <c r="AB17" i="4"/>
  <c r="AB16" i="4" l="1"/>
  <c r="AB14" i="4"/>
  <c r="AB12" i="4"/>
  <c r="AB10" i="4"/>
  <c r="AB8" i="4"/>
  <c r="AB6" i="4"/>
  <c r="L21" i="1"/>
  <c r="M21" i="1" l="1"/>
  <c r="I35" i="13"/>
  <c r="I34" i="13"/>
  <c r="I30" i="13"/>
  <c r="I24" i="13"/>
  <c r="I23" i="13"/>
  <c r="I22" i="13"/>
  <c r="I21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F15" i="9" l="1"/>
  <c r="F16" i="9"/>
  <c r="I5" i="12" l="1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I11" i="9"/>
  <c r="I10" i="9"/>
  <c r="I35" i="8"/>
  <c r="I34" i="8"/>
  <c r="I33" i="8"/>
  <c r="I32" i="8"/>
  <c r="I31" i="8"/>
  <c r="I21" i="8"/>
  <c r="I20" i="8"/>
  <c r="J17" i="7"/>
  <c r="J16" i="7"/>
  <c r="J15" i="7"/>
  <c r="J14" i="7"/>
  <c r="I5" i="7"/>
  <c r="P35" i="9" l="1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V14" i="5"/>
  <c r="W14" i="5" s="1"/>
  <c r="V15" i="5"/>
  <c r="W15" i="5" s="1"/>
  <c r="V16" i="5"/>
  <c r="W16" i="5" s="1"/>
  <c r="L16" i="5"/>
  <c r="M16" i="5" s="1"/>
  <c r="L17" i="5"/>
  <c r="M17" i="5" s="1"/>
  <c r="L18" i="5"/>
  <c r="M18" i="5" s="1"/>
  <c r="L19" i="5"/>
  <c r="M19" i="5" s="1"/>
  <c r="L20" i="5"/>
  <c r="M20" i="5" s="1"/>
  <c r="AB33" i="7" l="1"/>
  <c r="AB31" i="7"/>
  <c r="AB29" i="7"/>
  <c r="AB27" i="7"/>
  <c r="AB25" i="7"/>
  <c r="AB23" i="7"/>
  <c r="AB21" i="7"/>
  <c r="AB19" i="7"/>
  <c r="AB17" i="7"/>
  <c r="AB15" i="7"/>
  <c r="AB13" i="7"/>
  <c r="AB11" i="7"/>
  <c r="AB9" i="7"/>
  <c r="AB7" i="7"/>
  <c r="AB5" i="7"/>
  <c r="AB31" i="4"/>
  <c r="AB29" i="4"/>
  <c r="AB27" i="4"/>
  <c r="AB25" i="4"/>
  <c r="AB23" i="4"/>
  <c r="AB21" i="4"/>
  <c r="AB19" i="4"/>
  <c r="AB5" i="4"/>
  <c r="AB34" i="1"/>
  <c r="AB32" i="1"/>
  <c r="AB30" i="1"/>
  <c r="AB28" i="1"/>
  <c r="AB26" i="1"/>
  <c r="AB24" i="1"/>
  <c r="AB22" i="1"/>
  <c r="AB20" i="1"/>
  <c r="AB18" i="1"/>
  <c r="AB16" i="1"/>
  <c r="AB14" i="1"/>
  <c r="AB12" i="1"/>
  <c r="AB10" i="1"/>
  <c r="AB8" i="1"/>
  <c r="AB6" i="1"/>
  <c r="AB35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B10" i="7"/>
  <c r="AB8" i="7"/>
  <c r="AB6" i="7"/>
  <c r="AB34" i="4"/>
  <c r="AB32" i="4"/>
  <c r="AB30" i="4"/>
  <c r="AB28" i="4"/>
  <c r="AB26" i="4"/>
  <c r="AB24" i="4"/>
  <c r="AB22" i="4"/>
  <c r="AB20" i="4"/>
  <c r="AB18" i="4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9" i="1"/>
  <c r="AB7" i="1"/>
  <c r="AB5" i="1"/>
  <c r="AB35" i="14"/>
  <c r="S16" i="14"/>
  <c r="P16" i="14"/>
  <c r="S14" i="14"/>
  <c r="P14" i="14"/>
  <c r="S12" i="14"/>
  <c r="P12" i="14"/>
  <c r="S10" i="14"/>
  <c r="P10" i="14"/>
  <c r="S8" i="14"/>
  <c r="P8" i="14"/>
  <c r="S6" i="14"/>
  <c r="P6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S5" i="14"/>
  <c r="S7" i="14"/>
  <c r="S9" i="14"/>
  <c r="S11" i="14"/>
  <c r="S13" i="14"/>
  <c r="S15" i="14"/>
  <c r="S17" i="14"/>
  <c r="P5" i="14"/>
  <c r="P7" i="14"/>
  <c r="P9" i="14"/>
  <c r="P11" i="14"/>
  <c r="P13" i="14"/>
  <c r="P15" i="14"/>
  <c r="C5" i="5" l="1"/>
  <c r="F5" i="5"/>
  <c r="G5" i="5" s="1"/>
  <c r="I5" i="5"/>
  <c r="J5" i="5" s="1"/>
  <c r="L5" i="5"/>
  <c r="M5" i="5" s="1"/>
  <c r="P5" i="5"/>
  <c r="Q5" i="5" s="1"/>
  <c r="S5" i="5"/>
  <c r="T5" i="5" s="1"/>
  <c r="V5" i="5"/>
  <c r="W5" i="5" s="1"/>
  <c r="Y5" i="5"/>
  <c r="Z5" i="5" s="1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AB6" i="5"/>
  <c r="C7" i="5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AB7" i="5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AB8" i="5"/>
  <c r="C9" i="5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AB9" i="5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AB10" i="5"/>
  <c r="C11" i="5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AB11" i="5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AB12" i="5"/>
  <c r="C13" i="5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AB13" i="5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Y14" i="5"/>
  <c r="Z14" i="5" s="1"/>
  <c r="AB14" i="5"/>
  <c r="C15" i="5"/>
  <c r="F15" i="5"/>
  <c r="G15" i="5" s="1"/>
  <c r="I15" i="5"/>
  <c r="J15" i="5" s="1"/>
  <c r="L15" i="5"/>
  <c r="M15" i="5" s="1"/>
  <c r="P15" i="5"/>
  <c r="Q15" i="5" s="1"/>
  <c r="S15" i="5"/>
  <c r="T15" i="5" s="1"/>
  <c r="Y15" i="5"/>
  <c r="Z15" i="5" s="1"/>
  <c r="AB15" i="5"/>
  <c r="C16" i="5"/>
  <c r="D16" i="5" s="1"/>
  <c r="F16" i="5"/>
  <c r="G16" i="5" s="1"/>
  <c r="I16" i="5"/>
  <c r="J16" i="5" s="1"/>
  <c r="P16" i="5"/>
  <c r="Q16" i="5" s="1"/>
  <c r="S16" i="5"/>
  <c r="T16" i="5" s="1"/>
  <c r="Y16" i="5"/>
  <c r="Z16" i="5" s="1"/>
  <c r="AB16" i="5"/>
  <c r="C17" i="5"/>
  <c r="F17" i="5"/>
  <c r="G17" i="5" s="1"/>
  <c r="I17" i="5"/>
  <c r="J17" i="5" s="1"/>
  <c r="P17" i="5"/>
  <c r="Q17" i="5" s="1"/>
  <c r="S17" i="5"/>
  <c r="T17" i="5" s="1"/>
  <c r="V17" i="5"/>
  <c r="W17" i="5" s="1"/>
  <c r="Y17" i="5"/>
  <c r="Z17" i="5" s="1"/>
  <c r="AB17" i="5"/>
  <c r="C18" i="5"/>
  <c r="D18" i="5" s="1"/>
  <c r="F18" i="5"/>
  <c r="G18" i="5" s="1"/>
  <c r="I18" i="5"/>
  <c r="J18" i="5" s="1"/>
  <c r="P18" i="5"/>
  <c r="Q18" i="5" s="1"/>
  <c r="S18" i="5"/>
  <c r="T18" i="5" s="1"/>
  <c r="V18" i="5"/>
  <c r="W18" i="5" s="1"/>
  <c r="Y18" i="5"/>
  <c r="Z18" i="5" s="1"/>
  <c r="AB18" i="5"/>
  <c r="C19" i="5"/>
  <c r="F19" i="5"/>
  <c r="G19" i="5" s="1"/>
  <c r="I19" i="5"/>
  <c r="J19" i="5" s="1"/>
  <c r="P19" i="5"/>
  <c r="Q19" i="5" s="1"/>
  <c r="S19" i="5"/>
  <c r="T19" i="5" s="1"/>
  <c r="V19" i="5"/>
  <c r="W19" i="5" s="1"/>
  <c r="Y19" i="5"/>
  <c r="Z19" i="5" s="1"/>
  <c r="AB19" i="5"/>
  <c r="C20" i="5"/>
  <c r="D20" i="5" s="1"/>
  <c r="F20" i="5"/>
  <c r="G20" i="5" s="1"/>
  <c r="I20" i="5"/>
  <c r="J20" i="5" s="1"/>
  <c r="P20" i="5"/>
  <c r="Q20" i="5" s="1"/>
  <c r="S20" i="5"/>
  <c r="T20" i="5" s="1"/>
  <c r="V20" i="5"/>
  <c r="W20" i="5" s="1"/>
  <c r="Y20" i="5"/>
  <c r="Z20" i="5" s="1"/>
  <c r="AB20" i="5"/>
  <c r="C21" i="5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AB22" i="5"/>
  <c r="C23" i="5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AB24" i="5"/>
  <c r="C25" i="5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AB26" i="5"/>
  <c r="C27" i="5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AB28" i="5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AB29" i="5"/>
  <c r="C30" i="5"/>
  <c r="F30" i="5"/>
  <c r="G30" i="5" s="1"/>
  <c r="I30" i="5"/>
  <c r="L30" i="5"/>
  <c r="M30" i="5" s="1"/>
  <c r="P30" i="5"/>
  <c r="S30" i="5"/>
  <c r="T30" i="5" s="1"/>
  <c r="V30" i="5"/>
  <c r="Y30" i="5"/>
  <c r="Z30" i="5" s="1"/>
  <c r="AB30" i="5"/>
  <c r="C31" i="5"/>
  <c r="D31" i="5" s="1"/>
  <c r="F31" i="5"/>
  <c r="I31" i="5"/>
  <c r="J31" i="5" s="1"/>
  <c r="L31" i="5"/>
  <c r="P31" i="5"/>
  <c r="Q31" i="5" s="1"/>
  <c r="S31" i="5"/>
  <c r="V31" i="5"/>
  <c r="W31" i="5" s="1"/>
  <c r="Y31" i="5"/>
  <c r="Z31" i="5" s="1"/>
  <c r="AB31" i="5"/>
  <c r="C32" i="5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AB32" i="5"/>
  <c r="C33" i="5"/>
  <c r="D33" i="5" s="1"/>
  <c r="F33" i="5"/>
  <c r="G33" i="5" s="1"/>
  <c r="I33" i="5"/>
  <c r="J33" i="5" s="1"/>
  <c r="P33" i="5"/>
  <c r="Q33" i="5" s="1"/>
  <c r="S33" i="5"/>
  <c r="T33" i="5" s="1"/>
  <c r="V33" i="5"/>
  <c r="W33" i="5" s="1"/>
  <c r="Y33" i="5"/>
  <c r="Z33" i="5" s="1"/>
  <c r="AB33" i="5"/>
  <c r="C34" i="5"/>
  <c r="F34" i="5"/>
  <c r="G34" i="5" s="1"/>
  <c r="I34" i="5"/>
  <c r="J34" i="5" s="1"/>
  <c r="P34" i="5"/>
  <c r="Q34" i="5" s="1"/>
  <c r="S34" i="5"/>
  <c r="T34" i="5" s="1"/>
  <c r="V34" i="5"/>
  <c r="W34" i="5" s="1"/>
  <c r="Y34" i="5"/>
  <c r="Z34" i="5" s="1"/>
  <c r="AB34" i="5"/>
  <c r="C35" i="5"/>
  <c r="D35" i="5" s="1"/>
  <c r="F35" i="5"/>
  <c r="G35" i="5" s="1"/>
  <c r="I35" i="5"/>
  <c r="J35" i="5" s="1"/>
  <c r="P35" i="5"/>
  <c r="Q35" i="5" s="1"/>
  <c r="S35" i="5"/>
  <c r="T35" i="5" s="1"/>
  <c r="V35" i="5"/>
  <c r="W35" i="5" s="1"/>
  <c r="Y35" i="5"/>
  <c r="Z35" i="5" s="1"/>
  <c r="AB35" i="5"/>
  <c r="C5" i="12"/>
  <c r="F5" i="12"/>
  <c r="G5" i="12" s="1"/>
  <c r="J5" i="12"/>
  <c r="L5" i="12"/>
  <c r="M5" i="12" s="1"/>
  <c r="P5" i="12"/>
  <c r="Q5" i="12" s="1"/>
  <c r="S5" i="12"/>
  <c r="T5" i="12" s="1"/>
  <c r="V5" i="12"/>
  <c r="W5" i="12" s="1"/>
  <c r="Y5" i="12"/>
  <c r="Z5" i="12" s="1"/>
  <c r="AB5" i="12"/>
  <c r="Y6" i="12"/>
  <c r="Z6" i="12" s="1"/>
  <c r="AB6" i="12"/>
  <c r="Y7" i="12"/>
  <c r="Z7" i="12" s="1"/>
  <c r="AB7" i="12"/>
  <c r="Y8" i="12"/>
  <c r="Z8" i="12" s="1"/>
  <c r="AB8" i="12"/>
  <c r="Y9" i="12"/>
  <c r="Z9" i="12" s="1"/>
  <c r="AB9" i="12"/>
  <c r="Y10" i="12"/>
  <c r="Z10" i="12" s="1"/>
  <c r="AB10" i="12"/>
  <c r="Y11" i="12"/>
  <c r="Z11" i="12" s="1"/>
  <c r="AB11" i="12"/>
  <c r="Y12" i="12"/>
  <c r="Z12" i="12" s="1"/>
  <c r="AB12" i="12"/>
  <c r="Y13" i="12"/>
  <c r="Z13" i="12" s="1"/>
  <c r="AB13" i="12"/>
  <c r="Y14" i="12"/>
  <c r="Z14" i="12" s="1"/>
  <c r="AB14" i="12"/>
  <c r="Y15" i="12"/>
  <c r="Z15" i="12" s="1"/>
  <c r="AB15" i="12"/>
  <c r="Y16" i="12"/>
  <c r="Z16" i="12" s="1"/>
  <c r="AB16" i="12"/>
  <c r="Y17" i="12"/>
  <c r="Z17" i="12" s="1"/>
  <c r="AB17" i="12"/>
  <c r="Y18" i="12"/>
  <c r="Z18" i="12" s="1"/>
  <c r="AB18" i="12"/>
  <c r="Y19" i="12"/>
  <c r="Z19" i="12" s="1"/>
  <c r="AB19" i="12"/>
  <c r="Y20" i="12"/>
  <c r="Z20" i="12" s="1"/>
  <c r="AB20" i="12"/>
  <c r="Y21" i="12"/>
  <c r="AB21" i="12"/>
  <c r="Y22" i="12"/>
  <c r="Z22" i="12" s="1"/>
  <c r="AB22" i="12"/>
  <c r="Y23" i="12"/>
  <c r="Z23" i="12" s="1"/>
  <c r="AB23" i="12"/>
  <c r="Y24" i="12"/>
  <c r="Z24" i="12" s="1"/>
  <c r="AB24" i="12"/>
  <c r="Y25" i="12"/>
  <c r="Z25" i="12" s="1"/>
  <c r="AB25" i="12"/>
  <c r="Y26" i="12"/>
  <c r="Z26" i="12" s="1"/>
  <c r="AB26" i="12"/>
  <c r="Y27" i="12"/>
  <c r="Z27" i="12" s="1"/>
  <c r="Y28" i="12"/>
  <c r="Z28" i="12" s="1"/>
  <c r="AB28" i="12"/>
  <c r="Y29" i="12"/>
  <c r="Z29" i="12" s="1"/>
  <c r="Y30" i="12"/>
  <c r="Z30" i="12" s="1"/>
  <c r="AB30" i="12"/>
  <c r="Y31" i="12"/>
  <c r="Z31" i="12" s="1"/>
  <c r="Y32" i="12"/>
  <c r="Z32" i="12" s="1"/>
  <c r="AB32" i="12"/>
  <c r="Y33" i="12"/>
  <c r="Z33" i="12" s="1"/>
  <c r="Y34" i="12"/>
  <c r="Z34" i="12" s="1"/>
  <c r="AB34" i="12"/>
  <c r="B35" i="12"/>
  <c r="E35" i="12"/>
  <c r="H35" i="12"/>
  <c r="K35" i="12"/>
  <c r="O35" i="12"/>
  <c r="U35" i="12"/>
  <c r="C5" i="11"/>
  <c r="F5" i="11"/>
  <c r="G5" i="11" s="1"/>
  <c r="I5" i="11"/>
  <c r="J5" i="11" s="1"/>
  <c r="L5" i="11"/>
  <c r="M5" i="11" s="1"/>
  <c r="P5" i="11"/>
  <c r="Q5" i="11" s="1"/>
  <c r="S5" i="11"/>
  <c r="T5" i="11" s="1"/>
  <c r="V5" i="11"/>
  <c r="W5" i="11" s="1"/>
  <c r="Y5" i="11"/>
  <c r="Z5" i="11" s="1"/>
  <c r="AB5" i="11"/>
  <c r="AB6" i="11"/>
  <c r="AB7" i="11"/>
  <c r="AB8" i="11"/>
  <c r="AB9" i="11"/>
  <c r="AB11" i="11"/>
  <c r="AB13" i="11"/>
  <c r="AB15" i="11"/>
  <c r="AB17" i="11"/>
  <c r="AB19" i="11"/>
  <c r="AB21" i="11"/>
  <c r="AB23" i="11"/>
  <c r="AB25" i="11"/>
  <c r="AB27" i="11"/>
  <c r="AB29" i="11"/>
  <c r="AB31" i="11"/>
  <c r="AB33" i="11"/>
  <c r="AB35" i="11"/>
  <c r="F5" i="9"/>
  <c r="G5" i="9" s="1"/>
  <c r="I5" i="9"/>
  <c r="J5" i="9" s="1"/>
  <c r="L5" i="9"/>
  <c r="M5" i="9" s="1"/>
  <c r="Q5" i="9"/>
  <c r="S5" i="9"/>
  <c r="T5" i="9" s="1"/>
  <c r="V5" i="9"/>
  <c r="W5" i="9" s="1"/>
  <c r="Y5" i="9"/>
  <c r="Z5" i="9" s="1"/>
  <c r="C6" i="9"/>
  <c r="F6" i="9"/>
  <c r="G6" i="9" s="1"/>
  <c r="I6" i="9"/>
  <c r="J6" i="9" s="1"/>
  <c r="L6" i="9"/>
  <c r="M6" i="9" s="1"/>
  <c r="Q6" i="9"/>
  <c r="S6" i="9"/>
  <c r="T6" i="9" s="1"/>
  <c r="V6" i="9"/>
  <c r="W6" i="9" s="1"/>
  <c r="Y6" i="9"/>
  <c r="Z6" i="9" s="1"/>
  <c r="AB6" i="9"/>
  <c r="F7" i="9"/>
  <c r="G7" i="9" s="1"/>
  <c r="I7" i="9"/>
  <c r="J7" i="9" s="1"/>
  <c r="L7" i="9"/>
  <c r="M7" i="9" s="1"/>
  <c r="Q7" i="9"/>
  <c r="S7" i="9"/>
  <c r="T7" i="9" s="1"/>
  <c r="V7" i="9"/>
  <c r="W7" i="9" s="1"/>
  <c r="Y7" i="9"/>
  <c r="Z7" i="9" s="1"/>
  <c r="C8" i="9"/>
  <c r="F8" i="9"/>
  <c r="G8" i="9" s="1"/>
  <c r="I8" i="9"/>
  <c r="J8" i="9" s="1"/>
  <c r="L8" i="9"/>
  <c r="M8" i="9" s="1"/>
  <c r="Q8" i="9"/>
  <c r="S8" i="9"/>
  <c r="T8" i="9" s="1"/>
  <c r="V8" i="9"/>
  <c r="W8" i="9" s="1"/>
  <c r="Y8" i="9"/>
  <c r="Z8" i="9" s="1"/>
  <c r="AB8" i="9"/>
  <c r="F9" i="9"/>
  <c r="G9" i="9" s="1"/>
  <c r="I9" i="9"/>
  <c r="J9" i="9" s="1"/>
  <c r="L9" i="9"/>
  <c r="M9" i="9" s="1"/>
  <c r="Q9" i="9"/>
  <c r="S9" i="9"/>
  <c r="T9" i="9" s="1"/>
  <c r="V9" i="9"/>
  <c r="W9" i="9" s="1"/>
  <c r="Y9" i="9"/>
  <c r="Z9" i="9" s="1"/>
  <c r="C10" i="9"/>
  <c r="F10" i="9"/>
  <c r="G10" i="9" s="1"/>
  <c r="J10" i="9"/>
  <c r="L10" i="9"/>
  <c r="M10" i="9" s="1"/>
  <c r="Q10" i="9"/>
  <c r="S10" i="9"/>
  <c r="T10" i="9" s="1"/>
  <c r="V10" i="9"/>
  <c r="W10" i="9" s="1"/>
  <c r="Y10" i="9"/>
  <c r="Z10" i="9" s="1"/>
  <c r="AB10" i="9"/>
  <c r="F11" i="9"/>
  <c r="G11" i="9" s="1"/>
  <c r="J11" i="9"/>
  <c r="L11" i="9"/>
  <c r="M11" i="9" s="1"/>
  <c r="Q11" i="9"/>
  <c r="S11" i="9"/>
  <c r="T11" i="9" s="1"/>
  <c r="V11" i="9"/>
  <c r="W11" i="9" s="1"/>
  <c r="Y11" i="9"/>
  <c r="Z11" i="9" s="1"/>
  <c r="C12" i="9"/>
  <c r="F12" i="9"/>
  <c r="G12" i="9" s="1"/>
  <c r="I12" i="9"/>
  <c r="J12" i="9" s="1"/>
  <c r="L12" i="9"/>
  <c r="M12" i="9" s="1"/>
  <c r="Q12" i="9"/>
  <c r="S12" i="9"/>
  <c r="T12" i="9" s="1"/>
  <c r="V12" i="9"/>
  <c r="W12" i="9" s="1"/>
  <c r="Y12" i="9"/>
  <c r="Z12" i="9" s="1"/>
  <c r="AB12" i="9"/>
  <c r="F13" i="9"/>
  <c r="G13" i="9" s="1"/>
  <c r="I13" i="9"/>
  <c r="J13" i="9" s="1"/>
  <c r="L13" i="9"/>
  <c r="M13" i="9" s="1"/>
  <c r="Q13" i="9"/>
  <c r="S13" i="9"/>
  <c r="T13" i="9" s="1"/>
  <c r="V13" i="9"/>
  <c r="W13" i="9" s="1"/>
  <c r="Y13" i="9"/>
  <c r="Z13" i="9" s="1"/>
  <c r="C14" i="9"/>
  <c r="F14" i="9"/>
  <c r="G14" i="9" s="1"/>
  <c r="I14" i="9"/>
  <c r="J14" i="9" s="1"/>
  <c r="L14" i="9"/>
  <c r="M14" i="9" s="1"/>
  <c r="Q14" i="9"/>
  <c r="S14" i="9"/>
  <c r="T14" i="9" s="1"/>
  <c r="V14" i="9"/>
  <c r="W14" i="9" s="1"/>
  <c r="Y14" i="9"/>
  <c r="Z14" i="9" s="1"/>
  <c r="AB14" i="9"/>
  <c r="G15" i="9"/>
  <c r="I15" i="9"/>
  <c r="J15" i="9" s="1"/>
  <c r="L15" i="9"/>
  <c r="M15" i="9" s="1"/>
  <c r="Q15" i="9"/>
  <c r="S15" i="9"/>
  <c r="T15" i="9" s="1"/>
  <c r="V15" i="9"/>
  <c r="W15" i="9" s="1"/>
  <c r="Y15" i="9"/>
  <c r="Z15" i="9" s="1"/>
  <c r="C16" i="9"/>
  <c r="G16" i="9"/>
  <c r="I16" i="9"/>
  <c r="J16" i="9" s="1"/>
  <c r="L16" i="9"/>
  <c r="M16" i="9" s="1"/>
  <c r="Q16" i="9"/>
  <c r="S16" i="9"/>
  <c r="T16" i="9" s="1"/>
  <c r="V16" i="9"/>
  <c r="W16" i="9" s="1"/>
  <c r="Y16" i="9"/>
  <c r="Z16" i="9" s="1"/>
  <c r="AB16" i="9"/>
  <c r="C17" i="9"/>
  <c r="D17" i="9" s="1"/>
  <c r="F17" i="9"/>
  <c r="G17" i="9" s="1"/>
  <c r="I17" i="9"/>
  <c r="J17" i="9" s="1"/>
  <c r="L17" i="9"/>
  <c r="M17" i="9" s="1"/>
  <c r="Q17" i="9"/>
  <c r="S17" i="9"/>
  <c r="T17" i="9" s="1"/>
  <c r="V17" i="9"/>
  <c r="W17" i="9" s="1"/>
  <c r="Y17" i="9"/>
  <c r="AB17" i="9"/>
  <c r="C18" i="9"/>
  <c r="F18" i="9"/>
  <c r="G18" i="9" s="1"/>
  <c r="I18" i="9"/>
  <c r="L18" i="9"/>
  <c r="M18" i="9" s="1"/>
  <c r="S18" i="9"/>
  <c r="T18" i="9" s="1"/>
  <c r="V18" i="9"/>
  <c r="Y18" i="9"/>
  <c r="Z18" i="9" s="1"/>
  <c r="C19" i="9"/>
  <c r="D19" i="9" s="1"/>
  <c r="F19" i="9"/>
  <c r="I19" i="9"/>
  <c r="J19" i="9" s="1"/>
  <c r="L19" i="9"/>
  <c r="Q19" i="9"/>
  <c r="S19" i="9"/>
  <c r="T19" i="9" s="1"/>
  <c r="V19" i="9"/>
  <c r="W19" i="9" s="1"/>
  <c r="Y19" i="9"/>
  <c r="Z19" i="9" s="1"/>
  <c r="AB19" i="9"/>
  <c r="C20" i="9"/>
  <c r="F20" i="9"/>
  <c r="G20" i="9" s="1"/>
  <c r="I20" i="9"/>
  <c r="J20" i="9" s="1"/>
  <c r="L20" i="9"/>
  <c r="M20" i="9" s="1"/>
  <c r="Q20" i="9"/>
  <c r="S20" i="9"/>
  <c r="T20" i="9" s="1"/>
  <c r="V20" i="9"/>
  <c r="W20" i="9" s="1"/>
  <c r="Y20" i="9"/>
  <c r="Z20" i="9" s="1"/>
  <c r="C21" i="9"/>
  <c r="D21" i="9" s="1"/>
  <c r="F21" i="9"/>
  <c r="G21" i="9" s="1"/>
  <c r="I21" i="9"/>
  <c r="J21" i="9" s="1"/>
  <c r="L21" i="9"/>
  <c r="M21" i="9" s="1"/>
  <c r="Q21" i="9"/>
  <c r="S21" i="9"/>
  <c r="T21" i="9" s="1"/>
  <c r="V21" i="9"/>
  <c r="W21" i="9" s="1"/>
  <c r="Y21" i="9"/>
  <c r="Z21" i="9" s="1"/>
  <c r="AB21" i="9"/>
  <c r="C22" i="9"/>
  <c r="F22" i="9"/>
  <c r="G22" i="9" s="1"/>
  <c r="I22" i="9"/>
  <c r="J22" i="9" s="1"/>
  <c r="L22" i="9"/>
  <c r="M22" i="9" s="1"/>
  <c r="Q22" i="9"/>
  <c r="S22" i="9"/>
  <c r="T22" i="9" s="1"/>
  <c r="V22" i="9"/>
  <c r="W22" i="9" s="1"/>
  <c r="Y22" i="9"/>
  <c r="Z22" i="9" s="1"/>
  <c r="C23" i="9"/>
  <c r="D23" i="9" s="1"/>
  <c r="F23" i="9"/>
  <c r="G23" i="9" s="1"/>
  <c r="I23" i="9"/>
  <c r="J23" i="9" s="1"/>
  <c r="L23" i="9"/>
  <c r="M23" i="9" s="1"/>
  <c r="Q23" i="9"/>
  <c r="V23" i="9"/>
  <c r="W23" i="9" s="1"/>
  <c r="Y23" i="9"/>
  <c r="Z23" i="9" s="1"/>
  <c r="AB23" i="9"/>
  <c r="C24" i="9"/>
  <c r="F24" i="9"/>
  <c r="G24" i="9" s="1"/>
  <c r="I24" i="9"/>
  <c r="J24" i="9" s="1"/>
  <c r="Q24" i="9"/>
  <c r="S24" i="9"/>
  <c r="T24" i="9" s="1"/>
  <c r="V24" i="9"/>
  <c r="W24" i="9" s="1"/>
  <c r="Y24" i="9"/>
  <c r="Z24" i="9" s="1"/>
  <c r="C25" i="9"/>
  <c r="D25" i="9" s="1"/>
  <c r="F25" i="9"/>
  <c r="G25" i="9" s="1"/>
  <c r="I25" i="9"/>
  <c r="J25" i="9" s="1"/>
  <c r="Q25" i="9"/>
  <c r="S25" i="9"/>
  <c r="T25" i="9" s="1"/>
  <c r="V25" i="9"/>
  <c r="W25" i="9" s="1"/>
  <c r="Y25" i="9"/>
  <c r="Z25" i="9" s="1"/>
  <c r="AB25" i="9"/>
  <c r="C26" i="9"/>
  <c r="F26" i="9"/>
  <c r="G26" i="9" s="1"/>
  <c r="I26" i="9"/>
  <c r="J26" i="9" s="1"/>
  <c r="Q26" i="9"/>
  <c r="S26" i="9"/>
  <c r="T26" i="9" s="1"/>
  <c r="V26" i="9"/>
  <c r="W26" i="9" s="1"/>
  <c r="Y26" i="9"/>
  <c r="Z26" i="9" s="1"/>
  <c r="C27" i="9"/>
  <c r="D27" i="9" s="1"/>
  <c r="F27" i="9"/>
  <c r="G27" i="9" s="1"/>
  <c r="I27" i="9"/>
  <c r="J27" i="9" s="1"/>
  <c r="Q27" i="9"/>
  <c r="S27" i="9"/>
  <c r="T27" i="9" s="1"/>
  <c r="V27" i="9"/>
  <c r="W27" i="9" s="1"/>
  <c r="Y27" i="9"/>
  <c r="Z27" i="9" s="1"/>
  <c r="AB27" i="9"/>
  <c r="C28" i="9"/>
  <c r="F28" i="9"/>
  <c r="G28" i="9" s="1"/>
  <c r="I28" i="9"/>
  <c r="J28" i="9" s="1"/>
  <c r="Q28" i="9"/>
  <c r="S28" i="9"/>
  <c r="T28" i="9" s="1"/>
  <c r="V28" i="9"/>
  <c r="W28" i="9" s="1"/>
  <c r="Y28" i="9"/>
  <c r="Z28" i="9" s="1"/>
  <c r="C29" i="9"/>
  <c r="D29" i="9" s="1"/>
  <c r="F29" i="9"/>
  <c r="G29" i="9" s="1"/>
  <c r="I29" i="9"/>
  <c r="J29" i="9" s="1"/>
  <c r="Q29" i="9"/>
  <c r="S29" i="9"/>
  <c r="T29" i="9" s="1"/>
  <c r="V29" i="9"/>
  <c r="W29" i="9" s="1"/>
  <c r="Y29" i="9"/>
  <c r="Z29" i="9" s="1"/>
  <c r="AB29" i="9"/>
  <c r="C30" i="9"/>
  <c r="F30" i="9"/>
  <c r="G30" i="9" s="1"/>
  <c r="J30" i="9"/>
  <c r="Q30" i="9"/>
  <c r="S30" i="9"/>
  <c r="T30" i="9" s="1"/>
  <c r="V30" i="9"/>
  <c r="W30" i="9" s="1"/>
  <c r="Y30" i="9"/>
  <c r="Z30" i="9" s="1"/>
  <c r="C31" i="9"/>
  <c r="D31" i="9" s="1"/>
  <c r="F31" i="9"/>
  <c r="G31" i="9" s="1"/>
  <c r="J31" i="9"/>
  <c r="Q31" i="9"/>
  <c r="S31" i="9"/>
  <c r="T31" i="9" s="1"/>
  <c r="V31" i="9"/>
  <c r="W31" i="9" s="1"/>
  <c r="Y31" i="9"/>
  <c r="Z31" i="9" s="1"/>
  <c r="AB31" i="9"/>
  <c r="C32" i="9"/>
  <c r="F32" i="9"/>
  <c r="G32" i="9" s="1"/>
  <c r="J32" i="9"/>
  <c r="Q32" i="9"/>
  <c r="S32" i="9"/>
  <c r="T32" i="9" s="1"/>
  <c r="V32" i="9"/>
  <c r="W32" i="9" s="1"/>
  <c r="Y32" i="9"/>
  <c r="Z32" i="9" s="1"/>
  <c r="C33" i="9"/>
  <c r="D33" i="9" s="1"/>
  <c r="F33" i="9"/>
  <c r="G33" i="9" s="1"/>
  <c r="J33" i="9"/>
  <c r="Q33" i="9"/>
  <c r="S33" i="9"/>
  <c r="T33" i="9" s="1"/>
  <c r="V33" i="9"/>
  <c r="W33" i="9" s="1"/>
  <c r="Y33" i="9"/>
  <c r="Z33" i="9" s="1"/>
  <c r="AB33" i="9"/>
  <c r="C34" i="9"/>
  <c r="F34" i="9"/>
  <c r="G34" i="9" s="1"/>
  <c r="J34" i="9"/>
  <c r="L34" i="9"/>
  <c r="M34" i="9" s="1"/>
  <c r="Q34" i="9"/>
  <c r="S34" i="9"/>
  <c r="T34" i="9" s="1"/>
  <c r="V34" i="9"/>
  <c r="W34" i="9" s="1"/>
  <c r="Y34" i="9"/>
  <c r="Z34" i="9" s="1"/>
  <c r="C5" i="8"/>
  <c r="F5" i="8"/>
  <c r="G5" i="8" s="1"/>
  <c r="I5" i="8"/>
  <c r="L5" i="8"/>
  <c r="M5" i="8" s="1"/>
  <c r="P5" i="8"/>
  <c r="S5" i="8"/>
  <c r="T5" i="8" s="1"/>
  <c r="V5" i="8"/>
  <c r="Y5" i="8"/>
  <c r="Z5" i="8" s="1"/>
  <c r="C6" i="8"/>
  <c r="F6" i="8"/>
  <c r="G6" i="8" s="1"/>
  <c r="I6" i="8"/>
  <c r="J6" i="8" s="1"/>
  <c r="L6" i="8"/>
  <c r="M6" i="8" s="1"/>
  <c r="P6" i="8"/>
  <c r="Q6" i="8" s="1"/>
  <c r="S6" i="8"/>
  <c r="T6" i="8" s="1"/>
  <c r="V6" i="8"/>
  <c r="W6" i="8" s="1"/>
  <c r="Y6" i="8"/>
  <c r="Z6" i="8" s="1"/>
  <c r="C7" i="8"/>
  <c r="F7" i="8"/>
  <c r="G7" i="8" s="1"/>
  <c r="I7" i="8"/>
  <c r="J7" i="8" s="1"/>
  <c r="L7" i="8"/>
  <c r="M7" i="8" s="1"/>
  <c r="P7" i="8"/>
  <c r="Q7" i="8" s="1"/>
  <c r="S7" i="8"/>
  <c r="T7" i="8" s="1"/>
  <c r="V7" i="8"/>
  <c r="W7" i="8" s="1"/>
  <c r="Y7" i="8"/>
  <c r="Z7" i="8" s="1"/>
  <c r="C8" i="8"/>
  <c r="F8" i="8"/>
  <c r="G8" i="8" s="1"/>
  <c r="I8" i="8"/>
  <c r="J8" i="8" s="1"/>
  <c r="L8" i="8"/>
  <c r="M8" i="8" s="1"/>
  <c r="P8" i="8"/>
  <c r="Q8" i="8" s="1"/>
  <c r="S8" i="8"/>
  <c r="T8" i="8" s="1"/>
  <c r="V8" i="8"/>
  <c r="W8" i="8" s="1"/>
  <c r="Y8" i="8"/>
  <c r="Z8" i="8" s="1"/>
  <c r="C9" i="8"/>
  <c r="F9" i="8"/>
  <c r="G9" i="8" s="1"/>
  <c r="I9" i="8"/>
  <c r="J9" i="8" s="1"/>
  <c r="L9" i="8"/>
  <c r="M9" i="8" s="1"/>
  <c r="P9" i="8"/>
  <c r="Q9" i="8" s="1"/>
  <c r="S9" i="8"/>
  <c r="T9" i="8" s="1"/>
  <c r="V9" i="8"/>
  <c r="W9" i="8" s="1"/>
  <c r="Y9" i="8"/>
  <c r="Z9" i="8" s="1"/>
  <c r="C10" i="8"/>
  <c r="F10" i="8"/>
  <c r="G10" i="8" s="1"/>
  <c r="I10" i="8"/>
  <c r="J10" i="8" s="1"/>
  <c r="L10" i="8"/>
  <c r="M10" i="8" s="1"/>
  <c r="P10" i="8"/>
  <c r="Q10" i="8" s="1"/>
  <c r="S10" i="8"/>
  <c r="T10" i="8" s="1"/>
  <c r="V10" i="8"/>
  <c r="W10" i="8" s="1"/>
  <c r="Y10" i="8"/>
  <c r="Z10" i="8" s="1"/>
  <c r="C11" i="8"/>
  <c r="F11" i="8"/>
  <c r="G11" i="8" s="1"/>
  <c r="I11" i="8"/>
  <c r="J11" i="8" s="1"/>
  <c r="L11" i="8"/>
  <c r="M11" i="8" s="1"/>
  <c r="P11" i="8"/>
  <c r="Q11" i="8" s="1"/>
  <c r="S11" i="8"/>
  <c r="T11" i="8" s="1"/>
  <c r="V11" i="8"/>
  <c r="W11" i="8" s="1"/>
  <c r="Y11" i="8"/>
  <c r="Z11" i="8" s="1"/>
  <c r="C12" i="8"/>
  <c r="F12" i="8"/>
  <c r="G12" i="8" s="1"/>
  <c r="I12" i="8"/>
  <c r="J12" i="8" s="1"/>
  <c r="L12" i="8"/>
  <c r="M12" i="8" s="1"/>
  <c r="P12" i="8"/>
  <c r="Q12" i="8" s="1"/>
  <c r="S12" i="8"/>
  <c r="T12" i="8" s="1"/>
  <c r="V12" i="8"/>
  <c r="W12" i="8" s="1"/>
  <c r="Y12" i="8"/>
  <c r="Z12" i="8" s="1"/>
  <c r="C13" i="8"/>
  <c r="F13" i="8"/>
  <c r="G13" i="8" s="1"/>
  <c r="I13" i="8"/>
  <c r="J13" i="8" s="1"/>
  <c r="L13" i="8"/>
  <c r="M13" i="8" s="1"/>
  <c r="P13" i="8"/>
  <c r="Q13" i="8" s="1"/>
  <c r="S13" i="8"/>
  <c r="T13" i="8" s="1"/>
  <c r="V13" i="8"/>
  <c r="W13" i="8" s="1"/>
  <c r="Y13" i="8"/>
  <c r="Z13" i="8" s="1"/>
  <c r="C14" i="8"/>
  <c r="F14" i="8"/>
  <c r="G14" i="8" s="1"/>
  <c r="I14" i="8"/>
  <c r="J14" i="8" s="1"/>
  <c r="L14" i="8"/>
  <c r="M14" i="8" s="1"/>
  <c r="P14" i="8"/>
  <c r="Q14" i="8" s="1"/>
  <c r="S14" i="8"/>
  <c r="T14" i="8" s="1"/>
  <c r="V14" i="8"/>
  <c r="W14" i="8" s="1"/>
  <c r="Y14" i="8"/>
  <c r="Z14" i="8" s="1"/>
  <c r="C15" i="8"/>
  <c r="F15" i="8"/>
  <c r="G15" i="8" s="1"/>
  <c r="I15" i="8"/>
  <c r="J15" i="8" s="1"/>
  <c r="L15" i="8"/>
  <c r="M15" i="8" s="1"/>
  <c r="P15" i="8"/>
  <c r="Q15" i="8" s="1"/>
  <c r="S15" i="8"/>
  <c r="T15" i="8" s="1"/>
  <c r="V15" i="8"/>
  <c r="W15" i="8" s="1"/>
  <c r="Y15" i="8"/>
  <c r="Z15" i="8" s="1"/>
  <c r="C16" i="8"/>
  <c r="F16" i="8"/>
  <c r="G16" i="8" s="1"/>
  <c r="I16" i="8"/>
  <c r="J16" i="8" s="1"/>
  <c r="L16" i="8"/>
  <c r="M16" i="8" s="1"/>
  <c r="P16" i="8"/>
  <c r="Q16" i="8" s="1"/>
  <c r="S16" i="8"/>
  <c r="T16" i="8" s="1"/>
  <c r="V16" i="8"/>
  <c r="W16" i="8" s="1"/>
  <c r="Y16" i="8"/>
  <c r="Z16" i="8" s="1"/>
  <c r="C17" i="8"/>
  <c r="F17" i="8"/>
  <c r="G17" i="8" s="1"/>
  <c r="I17" i="8"/>
  <c r="J17" i="8" s="1"/>
  <c r="L17" i="8"/>
  <c r="M17" i="8" s="1"/>
  <c r="P17" i="8"/>
  <c r="Q17" i="8" s="1"/>
  <c r="S17" i="8"/>
  <c r="T17" i="8" s="1"/>
  <c r="V17" i="8"/>
  <c r="W17" i="8" s="1"/>
  <c r="Y17" i="8"/>
  <c r="Z17" i="8" s="1"/>
  <c r="C18" i="8"/>
  <c r="F18" i="8"/>
  <c r="G18" i="8" s="1"/>
  <c r="I18" i="8"/>
  <c r="J18" i="8" s="1"/>
  <c r="L18" i="8"/>
  <c r="M18" i="8" s="1"/>
  <c r="P18" i="8"/>
  <c r="Q18" i="8" s="1"/>
  <c r="S18" i="8"/>
  <c r="T18" i="8" s="1"/>
  <c r="V18" i="8"/>
  <c r="W18" i="8" s="1"/>
  <c r="Y18" i="8"/>
  <c r="Z18" i="8" s="1"/>
  <c r="C19" i="8"/>
  <c r="F19" i="8"/>
  <c r="G19" i="8" s="1"/>
  <c r="I19" i="8"/>
  <c r="J19" i="8" s="1"/>
  <c r="L19" i="8"/>
  <c r="M19" i="8" s="1"/>
  <c r="P19" i="8"/>
  <c r="Q19" i="8" s="1"/>
  <c r="S19" i="8"/>
  <c r="T19" i="8" s="1"/>
  <c r="V19" i="8"/>
  <c r="W19" i="8" s="1"/>
  <c r="Y19" i="8"/>
  <c r="Z19" i="8" s="1"/>
  <c r="C20" i="8"/>
  <c r="F20" i="8"/>
  <c r="G20" i="8" s="1"/>
  <c r="J20" i="8"/>
  <c r="L20" i="8"/>
  <c r="M20" i="8" s="1"/>
  <c r="P20" i="8"/>
  <c r="Q20" i="8" s="1"/>
  <c r="S20" i="8"/>
  <c r="T20" i="8" s="1"/>
  <c r="V20" i="8"/>
  <c r="W20" i="8" s="1"/>
  <c r="Y20" i="8"/>
  <c r="Z20" i="8" s="1"/>
  <c r="C21" i="8"/>
  <c r="F21" i="8"/>
  <c r="G21" i="8" s="1"/>
  <c r="J21" i="8"/>
  <c r="L21" i="8"/>
  <c r="M21" i="8" s="1"/>
  <c r="P21" i="8"/>
  <c r="Q21" i="8" s="1"/>
  <c r="S21" i="8"/>
  <c r="T21" i="8" s="1"/>
  <c r="V21" i="8"/>
  <c r="W21" i="8" s="1"/>
  <c r="Y21" i="8"/>
  <c r="Z21" i="8" s="1"/>
  <c r="C22" i="8"/>
  <c r="F22" i="8"/>
  <c r="G22" i="8" s="1"/>
  <c r="I22" i="8"/>
  <c r="J22" i="8" s="1"/>
  <c r="L22" i="8"/>
  <c r="M22" i="8" s="1"/>
  <c r="P22" i="8"/>
  <c r="Q22" i="8" s="1"/>
  <c r="S22" i="8"/>
  <c r="T22" i="8" s="1"/>
  <c r="V22" i="8"/>
  <c r="W22" i="8" s="1"/>
  <c r="Y22" i="8"/>
  <c r="Z22" i="8" s="1"/>
  <c r="C23" i="8"/>
  <c r="F23" i="8"/>
  <c r="G23" i="8" s="1"/>
  <c r="I23" i="8"/>
  <c r="J23" i="8" s="1"/>
  <c r="L23" i="8"/>
  <c r="M23" i="8" s="1"/>
  <c r="P23" i="8"/>
  <c r="Q23" i="8" s="1"/>
  <c r="S23" i="8"/>
  <c r="T23" i="8" s="1"/>
  <c r="V23" i="8"/>
  <c r="W23" i="8" s="1"/>
  <c r="Y23" i="8"/>
  <c r="Z23" i="8" s="1"/>
  <c r="C24" i="8"/>
  <c r="F24" i="8"/>
  <c r="G24" i="8" s="1"/>
  <c r="I24" i="8"/>
  <c r="J24" i="8" s="1"/>
  <c r="L24" i="8"/>
  <c r="M24" i="8" s="1"/>
  <c r="P24" i="8"/>
  <c r="Q24" i="8" s="1"/>
  <c r="S24" i="8"/>
  <c r="T24" i="8" s="1"/>
  <c r="V24" i="8"/>
  <c r="W24" i="8" s="1"/>
  <c r="Y24" i="8"/>
  <c r="Z24" i="8" s="1"/>
  <c r="C25" i="8"/>
  <c r="F25" i="8"/>
  <c r="G25" i="8" s="1"/>
  <c r="I25" i="8"/>
  <c r="J25" i="8" s="1"/>
  <c r="L25" i="8"/>
  <c r="M25" i="8" s="1"/>
  <c r="P25" i="8"/>
  <c r="Q25" i="8" s="1"/>
  <c r="S25" i="8"/>
  <c r="T25" i="8" s="1"/>
  <c r="V25" i="8"/>
  <c r="W25" i="8" s="1"/>
  <c r="Y25" i="8"/>
  <c r="Z25" i="8" s="1"/>
  <c r="C26" i="8"/>
  <c r="F26" i="8"/>
  <c r="G26" i="8" s="1"/>
  <c r="I26" i="8"/>
  <c r="J26" i="8" s="1"/>
  <c r="L26" i="8"/>
  <c r="M26" i="8" s="1"/>
  <c r="P26" i="8"/>
  <c r="Q26" i="8" s="1"/>
  <c r="S26" i="8"/>
  <c r="T26" i="8" s="1"/>
  <c r="V26" i="8"/>
  <c r="W26" i="8" s="1"/>
  <c r="Y26" i="8"/>
  <c r="Z26" i="8" s="1"/>
  <c r="C27" i="8"/>
  <c r="F27" i="8"/>
  <c r="G27" i="8" s="1"/>
  <c r="I27" i="8"/>
  <c r="J27" i="8" s="1"/>
  <c r="L27" i="8"/>
  <c r="M27" i="8" s="1"/>
  <c r="P27" i="8"/>
  <c r="Q27" i="8" s="1"/>
  <c r="S27" i="8"/>
  <c r="T27" i="8" s="1"/>
  <c r="V27" i="8"/>
  <c r="W27" i="8" s="1"/>
  <c r="Y27" i="8"/>
  <c r="Z27" i="8" s="1"/>
  <c r="C28" i="8"/>
  <c r="F28" i="8"/>
  <c r="G28" i="8" s="1"/>
  <c r="I28" i="8"/>
  <c r="J28" i="8" s="1"/>
  <c r="L28" i="8"/>
  <c r="M28" i="8" s="1"/>
  <c r="P28" i="8"/>
  <c r="Q28" i="8" s="1"/>
  <c r="S28" i="8"/>
  <c r="T28" i="8" s="1"/>
  <c r="V28" i="8"/>
  <c r="W28" i="8" s="1"/>
  <c r="Y28" i="8"/>
  <c r="Z28" i="8" s="1"/>
  <c r="C29" i="8"/>
  <c r="F29" i="8"/>
  <c r="G29" i="8" s="1"/>
  <c r="I29" i="8"/>
  <c r="J29" i="8" s="1"/>
  <c r="L29" i="8"/>
  <c r="M29" i="8" s="1"/>
  <c r="P29" i="8"/>
  <c r="Q29" i="8" s="1"/>
  <c r="S29" i="8"/>
  <c r="T29" i="8" s="1"/>
  <c r="V29" i="8"/>
  <c r="W29" i="8" s="1"/>
  <c r="Y29" i="8"/>
  <c r="Z29" i="8" s="1"/>
  <c r="C30" i="8"/>
  <c r="F30" i="8"/>
  <c r="G30" i="8" s="1"/>
  <c r="I30" i="8"/>
  <c r="J30" i="8" s="1"/>
  <c r="M30" i="8"/>
  <c r="P30" i="8"/>
  <c r="Q30" i="8" s="1"/>
  <c r="S30" i="8"/>
  <c r="T30" i="8" s="1"/>
  <c r="V30" i="8"/>
  <c r="W30" i="8" s="1"/>
  <c r="Y30" i="8"/>
  <c r="Z30" i="8" s="1"/>
  <c r="C31" i="8"/>
  <c r="F31" i="8"/>
  <c r="G31" i="8" s="1"/>
  <c r="J31" i="8"/>
  <c r="M31" i="8"/>
  <c r="P31" i="8"/>
  <c r="Q31" i="8" s="1"/>
  <c r="S31" i="8"/>
  <c r="T31" i="8" s="1"/>
  <c r="V31" i="8"/>
  <c r="W31" i="8" s="1"/>
  <c r="Y31" i="8"/>
  <c r="Z31" i="8" s="1"/>
  <c r="C32" i="8"/>
  <c r="F32" i="8"/>
  <c r="G32" i="8" s="1"/>
  <c r="J32" i="8"/>
  <c r="L32" i="8"/>
  <c r="M32" i="8" s="1"/>
  <c r="P32" i="8"/>
  <c r="Q32" i="8" s="1"/>
  <c r="S32" i="8"/>
  <c r="T32" i="8" s="1"/>
  <c r="V32" i="8"/>
  <c r="W32" i="8" s="1"/>
  <c r="Y32" i="8"/>
  <c r="Z32" i="8" s="1"/>
  <c r="C33" i="8"/>
  <c r="F33" i="8"/>
  <c r="G33" i="8" s="1"/>
  <c r="J33" i="8"/>
  <c r="L33" i="8"/>
  <c r="M33" i="8" s="1"/>
  <c r="P33" i="8"/>
  <c r="Q33" i="8" s="1"/>
  <c r="S33" i="8"/>
  <c r="T33" i="8" s="1"/>
  <c r="V33" i="8"/>
  <c r="W33" i="8" s="1"/>
  <c r="Y33" i="8"/>
  <c r="Z33" i="8" s="1"/>
  <c r="C34" i="8"/>
  <c r="F34" i="8"/>
  <c r="G34" i="8" s="1"/>
  <c r="J34" i="8"/>
  <c r="L34" i="8"/>
  <c r="M34" i="8" s="1"/>
  <c r="P34" i="8"/>
  <c r="Q34" i="8" s="1"/>
  <c r="S34" i="8"/>
  <c r="T34" i="8" s="1"/>
  <c r="V34" i="8"/>
  <c r="W34" i="8" s="1"/>
  <c r="Y34" i="8"/>
  <c r="Z34" i="8" s="1"/>
  <c r="C35" i="8"/>
  <c r="F35" i="8"/>
  <c r="G35" i="8" s="1"/>
  <c r="J35" i="8"/>
  <c r="L35" i="8"/>
  <c r="M35" i="8" s="1"/>
  <c r="P35" i="8"/>
  <c r="Q35" i="8" s="1"/>
  <c r="S35" i="8"/>
  <c r="T35" i="8" s="1"/>
  <c r="V35" i="8"/>
  <c r="W35" i="8" s="1"/>
  <c r="Y35" i="8"/>
  <c r="Z35" i="8" s="1"/>
  <c r="C5" i="7"/>
  <c r="F5" i="7"/>
  <c r="G5" i="7" s="1"/>
  <c r="L5" i="7"/>
  <c r="P5" i="7"/>
  <c r="S5" i="7"/>
  <c r="T5" i="7" s="1"/>
  <c r="V5" i="7"/>
  <c r="Y5" i="7"/>
  <c r="C6" i="7"/>
  <c r="F6" i="7"/>
  <c r="I6" i="7"/>
  <c r="J6" i="7" s="1"/>
  <c r="L6" i="7"/>
  <c r="P6" i="7"/>
  <c r="S6" i="7"/>
  <c r="V6" i="7"/>
  <c r="W6" i="7" s="1"/>
  <c r="Y6" i="7"/>
  <c r="C7" i="7"/>
  <c r="F7" i="7"/>
  <c r="G7" i="7" s="1"/>
  <c r="I7" i="7"/>
  <c r="J7" i="7" s="1"/>
  <c r="L7" i="7"/>
  <c r="P7" i="7"/>
  <c r="S7" i="7"/>
  <c r="T7" i="7" s="1"/>
  <c r="V7" i="7"/>
  <c r="W7" i="7" s="1"/>
  <c r="Y7" i="7"/>
  <c r="C8" i="7"/>
  <c r="F8" i="7"/>
  <c r="G8" i="7" s="1"/>
  <c r="J8" i="7"/>
  <c r="L8" i="7"/>
  <c r="P8" i="7"/>
  <c r="V8" i="7"/>
  <c r="W8" i="7" s="1"/>
  <c r="Y8" i="7"/>
  <c r="C9" i="7"/>
  <c r="F9" i="7"/>
  <c r="G9" i="7" s="1"/>
  <c r="J9" i="7"/>
  <c r="L9" i="7"/>
  <c r="V9" i="7"/>
  <c r="W9" i="7" s="1"/>
  <c r="Y9" i="7"/>
  <c r="C10" i="7"/>
  <c r="F10" i="7"/>
  <c r="G10" i="7" s="1"/>
  <c r="J10" i="7"/>
  <c r="L10" i="7"/>
  <c r="V10" i="7"/>
  <c r="W10" i="7" s="1"/>
  <c r="Y10" i="7"/>
  <c r="C11" i="7"/>
  <c r="F11" i="7"/>
  <c r="G11" i="7" s="1"/>
  <c r="J11" i="7"/>
  <c r="V11" i="7"/>
  <c r="W11" i="7" s="1"/>
  <c r="Y11" i="7"/>
  <c r="C12" i="7"/>
  <c r="F12" i="7"/>
  <c r="G12" i="7" s="1"/>
  <c r="J12" i="7"/>
  <c r="V12" i="7"/>
  <c r="W12" i="7" s="1"/>
  <c r="Y12" i="7"/>
  <c r="C13" i="7"/>
  <c r="F13" i="7"/>
  <c r="G13" i="7" s="1"/>
  <c r="J13" i="7"/>
  <c r="L13" i="7"/>
  <c r="V13" i="7"/>
  <c r="W13" i="7" s="1"/>
  <c r="Y13" i="7"/>
  <c r="C14" i="7"/>
  <c r="F14" i="7"/>
  <c r="G14" i="7" s="1"/>
  <c r="L14" i="7"/>
  <c r="P14" i="7"/>
  <c r="V14" i="7"/>
  <c r="W14" i="7" s="1"/>
  <c r="Y14" i="7"/>
  <c r="C15" i="7"/>
  <c r="F15" i="7"/>
  <c r="G15" i="7" s="1"/>
  <c r="L15" i="7"/>
  <c r="P15" i="7"/>
  <c r="V15" i="7"/>
  <c r="W15" i="7" s="1"/>
  <c r="Y15" i="7"/>
  <c r="C16" i="7"/>
  <c r="F16" i="7"/>
  <c r="G16" i="7" s="1"/>
  <c r="L16" i="7"/>
  <c r="P16" i="7"/>
  <c r="V16" i="7"/>
  <c r="W16" i="7" s="1"/>
  <c r="Y16" i="7"/>
  <c r="C17" i="7"/>
  <c r="F17" i="7"/>
  <c r="G17" i="7" s="1"/>
  <c r="L17" i="7"/>
  <c r="P17" i="7"/>
  <c r="S17" i="7"/>
  <c r="T17" i="7" s="1"/>
  <c r="V17" i="7"/>
  <c r="W17" i="7" s="1"/>
  <c r="Y17" i="7"/>
  <c r="C18" i="7"/>
  <c r="F18" i="7"/>
  <c r="G18" i="7" s="1"/>
  <c r="J18" i="7"/>
  <c r="L18" i="7"/>
  <c r="P18" i="7"/>
  <c r="S18" i="7"/>
  <c r="T18" i="7" s="1"/>
  <c r="V18" i="7"/>
  <c r="W18" i="7" s="1"/>
  <c r="Y18" i="7"/>
  <c r="C19" i="7"/>
  <c r="F19" i="7"/>
  <c r="G19" i="7" s="1"/>
  <c r="J19" i="7"/>
  <c r="L19" i="7"/>
  <c r="P19" i="7"/>
  <c r="S19" i="7"/>
  <c r="T19" i="7" s="1"/>
  <c r="V19" i="7"/>
  <c r="W19" i="7" s="1"/>
  <c r="Y19" i="7"/>
  <c r="C20" i="7"/>
  <c r="F20" i="7"/>
  <c r="G20" i="7" s="1"/>
  <c r="J20" i="7"/>
  <c r="L20" i="7"/>
  <c r="P20" i="7"/>
  <c r="S20" i="7"/>
  <c r="T20" i="7" s="1"/>
  <c r="V20" i="7"/>
  <c r="W20" i="7" s="1"/>
  <c r="Y20" i="7"/>
  <c r="C21" i="7"/>
  <c r="F21" i="7"/>
  <c r="G21" i="7" s="1"/>
  <c r="J21" i="7"/>
  <c r="L21" i="7"/>
  <c r="P21" i="7"/>
  <c r="S21" i="7"/>
  <c r="T21" i="7" s="1"/>
  <c r="V21" i="7"/>
  <c r="W21" i="7" s="1"/>
  <c r="Y21" i="7"/>
  <c r="C22" i="7"/>
  <c r="F22" i="7"/>
  <c r="G22" i="7" s="1"/>
  <c r="J22" i="7"/>
  <c r="L22" i="7"/>
  <c r="P22" i="7"/>
  <c r="S22" i="7"/>
  <c r="T22" i="7" s="1"/>
  <c r="V22" i="7"/>
  <c r="W22" i="7" s="1"/>
  <c r="Y22" i="7"/>
  <c r="C23" i="7"/>
  <c r="F23" i="7"/>
  <c r="G23" i="7" s="1"/>
  <c r="J23" i="7"/>
  <c r="L23" i="7"/>
  <c r="P23" i="7"/>
  <c r="S23" i="7"/>
  <c r="T23" i="7" s="1"/>
  <c r="V23" i="7"/>
  <c r="W23" i="7" s="1"/>
  <c r="Y23" i="7"/>
  <c r="C24" i="7"/>
  <c r="F24" i="7"/>
  <c r="G24" i="7" s="1"/>
  <c r="J24" i="7"/>
  <c r="L24" i="7"/>
  <c r="P24" i="7"/>
  <c r="S24" i="7"/>
  <c r="T24" i="7" s="1"/>
  <c r="V24" i="7"/>
  <c r="W24" i="7" s="1"/>
  <c r="Y24" i="7"/>
  <c r="C25" i="7"/>
  <c r="F25" i="7"/>
  <c r="G25" i="7" s="1"/>
  <c r="J25" i="7"/>
  <c r="L25" i="7"/>
  <c r="P25" i="7"/>
  <c r="S25" i="7"/>
  <c r="T25" i="7" s="1"/>
  <c r="V25" i="7"/>
  <c r="W25" i="7" s="1"/>
  <c r="Y25" i="7"/>
  <c r="C26" i="7"/>
  <c r="F26" i="7"/>
  <c r="G26" i="7" s="1"/>
  <c r="J26" i="7"/>
  <c r="L26" i="7"/>
  <c r="P26" i="7"/>
  <c r="S26" i="7"/>
  <c r="T26" i="7" s="1"/>
  <c r="V26" i="7"/>
  <c r="W26" i="7" s="1"/>
  <c r="Y26" i="7"/>
  <c r="C27" i="7"/>
  <c r="F27" i="7"/>
  <c r="G27" i="7" s="1"/>
  <c r="J27" i="7"/>
  <c r="L27" i="7"/>
  <c r="P27" i="7"/>
  <c r="S27" i="7"/>
  <c r="T27" i="7" s="1"/>
  <c r="V27" i="7"/>
  <c r="W27" i="7" s="1"/>
  <c r="Y27" i="7"/>
  <c r="C28" i="7"/>
  <c r="F28" i="7"/>
  <c r="G28" i="7" s="1"/>
  <c r="J28" i="7"/>
  <c r="L28" i="7"/>
  <c r="P28" i="7"/>
  <c r="S28" i="7"/>
  <c r="T28" i="7" s="1"/>
  <c r="V28" i="7"/>
  <c r="W28" i="7" s="1"/>
  <c r="Y28" i="7"/>
  <c r="C29" i="7"/>
  <c r="F29" i="7"/>
  <c r="G29" i="7" s="1"/>
  <c r="J29" i="7"/>
  <c r="L29" i="7"/>
  <c r="P29" i="7"/>
  <c r="S29" i="7"/>
  <c r="T29" i="7" s="1"/>
  <c r="V29" i="7"/>
  <c r="W29" i="7" s="1"/>
  <c r="Y29" i="7"/>
  <c r="C30" i="7"/>
  <c r="F30" i="7"/>
  <c r="G30" i="7" s="1"/>
  <c r="J30" i="7"/>
  <c r="L30" i="7"/>
  <c r="P30" i="7"/>
  <c r="S30" i="7"/>
  <c r="T30" i="7" s="1"/>
  <c r="V30" i="7"/>
  <c r="W30" i="7" s="1"/>
  <c r="Y30" i="7"/>
  <c r="C31" i="7"/>
  <c r="F31" i="7"/>
  <c r="G31" i="7" s="1"/>
  <c r="J31" i="7"/>
  <c r="L31" i="7"/>
  <c r="P31" i="7"/>
  <c r="S31" i="7"/>
  <c r="T31" i="7" s="1"/>
  <c r="V31" i="7"/>
  <c r="W31" i="7" s="1"/>
  <c r="Y31" i="7"/>
  <c r="C32" i="7"/>
  <c r="F32" i="7"/>
  <c r="G32" i="7" s="1"/>
  <c r="J32" i="7"/>
  <c r="L32" i="7"/>
  <c r="P32" i="7"/>
  <c r="S32" i="7"/>
  <c r="T32" i="7" s="1"/>
  <c r="V32" i="7"/>
  <c r="W32" i="7" s="1"/>
  <c r="Y32" i="7"/>
  <c r="C33" i="7"/>
  <c r="F33" i="7"/>
  <c r="G33" i="7" s="1"/>
  <c r="J33" i="7"/>
  <c r="L33" i="7"/>
  <c r="P33" i="7"/>
  <c r="S33" i="7"/>
  <c r="T33" i="7" s="1"/>
  <c r="V33" i="7"/>
  <c r="W33" i="7" s="1"/>
  <c r="Y33" i="7"/>
  <c r="C34" i="7"/>
  <c r="F34" i="7"/>
  <c r="G34" i="7" s="1"/>
  <c r="J34" i="7"/>
  <c r="L34" i="7"/>
  <c r="P34" i="7"/>
  <c r="S34" i="7"/>
  <c r="T34" i="7" s="1"/>
  <c r="V34" i="7"/>
  <c r="W34" i="7" s="1"/>
  <c r="Y34" i="7"/>
  <c r="C5" i="6"/>
  <c r="F5" i="6"/>
  <c r="G5" i="6" s="1"/>
  <c r="I5" i="6"/>
  <c r="J5" i="6" s="1"/>
  <c r="L5" i="6"/>
  <c r="P5" i="6"/>
  <c r="S5" i="6"/>
  <c r="T5" i="6" s="1"/>
  <c r="V5" i="6"/>
  <c r="W5" i="6" s="1"/>
  <c r="Y5" i="6"/>
  <c r="AB5" i="6"/>
  <c r="C6" i="6"/>
  <c r="F6" i="6"/>
  <c r="G6" i="6" s="1"/>
  <c r="I6" i="6"/>
  <c r="J6" i="6" s="1"/>
  <c r="L6" i="6"/>
  <c r="P6" i="6"/>
  <c r="S6" i="6"/>
  <c r="T6" i="6" s="1"/>
  <c r="V6" i="6"/>
  <c r="W6" i="6" s="1"/>
  <c r="Y6" i="6"/>
  <c r="C7" i="6"/>
  <c r="F7" i="6"/>
  <c r="G7" i="6" s="1"/>
  <c r="I7" i="6"/>
  <c r="J7" i="6" s="1"/>
  <c r="L7" i="6"/>
  <c r="P7" i="6"/>
  <c r="S7" i="6"/>
  <c r="T7" i="6" s="1"/>
  <c r="V7" i="6"/>
  <c r="W7" i="6" s="1"/>
  <c r="Y7" i="6"/>
  <c r="AB7" i="6"/>
  <c r="C8" i="6"/>
  <c r="F8" i="6"/>
  <c r="G8" i="6" s="1"/>
  <c r="I8" i="6"/>
  <c r="J8" i="6" s="1"/>
  <c r="L8" i="6"/>
  <c r="P8" i="6"/>
  <c r="S8" i="6"/>
  <c r="T8" i="6" s="1"/>
  <c r="V8" i="6"/>
  <c r="W8" i="6" s="1"/>
  <c r="Y8" i="6"/>
  <c r="C9" i="6"/>
  <c r="F9" i="6"/>
  <c r="G9" i="6" s="1"/>
  <c r="I9" i="6"/>
  <c r="J9" i="6" s="1"/>
  <c r="L9" i="6"/>
  <c r="P9" i="6"/>
  <c r="S9" i="6"/>
  <c r="T9" i="6" s="1"/>
  <c r="V9" i="6"/>
  <c r="W9" i="6" s="1"/>
  <c r="Y9" i="6"/>
  <c r="AB9" i="6"/>
  <c r="C10" i="6"/>
  <c r="F10" i="6"/>
  <c r="G10" i="6" s="1"/>
  <c r="I10" i="6"/>
  <c r="J10" i="6" s="1"/>
  <c r="L10" i="6"/>
  <c r="P10" i="6"/>
  <c r="S10" i="6"/>
  <c r="T10" i="6" s="1"/>
  <c r="V10" i="6"/>
  <c r="W10" i="6" s="1"/>
  <c r="Y10" i="6"/>
  <c r="C11" i="6"/>
  <c r="F11" i="6"/>
  <c r="G11" i="6" s="1"/>
  <c r="I11" i="6"/>
  <c r="J11" i="6" s="1"/>
  <c r="L11" i="6"/>
  <c r="P11" i="6"/>
  <c r="S11" i="6"/>
  <c r="T11" i="6" s="1"/>
  <c r="V11" i="6"/>
  <c r="W11" i="6" s="1"/>
  <c r="Y11" i="6"/>
  <c r="AB11" i="6"/>
  <c r="C12" i="6"/>
  <c r="F12" i="6"/>
  <c r="G12" i="6" s="1"/>
  <c r="I12" i="6"/>
  <c r="J12" i="6" s="1"/>
  <c r="L12" i="6"/>
  <c r="P12" i="6"/>
  <c r="S12" i="6"/>
  <c r="T12" i="6" s="1"/>
  <c r="V12" i="6"/>
  <c r="W12" i="6" s="1"/>
  <c r="Y12" i="6"/>
  <c r="C13" i="6"/>
  <c r="F13" i="6"/>
  <c r="G13" i="6" s="1"/>
  <c r="I13" i="6"/>
  <c r="J13" i="6" s="1"/>
  <c r="L13" i="6"/>
  <c r="P13" i="6"/>
  <c r="S13" i="6"/>
  <c r="T13" i="6" s="1"/>
  <c r="V13" i="6"/>
  <c r="W13" i="6" s="1"/>
  <c r="Y13" i="6"/>
  <c r="AB13" i="6"/>
  <c r="C14" i="6"/>
  <c r="F14" i="6"/>
  <c r="G14" i="6" s="1"/>
  <c r="I14" i="6"/>
  <c r="J14" i="6" s="1"/>
  <c r="L14" i="6"/>
  <c r="P14" i="6"/>
  <c r="S14" i="6"/>
  <c r="T14" i="6" s="1"/>
  <c r="V14" i="6"/>
  <c r="W14" i="6" s="1"/>
  <c r="Y14" i="6"/>
  <c r="C15" i="6"/>
  <c r="F15" i="6"/>
  <c r="G15" i="6" s="1"/>
  <c r="I15" i="6"/>
  <c r="J15" i="6" s="1"/>
  <c r="L15" i="6"/>
  <c r="P15" i="6"/>
  <c r="S15" i="6"/>
  <c r="T15" i="6" s="1"/>
  <c r="V15" i="6"/>
  <c r="W15" i="6" s="1"/>
  <c r="Y15" i="6"/>
  <c r="AB15" i="6"/>
  <c r="C16" i="6"/>
  <c r="F16" i="6"/>
  <c r="G16" i="6" s="1"/>
  <c r="I16" i="6"/>
  <c r="J16" i="6" s="1"/>
  <c r="L16" i="6"/>
  <c r="P16" i="6"/>
  <c r="S16" i="6"/>
  <c r="T16" i="6" s="1"/>
  <c r="V16" i="6"/>
  <c r="W16" i="6" s="1"/>
  <c r="Y16" i="6"/>
  <c r="C17" i="6"/>
  <c r="F17" i="6"/>
  <c r="G17" i="6" s="1"/>
  <c r="I17" i="6"/>
  <c r="J17" i="6" s="1"/>
  <c r="L17" i="6"/>
  <c r="P17" i="6"/>
  <c r="S17" i="6"/>
  <c r="T17" i="6" s="1"/>
  <c r="V17" i="6"/>
  <c r="W17" i="6" s="1"/>
  <c r="Y17" i="6"/>
  <c r="AB17" i="6"/>
  <c r="F18" i="6"/>
  <c r="G18" i="6" s="1"/>
  <c r="I18" i="6"/>
  <c r="J18" i="6" s="1"/>
  <c r="L18" i="6"/>
  <c r="P18" i="6"/>
  <c r="S18" i="6"/>
  <c r="T18" i="6" s="1"/>
  <c r="V18" i="6"/>
  <c r="W18" i="6" s="1"/>
  <c r="Y18" i="6"/>
  <c r="C19" i="6"/>
  <c r="F19" i="6"/>
  <c r="G19" i="6" s="1"/>
  <c r="I19" i="6"/>
  <c r="J19" i="6" s="1"/>
  <c r="L19" i="6"/>
  <c r="P19" i="6"/>
  <c r="S19" i="6"/>
  <c r="T19" i="6" s="1"/>
  <c r="V19" i="6"/>
  <c r="W19" i="6" s="1"/>
  <c r="Y19" i="6"/>
  <c r="AB19" i="6"/>
  <c r="C20" i="6"/>
  <c r="F20" i="6"/>
  <c r="G20" i="6" s="1"/>
  <c r="I20" i="6"/>
  <c r="J20" i="6" s="1"/>
  <c r="L20" i="6"/>
  <c r="P20" i="6"/>
  <c r="S20" i="6"/>
  <c r="T20" i="6" s="1"/>
  <c r="V20" i="6"/>
  <c r="W20" i="6" s="1"/>
  <c r="Y20" i="6"/>
  <c r="AB20" i="6"/>
  <c r="C21" i="6"/>
  <c r="F21" i="6"/>
  <c r="G21" i="6" s="1"/>
  <c r="I21" i="6"/>
  <c r="L21" i="6"/>
  <c r="P21" i="6"/>
  <c r="S21" i="6"/>
  <c r="T21" i="6" s="1"/>
  <c r="V21" i="6"/>
  <c r="Y21" i="6"/>
  <c r="C22" i="6"/>
  <c r="F22" i="6"/>
  <c r="I22" i="6"/>
  <c r="J22" i="6" s="1"/>
  <c r="L22" i="6"/>
  <c r="P22" i="6"/>
  <c r="S22" i="6"/>
  <c r="V22" i="6"/>
  <c r="W22" i="6" s="1"/>
  <c r="Y22" i="6"/>
  <c r="AB22" i="6"/>
  <c r="C23" i="6"/>
  <c r="F23" i="6"/>
  <c r="G23" i="6" s="1"/>
  <c r="I23" i="6"/>
  <c r="J23" i="6" s="1"/>
  <c r="L23" i="6"/>
  <c r="P23" i="6"/>
  <c r="S23" i="6"/>
  <c r="T23" i="6" s="1"/>
  <c r="V23" i="6"/>
  <c r="W23" i="6" s="1"/>
  <c r="Y23" i="6"/>
  <c r="C24" i="6"/>
  <c r="F24" i="6"/>
  <c r="G24" i="6" s="1"/>
  <c r="I24" i="6"/>
  <c r="J24" i="6" s="1"/>
  <c r="L24" i="6"/>
  <c r="P24" i="6"/>
  <c r="S24" i="6"/>
  <c r="T24" i="6" s="1"/>
  <c r="V24" i="6"/>
  <c r="W24" i="6" s="1"/>
  <c r="Y24" i="6"/>
  <c r="AB24" i="6"/>
  <c r="C25" i="6"/>
  <c r="F25" i="6"/>
  <c r="G25" i="6" s="1"/>
  <c r="I25" i="6"/>
  <c r="J25" i="6" s="1"/>
  <c r="L25" i="6"/>
  <c r="P25" i="6"/>
  <c r="S25" i="6"/>
  <c r="T25" i="6" s="1"/>
  <c r="V25" i="6"/>
  <c r="W25" i="6" s="1"/>
  <c r="Y25" i="6"/>
  <c r="C26" i="6"/>
  <c r="F26" i="6"/>
  <c r="G26" i="6" s="1"/>
  <c r="I26" i="6"/>
  <c r="J26" i="6" s="1"/>
  <c r="L26" i="6"/>
  <c r="P26" i="6"/>
  <c r="S26" i="6"/>
  <c r="T26" i="6" s="1"/>
  <c r="V26" i="6"/>
  <c r="W26" i="6" s="1"/>
  <c r="Y26" i="6"/>
  <c r="AB26" i="6"/>
  <c r="C27" i="6"/>
  <c r="F27" i="6"/>
  <c r="G27" i="6" s="1"/>
  <c r="I27" i="6"/>
  <c r="J27" i="6" s="1"/>
  <c r="L27" i="6"/>
  <c r="P27" i="6"/>
  <c r="S27" i="6"/>
  <c r="T27" i="6" s="1"/>
  <c r="V27" i="6"/>
  <c r="W27" i="6" s="1"/>
  <c r="Y27" i="6"/>
  <c r="C28" i="6"/>
  <c r="F28" i="6"/>
  <c r="G28" i="6" s="1"/>
  <c r="I28" i="6"/>
  <c r="J28" i="6" s="1"/>
  <c r="L28" i="6"/>
  <c r="P28" i="6"/>
  <c r="S28" i="6"/>
  <c r="T28" i="6" s="1"/>
  <c r="V28" i="6"/>
  <c r="W28" i="6" s="1"/>
  <c r="Y28" i="6"/>
  <c r="AB28" i="6"/>
  <c r="C29" i="6"/>
  <c r="F29" i="6"/>
  <c r="G29" i="6" s="1"/>
  <c r="I29" i="6"/>
  <c r="J29" i="6" s="1"/>
  <c r="L29" i="6"/>
  <c r="P29" i="6"/>
  <c r="S29" i="6"/>
  <c r="T29" i="6" s="1"/>
  <c r="V29" i="6"/>
  <c r="W29" i="6" s="1"/>
  <c r="Y29" i="6"/>
  <c r="C30" i="6"/>
  <c r="F30" i="6"/>
  <c r="G30" i="6" s="1"/>
  <c r="J30" i="6"/>
  <c r="L30" i="6"/>
  <c r="P30" i="6"/>
  <c r="S30" i="6"/>
  <c r="T30" i="6" s="1"/>
  <c r="V30" i="6"/>
  <c r="W30" i="6" s="1"/>
  <c r="Y30" i="6"/>
  <c r="AB30" i="6"/>
  <c r="C31" i="6"/>
  <c r="F31" i="6"/>
  <c r="G31" i="6" s="1"/>
  <c r="J31" i="6"/>
  <c r="L31" i="6"/>
  <c r="P31" i="6"/>
  <c r="S31" i="6"/>
  <c r="T31" i="6" s="1"/>
  <c r="V31" i="6"/>
  <c r="W31" i="6" s="1"/>
  <c r="Y31" i="6"/>
  <c r="C32" i="6"/>
  <c r="F32" i="6"/>
  <c r="G32" i="6" s="1"/>
  <c r="J32" i="6"/>
  <c r="L32" i="6"/>
  <c r="P32" i="6"/>
  <c r="S32" i="6"/>
  <c r="T32" i="6" s="1"/>
  <c r="V32" i="6"/>
  <c r="W32" i="6" s="1"/>
  <c r="Y32" i="6"/>
  <c r="AB32" i="6"/>
  <c r="C33" i="6"/>
  <c r="F33" i="6"/>
  <c r="G33" i="6" s="1"/>
  <c r="J33" i="6"/>
  <c r="L33" i="6"/>
  <c r="P33" i="6"/>
  <c r="S33" i="6"/>
  <c r="T33" i="6" s="1"/>
  <c r="V33" i="6"/>
  <c r="W33" i="6" s="1"/>
  <c r="Y33" i="6"/>
  <c r="C34" i="6"/>
  <c r="F34" i="6"/>
  <c r="G34" i="6" s="1"/>
  <c r="J34" i="6"/>
  <c r="L34" i="6"/>
  <c r="P34" i="6"/>
  <c r="S34" i="6"/>
  <c r="T34" i="6" s="1"/>
  <c r="V34" i="6"/>
  <c r="W34" i="6" s="1"/>
  <c r="Y34" i="6"/>
  <c r="AB34" i="6"/>
  <c r="C35" i="6"/>
  <c r="F35" i="6"/>
  <c r="G35" i="6" s="1"/>
  <c r="J35" i="6"/>
  <c r="L35" i="6"/>
  <c r="P35" i="6"/>
  <c r="S35" i="6"/>
  <c r="T35" i="6" s="1"/>
  <c r="V35" i="6"/>
  <c r="W35" i="6" s="1"/>
  <c r="Y35" i="6"/>
  <c r="C5" i="4"/>
  <c r="F5" i="4"/>
  <c r="I5" i="4"/>
  <c r="J5" i="4" s="1"/>
  <c r="L5" i="4"/>
  <c r="P5" i="4"/>
  <c r="Q5" i="4" s="1"/>
  <c r="S5" i="4"/>
  <c r="V5" i="4"/>
  <c r="W5" i="4" s="1"/>
  <c r="Y5" i="4"/>
  <c r="C6" i="4"/>
  <c r="F6" i="4"/>
  <c r="G6" i="4" s="1"/>
  <c r="I6" i="4"/>
  <c r="L6" i="4"/>
  <c r="M6" i="4" s="1"/>
  <c r="P6" i="4"/>
  <c r="S6" i="4"/>
  <c r="T6" i="4" s="1"/>
  <c r="V6" i="4"/>
  <c r="Y6" i="4"/>
  <c r="Z6" i="4" s="1"/>
  <c r="C7" i="4"/>
  <c r="F7" i="4"/>
  <c r="G7" i="4" s="1"/>
  <c r="I7" i="4"/>
  <c r="J7" i="4" s="1"/>
  <c r="L7" i="4"/>
  <c r="M7" i="4" s="1"/>
  <c r="P7" i="4"/>
  <c r="Q7" i="4" s="1"/>
  <c r="S7" i="4"/>
  <c r="T7" i="4" s="1"/>
  <c r="V7" i="4"/>
  <c r="W7" i="4" s="1"/>
  <c r="Y7" i="4"/>
  <c r="Z7" i="4" s="1"/>
  <c r="C8" i="4"/>
  <c r="F8" i="4"/>
  <c r="G8" i="4" s="1"/>
  <c r="I8" i="4"/>
  <c r="J8" i="4" s="1"/>
  <c r="L8" i="4"/>
  <c r="M8" i="4" s="1"/>
  <c r="P8" i="4"/>
  <c r="Q8" i="4" s="1"/>
  <c r="S8" i="4"/>
  <c r="T8" i="4" s="1"/>
  <c r="V8" i="4"/>
  <c r="W8" i="4" s="1"/>
  <c r="Y8" i="4"/>
  <c r="Z8" i="4" s="1"/>
  <c r="C9" i="4"/>
  <c r="F9" i="4"/>
  <c r="G9" i="4" s="1"/>
  <c r="I9" i="4"/>
  <c r="J9" i="4" s="1"/>
  <c r="L9" i="4"/>
  <c r="M9" i="4" s="1"/>
  <c r="P9" i="4"/>
  <c r="Q9" i="4" s="1"/>
  <c r="S9" i="4"/>
  <c r="T9" i="4" s="1"/>
  <c r="V9" i="4"/>
  <c r="W9" i="4" s="1"/>
  <c r="Y9" i="4"/>
  <c r="Z9" i="4" s="1"/>
  <c r="C10" i="4"/>
  <c r="F10" i="4"/>
  <c r="G10" i="4" s="1"/>
  <c r="I10" i="4"/>
  <c r="J10" i="4" s="1"/>
  <c r="L10" i="4"/>
  <c r="M10" i="4" s="1"/>
  <c r="P10" i="4"/>
  <c r="Q10" i="4" s="1"/>
  <c r="S10" i="4"/>
  <c r="T10" i="4" s="1"/>
  <c r="V10" i="4"/>
  <c r="W10" i="4" s="1"/>
  <c r="Y10" i="4"/>
  <c r="Z10" i="4" s="1"/>
  <c r="C11" i="4"/>
  <c r="F11" i="4"/>
  <c r="G11" i="4" s="1"/>
  <c r="I11" i="4"/>
  <c r="J11" i="4" s="1"/>
  <c r="L11" i="4"/>
  <c r="M11" i="4" s="1"/>
  <c r="P11" i="4"/>
  <c r="Q11" i="4" s="1"/>
  <c r="S11" i="4"/>
  <c r="T11" i="4" s="1"/>
  <c r="V11" i="4"/>
  <c r="W11" i="4" s="1"/>
  <c r="Y11" i="4"/>
  <c r="Z11" i="4" s="1"/>
  <c r="C12" i="4"/>
  <c r="F12" i="4"/>
  <c r="G12" i="4" s="1"/>
  <c r="I12" i="4"/>
  <c r="J12" i="4" s="1"/>
  <c r="L12" i="4"/>
  <c r="M12" i="4" s="1"/>
  <c r="P12" i="4"/>
  <c r="Q12" i="4" s="1"/>
  <c r="S12" i="4"/>
  <c r="T12" i="4" s="1"/>
  <c r="V12" i="4"/>
  <c r="W12" i="4" s="1"/>
  <c r="Y12" i="4"/>
  <c r="Z12" i="4" s="1"/>
  <c r="C13" i="4"/>
  <c r="F13" i="4"/>
  <c r="G13" i="4" s="1"/>
  <c r="I13" i="4"/>
  <c r="J13" i="4" s="1"/>
  <c r="L13" i="4"/>
  <c r="M13" i="4" s="1"/>
  <c r="P13" i="4"/>
  <c r="Q13" i="4" s="1"/>
  <c r="S13" i="4"/>
  <c r="T13" i="4" s="1"/>
  <c r="V13" i="4"/>
  <c r="W13" i="4" s="1"/>
  <c r="Y13" i="4"/>
  <c r="Z13" i="4" s="1"/>
  <c r="C14" i="4"/>
  <c r="F14" i="4"/>
  <c r="G14" i="4" s="1"/>
  <c r="I14" i="4"/>
  <c r="J14" i="4" s="1"/>
  <c r="L14" i="4"/>
  <c r="M14" i="4" s="1"/>
  <c r="P14" i="4"/>
  <c r="Q14" i="4" s="1"/>
  <c r="S14" i="4"/>
  <c r="T14" i="4" s="1"/>
  <c r="V14" i="4"/>
  <c r="W14" i="4" s="1"/>
  <c r="Y14" i="4"/>
  <c r="Z14" i="4" s="1"/>
  <c r="C15" i="4"/>
  <c r="F15" i="4"/>
  <c r="G15" i="4" s="1"/>
  <c r="I15" i="4"/>
  <c r="J15" i="4" s="1"/>
  <c r="L15" i="4"/>
  <c r="M15" i="4" s="1"/>
  <c r="P15" i="4"/>
  <c r="Q15" i="4" s="1"/>
  <c r="S15" i="4"/>
  <c r="T15" i="4" s="1"/>
  <c r="V15" i="4"/>
  <c r="W15" i="4" s="1"/>
  <c r="Y15" i="4"/>
  <c r="Z15" i="4" s="1"/>
  <c r="C16" i="4"/>
  <c r="F16" i="4"/>
  <c r="G16" i="4" s="1"/>
  <c r="I16" i="4"/>
  <c r="J16" i="4" s="1"/>
  <c r="L16" i="4"/>
  <c r="M16" i="4" s="1"/>
  <c r="P16" i="4"/>
  <c r="Q16" i="4" s="1"/>
  <c r="S16" i="4"/>
  <c r="T16" i="4" s="1"/>
  <c r="V16" i="4"/>
  <c r="W16" i="4" s="1"/>
  <c r="Y16" i="4"/>
  <c r="Z16" i="4" s="1"/>
  <c r="C17" i="4"/>
  <c r="F17" i="4"/>
  <c r="G17" i="4" s="1"/>
  <c r="I17" i="4"/>
  <c r="J17" i="4" s="1"/>
  <c r="L17" i="4"/>
  <c r="M17" i="4" s="1"/>
  <c r="P17" i="4"/>
  <c r="Q17" i="4" s="1"/>
  <c r="S17" i="4"/>
  <c r="T17" i="4" s="1"/>
  <c r="V17" i="4"/>
  <c r="W17" i="4" s="1"/>
  <c r="Y17" i="4"/>
  <c r="Z17" i="4" s="1"/>
  <c r="C18" i="4"/>
  <c r="F18" i="4"/>
  <c r="G18" i="4" s="1"/>
  <c r="I18" i="4"/>
  <c r="J18" i="4" s="1"/>
  <c r="P18" i="4"/>
  <c r="Q18" i="4" s="1"/>
  <c r="S18" i="4"/>
  <c r="T18" i="4" s="1"/>
  <c r="V18" i="4"/>
  <c r="W18" i="4" s="1"/>
  <c r="Y18" i="4"/>
  <c r="Z18" i="4" s="1"/>
  <c r="C19" i="4"/>
  <c r="F19" i="4"/>
  <c r="G19" i="4" s="1"/>
  <c r="I19" i="4"/>
  <c r="J19" i="4" s="1"/>
  <c r="P19" i="4"/>
  <c r="Q19" i="4" s="1"/>
  <c r="S19" i="4"/>
  <c r="T19" i="4" s="1"/>
  <c r="V19" i="4"/>
  <c r="W19" i="4" s="1"/>
  <c r="Y19" i="4"/>
  <c r="Z19" i="4" s="1"/>
  <c r="C20" i="4"/>
  <c r="F20" i="4"/>
  <c r="G20" i="4" s="1"/>
  <c r="I20" i="4"/>
  <c r="J20" i="4" s="1"/>
  <c r="P20" i="4"/>
  <c r="Q20" i="4" s="1"/>
  <c r="S20" i="4"/>
  <c r="T20" i="4" s="1"/>
  <c r="V20" i="4"/>
  <c r="W20" i="4" s="1"/>
  <c r="Y20" i="4"/>
  <c r="Z20" i="4" s="1"/>
  <c r="C21" i="4"/>
  <c r="F21" i="4"/>
  <c r="G21" i="4" s="1"/>
  <c r="I21" i="4"/>
  <c r="J21" i="4" s="1"/>
  <c r="L21" i="4"/>
  <c r="M21" i="4" s="1"/>
  <c r="P21" i="4"/>
  <c r="Q21" i="4" s="1"/>
  <c r="S21" i="4"/>
  <c r="T21" i="4" s="1"/>
  <c r="V21" i="4"/>
  <c r="W21" i="4" s="1"/>
  <c r="Y21" i="4"/>
  <c r="Z21" i="4" s="1"/>
  <c r="C22" i="4"/>
  <c r="F22" i="4"/>
  <c r="G22" i="4" s="1"/>
  <c r="I22" i="4"/>
  <c r="J22" i="4" s="1"/>
  <c r="L22" i="4"/>
  <c r="M22" i="4" s="1"/>
  <c r="P22" i="4"/>
  <c r="Q22" i="4" s="1"/>
  <c r="S22" i="4"/>
  <c r="T22" i="4" s="1"/>
  <c r="V22" i="4"/>
  <c r="W22" i="4" s="1"/>
  <c r="Y22" i="4"/>
  <c r="Z22" i="4" s="1"/>
  <c r="C23" i="4"/>
  <c r="F23" i="4"/>
  <c r="G23" i="4" s="1"/>
  <c r="I23" i="4"/>
  <c r="J23" i="4" s="1"/>
  <c r="L23" i="4"/>
  <c r="M23" i="4" s="1"/>
  <c r="P23" i="4"/>
  <c r="Q23" i="4" s="1"/>
  <c r="S23" i="4"/>
  <c r="T23" i="4" s="1"/>
  <c r="V23" i="4"/>
  <c r="W23" i="4" s="1"/>
  <c r="Y23" i="4"/>
  <c r="Z23" i="4" s="1"/>
  <c r="C24" i="4"/>
  <c r="F24" i="4"/>
  <c r="G24" i="4" s="1"/>
  <c r="I24" i="4"/>
  <c r="J24" i="4" s="1"/>
  <c r="L24" i="4"/>
  <c r="M24" i="4" s="1"/>
  <c r="P24" i="4"/>
  <c r="Q24" i="4" s="1"/>
  <c r="S24" i="4"/>
  <c r="T24" i="4" s="1"/>
  <c r="V24" i="4"/>
  <c r="W24" i="4" s="1"/>
  <c r="Y24" i="4"/>
  <c r="Z24" i="4" s="1"/>
  <c r="C25" i="4"/>
  <c r="F25" i="4"/>
  <c r="G25" i="4" s="1"/>
  <c r="I25" i="4"/>
  <c r="J25" i="4" s="1"/>
  <c r="L25" i="4"/>
  <c r="M25" i="4" s="1"/>
  <c r="P25" i="4"/>
  <c r="Q25" i="4" s="1"/>
  <c r="S25" i="4"/>
  <c r="T25" i="4" s="1"/>
  <c r="V25" i="4"/>
  <c r="W25" i="4" s="1"/>
  <c r="Y25" i="4"/>
  <c r="Z25" i="4" s="1"/>
  <c r="C26" i="4"/>
  <c r="F26" i="4"/>
  <c r="G26" i="4" s="1"/>
  <c r="I26" i="4"/>
  <c r="J26" i="4" s="1"/>
  <c r="L26" i="4"/>
  <c r="M26" i="4" s="1"/>
  <c r="P26" i="4"/>
  <c r="Q26" i="4" s="1"/>
  <c r="S26" i="4"/>
  <c r="T26" i="4" s="1"/>
  <c r="V26" i="4"/>
  <c r="W26" i="4" s="1"/>
  <c r="Y26" i="4"/>
  <c r="Z26" i="4" s="1"/>
  <c r="C27" i="4"/>
  <c r="F27" i="4"/>
  <c r="G27" i="4" s="1"/>
  <c r="I27" i="4"/>
  <c r="J27" i="4" s="1"/>
  <c r="L27" i="4"/>
  <c r="M27" i="4" s="1"/>
  <c r="P27" i="4"/>
  <c r="Q27" i="4" s="1"/>
  <c r="S27" i="4"/>
  <c r="T27" i="4" s="1"/>
  <c r="V27" i="4"/>
  <c r="W27" i="4" s="1"/>
  <c r="Y27" i="4"/>
  <c r="Z27" i="4" s="1"/>
  <c r="C28" i="4"/>
  <c r="F28" i="4"/>
  <c r="G28" i="4" s="1"/>
  <c r="I28" i="4"/>
  <c r="J28" i="4" s="1"/>
  <c r="L28" i="4"/>
  <c r="M28" i="4" s="1"/>
  <c r="P28" i="4"/>
  <c r="Q28" i="4" s="1"/>
  <c r="S28" i="4"/>
  <c r="T28" i="4" s="1"/>
  <c r="V28" i="4"/>
  <c r="W28" i="4" s="1"/>
  <c r="Y28" i="4"/>
  <c r="Z28" i="4" s="1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 s="1"/>
  <c r="L30" i="4"/>
  <c r="M30" i="4" s="1"/>
  <c r="P30" i="4"/>
  <c r="Q30" i="4" s="1"/>
  <c r="S30" i="4"/>
  <c r="T30" i="4" s="1"/>
  <c r="V30" i="4"/>
  <c r="W30" i="4" s="1"/>
  <c r="Y30" i="4"/>
  <c r="Z30" i="4" s="1"/>
  <c r="C31" i="4"/>
  <c r="F31" i="4"/>
  <c r="G31" i="4" s="1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 s="1"/>
  <c r="I32" i="4"/>
  <c r="J32" i="4" s="1"/>
  <c r="L32" i="4"/>
  <c r="M32" i="4" s="1"/>
  <c r="P32" i="4"/>
  <c r="Q32" i="4" s="1"/>
  <c r="S32" i="4"/>
  <c r="T32" i="4" s="1"/>
  <c r="V32" i="4"/>
  <c r="W32" i="4" s="1"/>
  <c r="Y32" i="4"/>
  <c r="Z32" i="4" s="1"/>
  <c r="C5" i="1"/>
  <c r="F5" i="1"/>
  <c r="I5" i="1"/>
  <c r="J5" i="1" s="1"/>
  <c r="L5" i="1"/>
  <c r="P5" i="1"/>
  <c r="S5" i="1"/>
  <c r="V5" i="1"/>
  <c r="W5" i="1" s="1"/>
  <c r="Y5" i="1"/>
  <c r="C6" i="1"/>
  <c r="F6" i="1"/>
  <c r="G6" i="1" s="1"/>
  <c r="I6" i="1"/>
  <c r="L6" i="1"/>
  <c r="P6" i="1"/>
  <c r="S6" i="1"/>
  <c r="T6" i="1" s="1"/>
  <c r="V6" i="1"/>
  <c r="Y6" i="1"/>
  <c r="C7" i="1"/>
  <c r="F7" i="1"/>
  <c r="G7" i="1" s="1"/>
  <c r="I7" i="1"/>
  <c r="J7" i="1" s="1"/>
  <c r="L7" i="1"/>
  <c r="P7" i="1"/>
  <c r="S7" i="1"/>
  <c r="T7" i="1" s="1"/>
  <c r="V7" i="1"/>
  <c r="W7" i="1" s="1"/>
  <c r="Y7" i="1"/>
  <c r="C8" i="1"/>
  <c r="F8" i="1"/>
  <c r="G8" i="1" s="1"/>
  <c r="I8" i="1"/>
  <c r="J8" i="1" s="1"/>
  <c r="L8" i="1"/>
  <c r="P8" i="1"/>
  <c r="S8" i="1"/>
  <c r="T8" i="1" s="1"/>
  <c r="V8" i="1"/>
  <c r="W8" i="1" s="1"/>
  <c r="Y8" i="1"/>
  <c r="C9" i="1"/>
  <c r="F9" i="1"/>
  <c r="G9" i="1" s="1"/>
  <c r="I9" i="1"/>
  <c r="J9" i="1" s="1"/>
  <c r="L9" i="1"/>
  <c r="P9" i="1"/>
  <c r="S9" i="1"/>
  <c r="T9" i="1" s="1"/>
  <c r="V9" i="1"/>
  <c r="W9" i="1" s="1"/>
  <c r="Y9" i="1"/>
  <c r="C10" i="1"/>
  <c r="F10" i="1"/>
  <c r="G10" i="1" s="1"/>
  <c r="I10" i="1"/>
  <c r="J10" i="1" s="1"/>
  <c r="L10" i="1"/>
  <c r="P10" i="1"/>
  <c r="S10" i="1"/>
  <c r="T10" i="1" s="1"/>
  <c r="V10" i="1"/>
  <c r="W10" i="1" s="1"/>
  <c r="Y10" i="1"/>
  <c r="C11" i="1"/>
  <c r="F11" i="1"/>
  <c r="G11" i="1" s="1"/>
  <c r="I11" i="1"/>
  <c r="J11" i="1" s="1"/>
  <c r="L11" i="1"/>
  <c r="P11" i="1"/>
  <c r="S11" i="1"/>
  <c r="T11" i="1" s="1"/>
  <c r="V11" i="1"/>
  <c r="W11" i="1" s="1"/>
  <c r="Y11" i="1"/>
  <c r="C12" i="1"/>
  <c r="F12" i="1"/>
  <c r="G12" i="1" s="1"/>
  <c r="I12" i="1"/>
  <c r="J12" i="1" s="1"/>
  <c r="L12" i="1"/>
  <c r="P12" i="1"/>
  <c r="S12" i="1"/>
  <c r="T12" i="1" s="1"/>
  <c r="V12" i="1"/>
  <c r="W12" i="1" s="1"/>
  <c r="Y12" i="1"/>
  <c r="C13" i="1"/>
  <c r="F13" i="1"/>
  <c r="G13" i="1" s="1"/>
  <c r="I13" i="1"/>
  <c r="J13" i="1" s="1"/>
  <c r="L13" i="1"/>
  <c r="P13" i="1"/>
  <c r="S13" i="1"/>
  <c r="T13" i="1" s="1"/>
  <c r="V13" i="1"/>
  <c r="W13" i="1" s="1"/>
  <c r="Y13" i="1"/>
  <c r="C14" i="1"/>
  <c r="F14" i="1"/>
  <c r="G14" i="1" s="1"/>
  <c r="I14" i="1"/>
  <c r="J14" i="1" s="1"/>
  <c r="L14" i="1"/>
  <c r="P14" i="1"/>
  <c r="S14" i="1"/>
  <c r="T14" i="1" s="1"/>
  <c r="V14" i="1"/>
  <c r="W14" i="1" s="1"/>
  <c r="Y14" i="1"/>
  <c r="C15" i="1"/>
  <c r="F15" i="1"/>
  <c r="G15" i="1" s="1"/>
  <c r="I15" i="1"/>
  <c r="J15" i="1" s="1"/>
  <c r="L15" i="1"/>
  <c r="P15" i="1"/>
  <c r="S15" i="1"/>
  <c r="T15" i="1" s="1"/>
  <c r="V15" i="1"/>
  <c r="W15" i="1" s="1"/>
  <c r="Y15" i="1"/>
  <c r="C16" i="1"/>
  <c r="F16" i="1"/>
  <c r="G16" i="1" s="1"/>
  <c r="I16" i="1"/>
  <c r="J16" i="1" s="1"/>
  <c r="L16" i="1"/>
  <c r="P16" i="1"/>
  <c r="S16" i="1"/>
  <c r="T16" i="1" s="1"/>
  <c r="V16" i="1"/>
  <c r="W16" i="1" s="1"/>
  <c r="Y16" i="1"/>
  <c r="C17" i="1"/>
  <c r="F17" i="1"/>
  <c r="G17" i="1" s="1"/>
  <c r="I17" i="1"/>
  <c r="J17" i="1" s="1"/>
  <c r="L17" i="1"/>
  <c r="P17" i="1"/>
  <c r="S17" i="1"/>
  <c r="T17" i="1" s="1"/>
  <c r="V17" i="1"/>
  <c r="W17" i="1" s="1"/>
  <c r="Y17" i="1"/>
  <c r="C18" i="1"/>
  <c r="F18" i="1"/>
  <c r="G18" i="1" s="1"/>
  <c r="I18" i="1"/>
  <c r="J18" i="1" s="1"/>
  <c r="L18" i="1"/>
  <c r="P18" i="1"/>
  <c r="S18" i="1"/>
  <c r="T18" i="1" s="1"/>
  <c r="V18" i="1"/>
  <c r="W18" i="1" s="1"/>
  <c r="Y18" i="1"/>
  <c r="C19" i="1"/>
  <c r="F19" i="1"/>
  <c r="G19" i="1" s="1"/>
  <c r="I19" i="1"/>
  <c r="J19" i="1" s="1"/>
  <c r="L19" i="1"/>
  <c r="P19" i="1"/>
  <c r="S19" i="1"/>
  <c r="T19" i="1" s="1"/>
  <c r="V19" i="1"/>
  <c r="W19" i="1" s="1"/>
  <c r="Y19" i="1"/>
  <c r="C20" i="1"/>
  <c r="F20" i="1"/>
  <c r="G20" i="1" s="1"/>
  <c r="I20" i="1"/>
  <c r="J20" i="1" s="1"/>
  <c r="L20" i="1"/>
  <c r="P20" i="1"/>
  <c r="S20" i="1"/>
  <c r="T20" i="1" s="1"/>
  <c r="V20" i="1"/>
  <c r="W20" i="1" s="1"/>
  <c r="Y20" i="1"/>
  <c r="C21" i="1"/>
  <c r="F21" i="1"/>
  <c r="G21" i="1" s="1"/>
  <c r="I21" i="1"/>
  <c r="J21" i="1" s="1"/>
  <c r="P21" i="1"/>
  <c r="S21" i="1"/>
  <c r="T21" i="1" s="1"/>
  <c r="V21" i="1"/>
  <c r="W21" i="1" s="1"/>
  <c r="Y21" i="1"/>
  <c r="C22" i="1"/>
  <c r="F22" i="1"/>
  <c r="G22" i="1" s="1"/>
  <c r="I22" i="1"/>
  <c r="J22" i="1" s="1"/>
  <c r="L22" i="1"/>
  <c r="P22" i="1"/>
  <c r="S22" i="1"/>
  <c r="T22" i="1" s="1"/>
  <c r="V22" i="1"/>
  <c r="W22" i="1" s="1"/>
  <c r="Y22" i="1"/>
  <c r="C23" i="1"/>
  <c r="F23" i="1"/>
  <c r="G23" i="1" s="1"/>
  <c r="I23" i="1"/>
  <c r="J23" i="1" s="1"/>
  <c r="L23" i="1"/>
  <c r="P23" i="1"/>
  <c r="S23" i="1"/>
  <c r="T23" i="1" s="1"/>
  <c r="V23" i="1"/>
  <c r="W23" i="1" s="1"/>
  <c r="Y23" i="1"/>
  <c r="C24" i="1"/>
  <c r="F24" i="1"/>
  <c r="G24" i="1" s="1"/>
  <c r="I24" i="1"/>
  <c r="J24" i="1" s="1"/>
  <c r="L24" i="1"/>
  <c r="P24" i="1"/>
  <c r="S24" i="1"/>
  <c r="T24" i="1" s="1"/>
  <c r="V24" i="1"/>
  <c r="W24" i="1" s="1"/>
  <c r="Y24" i="1"/>
  <c r="C25" i="1"/>
  <c r="F25" i="1"/>
  <c r="G25" i="1" s="1"/>
  <c r="I25" i="1"/>
  <c r="J25" i="1" s="1"/>
  <c r="L25" i="1"/>
  <c r="P25" i="1"/>
  <c r="S25" i="1"/>
  <c r="T25" i="1" s="1"/>
  <c r="V25" i="1"/>
  <c r="W25" i="1" s="1"/>
  <c r="Y25" i="1"/>
  <c r="C26" i="1"/>
  <c r="F26" i="1"/>
  <c r="G26" i="1" s="1"/>
  <c r="I26" i="1"/>
  <c r="J26" i="1" s="1"/>
  <c r="L26" i="1"/>
  <c r="P26" i="1"/>
  <c r="S26" i="1"/>
  <c r="T26" i="1" s="1"/>
  <c r="V26" i="1"/>
  <c r="W26" i="1" s="1"/>
  <c r="Y26" i="1"/>
  <c r="C27" i="1"/>
  <c r="F27" i="1"/>
  <c r="G27" i="1" s="1"/>
  <c r="I27" i="1"/>
  <c r="J27" i="1" s="1"/>
  <c r="L27" i="1"/>
  <c r="P27" i="1"/>
  <c r="S27" i="1"/>
  <c r="T27" i="1" s="1"/>
  <c r="V27" i="1"/>
  <c r="W27" i="1" s="1"/>
  <c r="Y27" i="1"/>
  <c r="C28" i="1"/>
  <c r="F28" i="1"/>
  <c r="G28" i="1" s="1"/>
  <c r="I28" i="1"/>
  <c r="J28" i="1" s="1"/>
  <c r="L28" i="1"/>
  <c r="P28" i="1"/>
  <c r="S28" i="1"/>
  <c r="T28" i="1" s="1"/>
  <c r="V28" i="1"/>
  <c r="W28" i="1" s="1"/>
  <c r="Y28" i="1"/>
  <c r="C29" i="1"/>
  <c r="F29" i="1"/>
  <c r="G29" i="1" s="1"/>
  <c r="I29" i="1"/>
  <c r="J29" i="1" s="1"/>
  <c r="L29" i="1"/>
  <c r="P29" i="1"/>
  <c r="S29" i="1"/>
  <c r="T29" i="1" s="1"/>
  <c r="V29" i="1"/>
  <c r="W29" i="1" s="1"/>
  <c r="Y29" i="1"/>
  <c r="C30" i="1"/>
  <c r="F30" i="1"/>
  <c r="G30" i="1" s="1"/>
  <c r="I30" i="1"/>
  <c r="J30" i="1" s="1"/>
  <c r="L30" i="1"/>
  <c r="P30" i="1"/>
  <c r="S30" i="1"/>
  <c r="T30" i="1" s="1"/>
  <c r="V30" i="1"/>
  <c r="W30" i="1" s="1"/>
  <c r="Y30" i="1"/>
  <c r="C31" i="1"/>
  <c r="F31" i="1"/>
  <c r="G31" i="1" s="1"/>
  <c r="I31" i="1"/>
  <c r="J31" i="1" s="1"/>
  <c r="L31" i="1"/>
  <c r="P31" i="1"/>
  <c r="S31" i="1"/>
  <c r="T31" i="1" s="1"/>
  <c r="V31" i="1"/>
  <c r="W31" i="1" s="1"/>
  <c r="Y31" i="1"/>
  <c r="C32" i="1"/>
  <c r="F32" i="1"/>
  <c r="G32" i="1" s="1"/>
  <c r="I32" i="1"/>
  <c r="J32" i="1" s="1"/>
  <c r="L32" i="1"/>
  <c r="P32" i="1"/>
  <c r="S32" i="1"/>
  <c r="T32" i="1" s="1"/>
  <c r="V32" i="1"/>
  <c r="W32" i="1" s="1"/>
  <c r="Y32" i="1"/>
  <c r="C33" i="1"/>
  <c r="F33" i="1"/>
  <c r="G33" i="1" s="1"/>
  <c r="I33" i="1"/>
  <c r="J33" i="1" s="1"/>
  <c r="L33" i="1"/>
  <c r="P33" i="1"/>
  <c r="S33" i="1"/>
  <c r="T33" i="1" s="1"/>
  <c r="V33" i="1"/>
  <c r="W33" i="1" s="1"/>
  <c r="Y33" i="1"/>
  <c r="C34" i="1"/>
  <c r="F34" i="1"/>
  <c r="G34" i="1" s="1"/>
  <c r="I34" i="1"/>
  <c r="J34" i="1" s="1"/>
  <c r="L34" i="1"/>
  <c r="P34" i="1"/>
  <c r="S34" i="1"/>
  <c r="T34" i="1" s="1"/>
  <c r="V34" i="1"/>
  <c r="W34" i="1" s="1"/>
  <c r="Y34" i="1"/>
  <c r="C35" i="1"/>
  <c r="F35" i="1"/>
  <c r="G35" i="1" s="1"/>
  <c r="I35" i="1"/>
  <c r="J35" i="1" s="1"/>
  <c r="L35" i="1"/>
  <c r="P35" i="1"/>
  <c r="S35" i="1"/>
  <c r="T35" i="1" s="1"/>
  <c r="V35" i="1"/>
  <c r="W35" i="1" s="1"/>
  <c r="Y35" i="1"/>
  <c r="F5" i="13"/>
  <c r="I5" i="13"/>
  <c r="L5" i="13"/>
  <c r="P5" i="13"/>
  <c r="S5" i="13"/>
  <c r="V5" i="13"/>
  <c r="Y5" i="13"/>
  <c r="F6" i="13"/>
  <c r="G6" i="13" s="1"/>
  <c r="I6" i="13"/>
  <c r="L6" i="13"/>
  <c r="P6" i="13"/>
  <c r="S6" i="13"/>
  <c r="T6" i="13" s="1"/>
  <c r="V6" i="13"/>
  <c r="Y6" i="13"/>
  <c r="F7" i="13"/>
  <c r="J7" i="13"/>
  <c r="L7" i="13"/>
  <c r="P7" i="13"/>
  <c r="S7" i="13"/>
  <c r="V7" i="13"/>
  <c r="W7" i="13" s="1"/>
  <c r="Y7" i="13"/>
  <c r="F8" i="13"/>
  <c r="G8" i="13" s="1"/>
  <c r="J8" i="13"/>
  <c r="L8" i="13"/>
  <c r="P8" i="13"/>
  <c r="S8" i="13"/>
  <c r="T8" i="13" s="1"/>
  <c r="V8" i="13"/>
  <c r="W8" i="13" s="1"/>
  <c r="Y8" i="13"/>
  <c r="F9" i="13"/>
  <c r="G9" i="13" s="1"/>
  <c r="J9" i="13"/>
  <c r="L9" i="13"/>
  <c r="P9" i="13"/>
  <c r="S9" i="13"/>
  <c r="T9" i="13" s="1"/>
  <c r="V9" i="13"/>
  <c r="W9" i="13" s="1"/>
  <c r="Y9" i="13"/>
  <c r="F10" i="13"/>
  <c r="G10" i="13" s="1"/>
  <c r="J10" i="13"/>
  <c r="L10" i="13"/>
  <c r="P10" i="13"/>
  <c r="S10" i="13"/>
  <c r="T10" i="13" s="1"/>
  <c r="V10" i="13"/>
  <c r="W10" i="13" s="1"/>
  <c r="Y10" i="13"/>
  <c r="F11" i="13"/>
  <c r="G11" i="13" s="1"/>
  <c r="J11" i="13"/>
  <c r="L11" i="13"/>
  <c r="P11" i="13"/>
  <c r="S11" i="13"/>
  <c r="T11" i="13" s="1"/>
  <c r="V11" i="13"/>
  <c r="W11" i="13" s="1"/>
  <c r="Y11" i="13"/>
  <c r="F12" i="13"/>
  <c r="G12" i="13" s="1"/>
  <c r="J12" i="13"/>
  <c r="L12" i="13"/>
  <c r="P12" i="13"/>
  <c r="S12" i="13"/>
  <c r="T12" i="13" s="1"/>
  <c r="V12" i="13"/>
  <c r="W12" i="13" s="1"/>
  <c r="Y12" i="13"/>
  <c r="F13" i="13"/>
  <c r="G13" i="13" s="1"/>
  <c r="J13" i="13"/>
  <c r="L13" i="13"/>
  <c r="P13" i="13"/>
  <c r="S13" i="13"/>
  <c r="T13" i="13" s="1"/>
  <c r="V13" i="13"/>
  <c r="W13" i="13" s="1"/>
  <c r="Y13" i="13"/>
  <c r="F14" i="13"/>
  <c r="G14" i="13" s="1"/>
  <c r="J14" i="13"/>
  <c r="L14" i="13"/>
  <c r="P14" i="13"/>
  <c r="S14" i="13"/>
  <c r="T14" i="13" s="1"/>
  <c r="V14" i="13"/>
  <c r="W14" i="13" s="1"/>
  <c r="Y14" i="13"/>
  <c r="F15" i="13"/>
  <c r="G15" i="13" s="1"/>
  <c r="J15" i="13"/>
  <c r="L15" i="13"/>
  <c r="P15" i="13"/>
  <c r="S15" i="13"/>
  <c r="T15" i="13" s="1"/>
  <c r="V15" i="13"/>
  <c r="W15" i="13" s="1"/>
  <c r="Y15" i="13"/>
  <c r="F16" i="13"/>
  <c r="G16" i="13" s="1"/>
  <c r="J16" i="13"/>
  <c r="L16" i="13"/>
  <c r="P16" i="13"/>
  <c r="S16" i="13"/>
  <c r="T16" i="13" s="1"/>
  <c r="V16" i="13"/>
  <c r="W16" i="13" s="1"/>
  <c r="Y16" i="13"/>
  <c r="F17" i="13"/>
  <c r="G17" i="13" s="1"/>
  <c r="J17" i="13"/>
  <c r="L17" i="13"/>
  <c r="P17" i="13"/>
  <c r="S17" i="13"/>
  <c r="T17" i="13" s="1"/>
  <c r="V17" i="13"/>
  <c r="W17" i="13" s="1"/>
  <c r="Y17" i="13"/>
  <c r="F18" i="13"/>
  <c r="G18" i="13" s="1"/>
  <c r="J18" i="13"/>
  <c r="L18" i="13"/>
  <c r="P18" i="13"/>
  <c r="S18" i="13"/>
  <c r="T18" i="13" s="1"/>
  <c r="V18" i="13"/>
  <c r="W18" i="13" s="1"/>
  <c r="Y18" i="13"/>
  <c r="F19" i="13"/>
  <c r="G19" i="13" s="1"/>
  <c r="I19" i="13"/>
  <c r="J19" i="13" s="1"/>
  <c r="L19" i="13"/>
  <c r="P19" i="13"/>
  <c r="S19" i="13"/>
  <c r="T19" i="13" s="1"/>
  <c r="V19" i="13"/>
  <c r="W19" i="13" s="1"/>
  <c r="Y19" i="13"/>
  <c r="F20" i="13"/>
  <c r="G20" i="13" s="1"/>
  <c r="I20" i="13"/>
  <c r="J20" i="13" s="1"/>
  <c r="L20" i="13"/>
  <c r="P20" i="13"/>
  <c r="S20" i="13"/>
  <c r="T20" i="13" s="1"/>
  <c r="V20" i="13"/>
  <c r="W20" i="13" s="1"/>
  <c r="Y20" i="13"/>
  <c r="F21" i="13"/>
  <c r="G21" i="13" s="1"/>
  <c r="J21" i="13"/>
  <c r="L21" i="13"/>
  <c r="P21" i="13"/>
  <c r="S21" i="13"/>
  <c r="T21" i="13" s="1"/>
  <c r="V21" i="13"/>
  <c r="W21" i="13" s="1"/>
  <c r="Y21" i="13"/>
  <c r="F22" i="13"/>
  <c r="G22" i="13" s="1"/>
  <c r="J22" i="13"/>
  <c r="L22" i="13"/>
  <c r="P22" i="13"/>
  <c r="S22" i="13"/>
  <c r="T22" i="13" s="1"/>
  <c r="V22" i="13"/>
  <c r="W22" i="13" s="1"/>
  <c r="Y22" i="13"/>
  <c r="F23" i="13"/>
  <c r="G23" i="13" s="1"/>
  <c r="J23" i="13"/>
  <c r="L23" i="13"/>
  <c r="P23" i="13"/>
  <c r="S23" i="13"/>
  <c r="T23" i="13" s="1"/>
  <c r="V23" i="13"/>
  <c r="W23" i="13" s="1"/>
  <c r="Y23" i="13"/>
  <c r="F24" i="13"/>
  <c r="G24" i="13" s="1"/>
  <c r="J24" i="13"/>
  <c r="L24" i="13"/>
  <c r="P24" i="13"/>
  <c r="S24" i="13"/>
  <c r="T24" i="13" s="1"/>
  <c r="V24" i="13"/>
  <c r="W24" i="13" s="1"/>
  <c r="Y24" i="13"/>
  <c r="F25" i="13"/>
  <c r="G25" i="13" s="1"/>
  <c r="I25" i="13"/>
  <c r="J25" i="13" s="1"/>
  <c r="L25" i="13"/>
  <c r="P25" i="13"/>
  <c r="S25" i="13"/>
  <c r="T25" i="13" s="1"/>
  <c r="V25" i="13"/>
  <c r="W25" i="13" s="1"/>
  <c r="Y25" i="13"/>
  <c r="F26" i="13"/>
  <c r="G26" i="13" s="1"/>
  <c r="I26" i="13"/>
  <c r="J26" i="13" s="1"/>
  <c r="L26" i="13"/>
  <c r="P26" i="13"/>
  <c r="S26" i="13"/>
  <c r="T26" i="13" s="1"/>
  <c r="V26" i="13"/>
  <c r="W26" i="13" s="1"/>
  <c r="Y26" i="13"/>
  <c r="F27" i="13"/>
  <c r="G27" i="13" s="1"/>
  <c r="I27" i="13"/>
  <c r="J27" i="13" s="1"/>
  <c r="L27" i="13"/>
  <c r="P27" i="13"/>
  <c r="S27" i="13"/>
  <c r="T27" i="13" s="1"/>
  <c r="V27" i="13"/>
  <c r="W27" i="13" s="1"/>
  <c r="Y27" i="13"/>
  <c r="F28" i="13"/>
  <c r="G28" i="13" s="1"/>
  <c r="I28" i="13"/>
  <c r="J28" i="13" s="1"/>
  <c r="L28" i="13"/>
  <c r="P28" i="13"/>
  <c r="S28" i="13"/>
  <c r="T28" i="13" s="1"/>
  <c r="V28" i="13"/>
  <c r="W28" i="13" s="1"/>
  <c r="Y28" i="13"/>
  <c r="F29" i="13"/>
  <c r="G29" i="13" s="1"/>
  <c r="I29" i="13"/>
  <c r="J29" i="13" s="1"/>
  <c r="L29" i="13"/>
  <c r="P29" i="13"/>
  <c r="S29" i="13"/>
  <c r="T29" i="13" s="1"/>
  <c r="V29" i="13"/>
  <c r="W29" i="13" s="1"/>
  <c r="Y29" i="13"/>
  <c r="F30" i="13"/>
  <c r="G30" i="13" s="1"/>
  <c r="J30" i="13"/>
  <c r="L30" i="13"/>
  <c r="P30" i="13"/>
  <c r="S30" i="13"/>
  <c r="T30" i="13" s="1"/>
  <c r="V30" i="13"/>
  <c r="W30" i="13" s="1"/>
  <c r="Y30" i="13"/>
  <c r="F31" i="13"/>
  <c r="G31" i="13" s="1"/>
  <c r="I31" i="13"/>
  <c r="J31" i="13" s="1"/>
  <c r="L31" i="13"/>
  <c r="P31" i="13"/>
  <c r="S31" i="13"/>
  <c r="T31" i="13" s="1"/>
  <c r="V31" i="13"/>
  <c r="W31" i="13" s="1"/>
  <c r="Y31" i="13"/>
  <c r="F32" i="13"/>
  <c r="G32" i="13" s="1"/>
  <c r="I32" i="13"/>
  <c r="J32" i="13" s="1"/>
  <c r="L32" i="13"/>
  <c r="P32" i="13"/>
  <c r="S32" i="13"/>
  <c r="T32" i="13" s="1"/>
  <c r="V32" i="13"/>
  <c r="W32" i="13" s="1"/>
  <c r="Y32" i="13"/>
  <c r="F33" i="13"/>
  <c r="G33" i="13" s="1"/>
  <c r="I33" i="13"/>
  <c r="J33" i="13" s="1"/>
  <c r="L33" i="13"/>
  <c r="P33" i="13"/>
  <c r="S33" i="13"/>
  <c r="T33" i="13" s="1"/>
  <c r="V33" i="13"/>
  <c r="W33" i="13" s="1"/>
  <c r="Y33" i="13"/>
  <c r="F34" i="13"/>
  <c r="G34" i="13" s="1"/>
  <c r="J34" i="13"/>
  <c r="L34" i="13"/>
  <c r="P34" i="13"/>
  <c r="S34" i="13"/>
  <c r="T34" i="13" s="1"/>
  <c r="V34" i="13"/>
  <c r="W34" i="13" s="1"/>
  <c r="Y34" i="13"/>
  <c r="F35" i="13"/>
  <c r="G35" i="13" s="1"/>
  <c r="J35" i="13"/>
  <c r="L35" i="13"/>
  <c r="P35" i="13"/>
  <c r="S35" i="13"/>
  <c r="T35" i="13" s="1"/>
  <c r="V35" i="13"/>
  <c r="W35" i="13" s="1"/>
  <c r="Y35" i="13"/>
  <c r="C5" i="14"/>
  <c r="AC5" i="14" s="1"/>
  <c r="F5" i="14"/>
  <c r="G5" i="14" s="1"/>
  <c r="M5" i="14"/>
  <c r="Q5" i="14"/>
  <c r="T5" i="14"/>
  <c r="V5" i="14"/>
  <c r="Y5" i="14"/>
  <c r="Z5" i="14" s="1"/>
  <c r="C6" i="14"/>
  <c r="F6" i="14"/>
  <c r="J6" i="14"/>
  <c r="Q6" i="14"/>
  <c r="T6" i="14"/>
  <c r="V6" i="14"/>
  <c r="W6" i="14" s="1"/>
  <c r="Y6" i="14"/>
  <c r="C7" i="14"/>
  <c r="F7" i="14"/>
  <c r="G7" i="14" s="1"/>
  <c r="J7" i="14"/>
  <c r="M7" i="14"/>
  <c r="Q7" i="14"/>
  <c r="T7" i="14"/>
  <c r="V7" i="14"/>
  <c r="W7" i="14" s="1"/>
  <c r="Y7" i="14"/>
  <c r="Z7" i="14" s="1"/>
  <c r="C8" i="14"/>
  <c r="F8" i="14"/>
  <c r="G8" i="14" s="1"/>
  <c r="J8" i="14"/>
  <c r="M8" i="14"/>
  <c r="Q8" i="14"/>
  <c r="T8" i="14"/>
  <c r="V8" i="14"/>
  <c r="W8" i="14" s="1"/>
  <c r="Y8" i="14"/>
  <c r="Z8" i="14" s="1"/>
  <c r="C9" i="14"/>
  <c r="F9" i="14"/>
  <c r="G9" i="14" s="1"/>
  <c r="J9" i="14"/>
  <c r="M9" i="14"/>
  <c r="Q9" i="14"/>
  <c r="T9" i="14"/>
  <c r="V9" i="14"/>
  <c r="W9" i="14" s="1"/>
  <c r="Y9" i="14"/>
  <c r="Z9" i="14" s="1"/>
  <c r="C10" i="14"/>
  <c r="F10" i="14"/>
  <c r="G10" i="14" s="1"/>
  <c r="J10" i="14"/>
  <c r="M10" i="14"/>
  <c r="Q10" i="14"/>
  <c r="T10" i="14"/>
  <c r="V10" i="14"/>
  <c r="W10" i="14" s="1"/>
  <c r="Y10" i="14"/>
  <c r="Z10" i="14" s="1"/>
  <c r="C11" i="14"/>
  <c r="F11" i="14"/>
  <c r="G11" i="14" s="1"/>
  <c r="J11" i="14"/>
  <c r="M11" i="14"/>
  <c r="Q11" i="14"/>
  <c r="T11" i="14"/>
  <c r="V11" i="14"/>
  <c r="W11" i="14" s="1"/>
  <c r="Y11" i="14"/>
  <c r="Z11" i="14" s="1"/>
  <c r="C12" i="14"/>
  <c r="F12" i="14"/>
  <c r="G12" i="14" s="1"/>
  <c r="J12" i="14"/>
  <c r="M12" i="14"/>
  <c r="Q12" i="14"/>
  <c r="T12" i="14"/>
  <c r="V12" i="14"/>
  <c r="W12" i="14" s="1"/>
  <c r="Y12" i="14"/>
  <c r="Z12" i="14" s="1"/>
  <c r="C13" i="14"/>
  <c r="F13" i="14"/>
  <c r="G13" i="14" s="1"/>
  <c r="J13" i="14"/>
  <c r="M13" i="14"/>
  <c r="Q13" i="14"/>
  <c r="T13" i="14"/>
  <c r="V13" i="14"/>
  <c r="W13" i="14" s="1"/>
  <c r="Y13" i="14"/>
  <c r="Z13" i="14" s="1"/>
  <c r="C14" i="14"/>
  <c r="F14" i="14"/>
  <c r="G14" i="14" s="1"/>
  <c r="J14" i="14"/>
  <c r="M14" i="14"/>
  <c r="Q14" i="14"/>
  <c r="T14" i="14"/>
  <c r="V14" i="14"/>
  <c r="W14" i="14" s="1"/>
  <c r="Y14" i="14"/>
  <c r="Z14" i="14" s="1"/>
  <c r="C15" i="14"/>
  <c r="F15" i="14"/>
  <c r="G15" i="14" s="1"/>
  <c r="J15" i="14"/>
  <c r="M15" i="14"/>
  <c r="Q15" i="14"/>
  <c r="T15" i="14"/>
  <c r="V15" i="14"/>
  <c r="W15" i="14" s="1"/>
  <c r="Y15" i="14"/>
  <c r="Z15" i="14" s="1"/>
  <c r="C16" i="14"/>
  <c r="F16" i="14"/>
  <c r="G16" i="14" s="1"/>
  <c r="J16" i="14"/>
  <c r="M16" i="14"/>
  <c r="Q16" i="14"/>
  <c r="T16" i="14"/>
  <c r="V16" i="14"/>
  <c r="W16" i="14" s="1"/>
  <c r="Y16" i="14"/>
  <c r="Z16" i="14" s="1"/>
  <c r="C17" i="14"/>
  <c r="F17" i="14"/>
  <c r="G17" i="14" s="1"/>
  <c r="J17" i="14"/>
  <c r="M17" i="14"/>
  <c r="P17" i="14"/>
  <c r="T17" i="14"/>
  <c r="V17" i="14"/>
  <c r="W17" i="14" s="1"/>
  <c r="Y17" i="14"/>
  <c r="Z17" i="14" s="1"/>
  <c r="C18" i="14"/>
  <c r="F18" i="14"/>
  <c r="G18" i="14" s="1"/>
  <c r="J18" i="14"/>
  <c r="M18" i="14"/>
  <c r="P18" i="14"/>
  <c r="Q18" i="14" s="1"/>
  <c r="S18" i="14"/>
  <c r="V18" i="14"/>
  <c r="W18" i="14" s="1"/>
  <c r="Y18" i="14"/>
  <c r="Z18" i="14" s="1"/>
  <c r="C19" i="14"/>
  <c r="F19" i="14"/>
  <c r="G19" i="14" s="1"/>
  <c r="J19" i="14"/>
  <c r="M19" i="14"/>
  <c r="P19" i="14"/>
  <c r="Q19" i="14" s="1"/>
  <c r="S19" i="14"/>
  <c r="T19" i="14" s="1"/>
  <c r="V19" i="14"/>
  <c r="W19" i="14" s="1"/>
  <c r="Y19" i="14"/>
  <c r="Z19" i="14" s="1"/>
  <c r="C20" i="14"/>
  <c r="F20" i="14"/>
  <c r="G20" i="14" s="1"/>
  <c r="J20" i="14"/>
  <c r="M20" i="14"/>
  <c r="P20" i="14"/>
  <c r="Q20" i="14" s="1"/>
  <c r="S20" i="14"/>
  <c r="T20" i="14" s="1"/>
  <c r="V20" i="14"/>
  <c r="W20" i="14" s="1"/>
  <c r="Y20" i="14"/>
  <c r="Z20" i="14" s="1"/>
  <c r="C21" i="14"/>
  <c r="F21" i="14"/>
  <c r="G21" i="14" s="1"/>
  <c r="J21" i="14"/>
  <c r="M21" i="14"/>
  <c r="P21" i="14"/>
  <c r="Q21" i="14" s="1"/>
  <c r="S21" i="14"/>
  <c r="T21" i="14" s="1"/>
  <c r="V21" i="14"/>
  <c r="W21" i="14" s="1"/>
  <c r="Y21" i="14"/>
  <c r="Z21" i="14" s="1"/>
  <c r="C22" i="14"/>
  <c r="F22" i="14"/>
  <c r="G22" i="14" s="1"/>
  <c r="J22" i="14"/>
  <c r="M22" i="14"/>
  <c r="P22" i="14"/>
  <c r="Q22" i="14" s="1"/>
  <c r="S22" i="14"/>
  <c r="T22" i="14" s="1"/>
  <c r="V22" i="14"/>
  <c r="W22" i="14" s="1"/>
  <c r="Y22" i="14"/>
  <c r="Z22" i="14" s="1"/>
  <c r="C23" i="14"/>
  <c r="F23" i="14"/>
  <c r="G23" i="14" s="1"/>
  <c r="J23" i="14"/>
  <c r="M23" i="14"/>
  <c r="P23" i="14"/>
  <c r="Q23" i="14" s="1"/>
  <c r="S23" i="14"/>
  <c r="T23" i="14" s="1"/>
  <c r="V23" i="14"/>
  <c r="W23" i="14" s="1"/>
  <c r="Y23" i="14"/>
  <c r="Z23" i="14" s="1"/>
  <c r="C24" i="14"/>
  <c r="F24" i="14"/>
  <c r="G24" i="14" s="1"/>
  <c r="J24" i="14"/>
  <c r="M24" i="14"/>
  <c r="P24" i="14"/>
  <c r="Q24" i="14" s="1"/>
  <c r="S24" i="14"/>
  <c r="T24" i="14" s="1"/>
  <c r="V24" i="14"/>
  <c r="W24" i="14" s="1"/>
  <c r="Y24" i="14"/>
  <c r="Z24" i="14" s="1"/>
  <c r="C25" i="14"/>
  <c r="F25" i="14"/>
  <c r="G25" i="14" s="1"/>
  <c r="J25" i="14"/>
  <c r="M25" i="14"/>
  <c r="P25" i="14"/>
  <c r="Q25" i="14" s="1"/>
  <c r="S25" i="14"/>
  <c r="T25" i="14" s="1"/>
  <c r="V25" i="14"/>
  <c r="W25" i="14" s="1"/>
  <c r="Y25" i="14"/>
  <c r="Z25" i="14" s="1"/>
  <c r="C26" i="14"/>
  <c r="F26" i="14"/>
  <c r="G26" i="14" s="1"/>
  <c r="J26" i="14"/>
  <c r="M26" i="14"/>
  <c r="P26" i="14"/>
  <c r="Q26" i="14" s="1"/>
  <c r="S26" i="14"/>
  <c r="T26" i="14" s="1"/>
  <c r="V26" i="14"/>
  <c r="W26" i="14" s="1"/>
  <c r="Y26" i="14"/>
  <c r="Z26" i="14" s="1"/>
  <c r="C27" i="14"/>
  <c r="F27" i="14"/>
  <c r="G27" i="14" s="1"/>
  <c r="J27" i="14"/>
  <c r="M27" i="14"/>
  <c r="P27" i="14"/>
  <c r="Q27" i="14" s="1"/>
  <c r="S27" i="14"/>
  <c r="T27" i="14" s="1"/>
  <c r="V27" i="14"/>
  <c r="W27" i="14" s="1"/>
  <c r="Y27" i="14"/>
  <c r="Z27" i="14" s="1"/>
  <c r="C28" i="14"/>
  <c r="F28" i="14"/>
  <c r="G28" i="14" s="1"/>
  <c r="J28" i="14"/>
  <c r="M28" i="14"/>
  <c r="P28" i="14"/>
  <c r="Q28" i="14" s="1"/>
  <c r="S28" i="14"/>
  <c r="T28" i="14" s="1"/>
  <c r="V28" i="14"/>
  <c r="W28" i="14" s="1"/>
  <c r="Y28" i="14"/>
  <c r="Z28" i="14" s="1"/>
  <c r="C29" i="14"/>
  <c r="F29" i="14"/>
  <c r="G29" i="14" s="1"/>
  <c r="J29" i="14"/>
  <c r="M29" i="14"/>
  <c r="P29" i="14"/>
  <c r="Q29" i="14" s="1"/>
  <c r="S29" i="14"/>
  <c r="T29" i="14" s="1"/>
  <c r="V29" i="14"/>
  <c r="W29" i="14" s="1"/>
  <c r="Y29" i="14"/>
  <c r="Z29" i="14" s="1"/>
  <c r="C30" i="14"/>
  <c r="F30" i="14"/>
  <c r="G30" i="14" s="1"/>
  <c r="J30" i="14"/>
  <c r="M30" i="14"/>
  <c r="P30" i="14"/>
  <c r="Q30" i="14" s="1"/>
  <c r="S30" i="14"/>
  <c r="T30" i="14" s="1"/>
  <c r="V30" i="14"/>
  <c r="W30" i="14" s="1"/>
  <c r="Y30" i="14"/>
  <c r="Z30" i="14" s="1"/>
  <c r="C31" i="14"/>
  <c r="F31" i="14"/>
  <c r="G31" i="14" s="1"/>
  <c r="J31" i="14"/>
  <c r="M31" i="14"/>
  <c r="P31" i="14"/>
  <c r="Q31" i="14" s="1"/>
  <c r="S31" i="14"/>
  <c r="T31" i="14" s="1"/>
  <c r="V31" i="14"/>
  <c r="W31" i="14" s="1"/>
  <c r="Y31" i="14"/>
  <c r="Z31" i="14" s="1"/>
  <c r="C32" i="14"/>
  <c r="F32" i="14"/>
  <c r="G32" i="14" s="1"/>
  <c r="J32" i="14"/>
  <c r="M32" i="14"/>
  <c r="P32" i="14"/>
  <c r="Q32" i="14" s="1"/>
  <c r="S32" i="14"/>
  <c r="T32" i="14" s="1"/>
  <c r="V32" i="14"/>
  <c r="W32" i="14" s="1"/>
  <c r="Y32" i="14"/>
  <c r="Z32" i="14" s="1"/>
  <c r="C33" i="14"/>
  <c r="F33" i="14"/>
  <c r="G33" i="14" s="1"/>
  <c r="J33" i="14"/>
  <c r="M33" i="14"/>
  <c r="P33" i="14"/>
  <c r="Q33" i="14" s="1"/>
  <c r="S33" i="14"/>
  <c r="T33" i="14" s="1"/>
  <c r="V33" i="14"/>
  <c r="W33" i="14" s="1"/>
  <c r="Y33" i="14"/>
  <c r="Z33" i="14" s="1"/>
  <c r="C34" i="14"/>
  <c r="F34" i="14"/>
  <c r="G34" i="14" s="1"/>
  <c r="J34" i="14"/>
  <c r="M34" i="14"/>
  <c r="P34" i="14"/>
  <c r="Q34" i="14" s="1"/>
  <c r="S34" i="14"/>
  <c r="T34" i="14" s="1"/>
  <c r="V34" i="14"/>
  <c r="W34" i="14" s="1"/>
  <c r="Y34" i="14"/>
  <c r="Z34" i="14" s="1"/>
  <c r="Q35" i="6" l="1"/>
  <c r="Z34" i="6"/>
  <c r="M34" i="6"/>
  <c r="Z33" i="6"/>
  <c r="M33" i="6"/>
  <c r="Q32" i="6"/>
  <c r="D32" i="6"/>
  <c r="Q31" i="6"/>
  <c r="Z30" i="6"/>
  <c r="M30" i="6"/>
  <c r="Z29" i="6"/>
  <c r="M29" i="6"/>
  <c r="Q28" i="6"/>
  <c r="D28" i="6"/>
  <c r="Q27" i="6"/>
  <c r="Z26" i="6"/>
  <c r="M26" i="6"/>
  <c r="Z25" i="6"/>
  <c r="M25" i="6"/>
  <c r="Q24" i="6"/>
  <c r="D24" i="6"/>
  <c r="Q23" i="6"/>
  <c r="Z21" i="6"/>
  <c r="M21" i="6"/>
  <c r="Q20" i="6"/>
  <c r="D20" i="6"/>
  <c r="Z19" i="6"/>
  <c r="M19" i="6"/>
  <c r="Z18" i="6"/>
  <c r="M18" i="6"/>
  <c r="Z17" i="6"/>
  <c r="M17" i="6"/>
  <c r="Z16" i="6"/>
  <c r="M16" i="6"/>
  <c r="Q15" i="6"/>
  <c r="D15" i="6"/>
  <c r="Q14" i="6"/>
  <c r="Z13" i="6"/>
  <c r="M13" i="6"/>
  <c r="Z12" i="6"/>
  <c r="M12" i="6"/>
  <c r="Q11" i="6"/>
  <c r="D11" i="6"/>
  <c r="Q10" i="6"/>
  <c r="Z9" i="6"/>
  <c r="M9" i="6"/>
  <c r="Z8" i="6"/>
  <c r="M8" i="6"/>
  <c r="Q7" i="6"/>
  <c r="D7" i="6"/>
  <c r="Q6" i="6"/>
  <c r="Z5" i="6"/>
  <c r="M5" i="6"/>
  <c r="Z35" i="6"/>
  <c r="M35" i="6"/>
  <c r="Q34" i="6"/>
  <c r="D34" i="6"/>
  <c r="Q33" i="6"/>
  <c r="Z32" i="6"/>
  <c r="M32" i="6"/>
  <c r="Z31" i="6"/>
  <c r="M31" i="6"/>
  <c r="Q30" i="6"/>
  <c r="D30" i="6"/>
  <c r="Q29" i="6"/>
  <c r="Z28" i="6"/>
  <c r="M28" i="6"/>
  <c r="Z27" i="6"/>
  <c r="M27" i="6"/>
  <c r="Q26" i="6"/>
  <c r="D26" i="6"/>
  <c r="Q25" i="6"/>
  <c r="Z24" i="6"/>
  <c r="M24" i="6"/>
  <c r="Z23" i="6"/>
  <c r="M23" i="6"/>
  <c r="Q22" i="6"/>
  <c r="D22" i="6"/>
  <c r="Z20" i="6"/>
  <c r="M20" i="6"/>
  <c r="Q19" i="6"/>
  <c r="Q18" i="6"/>
  <c r="Q17" i="6"/>
  <c r="AF17" i="6" s="1"/>
  <c r="Q16" i="6"/>
  <c r="D16" i="6"/>
  <c r="Z15" i="6"/>
  <c r="M15" i="6"/>
  <c r="Z14" i="6"/>
  <c r="M14" i="6"/>
  <c r="Q13" i="6"/>
  <c r="AF13" i="6" s="1"/>
  <c r="D13" i="6"/>
  <c r="Q12" i="6"/>
  <c r="AF12" i="6" s="1"/>
  <c r="Z11" i="6"/>
  <c r="M11" i="6"/>
  <c r="Z10" i="6"/>
  <c r="M10" i="6"/>
  <c r="Q9" i="6"/>
  <c r="D9" i="6"/>
  <c r="Q8" i="6"/>
  <c r="AF8" i="6" s="1"/>
  <c r="Z7" i="6"/>
  <c r="M7" i="6"/>
  <c r="Z6" i="6"/>
  <c r="M6" i="6"/>
  <c r="Q5" i="6"/>
  <c r="AF5" i="6" s="1"/>
  <c r="D5" i="6"/>
  <c r="Z35" i="13"/>
  <c r="M35" i="13"/>
  <c r="Q34" i="13"/>
  <c r="Z33" i="13"/>
  <c r="M33" i="13"/>
  <c r="Q32" i="13"/>
  <c r="Z31" i="13"/>
  <c r="M31" i="13"/>
  <c r="Q30" i="13"/>
  <c r="Z29" i="13"/>
  <c r="M29" i="13"/>
  <c r="Q28" i="13"/>
  <c r="Z27" i="13"/>
  <c r="M27" i="13"/>
  <c r="Q26" i="13"/>
  <c r="Z25" i="13"/>
  <c r="M25" i="13"/>
  <c r="Q24" i="13"/>
  <c r="Z23" i="13"/>
  <c r="M23" i="13"/>
  <c r="Q22" i="13"/>
  <c r="Z21" i="13"/>
  <c r="M21" i="13"/>
  <c r="Q20" i="13"/>
  <c r="Z19" i="13"/>
  <c r="M19" i="13"/>
  <c r="Q18" i="13"/>
  <c r="Z17" i="13"/>
  <c r="M17" i="13"/>
  <c r="Q16" i="13"/>
  <c r="Z15" i="13"/>
  <c r="M15" i="13"/>
  <c r="Q14" i="13"/>
  <c r="Z13" i="13"/>
  <c r="M13" i="13"/>
  <c r="Q12" i="13"/>
  <c r="Z11" i="13"/>
  <c r="M11" i="13"/>
  <c r="Q10" i="13"/>
  <c r="Z9" i="13"/>
  <c r="M9" i="13"/>
  <c r="Z7" i="13"/>
  <c r="M7" i="13"/>
  <c r="Q6" i="13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Z20" i="1"/>
  <c r="M20" i="1"/>
  <c r="Z19" i="1"/>
  <c r="M19" i="1"/>
  <c r="Z18" i="1"/>
  <c r="M18" i="1"/>
  <c r="Z17" i="1"/>
  <c r="M17" i="1"/>
  <c r="Z16" i="1"/>
  <c r="M16" i="1"/>
  <c r="Z15" i="1"/>
  <c r="M15" i="1"/>
  <c r="Z14" i="1"/>
  <c r="M14" i="1"/>
  <c r="Z13" i="1"/>
  <c r="M13" i="1"/>
  <c r="Z12" i="1"/>
  <c r="M12" i="1"/>
  <c r="Z11" i="1"/>
  <c r="M11" i="1"/>
  <c r="Z10" i="1"/>
  <c r="M10" i="1"/>
  <c r="Z9" i="1"/>
  <c r="M9" i="1"/>
  <c r="Z8" i="1"/>
  <c r="M8" i="1"/>
  <c r="Z7" i="1"/>
  <c r="M7" i="1"/>
  <c r="Z6" i="1"/>
  <c r="M6" i="1"/>
  <c r="Q35" i="13"/>
  <c r="Z34" i="13"/>
  <c r="M34" i="13"/>
  <c r="Q33" i="13"/>
  <c r="Z32" i="13"/>
  <c r="M32" i="13"/>
  <c r="Q31" i="13"/>
  <c r="Z30" i="13"/>
  <c r="M30" i="13"/>
  <c r="Q29" i="13"/>
  <c r="Z28" i="13"/>
  <c r="M28" i="13"/>
  <c r="Q27" i="13"/>
  <c r="Z26" i="13"/>
  <c r="M26" i="13"/>
  <c r="Q25" i="13"/>
  <c r="Z24" i="13"/>
  <c r="M24" i="13"/>
  <c r="Q23" i="13"/>
  <c r="Z22" i="13"/>
  <c r="M22" i="13"/>
  <c r="Q21" i="13"/>
  <c r="Z20" i="13"/>
  <c r="M20" i="13"/>
  <c r="Q19" i="13"/>
  <c r="Z18" i="13"/>
  <c r="M18" i="13"/>
  <c r="Q17" i="13"/>
  <c r="Z16" i="13"/>
  <c r="M16" i="13"/>
  <c r="Q15" i="13"/>
  <c r="Z14" i="13"/>
  <c r="M14" i="13"/>
  <c r="Q13" i="13"/>
  <c r="Z12" i="13"/>
  <c r="M12" i="13"/>
  <c r="Q11" i="13"/>
  <c r="Z10" i="13"/>
  <c r="M10" i="13"/>
  <c r="Q9" i="13"/>
  <c r="Z8" i="13"/>
  <c r="M8" i="13"/>
  <c r="Q7" i="13"/>
  <c r="Z6" i="13"/>
  <c r="M6" i="13"/>
  <c r="Z35" i="1"/>
  <c r="M35" i="1"/>
  <c r="Z34" i="1"/>
  <c r="M34" i="1"/>
  <c r="Z33" i="1"/>
  <c r="M33" i="1"/>
  <c r="Z32" i="1"/>
  <c r="M32" i="1"/>
  <c r="Z31" i="1"/>
  <c r="M31" i="1"/>
  <c r="Z30" i="1"/>
  <c r="M30" i="1"/>
  <c r="Z29" i="1"/>
  <c r="M29" i="1"/>
  <c r="Z28" i="1"/>
  <c r="M28" i="1"/>
  <c r="Z27" i="1"/>
  <c r="M27" i="1"/>
  <c r="Z26" i="1"/>
  <c r="M26" i="1"/>
  <c r="Z25" i="1"/>
  <c r="M25" i="1"/>
  <c r="Z24" i="1"/>
  <c r="M24" i="1"/>
  <c r="Z23" i="1"/>
  <c r="M23" i="1"/>
  <c r="Z22" i="1"/>
  <c r="M22" i="1"/>
  <c r="Z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5" i="1"/>
  <c r="Z34" i="7"/>
  <c r="M34" i="7"/>
  <c r="Z33" i="7"/>
  <c r="M33" i="7"/>
  <c r="Z32" i="7"/>
  <c r="M32" i="7"/>
  <c r="Z31" i="7"/>
  <c r="M31" i="7"/>
  <c r="Z30" i="7"/>
  <c r="M30" i="7"/>
  <c r="Z29" i="7"/>
  <c r="M29" i="7"/>
  <c r="Z28" i="7"/>
  <c r="M28" i="7"/>
  <c r="Z27" i="7"/>
  <c r="M27" i="7"/>
  <c r="Z26" i="7"/>
  <c r="M26" i="7"/>
  <c r="Z25" i="7"/>
  <c r="M25" i="7"/>
  <c r="Z24" i="7"/>
  <c r="M24" i="7"/>
  <c r="Z23" i="7"/>
  <c r="M23" i="7"/>
  <c r="Z22" i="7"/>
  <c r="M22" i="7"/>
  <c r="Z21" i="7"/>
  <c r="M21" i="7"/>
  <c r="Z20" i="7"/>
  <c r="M20" i="7"/>
  <c r="Z19" i="7"/>
  <c r="M19" i="7"/>
  <c r="Z18" i="7"/>
  <c r="M18" i="7"/>
  <c r="Z17" i="7"/>
  <c r="M17" i="7"/>
  <c r="Q16" i="7"/>
  <c r="Z15" i="7"/>
  <c r="M15" i="7"/>
  <c r="M14" i="7"/>
  <c r="Q8" i="7"/>
  <c r="Q7" i="7"/>
  <c r="Q6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Z16" i="7"/>
  <c r="M16" i="7"/>
  <c r="Q15" i="7"/>
  <c r="Z14" i="7"/>
  <c r="Q14" i="7"/>
  <c r="Z13" i="7"/>
  <c r="M13" i="7"/>
  <c r="Z12" i="7"/>
  <c r="Z11" i="7"/>
  <c r="Z10" i="7"/>
  <c r="M10" i="7"/>
  <c r="Z9" i="7"/>
  <c r="M9" i="7"/>
  <c r="Z8" i="7"/>
  <c r="M8" i="7"/>
  <c r="Z7" i="7"/>
  <c r="M7" i="7"/>
  <c r="Z5" i="7"/>
  <c r="M5" i="7"/>
  <c r="AB35" i="12"/>
  <c r="AF27" i="11"/>
  <c r="AC32" i="9"/>
  <c r="AC8" i="5"/>
  <c r="AC16" i="5"/>
  <c r="AC14" i="5"/>
  <c r="AC10" i="5"/>
  <c r="AC6" i="5"/>
  <c r="AC12" i="5"/>
  <c r="AD35" i="11"/>
  <c r="AC33" i="5"/>
  <c r="AC17" i="9"/>
  <c r="T5" i="13"/>
  <c r="S36" i="13"/>
  <c r="G5" i="13"/>
  <c r="F36" i="13"/>
  <c r="Y36" i="13"/>
  <c r="L36" i="13"/>
  <c r="D34" i="14"/>
  <c r="AD34" i="14" s="1"/>
  <c r="AC34" i="14"/>
  <c r="D33" i="14"/>
  <c r="AD33" i="14" s="1"/>
  <c r="AC33" i="14"/>
  <c r="D32" i="14"/>
  <c r="AD32" i="14" s="1"/>
  <c r="AC32" i="14"/>
  <c r="D31" i="14"/>
  <c r="AD31" i="14" s="1"/>
  <c r="AC31" i="14"/>
  <c r="D30" i="14"/>
  <c r="AD30" i="14" s="1"/>
  <c r="AC30" i="14"/>
  <c r="D29" i="14"/>
  <c r="AD29" i="14" s="1"/>
  <c r="AC29" i="14"/>
  <c r="D28" i="14"/>
  <c r="AD28" i="14" s="1"/>
  <c r="AC28" i="14"/>
  <c r="D27" i="14"/>
  <c r="AD27" i="14" s="1"/>
  <c r="AC27" i="14"/>
  <c r="D26" i="14"/>
  <c r="AD26" i="14" s="1"/>
  <c r="AC26" i="14"/>
  <c r="D25" i="14"/>
  <c r="AD25" i="14" s="1"/>
  <c r="AC25" i="14"/>
  <c r="D24" i="14"/>
  <c r="AD24" i="14" s="1"/>
  <c r="AC24" i="14"/>
  <c r="D23" i="14"/>
  <c r="AD23" i="14" s="1"/>
  <c r="AC23" i="14"/>
  <c r="D22" i="14"/>
  <c r="AD22" i="14" s="1"/>
  <c r="AC22" i="14"/>
  <c r="D21" i="14"/>
  <c r="AD21" i="14" s="1"/>
  <c r="AC21" i="14"/>
  <c r="D20" i="14"/>
  <c r="AD20" i="14" s="1"/>
  <c r="AC20" i="14"/>
  <c r="D19" i="14"/>
  <c r="AD19" i="14" s="1"/>
  <c r="AC19" i="14"/>
  <c r="D18" i="14"/>
  <c r="AD18" i="14" s="1"/>
  <c r="AC18" i="14"/>
  <c r="D17" i="14"/>
  <c r="AC17" i="14"/>
  <c r="D16" i="14"/>
  <c r="AD16" i="14" s="1"/>
  <c r="AC16" i="14"/>
  <c r="D15" i="14"/>
  <c r="AD15" i="14" s="1"/>
  <c r="AC15" i="14"/>
  <c r="D14" i="14"/>
  <c r="AD14" i="14" s="1"/>
  <c r="AC14" i="14"/>
  <c r="D13" i="14"/>
  <c r="AD13" i="14" s="1"/>
  <c r="AC13" i="14"/>
  <c r="D12" i="14"/>
  <c r="AD12" i="14" s="1"/>
  <c r="AC12" i="14"/>
  <c r="D11" i="14"/>
  <c r="AD11" i="14" s="1"/>
  <c r="AC11" i="14"/>
  <c r="D10" i="14"/>
  <c r="AD10" i="14" s="1"/>
  <c r="AC10" i="14"/>
  <c r="D9" i="14"/>
  <c r="AD9" i="14" s="1"/>
  <c r="AC9" i="14"/>
  <c r="D8" i="14"/>
  <c r="AD8" i="14" s="1"/>
  <c r="AC8" i="14"/>
  <c r="D7" i="14"/>
  <c r="AD7" i="14" s="1"/>
  <c r="AC7" i="14"/>
  <c r="D6" i="14"/>
  <c r="AD6" i="14" s="1"/>
  <c r="AC6" i="14"/>
  <c r="C35" i="13"/>
  <c r="AB35" i="13"/>
  <c r="C34" i="13"/>
  <c r="AB34" i="13"/>
  <c r="C33" i="13"/>
  <c r="AB33" i="13"/>
  <c r="C32" i="13"/>
  <c r="AB32" i="13"/>
  <c r="C31" i="13"/>
  <c r="AB31" i="13"/>
  <c r="C30" i="13"/>
  <c r="AB30" i="13"/>
  <c r="C29" i="13"/>
  <c r="AB29" i="13"/>
  <c r="C28" i="13"/>
  <c r="AB28" i="13"/>
  <c r="C27" i="13"/>
  <c r="AB27" i="13"/>
  <c r="C26" i="13"/>
  <c r="AB26" i="13"/>
  <c r="C25" i="13"/>
  <c r="AB25" i="13"/>
  <c r="C24" i="13"/>
  <c r="AB24" i="13"/>
  <c r="C23" i="13"/>
  <c r="AB23" i="13"/>
  <c r="C22" i="13"/>
  <c r="AB22" i="13"/>
  <c r="C21" i="13"/>
  <c r="AB21" i="13"/>
  <c r="C20" i="13"/>
  <c r="AB20" i="13"/>
  <c r="C19" i="13"/>
  <c r="AB19" i="13"/>
  <c r="C18" i="13"/>
  <c r="AB18" i="13"/>
  <c r="C17" i="13"/>
  <c r="AB17" i="13"/>
  <c r="C16" i="13"/>
  <c r="AB16" i="13"/>
  <c r="C15" i="13"/>
  <c r="AB15" i="13"/>
  <c r="C14" i="13"/>
  <c r="AB14" i="13"/>
  <c r="C13" i="13"/>
  <c r="AB13" i="13"/>
  <c r="C12" i="13"/>
  <c r="AB12" i="13"/>
  <c r="C11" i="13"/>
  <c r="AB11" i="13"/>
  <c r="C10" i="13"/>
  <c r="AB10" i="13"/>
  <c r="C9" i="13"/>
  <c r="AB9" i="13"/>
  <c r="C8" i="13"/>
  <c r="AB8" i="13"/>
  <c r="C7" i="13"/>
  <c r="AB7" i="13"/>
  <c r="C6" i="13"/>
  <c r="AB6" i="13"/>
  <c r="W5" i="13"/>
  <c r="V36" i="13"/>
  <c r="Q5" i="13"/>
  <c r="P36" i="13"/>
  <c r="J5" i="13"/>
  <c r="I36" i="13"/>
  <c r="C5" i="13"/>
  <c r="AB5" i="13"/>
  <c r="AC35" i="5"/>
  <c r="AC31" i="5"/>
  <c r="AC20" i="5"/>
  <c r="D34" i="7"/>
  <c r="AC34" i="7"/>
  <c r="D33" i="7"/>
  <c r="AC33" i="7"/>
  <c r="D32" i="7"/>
  <c r="AC32" i="7"/>
  <c r="D31" i="7"/>
  <c r="AC31" i="7"/>
  <c r="D30" i="7"/>
  <c r="AC30" i="7"/>
  <c r="D29" i="7"/>
  <c r="AC29" i="7"/>
  <c r="D28" i="7"/>
  <c r="AC28" i="7"/>
  <c r="D27" i="7"/>
  <c r="AC27" i="7"/>
  <c r="D26" i="7"/>
  <c r="AC26" i="7"/>
  <c r="D25" i="7"/>
  <c r="AC25" i="7"/>
  <c r="D24" i="7"/>
  <c r="AC24" i="7"/>
  <c r="D23" i="7"/>
  <c r="AC23" i="7"/>
  <c r="D22" i="7"/>
  <c r="AC22" i="7"/>
  <c r="D21" i="7"/>
  <c r="AC21" i="7"/>
  <c r="D20" i="7"/>
  <c r="AC20" i="7"/>
  <c r="D19" i="7"/>
  <c r="AC19" i="7"/>
  <c r="D18" i="7"/>
  <c r="AC18" i="7"/>
  <c r="D17" i="7"/>
  <c r="AC17" i="7"/>
  <c r="D16" i="7"/>
  <c r="AC16" i="7"/>
  <c r="D15" i="7"/>
  <c r="AC15" i="7"/>
  <c r="D14" i="7"/>
  <c r="AC14" i="7"/>
  <c r="D13" i="7"/>
  <c r="AD13" i="7" s="1"/>
  <c r="AC13" i="7"/>
  <c r="D12" i="7"/>
  <c r="AD12" i="7" s="1"/>
  <c r="AC12" i="7"/>
  <c r="D11" i="7"/>
  <c r="AD11" i="7" s="1"/>
  <c r="AC11" i="7"/>
  <c r="D10" i="7"/>
  <c r="AD10" i="7" s="1"/>
  <c r="AC10" i="7"/>
  <c r="D9" i="7"/>
  <c r="AD9" i="7" s="1"/>
  <c r="AC9" i="7"/>
  <c r="D8" i="7"/>
  <c r="AC8" i="7"/>
  <c r="D7" i="7"/>
  <c r="AC7" i="7"/>
  <c r="D6" i="7"/>
  <c r="AC6" i="7"/>
  <c r="AC5" i="7"/>
  <c r="D32" i="4"/>
  <c r="AD32" i="4" s="1"/>
  <c r="AC32" i="4"/>
  <c r="D31" i="4"/>
  <c r="AD31" i="4" s="1"/>
  <c r="AC31" i="4"/>
  <c r="D30" i="4"/>
  <c r="AD30" i="4" s="1"/>
  <c r="AC30" i="4"/>
  <c r="D29" i="4"/>
  <c r="AD29" i="4" s="1"/>
  <c r="AC29" i="4"/>
  <c r="D28" i="4"/>
  <c r="AD28" i="4" s="1"/>
  <c r="AC28" i="4"/>
  <c r="D27" i="4"/>
  <c r="AD27" i="4" s="1"/>
  <c r="AC27" i="4"/>
  <c r="D26" i="4"/>
  <c r="AD26" i="4" s="1"/>
  <c r="AC26" i="4"/>
  <c r="D25" i="4"/>
  <c r="AD25" i="4" s="1"/>
  <c r="AC25" i="4"/>
  <c r="D24" i="4"/>
  <c r="AD24" i="4" s="1"/>
  <c r="AC24" i="4"/>
  <c r="D23" i="4"/>
  <c r="AD23" i="4" s="1"/>
  <c r="AC23" i="4"/>
  <c r="D22" i="4"/>
  <c r="AD22" i="4" s="1"/>
  <c r="AC22" i="4"/>
  <c r="D21" i="4"/>
  <c r="AD21" i="4" s="1"/>
  <c r="AC21" i="4"/>
  <c r="D20" i="4"/>
  <c r="AD20" i="4" s="1"/>
  <c r="AC20" i="4"/>
  <c r="D19" i="4"/>
  <c r="AD19" i="4" s="1"/>
  <c r="AC19" i="4"/>
  <c r="D18" i="4"/>
  <c r="AD18" i="4" s="1"/>
  <c r="AC18" i="4"/>
  <c r="D17" i="4"/>
  <c r="AD17" i="4" s="1"/>
  <c r="AC17" i="4"/>
  <c r="D16" i="4"/>
  <c r="AD16" i="4" s="1"/>
  <c r="AC16" i="4"/>
  <c r="D15" i="4"/>
  <c r="AD15" i="4" s="1"/>
  <c r="AC15" i="4"/>
  <c r="D14" i="4"/>
  <c r="AD14" i="4" s="1"/>
  <c r="AC14" i="4"/>
  <c r="D13" i="4"/>
  <c r="AD13" i="4" s="1"/>
  <c r="AC13" i="4"/>
  <c r="D12" i="4"/>
  <c r="AD12" i="4" s="1"/>
  <c r="AC12" i="4"/>
  <c r="D11" i="4"/>
  <c r="AD11" i="4" s="1"/>
  <c r="AC11" i="4"/>
  <c r="D10" i="4"/>
  <c r="AD10" i="4" s="1"/>
  <c r="AC10" i="4"/>
  <c r="D9" i="4"/>
  <c r="AD9" i="4" s="1"/>
  <c r="AC9" i="4"/>
  <c r="D8" i="4"/>
  <c r="AD8" i="4" s="1"/>
  <c r="AC8" i="4"/>
  <c r="D7" i="4"/>
  <c r="AD7" i="4" s="1"/>
  <c r="AC7" i="4"/>
  <c r="D5" i="4"/>
  <c r="AD5" i="4" s="1"/>
  <c r="AC5" i="4"/>
  <c r="AC6" i="4"/>
  <c r="D35" i="1"/>
  <c r="AC35" i="1"/>
  <c r="D34" i="1"/>
  <c r="AC34" i="1"/>
  <c r="D33" i="1"/>
  <c r="AC33" i="1"/>
  <c r="D32" i="1"/>
  <c r="AC32" i="1"/>
  <c r="D31" i="1"/>
  <c r="AC31" i="1"/>
  <c r="D30" i="1"/>
  <c r="AC30" i="1"/>
  <c r="D29" i="1"/>
  <c r="AC29" i="1"/>
  <c r="D28" i="1"/>
  <c r="AC28" i="1"/>
  <c r="D27" i="1"/>
  <c r="AC27" i="1"/>
  <c r="D26" i="1"/>
  <c r="AC26" i="1"/>
  <c r="D25" i="1"/>
  <c r="AC25" i="1"/>
  <c r="D24" i="1"/>
  <c r="AC24" i="1"/>
  <c r="D23" i="1"/>
  <c r="AC23" i="1"/>
  <c r="D22" i="1"/>
  <c r="AC22" i="1"/>
  <c r="D21" i="1"/>
  <c r="AC21" i="1"/>
  <c r="D20" i="1"/>
  <c r="AC20" i="1"/>
  <c r="D19" i="1"/>
  <c r="AC19" i="1"/>
  <c r="D18" i="1"/>
  <c r="AC18" i="1"/>
  <c r="D17" i="1"/>
  <c r="AC17" i="1"/>
  <c r="D16" i="1"/>
  <c r="AC16" i="1"/>
  <c r="D15" i="1"/>
  <c r="AC15" i="1"/>
  <c r="D14" i="1"/>
  <c r="AC14" i="1"/>
  <c r="D13" i="1"/>
  <c r="AC13" i="1"/>
  <c r="D12" i="1"/>
  <c r="AC12" i="1"/>
  <c r="D11" i="1"/>
  <c r="AC11" i="1"/>
  <c r="D10" i="1"/>
  <c r="AC10" i="1"/>
  <c r="D9" i="1"/>
  <c r="AC9" i="1"/>
  <c r="D8" i="1"/>
  <c r="AC8" i="1"/>
  <c r="D7" i="1"/>
  <c r="AC7" i="1"/>
  <c r="D5" i="1"/>
  <c r="AC5" i="1"/>
  <c r="AC6" i="1"/>
  <c r="S36" i="8"/>
  <c r="T36" i="8" s="1"/>
  <c r="G9" i="15" s="1"/>
  <c r="F36" i="8"/>
  <c r="G36" i="8" s="1"/>
  <c r="C9" i="15" s="1"/>
  <c r="AF7" i="9"/>
  <c r="AC20" i="6"/>
  <c r="Y36" i="8"/>
  <c r="Z36" i="8" s="1"/>
  <c r="I9" i="15" s="1"/>
  <c r="L36" i="8"/>
  <c r="M36" i="8" s="1"/>
  <c r="E9" i="15" s="1"/>
  <c r="AF15" i="9"/>
  <c r="AF9" i="9"/>
  <c r="AD28" i="5"/>
  <c r="Q8" i="13"/>
  <c r="T7" i="13"/>
  <c r="W6" i="13"/>
  <c r="Z5" i="13"/>
  <c r="AD29" i="5"/>
  <c r="G7" i="13"/>
  <c r="J6" i="13"/>
  <c r="M5" i="13"/>
  <c r="AD17" i="9"/>
  <c r="AF13" i="9"/>
  <c r="AF11" i="9"/>
  <c r="AF5" i="9"/>
  <c r="AC29" i="5"/>
  <c r="AF24" i="5"/>
  <c r="AF16" i="5"/>
  <c r="AF15" i="5"/>
  <c r="AF12" i="5"/>
  <c r="AF11" i="5"/>
  <c r="AF8" i="5"/>
  <c r="AF7" i="5"/>
  <c r="AF26" i="5"/>
  <c r="AF22" i="5"/>
  <c r="AF18" i="5"/>
  <c r="AF17" i="5"/>
  <c r="AF14" i="5"/>
  <c r="AF13" i="5"/>
  <c r="AF10" i="5"/>
  <c r="AF9" i="5"/>
  <c r="AF23" i="12"/>
  <c r="AF34" i="9"/>
  <c r="AF30" i="9"/>
  <c r="AF26" i="9"/>
  <c r="AF22" i="9"/>
  <c r="AF32" i="9"/>
  <c r="AF28" i="9"/>
  <c r="AF24" i="9"/>
  <c r="AF20" i="9"/>
  <c r="AD30" i="12"/>
  <c r="AC30" i="12"/>
  <c r="AD26" i="12"/>
  <c r="AC26" i="12"/>
  <c r="AC28" i="12"/>
  <c r="AD21" i="12"/>
  <c r="AC21" i="12"/>
  <c r="AC19" i="12"/>
  <c r="AD17" i="12"/>
  <c r="AC17" i="12"/>
  <c r="AC15" i="12"/>
  <c r="AD13" i="12"/>
  <c r="AC13" i="12"/>
  <c r="AC11" i="12"/>
  <c r="AD9" i="12"/>
  <c r="AC9" i="12"/>
  <c r="AC7" i="12"/>
  <c r="D5" i="12"/>
  <c r="AD5" i="12" s="1"/>
  <c r="AC5" i="12"/>
  <c r="AF33" i="12"/>
  <c r="AF31" i="12"/>
  <c r="AF30" i="12"/>
  <c r="AF29" i="12"/>
  <c r="AF28" i="12"/>
  <c r="AF27" i="12"/>
  <c r="AF26" i="12"/>
  <c r="AF25" i="12"/>
  <c r="AB29" i="12"/>
  <c r="AB27" i="12"/>
  <c r="I36" i="11"/>
  <c r="J36" i="11" s="1"/>
  <c r="D12" i="15" s="1"/>
  <c r="F36" i="11"/>
  <c r="G36" i="11" s="1"/>
  <c r="C12" i="15" s="1"/>
  <c r="AF6" i="11"/>
  <c r="Y36" i="11"/>
  <c r="Z36" i="11" s="1"/>
  <c r="I12" i="15" s="1"/>
  <c r="AF10" i="11"/>
  <c r="S36" i="11"/>
  <c r="T36" i="11" s="1"/>
  <c r="G12" i="15" s="1"/>
  <c r="AC7" i="11"/>
  <c r="L36" i="11"/>
  <c r="M36" i="11" s="1"/>
  <c r="E12" i="15" s="1"/>
  <c r="D5" i="11"/>
  <c r="AD5" i="11" s="1"/>
  <c r="AC5" i="11"/>
  <c r="AF34" i="11"/>
  <c r="AF32" i="11"/>
  <c r="AF30" i="11"/>
  <c r="AF28" i="11"/>
  <c r="AF26" i="11"/>
  <c r="C36" i="11"/>
  <c r="D36" i="11" s="1"/>
  <c r="B12" i="15" s="1"/>
  <c r="AF24" i="11"/>
  <c r="AF22" i="11"/>
  <c r="AF20" i="11"/>
  <c r="AF18" i="11"/>
  <c r="AF16" i="11"/>
  <c r="AF14" i="11"/>
  <c r="AF12" i="11"/>
  <c r="T18" i="14"/>
  <c r="T35" i="14" s="1"/>
  <c r="G3" i="15" s="1"/>
  <c r="S35" i="14"/>
  <c r="M6" i="14"/>
  <c r="M35" i="14" s="1"/>
  <c r="E3" i="15" s="1"/>
  <c r="L35" i="14"/>
  <c r="J5" i="14"/>
  <c r="I35" i="14"/>
  <c r="Q17" i="14"/>
  <c r="Q35" i="14" s="1"/>
  <c r="F3" i="15" s="1"/>
  <c r="P35" i="14"/>
  <c r="Z6" i="14"/>
  <c r="Z35" i="14" s="1"/>
  <c r="I3" i="15" s="1"/>
  <c r="Y35" i="14"/>
  <c r="G6" i="14"/>
  <c r="F35" i="14"/>
  <c r="W5" i="14"/>
  <c r="W35" i="14" s="1"/>
  <c r="H3" i="15" s="1"/>
  <c r="V35" i="14"/>
  <c r="D5" i="14"/>
  <c r="C35" i="14"/>
  <c r="AC35" i="14" s="1"/>
  <c r="W6" i="1"/>
  <c r="V36" i="1"/>
  <c r="J6" i="1"/>
  <c r="I36" i="1"/>
  <c r="Z5" i="1"/>
  <c r="Y36" i="1"/>
  <c r="M5" i="1"/>
  <c r="L36" i="1"/>
  <c r="W6" i="4"/>
  <c r="W34" i="4" s="1"/>
  <c r="H6" i="15" s="1"/>
  <c r="V34" i="4"/>
  <c r="J6" i="4"/>
  <c r="J34" i="4" s="1"/>
  <c r="D6" i="15" s="1"/>
  <c r="I34" i="4"/>
  <c r="Z5" i="4"/>
  <c r="Z34" i="4" s="1"/>
  <c r="I6" i="15" s="1"/>
  <c r="Y34" i="4"/>
  <c r="M5" i="4"/>
  <c r="M34" i="4" s="1"/>
  <c r="E6" i="15" s="1"/>
  <c r="L34" i="4"/>
  <c r="D35" i="6"/>
  <c r="AC35" i="6"/>
  <c r="D33" i="6"/>
  <c r="AC33" i="6"/>
  <c r="D31" i="6"/>
  <c r="AC31" i="6"/>
  <c r="D29" i="6"/>
  <c r="AC29" i="6"/>
  <c r="D27" i="6"/>
  <c r="AC27" i="6"/>
  <c r="D25" i="6"/>
  <c r="AC25" i="6"/>
  <c r="D23" i="6"/>
  <c r="AC23" i="6"/>
  <c r="Z22" i="6"/>
  <c r="Y36" i="6"/>
  <c r="M22" i="6"/>
  <c r="L36" i="6"/>
  <c r="Q21" i="6"/>
  <c r="P36" i="6"/>
  <c r="D21" i="6"/>
  <c r="AC21" i="6"/>
  <c r="Q6" i="1"/>
  <c r="P36" i="1"/>
  <c r="D6" i="1"/>
  <c r="C36" i="1"/>
  <c r="T5" i="1"/>
  <c r="S36" i="1"/>
  <c r="G5" i="1"/>
  <c r="G36" i="1" s="1"/>
  <c r="C5" i="15" s="1"/>
  <c r="F36" i="1"/>
  <c r="Q6" i="4"/>
  <c r="Q34" i="4" s="1"/>
  <c r="F6" i="15" s="1"/>
  <c r="P34" i="4"/>
  <c r="D6" i="4"/>
  <c r="C34" i="4"/>
  <c r="T5" i="4"/>
  <c r="T34" i="4" s="1"/>
  <c r="G6" i="15" s="1"/>
  <c r="S34" i="4"/>
  <c r="G5" i="4"/>
  <c r="G34" i="4" s="1"/>
  <c r="C6" i="15" s="1"/>
  <c r="F34" i="4"/>
  <c r="T22" i="6"/>
  <c r="S36" i="6"/>
  <c r="G22" i="6"/>
  <c r="F36" i="6"/>
  <c r="W21" i="6"/>
  <c r="V36" i="6"/>
  <c r="J21" i="6"/>
  <c r="I36" i="6"/>
  <c r="C18" i="6"/>
  <c r="AB18" i="6"/>
  <c r="T6" i="7"/>
  <c r="S35" i="7"/>
  <c r="G6" i="7"/>
  <c r="F35" i="7"/>
  <c r="W5" i="7"/>
  <c r="V35" i="7"/>
  <c r="J5" i="7"/>
  <c r="I35" i="7"/>
  <c r="D35" i="8"/>
  <c r="AD35" i="8" s="1"/>
  <c r="AC35" i="8"/>
  <c r="D33" i="8"/>
  <c r="AD33" i="8" s="1"/>
  <c r="AC33" i="8"/>
  <c r="D31" i="8"/>
  <c r="AD31" i="8" s="1"/>
  <c r="AC31" i="8"/>
  <c r="D29" i="8"/>
  <c r="AD29" i="8" s="1"/>
  <c r="AC29" i="8"/>
  <c r="D27" i="8"/>
  <c r="AD27" i="8" s="1"/>
  <c r="AC27" i="8"/>
  <c r="D25" i="8"/>
  <c r="AD25" i="8" s="1"/>
  <c r="AC25" i="8"/>
  <c r="D23" i="8"/>
  <c r="AD23" i="8" s="1"/>
  <c r="AC23" i="8"/>
  <c r="D21" i="8"/>
  <c r="AD21" i="8" s="1"/>
  <c r="AC21" i="8"/>
  <c r="D19" i="8"/>
  <c r="AD19" i="8" s="1"/>
  <c r="AC19" i="8"/>
  <c r="D17" i="8"/>
  <c r="AD17" i="8" s="1"/>
  <c r="AC17" i="8"/>
  <c r="D15" i="8"/>
  <c r="AD15" i="8" s="1"/>
  <c r="AC15" i="8"/>
  <c r="D13" i="8"/>
  <c r="AD13" i="8" s="1"/>
  <c r="AC13" i="8"/>
  <c r="D11" i="8"/>
  <c r="AD11" i="8" s="1"/>
  <c r="AC11" i="8"/>
  <c r="D9" i="8"/>
  <c r="AD9" i="8" s="1"/>
  <c r="AC9" i="8"/>
  <c r="D7" i="8"/>
  <c r="AD7" i="8" s="1"/>
  <c r="AC7" i="8"/>
  <c r="Q5" i="8"/>
  <c r="P36" i="8"/>
  <c r="Q36" i="8" s="1"/>
  <c r="F9" i="15" s="1"/>
  <c r="D5" i="8"/>
  <c r="AC5" i="8"/>
  <c r="C36" i="8"/>
  <c r="D36" i="8" s="1"/>
  <c r="B9" i="15" s="1"/>
  <c r="S35" i="9"/>
  <c r="T35" i="9" s="1"/>
  <c r="G10" i="15" s="1"/>
  <c r="AF19" i="9"/>
  <c r="F35" i="9"/>
  <c r="G35" i="9" s="1"/>
  <c r="G19" i="9"/>
  <c r="V35" i="9"/>
  <c r="W35" i="9" s="1"/>
  <c r="H10" i="15" s="1"/>
  <c r="W18" i="9"/>
  <c r="I35" i="9"/>
  <c r="J35" i="9" s="1"/>
  <c r="D10" i="15" s="1"/>
  <c r="J18" i="9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AF9" i="6"/>
  <c r="AF33" i="9"/>
  <c r="AF31" i="9"/>
  <c r="AF29" i="9"/>
  <c r="AF27" i="9"/>
  <c r="AF25" i="9"/>
  <c r="AF23" i="9"/>
  <c r="AF21" i="9"/>
  <c r="D19" i="6"/>
  <c r="AC19" i="6"/>
  <c r="D17" i="6"/>
  <c r="AC17" i="6"/>
  <c r="D14" i="6"/>
  <c r="AC14" i="6"/>
  <c r="D12" i="6"/>
  <c r="AC12" i="6"/>
  <c r="D10" i="6"/>
  <c r="AC10" i="6"/>
  <c r="D8" i="6"/>
  <c r="AC8" i="6"/>
  <c r="D6" i="6"/>
  <c r="AC6" i="6"/>
  <c r="Z6" i="7"/>
  <c r="Y35" i="7"/>
  <c r="M6" i="7"/>
  <c r="L35" i="7"/>
  <c r="Q5" i="7"/>
  <c r="P35" i="7"/>
  <c r="D5" i="7"/>
  <c r="C35" i="7"/>
  <c r="D34" i="8"/>
  <c r="AD34" i="8" s="1"/>
  <c r="AC34" i="8"/>
  <c r="D32" i="8"/>
  <c r="AD32" i="8" s="1"/>
  <c r="AC32" i="8"/>
  <c r="D30" i="8"/>
  <c r="AD30" i="8" s="1"/>
  <c r="AC30" i="8"/>
  <c r="D28" i="8"/>
  <c r="AD28" i="8" s="1"/>
  <c r="AC28" i="8"/>
  <c r="D26" i="8"/>
  <c r="AD26" i="8" s="1"/>
  <c r="AC26" i="8"/>
  <c r="D24" i="8"/>
  <c r="AD24" i="8" s="1"/>
  <c r="AC24" i="8"/>
  <c r="D22" i="8"/>
  <c r="AD22" i="8" s="1"/>
  <c r="AC22" i="8"/>
  <c r="D20" i="8"/>
  <c r="AD20" i="8" s="1"/>
  <c r="AC20" i="8"/>
  <c r="D18" i="8"/>
  <c r="AD18" i="8" s="1"/>
  <c r="AC18" i="8"/>
  <c r="D16" i="8"/>
  <c r="AD16" i="8" s="1"/>
  <c r="AC16" i="8"/>
  <c r="D14" i="8"/>
  <c r="AD14" i="8" s="1"/>
  <c r="AC14" i="8"/>
  <c r="D12" i="8"/>
  <c r="AD12" i="8" s="1"/>
  <c r="AC12" i="8"/>
  <c r="D10" i="8"/>
  <c r="AD10" i="8" s="1"/>
  <c r="AC10" i="8"/>
  <c r="D8" i="8"/>
  <c r="AD8" i="8" s="1"/>
  <c r="AC8" i="8"/>
  <c r="D6" i="8"/>
  <c r="AD6" i="8" s="1"/>
  <c r="AC6" i="8"/>
  <c r="W5" i="8"/>
  <c r="V36" i="8"/>
  <c r="W36" i="8" s="1"/>
  <c r="H9" i="15" s="1"/>
  <c r="J5" i="8"/>
  <c r="I36" i="8"/>
  <c r="J36" i="8" s="1"/>
  <c r="D9" i="15" s="1"/>
  <c r="D34" i="9"/>
  <c r="AD34" i="9" s="1"/>
  <c r="AC34" i="9"/>
  <c r="D32" i="9"/>
  <c r="AD32" i="9" s="1"/>
  <c r="D30" i="9"/>
  <c r="AD30" i="9" s="1"/>
  <c r="AC30" i="9"/>
  <c r="D28" i="9"/>
  <c r="AD28" i="9" s="1"/>
  <c r="AC28" i="9"/>
  <c r="D26" i="9"/>
  <c r="AD26" i="9" s="1"/>
  <c r="AC26" i="9"/>
  <c r="D24" i="9"/>
  <c r="AD24" i="9" s="1"/>
  <c r="AC24" i="9"/>
  <c r="D22" i="9"/>
  <c r="AD22" i="9" s="1"/>
  <c r="AC22" i="9"/>
  <c r="D20" i="9"/>
  <c r="AD20" i="9" s="1"/>
  <c r="AC20" i="9"/>
  <c r="L35" i="9"/>
  <c r="M35" i="9" s="1"/>
  <c r="E10" i="15" s="1"/>
  <c r="M19" i="9"/>
  <c r="Q35" i="9"/>
  <c r="F10" i="15" s="1"/>
  <c r="Q18" i="9"/>
  <c r="AF18" i="9" s="1"/>
  <c r="D18" i="9"/>
  <c r="AC18" i="9"/>
  <c r="Y35" i="9"/>
  <c r="Z35" i="9" s="1"/>
  <c r="I10" i="15" s="1"/>
  <c r="Z17" i="9"/>
  <c r="AF17" i="9" s="1"/>
  <c r="AD33" i="9"/>
  <c r="AD31" i="9"/>
  <c r="AD29" i="9"/>
  <c r="AD27" i="9"/>
  <c r="AD25" i="9"/>
  <c r="AD23" i="9"/>
  <c r="AD21" i="9"/>
  <c r="AD19" i="9"/>
  <c r="D16" i="9"/>
  <c r="AD16" i="9" s="1"/>
  <c r="AC16" i="9"/>
  <c r="D14" i="9"/>
  <c r="AD14" i="9" s="1"/>
  <c r="AC14" i="9"/>
  <c r="D12" i="9"/>
  <c r="AD12" i="9" s="1"/>
  <c r="AC12" i="9"/>
  <c r="D10" i="9"/>
  <c r="AD10" i="9" s="1"/>
  <c r="AC10" i="9"/>
  <c r="D8" i="9"/>
  <c r="AD8" i="9" s="1"/>
  <c r="AC8" i="9"/>
  <c r="D6" i="9"/>
  <c r="AD6" i="9" s="1"/>
  <c r="AC6" i="9"/>
  <c r="AF16" i="9"/>
  <c r="AF14" i="9"/>
  <c r="AF12" i="9"/>
  <c r="AF10" i="9"/>
  <c r="AF8" i="9"/>
  <c r="AF6" i="9"/>
  <c r="C15" i="9"/>
  <c r="AB15" i="9"/>
  <c r="C13" i="9"/>
  <c r="AB13" i="9"/>
  <c r="C11" i="9"/>
  <c r="AB11" i="9"/>
  <c r="C9" i="9"/>
  <c r="AB9" i="9"/>
  <c r="C7" i="9"/>
  <c r="AB7" i="9"/>
  <c r="C5" i="9"/>
  <c r="AB5" i="9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34" i="9"/>
  <c r="AC33" i="9"/>
  <c r="AB32" i="9"/>
  <c r="AC31" i="9"/>
  <c r="AB30" i="9"/>
  <c r="AC29" i="9"/>
  <c r="AB28" i="9"/>
  <c r="AC27" i="9"/>
  <c r="AB26" i="9"/>
  <c r="AC25" i="9"/>
  <c r="AB24" i="9"/>
  <c r="AC23" i="9"/>
  <c r="AB22" i="9"/>
  <c r="AC21" i="9"/>
  <c r="AB20" i="9"/>
  <c r="AC19" i="9"/>
  <c r="AB18" i="9"/>
  <c r="AD8" i="11"/>
  <c r="AC8" i="11"/>
  <c r="AD6" i="11"/>
  <c r="AC6" i="11"/>
  <c r="V35" i="12"/>
  <c r="W35" i="12" s="1"/>
  <c r="H13" i="15" s="1"/>
  <c r="I35" i="12"/>
  <c r="J35" i="12" s="1"/>
  <c r="D13" i="15" s="1"/>
  <c r="S35" i="12"/>
  <c r="T35" i="12" s="1"/>
  <c r="G13" i="15" s="1"/>
  <c r="V36" i="11"/>
  <c r="W36" i="11" s="1"/>
  <c r="H12" i="15" s="1"/>
  <c r="P36" i="11"/>
  <c r="Q36" i="11" s="1"/>
  <c r="F12" i="15" s="1"/>
  <c r="AF33" i="11"/>
  <c r="AF31" i="11"/>
  <c r="AF29" i="11"/>
  <c r="AF25" i="11"/>
  <c r="AF23" i="11"/>
  <c r="AF21" i="11"/>
  <c r="AF19" i="11"/>
  <c r="AF17" i="11"/>
  <c r="AF15" i="11"/>
  <c r="AF13" i="11"/>
  <c r="AF11" i="11"/>
  <c r="AF9" i="11"/>
  <c r="AF8" i="11"/>
  <c r="AF7" i="11"/>
  <c r="AF5" i="11"/>
  <c r="AF34" i="12"/>
  <c r="AF32" i="12"/>
  <c r="AD28" i="12"/>
  <c r="AF24" i="12"/>
  <c r="AD34" i="11"/>
  <c r="AC34" i="11"/>
  <c r="AD32" i="11"/>
  <c r="AC32" i="11"/>
  <c r="AD30" i="11"/>
  <c r="AC30" i="11"/>
  <c r="AD28" i="11"/>
  <c r="AC28" i="11"/>
  <c r="AD26" i="11"/>
  <c r="AC26" i="11"/>
  <c r="AD24" i="11"/>
  <c r="AC24" i="11"/>
  <c r="AD22" i="11"/>
  <c r="AC22" i="11"/>
  <c r="AD20" i="11"/>
  <c r="AC20" i="11"/>
  <c r="AD18" i="11"/>
  <c r="AC18" i="11"/>
  <c r="AD16" i="11"/>
  <c r="AC16" i="11"/>
  <c r="AD14" i="11"/>
  <c r="AC14" i="11"/>
  <c r="AD12" i="11"/>
  <c r="AC12" i="11"/>
  <c r="AD10" i="11"/>
  <c r="AC10" i="11"/>
  <c r="AD33" i="12"/>
  <c r="AC33" i="12"/>
  <c r="AD31" i="12"/>
  <c r="AC31" i="12"/>
  <c r="AD29" i="12"/>
  <c r="AC29" i="12"/>
  <c r="AD27" i="12"/>
  <c r="AC27" i="12"/>
  <c r="G35" i="12"/>
  <c r="C13" i="15" s="1"/>
  <c r="F35" i="12"/>
  <c r="AD25" i="12"/>
  <c r="AC25" i="12"/>
  <c r="L35" i="12"/>
  <c r="M35" i="12" s="1"/>
  <c r="E13" i="15" s="1"/>
  <c r="AD24" i="12"/>
  <c r="AC24" i="12"/>
  <c r="AD23" i="12"/>
  <c r="AC23" i="12"/>
  <c r="AF22" i="12"/>
  <c r="P35" i="12"/>
  <c r="Q35" i="12" s="1"/>
  <c r="F13" i="15" s="1"/>
  <c r="AC22" i="12"/>
  <c r="C35" i="12"/>
  <c r="Z21" i="12"/>
  <c r="Y35" i="12"/>
  <c r="Z35" i="12" s="1"/>
  <c r="I13" i="15" s="1"/>
  <c r="AF35" i="11"/>
  <c r="AD33" i="11"/>
  <c r="AD31" i="11"/>
  <c r="AD29" i="11"/>
  <c r="AD27" i="11"/>
  <c r="AD25" i="11"/>
  <c r="AD23" i="11"/>
  <c r="AD21" i="11"/>
  <c r="AD19" i="11"/>
  <c r="AD17" i="11"/>
  <c r="AD15" i="11"/>
  <c r="AD13" i="11"/>
  <c r="AD11" i="11"/>
  <c r="AD9" i="11"/>
  <c r="AD7" i="11"/>
  <c r="AD34" i="12"/>
  <c r="AD32" i="12"/>
  <c r="AD20" i="12"/>
  <c r="AC20" i="12"/>
  <c r="AD18" i="12"/>
  <c r="AC18" i="12"/>
  <c r="AD16" i="12"/>
  <c r="AC16" i="12"/>
  <c r="AD14" i="12"/>
  <c r="AC14" i="12"/>
  <c r="AD12" i="12"/>
  <c r="AC12" i="12"/>
  <c r="AD10" i="12"/>
  <c r="AC10" i="12"/>
  <c r="AD8" i="12"/>
  <c r="AC8" i="12"/>
  <c r="AC6" i="12"/>
  <c r="D34" i="5"/>
  <c r="AD34" i="5" s="1"/>
  <c r="AC34" i="5"/>
  <c r="D32" i="5"/>
  <c r="AD32" i="5" s="1"/>
  <c r="AC32" i="5"/>
  <c r="T31" i="5"/>
  <c r="AF31" i="5" s="1"/>
  <c r="S36" i="5"/>
  <c r="G31" i="5"/>
  <c r="G36" i="5" s="1"/>
  <c r="C14" i="15" s="1"/>
  <c r="F36" i="5"/>
  <c r="Q30" i="5"/>
  <c r="Q36" i="5" s="1"/>
  <c r="F14" i="15" s="1"/>
  <c r="P36" i="5"/>
  <c r="D30" i="5"/>
  <c r="AC30" i="5"/>
  <c r="C36" i="5"/>
  <c r="Z29" i="5"/>
  <c r="Y36" i="5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35" i="5"/>
  <c r="AF34" i="5"/>
  <c r="AF33" i="5"/>
  <c r="AF32" i="5"/>
  <c r="M31" i="5"/>
  <c r="M36" i="5" s="1"/>
  <c r="E14" i="15" s="1"/>
  <c r="L36" i="5"/>
  <c r="W30" i="5"/>
  <c r="W36" i="5" s="1"/>
  <c r="H14" i="15" s="1"/>
  <c r="V36" i="5"/>
  <c r="J30" i="5"/>
  <c r="J36" i="5" s="1"/>
  <c r="D14" i="15" s="1"/>
  <c r="I36" i="5"/>
  <c r="AC35" i="11"/>
  <c r="AB34" i="11"/>
  <c r="AC33" i="11"/>
  <c r="AB32" i="11"/>
  <c r="AC31" i="11"/>
  <c r="AB30" i="11"/>
  <c r="AC29" i="11"/>
  <c r="AB28" i="11"/>
  <c r="AC27" i="11"/>
  <c r="AB26" i="11"/>
  <c r="AC25" i="11"/>
  <c r="AB24" i="11"/>
  <c r="AC23" i="11"/>
  <c r="AB22" i="11"/>
  <c r="AC21" i="11"/>
  <c r="AB20" i="11"/>
  <c r="AC19" i="11"/>
  <c r="AB18" i="11"/>
  <c r="AC17" i="11"/>
  <c r="AB16" i="11"/>
  <c r="AC15" i="11"/>
  <c r="AB14" i="11"/>
  <c r="AC13" i="11"/>
  <c r="AB12" i="11"/>
  <c r="AC11" i="11"/>
  <c r="AB10" i="11"/>
  <c r="AC9" i="11"/>
  <c r="AC34" i="12"/>
  <c r="AB33" i="12"/>
  <c r="AC32" i="12"/>
  <c r="AB31" i="12"/>
  <c r="AD19" i="12"/>
  <c r="AD15" i="12"/>
  <c r="AD11" i="12"/>
  <c r="AD7" i="12"/>
  <c r="AD35" i="5"/>
  <c r="AD33" i="5"/>
  <c r="AD31" i="5"/>
  <c r="D27" i="5"/>
  <c r="AD27" i="5" s="1"/>
  <c r="AC27" i="5"/>
  <c r="D25" i="5"/>
  <c r="AD25" i="5" s="1"/>
  <c r="AC25" i="5"/>
  <c r="D23" i="5"/>
  <c r="AD23" i="5" s="1"/>
  <c r="AC23" i="5"/>
  <c r="D21" i="5"/>
  <c r="AD21" i="5" s="1"/>
  <c r="AC21" i="5"/>
  <c r="D19" i="5"/>
  <c r="AD19" i="5" s="1"/>
  <c r="AC19" i="5"/>
  <c r="D5" i="5"/>
  <c r="AC5" i="5"/>
  <c r="AF27" i="5"/>
  <c r="AD26" i="5"/>
  <c r="AF25" i="5"/>
  <c r="AD24" i="5"/>
  <c r="AF23" i="5"/>
  <c r="AD22" i="5"/>
  <c r="AF21" i="5"/>
  <c r="AF20" i="5"/>
  <c r="AF19" i="5"/>
  <c r="AD18" i="5"/>
  <c r="AD16" i="5"/>
  <c r="AD14" i="5"/>
  <c r="AD12" i="5"/>
  <c r="AD10" i="5"/>
  <c r="AD8" i="5"/>
  <c r="AD6" i="5"/>
  <c r="AF5" i="5"/>
  <c r="D17" i="5"/>
  <c r="AD17" i="5" s="1"/>
  <c r="AC17" i="5"/>
  <c r="D15" i="5"/>
  <c r="AD15" i="5" s="1"/>
  <c r="AC15" i="5"/>
  <c r="D13" i="5"/>
  <c r="AD13" i="5" s="1"/>
  <c r="AC13" i="5"/>
  <c r="D11" i="5"/>
  <c r="AD11" i="5" s="1"/>
  <c r="AC11" i="5"/>
  <c r="D9" i="5"/>
  <c r="AD9" i="5" s="1"/>
  <c r="AC9" i="5"/>
  <c r="D7" i="5"/>
  <c r="AD7" i="5" s="1"/>
  <c r="AC7" i="5"/>
  <c r="AF28" i="5"/>
  <c r="AD20" i="5"/>
  <c r="AF6" i="5"/>
  <c r="AC28" i="5"/>
  <c r="AB27" i="5"/>
  <c r="AC26" i="5"/>
  <c r="AB25" i="5"/>
  <c r="AC24" i="5"/>
  <c r="AB23" i="5"/>
  <c r="AC22" i="5"/>
  <c r="AB21" i="5"/>
  <c r="AC18" i="5"/>
  <c r="AB5" i="5"/>
  <c r="C10" i="15" l="1"/>
  <c r="C11" i="15"/>
  <c r="AD19" i="7"/>
  <c r="AD23" i="7"/>
  <c r="AD27" i="7"/>
  <c r="AD31" i="7"/>
  <c r="AF35" i="6"/>
  <c r="AF20" i="6"/>
  <c r="AD8" i="7"/>
  <c r="AD16" i="7"/>
  <c r="AF28" i="6"/>
  <c r="AD22" i="6"/>
  <c r="AD7" i="6"/>
  <c r="AD28" i="6"/>
  <c r="AD23" i="6"/>
  <c r="AD33" i="6"/>
  <c r="AD23" i="1"/>
  <c r="AD27" i="1"/>
  <c r="AD31" i="1"/>
  <c r="AD35" i="1"/>
  <c r="AF11" i="6"/>
  <c r="AF32" i="6"/>
  <c r="AD11" i="6"/>
  <c r="AF25" i="6"/>
  <c r="AF34" i="6"/>
  <c r="AF19" i="6"/>
  <c r="AF29" i="6"/>
  <c r="AF10" i="6"/>
  <c r="AF26" i="6"/>
  <c r="AD10" i="6"/>
  <c r="AF23" i="6"/>
  <c r="AF30" i="6"/>
  <c r="AD9" i="6"/>
  <c r="AD26" i="6"/>
  <c r="AD20" i="6"/>
  <c r="AF6" i="6"/>
  <c r="AF15" i="6"/>
  <c r="AF18" i="6"/>
  <c r="AF27" i="6"/>
  <c r="AD32" i="6"/>
  <c r="AD8" i="6"/>
  <c r="AD14" i="6"/>
  <c r="AD17" i="6"/>
  <c r="AD19" i="6"/>
  <c r="AD27" i="6"/>
  <c r="AD29" i="6"/>
  <c r="AD35" i="6"/>
  <c r="AD17" i="7"/>
  <c r="AD21" i="7"/>
  <c r="AD25" i="7"/>
  <c r="AD29" i="7"/>
  <c r="AD33" i="7"/>
  <c r="AD5" i="6"/>
  <c r="AF7" i="6"/>
  <c r="AF14" i="6"/>
  <c r="AF16" i="6"/>
  <c r="AD30" i="6"/>
  <c r="AD34" i="6"/>
  <c r="AD15" i="6"/>
  <c r="AD24" i="6"/>
  <c r="AF31" i="6"/>
  <c r="AF33" i="6"/>
  <c r="Q36" i="6"/>
  <c r="F7" i="15" s="1"/>
  <c r="Z36" i="6"/>
  <c r="I7" i="15" s="1"/>
  <c r="AD25" i="6"/>
  <c r="AD9" i="1"/>
  <c r="AD13" i="1"/>
  <c r="AD17" i="1"/>
  <c r="AD21" i="1"/>
  <c r="AD25" i="1"/>
  <c r="AD29" i="1"/>
  <c r="AD33" i="1"/>
  <c r="AD12" i="6"/>
  <c r="AD16" i="6"/>
  <c r="AF24" i="6"/>
  <c r="M36" i="6"/>
  <c r="E7" i="15" s="1"/>
  <c r="AD31" i="6"/>
  <c r="AD13" i="6"/>
  <c r="AD7" i="1"/>
  <c r="AD11" i="1"/>
  <c r="AD15" i="1"/>
  <c r="AC34" i="4"/>
  <c r="AD19" i="1"/>
  <c r="J35" i="7"/>
  <c r="D8" i="15" s="1"/>
  <c r="W35" i="7"/>
  <c r="H8" i="15" s="1"/>
  <c r="G35" i="7"/>
  <c r="C8" i="15" s="1"/>
  <c r="T35" i="7"/>
  <c r="G8" i="15" s="1"/>
  <c r="J36" i="6"/>
  <c r="D7" i="15" s="1"/>
  <c r="W36" i="6"/>
  <c r="H7" i="15" s="1"/>
  <c r="G36" i="6"/>
  <c r="C7" i="15" s="1"/>
  <c r="Q36" i="1"/>
  <c r="F5" i="15" s="1"/>
  <c r="Q35" i="7"/>
  <c r="F8" i="15" s="1"/>
  <c r="M36" i="13"/>
  <c r="E4" i="15" s="1"/>
  <c r="Z36" i="13"/>
  <c r="I4" i="15" s="1"/>
  <c r="AD21" i="6"/>
  <c r="M36" i="1"/>
  <c r="E5" i="15" s="1"/>
  <c r="Z36" i="1"/>
  <c r="I5" i="15" s="1"/>
  <c r="AD5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6" i="7"/>
  <c r="T36" i="1"/>
  <c r="G5" i="15" s="1"/>
  <c r="J36" i="1"/>
  <c r="D5" i="15" s="1"/>
  <c r="W36" i="1"/>
  <c r="H5" i="15" s="1"/>
  <c r="C36" i="13"/>
  <c r="AC8" i="13"/>
  <c r="AD7" i="7"/>
  <c r="AD14" i="7"/>
  <c r="AD15" i="7"/>
  <c r="AD18" i="7"/>
  <c r="AD20" i="7"/>
  <c r="AD22" i="7"/>
  <c r="AD24" i="7"/>
  <c r="AD26" i="7"/>
  <c r="AD28" i="7"/>
  <c r="AD30" i="7"/>
  <c r="AD32" i="7"/>
  <c r="AD34" i="7"/>
  <c r="J35" i="14"/>
  <c r="D3" i="15" s="1"/>
  <c r="G35" i="14"/>
  <c r="C3" i="15" s="1"/>
  <c r="M35" i="7"/>
  <c r="E8" i="15" s="1"/>
  <c r="Z35" i="7"/>
  <c r="I8" i="15" s="1"/>
  <c r="AD5" i="8"/>
  <c r="AD30" i="5"/>
  <c r="AD22" i="12"/>
  <c r="AC35" i="7"/>
  <c r="AF22" i="6"/>
  <c r="D8" i="13"/>
  <c r="AD8" i="13" s="1"/>
  <c r="D35" i="14"/>
  <c r="AD5" i="14"/>
  <c r="D5" i="13"/>
  <c r="AC5" i="13"/>
  <c r="D6" i="13"/>
  <c r="AD6" i="13" s="1"/>
  <c r="AC6" i="13"/>
  <c r="D7" i="13"/>
  <c r="AD7" i="13" s="1"/>
  <c r="AC7" i="13"/>
  <c r="D9" i="13"/>
  <c r="AD9" i="13" s="1"/>
  <c r="AC9" i="13"/>
  <c r="D10" i="13"/>
  <c r="AD10" i="13" s="1"/>
  <c r="AC10" i="13"/>
  <c r="D11" i="13"/>
  <c r="AD11" i="13" s="1"/>
  <c r="AC11" i="13"/>
  <c r="D12" i="13"/>
  <c r="AD12" i="13" s="1"/>
  <c r="AC12" i="13"/>
  <c r="D13" i="13"/>
  <c r="AD13" i="13" s="1"/>
  <c r="AC13" i="13"/>
  <c r="D14" i="13"/>
  <c r="AD14" i="13" s="1"/>
  <c r="AC14" i="13"/>
  <c r="D15" i="13"/>
  <c r="AD15" i="13" s="1"/>
  <c r="AC15" i="13"/>
  <c r="D16" i="13"/>
  <c r="AD16" i="13" s="1"/>
  <c r="AC16" i="13"/>
  <c r="D17" i="13"/>
  <c r="AD17" i="13" s="1"/>
  <c r="AC17" i="13"/>
  <c r="D18" i="13"/>
  <c r="AD18" i="13" s="1"/>
  <c r="AC18" i="13"/>
  <c r="D19" i="13"/>
  <c r="AD19" i="13" s="1"/>
  <c r="AC19" i="13"/>
  <c r="D20" i="13"/>
  <c r="AD20" i="13" s="1"/>
  <c r="AC20" i="13"/>
  <c r="D21" i="13"/>
  <c r="AD21" i="13" s="1"/>
  <c r="AC21" i="13"/>
  <c r="D22" i="13"/>
  <c r="AD22" i="13" s="1"/>
  <c r="AC22" i="13"/>
  <c r="D23" i="13"/>
  <c r="AD23" i="13" s="1"/>
  <c r="AC23" i="13"/>
  <c r="D24" i="13"/>
  <c r="AD24" i="13" s="1"/>
  <c r="AC24" i="13"/>
  <c r="D25" i="13"/>
  <c r="AD25" i="13" s="1"/>
  <c r="AC25" i="13"/>
  <c r="D26" i="13"/>
  <c r="AD26" i="13" s="1"/>
  <c r="AC26" i="13"/>
  <c r="D27" i="13"/>
  <c r="AD27" i="13" s="1"/>
  <c r="AC27" i="13"/>
  <c r="D28" i="13"/>
  <c r="AD28" i="13" s="1"/>
  <c r="AC28" i="13"/>
  <c r="D29" i="13"/>
  <c r="AD29" i="13" s="1"/>
  <c r="AC29" i="13"/>
  <c r="D30" i="13"/>
  <c r="AD30" i="13" s="1"/>
  <c r="AC30" i="13"/>
  <c r="D31" i="13"/>
  <c r="AD31" i="13" s="1"/>
  <c r="AC31" i="13"/>
  <c r="D32" i="13"/>
  <c r="AD32" i="13" s="1"/>
  <c r="AC32" i="13"/>
  <c r="D33" i="13"/>
  <c r="AD33" i="13" s="1"/>
  <c r="AC33" i="13"/>
  <c r="D34" i="13"/>
  <c r="AD34" i="13" s="1"/>
  <c r="AC34" i="13"/>
  <c r="D35" i="13"/>
  <c r="AD35" i="13" s="1"/>
  <c r="AC35" i="13"/>
  <c r="J36" i="13"/>
  <c r="D4" i="15" s="1"/>
  <c r="Q36" i="13"/>
  <c r="F4" i="15" s="1"/>
  <c r="W36" i="13"/>
  <c r="H4" i="15" s="1"/>
  <c r="AD17" i="14"/>
  <c r="G36" i="13"/>
  <c r="C4" i="15" s="1"/>
  <c r="T36" i="13"/>
  <c r="G4" i="15" s="1"/>
  <c r="AC36" i="1"/>
  <c r="AD36" i="1" s="1"/>
  <c r="D35" i="7"/>
  <c r="AD5" i="7"/>
  <c r="D34" i="4"/>
  <c r="AD6" i="4"/>
  <c r="D36" i="1"/>
  <c r="B5" i="15" s="1"/>
  <c r="AD6" i="1"/>
  <c r="AC36" i="5"/>
  <c r="AD36" i="5" s="1"/>
  <c r="AD18" i="9"/>
  <c r="AD5" i="5"/>
  <c r="D36" i="5"/>
  <c r="B14" i="15" s="1"/>
  <c r="AF29" i="5"/>
  <c r="Z36" i="5"/>
  <c r="I14" i="15" s="1"/>
  <c r="AC5" i="9"/>
  <c r="C35" i="9"/>
  <c r="D35" i="9" s="1"/>
  <c r="B10" i="15" s="1"/>
  <c r="D5" i="9"/>
  <c r="AD5" i="9" s="1"/>
  <c r="AC7" i="9"/>
  <c r="D7" i="9"/>
  <c r="AD7" i="9" s="1"/>
  <c r="AC9" i="9"/>
  <c r="D9" i="9"/>
  <c r="AD9" i="9" s="1"/>
  <c r="AC11" i="9"/>
  <c r="D11" i="9"/>
  <c r="AD11" i="9" s="1"/>
  <c r="AC13" i="9"/>
  <c r="D13" i="9"/>
  <c r="AD13" i="9" s="1"/>
  <c r="AC15" i="9"/>
  <c r="D15" i="9"/>
  <c r="AD15" i="9" s="1"/>
  <c r="D18" i="6"/>
  <c r="AD18" i="6" s="1"/>
  <c r="AC18" i="6"/>
  <c r="AC36" i="6" s="1"/>
  <c r="AD36" i="6" s="1"/>
  <c r="C36" i="6"/>
  <c r="T36" i="5"/>
  <c r="G14" i="15" s="1"/>
  <c r="AC35" i="12"/>
  <c r="AF35" i="12"/>
  <c r="AC36" i="11"/>
  <c r="AD36" i="11" s="1"/>
  <c r="T36" i="6"/>
  <c r="G7" i="15" s="1"/>
  <c r="AD6" i="12"/>
  <c r="D35" i="12"/>
  <c r="AD6" i="6"/>
  <c r="AF30" i="5"/>
  <c r="AF36" i="11"/>
  <c r="AF21" i="12"/>
  <c r="AF35" i="9"/>
  <c r="AC36" i="8"/>
  <c r="AD36" i="8" s="1"/>
  <c r="AF21" i="6"/>
  <c r="AF36" i="5" l="1"/>
  <c r="AF36" i="6"/>
  <c r="AD35" i="14"/>
  <c r="B3" i="15"/>
  <c r="AD35" i="12"/>
  <c r="B13" i="15"/>
  <c r="AD34" i="4"/>
  <c r="B6" i="15"/>
  <c r="AD35" i="7"/>
  <c r="B8" i="15"/>
  <c r="AD5" i="13"/>
  <c r="AD36" i="13" s="1"/>
  <c r="D36" i="13"/>
  <c r="B4" i="15" s="1"/>
  <c r="D36" i="6"/>
  <c r="B7" i="15" s="1"/>
  <c r="AC36" i="13"/>
  <c r="AC35" i="9"/>
  <c r="AD35" i="9" s="1"/>
</calcChain>
</file>

<file path=xl/comments1.xml><?xml version="1.0" encoding="utf-8"?>
<comments xmlns="http://schemas.openxmlformats.org/spreadsheetml/2006/main">
  <authors>
    <author>admin</author>
  </authors>
  <commentList>
    <comment ref="E34" authorId="0" shapeId="0">
      <text>
        <r>
          <rPr>
            <b/>
            <sz val="9"/>
            <color indexed="81"/>
            <rFont val="Tahoma"/>
            <family val="2"/>
          </rPr>
          <t>Eacker:</t>
        </r>
        <r>
          <rPr>
            <sz val="9"/>
            <color indexed="81"/>
            <rFont val="Tahoma"/>
            <family val="2"/>
          </rPr>
          <t xml:space="preserve">
Water moved to Tani from EGL#4</t>
        </r>
      </text>
    </comment>
  </commentList>
</comments>
</file>

<file path=xl/sharedStrings.xml><?xml version="1.0" encoding="utf-8"?>
<sst xmlns="http://schemas.openxmlformats.org/spreadsheetml/2006/main" count="470" uniqueCount="16">
  <si>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</si>
  <si>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</si>
  <si>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</si>
  <si>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</si>
  <si>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</si>
  <si>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</si>
  <si>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</si>
  <si>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</si>
  <si>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</si>
  <si>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</si>
  <si>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</si>
  <si>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</si>
  <si>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</si>
  <si>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</si>
  <si>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NEED TO RELINK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</si>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</sst>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;@"/>
  </numFmts>
  <fonts count="6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3" fillId="2" borderId="0" xfId="0" applyFont="1" applyFill="1" applyAlignment="1"/>
    <xf numFmtId="0" fontId="0" fillId="2" borderId="0" xfId="0" applyFill="1" applyAlignment="1"/>
    <xf numFmtId="3" fontId="0" fillId="3" borderId="1" xfId="0" applyNumberFormat="1" applyFill="1" applyBorder="1"/>
    <xf numFmtId="0" fontId="2" fillId="3" borderId="0" xfId="0" applyFont="1" applyFill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3" fillId="0" borderId="0" xfId="1" applyFont="1"/>
    <xf numFmtId="2" fontId="0" fillId="0" borderId="18" xfId="0" applyNumberFormat="1" applyFill="1" applyBorder="1"/>
    <xf numFmtId="3" fontId="0" fillId="4" borderId="1" xfId="0" applyNumberFormat="1" applyFill="1" applyBorder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November%202015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December%202015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January%202016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February%202016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March%202016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April%202016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May%202016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June%202016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July%202016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August%202016%20Shift%20Shee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September%202016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6/October%202016%20Shift%20Sheet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WR/Accounting/WY2017/Production/Plant%20Production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8000000</v>
          </cell>
          <cell r="F4">
            <v>7810000</v>
          </cell>
          <cell r="H4">
            <v>0</v>
          </cell>
          <cell r="I4">
            <v>14299999.999999272</v>
          </cell>
        </row>
        <row r="5">
          <cell r="C5">
            <v>3554000</v>
          </cell>
          <cell r="D5">
            <v>0</v>
          </cell>
          <cell r="E5">
            <v>7000000</v>
          </cell>
          <cell r="F5">
            <v>7830000</v>
          </cell>
          <cell r="H5">
            <v>3554000</v>
          </cell>
          <cell r="I5">
            <v>14000000</v>
          </cell>
        </row>
        <row r="6">
          <cell r="C6">
            <v>5169000</v>
          </cell>
          <cell r="D6">
            <v>0</v>
          </cell>
          <cell r="E6">
            <v>5000000</v>
          </cell>
          <cell r="F6">
            <v>1620000</v>
          </cell>
          <cell r="H6">
            <v>4979999.9999999925</v>
          </cell>
          <cell r="I6">
            <v>5799999.9999992726</v>
          </cell>
        </row>
        <row r="7">
          <cell r="C7">
            <v>4951000</v>
          </cell>
          <cell r="D7">
            <v>0</v>
          </cell>
          <cell r="E7">
            <v>8000000</v>
          </cell>
          <cell r="F7">
            <v>0</v>
          </cell>
          <cell r="H7">
            <v>4904000.0000000028</v>
          </cell>
          <cell r="I7">
            <v>6600000.000002183</v>
          </cell>
        </row>
        <row r="8">
          <cell r="C8">
            <v>4972000</v>
          </cell>
          <cell r="D8">
            <v>0</v>
          </cell>
          <cell r="E8">
            <v>8000000</v>
          </cell>
          <cell r="F8">
            <v>0</v>
          </cell>
          <cell r="H8">
            <v>4830999.9999999944</v>
          </cell>
          <cell r="I8">
            <v>5699999.9999970896</v>
          </cell>
        </row>
        <row r="9">
          <cell r="C9">
            <v>5023000</v>
          </cell>
          <cell r="D9">
            <v>0</v>
          </cell>
          <cell r="E9">
            <v>8000000</v>
          </cell>
          <cell r="F9">
            <v>0</v>
          </cell>
          <cell r="H9">
            <v>4838000.0000000121</v>
          </cell>
          <cell r="I9">
            <v>8000000</v>
          </cell>
        </row>
        <row r="10">
          <cell r="C10">
            <v>6093000</v>
          </cell>
          <cell r="D10">
            <v>0</v>
          </cell>
          <cell r="E10">
            <v>8000000</v>
          </cell>
          <cell r="F10">
            <v>0</v>
          </cell>
          <cell r="H10">
            <v>5905999.9999999879</v>
          </cell>
          <cell r="I10">
            <v>6700000.0000007274</v>
          </cell>
        </row>
        <row r="11">
          <cell r="C11">
            <v>5947000</v>
          </cell>
          <cell r="D11">
            <v>0</v>
          </cell>
          <cell r="E11">
            <v>8000000</v>
          </cell>
          <cell r="F11">
            <v>0</v>
          </cell>
          <cell r="H11">
            <v>5854000.0000000112</v>
          </cell>
          <cell r="I11">
            <v>6200000.0000007274</v>
          </cell>
        </row>
        <row r="12">
          <cell r="C12">
            <v>6005000</v>
          </cell>
          <cell r="D12">
            <v>0</v>
          </cell>
          <cell r="E12">
            <v>7000000</v>
          </cell>
          <cell r="F12">
            <v>0</v>
          </cell>
          <cell r="H12">
            <v>5910000.0000000009</v>
          </cell>
          <cell r="I12">
            <v>5700000.0000007274</v>
          </cell>
        </row>
        <row r="13">
          <cell r="C13">
            <v>6807000</v>
          </cell>
          <cell r="D13">
            <v>0</v>
          </cell>
          <cell r="E13">
            <v>6000000</v>
          </cell>
          <cell r="F13">
            <v>0</v>
          </cell>
          <cell r="H13">
            <v>6618999.9999999972</v>
          </cell>
          <cell r="I13">
            <v>5700000.0000007274</v>
          </cell>
        </row>
        <row r="14">
          <cell r="C14">
            <v>9153000</v>
          </cell>
          <cell r="D14">
            <v>0</v>
          </cell>
          <cell r="E14">
            <v>7000000</v>
          </cell>
          <cell r="F14">
            <v>0</v>
          </cell>
          <cell r="H14">
            <v>8966000.0000000019</v>
          </cell>
          <cell r="I14">
            <v>6199999.9999970896</v>
          </cell>
        </row>
        <row r="15">
          <cell r="C15">
            <v>6192000</v>
          </cell>
          <cell r="D15">
            <v>0</v>
          </cell>
          <cell r="E15">
            <v>6000000</v>
          </cell>
          <cell r="F15">
            <v>0</v>
          </cell>
          <cell r="H15">
            <v>6047999.9999999944</v>
          </cell>
          <cell r="I15">
            <v>4500000</v>
          </cell>
        </row>
        <row r="16">
          <cell r="C16">
            <v>5516000</v>
          </cell>
          <cell r="D16">
            <v>0</v>
          </cell>
          <cell r="E16">
            <v>6000000</v>
          </cell>
          <cell r="F16">
            <v>0</v>
          </cell>
          <cell r="H16">
            <v>5421000.0000000009</v>
          </cell>
          <cell r="I16">
            <v>5300000.0000029104</v>
          </cell>
        </row>
        <row r="17">
          <cell r="C17">
            <v>6678000</v>
          </cell>
          <cell r="D17">
            <v>0</v>
          </cell>
          <cell r="E17">
            <v>6000000</v>
          </cell>
          <cell r="F17">
            <v>0</v>
          </cell>
          <cell r="H17">
            <v>6488999.9999999925</v>
          </cell>
          <cell r="I17">
            <v>6099999.9999985453</v>
          </cell>
        </row>
        <row r="18">
          <cell r="C18">
            <v>7231000</v>
          </cell>
          <cell r="D18">
            <v>0</v>
          </cell>
          <cell r="E18">
            <v>6000000</v>
          </cell>
          <cell r="F18">
            <v>0</v>
          </cell>
          <cell r="H18">
            <v>7042000.0000000075</v>
          </cell>
          <cell r="I18">
            <v>4599999.9999985453</v>
          </cell>
        </row>
        <row r="19">
          <cell r="C19">
            <v>7664000</v>
          </cell>
          <cell r="D19">
            <v>0</v>
          </cell>
          <cell r="E19">
            <v>6000000</v>
          </cell>
          <cell r="F19">
            <v>0</v>
          </cell>
          <cell r="H19">
            <v>7474999.9999999925</v>
          </cell>
          <cell r="I19">
            <v>5200000.0000007274</v>
          </cell>
        </row>
        <row r="20">
          <cell r="C20">
            <v>6933000</v>
          </cell>
          <cell r="D20">
            <v>0</v>
          </cell>
          <cell r="E20">
            <v>5000000</v>
          </cell>
          <cell r="F20">
            <v>0</v>
          </cell>
          <cell r="H20">
            <v>6792000.0000000093</v>
          </cell>
          <cell r="I20">
            <v>4600000.000002183</v>
          </cell>
        </row>
        <row r="21">
          <cell r="C21">
            <v>6133000</v>
          </cell>
          <cell r="D21">
            <v>0</v>
          </cell>
          <cell r="E21">
            <v>7000000</v>
          </cell>
          <cell r="F21">
            <v>0</v>
          </cell>
          <cell r="H21">
            <v>6039999.9999999963</v>
          </cell>
          <cell r="I21">
            <v>5299999.9999992726</v>
          </cell>
        </row>
        <row r="22">
          <cell r="C22">
            <v>5891000</v>
          </cell>
          <cell r="D22">
            <v>0</v>
          </cell>
          <cell r="E22">
            <v>7000000</v>
          </cell>
          <cell r="F22">
            <v>0</v>
          </cell>
          <cell r="H22">
            <v>5704000.0000000028</v>
          </cell>
          <cell r="I22">
            <v>6000000</v>
          </cell>
        </row>
        <row r="23">
          <cell r="C23">
            <v>6132000</v>
          </cell>
          <cell r="D23">
            <v>0</v>
          </cell>
          <cell r="E23">
            <v>7000000</v>
          </cell>
          <cell r="F23">
            <v>0</v>
          </cell>
          <cell r="H23">
            <v>5945000.0000000028</v>
          </cell>
          <cell r="I23">
            <v>6299999.9999992726</v>
          </cell>
        </row>
        <row r="24">
          <cell r="C24">
            <v>5982000</v>
          </cell>
          <cell r="D24">
            <v>0</v>
          </cell>
          <cell r="E24">
            <v>7000000</v>
          </cell>
          <cell r="F24">
            <v>0</v>
          </cell>
          <cell r="H24">
            <v>5841999.9999999991</v>
          </cell>
          <cell r="I24">
            <v>5599999.9999985453</v>
          </cell>
        </row>
        <row r="25">
          <cell r="C25">
            <v>7452000</v>
          </cell>
          <cell r="D25">
            <v>0</v>
          </cell>
          <cell r="E25">
            <v>7000000</v>
          </cell>
          <cell r="F25">
            <v>0</v>
          </cell>
          <cell r="H25">
            <v>7312999.9999999898</v>
          </cell>
          <cell r="I25">
            <v>6200000.0000007274</v>
          </cell>
        </row>
        <row r="26">
          <cell r="C26">
            <v>8250000</v>
          </cell>
          <cell r="D26">
            <v>0</v>
          </cell>
          <cell r="E26">
            <v>5000000</v>
          </cell>
          <cell r="F26">
            <v>0</v>
          </cell>
          <cell r="H26">
            <v>8063000.0000000028</v>
          </cell>
          <cell r="I26">
            <v>4200000.0000007274</v>
          </cell>
        </row>
        <row r="27">
          <cell r="C27">
            <v>6540000</v>
          </cell>
          <cell r="D27">
            <v>0</v>
          </cell>
          <cell r="E27">
            <v>6000000</v>
          </cell>
          <cell r="F27">
            <v>0</v>
          </cell>
          <cell r="H27">
            <v>6539000.0000000093</v>
          </cell>
          <cell r="I27">
            <v>5299999.9999992726</v>
          </cell>
        </row>
        <row r="28">
          <cell r="C28">
            <v>7949000</v>
          </cell>
          <cell r="D28">
            <v>0</v>
          </cell>
          <cell r="E28">
            <v>7000000</v>
          </cell>
          <cell r="F28">
            <v>0</v>
          </cell>
          <cell r="H28">
            <v>7946000</v>
          </cell>
          <cell r="I28">
            <v>6600000.000002183</v>
          </cell>
        </row>
        <row r="29">
          <cell r="C29">
            <v>8410000</v>
          </cell>
          <cell r="D29">
            <v>0</v>
          </cell>
          <cell r="E29">
            <v>6000000</v>
          </cell>
          <cell r="F29">
            <v>0</v>
          </cell>
          <cell r="H29">
            <v>8393999.9999999944</v>
          </cell>
          <cell r="I29">
            <v>4299999.9999992726</v>
          </cell>
        </row>
        <row r="30">
          <cell r="C30">
            <v>4961000</v>
          </cell>
          <cell r="D30">
            <v>0</v>
          </cell>
          <cell r="E30">
            <v>5000000</v>
          </cell>
          <cell r="F30">
            <v>0</v>
          </cell>
          <cell r="H30">
            <v>4955000</v>
          </cell>
          <cell r="I30">
            <v>4500000</v>
          </cell>
        </row>
        <row r="31">
          <cell r="C31">
            <v>5910000</v>
          </cell>
          <cell r="D31">
            <v>0</v>
          </cell>
          <cell r="E31">
            <v>5000000</v>
          </cell>
          <cell r="F31">
            <v>0</v>
          </cell>
          <cell r="H31">
            <v>5910000</v>
          </cell>
          <cell r="I31">
            <v>4500000</v>
          </cell>
        </row>
        <row r="32">
          <cell r="C32">
            <v>9526000</v>
          </cell>
          <cell r="D32">
            <v>0</v>
          </cell>
          <cell r="E32">
            <v>5000000</v>
          </cell>
          <cell r="F32">
            <v>0</v>
          </cell>
          <cell r="H32">
            <v>9520000</v>
          </cell>
          <cell r="I32">
            <v>3299999.9999992726</v>
          </cell>
        </row>
        <row r="33">
          <cell r="C33">
            <v>9612000</v>
          </cell>
          <cell r="D33">
            <v>0</v>
          </cell>
          <cell r="E33">
            <v>6000000</v>
          </cell>
          <cell r="F33">
            <v>0</v>
          </cell>
          <cell r="H33">
            <v>9607000.0000000037</v>
          </cell>
          <cell r="I33">
            <v>5500000</v>
          </cell>
        </row>
        <row r="252">
          <cell r="D252">
            <v>0</v>
          </cell>
          <cell r="H252">
            <v>1785759</v>
          </cell>
        </row>
        <row r="253">
          <cell r="D253">
            <v>0</v>
          </cell>
          <cell r="H253">
            <v>1682835</v>
          </cell>
        </row>
        <row r="254">
          <cell r="D254">
            <v>189000.00000000716</v>
          </cell>
          <cell r="H254">
            <v>806149</v>
          </cell>
        </row>
        <row r="255">
          <cell r="D255">
            <v>46999.999999997046</v>
          </cell>
          <cell r="H255">
            <v>1030486</v>
          </cell>
        </row>
        <row r="256">
          <cell r="D256">
            <v>141000.00000000536</v>
          </cell>
          <cell r="H256">
            <v>986235</v>
          </cell>
        </row>
        <row r="257">
          <cell r="D257">
            <v>184999.99999998807</v>
          </cell>
          <cell r="H257">
            <v>864223</v>
          </cell>
        </row>
        <row r="258">
          <cell r="D258">
            <v>187000.00000001182</v>
          </cell>
          <cell r="H258">
            <v>859445</v>
          </cell>
        </row>
        <row r="259">
          <cell r="D259">
            <v>92999.999999989319</v>
          </cell>
          <cell r="H259">
            <v>855696</v>
          </cell>
        </row>
        <row r="260">
          <cell r="D260">
            <v>94999.999999998865</v>
          </cell>
          <cell r="H260">
            <v>813708</v>
          </cell>
        </row>
        <row r="261">
          <cell r="D261">
            <v>188000.00000000239</v>
          </cell>
          <cell r="H261">
            <v>667385</v>
          </cell>
        </row>
        <row r="262">
          <cell r="D262">
            <v>186999.99999999761</v>
          </cell>
          <cell r="H262">
            <v>956753</v>
          </cell>
        </row>
        <row r="263">
          <cell r="D263">
            <v>144000.00000000547</v>
          </cell>
          <cell r="H263">
            <v>656555</v>
          </cell>
        </row>
        <row r="264">
          <cell r="D264">
            <v>94999.999999998865</v>
          </cell>
          <cell r="H264">
            <v>644975</v>
          </cell>
        </row>
        <row r="265">
          <cell r="D265">
            <v>189000.00000000716</v>
          </cell>
          <cell r="H265">
            <v>768693</v>
          </cell>
        </row>
        <row r="266">
          <cell r="D266">
            <v>188999.99999999296</v>
          </cell>
          <cell r="H266">
            <v>634760</v>
          </cell>
        </row>
        <row r="267">
          <cell r="D267">
            <v>189000.00000000716</v>
          </cell>
          <cell r="H267">
            <v>701331</v>
          </cell>
        </row>
        <row r="268">
          <cell r="D268">
            <v>140999.99999999112</v>
          </cell>
          <cell r="H268">
            <v>590167</v>
          </cell>
        </row>
        <row r="269">
          <cell r="D269">
            <v>93000.000000003522</v>
          </cell>
          <cell r="H269">
            <v>833065</v>
          </cell>
        </row>
        <row r="270">
          <cell r="D270">
            <v>186999.99999999761</v>
          </cell>
          <cell r="H270">
            <v>762758</v>
          </cell>
        </row>
        <row r="271">
          <cell r="D271">
            <v>186999.99999999761</v>
          </cell>
          <cell r="H271">
            <v>784325</v>
          </cell>
        </row>
        <row r="272">
          <cell r="D272">
            <v>140000.00000000058</v>
          </cell>
          <cell r="H272">
            <v>792244</v>
          </cell>
        </row>
        <row r="273">
          <cell r="D273">
            <v>139000.00000001001</v>
          </cell>
          <cell r="H273">
            <v>833211</v>
          </cell>
        </row>
        <row r="274">
          <cell r="D274">
            <v>186999.99999999761</v>
          </cell>
          <cell r="H274">
            <v>640082</v>
          </cell>
        </row>
        <row r="275">
          <cell r="D275">
            <v>999.99999999056399</v>
          </cell>
          <cell r="H275">
            <v>629025</v>
          </cell>
        </row>
        <row r="276">
          <cell r="D276">
            <v>3000.0000000001137</v>
          </cell>
          <cell r="H276">
            <v>773044</v>
          </cell>
        </row>
        <row r="277">
          <cell r="D277">
            <v>16000.000000005344</v>
          </cell>
          <cell r="H277">
            <v>856514</v>
          </cell>
        </row>
        <row r="278">
          <cell r="D278">
            <v>6000.0000000002274</v>
          </cell>
          <cell r="H278">
            <v>855124</v>
          </cell>
        </row>
        <row r="279">
          <cell r="D279">
            <v>0</v>
          </cell>
          <cell r="H279">
            <v>553874</v>
          </cell>
        </row>
        <row r="280">
          <cell r="D280">
            <v>6000.0000000002274</v>
          </cell>
          <cell r="H280">
            <v>15699</v>
          </cell>
        </row>
        <row r="281">
          <cell r="D281">
            <v>4999.9999999954525</v>
          </cell>
          <cell r="H281">
            <v>726012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8964000</v>
          </cell>
          <cell r="D4">
            <v>0</v>
          </cell>
          <cell r="E4">
            <v>7000000</v>
          </cell>
          <cell r="F4">
            <v>0</v>
          </cell>
          <cell r="H4">
            <v>8961000</v>
          </cell>
          <cell r="I4">
            <v>5799999.9999992726</v>
          </cell>
        </row>
        <row r="5">
          <cell r="C5">
            <v>6044000</v>
          </cell>
          <cell r="D5">
            <v>0</v>
          </cell>
          <cell r="E5">
            <v>5000000</v>
          </cell>
          <cell r="F5">
            <v>0</v>
          </cell>
          <cell r="H5">
            <v>6038000</v>
          </cell>
          <cell r="I5">
            <v>4900000.0000014547</v>
          </cell>
        </row>
        <row r="6">
          <cell r="C6">
            <v>7942000</v>
          </cell>
          <cell r="D6">
            <v>0</v>
          </cell>
          <cell r="E6">
            <v>5000000</v>
          </cell>
          <cell r="F6">
            <v>0</v>
          </cell>
          <cell r="H6">
            <v>7942000</v>
          </cell>
          <cell r="I6">
            <v>4099999.9999985448</v>
          </cell>
        </row>
        <row r="7">
          <cell r="C7">
            <v>9471000</v>
          </cell>
          <cell r="D7">
            <v>0</v>
          </cell>
          <cell r="E7">
            <v>2000000</v>
          </cell>
          <cell r="F7">
            <v>0</v>
          </cell>
          <cell r="H7">
            <v>9471000</v>
          </cell>
          <cell r="I7">
            <v>3299999.9999992726</v>
          </cell>
        </row>
        <row r="8">
          <cell r="C8">
            <v>11103000</v>
          </cell>
          <cell r="D8">
            <v>0</v>
          </cell>
          <cell r="E8">
            <v>0</v>
          </cell>
          <cell r="F8">
            <v>0</v>
          </cell>
          <cell r="H8">
            <v>11053999.999999993</v>
          </cell>
          <cell r="I8">
            <v>0</v>
          </cell>
        </row>
        <row r="9">
          <cell r="C9">
            <v>12642000</v>
          </cell>
          <cell r="D9">
            <v>0</v>
          </cell>
          <cell r="E9">
            <v>0</v>
          </cell>
          <cell r="F9">
            <v>0</v>
          </cell>
          <cell r="H9">
            <v>12642000</v>
          </cell>
          <cell r="I9">
            <v>0</v>
          </cell>
        </row>
        <row r="10">
          <cell r="C10">
            <v>11942000</v>
          </cell>
          <cell r="D10">
            <v>0</v>
          </cell>
          <cell r="E10">
            <v>0</v>
          </cell>
          <cell r="F10">
            <v>0</v>
          </cell>
          <cell r="H10">
            <v>11892000.000000004</v>
          </cell>
          <cell r="I10">
            <v>0</v>
          </cell>
        </row>
        <row r="11">
          <cell r="C11">
            <v>11596000</v>
          </cell>
          <cell r="D11">
            <v>0</v>
          </cell>
          <cell r="E11">
            <v>0</v>
          </cell>
          <cell r="F11">
            <v>0</v>
          </cell>
          <cell r="H11">
            <v>11546999.999999993</v>
          </cell>
          <cell r="I11">
            <v>0</v>
          </cell>
        </row>
        <row r="12">
          <cell r="C12">
            <v>12045000</v>
          </cell>
          <cell r="D12">
            <v>0</v>
          </cell>
          <cell r="E12">
            <v>0</v>
          </cell>
          <cell r="F12">
            <v>0</v>
          </cell>
          <cell r="H12">
            <v>12045000</v>
          </cell>
          <cell r="I12">
            <v>0</v>
          </cell>
        </row>
        <row r="13">
          <cell r="C13">
            <v>11479000</v>
          </cell>
          <cell r="D13">
            <v>0</v>
          </cell>
          <cell r="E13">
            <v>0</v>
          </cell>
          <cell r="F13">
            <v>0</v>
          </cell>
          <cell r="H13">
            <v>11479000</v>
          </cell>
          <cell r="I13">
            <v>0</v>
          </cell>
        </row>
        <row r="14">
          <cell r="C14">
            <v>12128000</v>
          </cell>
          <cell r="D14">
            <v>0</v>
          </cell>
          <cell r="E14">
            <v>0</v>
          </cell>
          <cell r="F14">
            <v>0</v>
          </cell>
          <cell r="H14">
            <v>11991000</v>
          </cell>
          <cell r="I14">
            <v>0</v>
          </cell>
        </row>
        <row r="15">
          <cell r="C15">
            <v>12238000</v>
          </cell>
          <cell r="D15">
            <v>0</v>
          </cell>
          <cell r="E15">
            <v>0</v>
          </cell>
          <cell r="F15">
            <v>0</v>
          </cell>
          <cell r="H15">
            <v>11790000</v>
          </cell>
          <cell r="I15">
            <v>0</v>
          </cell>
        </row>
        <row r="16">
          <cell r="C16">
            <v>12245000</v>
          </cell>
          <cell r="D16">
            <v>0</v>
          </cell>
          <cell r="E16">
            <v>0</v>
          </cell>
          <cell r="F16">
            <v>0</v>
          </cell>
          <cell r="H16">
            <v>11865000</v>
          </cell>
          <cell r="I16">
            <v>0</v>
          </cell>
        </row>
        <row r="17">
          <cell r="C17">
            <v>13096000</v>
          </cell>
          <cell r="D17">
            <v>0</v>
          </cell>
          <cell r="E17">
            <v>0</v>
          </cell>
          <cell r="F17">
            <v>0</v>
          </cell>
          <cell r="H17">
            <v>12579000</v>
          </cell>
          <cell r="I17">
            <v>0</v>
          </cell>
        </row>
        <row r="18">
          <cell r="C18">
            <v>12875000</v>
          </cell>
          <cell r="D18">
            <v>0</v>
          </cell>
          <cell r="E18">
            <v>0</v>
          </cell>
          <cell r="F18">
            <v>0</v>
          </cell>
          <cell r="H18">
            <v>12495000</v>
          </cell>
          <cell r="I18">
            <v>0</v>
          </cell>
        </row>
        <row r="19">
          <cell r="C19">
            <v>11190000</v>
          </cell>
          <cell r="D19">
            <v>0</v>
          </cell>
          <cell r="E19">
            <v>0</v>
          </cell>
          <cell r="F19">
            <v>0</v>
          </cell>
          <cell r="H19">
            <v>10807000</v>
          </cell>
          <cell r="I19">
            <v>0</v>
          </cell>
        </row>
        <row r="20">
          <cell r="C20">
            <v>11180000</v>
          </cell>
          <cell r="D20">
            <v>0</v>
          </cell>
          <cell r="E20">
            <v>0</v>
          </cell>
          <cell r="F20">
            <v>0</v>
          </cell>
          <cell r="H20">
            <v>10730000</v>
          </cell>
          <cell r="I20">
            <v>0</v>
          </cell>
        </row>
        <row r="21">
          <cell r="C21">
            <v>11638000</v>
          </cell>
          <cell r="D21">
            <v>0</v>
          </cell>
          <cell r="E21">
            <v>0</v>
          </cell>
          <cell r="F21">
            <v>0</v>
          </cell>
          <cell r="H21">
            <v>11359000</v>
          </cell>
          <cell r="I21">
            <v>0</v>
          </cell>
        </row>
        <row r="22">
          <cell r="C22">
            <v>12685000</v>
          </cell>
          <cell r="D22">
            <v>0</v>
          </cell>
          <cell r="E22">
            <v>0</v>
          </cell>
          <cell r="F22">
            <v>0</v>
          </cell>
          <cell r="H22">
            <v>12163000</v>
          </cell>
          <cell r="I22">
            <v>0</v>
          </cell>
        </row>
        <row r="23">
          <cell r="C23">
            <v>13001000</v>
          </cell>
          <cell r="D23">
            <v>0</v>
          </cell>
          <cell r="E23">
            <v>0</v>
          </cell>
          <cell r="F23">
            <v>0</v>
          </cell>
          <cell r="H23">
            <v>12617000</v>
          </cell>
          <cell r="I23">
            <v>0</v>
          </cell>
        </row>
        <row r="24">
          <cell r="C24">
            <v>12630000</v>
          </cell>
          <cell r="D24">
            <v>0</v>
          </cell>
          <cell r="E24">
            <v>0</v>
          </cell>
          <cell r="F24">
            <v>0</v>
          </cell>
          <cell r="H24">
            <v>12303000</v>
          </cell>
          <cell r="I24">
            <v>0</v>
          </cell>
        </row>
        <row r="25">
          <cell r="C25">
            <v>11550000</v>
          </cell>
          <cell r="D25">
            <v>0</v>
          </cell>
          <cell r="E25">
            <v>0</v>
          </cell>
          <cell r="F25">
            <v>0</v>
          </cell>
          <cell r="H25">
            <v>11155000</v>
          </cell>
          <cell r="I25">
            <v>0</v>
          </cell>
        </row>
        <row r="26">
          <cell r="C26">
            <v>12219000</v>
          </cell>
          <cell r="D26">
            <v>0</v>
          </cell>
          <cell r="E26">
            <v>0</v>
          </cell>
          <cell r="F26">
            <v>0</v>
          </cell>
          <cell r="H26">
            <v>11842000</v>
          </cell>
          <cell r="I26">
            <v>0</v>
          </cell>
        </row>
        <row r="27">
          <cell r="C27">
            <v>13015000</v>
          </cell>
          <cell r="D27">
            <v>0</v>
          </cell>
          <cell r="E27">
            <v>0</v>
          </cell>
          <cell r="F27">
            <v>0</v>
          </cell>
          <cell r="H27">
            <v>12637000</v>
          </cell>
          <cell r="I27">
            <v>0</v>
          </cell>
        </row>
        <row r="28">
          <cell r="C28">
            <v>12916000</v>
          </cell>
          <cell r="D28">
            <v>0</v>
          </cell>
          <cell r="E28">
            <v>0</v>
          </cell>
          <cell r="F28">
            <v>0</v>
          </cell>
          <cell r="H28">
            <v>12470000</v>
          </cell>
          <cell r="I28">
            <v>0</v>
          </cell>
        </row>
        <row r="29">
          <cell r="C29">
            <v>10873000</v>
          </cell>
          <cell r="D29">
            <v>0</v>
          </cell>
          <cell r="E29">
            <v>0</v>
          </cell>
          <cell r="F29">
            <v>0</v>
          </cell>
          <cell r="H29">
            <v>10499000</v>
          </cell>
          <cell r="I29">
            <v>0</v>
          </cell>
        </row>
        <row r="30">
          <cell r="C30">
            <v>12121000</v>
          </cell>
          <cell r="D30">
            <v>0</v>
          </cell>
          <cell r="E30">
            <v>0</v>
          </cell>
          <cell r="F30">
            <v>0</v>
          </cell>
          <cell r="H30">
            <v>11747000</v>
          </cell>
          <cell r="I30">
            <v>0</v>
          </cell>
        </row>
        <row r="31">
          <cell r="C31">
            <v>12792000</v>
          </cell>
          <cell r="D31">
            <v>0</v>
          </cell>
          <cell r="E31">
            <v>0</v>
          </cell>
          <cell r="F31">
            <v>0</v>
          </cell>
          <cell r="H31">
            <v>12415000</v>
          </cell>
          <cell r="I31">
            <v>0</v>
          </cell>
        </row>
        <row r="32">
          <cell r="C32">
            <v>13071000</v>
          </cell>
          <cell r="D32">
            <v>0</v>
          </cell>
          <cell r="E32">
            <v>0</v>
          </cell>
          <cell r="F32">
            <v>0</v>
          </cell>
          <cell r="H32">
            <v>12678000</v>
          </cell>
          <cell r="I32">
            <v>0</v>
          </cell>
        </row>
        <row r="33">
          <cell r="C33">
            <v>11424000</v>
          </cell>
          <cell r="D33">
            <v>0</v>
          </cell>
          <cell r="E33">
            <v>0</v>
          </cell>
          <cell r="F33">
            <v>0</v>
          </cell>
          <cell r="H33">
            <v>10955000</v>
          </cell>
          <cell r="I33">
            <v>0</v>
          </cell>
        </row>
        <row r="34">
          <cell r="C34">
            <v>11344000</v>
          </cell>
          <cell r="D34">
            <v>0</v>
          </cell>
          <cell r="E34">
            <v>0</v>
          </cell>
          <cell r="F34">
            <v>0</v>
          </cell>
          <cell r="H34">
            <v>11017000</v>
          </cell>
          <cell r="I34">
            <v>0</v>
          </cell>
        </row>
        <row r="259">
          <cell r="D259">
            <v>3000.0000000001137</v>
          </cell>
          <cell r="H259">
            <v>847105</v>
          </cell>
        </row>
        <row r="260">
          <cell r="D260">
            <v>6000.0000000002274</v>
          </cell>
          <cell r="H260">
            <v>564703</v>
          </cell>
        </row>
        <row r="261">
          <cell r="D261">
            <v>0</v>
          </cell>
          <cell r="H261">
            <v>556340</v>
          </cell>
        </row>
        <row r="262">
          <cell r="D262">
            <v>0</v>
          </cell>
          <cell r="H262">
            <v>0</v>
          </cell>
        </row>
        <row r="263">
          <cell r="D263">
            <v>49000.000000006592</v>
          </cell>
          <cell r="H263">
            <v>86717</v>
          </cell>
        </row>
        <row r="264">
          <cell r="D264">
            <v>0</v>
          </cell>
          <cell r="H264">
            <v>0</v>
          </cell>
        </row>
        <row r="265">
          <cell r="D265">
            <v>49999.999999997155</v>
          </cell>
          <cell r="H265">
            <v>43209</v>
          </cell>
        </row>
        <row r="266">
          <cell r="D266">
            <v>49000.000000006592</v>
          </cell>
          <cell r="H266">
            <v>791944</v>
          </cell>
        </row>
        <row r="267">
          <cell r="D267">
            <v>0</v>
          </cell>
          <cell r="H267">
            <v>0</v>
          </cell>
        </row>
        <row r="268">
          <cell r="D268">
            <v>0</v>
          </cell>
          <cell r="H268">
            <v>0</v>
          </cell>
        </row>
        <row r="269">
          <cell r="D269">
            <v>137000</v>
          </cell>
          <cell r="H269">
            <v>43605</v>
          </cell>
        </row>
        <row r="270">
          <cell r="D270">
            <v>447999.99999999994</v>
          </cell>
          <cell r="H270">
            <v>238814</v>
          </cell>
        </row>
        <row r="271">
          <cell r="D271">
            <v>380000</v>
          </cell>
          <cell r="H271">
            <v>119929</v>
          </cell>
        </row>
        <row r="272">
          <cell r="D272">
            <v>517000</v>
          </cell>
          <cell r="H272">
            <v>0</v>
          </cell>
        </row>
        <row r="273">
          <cell r="D273">
            <v>380000.00000000012</v>
          </cell>
          <cell r="H273">
            <v>0</v>
          </cell>
        </row>
        <row r="274">
          <cell r="D274">
            <v>383000</v>
          </cell>
          <cell r="H274">
            <v>76928</v>
          </cell>
        </row>
        <row r="275">
          <cell r="D275">
            <v>449999.99999999971</v>
          </cell>
          <cell r="H275">
            <v>64975</v>
          </cell>
        </row>
        <row r="276">
          <cell r="D276">
            <v>279000.00000000035</v>
          </cell>
          <cell r="H276">
            <v>228640</v>
          </cell>
        </row>
        <row r="277">
          <cell r="D277">
            <v>521999.99999999983</v>
          </cell>
          <cell r="H277">
            <v>0</v>
          </cell>
        </row>
        <row r="278">
          <cell r="D278">
            <v>383999.99999999988</v>
          </cell>
          <cell r="H278">
            <v>226520</v>
          </cell>
        </row>
        <row r="279">
          <cell r="D279">
            <v>326999.99999999994</v>
          </cell>
          <cell r="H279">
            <v>61591</v>
          </cell>
        </row>
        <row r="280">
          <cell r="D280">
            <v>395000.00000000047</v>
          </cell>
          <cell r="H280">
            <v>135367</v>
          </cell>
        </row>
        <row r="281">
          <cell r="D281">
            <v>376999.99999999977</v>
          </cell>
          <cell r="H281">
            <v>0</v>
          </cell>
        </row>
        <row r="282">
          <cell r="D282">
            <v>378000.00000000012</v>
          </cell>
          <cell r="H282">
            <v>0</v>
          </cell>
        </row>
        <row r="283">
          <cell r="D283">
            <v>445999.99999999971</v>
          </cell>
          <cell r="H283">
            <v>0</v>
          </cell>
        </row>
        <row r="284">
          <cell r="D284">
            <v>373999.99999999965</v>
          </cell>
          <cell r="H284">
            <v>0</v>
          </cell>
        </row>
        <row r="285">
          <cell r="D285">
            <v>374000.00000000058</v>
          </cell>
          <cell r="H285">
            <v>0</v>
          </cell>
        </row>
        <row r="286">
          <cell r="D286">
            <v>376999.99999999977</v>
          </cell>
          <cell r="H286">
            <v>0</v>
          </cell>
        </row>
        <row r="287">
          <cell r="D287">
            <v>392999.99999999977</v>
          </cell>
          <cell r="H287">
            <v>0</v>
          </cell>
        </row>
        <row r="288">
          <cell r="D288">
            <v>469000.00000000029</v>
          </cell>
          <cell r="H288">
            <v>0</v>
          </cell>
        </row>
        <row r="289">
          <cell r="D289">
            <v>327000.00000000087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13112000</v>
          </cell>
          <cell r="D4">
            <v>0</v>
          </cell>
          <cell r="E4">
            <v>0</v>
          </cell>
          <cell r="F4">
            <v>0</v>
          </cell>
          <cell r="H4">
            <v>12658000.000000002</v>
          </cell>
          <cell r="I4">
            <v>0</v>
          </cell>
        </row>
        <row r="5">
          <cell r="C5">
            <v>13021000</v>
          </cell>
          <cell r="D5">
            <v>0</v>
          </cell>
          <cell r="E5">
            <v>0</v>
          </cell>
          <cell r="F5">
            <v>0</v>
          </cell>
          <cell r="H5">
            <v>12758000</v>
          </cell>
          <cell r="I5">
            <v>0</v>
          </cell>
        </row>
        <row r="6">
          <cell r="C6">
            <v>12979000</v>
          </cell>
          <cell r="D6">
            <v>0</v>
          </cell>
          <cell r="E6">
            <v>0</v>
          </cell>
          <cell r="F6">
            <v>0</v>
          </cell>
          <cell r="H6">
            <v>12524000</v>
          </cell>
          <cell r="I6">
            <v>0</v>
          </cell>
        </row>
        <row r="7">
          <cell r="C7">
            <v>12461000</v>
          </cell>
          <cell r="D7">
            <v>0</v>
          </cell>
          <cell r="E7">
            <v>0</v>
          </cell>
          <cell r="F7">
            <v>0</v>
          </cell>
          <cell r="H7">
            <v>11938000</v>
          </cell>
          <cell r="I7">
            <v>0</v>
          </cell>
        </row>
        <row r="8">
          <cell r="C8">
            <v>11811000</v>
          </cell>
          <cell r="D8">
            <v>0</v>
          </cell>
          <cell r="E8">
            <v>0</v>
          </cell>
          <cell r="F8">
            <v>0</v>
          </cell>
          <cell r="H8">
            <v>11476999.999999998</v>
          </cell>
          <cell r="I8">
            <v>0</v>
          </cell>
        </row>
        <row r="9">
          <cell r="C9">
            <v>12168000</v>
          </cell>
          <cell r="D9">
            <v>0</v>
          </cell>
          <cell r="E9">
            <v>0</v>
          </cell>
          <cell r="F9">
            <v>0</v>
          </cell>
          <cell r="H9">
            <v>11767000</v>
          </cell>
          <cell r="I9">
            <v>0</v>
          </cell>
        </row>
        <row r="10">
          <cell r="C10">
            <v>11946000</v>
          </cell>
          <cell r="D10">
            <v>0</v>
          </cell>
          <cell r="E10">
            <v>0</v>
          </cell>
          <cell r="F10">
            <v>0</v>
          </cell>
          <cell r="H10">
            <v>11627000</v>
          </cell>
          <cell r="I10">
            <v>0</v>
          </cell>
        </row>
        <row r="11">
          <cell r="C11">
            <v>11760000</v>
          </cell>
          <cell r="D11">
            <v>0</v>
          </cell>
          <cell r="E11">
            <v>0</v>
          </cell>
          <cell r="F11">
            <v>0</v>
          </cell>
          <cell r="H11">
            <v>11197999.999999998</v>
          </cell>
          <cell r="I11">
            <v>0</v>
          </cell>
        </row>
        <row r="12">
          <cell r="C12">
            <v>11961000</v>
          </cell>
          <cell r="D12">
            <v>0</v>
          </cell>
          <cell r="E12">
            <v>0</v>
          </cell>
          <cell r="F12">
            <v>0</v>
          </cell>
          <cell r="H12">
            <v>11621000</v>
          </cell>
          <cell r="I12">
            <v>0</v>
          </cell>
        </row>
        <row r="13">
          <cell r="C13">
            <v>12230000</v>
          </cell>
          <cell r="D13">
            <v>0</v>
          </cell>
          <cell r="E13">
            <v>0</v>
          </cell>
          <cell r="F13">
            <v>0</v>
          </cell>
          <cell r="H13">
            <v>11836000</v>
          </cell>
          <cell r="I13">
            <v>0</v>
          </cell>
        </row>
        <row r="14">
          <cell r="C14">
            <v>12955000</v>
          </cell>
          <cell r="D14">
            <v>0</v>
          </cell>
          <cell r="E14">
            <v>0</v>
          </cell>
          <cell r="F14">
            <v>0</v>
          </cell>
          <cell r="H14">
            <v>12560000</v>
          </cell>
          <cell r="I14">
            <v>0</v>
          </cell>
        </row>
        <row r="15">
          <cell r="C15">
            <v>13069000</v>
          </cell>
          <cell r="D15">
            <v>0</v>
          </cell>
          <cell r="E15">
            <v>0</v>
          </cell>
          <cell r="F15">
            <v>0</v>
          </cell>
          <cell r="H15">
            <v>12657000.000000002</v>
          </cell>
          <cell r="I15">
            <v>0</v>
          </cell>
        </row>
        <row r="16">
          <cell r="C16">
            <v>12143000</v>
          </cell>
          <cell r="D16">
            <v>0</v>
          </cell>
          <cell r="E16">
            <v>0</v>
          </cell>
          <cell r="F16">
            <v>0</v>
          </cell>
          <cell r="H16">
            <v>11676000</v>
          </cell>
          <cell r="I16">
            <v>0</v>
          </cell>
        </row>
        <row r="17">
          <cell r="C17">
            <v>12091000</v>
          </cell>
          <cell r="D17">
            <v>0</v>
          </cell>
          <cell r="E17">
            <v>0</v>
          </cell>
          <cell r="F17">
            <v>0</v>
          </cell>
          <cell r="H17">
            <v>11692000</v>
          </cell>
          <cell r="I17">
            <v>0</v>
          </cell>
        </row>
        <row r="18">
          <cell r="C18">
            <v>12734000</v>
          </cell>
          <cell r="D18">
            <v>0</v>
          </cell>
          <cell r="E18">
            <v>0</v>
          </cell>
          <cell r="F18">
            <v>0</v>
          </cell>
          <cell r="H18">
            <v>12392000.000000002</v>
          </cell>
          <cell r="I18">
            <v>0</v>
          </cell>
        </row>
        <row r="19">
          <cell r="C19">
            <v>11145000</v>
          </cell>
          <cell r="D19">
            <v>0</v>
          </cell>
          <cell r="E19">
            <v>0</v>
          </cell>
          <cell r="F19">
            <v>0</v>
          </cell>
          <cell r="H19">
            <v>10675999.999999998</v>
          </cell>
          <cell r="I19">
            <v>0</v>
          </cell>
        </row>
        <row r="20">
          <cell r="C20">
            <v>11069000</v>
          </cell>
          <cell r="D20">
            <v>0</v>
          </cell>
          <cell r="E20">
            <v>0</v>
          </cell>
          <cell r="F20">
            <v>0</v>
          </cell>
          <cell r="H20">
            <v>10655000</v>
          </cell>
          <cell r="I20">
            <v>0</v>
          </cell>
        </row>
        <row r="21">
          <cell r="C21">
            <v>11946000</v>
          </cell>
          <cell r="D21">
            <v>0</v>
          </cell>
          <cell r="E21">
            <v>0</v>
          </cell>
          <cell r="F21">
            <v>0</v>
          </cell>
          <cell r="H21">
            <v>11618000</v>
          </cell>
          <cell r="I21">
            <v>0</v>
          </cell>
        </row>
        <row r="22">
          <cell r="C22">
            <v>13070000</v>
          </cell>
          <cell r="D22">
            <v>0</v>
          </cell>
          <cell r="E22">
            <v>0</v>
          </cell>
          <cell r="F22">
            <v>0</v>
          </cell>
          <cell r="H22">
            <v>12657000</v>
          </cell>
          <cell r="I22">
            <v>0</v>
          </cell>
        </row>
        <row r="23">
          <cell r="C23">
            <v>13189000</v>
          </cell>
          <cell r="D23">
            <v>0</v>
          </cell>
          <cell r="E23">
            <v>0</v>
          </cell>
          <cell r="F23">
            <v>0</v>
          </cell>
          <cell r="H23">
            <v>12857000.000000002</v>
          </cell>
          <cell r="I23">
            <v>0</v>
          </cell>
        </row>
        <row r="24">
          <cell r="C24">
            <v>12418000</v>
          </cell>
          <cell r="D24">
            <v>0</v>
          </cell>
          <cell r="E24">
            <v>0</v>
          </cell>
          <cell r="F24">
            <v>0</v>
          </cell>
          <cell r="H24">
            <v>12029000</v>
          </cell>
          <cell r="I24">
            <v>0</v>
          </cell>
        </row>
        <row r="25">
          <cell r="C25">
            <v>10743000</v>
          </cell>
          <cell r="D25">
            <v>0</v>
          </cell>
          <cell r="E25">
            <v>0</v>
          </cell>
          <cell r="F25">
            <v>0</v>
          </cell>
          <cell r="H25">
            <v>10347999.999999996</v>
          </cell>
          <cell r="I25">
            <v>0</v>
          </cell>
        </row>
        <row r="26">
          <cell r="C26">
            <v>11076000</v>
          </cell>
          <cell r="D26">
            <v>0</v>
          </cell>
          <cell r="E26">
            <v>0</v>
          </cell>
          <cell r="F26">
            <v>0</v>
          </cell>
          <cell r="H26">
            <v>10687000</v>
          </cell>
          <cell r="I26">
            <v>0</v>
          </cell>
        </row>
        <row r="27">
          <cell r="C27">
            <v>12845000</v>
          </cell>
          <cell r="D27">
            <v>0</v>
          </cell>
          <cell r="E27">
            <v>0</v>
          </cell>
          <cell r="F27">
            <v>0</v>
          </cell>
          <cell r="H27">
            <v>12523000</v>
          </cell>
          <cell r="I27">
            <v>0</v>
          </cell>
        </row>
        <row r="28">
          <cell r="C28">
            <v>12195000</v>
          </cell>
          <cell r="D28">
            <v>0</v>
          </cell>
          <cell r="E28">
            <v>0</v>
          </cell>
          <cell r="F28">
            <v>0</v>
          </cell>
          <cell r="H28">
            <v>11795000</v>
          </cell>
          <cell r="I28">
            <v>0</v>
          </cell>
        </row>
        <row r="29">
          <cell r="C29">
            <v>13661000</v>
          </cell>
          <cell r="D29">
            <v>0</v>
          </cell>
          <cell r="E29">
            <v>0</v>
          </cell>
          <cell r="F29">
            <v>0</v>
          </cell>
          <cell r="H29">
            <v>13272000</v>
          </cell>
          <cell r="I29">
            <v>0</v>
          </cell>
        </row>
        <row r="30">
          <cell r="C30">
            <v>10465000</v>
          </cell>
          <cell r="D30">
            <v>0</v>
          </cell>
          <cell r="E30">
            <v>0</v>
          </cell>
          <cell r="F30">
            <v>0</v>
          </cell>
          <cell r="H30">
            <v>9909000</v>
          </cell>
          <cell r="I30">
            <v>0</v>
          </cell>
        </row>
        <row r="31">
          <cell r="C31">
            <v>12242000</v>
          </cell>
          <cell r="D31">
            <v>0</v>
          </cell>
          <cell r="E31">
            <v>0</v>
          </cell>
          <cell r="F31">
            <v>0</v>
          </cell>
          <cell r="H31">
            <v>11854000.000000002</v>
          </cell>
          <cell r="I31">
            <v>0</v>
          </cell>
        </row>
        <row r="32">
          <cell r="C32">
            <v>12797000</v>
          </cell>
          <cell r="D32">
            <v>0</v>
          </cell>
          <cell r="E32">
            <v>0</v>
          </cell>
          <cell r="F32">
            <v>0</v>
          </cell>
          <cell r="H32">
            <v>12340999.999999996</v>
          </cell>
          <cell r="I32">
            <v>0</v>
          </cell>
        </row>
        <row r="33">
          <cell r="C33">
            <v>10236000</v>
          </cell>
          <cell r="D33">
            <v>0</v>
          </cell>
          <cell r="F33">
            <v>0</v>
          </cell>
          <cell r="H33">
            <v>9796000.0000000019</v>
          </cell>
          <cell r="I33">
            <v>0</v>
          </cell>
        </row>
        <row r="34">
          <cell r="C34">
            <v>12204000</v>
          </cell>
          <cell r="D34">
            <v>0</v>
          </cell>
          <cell r="E34">
            <v>0</v>
          </cell>
          <cell r="F34">
            <v>0</v>
          </cell>
          <cell r="H34">
            <v>11943000</v>
          </cell>
          <cell r="I34">
            <v>0</v>
          </cell>
        </row>
        <row r="259">
          <cell r="D259">
            <v>453999.99999999884</v>
          </cell>
          <cell r="H259">
            <v>0</v>
          </cell>
        </row>
        <row r="260">
          <cell r="D260">
            <v>262999.99999999988</v>
          </cell>
          <cell r="H260">
            <v>0</v>
          </cell>
        </row>
        <row r="261">
          <cell r="D261">
            <v>455000.00000000006</v>
          </cell>
          <cell r="H261">
            <v>0</v>
          </cell>
        </row>
        <row r="262">
          <cell r="D262">
            <v>522999.99999999971</v>
          </cell>
          <cell r="H262">
            <v>0</v>
          </cell>
        </row>
        <row r="263">
          <cell r="D263">
            <v>334000.0000000014</v>
          </cell>
          <cell r="H263">
            <v>0</v>
          </cell>
        </row>
        <row r="264">
          <cell r="D264">
            <v>400999.99999999983</v>
          </cell>
          <cell r="H264">
            <v>0</v>
          </cell>
        </row>
        <row r="265">
          <cell r="D265">
            <v>318999.99999999907</v>
          </cell>
          <cell r="H265">
            <v>0</v>
          </cell>
        </row>
        <row r="266">
          <cell r="D266">
            <v>562000.00000000116</v>
          </cell>
          <cell r="H266">
            <v>0</v>
          </cell>
        </row>
        <row r="267">
          <cell r="D267">
            <v>339999.99999999988</v>
          </cell>
          <cell r="H267">
            <v>0</v>
          </cell>
        </row>
        <row r="268">
          <cell r="D268">
            <v>394000.00000000012</v>
          </cell>
          <cell r="H268">
            <v>0</v>
          </cell>
        </row>
        <row r="269">
          <cell r="D269">
            <v>394999.99999999959</v>
          </cell>
          <cell r="H269">
            <v>0</v>
          </cell>
        </row>
        <row r="270">
          <cell r="D270">
            <v>411999.99999999901</v>
          </cell>
          <cell r="H270">
            <v>0</v>
          </cell>
        </row>
        <row r="271">
          <cell r="D271">
            <v>467000.00000000052</v>
          </cell>
          <cell r="H271">
            <v>0</v>
          </cell>
        </row>
        <row r="272">
          <cell r="D272">
            <v>399000.00000000093</v>
          </cell>
          <cell r="H272">
            <v>0</v>
          </cell>
        </row>
        <row r="273">
          <cell r="D273">
            <v>341999.99999999878</v>
          </cell>
          <cell r="H273">
            <v>0</v>
          </cell>
        </row>
        <row r="274">
          <cell r="D274">
            <v>469000.00000000122</v>
          </cell>
          <cell r="H274">
            <v>0</v>
          </cell>
        </row>
        <row r="275">
          <cell r="D275">
            <v>413999.99999999971</v>
          </cell>
          <cell r="H275">
            <v>0</v>
          </cell>
        </row>
        <row r="276">
          <cell r="D276">
            <v>327999.99999999942</v>
          </cell>
          <cell r="H276">
            <v>0</v>
          </cell>
        </row>
        <row r="277">
          <cell r="D277">
            <v>413000.00000000023</v>
          </cell>
          <cell r="H277">
            <v>0</v>
          </cell>
        </row>
        <row r="278">
          <cell r="D278">
            <v>331999.99999999895</v>
          </cell>
          <cell r="H278">
            <v>0</v>
          </cell>
        </row>
        <row r="279">
          <cell r="D279">
            <v>388999.99999999936</v>
          </cell>
          <cell r="H279">
            <v>0</v>
          </cell>
        </row>
        <row r="280">
          <cell r="D280">
            <v>395000.00000000314</v>
          </cell>
          <cell r="H280">
            <v>0</v>
          </cell>
        </row>
        <row r="281">
          <cell r="D281">
            <v>388999.99999999936</v>
          </cell>
          <cell r="H281">
            <v>0</v>
          </cell>
        </row>
        <row r="282">
          <cell r="D282">
            <v>321999.99999999919</v>
          </cell>
          <cell r="H282">
            <v>0</v>
          </cell>
        </row>
        <row r="283">
          <cell r="D283">
            <v>400999.99999999983</v>
          </cell>
          <cell r="H283">
            <v>0</v>
          </cell>
        </row>
        <row r="284">
          <cell r="D284">
            <v>388999.99999999936</v>
          </cell>
          <cell r="H284">
            <v>0</v>
          </cell>
        </row>
        <row r="285">
          <cell r="D285">
            <v>556000.00000000093</v>
          </cell>
          <cell r="H285">
            <v>0</v>
          </cell>
        </row>
        <row r="286">
          <cell r="D286">
            <v>387999.99999999814</v>
          </cell>
          <cell r="H286">
            <v>0</v>
          </cell>
        </row>
        <row r="287">
          <cell r="D287">
            <v>456000.00000000309</v>
          </cell>
          <cell r="H287">
            <v>0</v>
          </cell>
        </row>
        <row r="288">
          <cell r="D288">
            <v>439999.99999999773</v>
          </cell>
          <cell r="H288">
            <v>0</v>
          </cell>
        </row>
        <row r="289">
          <cell r="D289">
            <v>260999.99999999924</v>
          </cell>
          <cell r="H2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Feb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4">
          <cell r="C4">
            <v>12149000</v>
          </cell>
          <cell r="D4">
            <v>0</v>
          </cell>
          <cell r="E4">
            <v>0</v>
          </cell>
          <cell r="F4">
            <v>0</v>
          </cell>
          <cell r="H4">
            <v>11759999.999999996</v>
          </cell>
          <cell r="I4">
            <v>0</v>
          </cell>
        </row>
        <row r="5">
          <cell r="C5">
            <v>12070000</v>
          </cell>
          <cell r="D5">
            <v>0</v>
          </cell>
          <cell r="E5">
            <v>0</v>
          </cell>
          <cell r="F5">
            <v>0</v>
          </cell>
          <cell r="H5">
            <v>11615000.000000002</v>
          </cell>
          <cell r="I5">
            <v>0</v>
          </cell>
        </row>
        <row r="6">
          <cell r="C6">
            <v>13020000</v>
          </cell>
          <cell r="D6">
            <v>0</v>
          </cell>
          <cell r="E6">
            <v>0</v>
          </cell>
          <cell r="F6">
            <v>0</v>
          </cell>
          <cell r="H6">
            <v>12625999.999999998</v>
          </cell>
          <cell r="I6">
            <v>0</v>
          </cell>
        </row>
        <row r="7">
          <cell r="C7">
            <v>12449000</v>
          </cell>
          <cell r="D7">
            <v>0</v>
          </cell>
          <cell r="E7">
            <v>0</v>
          </cell>
          <cell r="F7">
            <v>0</v>
          </cell>
          <cell r="H7">
            <v>12127000</v>
          </cell>
          <cell r="I7">
            <v>0</v>
          </cell>
        </row>
        <row r="8">
          <cell r="C8">
            <v>11441000</v>
          </cell>
          <cell r="D8">
            <v>0</v>
          </cell>
          <cell r="E8">
            <v>0</v>
          </cell>
          <cell r="F8">
            <v>0</v>
          </cell>
          <cell r="H8">
            <v>11114000.000000002</v>
          </cell>
          <cell r="I8">
            <v>0</v>
          </cell>
        </row>
        <row r="9">
          <cell r="C9">
            <v>11036000</v>
          </cell>
          <cell r="D9">
            <v>0</v>
          </cell>
          <cell r="E9">
            <v>0</v>
          </cell>
          <cell r="F9">
            <v>0</v>
          </cell>
          <cell r="H9">
            <v>10580000</v>
          </cell>
          <cell r="I9">
            <v>0</v>
          </cell>
        </row>
        <row r="10">
          <cell r="C10">
            <v>12996000</v>
          </cell>
          <cell r="D10">
            <v>0</v>
          </cell>
          <cell r="E10">
            <v>0</v>
          </cell>
          <cell r="F10">
            <v>0</v>
          </cell>
          <cell r="H10">
            <v>12540999.999999998</v>
          </cell>
          <cell r="I10">
            <v>0</v>
          </cell>
        </row>
        <row r="11">
          <cell r="C11">
            <v>13189000</v>
          </cell>
          <cell r="D11">
            <v>0</v>
          </cell>
          <cell r="E11">
            <v>0</v>
          </cell>
          <cell r="F11">
            <v>0</v>
          </cell>
          <cell r="H11">
            <v>12831000</v>
          </cell>
          <cell r="I11">
            <v>0</v>
          </cell>
        </row>
        <row r="12">
          <cell r="C12">
            <v>12758000</v>
          </cell>
          <cell r="D12">
            <v>0</v>
          </cell>
          <cell r="E12">
            <v>0</v>
          </cell>
          <cell r="F12">
            <v>0</v>
          </cell>
          <cell r="H12">
            <v>12400000</v>
          </cell>
          <cell r="I12">
            <v>0</v>
          </cell>
        </row>
        <row r="13">
          <cell r="C13">
            <v>11692000</v>
          </cell>
          <cell r="D13">
            <v>0</v>
          </cell>
          <cell r="E13">
            <v>0</v>
          </cell>
          <cell r="F13">
            <v>0</v>
          </cell>
          <cell r="H13">
            <v>11255000.000000002</v>
          </cell>
          <cell r="I13">
            <v>0</v>
          </cell>
        </row>
        <row r="14">
          <cell r="C14">
            <v>12074000</v>
          </cell>
          <cell r="D14">
            <v>0</v>
          </cell>
          <cell r="E14">
            <v>0</v>
          </cell>
          <cell r="F14">
            <v>0</v>
          </cell>
          <cell r="H14">
            <v>11713000</v>
          </cell>
          <cell r="I14">
            <v>0</v>
          </cell>
        </row>
        <row r="15">
          <cell r="C15">
            <v>12000000</v>
          </cell>
          <cell r="D15">
            <v>0</v>
          </cell>
          <cell r="E15">
            <v>0</v>
          </cell>
          <cell r="F15">
            <v>0</v>
          </cell>
          <cell r="H15">
            <v>11611999.999999998</v>
          </cell>
          <cell r="I15">
            <v>0</v>
          </cell>
        </row>
        <row r="16">
          <cell r="C16">
            <v>12072000</v>
          </cell>
          <cell r="D16">
            <v>0</v>
          </cell>
          <cell r="E16">
            <v>0</v>
          </cell>
          <cell r="F16">
            <v>0</v>
          </cell>
          <cell r="H16">
            <v>11683000</v>
          </cell>
          <cell r="I16">
            <v>0</v>
          </cell>
        </row>
        <row r="17">
          <cell r="C17">
            <v>12039000</v>
          </cell>
          <cell r="D17">
            <v>0</v>
          </cell>
          <cell r="E17">
            <v>0</v>
          </cell>
          <cell r="F17">
            <v>0</v>
          </cell>
          <cell r="H17">
            <v>11644000</v>
          </cell>
          <cell r="I17">
            <v>0</v>
          </cell>
        </row>
        <row r="18">
          <cell r="C18">
            <v>12102000</v>
          </cell>
          <cell r="D18">
            <v>0</v>
          </cell>
          <cell r="E18">
            <v>0</v>
          </cell>
          <cell r="F18">
            <v>0</v>
          </cell>
          <cell r="H18">
            <v>11775000.000000002</v>
          </cell>
          <cell r="I18">
            <v>0</v>
          </cell>
        </row>
        <row r="19">
          <cell r="C19">
            <v>12399000</v>
          </cell>
          <cell r="D19">
            <v>0</v>
          </cell>
          <cell r="E19">
            <v>0</v>
          </cell>
          <cell r="F19">
            <v>0</v>
          </cell>
          <cell r="H19">
            <v>12076999.999999996</v>
          </cell>
          <cell r="I19">
            <v>0</v>
          </cell>
        </row>
        <row r="20">
          <cell r="C20">
            <v>13114000</v>
          </cell>
          <cell r="D20">
            <v>0</v>
          </cell>
          <cell r="E20">
            <v>0</v>
          </cell>
          <cell r="F20">
            <v>0</v>
          </cell>
          <cell r="H20">
            <v>12660000</v>
          </cell>
          <cell r="I20">
            <v>0</v>
          </cell>
        </row>
        <row r="21">
          <cell r="C21">
            <v>12997000</v>
          </cell>
          <cell r="D21">
            <v>0</v>
          </cell>
          <cell r="E21">
            <v>0</v>
          </cell>
          <cell r="F21">
            <v>0</v>
          </cell>
          <cell r="H21">
            <v>12604000.000000004</v>
          </cell>
          <cell r="I21">
            <v>0</v>
          </cell>
        </row>
        <row r="22">
          <cell r="C22">
            <v>12539000</v>
          </cell>
          <cell r="D22">
            <v>0</v>
          </cell>
          <cell r="E22">
            <v>0</v>
          </cell>
          <cell r="F22">
            <v>0</v>
          </cell>
          <cell r="H22">
            <v>12181000</v>
          </cell>
          <cell r="I22">
            <v>0</v>
          </cell>
        </row>
        <row r="23">
          <cell r="C23">
            <v>11140000</v>
          </cell>
          <cell r="D23">
            <v>0</v>
          </cell>
          <cell r="E23">
            <v>0</v>
          </cell>
          <cell r="F23">
            <v>0</v>
          </cell>
          <cell r="H23">
            <v>10849000</v>
          </cell>
          <cell r="I23">
            <v>0</v>
          </cell>
        </row>
        <row r="24">
          <cell r="C24">
            <v>11586000</v>
          </cell>
          <cell r="D24">
            <v>0</v>
          </cell>
          <cell r="E24">
            <v>0</v>
          </cell>
          <cell r="F24">
            <v>0</v>
          </cell>
          <cell r="H24">
            <v>11191999.999999998</v>
          </cell>
          <cell r="I24">
            <v>0</v>
          </cell>
        </row>
        <row r="25">
          <cell r="C25">
            <v>12504000</v>
          </cell>
          <cell r="D25">
            <v>0</v>
          </cell>
          <cell r="E25">
            <v>0</v>
          </cell>
          <cell r="F25">
            <v>0</v>
          </cell>
          <cell r="H25">
            <v>12049000.000000002</v>
          </cell>
          <cell r="I25">
            <v>0</v>
          </cell>
        </row>
        <row r="26">
          <cell r="C26">
            <v>12889000</v>
          </cell>
          <cell r="D26">
            <v>0</v>
          </cell>
          <cell r="E26">
            <v>0</v>
          </cell>
          <cell r="F26">
            <v>0</v>
          </cell>
          <cell r="H26">
            <v>12378999.999999998</v>
          </cell>
          <cell r="I26">
            <v>0</v>
          </cell>
        </row>
        <row r="27">
          <cell r="C27">
            <v>12719000</v>
          </cell>
          <cell r="D27">
            <v>0</v>
          </cell>
          <cell r="E27">
            <v>0</v>
          </cell>
          <cell r="F27">
            <v>0</v>
          </cell>
          <cell r="H27">
            <v>12458000</v>
          </cell>
          <cell r="I27">
            <v>0</v>
          </cell>
        </row>
        <row r="28">
          <cell r="C28">
            <v>12435000</v>
          </cell>
          <cell r="D28">
            <v>0</v>
          </cell>
          <cell r="E28">
            <v>0</v>
          </cell>
          <cell r="F28">
            <v>0</v>
          </cell>
          <cell r="H28">
            <v>12108000.000000002</v>
          </cell>
          <cell r="I28">
            <v>0</v>
          </cell>
        </row>
        <row r="29">
          <cell r="C29">
            <v>12445000</v>
          </cell>
          <cell r="D29">
            <v>0</v>
          </cell>
          <cell r="E29">
            <v>0</v>
          </cell>
          <cell r="F29">
            <v>0</v>
          </cell>
          <cell r="H29">
            <v>12055999.999999996</v>
          </cell>
          <cell r="I29">
            <v>0</v>
          </cell>
        </row>
        <row r="30">
          <cell r="C30">
            <v>11473000</v>
          </cell>
          <cell r="D30">
            <v>0</v>
          </cell>
          <cell r="E30">
            <v>0</v>
          </cell>
          <cell r="F30">
            <v>0</v>
          </cell>
          <cell r="H30">
            <v>10951000.000000002</v>
          </cell>
          <cell r="I30">
            <v>0</v>
          </cell>
        </row>
        <row r="31">
          <cell r="C31">
            <v>11876000</v>
          </cell>
          <cell r="D31">
            <v>0</v>
          </cell>
          <cell r="E31">
            <v>0</v>
          </cell>
          <cell r="F31">
            <v>0</v>
          </cell>
          <cell r="H31">
            <v>11554000</v>
          </cell>
          <cell r="I31">
            <v>0</v>
          </cell>
        </row>
        <row r="32">
          <cell r="C32">
            <v>12275000</v>
          </cell>
          <cell r="D32">
            <v>0</v>
          </cell>
          <cell r="E32">
            <v>0</v>
          </cell>
          <cell r="F32">
            <v>0</v>
          </cell>
          <cell r="H32">
            <v>11880999.999999998</v>
          </cell>
          <cell r="I32">
            <v>0</v>
          </cell>
        </row>
        <row r="245">
          <cell r="D245">
            <v>389000.00000000291</v>
          </cell>
          <cell r="H245">
            <v>0</v>
          </cell>
        </row>
        <row r="246">
          <cell r="D246">
            <v>454999.99999999831</v>
          </cell>
          <cell r="H246">
            <v>0</v>
          </cell>
        </row>
        <row r="247">
          <cell r="D247">
            <v>394000.00000000192</v>
          </cell>
          <cell r="H247">
            <v>0</v>
          </cell>
        </row>
        <row r="248">
          <cell r="D248">
            <v>321999.99999999919</v>
          </cell>
          <cell r="H248">
            <v>0</v>
          </cell>
        </row>
        <row r="249">
          <cell r="D249">
            <v>326999.9999999982</v>
          </cell>
          <cell r="H249">
            <v>0</v>
          </cell>
        </row>
        <row r="250">
          <cell r="D250">
            <v>455999.99999999953</v>
          </cell>
          <cell r="H250">
            <v>0</v>
          </cell>
        </row>
        <row r="251">
          <cell r="D251">
            <v>455000.00000000186</v>
          </cell>
          <cell r="H251">
            <v>0</v>
          </cell>
        </row>
        <row r="252">
          <cell r="D252">
            <v>358000.00000000052</v>
          </cell>
          <cell r="H252">
            <v>0</v>
          </cell>
        </row>
        <row r="253">
          <cell r="D253">
            <v>358000.00000000052</v>
          </cell>
          <cell r="H253">
            <v>0</v>
          </cell>
        </row>
        <row r="254">
          <cell r="D254">
            <v>436999.99999999761</v>
          </cell>
          <cell r="H254">
            <v>0</v>
          </cell>
        </row>
        <row r="255">
          <cell r="D255">
            <v>361000.00000000064</v>
          </cell>
          <cell r="H255">
            <v>0</v>
          </cell>
        </row>
        <row r="256">
          <cell r="D256">
            <v>388000.00000000169</v>
          </cell>
          <cell r="H256">
            <v>0</v>
          </cell>
        </row>
        <row r="257">
          <cell r="D257">
            <v>388999.99999999936</v>
          </cell>
          <cell r="H257">
            <v>0</v>
          </cell>
        </row>
        <row r="258">
          <cell r="D258">
            <v>394999.99999999959</v>
          </cell>
          <cell r="H258">
            <v>0</v>
          </cell>
        </row>
        <row r="259">
          <cell r="D259">
            <v>326999.9999999982</v>
          </cell>
          <cell r="H259">
            <v>0</v>
          </cell>
        </row>
        <row r="260">
          <cell r="D260">
            <v>322000.00000000274</v>
          </cell>
          <cell r="H260">
            <v>0</v>
          </cell>
        </row>
        <row r="261">
          <cell r="D261">
            <v>454000.00000000064</v>
          </cell>
          <cell r="H261">
            <v>0</v>
          </cell>
        </row>
        <row r="262">
          <cell r="D262">
            <v>392999.99999999715</v>
          </cell>
          <cell r="H262">
            <v>0</v>
          </cell>
        </row>
        <row r="263">
          <cell r="D263">
            <v>358000.00000000052</v>
          </cell>
          <cell r="H263">
            <v>0</v>
          </cell>
        </row>
        <row r="264">
          <cell r="D264">
            <v>291000.00000000035</v>
          </cell>
          <cell r="H264">
            <v>0</v>
          </cell>
        </row>
        <row r="265">
          <cell r="D265">
            <v>394000.00000000192</v>
          </cell>
          <cell r="H265">
            <v>0</v>
          </cell>
        </row>
        <row r="266">
          <cell r="D266">
            <v>454999.99999999831</v>
          </cell>
          <cell r="H266">
            <v>0</v>
          </cell>
        </row>
        <row r="267">
          <cell r="D267">
            <v>510000.00000000157</v>
          </cell>
          <cell r="H267">
            <v>0</v>
          </cell>
        </row>
        <row r="268">
          <cell r="D268">
            <v>260999.99999999924</v>
          </cell>
          <cell r="H268">
            <v>0</v>
          </cell>
        </row>
        <row r="269">
          <cell r="D269">
            <v>326999.9999999982</v>
          </cell>
          <cell r="H269">
            <v>0</v>
          </cell>
        </row>
        <row r="270">
          <cell r="D270">
            <v>389000.00000000291</v>
          </cell>
          <cell r="H270">
            <v>0</v>
          </cell>
        </row>
        <row r="271">
          <cell r="D271">
            <v>521999.99999999849</v>
          </cell>
          <cell r="H271">
            <v>0</v>
          </cell>
        </row>
        <row r="272">
          <cell r="D272">
            <v>321999.99999999919</v>
          </cell>
          <cell r="H272">
            <v>0</v>
          </cell>
        </row>
        <row r="273">
          <cell r="D273">
            <v>394000.00000000192</v>
          </cell>
          <cell r="H273">
            <v>0</v>
          </cell>
        </row>
      </sheetData>
      <sheetData sheetId="3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13026000</v>
          </cell>
          <cell r="D4">
            <v>0</v>
          </cell>
          <cell r="E4">
            <v>0</v>
          </cell>
          <cell r="F4">
            <v>0</v>
          </cell>
          <cell r="H4">
            <v>12765000</v>
          </cell>
          <cell r="I4">
            <v>0</v>
          </cell>
        </row>
        <row r="5">
          <cell r="C5">
            <v>12719000</v>
          </cell>
          <cell r="D5">
            <v>0</v>
          </cell>
          <cell r="E5">
            <v>0</v>
          </cell>
          <cell r="F5">
            <v>0</v>
          </cell>
          <cell r="H5">
            <v>12369000.000000002</v>
          </cell>
          <cell r="I5">
            <v>0</v>
          </cell>
        </row>
        <row r="6">
          <cell r="C6">
            <v>12952000</v>
          </cell>
          <cell r="D6">
            <v>0</v>
          </cell>
          <cell r="E6">
            <v>0</v>
          </cell>
          <cell r="F6">
            <v>0</v>
          </cell>
          <cell r="H6">
            <v>12623000</v>
          </cell>
          <cell r="I6">
            <v>0</v>
          </cell>
        </row>
        <row r="7">
          <cell r="C7">
            <v>13237000</v>
          </cell>
          <cell r="D7">
            <v>0</v>
          </cell>
          <cell r="E7">
            <v>0</v>
          </cell>
          <cell r="F7">
            <v>0</v>
          </cell>
          <cell r="H7">
            <v>12907000.000000002</v>
          </cell>
          <cell r="I7">
            <v>0</v>
          </cell>
        </row>
        <row r="8">
          <cell r="C8">
            <v>12867099.999999627</v>
          </cell>
          <cell r="D8">
            <v>0</v>
          </cell>
          <cell r="E8">
            <v>0</v>
          </cell>
          <cell r="F8">
            <v>0</v>
          </cell>
          <cell r="H8">
            <v>12735099.999999622</v>
          </cell>
          <cell r="I8">
            <v>0</v>
          </cell>
        </row>
        <row r="9">
          <cell r="C9">
            <v>13119900.000000373</v>
          </cell>
          <cell r="D9">
            <v>0</v>
          </cell>
          <cell r="E9">
            <v>0</v>
          </cell>
          <cell r="F9">
            <v>0</v>
          </cell>
          <cell r="H9">
            <v>12723900.000000373</v>
          </cell>
          <cell r="I9">
            <v>0</v>
          </cell>
        </row>
        <row r="10">
          <cell r="C10">
            <v>12283000</v>
          </cell>
          <cell r="D10">
            <v>0</v>
          </cell>
          <cell r="E10">
            <v>0</v>
          </cell>
          <cell r="F10">
            <v>0</v>
          </cell>
          <cell r="H10">
            <v>12020000.000000002</v>
          </cell>
          <cell r="I10">
            <v>0</v>
          </cell>
        </row>
        <row r="11">
          <cell r="C11">
            <v>12062000</v>
          </cell>
          <cell r="D11">
            <v>0</v>
          </cell>
          <cell r="E11">
            <v>0</v>
          </cell>
          <cell r="F11">
            <v>0</v>
          </cell>
          <cell r="H11">
            <v>11732000.000000002</v>
          </cell>
          <cell r="I11">
            <v>0</v>
          </cell>
        </row>
        <row r="12">
          <cell r="C12">
            <v>12207000</v>
          </cell>
          <cell r="D12">
            <v>0</v>
          </cell>
          <cell r="E12">
            <v>0</v>
          </cell>
          <cell r="F12">
            <v>0</v>
          </cell>
          <cell r="H12">
            <v>12009999.999999996</v>
          </cell>
          <cell r="I12">
            <v>0</v>
          </cell>
        </row>
        <row r="13">
          <cell r="C13">
            <v>12179000</v>
          </cell>
          <cell r="D13">
            <v>0</v>
          </cell>
          <cell r="E13">
            <v>1000000</v>
          </cell>
          <cell r="F13">
            <v>0</v>
          </cell>
          <cell r="H13">
            <v>11915000.000000004</v>
          </cell>
          <cell r="I13">
            <v>0</v>
          </cell>
        </row>
        <row r="14">
          <cell r="C14">
            <v>12520000</v>
          </cell>
          <cell r="D14">
            <v>0</v>
          </cell>
          <cell r="E14">
            <v>0</v>
          </cell>
          <cell r="F14">
            <v>0</v>
          </cell>
          <cell r="H14">
            <v>12123000.000000002</v>
          </cell>
          <cell r="I14">
            <v>0</v>
          </cell>
        </row>
        <row r="15">
          <cell r="C15">
            <v>13596000</v>
          </cell>
          <cell r="D15">
            <v>0</v>
          </cell>
          <cell r="E15">
            <v>0</v>
          </cell>
          <cell r="F15">
            <v>0</v>
          </cell>
          <cell r="H15">
            <v>13267000</v>
          </cell>
          <cell r="I15">
            <v>0</v>
          </cell>
        </row>
        <row r="16">
          <cell r="C16">
            <v>12791000</v>
          </cell>
          <cell r="D16">
            <v>0</v>
          </cell>
          <cell r="E16">
            <v>0</v>
          </cell>
          <cell r="F16">
            <v>0</v>
          </cell>
          <cell r="H16">
            <v>12593999.999999996</v>
          </cell>
          <cell r="I16">
            <v>0</v>
          </cell>
        </row>
        <row r="17">
          <cell r="C17">
            <v>13592000</v>
          </cell>
          <cell r="D17">
            <v>0</v>
          </cell>
          <cell r="E17">
            <v>1000000</v>
          </cell>
          <cell r="F17">
            <v>0</v>
          </cell>
          <cell r="H17">
            <v>13329000.000000002</v>
          </cell>
          <cell r="I17">
            <v>0</v>
          </cell>
        </row>
        <row r="18">
          <cell r="C18">
            <v>13393000</v>
          </cell>
          <cell r="D18">
            <v>0</v>
          </cell>
          <cell r="E18">
            <v>2000000</v>
          </cell>
          <cell r="F18">
            <v>0</v>
          </cell>
          <cell r="H18">
            <v>12998999.999999994</v>
          </cell>
          <cell r="I18">
            <v>0</v>
          </cell>
        </row>
        <row r="19">
          <cell r="C19">
            <v>12733000</v>
          </cell>
          <cell r="D19">
            <v>0</v>
          </cell>
          <cell r="E19">
            <v>2000000</v>
          </cell>
          <cell r="F19">
            <v>0</v>
          </cell>
          <cell r="H19">
            <v>12469000.000000004</v>
          </cell>
          <cell r="I19">
            <v>0</v>
          </cell>
        </row>
        <row r="20">
          <cell r="C20">
            <v>11856000</v>
          </cell>
          <cell r="D20">
            <v>0</v>
          </cell>
          <cell r="E20">
            <v>5000000</v>
          </cell>
          <cell r="F20">
            <v>0</v>
          </cell>
          <cell r="H20">
            <v>11661000</v>
          </cell>
          <cell r="I20">
            <v>0</v>
          </cell>
        </row>
        <row r="21">
          <cell r="C21">
            <v>12201000</v>
          </cell>
          <cell r="D21">
            <v>0</v>
          </cell>
          <cell r="E21">
            <v>4000000</v>
          </cell>
          <cell r="F21">
            <v>0</v>
          </cell>
          <cell r="H21">
            <v>11871000.000000002</v>
          </cell>
          <cell r="I21">
            <v>0</v>
          </cell>
        </row>
        <row r="22">
          <cell r="C22">
            <v>11555000</v>
          </cell>
          <cell r="D22">
            <v>0</v>
          </cell>
          <cell r="E22">
            <v>0</v>
          </cell>
          <cell r="F22">
            <v>0</v>
          </cell>
          <cell r="H22">
            <v>11291999.999999994</v>
          </cell>
          <cell r="I22">
            <v>0</v>
          </cell>
        </row>
        <row r="23">
          <cell r="C23">
            <v>12091000</v>
          </cell>
          <cell r="D23">
            <v>0</v>
          </cell>
          <cell r="E23">
            <v>0</v>
          </cell>
          <cell r="F23">
            <v>0</v>
          </cell>
          <cell r="H23">
            <v>11760000.000000004</v>
          </cell>
          <cell r="I23">
            <v>0</v>
          </cell>
        </row>
        <row r="24">
          <cell r="C24">
            <v>12193000</v>
          </cell>
          <cell r="D24">
            <v>0</v>
          </cell>
          <cell r="E24">
            <v>3000000</v>
          </cell>
          <cell r="F24">
            <v>0</v>
          </cell>
          <cell r="H24">
            <v>11928000</v>
          </cell>
          <cell r="I24">
            <v>2200000.0000007274</v>
          </cell>
        </row>
        <row r="25">
          <cell r="C25">
            <v>6184000</v>
          </cell>
          <cell r="D25">
            <v>0</v>
          </cell>
          <cell r="E25">
            <v>7000000</v>
          </cell>
          <cell r="F25">
            <v>0</v>
          </cell>
          <cell r="H25">
            <v>5922000</v>
          </cell>
          <cell r="I25">
            <v>6900000.0000014547</v>
          </cell>
        </row>
        <row r="26">
          <cell r="C26">
            <v>7228000</v>
          </cell>
          <cell r="D26">
            <v>0</v>
          </cell>
          <cell r="E26">
            <v>2000000</v>
          </cell>
          <cell r="F26">
            <v>0</v>
          </cell>
          <cell r="H26">
            <v>7029000.0000000019</v>
          </cell>
          <cell r="I26">
            <v>1899999.9999978172</v>
          </cell>
        </row>
        <row r="27">
          <cell r="C27">
            <v>8965000</v>
          </cell>
          <cell r="D27">
            <v>0</v>
          </cell>
          <cell r="E27">
            <v>5000000</v>
          </cell>
          <cell r="F27">
            <v>0</v>
          </cell>
          <cell r="H27">
            <v>8700999.9999999963</v>
          </cell>
          <cell r="I27">
            <v>3700000.0000007274</v>
          </cell>
        </row>
        <row r="28">
          <cell r="C28">
            <v>6846000</v>
          </cell>
          <cell r="D28">
            <v>0</v>
          </cell>
          <cell r="E28">
            <v>7000000</v>
          </cell>
          <cell r="F28">
            <v>0</v>
          </cell>
          <cell r="H28">
            <v>6714000.0000000019</v>
          </cell>
          <cell r="I28">
            <v>6400000.0000014547</v>
          </cell>
        </row>
        <row r="29">
          <cell r="C29">
            <v>5960000</v>
          </cell>
          <cell r="D29">
            <v>0</v>
          </cell>
          <cell r="E29">
            <v>5000000</v>
          </cell>
          <cell r="F29">
            <v>0</v>
          </cell>
          <cell r="H29">
            <v>5762999.9999999972</v>
          </cell>
          <cell r="I29">
            <v>3799999.9999992726</v>
          </cell>
        </row>
        <row r="30">
          <cell r="C30">
            <v>6158000</v>
          </cell>
          <cell r="D30">
            <v>0</v>
          </cell>
          <cell r="E30">
            <v>5000000</v>
          </cell>
          <cell r="F30">
            <v>0</v>
          </cell>
          <cell r="H30">
            <v>5960000</v>
          </cell>
          <cell r="I30">
            <v>5700000.0000007274</v>
          </cell>
        </row>
        <row r="31">
          <cell r="C31">
            <v>6201000</v>
          </cell>
          <cell r="D31">
            <v>0</v>
          </cell>
          <cell r="E31">
            <v>8000000</v>
          </cell>
          <cell r="F31">
            <v>0</v>
          </cell>
          <cell r="H31">
            <v>6003000</v>
          </cell>
          <cell r="I31">
            <v>5899999.999997817</v>
          </cell>
        </row>
        <row r="32">
          <cell r="C32">
            <v>6291000</v>
          </cell>
          <cell r="D32">
            <v>0</v>
          </cell>
          <cell r="E32">
            <v>7000000</v>
          </cell>
          <cell r="F32">
            <v>0</v>
          </cell>
          <cell r="H32">
            <v>6092000.0000000019</v>
          </cell>
          <cell r="I32">
            <v>7000000</v>
          </cell>
        </row>
        <row r="33">
          <cell r="C33">
            <v>6168000</v>
          </cell>
          <cell r="D33">
            <v>0</v>
          </cell>
          <cell r="E33">
            <v>8000000</v>
          </cell>
          <cell r="F33">
            <v>0</v>
          </cell>
          <cell r="H33">
            <v>6034999.9999999972</v>
          </cell>
          <cell r="I33">
            <v>5700000.0000007274</v>
          </cell>
        </row>
        <row r="34">
          <cell r="C34">
            <v>2184000</v>
          </cell>
          <cell r="D34">
            <v>0</v>
          </cell>
          <cell r="E34">
            <v>9000000</v>
          </cell>
          <cell r="F34">
            <v>0</v>
          </cell>
          <cell r="H34">
            <v>2184000</v>
          </cell>
          <cell r="I34">
            <v>8000000</v>
          </cell>
        </row>
        <row r="259">
          <cell r="D259">
            <v>260999.99999999924</v>
          </cell>
          <cell r="H259">
            <v>0</v>
          </cell>
        </row>
        <row r="260">
          <cell r="D260">
            <v>349999.99999999785</v>
          </cell>
          <cell r="H260">
            <v>0</v>
          </cell>
        </row>
        <row r="261">
          <cell r="D261">
            <v>329000.00000000064</v>
          </cell>
          <cell r="H261">
            <v>0</v>
          </cell>
        </row>
        <row r="262">
          <cell r="D262">
            <v>329999.99999999831</v>
          </cell>
          <cell r="H262">
            <v>0</v>
          </cell>
        </row>
        <row r="263">
          <cell r="D263">
            <v>132000.00000000501</v>
          </cell>
          <cell r="H263">
            <v>0</v>
          </cell>
        </row>
        <row r="264">
          <cell r="D264">
            <v>396000.00000000081</v>
          </cell>
          <cell r="H264">
            <v>0</v>
          </cell>
        </row>
        <row r="265">
          <cell r="D265">
            <v>262999.99999999814</v>
          </cell>
          <cell r="H265">
            <v>292786</v>
          </cell>
        </row>
        <row r="266">
          <cell r="D266">
            <v>329999.99999999831</v>
          </cell>
          <cell r="H266">
            <v>0</v>
          </cell>
        </row>
        <row r="267">
          <cell r="D267">
            <v>197000.00000000274</v>
          </cell>
          <cell r="H267">
            <v>0</v>
          </cell>
        </row>
        <row r="268">
          <cell r="D268">
            <v>263999.99999999581</v>
          </cell>
          <cell r="H268">
            <v>0</v>
          </cell>
        </row>
        <row r="269">
          <cell r="D269">
            <v>396999.99999999849</v>
          </cell>
          <cell r="H269">
            <v>0</v>
          </cell>
        </row>
        <row r="270">
          <cell r="D270">
            <v>329000.00000000064</v>
          </cell>
          <cell r="H270">
            <v>0</v>
          </cell>
        </row>
        <row r="271">
          <cell r="D271">
            <v>197000.00000000274</v>
          </cell>
          <cell r="H271">
            <v>0</v>
          </cell>
        </row>
        <row r="272">
          <cell r="D272">
            <v>262999.99999999814</v>
          </cell>
          <cell r="H272">
            <v>6117</v>
          </cell>
        </row>
        <row r="273">
          <cell r="D273">
            <v>394000.00000000547</v>
          </cell>
          <cell r="H273">
            <v>352185</v>
          </cell>
        </row>
        <row r="274">
          <cell r="D274">
            <v>263999.99999999581</v>
          </cell>
          <cell r="H274">
            <v>248789</v>
          </cell>
        </row>
        <row r="275">
          <cell r="D275">
            <v>195000.00000000029</v>
          </cell>
          <cell r="H275">
            <v>577465</v>
          </cell>
        </row>
        <row r="276">
          <cell r="D276">
            <v>329999.99999999831</v>
          </cell>
          <cell r="H276">
            <v>538015</v>
          </cell>
        </row>
        <row r="277">
          <cell r="D277">
            <v>263000.00000000524</v>
          </cell>
          <cell r="H277">
            <v>0</v>
          </cell>
        </row>
        <row r="278">
          <cell r="D278">
            <v>330999.99999999598</v>
          </cell>
          <cell r="H278">
            <v>0</v>
          </cell>
        </row>
        <row r="279">
          <cell r="D279">
            <v>265000.00000000058</v>
          </cell>
          <cell r="H279">
            <v>1137282</v>
          </cell>
        </row>
        <row r="280">
          <cell r="D280">
            <v>262000.00000000047</v>
          </cell>
          <cell r="H280">
            <v>834047</v>
          </cell>
        </row>
        <row r="281">
          <cell r="D281">
            <v>198999.99999999808</v>
          </cell>
          <cell r="H281">
            <v>218833</v>
          </cell>
        </row>
        <row r="282">
          <cell r="D282">
            <v>264000.00000000291</v>
          </cell>
          <cell r="H282">
            <v>1076173</v>
          </cell>
        </row>
        <row r="283">
          <cell r="D283">
            <v>131999.9999999979</v>
          </cell>
          <cell r="H283">
            <v>813340</v>
          </cell>
        </row>
        <row r="284">
          <cell r="D284">
            <v>197000.00000000274</v>
          </cell>
          <cell r="H284">
            <v>573809</v>
          </cell>
        </row>
        <row r="285">
          <cell r="D285">
            <v>198000.00000000041</v>
          </cell>
          <cell r="H285">
            <v>620360</v>
          </cell>
        </row>
        <row r="286">
          <cell r="D286">
            <v>198000.00000000041</v>
          </cell>
          <cell r="H286">
            <v>836228</v>
          </cell>
        </row>
        <row r="287">
          <cell r="D287">
            <v>198999.99999999808</v>
          </cell>
          <cell r="H287">
            <v>898437</v>
          </cell>
        </row>
        <row r="288">
          <cell r="D288">
            <v>133000.00000000268</v>
          </cell>
          <cell r="H288">
            <v>956211</v>
          </cell>
        </row>
        <row r="289">
          <cell r="D289">
            <v>0</v>
          </cell>
          <cell r="H289">
            <v>1096445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Ap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11000000</v>
          </cell>
          <cell r="F4">
            <v>0</v>
          </cell>
          <cell r="H4">
            <v>0</v>
          </cell>
          <cell r="I4">
            <v>10500000</v>
          </cell>
        </row>
        <row r="5">
          <cell r="C5">
            <v>0</v>
          </cell>
          <cell r="D5">
            <v>0</v>
          </cell>
          <cell r="E5">
            <v>14000000</v>
          </cell>
          <cell r="F5">
            <v>0</v>
          </cell>
          <cell r="H5">
            <v>0</v>
          </cell>
          <cell r="I5">
            <v>11200000.000000728</v>
          </cell>
        </row>
        <row r="6">
          <cell r="C6">
            <v>0</v>
          </cell>
          <cell r="D6">
            <v>0</v>
          </cell>
          <cell r="E6">
            <v>13000000</v>
          </cell>
          <cell r="F6">
            <v>0</v>
          </cell>
          <cell r="H6">
            <v>0</v>
          </cell>
          <cell r="I6">
            <v>12400000.000001455</v>
          </cell>
        </row>
        <row r="7">
          <cell r="C7">
            <v>0</v>
          </cell>
          <cell r="D7">
            <v>0</v>
          </cell>
          <cell r="E7">
            <v>15000000</v>
          </cell>
          <cell r="F7">
            <v>0</v>
          </cell>
          <cell r="H7">
            <v>0</v>
          </cell>
          <cell r="I7">
            <v>11699999.999997091</v>
          </cell>
        </row>
        <row r="8">
          <cell r="C8">
            <v>0</v>
          </cell>
          <cell r="D8">
            <v>0</v>
          </cell>
          <cell r="E8">
            <v>16000000</v>
          </cell>
          <cell r="F8">
            <v>0</v>
          </cell>
          <cell r="H8">
            <v>0</v>
          </cell>
          <cell r="I8">
            <v>13900000.000001455</v>
          </cell>
        </row>
        <row r="9">
          <cell r="C9">
            <v>0</v>
          </cell>
          <cell r="D9">
            <v>0</v>
          </cell>
          <cell r="E9">
            <v>13000000</v>
          </cell>
          <cell r="F9">
            <v>0</v>
          </cell>
          <cell r="H9">
            <v>0</v>
          </cell>
          <cell r="I9">
            <v>11099999.999998545</v>
          </cell>
        </row>
        <row r="10">
          <cell r="C10">
            <v>0</v>
          </cell>
          <cell r="D10">
            <v>0</v>
          </cell>
          <cell r="E10">
            <v>10000000</v>
          </cell>
          <cell r="F10">
            <v>0</v>
          </cell>
          <cell r="H10">
            <v>0</v>
          </cell>
          <cell r="I10">
            <v>13000000</v>
          </cell>
        </row>
        <row r="11">
          <cell r="C11">
            <v>0</v>
          </cell>
          <cell r="D11">
            <v>0</v>
          </cell>
          <cell r="E11">
            <v>15000000</v>
          </cell>
          <cell r="F11">
            <v>0</v>
          </cell>
          <cell r="H11">
            <v>0</v>
          </cell>
          <cell r="I11">
            <v>12900000.000001455</v>
          </cell>
        </row>
        <row r="12">
          <cell r="C12">
            <v>0</v>
          </cell>
          <cell r="D12">
            <v>0</v>
          </cell>
          <cell r="E12">
            <v>19000000</v>
          </cell>
          <cell r="F12">
            <v>0</v>
          </cell>
          <cell r="H12">
            <v>0</v>
          </cell>
          <cell r="I12">
            <v>16500000</v>
          </cell>
        </row>
        <row r="13">
          <cell r="C13">
            <v>0</v>
          </cell>
          <cell r="D13">
            <v>0</v>
          </cell>
          <cell r="E13">
            <v>15000000</v>
          </cell>
          <cell r="F13">
            <v>0</v>
          </cell>
          <cell r="H13">
            <v>0</v>
          </cell>
          <cell r="I13">
            <v>13799999.999999272</v>
          </cell>
        </row>
        <row r="14">
          <cell r="C14">
            <v>0</v>
          </cell>
          <cell r="D14">
            <v>0</v>
          </cell>
          <cell r="E14">
            <v>16000000</v>
          </cell>
          <cell r="F14">
            <v>0</v>
          </cell>
          <cell r="H14">
            <v>0</v>
          </cell>
          <cell r="I14">
            <v>14100000.000002183</v>
          </cell>
        </row>
        <row r="15">
          <cell r="C15">
            <v>0</v>
          </cell>
          <cell r="D15">
            <v>0</v>
          </cell>
          <cell r="E15">
            <v>13000000</v>
          </cell>
          <cell r="F15">
            <v>0</v>
          </cell>
          <cell r="H15">
            <v>0</v>
          </cell>
          <cell r="I15">
            <v>11599999.999998545</v>
          </cell>
        </row>
        <row r="16">
          <cell r="C16">
            <v>0</v>
          </cell>
          <cell r="D16">
            <v>0</v>
          </cell>
          <cell r="E16">
            <v>14000000</v>
          </cell>
          <cell r="F16">
            <v>0</v>
          </cell>
          <cell r="H16">
            <v>0</v>
          </cell>
          <cell r="I16">
            <v>11799999.999999272</v>
          </cell>
        </row>
        <row r="17">
          <cell r="C17">
            <v>0</v>
          </cell>
          <cell r="D17">
            <v>0</v>
          </cell>
          <cell r="E17">
            <v>15000000</v>
          </cell>
          <cell r="F17">
            <v>0</v>
          </cell>
          <cell r="H17">
            <v>0</v>
          </cell>
          <cell r="I17">
            <v>14500000</v>
          </cell>
        </row>
        <row r="18">
          <cell r="C18">
            <v>0</v>
          </cell>
          <cell r="D18">
            <v>0</v>
          </cell>
          <cell r="E18">
            <v>14000000</v>
          </cell>
          <cell r="F18">
            <v>270000</v>
          </cell>
          <cell r="H18">
            <v>0</v>
          </cell>
          <cell r="I18">
            <v>12500000</v>
          </cell>
        </row>
        <row r="19">
          <cell r="C19">
            <v>0</v>
          </cell>
          <cell r="D19">
            <v>0</v>
          </cell>
          <cell r="E19">
            <v>11000000</v>
          </cell>
          <cell r="F19">
            <v>0</v>
          </cell>
          <cell r="H19">
            <v>0</v>
          </cell>
          <cell r="I19">
            <v>10600000.000002183</v>
          </cell>
        </row>
        <row r="20">
          <cell r="C20">
            <v>0</v>
          </cell>
          <cell r="D20">
            <v>0</v>
          </cell>
          <cell r="E20">
            <v>12000000</v>
          </cell>
          <cell r="F20">
            <v>0</v>
          </cell>
          <cell r="H20">
            <v>0</v>
          </cell>
          <cell r="I20">
            <v>9899999.999997817</v>
          </cell>
        </row>
        <row r="21">
          <cell r="C21">
            <v>0</v>
          </cell>
          <cell r="D21">
            <v>0</v>
          </cell>
          <cell r="E21">
            <v>15000000</v>
          </cell>
          <cell r="F21">
            <v>0</v>
          </cell>
          <cell r="H21">
            <v>0</v>
          </cell>
          <cell r="I21">
            <v>13100000.000002183</v>
          </cell>
        </row>
        <row r="22">
          <cell r="C22">
            <v>0</v>
          </cell>
          <cell r="D22">
            <v>0</v>
          </cell>
          <cell r="E22">
            <v>12000000</v>
          </cell>
          <cell r="F22">
            <v>0</v>
          </cell>
          <cell r="H22">
            <v>0</v>
          </cell>
          <cell r="I22">
            <v>11399999.999997817</v>
          </cell>
        </row>
        <row r="23">
          <cell r="C23">
            <v>0</v>
          </cell>
          <cell r="D23">
            <v>0</v>
          </cell>
          <cell r="E23">
            <v>12000000</v>
          </cell>
          <cell r="F23">
            <v>200000</v>
          </cell>
          <cell r="H23">
            <v>0</v>
          </cell>
          <cell r="I23">
            <v>10700000.000000728</v>
          </cell>
        </row>
        <row r="24">
          <cell r="C24">
            <v>0</v>
          </cell>
          <cell r="D24">
            <v>0</v>
          </cell>
          <cell r="E24">
            <v>11000000</v>
          </cell>
          <cell r="F24">
            <v>0</v>
          </cell>
          <cell r="H24">
            <v>0</v>
          </cell>
          <cell r="I24">
            <v>10099999.999998545</v>
          </cell>
        </row>
        <row r="25">
          <cell r="C25">
            <v>0</v>
          </cell>
          <cell r="D25">
            <v>0</v>
          </cell>
          <cell r="E25">
            <v>15000000</v>
          </cell>
          <cell r="F25">
            <v>0</v>
          </cell>
          <cell r="H25">
            <v>0</v>
          </cell>
          <cell r="I25">
            <v>13200000.000000728</v>
          </cell>
        </row>
        <row r="26">
          <cell r="C26">
            <v>0</v>
          </cell>
          <cell r="D26">
            <v>0</v>
          </cell>
          <cell r="E26">
            <v>16000000</v>
          </cell>
          <cell r="F26">
            <v>0</v>
          </cell>
          <cell r="H26">
            <v>0</v>
          </cell>
          <cell r="I26">
            <v>13799999.999999272</v>
          </cell>
        </row>
        <row r="27">
          <cell r="C27">
            <v>0</v>
          </cell>
          <cell r="D27">
            <v>0</v>
          </cell>
          <cell r="E27">
            <v>17000000</v>
          </cell>
          <cell r="F27">
            <v>0</v>
          </cell>
          <cell r="H27">
            <v>0</v>
          </cell>
          <cell r="I27">
            <v>14800000.000002909</v>
          </cell>
        </row>
        <row r="28">
          <cell r="C28">
            <v>0</v>
          </cell>
          <cell r="D28">
            <v>0</v>
          </cell>
          <cell r="E28">
            <v>15000000</v>
          </cell>
          <cell r="F28">
            <v>0</v>
          </cell>
          <cell r="H28">
            <v>0</v>
          </cell>
          <cell r="I28">
            <v>14000000</v>
          </cell>
        </row>
        <row r="29">
          <cell r="C29">
            <v>0</v>
          </cell>
          <cell r="D29">
            <v>0</v>
          </cell>
          <cell r="E29">
            <v>14000000</v>
          </cell>
          <cell r="F29">
            <v>0</v>
          </cell>
          <cell r="H29">
            <v>0</v>
          </cell>
          <cell r="I29">
            <v>12199999.999997091</v>
          </cell>
        </row>
        <row r="30">
          <cell r="C30">
            <v>0</v>
          </cell>
          <cell r="D30">
            <v>0</v>
          </cell>
          <cell r="E30">
            <v>15000000</v>
          </cell>
          <cell r="F30">
            <v>0</v>
          </cell>
          <cell r="H30">
            <v>0</v>
          </cell>
          <cell r="I30">
            <v>13100000.000002183</v>
          </cell>
        </row>
        <row r="31">
          <cell r="C31">
            <v>0</v>
          </cell>
          <cell r="D31">
            <v>0</v>
          </cell>
          <cell r="E31">
            <v>9000000</v>
          </cell>
          <cell r="F31">
            <v>2860000</v>
          </cell>
          <cell r="H31">
            <v>0</v>
          </cell>
          <cell r="I31">
            <v>11500000</v>
          </cell>
        </row>
        <row r="32">
          <cell r="C32">
            <v>0</v>
          </cell>
          <cell r="D32">
            <v>0</v>
          </cell>
          <cell r="E32">
            <v>7000000</v>
          </cell>
          <cell r="F32">
            <v>5030000</v>
          </cell>
          <cell r="H32">
            <v>0</v>
          </cell>
          <cell r="I32">
            <v>12000000</v>
          </cell>
        </row>
        <row r="33">
          <cell r="C33">
            <v>0</v>
          </cell>
          <cell r="D33">
            <v>0</v>
          </cell>
          <cell r="E33">
            <v>7000000</v>
          </cell>
          <cell r="F33">
            <v>5970000</v>
          </cell>
          <cell r="H33">
            <v>0</v>
          </cell>
          <cell r="I33">
            <v>12099999.999998545</v>
          </cell>
        </row>
        <row r="252">
          <cell r="D252">
            <v>0</v>
          </cell>
          <cell r="H252">
            <v>1307812</v>
          </cell>
        </row>
        <row r="253">
          <cell r="D253">
            <v>0</v>
          </cell>
          <cell r="H253">
            <v>1108394</v>
          </cell>
        </row>
        <row r="254">
          <cell r="D254">
            <v>0</v>
          </cell>
          <cell r="H254">
            <v>1494839</v>
          </cell>
        </row>
        <row r="255">
          <cell r="D255">
            <v>0</v>
          </cell>
          <cell r="H255">
            <v>1559244</v>
          </cell>
        </row>
        <row r="256">
          <cell r="D256">
            <v>0</v>
          </cell>
          <cell r="H256">
            <v>1812587</v>
          </cell>
        </row>
        <row r="257">
          <cell r="D257">
            <v>0</v>
          </cell>
          <cell r="H257">
            <v>1451981</v>
          </cell>
        </row>
        <row r="258">
          <cell r="D258">
            <v>0</v>
          </cell>
          <cell r="H258">
            <v>1216141</v>
          </cell>
        </row>
        <row r="259">
          <cell r="D259">
            <v>0</v>
          </cell>
          <cell r="H259">
            <v>1424615</v>
          </cell>
        </row>
        <row r="260">
          <cell r="D260">
            <v>283000.00000000122</v>
          </cell>
          <cell r="H260">
            <v>1525379</v>
          </cell>
        </row>
        <row r="261">
          <cell r="D261">
            <v>0</v>
          </cell>
          <cell r="H261">
            <v>1208293</v>
          </cell>
        </row>
        <row r="262">
          <cell r="D262">
            <v>358999.99999999464</v>
          </cell>
          <cell r="H262">
            <v>1305253</v>
          </cell>
        </row>
        <row r="263">
          <cell r="D263">
            <v>0</v>
          </cell>
          <cell r="H263">
            <v>1096093</v>
          </cell>
        </row>
        <row r="264">
          <cell r="D264">
            <v>0</v>
          </cell>
          <cell r="H264">
            <v>1181661</v>
          </cell>
        </row>
        <row r="265">
          <cell r="D265">
            <v>66000.000000002503</v>
          </cell>
          <cell r="H265">
            <v>1356789</v>
          </cell>
        </row>
        <row r="266">
          <cell r="D266">
            <v>0</v>
          </cell>
          <cell r="H266">
            <v>1238273</v>
          </cell>
        </row>
        <row r="267">
          <cell r="D267">
            <v>0</v>
          </cell>
          <cell r="H267">
            <v>982096</v>
          </cell>
        </row>
        <row r="268">
          <cell r="D268">
            <v>0</v>
          </cell>
          <cell r="H268">
            <v>965059</v>
          </cell>
        </row>
        <row r="269">
          <cell r="D269">
            <v>0</v>
          </cell>
          <cell r="H269">
            <v>1318369</v>
          </cell>
        </row>
        <row r="270">
          <cell r="D270">
            <v>0</v>
          </cell>
          <cell r="H270">
            <v>1052604</v>
          </cell>
        </row>
        <row r="271">
          <cell r="D271">
            <v>0</v>
          </cell>
          <cell r="H271">
            <v>1107863</v>
          </cell>
        </row>
        <row r="272">
          <cell r="D272">
            <v>0</v>
          </cell>
          <cell r="H272">
            <v>986885</v>
          </cell>
        </row>
        <row r="273">
          <cell r="D273">
            <v>0</v>
          </cell>
          <cell r="H273">
            <v>1339494</v>
          </cell>
        </row>
        <row r="274">
          <cell r="D274">
            <v>147000</v>
          </cell>
          <cell r="H274">
            <v>1405668</v>
          </cell>
        </row>
        <row r="275">
          <cell r="D275">
            <v>0</v>
          </cell>
          <cell r="H275">
            <v>1428861</v>
          </cell>
        </row>
        <row r="276">
          <cell r="D276">
            <v>9000.0000000000073</v>
          </cell>
          <cell r="H276">
            <v>1400024</v>
          </cell>
        </row>
        <row r="277">
          <cell r="D277">
            <v>0</v>
          </cell>
          <cell r="H277">
            <v>1229099</v>
          </cell>
        </row>
        <row r="278">
          <cell r="D278">
            <v>0</v>
          </cell>
          <cell r="H278">
            <v>1418199</v>
          </cell>
        </row>
        <row r="279">
          <cell r="D279">
            <v>0</v>
          </cell>
          <cell r="H279">
            <v>1388199</v>
          </cell>
        </row>
        <row r="280">
          <cell r="D280">
            <v>0</v>
          </cell>
          <cell r="H280">
            <v>1148850</v>
          </cell>
        </row>
        <row r="281">
          <cell r="D281">
            <v>0</v>
          </cell>
          <cell r="H281">
            <v>1152603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  <cell r="D4">
            <v>0</v>
          </cell>
          <cell r="E4">
            <v>6000000</v>
          </cell>
          <cell r="F4">
            <v>5660000</v>
          </cell>
          <cell r="H4">
            <v>0</v>
          </cell>
          <cell r="I4">
            <v>11000000</v>
          </cell>
        </row>
        <row r="5">
          <cell r="C5">
            <v>0</v>
          </cell>
          <cell r="D5">
            <v>0</v>
          </cell>
          <cell r="E5">
            <v>7000000</v>
          </cell>
          <cell r="F5">
            <v>6920000</v>
          </cell>
          <cell r="H5">
            <v>0</v>
          </cell>
          <cell r="I5">
            <v>13700000.000000728</v>
          </cell>
        </row>
        <row r="6">
          <cell r="C6">
            <v>0</v>
          </cell>
          <cell r="D6">
            <v>0</v>
          </cell>
          <cell r="E6">
            <v>7000000</v>
          </cell>
          <cell r="F6">
            <v>7070000</v>
          </cell>
          <cell r="H6">
            <v>0</v>
          </cell>
          <cell r="I6">
            <v>13000000</v>
          </cell>
        </row>
        <row r="7">
          <cell r="C7">
            <v>0</v>
          </cell>
          <cell r="D7">
            <v>0</v>
          </cell>
          <cell r="E7">
            <v>8000000</v>
          </cell>
          <cell r="F7">
            <v>6050000</v>
          </cell>
          <cell r="H7">
            <v>0</v>
          </cell>
          <cell r="I7">
            <v>13900000.000001455</v>
          </cell>
        </row>
        <row r="8">
          <cell r="C8">
            <v>155000</v>
          </cell>
          <cell r="D8">
            <v>0</v>
          </cell>
          <cell r="E8">
            <v>9000000</v>
          </cell>
          <cell r="F8">
            <v>5280000</v>
          </cell>
          <cell r="H8">
            <v>0</v>
          </cell>
          <cell r="I8">
            <v>14199999.999997091</v>
          </cell>
        </row>
        <row r="9">
          <cell r="C9">
            <v>0</v>
          </cell>
          <cell r="D9">
            <v>0</v>
          </cell>
          <cell r="E9">
            <v>10000000</v>
          </cell>
          <cell r="F9">
            <v>6970000</v>
          </cell>
          <cell r="H9">
            <v>0</v>
          </cell>
          <cell r="I9">
            <v>16300000.000002909</v>
          </cell>
        </row>
        <row r="10">
          <cell r="C10">
            <v>0</v>
          </cell>
          <cell r="D10">
            <v>0</v>
          </cell>
          <cell r="E10">
            <v>10000000</v>
          </cell>
          <cell r="F10">
            <v>6750000</v>
          </cell>
          <cell r="H10">
            <v>0</v>
          </cell>
          <cell r="I10">
            <v>15799999.999999272</v>
          </cell>
        </row>
        <row r="11">
          <cell r="C11">
            <v>0</v>
          </cell>
          <cell r="D11">
            <v>0</v>
          </cell>
          <cell r="E11">
            <v>8000000</v>
          </cell>
          <cell r="F11">
            <v>5100000.0000000009</v>
          </cell>
          <cell r="H11">
            <v>0</v>
          </cell>
          <cell r="I11">
            <v>12299999.999999272</v>
          </cell>
        </row>
        <row r="12">
          <cell r="C12">
            <v>0</v>
          </cell>
          <cell r="D12">
            <v>0</v>
          </cell>
          <cell r="E12">
            <v>8000000</v>
          </cell>
          <cell r="F12">
            <v>5340000</v>
          </cell>
          <cell r="H12">
            <v>0</v>
          </cell>
          <cell r="I12">
            <v>13900000.000001455</v>
          </cell>
        </row>
        <row r="13">
          <cell r="C13">
            <v>0</v>
          </cell>
          <cell r="D13">
            <v>0</v>
          </cell>
          <cell r="E13">
            <v>12000000</v>
          </cell>
          <cell r="F13">
            <v>6100000.0000000009</v>
          </cell>
          <cell r="H13">
            <v>0</v>
          </cell>
          <cell r="I13">
            <v>16899999.999997817</v>
          </cell>
        </row>
        <row r="14">
          <cell r="C14">
            <v>0</v>
          </cell>
          <cell r="D14">
            <v>0</v>
          </cell>
          <cell r="E14">
            <v>9000000</v>
          </cell>
          <cell r="F14">
            <v>4940000</v>
          </cell>
          <cell r="H14">
            <v>0</v>
          </cell>
          <cell r="I14">
            <v>13100000.000002183</v>
          </cell>
        </row>
        <row r="15">
          <cell r="C15">
            <v>3365000</v>
          </cell>
          <cell r="D15">
            <v>0</v>
          </cell>
          <cell r="E15">
            <v>7000000</v>
          </cell>
          <cell r="F15">
            <v>6130000</v>
          </cell>
          <cell r="H15">
            <v>3273000</v>
          </cell>
          <cell r="I15">
            <v>12399999.999997817</v>
          </cell>
        </row>
        <row r="16">
          <cell r="C16">
            <v>7236000</v>
          </cell>
          <cell r="D16">
            <v>0</v>
          </cell>
          <cell r="E16">
            <v>2000000</v>
          </cell>
          <cell r="F16">
            <v>9830000</v>
          </cell>
          <cell r="H16">
            <v>6924000</v>
          </cell>
          <cell r="I16">
            <v>12600000.000002183</v>
          </cell>
        </row>
        <row r="17">
          <cell r="C17">
            <v>7998000</v>
          </cell>
          <cell r="D17">
            <v>0</v>
          </cell>
          <cell r="E17">
            <v>0</v>
          </cell>
          <cell r="F17">
            <v>9240000</v>
          </cell>
          <cell r="H17">
            <v>7841000</v>
          </cell>
          <cell r="I17">
            <v>9899999.999997817</v>
          </cell>
        </row>
        <row r="18">
          <cell r="C18">
            <v>8057000</v>
          </cell>
          <cell r="D18">
            <v>0</v>
          </cell>
          <cell r="E18">
            <v>0</v>
          </cell>
          <cell r="F18">
            <v>7900000</v>
          </cell>
          <cell r="H18">
            <v>7762000</v>
          </cell>
          <cell r="I18">
            <v>8700000.0000007283</v>
          </cell>
        </row>
        <row r="19">
          <cell r="C19">
            <v>8859000</v>
          </cell>
          <cell r="D19">
            <v>0</v>
          </cell>
          <cell r="E19">
            <v>0</v>
          </cell>
          <cell r="F19">
            <v>8060000.0000000009</v>
          </cell>
          <cell r="H19">
            <v>8465000</v>
          </cell>
          <cell r="I19">
            <v>8200000.0000007274</v>
          </cell>
        </row>
        <row r="20">
          <cell r="C20">
            <v>7011000</v>
          </cell>
          <cell r="D20">
            <v>0</v>
          </cell>
          <cell r="E20">
            <v>0</v>
          </cell>
          <cell r="F20">
            <v>7070000</v>
          </cell>
          <cell r="H20">
            <v>6554000</v>
          </cell>
          <cell r="I20">
            <v>7700000.0000007274</v>
          </cell>
        </row>
        <row r="21">
          <cell r="C21">
            <v>6442000</v>
          </cell>
          <cell r="D21">
            <v>0</v>
          </cell>
          <cell r="E21">
            <v>0</v>
          </cell>
          <cell r="F21">
            <v>7290000</v>
          </cell>
          <cell r="H21">
            <v>6072000</v>
          </cell>
          <cell r="I21">
            <v>7899999.999997817</v>
          </cell>
        </row>
        <row r="22">
          <cell r="C22">
            <v>6601000</v>
          </cell>
          <cell r="D22">
            <v>0</v>
          </cell>
          <cell r="E22">
            <v>0</v>
          </cell>
          <cell r="F22">
            <v>9260000</v>
          </cell>
          <cell r="H22">
            <v>6319000</v>
          </cell>
          <cell r="I22">
            <v>10100000.000002183</v>
          </cell>
        </row>
        <row r="23">
          <cell r="C23">
            <v>9484000</v>
          </cell>
          <cell r="D23">
            <v>0</v>
          </cell>
          <cell r="E23">
            <v>0</v>
          </cell>
          <cell r="F23">
            <v>12200000.000000002</v>
          </cell>
          <cell r="H23">
            <v>9184000</v>
          </cell>
          <cell r="I23">
            <v>13399999.999997817</v>
          </cell>
        </row>
        <row r="24">
          <cell r="C24">
            <v>11066000</v>
          </cell>
          <cell r="D24">
            <v>0</v>
          </cell>
          <cell r="E24">
            <v>0</v>
          </cell>
          <cell r="F24">
            <v>9060000</v>
          </cell>
          <cell r="H24">
            <v>10710000</v>
          </cell>
          <cell r="I24">
            <v>9100000.000002183</v>
          </cell>
        </row>
        <row r="25">
          <cell r="C25">
            <v>12161000</v>
          </cell>
          <cell r="D25">
            <v>0</v>
          </cell>
          <cell r="E25">
            <v>0</v>
          </cell>
          <cell r="F25">
            <v>8330000</v>
          </cell>
          <cell r="H25">
            <v>11796000</v>
          </cell>
          <cell r="I25">
            <v>9099999.9999985453</v>
          </cell>
        </row>
        <row r="26">
          <cell r="C26">
            <v>12948000</v>
          </cell>
          <cell r="D26">
            <v>0</v>
          </cell>
          <cell r="E26">
            <v>0</v>
          </cell>
          <cell r="F26">
            <v>9610000</v>
          </cell>
          <cell r="H26">
            <v>12491000</v>
          </cell>
          <cell r="I26">
            <v>10299999.999999272</v>
          </cell>
        </row>
        <row r="27">
          <cell r="C27">
            <v>11105000</v>
          </cell>
          <cell r="D27">
            <v>0</v>
          </cell>
          <cell r="E27">
            <v>0</v>
          </cell>
          <cell r="F27">
            <v>8080000</v>
          </cell>
          <cell r="H27">
            <v>10713000</v>
          </cell>
          <cell r="I27">
            <v>8600000.000002183</v>
          </cell>
        </row>
        <row r="28">
          <cell r="C28">
            <v>12449000</v>
          </cell>
          <cell r="D28">
            <v>0</v>
          </cell>
          <cell r="E28">
            <v>0</v>
          </cell>
          <cell r="F28">
            <v>8850000</v>
          </cell>
          <cell r="H28">
            <v>12013000</v>
          </cell>
          <cell r="I28">
            <v>9199999.9999970905</v>
          </cell>
        </row>
        <row r="29">
          <cell r="C29">
            <v>10918000</v>
          </cell>
          <cell r="D29">
            <v>0</v>
          </cell>
          <cell r="E29">
            <v>0</v>
          </cell>
          <cell r="F29">
            <v>6060000</v>
          </cell>
          <cell r="H29">
            <v>10474000</v>
          </cell>
          <cell r="I29">
            <v>7200000.0000007274</v>
          </cell>
        </row>
        <row r="30">
          <cell r="C30">
            <v>8904000</v>
          </cell>
          <cell r="D30">
            <v>0</v>
          </cell>
          <cell r="E30">
            <v>0</v>
          </cell>
          <cell r="F30">
            <v>5850000.0000000009</v>
          </cell>
          <cell r="H30">
            <v>8443000</v>
          </cell>
          <cell r="I30">
            <v>6000000</v>
          </cell>
        </row>
        <row r="31">
          <cell r="C31">
            <v>12106000</v>
          </cell>
          <cell r="D31">
            <v>0</v>
          </cell>
          <cell r="E31">
            <v>0</v>
          </cell>
          <cell r="F31">
            <v>9080000</v>
          </cell>
          <cell r="H31">
            <v>11662000</v>
          </cell>
          <cell r="I31">
            <v>9500000</v>
          </cell>
        </row>
        <row r="32">
          <cell r="C32">
            <v>10337000</v>
          </cell>
          <cell r="D32">
            <v>0</v>
          </cell>
          <cell r="E32">
            <v>0</v>
          </cell>
          <cell r="F32">
            <v>7140000.0000000009</v>
          </cell>
          <cell r="H32">
            <v>10036000</v>
          </cell>
          <cell r="I32">
            <v>7900000.0000014547</v>
          </cell>
        </row>
        <row r="33">
          <cell r="C33">
            <v>12235000</v>
          </cell>
          <cell r="D33">
            <v>0</v>
          </cell>
          <cell r="E33">
            <v>0</v>
          </cell>
          <cell r="F33">
            <v>7260000</v>
          </cell>
          <cell r="H33">
            <v>11769000</v>
          </cell>
          <cell r="I33">
            <v>8000000</v>
          </cell>
        </row>
        <row r="34">
          <cell r="C34">
            <v>11817000</v>
          </cell>
          <cell r="D34">
            <v>0</v>
          </cell>
          <cell r="E34">
            <v>0</v>
          </cell>
          <cell r="F34">
            <v>8359999.9999999991</v>
          </cell>
          <cell r="H34">
            <v>11371000</v>
          </cell>
          <cell r="I34">
            <v>8899999.999997817</v>
          </cell>
        </row>
        <row r="259">
          <cell r="D259">
            <v>0</v>
          </cell>
          <cell r="H259">
            <v>1120460</v>
          </cell>
        </row>
        <row r="260">
          <cell r="D260">
            <v>0</v>
          </cell>
          <cell r="H260">
            <v>1341443</v>
          </cell>
        </row>
        <row r="261">
          <cell r="D261">
            <v>0</v>
          </cell>
          <cell r="H261">
            <v>1380309</v>
          </cell>
        </row>
        <row r="262">
          <cell r="D262">
            <v>4000</v>
          </cell>
          <cell r="H262">
            <v>1283749</v>
          </cell>
        </row>
        <row r="263">
          <cell r="D263">
            <v>0</v>
          </cell>
          <cell r="H263">
            <v>1295475</v>
          </cell>
        </row>
        <row r="264">
          <cell r="D264">
            <v>0</v>
          </cell>
          <cell r="H264">
            <v>1610135</v>
          </cell>
        </row>
        <row r="265">
          <cell r="D265">
            <v>0</v>
          </cell>
          <cell r="H265">
            <v>1602739</v>
          </cell>
        </row>
        <row r="266">
          <cell r="D266">
            <v>28000</v>
          </cell>
          <cell r="H266">
            <v>1280141</v>
          </cell>
        </row>
        <row r="267">
          <cell r="D267">
            <v>0</v>
          </cell>
          <cell r="H267">
            <v>1328028</v>
          </cell>
        </row>
        <row r="268">
          <cell r="D268">
            <v>0</v>
          </cell>
          <cell r="H268">
            <v>1622660</v>
          </cell>
        </row>
        <row r="269">
          <cell r="D269">
            <v>310000.00000000006</v>
          </cell>
          <cell r="H269">
            <v>1335758</v>
          </cell>
        </row>
        <row r="270">
          <cell r="D270">
            <v>91999.999999999971</v>
          </cell>
          <cell r="H270">
            <v>1208634</v>
          </cell>
        </row>
        <row r="271">
          <cell r="D271">
            <v>312000</v>
          </cell>
          <cell r="H271">
            <v>1197085</v>
          </cell>
        </row>
        <row r="272">
          <cell r="D272">
            <v>157000.00000000003</v>
          </cell>
          <cell r="H272">
            <v>947683</v>
          </cell>
        </row>
        <row r="273">
          <cell r="D273">
            <v>294999.99999999994</v>
          </cell>
          <cell r="H273">
            <v>828479</v>
          </cell>
        </row>
        <row r="274">
          <cell r="D274">
            <v>394000.00000000012</v>
          </cell>
          <cell r="H274">
            <v>696161</v>
          </cell>
        </row>
        <row r="275">
          <cell r="D275">
            <v>456999.99999999983</v>
          </cell>
          <cell r="H275">
            <v>801159</v>
          </cell>
        </row>
        <row r="276">
          <cell r="D276">
            <v>370000.00000000012</v>
          </cell>
          <cell r="H276">
            <v>871356</v>
          </cell>
        </row>
        <row r="277">
          <cell r="D277">
            <v>282000</v>
          </cell>
          <cell r="H277">
            <v>928644</v>
          </cell>
        </row>
        <row r="278">
          <cell r="D278">
            <v>299999.99999999983</v>
          </cell>
          <cell r="H278">
            <v>845674</v>
          </cell>
        </row>
        <row r="279">
          <cell r="D279">
            <v>356000.00000000029</v>
          </cell>
          <cell r="H279">
            <v>923707</v>
          </cell>
        </row>
        <row r="280">
          <cell r="D280">
            <v>364999.99999999977</v>
          </cell>
          <cell r="H280">
            <v>962260</v>
          </cell>
        </row>
        <row r="281">
          <cell r="D281">
            <v>457000.00000000029</v>
          </cell>
          <cell r="H281">
            <v>1012996</v>
          </cell>
        </row>
        <row r="282">
          <cell r="D282">
            <v>391999.99999999948</v>
          </cell>
          <cell r="H282">
            <v>940455</v>
          </cell>
        </row>
        <row r="283">
          <cell r="D283">
            <v>435999.99999999994</v>
          </cell>
          <cell r="H283">
            <v>922941</v>
          </cell>
        </row>
        <row r="284">
          <cell r="D284">
            <v>443999.99999999994</v>
          </cell>
          <cell r="H284">
            <v>753248</v>
          </cell>
        </row>
        <row r="285">
          <cell r="D285">
            <v>461000.00000000029</v>
          </cell>
          <cell r="H285">
            <v>693646</v>
          </cell>
        </row>
        <row r="286">
          <cell r="D286">
            <v>443999.99999999994</v>
          </cell>
          <cell r="H286">
            <v>25000</v>
          </cell>
        </row>
        <row r="287">
          <cell r="D287">
            <v>301000.00000000017</v>
          </cell>
          <cell r="H287">
            <v>851647</v>
          </cell>
        </row>
        <row r="288">
          <cell r="D288">
            <v>466000.00000000017</v>
          </cell>
          <cell r="H288">
            <v>773287</v>
          </cell>
        </row>
        <row r="289">
          <cell r="D289">
            <v>445999.99999999971</v>
          </cell>
          <cell r="H289">
            <v>861199</v>
          </cell>
        </row>
      </sheetData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7864000</v>
          </cell>
          <cell r="D4">
            <v>0</v>
          </cell>
          <cell r="E4">
            <v>3000000</v>
          </cell>
          <cell r="F4">
            <v>8920000</v>
          </cell>
          <cell r="H4">
            <v>7480000</v>
          </cell>
          <cell r="I4">
            <v>12300000.000002909</v>
          </cell>
        </row>
        <row r="5">
          <cell r="C5">
            <v>8943000</v>
          </cell>
          <cell r="D5">
            <v>0</v>
          </cell>
          <cell r="E5">
            <v>6000000</v>
          </cell>
          <cell r="F5">
            <v>6220000</v>
          </cell>
          <cell r="H5">
            <v>8655000</v>
          </cell>
          <cell r="I5">
            <v>13099999.999998545</v>
          </cell>
        </row>
        <row r="6">
          <cell r="C6">
            <v>10900000</v>
          </cell>
          <cell r="D6">
            <v>0</v>
          </cell>
          <cell r="E6">
            <v>7000000</v>
          </cell>
          <cell r="F6">
            <v>6240000</v>
          </cell>
          <cell r="H6">
            <v>10624000</v>
          </cell>
          <cell r="I6">
            <v>12000000</v>
          </cell>
        </row>
        <row r="7">
          <cell r="C7">
            <v>13044000</v>
          </cell>
          <cell r="D7">
            <v>0</v>
          </cell>
          <cell r="E7">
            <v>7000000</v>
          </cell>
          <cell r="F7">
            <v>7090000</v>
          </cell>
          <cell r="H7">
            <v>12634000</v>
          </cell>
          <cell r="I7">
            <v>14200000.000000728</v>
          </cell>
        </row>
        <row r="8">
          <cell r="C8">
            <v>13272000</v>
          </cell>
          <cell r="D8">
            <v>0</v>
          </cell>
          <cell r="E8">
            <v>9000000</v>
          </cell>
          <cell r="F8">
            <v>9080000</v>
          </cell>
          <cell r="H8">
            <v>12869999.999999998</v>
          </cell>
          <cell r="I8">
            <v>17500000</v>
          </cell>
        </row>
        <row r="9">
          <cell r="C9">
            <v>13105000</v>
          </cell>
          <cell r="D9">
            <v>0</v>
          </cell>
          <cell r="E9">
            <v>7000000</v>
          </cell>
          <cell r="F9">
            <v>7360000</v>
          </cell>
          <cell r="H9">
            <v>12628000.000000002</v>
          </cell>
          <cell r="I9">
            <v>14399999.999997817</v>
          </cell>
        </row>
        <row r="10">
          <cell r="C10">
            <v>13927000</v>
          </cell>
          <cell r="D10">
            <v>0</v>
          </cell>
          <cell r="E10">
            <v>7000000</v>
          </cell>
          <cell r="F10">
            <v>7110000</v>
          </cell>
          <cell r="H10">
            <v>13637999.999999998</v>
          </cell>
          <cell r="I10">
            <v>14000000</v>
          </cell>
        </row>
        <row r="11">
          <cell r="C11">
            <v>14019000</v>
          </cell>
          <cell r="D11">
            <v>0</v>
          </cell>
          <cell r="E11">
            <v>7000000</v>
          </cell>
          <cell r="F11">
            <v>6040000</v>
          </cell>
          <cell r="H11">
            <v>13610000.000000002</v>
          </cell>
          <cell r="I11">
            <v>13200000.000000728</v>
          </cell>
        </row>
        <row r="12">
          <cell r="C12">
            <v>13321000</v>
          </cell>
          <cell r="D12">
            <v>0</v>
          </cell>
          <cell r="E12">
            <v>8000000</v>
          </cell>
          <cell r="F12">
            <v>8100000</v>
          </cell>
          <cell r="H12">
            <v>13047000</v>
          </cell>
          <cell r="I12">
            <v>16500000</v>
          </cell>
        </row>
        <row r="13">
          <cell r="C13">
            <v>12593000</v>
          </cell>
          <cell r="D13">
            <v>0</v>
          </cell>
          <cell r="E13">
            <v>10000000</v>
          </cell>
          <cell r="F13">
            <v>10300000</v>
          </cell>
          <cell r="H13">
            <v>12146000</v>
          </cell>
          <cell r="I13">
            <v>20900000.000001457</v>
          </cell>
        </row>
        <row r="14">
          <cell r="C14">
            <v>12340000</v>
          </cell>
          <cell r="D14">
            <v>0</v>
          </cell>
          <cell r="E14">
            <v>10000000</v>
          </cell>
          <cell r="F14">
            <v>8690000</v>
          </cell>
          <cell r="H14">
            <v>11963000</v>
          </cell>
          <cell r="I14">
            <v>18799999.999999274</v>
          </cell>
        </row>
        <row r="15">
          <cell r="C15">
            <v>12144000</v>
          </cell>
          <cell r="D15">
            <v>0</v>
          </cell>
          <cell r="E15">
            <v>10000000</v>
          </cell>
          <cell r="F15">
            <v>8610000</v>
          </cell>
          <cell r="H15">
            <v>11723000</v>
          </cell>
          <cell r="I15">
            <v>18900000.000001457</v>
          </cell>
        </row>
        <row r="16">
          <cell r="C16">
            <v>10835000</v>
          </cell>
          <cell r="D16">
            <v>0</v>
          </cell>
          <cell r="E16">
            <v>9000000</v>
          </cell>
          <cell r="F16">
            <v>8550000</v>
          </cell>
          <cell r="H16">
            <v>10545000</v>
          </cell>
          <cell r="I16">
            <v>17899999.999997817</v>
          </cell>
        </row>
        <row r="17">
          <cell r="C17">
            <v>9654000</v>
          </cell>
          <cell r="D17">
            <v>0</v>
          </cell>
          <cell r="E17">
            <v>7000000</v>
          </cell>
          <cell r="F17">
            <v>7120000</v>
          </cell>
          <cell r="H17">
            <v>9385000</v>
          </cell>
          <cell r="I17">
            <v>15000000</v>
          </cell>
        </row>
        <row r="18">
          <cell r="C18">
            <v>12182000</v>
          </cell>
          <cell r="D18">
            <v>0</v>
          </cell>
          <cell r="E18">
            <v>10000000</v>
          </cell>
          <cell r="F18">
            <v>10250000</v>
          </cell>
          <cell r="H18">
            <v>11826000</v>
          </cell>
          <cell r="I18">
            <v>20000000</v>
          </cell>
        </row>
        <row r="19">
          <cell r="C19">
            <v>11919000</v>
          </cell>
          <cell r="D19">
            <v>0</v>
          </cell>
          <cell r="E19">
            <v>10000000</v>
          </cell>
          <cell r="F19">
            <v>12410000</v>
          </cell>
          <cell r="H19">
            <v>11557000</v>
          </cell>
          <cell r="I19">
            <v>22900000.000001457</v>
          </cell>
        </row>
        <row r="20">
          <cell r="C20">
            <v>12118000</v>
          </cell>
          <cell r="D20">
            <v>0</v>
          </cell>
          <cell r="E20">
            <v>11000000</v>
          </cell>
          <cell r="F20">
            <v>12970000</v>
          </cell>
          <cell r="H20">
            <v>11786000.000000002</v>
          </cell>
          <cell r="I20">
            <v>25099999.999998543</v>
          </cell>
        </row>
        <row r="21">
          <cell r="C21">
            <v>13022000</v>
          </cell>
          <cell r="D21">
            <v>0</v>
          </cell>
          <cell r="E21">
            <v>12000000</v>
          </cell>
          <cell r="F21">
            <v>11680000</v>
          </cell>
          <cell r="H21">
            <v>12544000</v>
          </cell>
          <cell r="I21">
            <v>23200000.000000726</v>
          </cell>
        </row>
        <row r="22">
          <cell r="C22">
            <v>12011000</v>
          </cell>
          <cell r="D22">
            <v>0</v>
          </cell>
          <cell r="E22">
            <v>13000000</v>
          </cell>
          <cell r="F22">
            <v>13540000</v>
          </cell>
          <cell r="H22">
            <v>11662000</v>
          </cell>
          <cell r="I22">
            <v>28799999.999999274</v>
          </cell>
        </row>
        <row r="23">
          <cell r="C23">
            <v>11128000</v>
          </cell>
          <cell r="D23">
            <v>0</v>
          </cell>
          <cell r="E23">
            <v>14000000</v>
          </cell>
          <cell r="F23">
            <v>13440000</v>
          </cell>
          <cell r="H23">
            <v>10852000</v>
          </cell>
          <cell r="I23">
            <v>27700000.000000726</v>
          </cell>
        </row>
        <row r="24">
          <cell r="C24">
            <v>10093000</v>
          </cell>
          <cell r="D24">
            <v>0</v>
          </cell>
          <cell r="E24">
            <v>17000000</v>
          </cell>
          <cell r="F24">
            <v>9380000</v>
          </cell>
          <cell r="H24">
            <v>9686000</v>
          </cell>
          <cell r="I24">
            <v>27000000</v>
          </cell>
        </row>
        <row r="25">
          <cell r="C25">
            <v>10357000</v>
          </cell>
          <cell r="D25">
            <v>0</v>
          </cell>
          <cell r="E25">
            <v>23000000</v>
          </cell>
          <cell r="F25">
            <v>7190000</v>
          </cell>
          <cell r="H25">
            <v>9903000</v>
          </cell>
          <cell r="I25">
            <v>28200000.000000726</v>
          </cell>
        </row>
        <row r="26">
          <cell r="C26">
            <v>9937000</v>
          </cell>
          <cell r="D26">
            <v>0</v>
          </cell>
          <cell r="E26">
            <v>18000000</v>
          </cell>
          <cell r="F26">
            <v>6610000</v>
          </cell>
          <cell r="H26">
            <v>9563000</v>
          </cell>
          <cell r="I26">
            <v>24599999.999998543</v>
          </cell>
        </row>
        <row r="27">
          <cell r="C27">
            <v>11242000</v>
          </cell>
          <cell r="D27">
            <v>0</v>
          </cell>
          <cell r="E27">
            <v>22000000</v>
          </cell>
          <cell r="F27">
            <v>7070000</v>
          </cell>
          <cell r="H27">
            <v>10905000.000000002</v>
          </cell>
          <cell r="I27">
            <v>27100000.000002183</v>
          </cell>
        </row>
        <row r="28">
          <cell r="C28">
            <v>11534000</v>
          </cell>
          <cell r="D28">
            <v>0</v>
          </cell>
          <cell r="E28">
            <v>21000000</v>
          </cell>
          <cell r="F28">
            <v>6470000</v>
          </cell>
          <cell r="H28">
            <v>11333999.999999996</v>
          </cell>
          <cell r="I28">
            <v>26699999.999997091</v>
          </cell>
        </row>
        <row r="29">
          <cell r="C29">
            <v>11002000</v>
          </cell>
          <cell r="D29">
            <v>0</v>
          </cell>
          <cell r="E29">
            <v>23000000</v>
          </cell>
          <cell r="F29">
            <v>5860000</v>
          </cell>
          <cell r="H29">
            <v>10535000.000000002</v>
          </cell>
          <cell r="I29">
            <v>27100000.000002183</v>
          </cell>
        </row>
        <row r="30">
          <cell r="C30">
            <v>10376000</v>
          </cell>
          <cell r="D30">
            <v>0</v>
          </cell>
          <cell r="E30">
            <v>24000000</v>
          </cell>
          <cell r="F30">
            <v>4940000</v>
          </cell>
          <cell r="H30">
            <v>9900999.9999999981</v>
          </cell>
          <cell r="I30">
            <v>27299999.999999274</v>
          </cell>
        </row>
        <row r="31">
          <cell r="C31">
            <v>11106000</v>
          </cell>
          <cell r="D31">
            <v>0</v>
          </cell>
          <cell r="E31">
            <v>25000000</v>
          </cell>
          <cell r="F31">
            <v>5020000</v>
          </cell>
          <cell r="H31">
            <v>10775000</v>
          </cell>
          <cell r="I31">
            <v>27700000.000000726</v>
          </cell>
        </row>
        <row r="32">
          <cell r="C32">
            <v>9374000</v>
          </cell>
          <cell r="D32">
            <v>0</v>
          </cell>
          <cell r="E32">
            <v>21000000</v>
          </cell>
          <cell r="F32">
            <v>5040000</v>
          </cell>
          <cell r="H32">
            <v>9037000</v>
          </cell>
          <cell r="I32">
            <v>25399999.999997817</v>
          </cell>
        </row>
        <row r="33">
          <cell r="C33">
            <v>9998000</v>
          </cell>
          <cell r="D33">
            <v>0</v>
          </cell>
          <cell r="E33">
            <v>20000000</v>
          </cell>
          <cell r="F33">
            <v>5030000</v>
          </cell>
          <cell r="H33">
            <v>9730000</v>
          </cell>
          <cell r="I33">
            <v>23800000.000002909</v>
          </cell>
        </row>
        <row r="252">
          <cell r="D252">
            <v>384000.00000000035</v>
          </cell>
          <cell r="H252">
            <v>1253692</v>
          </cell>
        </row>
        <row r="253">
          <cell r="D253">
            <v>287999.99999999936</v>
          </cell>
          <cell r="H253">
            <v>1183962</v>
          </cell>
        </row>
        <row r="254">
          <cell r="D254">
            <v>275999.99999999983</v>
          </cell>
          <cell r="H254">
            <v>1179897</v>
          </cell>
        </row>
        <row r="255">
          <cell r="D255">
            <v>410000.00000000012</v>
          </cell>
          <cell r="H255">
            <v>1389779</v>
          </cell>
        </row>
        <row r="256">
          <cell r="D256">
            <v>402000.00000000105</v>
          </cell>
          <cell r="H256">
            <v>1759761</v>
          </cell>
        </row>
        <row r="257">
          <cell r="D257">
            <v>476999.99999999854</v>
          </cell>
          <cell r="H257">
            <v>1407688</v>
          </cell>
        </row>
        <row r="258">
          <cell r="D258">
            <v>289000.00000000146</v>
          </cell>
          <cell r="H258">
            <v>1408697</v>
          </cell>
        </row>
        <row r="259">
          <cell r="D259">
            <v>408999.99999999889</v>
          </cell>
          <cell r="H259">
            <v>1206684</v>
          </cell>
        </row>
        <row r="260">
          <cell r="D260">
            <v>274000.00000000093</v>
          </cell>
          <cell r="H260">
            <v>1529219</v>
          </cell>
        </row>
        <row r="261">
          <cell r="D261">
            <v>446999.99999999919</v>
          </cell>
          <cell r="H261">
            <v>1909138</v>
          </cell>
        </row>
        <row r="262">
          <cell r="D262">
            <v>377000.00000000064</v>
          </cell>
          <cell r="H262">
            <v>1875213</v>
          </cell>
        </row>
        <row r="263">
          <cell r="D263">
            <v>420999.99999999936</v>
          </cell>
          <cell r="H263">
            <v>1714271</v>
          </cell>
        </row>
        <row r="264">
          <cell r="D264">
            <v>290000.00000000093</v>
          </cell>
          <cell r="H264">
            <v>1819953</v>
          </cell>
        </row>
        <row r="265">
          <cell r="D265">
            <v>269000.00000000012</v>
          </cell>
          <cell r="H265">
            <v>1314155</v>
          </cell>
        </row>
        <row r="266">
          <cell r="D266">
            <v>355999.99999999988</v>
          </cell>
          <cell r="H266">
            <v>1827978</v>
          </cell>
        </row>
        <row r="267">
          <cell r="D267">
            <v>362000.00000000012</v>
          </cell>
          <cell r="H267">
            <v>2275961</v>
          </cell>
        </row>
        <row r="268">
          <cell r="D268">
            <v>331999.99999999895</v>
          </cell>
          <cell r="H268">
            <v>2292018</v>
          </cell>
        </row>
        <row r="269">
          <cell r="D269">
            <v>477999.99999999977</v>
          </cell>
          <cell r="H269">
            <v>2176839</v>
          </cell>
        </row>
        <row r="270">
          <cell r="D270">
            <v>349000.00000000017</v>
          </cell>
          <cell r="H270">
            <v>2577536</v>
          </cell>
        </row>
        <row r="271">
          <cell r="D271">
            <v>275999.99999999983</v>
          </cell>
          <cell r="H271">
            <v>2582182</v>
          </cell>
        </row>
        <row r="272">
          <cell r="D272">
            <v>407000</v>
          </cell>
          <cell r="H272">
            <v>2528419</v>
          </cell>
        </row>
        <row r="273">
          <cell r="D273">
            <v>454000.00000000064</v>
          </cell>
          <cell r="H273">
            <v>2539067</v>
          </cell>
        </row>
        <row r="274">
          <cell r="D274">
            <v>374000.00000000058</v>
          </cell>
          <cell r="H274">
            <v>2261166</v>
          </cell>
        </row>
        <row r="275">
          <cell r="D275">
            <v>336999.99999999796</v>
          </cell>
          <cell r="H275">
            <v>2584475</v>
          </cell>
        </row>
        <row r="276">
          <cell r="D276">
            <v>200000.00000000285</v>
          </cell>
          <cell r="H276">
            <v>2395028</v>
          </cell>
        </row>
        <row r="277">
          <cell r="D277">
            <v>466999.99999999878</v>
          </cell>
          <cell r="H277">
            <v>2529422</v>
          </cell>
        </row>
        <row r="278">
          <cell r="D278">
            <v>475000.0000000014</v>
          </cell>
          <cell r="H278">
            <v>2600907</v>
          </cell>
        </row>
        <row r="279">
          <cell r="D279">
            <v>330999.99999999953</v>
          </cell>
          <cell r="H279">
            <v>2646386</v>
          </cell>
        </row>
        <row r="280">
          <cell r="D280">
            <v>336999.99999999977</v>
          </cell>
          <cell r="H280">
            <v>2209665</v>
          </cell>
        </row>
        <row r="281">
          <cell r="D281">
            <v>268000.0000000007</v>
          </cell>
          <cell r="H281">
            <v>2355239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10725000</v>
          </cell>
          <cell r="D4">
            <v>0</v>
          </cell>
          <cell r="E4">
            <v>18000000</v>
          </cell>
          <cell r="F4">
            <v>4930000</v>
          </cell>
          <cell r="G4">
            <v>0</v>
          </cell>
          <cell r="H4">
            <v>10388000</v>
          </cell>
          <cell r="I4">
            <v>21500000</v>
          </cell>
        </row>
        <row r="5">
          <cell r="C5">
            <v>11405000</v>
          </cell>
          <cell r="D5">
            <v>0</v>
          </cell>
          <cell r="E5">
            <v>16000000</v>
          </cell>
          <cell r="F5">
            <v>5530000</v>
          </cell>
          <cell r="G5">
            <v>0</v>
          </cell>
          <cell r="H5">
            <v>10937000</v>
          </cell>
          <cell r="I5">
            <v>20199999.999997091</v>
          </cell>
        </row>
        <row r="6">
          <cell r="C6">
            <v>11425000</v>
          </cell>
          <cell r="D6">
            <v>0</v>
          </cell>
          <cell r="E6">
            <v>15000000</v>
          </cell>
          <cell r="F6">
            <v>6000000</v>
          </cell>
          <cell r="G6">
            <v>0</v>
          </cell>
          <cell r="H6">
            <v>11026000.000000002</v>
          </cell>
          <cell r="I6">
            <v>20000000</v>
          </cell>
        </row>
        <row r="7">
          <cell r="C7">
            <v>12143000</v>
          </cell>
          <cell r="D7">
            <v>0</v>
          </cell>
          <cell r="E7">
            <v>22000000</v>
          </cell>
          <cell r="F7">
            <v>5370000</v>
          </cell>
          <cell r="G7">
            <v>0</v>
          </cell>
          <cell r="H7">
            <v>11875000</v>
          </cell>
          <cell r="I7">
            <v>26200000.000000726</v>
          </cell>
        </row>
        <row r="8">
          <cell r="C8">
            <v>10819000</v>
          </cell>
          <cell r="D8">
            <v>0</v>
          </cell>
          <cell r="E8">
            <v>22000000</v>
          </cell>
          <cell r="F8">
            <v>5530000</v>
          </cell>
          <cell r="G8">
            <v>0</v>
          </cell>
          <cell r="H8">
            <v>10551000</v>
          </cell>
          <cell r="I8">
            <v>25400000.000001457</v>
          </cell>
        </row>
        <row r="9">
          <cell r="C9">
            <v>11150000</v>
          </cell>
          <cell r="D9">
            <v>0</v>
          </cell>
          <cell r="E9">
            <v>19000000</v>
          </cell>
          <cell r="F9">
            <v>5950000</v>
          </cell>
          <cell r="G9">
            <v>0</v>
          </cell>
          <cell r="H9">
            <v>10683000.000000002</v>
          </cell>
          <cell r="I9">
            <v>24299999.999999274</v>
          </cell>
        </row>
        <row r="10">
          <cell r="C10">
            <v>12061000</v>
          </cell>
          <cell r="D10">
            <v>0</v>
          </cell>
          <cell r="E10">
            <v>19000000</v>
          </cell>
          <cell r="F10">
            <v>8160000</v>
          </cell>
          <cell r="G10">
            <v>0</v>
          </cell>
          <cell r="H10">
            <v>11662000</v>
          </cell>
          <cell r="I10">
            <v>25900000.000001457</v>
          </cell>
        </row>
        <row r="11">
          <cell r="C11">
            <v>12009000</v>
          </cell>
          <cell r="D11">
            <v>0</v>
          </cell>
          <cell r="E11">
            <v>13000000</v>
          </cell>
          <cell r="F11">
            <v>13110000</v>
          </cell>
          <cell r="G11">
            <v>0</v>
          </cell>
          <cell r="H11">
            <v>11541000</v>
          </cell>
          <cell r="I11">
            <v>26599999.999998543</v>
          </cell>
        </row>
        <row r="12">
          <cell r="C12">
            <v>11463000</v>
          </cell>
          <cell r="D12">
            <v>0</v>
          </cell>
          <cell r="E12">
            <v>14000000</v>
          </cell>
          <cell r="F12">
            <v>13710000</v>
          </cell>
          <cell r="G12">
            <v>0</v>
          </cell>
          <cell r="H12">
            <v>11126000</v>
          </cell>
          <cell r="I12">
            <v>28700000.000000726</v>
          </cell>
        </row>
        <row r="13">
          <cell r="C13">
            <v>11516000</v>
          </cell>
          <cell r="D13">
            <v>0</v>
          </cell>
          <cell r="E13">
            <v>14000000</v>
          </cell>
          <cell r="F13">
            <v>14180000</v>
          </cell>
          <cell r="G13">
            <v>0</v>
          </cell>
          <cell r="H13">
            <v>11255000</v>
          </cell>
          <cell r="I13">
            <v>29000000</v>
          </cell>
        </row>
        <row r="14">
          <cell r="C14">
            <v>11944000</v>
          </cell>
          <cell r="D14">
            <v>0</v>
          </cell>
          <cell r="E14">
            <v>14000000</v>
          </cell>
          <cell r="F14">
            <v>14120000.000000002</v>
          </cell>
          <cell r="G14">
            <v>0</v>
          </cell>
          <cell r="H14">
            <v>11468999.999999998</v>
          </cell>
          <cell r="I14">
            <v>28799999.999999274</v>
          </cell>
        </row>
        <row r="15">
          <cell r="C15">
            <v>12050000</v>
          </cell>
          <cell r="D15">
            <v>0</v>
          </cell>
          <cell r="E15">
            <v>15000000</v>
          </cell>
          <cell r="F15">
            <v>11630000</v>
          </cell>
          <cell r="G15">
            <v>0</v>
          </cell>
          <cell r="H15">
            <v>11643000</v>
          </cell>
          <cell r="I15">
            <v>26500000</v>
          </cell>
        </row>
        <row r="16">
          <cell r="C16">
            <v>14372000</v>
          </cell>
          <cell r="D16">
            <v>0</v>
          </cell>
          <cell r="E16">
            <v>12000000</v>
          </cell>
          <cell r="F16">
            <v>13690000</v>
          </cell>
          <cell r="G16">
            <v>0</v>
          </cell>
          <cell r="H16">
            <v>14000000</v>
          </cell>
          <cell r="I16">
            <v>27599999.999998543</v>
          </cell>
        </row>
        <row r="17">
          <cell r="C17">
            <v>14201000</v>
          </cell>
          <cell r="D17">
            <v>0</v>
          </cell>
          <cell r="E17">
            <v>12000000</v>
          </cell>
          <cell r="F17">
            <v>11530000</v>
          </cell>
          <cell r="G17">
            <v>0</v>
          </cell>
          <cell r="H17">
            <v>13766999.999999998</v>
          </cell>
          <cell r="I17">
            <v>23300000.000002909</v>
          </cell>
        </row>
        <row r="18">
          <cell r="C18">
            <v>13260000</v>
          </cell>
          <cell r="D18">
            <v>0</v>
          </cell>
          <cell r="E18">
            <v>14000000</v>
          </cell>
          <cell r="F18">
            <v>14230000</v>
          </cell>
          <cell r="G18">
            <v>0</v>
          </cell>
          <cell r="H18">
            <v>12811000.000000002</v>
          </cell>
          <cell r="I18">
            <v>29399999.999997817</v>
          </cell>
        </row>
        <row r="19">
          <cell r="C19">
            <v>10117000</v>
          </cell>
          <cell r="D19">
            <v>0</v>
          </cell>
          <cell r="E19">
            <v>12000000</v>
          </cell>
          <cell r="F19">
            <v>12540000</v>
          </cell>
          <cell r="G19">
            <v>0</v>
          </cell>
          <cell r="H19">
            <v>9682999.9999999981</v>
          </cell>
          <cell r="I19">
            <v>26400000.000001457</v>
          </cell>
        </row>
        <row r="20">
          <cell r="C20">
            <v>14463000</v>
          </cell>
          <cell r="D20">
            <v>0</v>
          </cell>
          <cell r="E20">
            <v>15000000</v>
          </cell>
          <cell r="F20">
            <v>14460000</v>
          </cell>
          <cell r="G20">
            <v>0</v>
          </cell>
          <cell r="H20">
            <v>14091000</v>
          </cell>
          <cell r="I20">
            <v>28899999.999997817</v>
          </cell>
        </row>
        <row r="21">
          <cell r="C21">
            <v>11983000</v>
          </cell>
          <cell r="D21">
            <v>0</v>
          </cell>
          <cell r="E21">
            <v>12000000</v>
          </cell>
          <cell r="F21">
            <v>11580000</v>
          </cell>
          <cell r="G21">
            <v>0</v>
          </cell>
          <cell r="H21">
            <v>11472000</v>
          </cell>
          <cell r="I21">
            <v>25100000.000002183</v>
          </cell>
        </row>
        <row r="22">
          <cell r="C22">
            <v>11403000</v>
          </cell>
          <cell r="D22">
            <v>0</v>
          </cell>
          <cell r="E22">
            <v>12000000</v>
          </cell>
          <cell r="F22">
            <v>11980000</v>
          </cell>
          <cell r="G22">
            <v>0</v>
          </cell>
          <cell r="H22">
            <v>11093999.999999998</v>
          </cell>
          <cell r="I22">
            <v>24599999.999998543</v>
          </cell>
        </row>
        <row r="23">
          <cell r="C23">
            <v>11133000</v>
          </cell>
          <cell r="D23">
            <v>0</v>
          </cell>
          <cell r="E23">
            <v>12000000</v>
          </cell>
          <cell r="F23">
            <v>11870000.000000002</v>
          </cell>
          <cell r="G23">
            <v>0</v>
          </cell>
          <cell r="H23">
            <v>10782000</v>
          </cell>
          <cell r="I23">
            <v>23800000</v>
          </cell>
        </row>
        <row r="24">
          <cell r="C24">
            <v>11639000</v>
          </cell>
          <cell r="D24">
            <v>0</v>
          </cell>
          <cell r="E24">
            <v>13000000</v>
          </cell>
          <cell r="F24">
            <v>12420000</v>
          </cell>
          <cell r="G24">
            <v>0</v>
          </cell>
          <cell r="H24">
            <v>11192000</v>
          </cell>
          <cell r="I24">
            <v>26100000.000002183</v>
          </cell>
        </row>
        <row r="25">
          <cell r="C25">
            <v>12172000</v>
          </cell>
          <cell r="D25">
            <v>0</v>
          </cell>
          <cell r="E25">
            <v>14000000</v>
          </cell>
          <cell r="F25">
            <v>13480000</v>
          </cell>
          <cell r="G25">
            <v>0</v>
          </cell>
          <cell r="H25">
            <v>11800000</v>
          </cell>
          <cell r="I25">
            <v>28600000</v>
          </cell>
        </row>
        <row r="26">
          <cell r="C26">
            <v>13730000</v>
          </cell>
          <cell r="D26">
            <v>0</v>
          </cell>
          <cell r="E26">
            <v>12000000</v>
          </cell>
          <cell r="F26">
            <v>13160000</v>
          </cell>
          <cell r="G26">
            <v>0</v>
          </cell>
          <cell r="H26">
            <v>13436000</v>
          </cell>
          <cell r="I26">
            <v>26799999.999999996</v>
          </cell>
        </row>
        <row r="27">
          <cell r="C27">
            <v>13616000</v>
          </cell>
          <cell r="D27">
            <v>0</v>
          </cell>
          <cell r="E27">
            <v>14000000</v>
          </cell>
          <cell r="F27">
            <v>13370000.000000002</v>
          </cell>
          <cell r="G27">
            <v>0</v>
          </cell>
          <cell r="H27">
            <v>13104999.999999996</v>
          </cell>
          <cell r="I27">
            <v>28099999.999999993</v>
          </cell>
        </row>
        <row r="28">
          <cell r="C28">
            <v>14144000</v>
          </cell>
          <cell r="D28">
            <v>0</v>
          </cell>
          <cell r="E28">
            <v>13000000</v>
          </cell>
          <cell r="F28">
            <v>13040000</v>
          </cell>
          <cell r="G28">
            <v>0</v>
          </cell>
          <cell r="H28">
            <v>13696000.000000004</v>
          </cell>
          <cell r="I28">
            <v>27000000</v>
          </cell>
        </row>
        <row r="29">
          <cell r="C29">
            <v>15219000</v>
          </cell>
          <cell r="D29">
            <v>0</v>
          </cell>
          <cell r="E29">
            <v>11000000</v>
          </cell>
          <cell r="F29">
            <v>11360000</v>
          </cell>
          <cell r="G29">
            <v>0</v>
          </cell>
          <cell r="H29">
            <v>14784999.999999998</v>
          </cell>
          <cell r="I29">
            <v>24599999.999999993</v>
          </cell>
        </row>
        <row r="30">
          <cell r="C30">
            <v>15587000</v>
          </cell>
          <cell r="D30">
            <v>0</v>
          </cell>
          <cell r="E30">
            <v>13000000</v>
          </cell>
          <cell r="F30">
            <v>13070000</v>
          </cell>
          <cell r="G30">
            <v>0</v>
          </cell>
          <cell r="H30">
            <v>15230000</v>
          </cell>
          <cell r="I30">
            <v>27000000</v>
          </cell>
        </row>
        <row r="31">
          <cell r="C31">
            <v>13722000</v>
          </cell>
          <cell r="D31">
            <v>0</v>
          </cell>
          <cell r="E31">
            <v>13000000</v>
          </cell>
          <cell r="F31">
            <v>10620000.000000002</v>
          </cell>
          <cell r="G31">
            <v>0</v>
          </cell>
          <cell r="H31">
            <v>13258999.999999998</v>
          </cell>
          <cell r="I31">
            <v>25100000.000000022</v>
          </cell>
        </row>
        <row r="32">
          <cell r="C32">
            <v>15059000</v>
          </cell>
          <cell r="D32">
            <v>0</v>
          </cell>
          <cell r="E32">
            <v>12000000</v>
          </cell>
          <cell r="F32">
            <v>12510000</v>
          </cell>
          <cell r="G32">
            <v>0</v>
          </cell>
          <cell r="H32">
            <v>14624999.999999998</v>
          </cell>
          <cell r="I32">
            <v>22799999.999999981</v>
          </cell>
        </row>
        <row r="33">
          <cell r="C33">
            <v>14507000</v>
          </cell>
          <cell r="D33">
            <v>0</v>
          </cell>
          <cell r="E33">
            <v>16000000</v>
          </cell>
          <cell r="F33">
            <v>15580000</v>
          </cell>
          <cell r="G33">
            <v>0</v>
          </cell>
          <cell r="H33">
            <v>14072000.000000002</v>
          </cell>
          <cell r="I33">
            <v>27900000.000000007</v>
          </cell>
        </row>
        <row r="34">
          <cell r="C34">
            <v>14683000</v>
          </cell>
          <cell r="D34">
            <v>0</v>
          </cell>
          <cell r="E34">
            <v>15000000</v>
          </cell>
          <cell r="F34">
            <v>15370000</v>
          </cell>
          <cell r="G34">
            <v>0</v>
          </cell>
          <cell r="H34">
            <v>14311000</v>
          </cell>
          <cell r="I34">
            <v>27199999.999999989</v>
          </cell>
        </row>
        <row r="259">
          <cell r="D259">
            <v>336999.99999999977</v>
          </cell>
          <cell r="H259">
            <v>2085096</v>
          </cell>
        </row>
        <row r="260">
          <cell r="D260">
            <v>468000</v>
          </cell>
          <cell r="H260">
            <v>1903025</v>
          </cell>
        </row>
        <row r="261">
          <cell r="D261">
            <v>398999.99999999738</v>
          </cell>
          <cell r="H261">
            <v>1885943</v>
          </cell>
        </row>
        <row r="262">
          <cell r="D262">
            <v>268000.0000000007</v>
          </cell>
          <cell r="H262">
            <v>2410000</v>
          </cell>
        </row>
        <row r="263">
          <cell r="D263">
            <v>268000.0000000007</v>
          </cell>
          <cell r="H263">
            <v>2418052</v>
          </cell>
        </row>
        <row r="264">
          <cell r="D264">
            <v>466999.99999999878</v>
          </cell>
          <cell r="H264">
            <v>2222023</v>
          </cell>
        </row>
        <row r="265">
          <cell r="D265">
            <v>399000.00000000093</v>
          </cell>
          <cell r="H265">
            <v>2443834</v>
          </cell>
        </row>
        <row r="266">
          <cell r="D266">
            <v>468000</v>
          </cell>
          <cell r="H266">
            <v>2461716</v>
          </cell>
        </row>
        <row r="267">
          <cell r="D267">
            <v>336999.99999999977</v>
          </cell>
          <cell r="H267">
            <v>2521254</v>
          </cell>
        </row>
        <row r="268">
          <cell r="D268">
            <v>260999.99999999924</v>
          </cell>
          <cell r="H268">
            <v>2631814</v>
          </cell>
        </row>
        <row r="269">
          <cell r="D269">
            <v>475000.0000000014</v>
          </cell>
          <cell r="H269">
            <v>2666543</v>
          </cell>
        </row>
        <row r="270">
          <cell r="D270">
            <v>407000</v>
          </cell>
          <cell r="H270">
            <v>2465874</v>
          </cell>
        </row>
        <row r="271">
          <cell r="D271">
            <v>371999.99999999988</v>
          </cell>
          <cell r="H271">
            <v>2338186</v>
          </cell>
        </row>
        <row r="272">
          <cell r="D272">
            <v>434000.00000000105</v>
          </cell>
          <cell r="H272">
            <v>2215941</v>
          </cell>
        </row>
        <row r="273">
          <cell r="D273">
            <v>448999.99999999808</v>
          </cell>
          <cell r="H273">
            <v>2661088</v>
          </cell>
        </row>
        <row r="274">
          <cell r="D274">
            <v>434000.00000000105</v>
          </cell>
          <cell r="H274">
            <v>2374056</v>
          </cell>
        </row>
        <row r="275">
          <cell r="D275">
            <v>371999.99999999988</v>
          </cell>
          <cell r="H275">
            <v>2608403</v>
          </cell>
        </row>
        <row r="276">
          <cell r="D276">
            <v>510999.99999999924</v>
          </cell>
          <cell r="H276">
            <v>2230486</v>
          </cell>
        </row>
        <row r="277">
          <cell r="D277">
            <v>309000.00000000105</v>
          </cell>
          <cell r="H277">
            <v>2284458</v>
          </cell>
        </row>
        <row r="278">
          <cell r="D278">
            <v>350999.99999999907</v>
          </cell>
          <cell r="H278">
            <v>229541</v>
          </cell>
        </row>
        <row r="279">
          <cell r="D279">
            <v>446999.99999999919</v>
          </cell>
          <cell r="H279">
            <v>2388130</v>
          </cell>
        </row>
        <row r="280">
          <cell r="D280">
            <v>371999.99999999988</v>
          </cell>
          <cell r="H280">
            <v>2566218</v>
          </cell>
        </row>
        <row r="281">
          <cell r="D281">
            <v>294000.00000000047</v>
          </cell>
          <cell r="H281">
            <v>2388862</v>
          </cell>
        </row>
        <row r="282">
          <cell r="D282">
            <v>511000.00000000279</v>
          </cell>
          <cell r="H282">
            <v>2507756</v>
          </cell>
        </row>
        <row r="283">
          <cell r="D283">
            <v>447999.99999999686</v>
          </cell>
          <cell r="H283">
            <v>2453659</v>
          </cell>
        </row>
        <row r="284">
          <cell r="D284">
            <v>434000.00000000105</v>
          </cell>
          <cell r="H284">
            <v>2243914</v>
          </cell>
        </row>
        <row r="285">
          <cell r="D285">
            <v>356999.9999999993</v>
          </cell>
          <cell r="H285">
            <v>2387432</v>
          </cell>
        </row>
        <row r="286">
          <cell r="D286">
            <v>463000.00000000099</v>
          </cell>
          <cell r="H286">
            <v>2391815</v>
          </cell>
        </row>
        <row r="287">
          <cell r="D287">
            <v>434000.00000000105</v>
          </cell>
          <cell r="H287">
            <v>2148790</v>
          </cell>
        </row>
        <row r="288">
          <cell r="D288">
            <v>434999.99999999872</v>
          </cell>
          <cell r="H288">
            <v>2438481</v>
          </cell>
        </row>
        <row r="289">
          <cell r="D289">
            <v>371999.99999999988</v>
          </cell>
          <cell r="H289">
            <v>2400000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14239000</v>
          </cell>
          <cell r="D4">
            <v>0</v>
          </cell>
          <cell r="E4">
            <v>16000000</v>
          </cell>
          <cell r="F4">
            <v>15130000</v>
          </cell>
          <cell r="H4">
            <v>13713999.999999998</v>
          </cell>
          <cell r="I4">
            <v>26500000</v>
          </cell>
        </row>
        <row r="5">
          <cell r="C5">
            <v>14488000</v>
          </cell>
          <cell r="D5">
            <v>0</v>
          </cell>
          <cell r="E5">
            <v>14000000</v>
          </cell>
          <cell r="F5">
            <v>14000000</v>
          </cell>
          <cell r="H5">
            <v>14115000.000000002</v>
          </cell>
          <cell r="I5">
            <v>24800000.000000011</v>
          </cell>
        </row>
        <row r="6">
          <cell r="C6">
            <v>14623000</v>
          </cell>
          <cell r="D6">
            <v>0</v>
          </cell>
          <cell r="E6">
            <v>13000000</v>
          </cell>
          <cell r="F6">
            <v>13040000</v>
          </cell>
          <cell r="H6">
            <v>14195999.999999996</v>
          </cell>
          <cell r="I6">
            <v>23399999.999999978</v>
          </cell>
        </row>
        <row r="7">
          <cell r="C7">
            <v>12030000</v>
          </cell>
          <cell r="D7">
            <v>0</v>
          </cell>
          <cell r="E7">
            <v>14000000</v>
          </cell>
          <cell r="F7">
            <v>12960000</v>
          </cell>
          <cell r="H7">
            <v>11710000</v>
          </cell>
          <cell r="I7">
            <v>23100000.000000022</v>
          </cell>
        </row>
        <row r="8">
          <cell r="C8">
            <v>14045000</v>
          </cell>
          <cell r="D8">
            <v>0</v>
          </cell>
          <cell r="E8">
            <v>13000000</v>
          </cell>
          <cell r="F8">
            <v>13020000</v>
          </cell>
          <cell r="H8">
            <v>13849000.000000002</v>
          </cell>
          <cell r="I8">
            <v>22100000.000000022</v>
          </cell>
        </row>
        <row r="9">
          <cell r="C9">
            <v>14045000</v>
          </cell>
          <cell r="D9">
            <v>0</v>
          </cell>
          <cell r="E9">
            <v>13000000</v>
          </cell>
          <cell r="F9">
            <v>13650000</v>
          </cell>
          <cell r="H9">
            <v>13725999.999999998</v>
          </cell>
          <cell r="I9">
            <v>24099999.999999966</v>
          </cell>
        </row>
        <row r="10">
          <cell r="C10">
            <v>13612000</v>
          </cell>
          <cell r="D10">
            <v>0</v>
          </cell>
          <cell r="E10">
            <v>14000000</v>
          </cell>
          <cell r="F10">
            <v>13570000</v>
          </cell>
          <cell r="H10">
            <v>13355000.000000002</v>
          </cell>
          <cell r="I10">
            <v>24000000</v>
          </cell>
        </row>
        <row r="11">
          <cell r="C11">
            <v>13561000</v>
          </cell>
          <cell r="D11">
            <v>0</v>
          </cell>
          <cell r="E11">
            <v>13000000</v>
          </cell>
          <cell r="F11">
            <v>13240000</v>
          </cell>
          <cell r="H11">
            <v>13303000.000000004</v>
          </cell>
          <cell r="I11">
            <v>22800000.000000011</v>
          </cell>
        </row>
        <row r="12">
          <cell r="C12">
            <v>12371000</v>
          </cell>
          <cell r="D12">
            <v>0</v>
          </cell>
          <cell r="E12">
            <v>14000000</v>
          </cell>
          <cell r="F12">
            <v>14180000</v>
          </cell>
          <cell r="H12">
            <v>12112999.999999998</v>
          </cell>
          <cell r="I12">
            <v>24799999.999999955</v>
          </cell>
        </row>
        <row r="13">
          <cell r="C13">
            <v>13654000</v>
          </cell>
          <cell r="D13">
            <v>0</v>
          </cell>
          <cell r="E13">
            <v>15000000</v>
          </cell>
          <cell r="F13">
            <v>14200000.000000002</v>
          </cell>
          <cell r="H13">
            <v>13328999.999999996</v>
          </cell>
          <cell r="I13">
            <v>25700000.000000045</v>
          </cell>
        </row>
        <row r="14">
          <cell r="C14">
            <v>14642000</v>
          </cell>
          <cell r="D14">
            <v>0</v>
          </cell>
          <cell r="E14">
            <v>14000000</v>
          </cell>
          <cell r="F14">
            <v>13830000</v>
          </cell>
          <cell r="H14">
            <v>14254000.000000002</v>
          </cell>
          <cell r="I14">
            <v>23799999.999999955</v>
          </cell>
        </row>
        <row r="15">
          <cell r="C15">
            <v>13207000</v>
          </cell>
          <cell r="D15">
            <v>0</v>
          </cell>
          <cell r="E15">
            <v>12000000</v>
          </cell>
          <cell r="F15">
            <v>12620000.000000002</v>
          </cell>
          <cell r="H15">
            <v>13012000</v>
          </cell>
          <cell r="I15">
            <v>21600000.000000022</v>
          </cell>
        </row>
        <row r="16">
          <cell r="C16">
            <v>13465000</v>
          </cell>
          <cell r="D16">
            <v>0</v>
          </cell>
          <cell r="E16">
            <v>16000000</v>
          </cell>
          <cell r="F16">
            <v>15130000</v>
          </cell>
          <cell r="H16">
            <v>13270999.999999998</v>
          </cell>
          <cell r="I16">
            <v>26700000.000000045</v>
          </cell>
        </row>
        <row r="17">
          <cell r="C17">
            <v>13559000</v>
          </cell>
          <cell r="D17">
            <v>0</v>
          </cell>
          <cell r="E17">
            <v>14000000</v>
          </cell>
          <cell r="F17">
            <v>14510000</v>
          </cell>
          <cell r="H17">
            <v>13235000.000000002</v>
          </cell>
          <cell r="I17">
            <v>25500000</v>
          </cell>
        </row>
        <row r="18">
          <cell r="C18">
            <v>14079000</v>
          </cell>
          <cell r="D18">
            <v>0</v>
          </cell>
          <cell r="E18">
            <v>16000000</v>
          </cell>
          <cell r="F18">
            <v>15480000</v>
          </cell>
          <cell r="H18">
            <v>13754000.000000004</v>
          </cell>
          <cell r="I18">
            <v>27699999.999999933</v>
          </cell>
        </row>
        <row r="19">
          <cell r="C19">
            <v>14393000</v>
          </cell>
          <cell r="D19">
            <v>0</v>
          </cell>
          <cell r="E19">
            <v>20000000</v>
          </cell>
          <cell r="F19">
            <v>8100000</v>
          </cell>
          <cell r="H19">
            <v>14068999.999999994</v>
          </cell>
          <cell r="I19">
            <v>24100000.000000022</v>
          </cell>
        </row>
        <row r="20">
          <cell r="C20">
            <v>13501000</v>
          </cell>
          <cell r="D20">
            <v>0</v>
          </cell>
          <cell r="E20">
            <v>29000000</v>
          </cell>
          <cell r="F20">
            <v>0</v>
          </cell>
          <cell r="H20">
            <v>13308000.000000002</v>
          </cell>
          <cell r="I20">
            <v>20600000.000000022</v>
          </cell>
        </row>
        <row r="21">
          <cell r="C21">
            <v>13997000</v>
          </cell>
          <cell r="D21">
            <v>0</v>
          </cell>
          <cell r="E21">
            <v>26000000</v>
          </cell>
          <cell r="F21">
            <v>290000</v>
          </cell>
          <cell r="H21">
            <v>13738000</v>
          </cell>
          <cell r="I21">
            <v>20700000.000000045</v>
          </cell>
        </row>
        <row r="22">
          <cell r="C22">
            <v>13137000</v>
          </cell>
          <cell r="D22">
            <v>0</v>
          </cell>
          <cell r="E22">
            <v>20000000</v>
          </cell>
          <cell r="F22">
            <v>6060000.0000000009</v>
          </cell>
          <cell r="H22">
            <v>12814000</v>
          </cell>
          <cell r="I22">
            <v>22799999.999999955</v>
          </cell>
        </row>
        <row r="23">
          <cell r="C23">
            <v>13589000</v>
          </cell>
          <cell r="D23">
            <v>0</v>
          </cell>
          <cell r="E23">
            <v>11000000</v>
          </cell>
          <cell r="F23">
            <v>14730000</v>
          </cell>
          <cell r="H23">
            <v>13397000</v>
          </cell>
          <cell r="I23">
            <v>22000000</v>
          </cell>
        </row>
        <row r="24">
          <cell r="C24">
            <v>13519000</v>
          </cell>
          <cell r="D24">
            <v>0</v>
          </cell>
          <cell r="E24">
            <v>5000000</v>
          </cell>
          <cell r="F24">
            <v>19420000</v>
          </cell>
          <cell r="H24">
            <v>13133000.000000004</v>
          </cell>
          <cell r="I24">
            <v>21399999.999999978</v>
          </cell>
        </row>
        <row r="25">
          <cell r="C25">
            <v>14988000</v>
          </cell>
          <cell r="D25">
            <v>0</v>
          </cell>
          <cell r="E25">
            <v>5000000</v>
          </cell>
          <cell r="F25">
            <v>18790000</v>
          </cell>
          <cell r="H25">
            <v>14726999.999999996</v>
          </cell>
          <cell r="I25">
            <v>21100000.000000022</v>
          </cell>
        </row>
        <row r="26">
          <cell r="C26">
            <v>16444000</v>
          </cell>
          <cell r="D26">
            <v>0</v>
          </cell>
          <cell r="E26">
            <v>5000000</v>
          </cell>
          <cell r="F26">
            <v>21510000</v>
          </cell>
          <cell r="H26">
            <v>16249999.999999998</v>
          </cell>
          <cell r="I26">
            <v>22799999.999999955</v>
          </cell>
        </row>
        <row r="27">
          <cell r="C27">
            <v>13926000</v>
          </cell>
          <cell r="D27">
            <v>0</v>
          </cell>
          <cell r="E27">
            <v>5000000</v>
          </cell>
          <cell r="F27">
            <v>15490000</v>
          </cell>
          <cell r="H27">
            <v>13602000.000000002</v>
          </cell>
          <cell r="I27">
            <v>19000000</v>
          </cell>
        </row>
        <row r="28">
          <cell r="C28">
            <v>11880000</v>
          </cell>
          <cell r="D28">
            <v>0</v>
          </cell>
          <cell r="E28">
            <v>5000000</v>
          </cell>
          <cell r="F28">
            <v>14720000</v>
          </cell>
          <cell r="H28">
            <v>11554000</v>
          </cell>
          <cell r="I28">
            <v>16500000</v>
          </cell>
        </row>
        <row r="29">
          <cell r="C29">
            <v>13585000</v>
          </cell>
          <cell r="D29">
            <v>0</v>
          </cell>
          <cell r="E29">
            <v>6000000</v>
          </cell>
          <cell r="F29">
            <v>8920000</v>
          </cell>
          <cell r="H29">
            <v>13262000</v>
          </cell>
          <cell r="I29">
            <v>14000000</v>
          </cell>
        </row>
        <row r="30">
          <cell r="C30">
            <v>15629000</v>
          </cell>
          <cell r="D30">
            <v>0</v>
          </cell>
          <cell r="E30">
            <v>8000000</v>
          </cell>
          <cell r="F30">
            <v>14000000</v>
          </cell>
          <cell r="H30">
            <v>15434000</v>
          </cell>
          <cell r="I30">
            <v>19800000.000000067</v>
          </cell>
        </row>
        <row r="31">
          <cell r="C31">
            <v>14743000</v>
          </cell>
          <cell r="D31">
            <v>0</v>
          </cell>
          <cell r="E31">
            <v>8000000</v>
          </cell>
          <cell r="F31">
            <v>12030000.000000002</v>
          </cell>
          <cell r="H31">
            <v>14420000</v>
          </cell>
          <cell r="I31">
            <v>18600000.000000022</v>
          </cell>
        </row>
        <row r="32">
          <cell r="C32">
            <v>13803000</v>
          </cell>
          <cell r="D32">
            <v>0</v>
          </cell>
          <cell r="E32">
            <v>9000000</v>
          </cell>
          <cell r="F32">
            <v>16350000.000000002</v>
          </cell>
          <cell r="H32">
            <v>13463000.000000004</v>
          </cell>
          <cell r="I32">
            <v>22799999.999999955</v>
          </cell>
        </row>
        <row r="33">
          <cell r="C33">
            <v>12390000</v>
          </cell>
          <cell r="D33">
            <v>0</v>
          </cell>
          <cell r="E33">
            <v>6000000</v>
          </cell>
          <cell r="F33">
            <v>12220000</v>
          </cell>
          <cell r="H33">
            <v>12067000</v>
          </cell>
          <cell r="I33">
            <v>16399999.999999978</v>
          </cell>
        </row>
        <row r="34">
          <cell r="C34">
            <v>14055000</v>
          </cell>
          <cell r="D34">
            <v>0</v>
          </cell>
          <cell r="E34">
            <v>7000000</v>
          </cell>
          <cell r="F34">
            <v>14150000</v>
          </cell>
          <cell r="H34">
            <v>13860999.999999998</v>
          </cell>
          <cell r="I34">
            <v>18000000</v>
          </cell>
        </row>
        <row r="259">
          <cell r="D259">
            <v>525000.0000000021</v>
          </cell>
          <cell r="H259">
            <v>2509453</v>
          </cell>
        </row>
        <row r="260">
          <cell r="D260">
            <v>372999.99999999756</v>
          </cell>
          <cell r="H260">
            <v>2384613</v>
          </cell>
        </row>
        <row r="261">
          <cell r="D261">
            <v>427000.00000000314</v>
          </cell>
          <cell r="H261">
            <v>2176206</v>
          </cell>
        </row>
        <row r="262">
          <cell r="D262">
            <v>320000.00000000029</v>
          </cell>
          <cell r="H262">
            <v>2185000</v>
          </cell>
        </row>
        <row r="263">
          <cell r="D263">
            <v>195999.99999999796</v>
          </cell>
          <cell r="H263">
            <v>2186769</v>
          </cell>
        </row>
        <row r="264">
          <cell r="D264">
            <v>319000.00000000262</v>
          </cell>
          <cell r="H264">
            <v>2245342</v>
          </cell>
        </row>
        <row r="265">
          <cell r="D265">
            <v>256999.9999999979</v>
          </cell>
          <cell r="H265">
            <v>2178787</v>
          </cell>
        </row>
        <row r="266">
          <cell r="D266">
            <v>257999.99999999558</v>
          </cell>
          <cell r="H266">
            <v>2380360</v>
          </cell>
        </row>
        <row r="267">
          <cell r="D267">
            <v>258000.00000000268</v>
          </cell>
          <cell r="H267">
            <v>2313931</v>
          </cell>
        </row>
        <row r="268">
          <cell r="D268">
            <v>325000.00000000285</v>
          </cell>
          <cell r="H268">
            <v>2239652</v>
          </cell>
        </row>
        <row r="269">
          <cell r="D269">
            <v>387999.99999999814</v>
          </cell>
          <cell r="H269">
            <v>2271614</v>
          </cell>
        </row>
        <row r="270">
          <cell r="D270">
            <v>195000.00000000029</v>
          </cell>
          <cell r="H270">
            <v>2042579</v>
          </cell>
        </row>
        <row r="271">
          <cell r="D271">
            <v>194000.00000000262</v>
          </cell>
          <cell r="H271">
            <v>2479672</v>
          </cell>
        </row>
        <row r="272">
          <cell r="D272">
            <v>323999.99999999808</v>
          </cell>
          <cell r="H272">
            <v>2313519</v>
          </cell>
        </row>
        <row r="273">
          <cell r="D273">
            <v>324999.99999999575</v>
          </cell>
          <cell r="H273">
            <v>2559661</v>
          </cell>
        </row>
        <row r="274">
          <cell r="D274">
            <v>324000.00000000518</v>
          </cell>
          <cell r="H274">
            <v>2759796</v>
          </cell>
        </row>
        <row r="275">
          <cell r="D275">
            <v>192999.99999999785</v>
          </cell>
          <cell r="H275">
            <v>2013241</v>
          </cell>
        </row>
        <row r="276">
          <cell r="D276">
            <v>259000.00000000035</v>
          </cell>
          <cell r="H276">
            <v>1964416</v>
          </cell>
        </row>
        <row r="277">
          <cell r="D277">
            <v>323000.00000000041</v>
          </cell>
          <cell r="H277">
            <v>1764442</v>
          </cell>
        </row>
        <row r="278">
          <cell r="D278">
            <v>192000.00000000017</v>
          </cell>
          <cell r="H278">
            <v>2119500</v>
          </cell>
        </row>
        <row r="279">
          <cell r="D279">
            <v>385999.99999999569</v>
          </cell>
          <cell r="H279">
            <v>1995164</v>
          </cell>
        </row>
        <row r="280">
          <cell r="D280">
            <v>261000.00000000279</v>
          </cell>
          <cell r="H280">
            <v>2055946</v>
          </cell>
        </row>
        <row r="281">
          <cell r="D281">
            <v>194000.00000000262</v>
          </cell>
          <cell r="H281">
            <v>2183593</v>
          </cell>
        </row>
        <row r="282">
          <cell r="D282">
            <v>323999.99999999808</v>
          </cell>
          <cell r="H282">
            <v>1765087</v>
          </cell>
        </row>
        <row r="283">
          <cell r="D283">
            <v>326000.00000000052</v>
          </cell>
          <cell r="H283">
            <v>1785442</v>
          </cell>
        </row>
        <row r="284">
          <cell r="D284">
            <v>323000.00000000041</v>
          </cell>
          <cell r="H284">
            <v>1274824</v>
          </cell>
        </row>
        <row r="285">
          <cell r="D285">
            <v>195000.00000000029</v>
          </cell>
          <cell r="H285">
            <v>1665598</v>
          </cell>
        </row>
        <row r="286">
          <cell r="D286">
            <v>323000.00000000041</v>
          </cell>
          <cell r="H286">
            <v>1681310</v>
          </cell>
        </row>
        <row r="287">
          <cell r="D287">
            <v>339999.99999999633</v>
          </cell>
          <cell r="H287">
            <v>2017852</v>
          </cell>
        </row>
        <row r="288">
          <cell r="D288">
            <v>323000.00000000041</v>
          </cell>
          <cell r="H288">
            <v>1613380</v>
          </cell>
        </row>
        <row r="289">
          <cell r="D289">
            <v>194000.00000000262</v>
          </cell>
          <cell r="H289">
            <v>1772151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13190000</v>
          </cell>
          <cell r="D4">
            <v>0</v>
          </cell>
          <cell r="E4">
            <v>6000000</v>
          </cell>
          <cell r="F4">
            <v>14280000</v>
          </cell>
          <cell r="H4">
            <v>12866000.000000002</v>
          </cell>
          <cell r="I4">
            <v>18100000.000000022</v>
          </cell>
        </row>
        <row r="5">
          <cell r="C5">
            <v>12875000</v>
          </cell>
          <cell r="D5">
            <v>0</v>
          </cell>
          <cell r="E5">
            <v>7000000</v>
          </cell>
          <cell r="F5">
            <v>17490000</v>
          </cell>
          <cell r="H5">
            <v>12543000</v>
          </cell>
          <cell r="I5">
            <v>21599999.999999911</v>
          </cell>
        </row>
        <row r="6">
          <cell r="C6">
            <v>12536000</v>
          </cell>
          <cell r="D6">
            <v>0</v>
          </cell>
          <cell r="E6">
            <v>8000000</v>
          </cell>
          <cell r="F6">
            <v>17000000</v>
          </cell>
          <cell r="H6">
            <v>12343000.000000002</v>
          </cell>
          <cell r="I6">
            <v>21200000.000000045</v>
          </cell>
        </row>
        <row r="7">
          <cell r="C7">
            <v>14404000</v>
          </cell>
          <cell r="D7">
            <v>0</v>
          </cell>
          <cell r="E7">
            <v>8000000</v>
          </cell>
          <cell r="F7">
            <v>14040000</v>
          </cell>
          <cell r="H7">
            <v>14146999.999999994</v>
          </cell>
          <cell r="I7">
            <v>19500000</v>
          </cell>
        </row>
        <row r="8">
          <cell r="C8">
            <v>14511000</v>
          </cell>
          <cell r="D8">
            <v>0</v>
          </cell>
          <cell r="E8">
            <v>7000000</v>
          </cell>
          <cell r="F8">
            <v>16370000.000000002</v>
          </cell>
          <cell r="H8">
            <v>14253000.000000004</v>
          </cell>
          <cell r="I8">
            <v>20700000.000000045</v>
          </cell>
        </row>
        <row r="9">
          <cell r="C9">
            <v>14590000</v>
          </cell>
          <cell r="D9">
            <v>0</v>
          </cell>
          <cell r="E9">
            <v>7000000</v>
          </cell>
          <cell r="F9">
            <v>16440000.000000002</v>
          </cell>
          <cell r="H9">
            <v>14325999.999999996</v>
          </cell>
          <cell r="I9">
            <v>20700000.000000045</v>
          </cell>
        </row>
        <row r="10">
          <cell r="C10">
            <v>8956000</v>
          </cell>
          <cell r="D10">
            <v>0</v>
          </cell>
          <cell r="E10">
            <v>6000000</v>
          </cell>
          <cell r="F10">
            <v>18770000</v>
          </cell>
          <cell r="H10">
            <v>8654999.9999999981</v>
          </cell>
          <cell r="I10">
            <v>21099999.999999911</v>
          </cell>
        </row>
        <row r="11">
          <cell r="C11">
            <v>10341000</v>
          </cell>
          <cell r="D11">
            <v>0</v>
          </cell>
          <cell r="E11">
            <v>6000000</v>
          </cell>
          <cell r="F11">
            <v>22460000</v>
          </cell>
          <cell r="H11">
            <v>9761000.0000000019</v>
          </cell>
          <cell r="I11">
            <v>25100000.000000138</v>
          </cell>
        </row>
        <row r="12">
          <cell r="C12">
            <v>13525000</v>
          </cell>
          <cell r="D12">
            <v>0</v>
          </cell>
          <cell r="E12">
            <v>5000000</v>
          </cell>
          <cell r="F12">
            <v>18220000</v>
          </cell>
          <cell r="H12">
            <v>13232000</v>
          </cell>
          <cell r="I12">
            <v>20199999.999999817</v>
          </cell>
        </row>
        <row r="13">
          <cell r="C13">
            <v>13910000</v>
          </cell>
          <cell r="D13">
            <v>0</v>
          </cell>
          <cell r="E13">
            <v>5000000</v>
          </cell>
          <cell r="F13">
            <v>18130000</v>
          </cell>
          <cell r="H13">
            <v>13535999.999999998</v>
          </cell>
          <cell r="I13">
            <v>19900000.000000089</v>
          </cell>
        </row>
        <row r="14">
          <cell r="C14">
            <v>14090000</v>
          </cell>
          <cell r="D14">
            <v>0</v>
          </cell>
          <cell r="E14">
            <v>7000000</v>
          </cell>
          <cell r="F14">
            <v>17410000</v>
          </cell>
          <cell r="H14">
            <v>13830000.000000002</v>
          </cell>
          <cell r="I14">
            <v>20900000.000000089</v>
          </cell>
        </row>
        <row r="15">
          <cell r="C15">
            <v>14560000</v>
          </cell>
          <cell r="D15">
            <v>0</v>
          </cell>
          <cell r="E15">
            <v>11000000</v>
          </cell>
          <cell r="F15">
            <v>10380000</v>
          </cell>
          <cell r="H15">
            <v>14300000.000000002</v>
          </cell>
          <cell r="I15">
            <v>19899999.999999862</v>
          </cell>
        </row>
        <row r="16">
          <cell r="C16">
            <v>10643000</v>
          </cell>
          <cell r="D16">
            <v>0</v>
          </cell>
          <cell r="E16">
            <v>4000000</v>
          </cell>
          <cell r="F16">
            <v>13020000</v>
          </cell>
          <cell r="H16">
            <v>10393000</v>
          </cell>
          <cell r="I16">
            <v>14900000.000000091</v>
          </cell>
        </row>
        <row r="17">
          <cell r="C17">
            <v>13046000</v>
          </cell>
          <cell r="D17">
            <v>0</v>
          </cell>
          <cell r="E17">
            <v>4000000</v>
          </cell>
          <cell r="F17">
            <v>15480000</v>
          </cell>
          <cell r="H17">
            <v>12906999.999999996</v>
          </cell>
          <cell r="I17">
            <v>17599999.999999911</v>
          </cell>
        </row>
        <row r="18">
          <cell r="C18">
            <v>12095000</v>
          </cell>
          <cell r="D18">
            <v>0</v>
          </cell>
          <cell r="E18">
            <v>3000000</v>
          </cell>
          <cell r="F18">
            <v>11960000</v>
          </cell>
          <cell r="H18">
            <v>11502000.000000004</v>
          </cell>
          <cell r="I18">
            <v>13500000</v>
          </cell>
        </row>
        <row r="19">
          <cell r="C19">
            <v>12825000</v>
          </cell>
          <cell r="D19">
            <v>0</v>
          </cell>
          <cell r="E19">
            <v>5000000</v>
          </cell>
          <cell r="F19">
            <v>13570000</v>
          </cell>
          <cell r="H19">
            <v>12435000</v>
          </cell>
          <cell r="I19">
            <v>16900000.000000089</v>
          </cell>
        </row>
        <row r="20">
          <cell r="C20">
            <v>13212000</v>
          </cell>
          <cell r="D20">
            <v>0</v>
          </cell>
          <cell r="E20">
            <v>5000000</v>
          </cell>
          <cell r="F20">
            <v>17090000</v>
          </cell>
          <cell r="H20">
            <v>13081999.999999998</v>
          </cell>
          <cell r="I20">
            <v>20000000</v>
          </cell>
        </row>
        <row r="21">
          <cell r="C21">
            <v>12782000</v>
          </cell>
          <cell r="D21">
            <v>0</v>
          </cell>
          <cell r="E21">
            <v>5000000</v>
          </cell>
          <cell r="F21">
            <v>15300000</v>
          </cell>
          <cell r="H21">
            <v>12523000</v>
          </cell>
          <cell r="I21">
            <v>18299999.999999955</v>
          </cell>
        </row>
        <row r="22">
          <cell r="C22">
            <v>13739000</v>
          </cell>
          <cell r="D22">
            <v>0</v>
          </cell>
          <cell r="E22">
            <v>4000000</v>
          </cell>
          <cell r="F22">
            <v>15320000</v>
          </cell>
          <cell r="H22">
            <v>13479000.000000002</v>
          </cell>
          <cell r="I22">
            <v>18000000</v>
          </cell>
        </row>
        <row r="23">
          <cell r="C23">
            <v>13125000</v>
          </cell>
          <cell r="D23">
            <v>0</v>
          </cell>
          <cell r="E23">
            <v>4000000</v>
          </cell>
          <cell r="F23">
            <v>15370000</v>
          </cell>
          <cell r="H23">
            <v>12732999.999999996</v>
          </cell>
          <cell r="I23">
            <v>18000000</v>
          </cell>
        </row>
        <row r="24">
          <cell r="C24">
            <v>11693000</v>
          </cell>
          <cell r="D24">
            <v>0</v>
          </cell>
          <cell r="E24">
            <v>4000000</v>
          </cell>
          <cell r="F24">
            <v>14330000</v>
          </cell>
          <cell r="H24">
            <v>11428000</v>
          </cell>
          <cell r="I24">
            <v>17599999.999999911</v>
          </cell>
        </row>
        <row r="25">
          <cell r="C25">
            <v>12735000</v>
          </cell>
          <cell r="D25">
            <v>0</v>
          </cell>
          <cell r="E25">
            <v>4000000</v>
          </cell>
          <cell r="F25">
            <v>16440000.000000002</v>
          </cell>
          <cell r="H25">
            <v>12539000.000000002</v>
          </cell>
          <cell r="I25">
            <v>18300000.000000183</v>
          </cell>
        </row>
        <row r="26">
          <cell r="C26">
            <v>12571000</v>
          </cell>
          <cell r="D26">
            <v>0</v>
          </cell>
          <cell r="E26">
            <v>4000000</v>
          </cell>
          <cell r="F26">
            <v>15100000</v>
          </cell>
          <cell r="H26">
            <v>12143000.000000004</v>
          </cell>
          <cell r="I26">
            <v>17799999.999999955</v>
          </cell>
        </row>
        <row r="27">
          <cell r="C27">
            <v>12967000</v>
          </cell>
          <cell r="D27">
            <v>0</v>
          </cell>
          <cell r="E27">
            <v>4000000</v>
          </cell>
          <cell r="F27">
            <v>15660000</v>
          </cell>
          <cell r="H27">
            <v>12638999.999999996</v>
          </cell>
          <cell r="I27">
            <v>17500000</v>
          </cell>
        </row>
        <row r="28">
          <cell r="C28">
            <v>14202000</v>
          </cell>
          <cell r="D28">
            <v>0</v>
          </cell>
          <cell r="E28">
            <v>4000000</v>
          </cell>
          <cell r="F28">
            <v>16129999.999999998</v>
          </cell>
          <cell r="H28">
            <v>14006000.000000002</v>
          </cell>
          <cell r="I28">
            <v>18200000.000000045</v>
          </cell>
        </row>
        <row r="29">
          <cell r="C29">
            <v>13679000</v>
          </cell>
          <cell r="D29">
            <v>0</v>
          </cell>
          <cell r="E29">
            <v>3000000</v>
          </cell>
          <cell r="F29">
            <v>13880000</v>
          </cell>
          <cell r="H29">
            <v>13487000</v>
          </cell>
          <cell r="I29">
            <v>15599999.999999909</v>
          </cell>
        </row>
        <row r="30">
          <cell r="C30">
            <v>12787000</v>
          </cell>
          <cell r="D30">
            <v>0</v>
          </cell>
          <cell r="E30">
            <v>3000000</v>
          </cell>
          <cell r="F30">
            <v>15230000</v>
          </cell>
          <cell r="H30">
            <v>12400000</v>
          </cell>
          <cell r="I30">
            <v>16799999.999999955</v>
          </cell>
        </row>
        <row r="31">
          <cell r="C31">
            <v>12227000</v>
          </cell>
          <cell r="D31">
            <v>0</v>
          </cell>
          <cell r="E31">
            <v>3000000</v>
          </cell>
          <cell r="F31">
            <v>16360000</v>
          </cell>
          <cell r="H31">
            <v>11900000.000000002</v>
          </cell>
          <cell r="I31">
            <v>17500000</v>
          </cell>
        </row>
        <row r="32">
          <cell r="C32">
            <v>12481000</v>
          </cell>
          <cell r="D32">
            <v>0</v>
          </cell>
          <cell r="E32">
            <v>3000000</v>
          </cell>
          <cell r="F32">
            <v>12400000</v>
          </cell>
          <cell r="H32">
            <v>12128999.999999996</v>
          </cell>
          <cell r="I32">
            <v>14100000.000000136</v>
          </cell>
        </row>
        <row r="33">
          <cell r="C33">
            <v>12843000</v>
          </cell>
          <cell r="D33">
            <v>0</v>
          </cell>
          <cell r="E33">
            <v>3000000</v>
          </cell>
          <cell r="F33">
            <v>15180000</v>
          </cell>
          <cell r="H33">
            <v>12648000</v>
          </cell>
          <cell r="I33">
            <v>16599999.999999909</v>
          </cell>
        </row>
        <row r="252">
          <cell r="D252">
            <v>323999.99999999808</v>
          </cell>
          <cell r="H252">
            <v>1675771</v>
          </cell>
        </row>
        <row r="253">
          <cell r="D253">
            <v>332000.00000000076</v>
          </cell>
          <cell r="H253">
            <v>2105060</v>
          </cell>
        </row>
        <row r="254">
          <cell r="D254">
            <v>192999.99999999785</v>
          </cell>
          <cell r="H254">
            <v>2118239</v>
          </cell>
        </row>
        <row r="255">
          <cell r="D255">
            <v>257000.00000000501</v>
          </cell>
          <cell r="H255">
            <v>1752639</v>
          </cell>
        </row>
        <row r="256">
          <cell r="D256">
            <v>257999.99999999558</v>
          </cell>
          <cell r="H256">
            <v>1867026</v>
          </cell>
        </row>
        <row r="257">
          <cell r="D257">
            <v>264000.00000000291</v>
          </cell>
          <cell r="H257">
            <v>2015104</v>
          </cell>
        </row>
        <row r="258">
          <cell r="D258">
            <v>301000.00000000192</v>
          </cell>
          <cell r="H258">
            <v>1985000</v>
          </cell>
        </row>
        <row r="259">
          <cell r="D259">
            <v>579999.99999999825</v>
          </cell>
          <cell r="H259">
            <v>2271378</v>
          </cell>
        </row>
        <row r="260">
          <cell r="D260">
            <v>292999.99999999924</v>
          </cell>
          <cell r="H260">
            <v>1973441</v>
          </cell>
        </row>
        <row r="261">
          <cell r="D261">
            <v>374000.00000000233</v>
          </cell>
          <cell r="H261">
            <v>1852020</v>
          </cell>
        </row>
        <row r="262">
          <cell r="D262">
            <v>259999.99999999802</v>
          </cell>
          <cell r="H262">
            <v>1954162</v>
          </cell>
        </row>
        <row r="263">
          <cell r="D263">
            <v>259999.99999999802</v>
          </cell>
          <cell r="H263">
            <v>1850855</v>
          </cell>
        </row>
        <row r="264">
          <cell r="D264">
            <v>250000</v>
          </cell>
          <cell r="H264">
            <v>1582023</v>
          </cell>
        </row>
        <row r="265">
          <cell r="D265">
            <v>139000.00000000291</v>
          </cell>
          <cell r="H265">
            <v>1809497</v>
          </cell>
        </row>
        <row r="266">
          <cell r="D266">
            <v>592999.99999999639</v>
          </cell>
          <cell r="H266">
            <v>1319967</v>
          </cell>
        </row>
        <row r="267">
          <cell r="D267">
            <v>390000.00000000058</v>
          </cell>
          <cell r="H267">
            <v>1574550</v>
          </cell>
        </row>
        <row r="268">
          <cell r="D268">
            <v>130000.00000000256</v>
          </cell>
          <cell r="H268">
            <v>1787736</v>
          </cell>
        </row>
        <row r="269">
          <cell r="D269">
            <v>259000.00000000035</v>
          </cell>
          <cell r="H269">
            <v>1740392</v>
          </cell>
        </row>
        <row r="270">
          <cell r="D270">
            <v>259999.99999999802</v>
          </cell>
          <cell r="H270">
            <v>1719337</v>
          </cell>
        </row>
        <row r="271">
          <cell r="D271">
            <v>392000.00000000303</v>
          </cell>
          <cell r="H271">
            <v>1446428</v>
          </cell>
        </row>
        <row r="272">
          <cell r="D272">
            <v>265000.00000000058</v>
          </cell>
          <cell r="H272">
            <v>1580969</v>
          </cell>
        </row>
        <row r="273">
          <cell r="D273">
            <v>195999.99999999796</v>
          </cell>
          <cell r="H273">
            <v>1735409</v>
          </cell>
        </row>
        <row r="274">
          <cell r="D274">
            <v>427999.99999999726</v>
          </cell>
          <cell r="H274">
            <v>1615661</v>
          </cell>
        </row>
        <row r="275">
          <cell r="D275">
            <v>328000.00000000297</v>
          </cell>
          <cell r="H275">
            <v>1697560</v>
          </cell>
        </row>
        <row r="276">
          <cell r="D276">
            <v>195999.99999999796</v>
          </cell>
          <cell r="H276">
            <v>1773057</v>
          </cell>
        </row>
        <row r="277">
          <cell r="D277">
            <v>192000.00000000017</v>
          </cell>
          <cell r="H277">
            <v>1397160</v>
          </cell>
        </row>
        <row r="278">
          <cell r="D278">
            <v>387000.00000000047</v>
          </cell>
          <cell r="H278">
            <v>1641737</v>
          </cell>
        </row>
        <row r="279">
          <cell r="D279">
            <v>326999.9999999982</v>
          </cell>
          <cell r="H279">
            <v>1678098</v>
          </cell>
        </row>
        <row r="280">
          <cell r="D280">
            <v>352000.00000000384</v>
          </cell>
          <cell r="H280">
            <v>1312496</v>
          </cell>
        </row>
        <row r="281">
          <cell r="D281">
            <v>195000.00000000029</v>
          </cell>
          <cell r="H281">
            <v>1529111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  <sheetName val="October 2016 Shift 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11936000</v>
          </cell>
          <cell r="D4">
            <v>0</v>
          </cell>
          <cell r="E4">
            <v>5000000</v>
          </cell>
          <cell r="F4">
            <v>15340000</v>
          </cell>
          <cell r="H4">
            <v>11677000</v>
          </cell>
          <cell r="I4">
            <v>17099999.999999911</v>
          </cell>
        </row>
        <row r="5">
          <cell r="C5">
            <v>12210000</v>
          </cell>
          <cell r="D5">
            <v>0</v>
          </cell>
          <cell r="E5">
            <v>4000000</v>
          </cell>
          <cell r="F5">
            <v>12280000</v>
          </cell>
          <cell r="H5">
            <v>11886000.000000002</v>
          </cell>
          <cell r="I5">
            <v>15700000.000000045</v>
          </cell>
        </row>
        <row r="6">
          <cell r="C6">
            <v>11119000</v>
          </cell>
          <cell r="D6">
            <v>0</v>
          </cell>
          <cell r="E6">
            <v>4000000</v>
          </cell>
          <cell r="F6">
            <v>15130000</v>
          </cell>
          <cell r="H6">
            <v>10991000</v>
          </cell>
          <cell r="I6">
            <v>17400000.000000089</v>
          </cell>
        </row>
        <row r="7">
          <cell r="C7">
            <v>11018000</v>
          </cell>
          <cell r="D7">
            <v>0</v>
          </cell>
          <cell r="E7">
            <v>3000000</v>
          </cell>
          <cell r="F7">
            <v>12780000.000000002</v>
          </cell>
          <cell r="H7">
            <v>10758000.000000002</v>
          </cell>
          <cell r="I7">
            <v>13700000.000000045</v>
          </cell>
        </row>
        <row r="8">
          <cell r="C8">
            <v>11065000</v>
          </cell>
          <cell r="D8">
            <v>0</v>
          </cell>
          <cell r="E8">
            <v>3000000</v>
          </cell>
          <cell r="F8">
            <v>10650000</v>
          </cell>
          <cell r="H8">
            <v>10869000.000000002</v>
          </cell>
          <cell r="I8">
            <v>12099999.999999909</v>
          </cell>
        </row>
        <row r="9">
          <cell r="C9">
            <v>11007000</v>
          </cell>
          <cell r="D9">
            <v>0</v>
          </cell>
          <cell r="E9">
            <v>3000000</v>
          </cell>
          <cell r="F9">
            <v>11410000</v>
          </cell>
          <cell r="H9">
            <v>10745999.999999996</v>
          </cell>
          <cell r="I9">
            <v>13299999.999999955</v>
          </cell>
        </row>
        <row r="10">
          <cell r="C10">
            <v>7844000</v>
          </cell>
          <cell r="D10">
            <v>0</v>
          </cell>
          <cell r="E10">
            <v>1000000</v>
          </cell>
          <cell r="F10">
            <v>9300000</v>
          </cell>
          <cell r="H10">
            <v>7508999.9999999991</v>
          </cell>
          <cell r="I10">
            <v>9200000.0000000447</v>
          </cell>
        </row>
        <row r="11">
          <cell r="C11">
            <v>10082000</v>
          </cell>
          <cell r="D11">
            <v>0</v>
          </cell>
          <cell r="E11">
            <v>0</v>
          </cell>
          <cell r="F11">
            <v>12220000</v>
          </cell>
          <cell r="H11">
            <v>9896000</v>
          </cell>
          <cell r="I11">
            <v>11700000.000000045</v>
          </cell>
        </row>
        <row r="12">
          <cell r="C12">
            <v>10072000</v>
          </cell>
          <cell r="D12">
            <v>0</v>
          </cell>
          <cell r="E12">
            <v>0</v>
          </cell>
          <cell r="F12">
            <v>11120000.000000002</v>
          </cell>
          <cell r="H12">
            <v>9938999.9999999981</v>
          </cell>
          <cell r="I12">
            <v>10899999.999999864</v>
          </cell>
        </row>
        <row r="13">
          <cell r="C13">
            <v>9538000</v>
          </cell>
          <cell r="D13">
            <v>0</v>
          </cell>
          <cell r="E13">
            <v>0</v>
          </cell>
          <cell r="F13">
            <v>17270000</v>
          </cell>
          <cell r="H13">
            <v>9149000.0000000037</v>
          </cell>
          <cell r="I13">
            <v>15300000.000000183</v>
          </cell>
        </row>
        <row r="14">
          <cell r="C14">
            <v>8370000</v>
          </cell>
          <cell r="D14">
            <v>0</v>
          </cell>
          <cell r="E14">
            <v>0</v>
          </cell>
          <cell r="F14">
            <v>11560000</v>
          </cell>
          <cell r="H14">
            <v>8108000</v>
          </cell>
          <cell r="I14">
            <v>10299999.999999955</v>
          </cell>
        </row>
        <row r="15">
          <cell r="C15">
            <v>7918000</v>
          </cell>
          <cell r="D15">
            <v>0</v>
          </cell>
          <cell r="E15">
            <v>0</v>
          </cell>
          <cell r="F15">
            <v>11470000</v>
          </cell>
          <cell r="H15">
            <v>7853000.0000000019</v>
          </cell>
          <cell r="I15">
            <v>10200000.000000045</v>
          </cell>
        </row>
        <row r="16">
          <cell r="C16">
            <v>7968000</v>
          </cell>
          <cell r="D16">
            <v>0</v>
          </cell>
          <cell r="E16">
            <v>0</v>
          </cell>
          <cell r="F16">
            <v>8630000</v>
          </cell>
          <cell r="H16">
            <v>7655999.9999999953</v>
          </cell>
          <cell r="I16">
            <v>7500000</v>
          </cell>
        </row>
        <row r="17">
          <cell r="C17">
            <v>9097000</v>
          </cell>
          <cell r="D17">
            <v>0</v>
          </cell>
          <cell r="E17">
            <v>0</v>
          </cell>
          <cell r="F17">
            <v>12860000</v>
          </cell>
          <cell r="H17">
            <v>8965000.0000000019</v>
          </cell>
          <cell r="I17">
            <v>11399999.999999864</v>
          </cell>
        </row>
        <row r="18">
          <cell r="C18">
            <v>9097000</v>
          </cell>
          <cell r="D18">
            <v>0</v>
          </cell>
          <cell r="E18">
            <v>0</v>
          </cell>
          <cell r="F18">
            <v>16320000</v>
          </cell>
          <cell r="H18">
            <v>8898000.0000000019</v>
          </cell>
          <cell r="I18">
            <v>14299999.999999955</v>
          </cell>
        </row>
        <row r="19">
          <cell r="C19">
            <v>7927000</v>
          </cell>
          <cell r="D19">
            <v>0</v>
          </cell>
          <cell r="E19">
            <v>0</v>
          </cell>
          <cell r="F19">
            <v>12960000</v>
          </cell>
          <cell r="H19">
            <v>7665999.9999999972</v>
          </cell>
          <cell r="I19">
            <v>11700000.000000045</v>
          </cell>
        </row>
        <row r="20">
          <cell r="C20">
            <v>6731000</v>
          </cell>
          <cell r="D20">
            <v>0</v>
          </cell>
          <cell r="E20">
            <v>0</v>
          </cell>
          <cell r="F20">
            <v>11230000</v>
          </cell>
          <cell r="H20">
            <v>6533999.9999999972</v>
          </cell>
          <cell r="I20">
            <v>10000000</v>
          </cell>
        </row>
        <row r="21">
          <cell r="C21">
            <v>6527000</v>
          </cell>
          <cell r="D21">
            <v>0</v>
          </cell>
          <cell r="E21">
            <v>0</v>
          </cell>
          <cell r="F21">
            <v>9460000</v>
          </cell>
          <cell r="H21">
            <v>6326000.0000000065</v>
          </cell>
          <cell r="I21">
            <v>9000000</v>
          </cell>
        </row>
        <row r="22">
          <cell r="C22">
            <v>7452000</v>
          </cell>
          <cell r="D22">
            <v>0</v>
          </cell>
          <cell r="E22">
            <v>0</v>
          </cell>
          <cell r="F22">
            <v>14130000</v>
          </cell>
          <cell r="H22">
            <v>7385000</v>
          </cell>
          <cell r="I22">
            <v>12200000.000000045</v>
          </cell>
        </row>
        <row r="23">
          <cell r="C23">
            <v>6966000</v>
          </cell>
          <cell r="D23">
            <v>0</v>
          </cell>
          <cell r="E23">
            <v>0</v>
          </cell>
          <cell r="F23">
            <v>12690000</v>
          </cell>
          <cell r="H23">
            <v>6768000</v>
          </cell>
          <cell r="I23">
            <v>11400000.000000091</v>
          </cell>
        </row>
        <row r="24">
          <cell r="C24">
            <v>6922000</v>
          </cell>
          <cell r="D24">
            <v>0</v>
          </cell>
          <cell r="E24">
            <v>0</v>
          </cell>
          <cell r="F24">
            <v>10100000</v>
          </cell>
          <cell r="H24">
            <v>6725999.9999999944</v>
          </cell>
          <cell r="I24">
            <v>9500000</v>
          </cell>
        </row>
        <row r="25">
          <cell r="C25">
            <v>7061000</v>
          </cell>
          <cell r="D25">
            <v>0</v>
          </cell>
          <cell r="E25">
            <v>0</v>
          </cell>
          <cell r="F25">
            <v>10350000</v>
          </cell>
          <cell r="H25">
            <v>6931000.0000000047</v>
          </cell>
          <cell r="I25">
            <v>9199999.9999998175</v>
          </cell>
        </row>
        <row r="26">
          <cell r="C26">
            <v>6954000</v>
          </cell>
          <cell r="D26">
            <v>0</v>
          </cell>
          <cell r="E26">
            <v>0</v>
          </cell>
          <cell r="F26">
            <v>12550000</v>
          </cell>
          <cell r="H26">
            <v>6820999.9999999972</v>
          </cell>
          <cell r="I26">
            <v>11100000.000000136</v>
          </cell>
        </row>
        <row r="27">
          <cell r="C27">
            <v>1893000</v>
          </cell>
          <cell r="D27">
            <v>0</v>
          </cell>
          <cell r="E27">
            <v>0</v>
          </cell>
          <cell r="F27">
            <v>15970000</v>
          </cell>
          <cell r="H27">
            <v>1828000.0000000023</v>
          </cell>
          <cell r="I27">
            <v>15000000</v>
          </cell>
        </row>
        <row r="28">
          <cell r="C28">
            <v>18000</v>
          </cell>
          <cell r="D28">
            <v>0</v>
          </cell>
          <cell r="E28">
            <v>0</v>
          </cell>
          <cell r="F28">
            <v>17450000</v>
          </cell>
          <cell r="H28">
            <v>18000</v>
          </cell>
          <cell r="I28">
            <v>15500000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16900000</v>
          </cell>
          <cell r="H29">
            <v>0</v>
          </cell>
          <cell r="I29">
            <v>14899999.999999864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16980000</v>
          </cell>
          <cell r="H30">
            <v>0</v>
          </cell>
          <cell r="I30">
            <v>15400000.000000091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17040000</v>
          </cell>
          <cell r="H31">
            <v>0</v>
          </cell>
          <cell r="I31">
            <v>15400000.000000091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17110000</v>
          </cell>
          <cell r="H32">
            <v>0</v>
          </cell>
          <cell r="I32">
            <v>15500000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17680000</v>
          </cell>
          <cell r="H33">
            <v>0</v>
          </cell>
          <cell r="I33">
            <v>15899999.999999864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17450000</v>
          </cell>
          <cell r="H34">
            <v>0</v>
          </cell>
          <cell r="I34">
            <v>15000000</v>
          </cell>
        </row>
        <row r="259">
          <cell r="D259">
            <v>259000.00000000035</v>
          </cell>
          <cell r="H259">
            <v>1837132</v>
          </cell>
        </row>
        <row r="260">
          <cell r="D260">
            <v>323999.99999999808</v>
          </cell>
          <cell r="H260">
            <v>1739241</v>
          </cell>
        </row>
        <row r="261">
          <cell r="D261">
            <v>128000.00000000012</v>
          </cell>
          <cell r="H261">
            <v>1643184</v>
          </cell>
        </row>
        <row r="262">
          <cell r="D262">
            <v>259999.99999999802</v>
          </cell>
          <cell r="H262">
            <v>1449924</v>
          </cell>
        </row>
        <row r="263">
          <cell r="D263">
            <v>195999.99999999796</v>
          </cell>
          <cell r="H263">
            <v>1219463</v>
          </cell>
        </row>
        <row r="264">
          <cell r="D264">
            <v>261000.00000000279</v>
          </cell>
          <cell r="H264">
            <v>1334428</v>
          </cell>
        </row>
        <row r="265">
          <cell r="D265">
            <v>335000.00000000087</v>
          </cell>
          <cell r="H265">
            <v>966745</v>
          </cell>
        </row>
        <row r="266">
          <cell r="D266">
            <v>185999.99999999994</v>
          </cell>
          <cell r="H266">
            <v>1173545</v>
          </cell>
        </row>
        <row r="267">
          <cell r="D267">
            <v>133000.00000000268</v>
          </cell>
          <cell r="H267">
            <v>1061757</v>
          </cell>
        </row>
        <row r="268">
          <cell r="D268">
            <v>388999.99999999581</v>
          </cell>
          <cell r="H268">
            <v>1120945</v>
          </cell>
        </row>
        <row r="269">
          <cell r="D269">
            <v>262000.00000000047</v>
          </cell>
          <cell r="H269">
            <v>1098014</v>
          </cell>
        </row>
        <row r="270">
          <cell r="D270">
            <v>64999.99999999773</v>
          </cell>
          <cell r="H270">
            <v>998596</v>
          </cell>
        </row>
        <row r="271">
          <cell r="D271">
            <v>312000.00000000471</v>
          </cell>
          <cell r="H271">
            <v>831769</v>
          </cell>
        </row>
        <row r="272">
          <cell r="D272">
            <v>131999.9999999979</v>
          </cell>
          <cell r="H272">
            <v>1095131</v>
          </cell>
        </row>
        <row r="273">
          <cell r="D273">
            <v>198999.99999999808</v>
          </cell>
          <cell r="H273">
            <v>1450654</v>
          </cell>
        </row>
        <row r="274">
          <cell r="D274">
            <v>261000.00000000279</v>
          </cell>
          <cell r="H274">
            <v>1127927</v>
          </cell>
        </row>
        <row r="275">
          <cell r="D275">
            <v>197000.00000000274</v>
          </cell>
          <cell r="H275">
            <v>1061656</v>
          </cell>
        </row>
        <row r="276">
          <cell r="D276">
            <v>200999.99999999339</v>
          </cell>
          <cell r="H276">
            <v>948315</v>
          </cell>
        </row>
        <row r="277">
          <cell r="D277">
            <v>67000.000000000175</v>
          </cell>
          <cell r="H277">
            <v>1241900</v>
          </cell>
        </row>
        <row r="278">
          <cell r="D278">
            <v>198000.00000000041</v>
          </cell>
          <cell r="H278">
            <v>1090932</v>
          </cell>
        </row>
        <row r="279">
          <cell r="D279">
            <v>196000.00000000506</v>
          </cell>
          <cell r="H279">
            <v>829686</v>
          </cell>
        </row>
        <row r="280">
          <cell r="D280">
            <v>129999.99999999546</v>
          </cell>
          <cell r="H280">
            <v>880805</v>
          </cell>
        </row>
        <row r="281">
          <cell r="D281">
            <v>133000.00000000268</v>
          </cell>
          <cell r="H281">
            <v>1137555</v>
          </cell>
        </row>
        <row r="282">
          <cell r="D282">
            <v>64999.99999999773</v>
          </cell>
          <cell r="H282">
            <v>1260800</v>
          </cell>
        </row>
        <row r="283">
          <cell r="D283">
            <v>0</v>
          </cell>
          <cell r="H283">
            <v>1544688</v>
          </cell>
        </row>
        <row r="284">
          <cell r="D284">
            <v>87000.000000003303</v>
          </cell>
          <cell r="H284">
            <v>1512218</v>
          </cell>
        </row>
        <row r="285">
          <cell r="D285">
            <v>0</v>
          </cell>
          <cell r="H285">
            <v>1533712</v>
          </cell>
        </row>
        <row r="286">
          <cell r="D286">
            <v>0</v>
          </cell>
          <cell r="H286">
            <v>1565494</v>
          </cell>
        </row>
        <row r="287">
          <cell r="D287">
            <v>0</v>
          </cell>
          <cell r="H287">
            <v>1522156</v>
          </cell>
        </row>
        <row r="288">
          <cell r="D288">
            <v>327999.99999999587</v>
          </cell>
          <cell r="H288">
            <v>1554633</v>
          </cell>
        </row>
        <row r="289">
          <cell r="D289">
            <v>0</v>
          </cell>
          <cell r="H289">
            <v>1575149</v>
          </cell>
        </row>
      </sheetData>
      <sheetData sheetId="3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ember"/>
      <sheetName val="December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Summary"/>
    </sheetNames>
    <sheetDataSet>
      <sheetData sheetId="0">
        <row r="35">
          <cell r="D35">
            <v>725.44099999999992</v>
          </cell>
          <cell r="G35">
            <v>239.45999999999992</v>
          </cell>
          <cell r="J35">
            <v>720.86669999999992</v>
          </cell>
          <cell r="M35">
            <v>205.56684694999996</v>
          </cell>
          <cell r="Q35">
            <v>478.26301999999998</v>
          </cell>
          <cell r="T35">
            <v>489.60359999999991</v>
          </cell>
          <cell r="W35">
            <v>0</v>
          </cell>
          <cell r="Z35">
            <v>13.873330000000017</v>
          </cell>
        </row>
      </sheetData>
      <sheetData sheetId="1">
        <row r="36">
          <cell r="D36">
            <v>0</v>
          </cell>
          <cell r="G36">
            <v>9.2099999999999991</v>
          </cell>
          <cell r="J36">
            <v>0</v>
          </cell>
          <cell r="M36">
            <v>12.976874649999999</v>
          </cell>
          <cell r="Q36">
            <v>1155.71378</v>
          </cell>
          <cell r="T36">
            <v>1193.6344199999999</v>
          </cell>
          <cell r="W36">
            <v>0</v>
          </cell>
          <cell r="Z36">
            <v>38.058789999999995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L17" activePane="bottomRight" state="frozen"/>
      <selection pane="topRight" activeCell="B1" sqref="B1"/>
      <selection pane="bottomLeft" activeCell="A5" sqref="A5"/>
      <selection pane="bottomRight" activeCell="T34" sqref="T5:T34"/>
    </sheetView>
  </sheetViews>
  <sheetFormatPr defaultRowHeight="13.2" x14ac:dyDescent="0.25"/>
  <cols>
    <col min="2" max="2" width="12" customWidth="1"/>
    <col min="5" max="5" width="11.33203125" customWidth="1"/>
    <col min="8" max="8" width="15.44140625" bestFit="1" customWidth="1"/>
    <col min="11" max="11" width="13.88671875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2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8" thickBot="1" x14ac:dyDescent="0.3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1">
        <v>38292</v>
      </c>
      <c r="B5" s="7">
        <f>'[1]Nov Prod'!I4</f>
        <v>14299999.999999272</v>
      </c>
      <c r="C5" s="8">
        <f t="shared" ref="C5:C34" si="0">B5/1000000</f>
        <v>14.299999999999272</v>
      </c>
      <c r="D5" s="10">
        <f t="shared" ref="D5:D34" si="1">C5*3.07</f>
        <v>43.900999999997765</v>
      </c>
      <c r="E5" s="7">
        <f>'[1]Nov Prod'!E4</f>
        <v>8000000</v>
      </c>
      <c r="F5" s="8">
        <f t="shared" ref="F5:F34" si="2">E5/1000000</f>
        <v>8</v>
      </c>
      <c r="G5" s="10">
        <f t="shared" ref="G5:G34" si="3">F5*3.07</f>
        <v>24.56</v>
      </c>
      <c r="H5" s="7">
        <f>'[1]Nov Prod'!F4</f>
        <v>7810000</v>
      </c>
      <c r="I5" s="8">
        <f>H5/1000000</f>
        <v>7.81</v>
      </c>
      <c r="J5" s="10">
        <f t="shared" ref="J5:J34" si="4">I5*3.07</f>
        <v>23.976699999999997</v>
      </c>
      <c r="K5" s="7">
        <f>'[1]Nov Prod'!$H252*10</f>
        <v>17857590</v>
      </c>
      <c r="L5" s="8">
        <f t="shared" ref="L5:L7" si="5">K5/10000000</f>
        <v>1.7857590000000001</v>
      </c>
      <c r="M5" s="10">
        <f t="shared" ref="M5:M34" si="6">L5*3.07</f>
        <v>5.4822801300000004</v>
      </c>
      <c r="N5" s="21"/>
      <c r="O5" s="7">
        <f>'[1]Nov Prod'!H4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'[1]Nov Prod'!C4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'[1]Nov Prod'!D4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'[1]Nov Prod'!$D252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14299999.999999272</v>
      </c>
      <c r="AC5" s="8">
        <f>C5+P5</f>
        <v>14.299999999999272</v>
      </c>
      <c r="AD5" s="8">
        <f>D5+Q5</f>
        <v>43.900999999997765</v>
      </c>
    </row>
    <row r="6" spans="1:30" x14ac:dyDescent="0.25">
      <c r="A6" s="1">
        <v>38293</v>
      </c>
      <c r="B6" s="7">
        <f>'[1]Nov Prod'!I5</f>
        <v>14000000</v>
      </c>
      <c r="C6" s="8">
        <f t="shared" si="0"/>
        <v>14</v>
      </c>
      <c r="D6" s="10">
        <f t="shared" si="1"/>
        <v>42.98</v>
      </c>
      <c r="E6" s="7">
        <f>'[1]Nov Prod'!E5</f>
        <v>7000000</v>
      </c>
      <c r="F6" s="8">
        <f t="shared" si="2"/>
        <v>7</v>
      </c>
      <c r="G6" s="10">
        <f t="shared" si="3"/>
        <v>21.49</v>
      </c>
      <c r="H6" s="7">
        <f>'[1]Nov Prod'!F5</f>
        <v>7830000</v>
      </c>
      <c r="I6" s="8">
        <f t="shared" ref="I6:I34" si="15">H6/1000000</f>
        <v>7.83</v>
      </c>
      <c r="J6" s="10">
        <f t="shared" si="4"/>
        <v>24.0381</v>
      </c>
      <c r="K6" s="7">
        <f>'[1]Nov Prod'!$H253*10</f>
        <v>16828350</v>
      </c>
      <c r="L6" s="8">
        <f t="shared" si="5"/>
        <v>1.6828350000000001</v>
      </c>
      <c r="M6" s="10">
        <f t="shared" si="6"/>
        <v>5.16630345</v>
      </c>
      <c r="N6" s="21"/>
      <c r="O6" s="7">
        <f>'[1]Nov Prod'!H5</f>
        <v>3554000</v>
      </c>
      <c r="P6" s="8">
        <f t="shared" si="7"/>
        <v>3.5539999999999998</v>
      </c>
      <c r="Q6" s="10">
        <f t="shared" si="8"/>
        <v>10.910779999999999</v>
      </c>
      <c r="R6" s="7">
        <f>'[1]Nov Prod'!C5</f>
        <v>3554000</v>
      </c>
      <c r="S6" s="8">
        <f t="shared" si="9"/>
        <v>3.5539999999999998</v>
      </c>
      <c r="T6" s="10">
        <f t="shared" si="10"/>
        <v>10.910779999999999</v>
      </c>
      <c r="U6" s="7">
        <f>'[1]Nov Prod'!D5</f>
        <v>0</v>
      </c>
      <c r="V6" s="8">
        <f t="shared" si="11"/>
        <v>0</v>
      </c>
      <c r="W6" s="10">
        <f t="shared" si="12"/>
        <v>0</v>
      </c>
      <c r="X6" s="7">
        <f>'[1]Nov Prod'!$D253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17554000</v>
      </c>
      <c r="AC6" s="8">
        <f t="shared" si="16"/>
        <v>17.553999999999998</v>
      </c>
      <c r="AD6" s="8">
        <f t="shared" si="16"/>
        <v>53.890779999999992</v>
      </c>
    </row>
    <row r="7" spans="1:30" x14ac:dyDescent="0.25">
      <c r="A7" s="1">
        <v>38294</v>
      </c>
      <c r="B7" s="7">
        <f>'[1]Nov Prod'!I6</f>
        <v>5799999.9999992726</v>
      </c>
      <c r="C7" s="8">
        <f t="shared" si="0"/>
        <v>5.7999999999992724</v>
      </c>
      <c r="D7" s="10">
        <f t="shared" si="1"/>
        <v>17.805999999997766</v>
      </c>
      <c r="E7" s="7">
        <f>'[1]Nov Prod'!E6</f>
        <v>5000000</v>
      </c>
      <c r="F7" s="8">
        <f t="shared" si="2"/>
        <v>5</v>
      </c>
      <c r="G7" s="10">
        <f t="shared" si="3"/>
        <v>15.35</v>
      </c>
      <c r="H7" s="7">
        <f>'[1]Nov Prod'!F6</f>
        <v>1620000</v>
      </c>
      <c r="I7" s="8">
        <f t="shared" si="15"/>
        <v>1.62</v>
      </c>
      <c r="J7" s="10">
        <f t="shared" si="4"/>
        <v>4.9733999999999998</v>
      </c>
      <c r="K7" s="7">
        <f>'[1]Nov Prod'!$H254*10</f>
        <v>8061490</v>
      </c>
      <c r="L7" s="8">
        <f t="shared" si="5"/>
        <v>0.806149</v>
      </c>
      <c r="M7" s="10">
        <f t="shared" si="6"/>
        <v>2.4748774299999998</v>
      </c>
      <c r="N7" s="21"/>
      <c r="O7" s="7">
        <f>'[1]Nov Prod'!H6</f>
        <v>4979999.9999999925</v>
      </c>
      <c r="P7" s="8">
        <f t="shared" si="7"/>
        <v>4.9799999999999924</v>
      </c>
      <c r="Q7" s="10">
        <f t="shared" si="8"/>
        <v>15.288599999999976</v>
      </c>
      <c r="R7" s="7">
        <f>'[1]Nov Prod'!C6</f>
        <v>5169000</v>
      </c>
      <c r="S7" s="8">
        <f t="shared" si="9"/>
        <v>5.1689999999999996</v>
      </c>
      <c r="T7" s="10">
        <f t="shared" si="10"/>
        <v>15.868829999999997</v>
      </c>
      <c r="U7" s="7">
        <f>'[1]Nov Prod'!D6</f>
        <v>0</v>
      </c>
      <c r="V7" s="8">
        <f t="shared" si="11"/>
        <v>0</v>
      </c>
      <c r="W7" s="10">
        <f t="shared" si="12"/>
        <v>0</v>
      </c>
      <c r="X7" s="7">
        <f>'[1]Nov Prod'!$D254</f>
        <v>189000.00000000716</v>
      </c>
      <c r="Y7" s="8">
        <f t="shared" si="13"/>
        <v>0.18900000000000716</v>
      </c>
      <c r="Z7" s="10">
        <f t="shared" si="14"/>
        <v>0.58023000000002201</v>
      </c>
      <c r="AA7" s="15"/>
      <c r="AB7" s="7">
        <f t="shared" si="16"/>
        <v>10779999.999999266</v>
      </c>
      <c r="AC7" s="8">
        <f t="shared" si="16"/>
        <v>10.779999999999266</v>
      </c>
      <c r="AD7" s="8">
        <f t="shared" si="16"/>
        <v>33.09459999999774</v>
      </c>
    </row>
    <row r="8" spans="1:30" x14ac:dyDescent="0.25">
      <c r="A8" s="1">
        <v>38295</v>
      </c>
      <c r="B8" s="7">
        <f>'[1]Nov Prod'!I7</f>
        <v>6600000.000002183</v>
      </c>
      <c r="C8" s="8">
        <f t="shared" si="0"/>
        <v>6.6000000000021828</v>
      </c>
      <c r="D8" s="10">
        <f t="shared" si="1"/>
        <v>20.262000000006701</v>
      </c>
      <c r="E8" s="7">
        <f>'[1]Nov Prod'!E7</f>
        <v>8000000</v>
      </c>
      <c r="F8" s="8">
        <f t="shared" si="2"/>
        <v>8</v>
      </c>
      <c r="G8" s="10">
        <f t="shared" si="3"/>
        <v>24.56</v>
      </c>
      <c r="H8" s="7">
        <f>'[1]Nov Prod'!F7</f>
        <v>0</v>
      </c>
      <c r="I8" s="8">
        <f t="shared" si="15"/>
        <v>0</v>
      </c>
      <c r="J8" s="10">
        <f t="shared" si="4"/>
        <v>0</v>
      </c>
      <c r="K8" s="7">
        <f>'[1]Nov Prod'!$H255*10</f>
        <v>10304860</v>
      </c>
      <c r="L8" s="8">
        <f>K8/10000000</f>
        <v>1.030486</v>
      </c>
      <c r="M8" s="10">
        <f t="shared" si="6"/>
        <v>3.1635920199999998</v>
      </c>
      <c r="N8" s="21"/>
      <c r="O8" s="7">
        <f>'[1]Nov Prod'!H7</f>
        <v>4904000.0000000028</v>
      </c>
      <c r="P8" s="8">
        <f t="shared" si="7"/>
        <v>4.9040000000000026</v>
      </c>
      <c r="Q8" s="10">
        <f t="shared" si="8"/>
        <v>15.055280000000007</v>
      </c>
      <c r="R8" s="7">
        <f>'[1]Nov Prod'!C7</f>
        <v>4951000</v>
      </c>
      <c r="S8" s="8">
        <f t="shared" si="9"/>
        <v>4.9509999999999996</v>
      </c>
      <c r="T8" s="10">
        <f t="shared" si="10"/>
        <v>15.199569999999998</v>
      </c>
      <c r="U8" s="7">
        <f>'[1]Nov Prod'!D7</f>
        <v>0</v>
      </c>
      <c r="V8" s="8">
        <f t="shared" si="11"/>
        <v>0</v>
      </c>
      <c r="W8" s="10">
        <f t="shared" si="12"/>
        <v>0</v>
      </c>
      <c r="X8" s="7">
        <f>'[1]Nov Prod'!$D255</f>
        <v>46999.999999997046</v>
      </c>
      <c r="Y8" s="8">
        <f t="shared" si="13"/>
        <v>4.6999999999997044E-2</v>
      </c>
      <c r="Z8" s="10">
        <f t="shared" si="14"/>
        <v>0.14428999999999093</v>
      </c>
      <c r="AA8" s="15"/>
      <c r="AB8" s="7">
        <f t="shared" si="16"/>
        <v>11504000.000002187</v>
      </c>
      <c r="AC8" s="8">
        <f t="shared" si="16"/>
        <v>11.504000000002186</v>
      </c>
      <c r="AD8" s="8">
        <f>D8+Q8</f>
        <v>35.317280000006704</v>
      </c>
    </row>
    <row r="9" spans="1:30" x14ac:dyDescent="0.25">
      <c r="A9" s="1">
        <v>38296</v>
      </c>
      <c r="B9" s="7">
        <f>'[1]Nov Prod'!I8</f>
        <v>5699999.9999970896</v>
      </c>
      <c r="C9" s="8">
        <f t="shared" si="0"/>
        <v>5.6999999999970896</v>
      </c>
      <c r="D9" s="10">
        <f t="shared" si="1"/>
        <v>17.498999999991064</v>
      </c>
      <c r="E9" s="7">
        <f>'[1]Nov Prod'!E8</f>
        <v>8000000</v>
      </c>
      <c r="F9" s="8">
        <f t="shared" si="2"/>
        <v>8</v>
      </c>
      <c r="G9" s="10">
        <f t="shared" si="3"/>
        <v>24.56</v>
      </c>
      <c r="H9" s="7">
        <f>'[1]Nov Prod'!F8</f>
        <v>0</v>
      </c>
      <c r="I9" s="8">
        <f t="shared" si="15"/>
        <v>0</v>
      </c>
      <c r="J9" s="10">
        <f t="shared" si="4"/>
        <v>0</v>
      </c>
      <c r="K9" s="7">
        <f>'[1]Nov Prod'!$H256*10</f>
        <v>9862350</v>
      </c>
      <c r="L9" s="8">
        <f t="shared" ref="L9:L34" si="17">K9/10000000</f>
        <v>0.98623499999999997</v>
      </c>
      <c r="M9" s="10">
        <f t="shared" si="6"/>
        <v>3.0277414499999997</v>
      </c>
      <c r="N9" s="21"/>
      <c r="O9" s="7">
        <f>'[1]Nov Prod'!H8</f>
        <v>4830999.9999999944</v>
      </c>
      <c r="P9" s="8">
        <f t="shared" si="7"/>
        <v>4.8309999999999942</v>
      </c>
      <c r="Q9" s="10">
        <f t="shared" si="8"/>
        <v>14.831169999999981</v>
      </c>
      <c r="R9" s="7">
        <f>'[1]Nov Prod'!C8</f>
        <v>4972000</v>
      </c>
      <c r="S9" s="8">
        <f t="shared" si="9"/>
        <v>4.9720000000000004</v>
      </c>
      <c r="T9" s="10">
        <f t="shared" si="10"/>
        <v>15.26404</v>
      </c>
      <c r="U9" s="7">
        <f>'[1]Nov Prod'!D8</f>
        <v>0</v>
      </c>
      <c r="V9" s="8">
        <f t="shared" si="11"/>
        <v>0</v>
      </c>
      <c r="W9" s="10">
        <f t="shared" si="12"/>
        <v>0</v>
      </c>
      <c r="X9" s="7">
        <f>'[1]Nov Prod'!$D256</f>
        <v>141000.00000000536</v>
      </c>
      <c r="Y9" s="8">
        <f t="shared" si="13"/>
        <v>0.14100000000000534</v>
      </c>
      <c r="Z9" s="10">
        <f t="shared" si="14"/>
        <v>0.43287000000001641</v>
      </c>
      <c r="AA9" s="15"/>
      <c r="AB9" s="7">
        <f t="shared" si="16"/>
        <v>10530999.999997083</v>
      </c>
      <c r="AC9" s="8">
        <f t="shared" si="16"/>
        <v>10.530999999997084</v>
      </c>
      <c r="AD9" s="8">
        <f t="shared" si="16"/>
        <v>32.330169999991043</v>
      </c>
    </row>
    <row r="10" spans="1:30" x14ac:dyDescent="0.25">
      <c r="A10" s="1">
        <v>38297</v>
      </c>
      <c r="B10" s="7">
        <f>'[1]Nov Prod'!I9</f>
        <v>8000000</v>
      </c>
      <c r="C10" s="8">
        <f t="shared" si="0"/>
        <v>8</v>
      </c>
      <c r="D10" s="10">
        <f t="shared" si="1"/>
        <v>24.56</v>
      </c>
      <c r="E10" s="7">
        <f>'[1]Nov Prod'!E9</f>
        <v>8000000</v>
      </c>
      <c r="F10" s="8">
        <f t="shared" si="2"/>
        <v>8</v>
      </c>
      <c r="G10" s="10">
        <f t="shared" si="3"/>
        <v>24.56</v>
      </c>
      <c r="H10" s="7">
        <f>'[1]Nov Prod'!F9</f>
        <v>0</v>
      </c>
      <c r="I10" s="8">
        <f t="shared" si="15"/>
        <v>0</v>
      </c>
      <c r="J10" s="10">
        <f t="shared" si="4"/>
        <v>0</v>
      </c>
      <c r="K10" s="7">
        <f>'[1]Nov Prod'!$H257*10</f>
        <v>8642230</v>
      </c>
      <c r="L10" s="8">
        <f t="shared" si="17"/>
        <v>0.86422299999999996</v>
      </c>
      <c r="M10" s="10">
        <f t="shared" si="6"/>
        <v>2.6531646099999997</v>
      </c>
      <c r="N10" s="21"/>
      <c r="O10" s="7">
        <f>'[1]Nov Prod'!H9</f>
        <v>4838000.0000000121</v>
      </c>
      <c r="P10" s="8">
        <f t="shared" si="7"/>
        <v>4.8380000000000125</v>
      </c>
      <c r="Q10" s="10">
        <f t="shared" si="8"/>
        <v>14.852660000000037</v>
      </c>
      <c r="R10" s="7">
        <f>'[1]Nov Prod'!C9</f>
        <v>5023000</v>
      </c>
      <c r="S10" s="8">
        <f t="shared" si="9"/>
        <v>5.0229999999999997</v>
      </c>
      <c r="T10" s="10">
        <f t="shared" si="10"/>
        <v>15.420609999999998</v>
      </c>
      <c r="U10" s="7">
        <f>'[1]Nov Prod'!D9</f>
        <v>0</v>
      </c>
      <c r="V10" s="8">
        <f t="shared" si="11"/>
        <v>0</v>
      </c>
      <c r="W10" s="10">
        <f t="shared" si="12"/>
        <v>0</v>
      </c>
      <c r="X10" s="7">
        <f>'[1]Nov Prod'!$D257</f>
        <v>184999.99999998807</v>
      </c>
      <c r="Y10" s="8">
        <f t="shared" si="13"/>
        <v>0.18499999999998806</v>
      </c>
      <c r="Z10" s="10">
        <f t="shared" si="14"/>
        <v>0.56794999999996332</v>
      </c>
      <c r="AA10" s="15"/>
      <c r="AB10" s="7">
        <f t="shared" si="16"/>
        <v>12838000.000000011</v>
      </c>
      <c r="AC10" s="8">
        <f t="shared" si="16"/>
        <v>12.838000000000012</v>
      </c>
      <c r="AD10" s="8">
        <f t="shared" si="16"/>
        <v>39.412660000000038</v>
      </c>
    </row>
    <row r="11" spans="1:30" x14ac:dyDescent="0.25">
      <c r="A11" s="1">
        <v>38298</v>
      </c>
      <c r="B11" s="7">
        <f>'[1]Nov Prod'!I10</f>
        <v>6700000.0000007274</v>
      </c>
      <c r="C11" s="8">
        <f t="shared" si="0"/>
        <v>6.7000000000007276</v>
      </c>
      <c r="D11" s="10">
        <f t="shared" si="1"/>
        <v>20.569000000002234</v>
      </c>
      <c r="E11" s="7">
        <f>'[1]Nov Prod'!E10</f>
        <v>8000000</v>
      </c>
      <c r="F11" s="8">
        <f t="shared" si="2"/>
        <v>8</v>
      </c>
      <c r="G11" s="10">
        <f t="shared" si="3"/>
        <v>24.56</v>
      </c>
      <c r="H11" s="7">
        <f>'[1]Nov Prod'!F10</f>
        <v>0</v>
      </c>
      <c r="I11" s="8">
        <f t="shared" si="15"/>
        <v>0</v>
      </c>
      <c r="J11" s="10">
        <f t="shared" si="4"/>
        <v>0</v>
      </c>
      <c r="K11" s="7">
        <f>'[1]Nov Prod'!$H258*10</f>
        <v>8594450</v>
      </c>
      <c r="L11" s="8">
        <f t="shared" si="17"/>
        <v>0.85944500000000001</v>
      </c>
      <c r="M11" s="10">
        <f t="shared" si="6"/>
        <v>2.6384961499999999</v>
      </c>
      <c r="N11" s="21"/>
      <c r="O11" s="7">
        <f>'[1]Nov Prod'!H10</f>
        <v>5905999.9999999879</v>
      </c>
      <c r="P11" s="8">
        <f t="shared" si="7"/>
        <v>5.9059999999999881</v>
      </c>
      <c r="Q11" s="10">
        <f t="shared" si="8"/>
        <v>18.131419999999963</v>
      </c>
      <c r="R11" s="7">
        <f>'[1]Nov Prod'!C10</f>
        <v>6093000</v>
      </c>
      <c r="S11" s="8">
        <f t="shared" si="9"/>
        <v>6.093</v>
      </c>
      <c r="T11" s="10">
        <f t="shared" si="10"/>
        <v>18.70551</v>
      </c>
      <c r="U11" s="7">
        <f>'[1]Nov Prod'!D10</f>
        <v>0</v>
      </c>
      <c r="V11" s="8">
        <f t="shared" si="11"/>
        <v>0</v>
      </c>
      <c r="W11" s="10">
        <f t="shared" si="12"/>
        <v>0</v>
      </c>
      <c r="X11" s="7">
        <f>'[1]Nov Prod'!$D258</f>
        <v>187000.00000001182</v>
      </c>
      <c r="Y11" s="8">
        <f t="shared" si="13"/>
        <v>0.18700000000001182</v>
      </c>
      <c r="Z11" s="10">
        <f t="shared" si="14"/>
        <v>0.57409000000003629</v>
      </c>
      <c r="AA11" s="15"/>
      <c r="AB11" s="7">
        <f t="shared" si="16"/>
        <v>12606000.000000715</v>
      </c>
      <c r="AC11" s="8">
        <f t="shared" si="16"/>
        <v>12.606000000000716</v>
      </c>
      <c r="AD11" s="8">
        <f t="shared" si="16"/>
        <v>38.700420000002197</v>
      </c>
    </row>
    <row r="12" spans="1:30" x14ac:dyDescent="0.25">
      <c r="A12" s="1">
        <v>38299</v>
      </c>
      <c r="B12" s="7">
        <f>'[1]Nov Prod'!I11</f>
        <v>6200000.0000007274</v>
      </c>
      <c r="C12" s="8">
        <f t="shared" si="0"/>
        <v>6.2000000000007276</v>
      </c>
      <c r="D12" s="10">
        <f t="shared" si="1"/>
        <v>19.034000000002234</v>
      </c>
      <c r="E12" s="7">
        <f>'[1]Nov Prod'!E11</f>
        <v>8000000</v>
      </c>
      <c r="F12" s="8">
        <f t="shared" si="2"/>
        <v>8</v>
      </c>
      <c r="G12" s="10">
        <f t="shared" si="3"/>
        <v>24.56</v>
      </c>
      <c r="H12" s="7">
        <f>'[1]Nov Prod'!F11</f>
        <v>0</v>
      </c>
      <c r="I12" s="8">
        <f t="shared" si="15"/>
        <v>0</v>
      </c>
      <c r="J12" s="10">
        <f t="shared" si="4"/>
        <v>0</v>
      </c>
      <c r="K12" s="7">
        <f>'[1]Nov Prod'!$H259*10</f>
        <v>8556960</v>
      </c>
      <c r="L12" s="8">
        <f t="shared" si="17"/>
        <v>0.85569600000000001</v>
      </c>
      <c r="M12" s="10">
        <f t="shared" si="6"/>
        <v>2.6269867200000001</v>
      </c>
      <c r="N12" s="21"/>
      <c r="O12" s="7">
        <f>'[1]Nov Prod'!H11</f>
        <v>5854000.0000000112</v>
      </c>
      <c r="P12" s="8">
        <f t="shared" si="7"/>
        <v>5.8540000000000108</v>
      </c>
      <c r="Q12" s="10">
        <f t="shared" si="8"/>
        <v>17.971780000000031</v>
      </c>
      <c r="R12" s="7">
        <f>'[1]Nov Prod'!C11</f>
        <v>5947000</v>
      </c>
      <c r="S12" s="8">
        <f t="shared" si="9"/>
        <v>5.9470000000000001</v>
      </c>
      <c r="T12" s="10">
        <f t="shared" si="10"/>
        <v>18.257289999999998</v>
      </c>
      <c r="U12" s="7">
        <f>'[1]Nov Prod'!D11</f>
        <v>0</v>
      </c>
      <c r="V12" s="8">
        <f t="shared" si="11"/>
        <v>0</v>
      </c>
      <c r="W12" s="10">
        <f t="shared" si="12"/>
        <v>0</v>
      </c>
      <c r="X12" s="7">
        <f>'[1]Nov Prod'!$D259</f>
        <v>92999.999999989319</v>
      </c>
      <c r="Y12" s="8">
        <f t="shared" si="13"/>
        <v>9.2999999999989313E-2</v>
      </c>
      <c r="Z12" s="10">
        <f t="shared" si="14"/>
        <v>0.28550999999996718</v>
      </c>
      <c r="AA12" s="15"/>
      <c r="AB12" s="7">
        <f t="shared" si="16"/>
        <v>12054000.000000738</v>
      </c>
      <c r="AC12" s="8">
        <f t="shared" si="16"/>
        <v>12.054000000000737</v>
      </c>
      <c r="AD12" s="8">
        <f t="shared" si="16"/>
        <v>37.005780000002261</v>
      </c>
    </row>
    <row r="13" spans="1:30" x14ac:dyDescent="0.25">
      <c r="A13" s="1">
        <v>38300</v>
      </c>
      <c r="B13" s="7">
        <f>'[1]Nov Prod'!I12</f>
        <v>5700000.0000007274</v>
      </c>
      <c r="C13" s="8">
        <f t="shared" si="0"/>
        <v>5.7000000000007276</v>
      </c>
      <c r="D13" s="10">
        <f t="shared" si="1"/>
        <v>17.499000000002233</v>
      </c>
      <c r="E13" s="7">
        <f>'[1]Nov Prod'!E12</f>
        <v>7000000</v>
      </c>
      <c r="F13" s="8">
        <f t="shared" si="2"/>
        <v>7</v>
      </c>
      <c r="G13" s="10">
        <f t="shared" si="3"/>
        <v>21.49</v>
      </c>
      <c r="H13" s="7">
        <f>'[1]Nov Prod'!F12</f>
        <v>0</v>
      </c>
      <c r="I13" s="8">
        <f t="shared" si="15"/>
        <v>0</v>
      </c>
      <c r="J13" s="10">
        <f t="shared" si="4"/>
        <v>0</v>
      </c>
      <c r="K13" s="7">
        <f>'[1]Nov Prod'!$H260*10</f>
        <v>8137080</v>
      </c>
      <c r="L13" s="8">
        <f t="shared" si="17"/>
        <v>0.81370799999999999</v>
      </c>
      <c r="M13" s="10">
        <f t="shared" si="6"/>
        <v>2.49808356</v>
      </c>
      <c r="N13" s="21"/>
      <c r="O13" s="7">
        <f>'[1]Nov Prod'!H12</f>
        <v>5910000.0000000009</v>
      </c>
      <c r="P13" s="8">
        <f t="shared" si="7"/>
        <v>5.910000000000001</v>
      </c>
      <c r="Q13" s="10">
        <f t="shared" si="8"/>
        <v>18.143700000000003</v>
      </c>
      <c r="R13" s="7">
        <f>'[1]Nov Prod'!C12</f>
        <v>6005000</v>
      </c>
      <c r="S13" s="8">
        <f t="shared" si="9"/>
        <v>6.0049999999999999</v>
      </c>
      <c r="T13" s="10">
        <f t="shared" si="10"/>
        <v>18.43535</v>
      </c>
      <c r="U13" s="7">
        <f>'[1]Nov Prod'!D12</f>
        <v>0</v>
      </c>
      <c r="V13" s="8">
        <f t="shared" si="11"/>
        <v>0</v>
      </c>
      <c r="W13" s="10">
        <f t="shared" si="12"/>
        <v>0</v>
      </c>
      <c r="X13" s="7">
        <f>'[1]Nov Prod'!$D260</f>
        <v>94999.999999998865</v>
      </c>
      <c r="Y13" s="8">
        <f t="shared" si="13"/>
        <v>9.4999999999998863E-2</v>
      </c>
      <c r="Z13" s="10">
        <f t="shared" si="14"/>
        <v>0.29164999999999647</v>
      </c>
      <c r="AA13" s="15"/>
      <c r="AB13" s="7">
        <f t="shared" si="16"/>
        <v>11610000.000000728</v>
      </c>
      <c r="AC13" s="8">
        <f t="shared" si="16"/>
        <v>11.610000000000728</v>
      </c>
      <c r="AD13" s="8">
        <f t="shared" si="16"/>
        <v>35.642700000002236</v>
      </c>
    </row>
    <row r="14" spans="1:30" x14ac:dyDescent="0.25">
      <c r="A14" s="1">
        <v>38301</v>
      </c>
      <c r="B14" s="7">
        <f>'[1]Nov Prod'!I13</f>
        <v>5700000.0000007274</v>
      </c>
      <c r="C14" s="8">
        <f t="shared" si="0"/>
        <v>5.7000000000007276</v>
      </c>
      <c r="D14" s="10">
        <f t="shared" si="1"/>
        <v>17.499000000002233</v>
      </c>
      <c r="E14" s="7">
        <f>'[1]Nov Prod'!E13</f>
        <v>6000000</v>
      </c>
      <c r="F14" s="8">
        <f t="shared" si="2"/>
        <v>6</v>
      </c>
      <c r="G14" s="10">
        <f t="shared" si="3"/>
        <v>18.419999999999998</v>
      </c>
      <c r="H14" s="7">
        <f>'[1]Nov Prod'!F13</f>
        <v>0</v>
      </c>
      <c r="I14" s="8">
        <f t="shared" si="15"/>
        <v>0</v>
      </c>
      <c r="J14" s="10">
        <f t="shared" si="4"/>
        <v>0</v>
      </c>
      <c r="K14" s="7">
        <f>'[1]Nov Prod'!$H261*10</f>
        <v>6673850</v>
      </c>
      <c r="L14" s="8">
        <f t="shared" si="17"/>
        <v>0.66738500000000001</v>
      </c>
      <c r="M14" s="10">
        <f t="shared" si="6"/>
        <v>2.0488719500000001</v>
      </c>
      <c r="N14" s="21"/>
      <c r="O14" s="7">
        <f>'[1]Nov Prod'!H13</f>
        <v>6618999.9999999972</v>
      </c>
      <c r="P14" s="8">
        <f t="shared" si="7"/>
        <v>6.6189999999999971</v>
      </c>
      <c r="Q14" s="10">
        <f t="shared" si="8"/>
        <v>20.320329999999991</v>
      </c>
      <c r="R14" s="7">
        <f>'[1]Nov Prod'!C13</f>
        <v>6807000</v>
      </c>
      <c r="S14" s="8">
        <f t="shared" si="9"/>
        <v>6.8070000000000004</v>
      </c>
      <c r="T14" s="10">
        <f t="shared" si="10"/>
        <v>20.897490000000001</v>
      </c>
      <c r="U14" s="7">
        <f>'[1]Nov Prod'!D13</f>
        <v>0</v>
      </c>
      <c r="V14" s="8">
        <f t="shared" si="11"/>
        <v>0</v>
      </c>
      <c r="W14" s="10">
        <f t="shared" si="12"/>
        <v>0</v>
      </c>
      <c r="X14" s="7">
        <f>'[1]Nov Prod'!$D261</f>
        <v>188000.00000000239</v>
      </c>
      <c r="Y14" s="8">
        <f t="shared" si="13"/>
        <v>0.18800000000000239</v>
      </c>
      <c r="Z14" s="10">
        <f t="shared" si="14"/>
        <v>0.57716000000000733</v>
      </c>
      <c r="AA14" s="15"/>
      <c r="AB14" s="7">
        <f t="shared" si="16"/>
        <v>12319000.000000725</v>
      </c>
      <c r="AC14" s="8">
        <f t="shared" si="16"/>
        <v>12.319000000000724</v>
      </c>
      <c r="AD14" s="8">
        <f t="shared" si="16"/>
        <v>37.819330000002225</v>
      </c>
    </row>
    <row r="15" spans="1:30" x14ac:dyDescent="0.25">
      <c r="A15" s="1">
        <v>38302</v>
      </c>
      <c r="B15" s="7">
        <f>'[1]Nov Prod'!I14</f>
        <v>6199999.9999970896</v>
      </c>
      <c r="C15" s="8">
        <f t="shared" si="0"/>
        <v>6.1999999999970896</v>
      </c>
      <c r="D15" s="10">
        <f t="shared" si="1"/>
        <v>19.033999999991064</v>
      </c>
      <c r="E15" s="7">
        <f>'[1]Nov Prod'!E14</f>
        <v>7000000</v>
      </c>
      <c r="F15" s="8">
        <f t="shared" si="2"/>
        <v>7</v>
      </c>
      <c r="G15" s="10">
        <f t="shared" si="3"/>
        <v>21.49</v>
      </c>
      <c r="H15" s="7">
        <f>'[1]Nov Prod'!F14</f>
        <v>0</v>
      </c>
      <c r="I15" s="8">
        <f t="shared" si="15"/>
        <v>0</v>
      </c>
      <c r="J15" s="10">
        <f t="shared" si="4"/>
        <v>0</v>
      </c>
      <c r="K15" s="7">
        <f>'[1]Nov Prod'!$H262*10</f>
        <v>9567530</v>
      </c>
      <c r="L15" s="8">
        <f t="shared" si="17"/>
        <v>0.95675299999999996</v>
      </c>
      <c r="M15" s="10">
        <f t="shared" si="6"/>
        <v>2.9372317099999998</v>
      </c>
      <c r="N15" s="21"/>
      <c r="O15" s="7">
        <f>'[1]Nov Prod'!H14</f>
        <v>8966000.0000000019</v>
      </c>
      <c r="P15" s="8">
        <f t="shared" si="7"/>
        <v>8.9660000000000011</v>
      </c>
      <c r="Q15" s="10">
        <f t="shared" si="8"/>
        <v>27.525620000000004</v>
      </c>
      <c r="R15" s="7">
        <f>'[1]Nov Prod'!C14</f>
        <v>9153000</v>
      </c>
      <c r="S15" s="8">
        <f t="shared" si="9"/>
        <v>9.1530000000000005</v>
      </c>
      <c r="T15" s="10">
        <f t="shared" si="10"/>
        <v>28.099710000000002</v>
      </c>
      <c r="U15" s="7">
        <f>'[1]Nov Prod'!D14</f>
        <v>0</v>
      </c>
      <c r="V15" s="8">
        <f t="shared" si="11"/>
        <v>0</v>
      </c>
      <c r="W15" s="10">
        <f t="shared" si="12"/>
        <v>0</v>
      </c>
      <c r="X15" s="7">
        <f>'[1]Nov Prod'!$D262</f>
        <v>186999.99999999761</v>
      </c>
      <c r="Y15" s="8">
        <f t="shared" si="13"/>
        <v>0.18699999999999761</v>
      </c>
      <c r="Z15" s="10">
        <f t="shared" si="14"/>
        <v>0.57408999999999266</v>
      </c>
      <c r="AA15" s="15"/>
      <c r="AB15" s="7">
        <f t="shared" si="16"/>
        <v>15165999.999997091</v>
      </c>
      <c r="AC15" s="8">
        <f t="shared" si="16"/>
        <v>15.165999999997091</v>
      </c>
      <c r="AD15" s="8">
        <f t="shared" si="16"/>
        <v>46.559619999991071</v>
      </c>
    </row>
    <row r="16" spans="1:30" x14ac:dyDescent="0.25">
      <c r="A16" s="1">
        <v>38303</v>
      </c>
      <c r="B16" s="7">
        <f>'[1]Nov Prod'!I15</f>
        <v>4500000</v>
      </c>
      <c r="C16" s="8">
        <f t="shared" si="0"/>
        <v>4.5</v>
      </c>
      <c r="D16" s="10">
        <f t="shared" si="1"/>
        <v>13.815</v>
      </c>
      <c r="E16" s="7">
        <f>'[1]Nov Prod'!E15</f>
        <v>6000000</v>
      </c>
      <c r="F16" s="8">
        <f t="shared" si="2"/>
        <v>6</v>
      </c>
      <c r="G16" s="10">
        <f t="shared" si="3"/>
        <v>18.419999999999998</v>
      </c>
      <c r="H16" s="7">
        <f>'[1]Nov Prod'!F15</f>
        <v>0</v>
      </c>
      <c r="I16" s="8">
        <f t="shared" si="15"/>
        <v>0</v>
      </c>
      <c r="J16" s="10">
        <f t="shared" si="4"/>
        <v>0</v>
      </c>
      <c r="K16" s="7">
        <f>'[1]Nov Prod'!$H263*10</f>
        <v>6565550</v>
      </c>
      <c r="L16" s="8">
        <f t="shared" si="17"/>
        <v>0.656555</v>
      </c>
      <c r="M16" s="10">
        <f t="shared" si="6"/>
        <v>2.0156238499999999</v>
      </c>
      <c r="N16" s="21"/>
      <c r="O16" s="7">
        <f>'[1]Nov Prod'!H15</f>
        <v>6047999.9999999944</v>
      </c>
      <c r="P16" s="8">
        <f t="shared" si="7"/>
        <v>6.0479999999999947</v>
      </c>
      <c r="Q16" s="10">
        <f t="shared" si="8"/>
        <v>18.567359999999983</v>
      </c>
      <c r="R16" s="7">
        <f>'[1]Nov Prod'!C15</f>
        <v>6192000</v>
      </c>
      <c r="S16" s="8">
        <f t="shared" si="9"/>
        <v>6.1920000000000002</v>
      </c>
      <c r="T16" s="10">
        <f t="shared" si="10"/>
        <v>19.009439999999998</v>
      </c>
      <c r="U16" s="7">
        <f>'[1]Nov Prod'!D15</f>
        <v>0</v>
      </c>
      <c r="V16" s="8">
        <f t="shared" si="11"/>
        <v>0</v>
      </c>
      <c r="W16" s="10">
        <f t="shared" si="12"/>
        <v>0</v>
      </c>
      <c r="X16" s="7">
        <f>'[1]Nov Prod'!$D263</f>
        <v>144000.00000000547</v>
      </c>
      <c r="Y16" s="8">
        <f t="shared" si="13"/>
        <v>0.14400000000000548</v>
      </c>
      <c r="Z16" s="10">
        <f t="shared" si="14"/>
        <v>0.44208000000001679</v>
      </c>
      <c r="AA16" s="15"/>
      <c r="AB16" s="7">
        <f t="shared" si="16"/>
        <v>10547999.999999994</v>
      </c>
      <c r="AC16" s="8">
        <f t="shared" si="16"/>
        <v>10.547999999999995</v>
      </c>
      <c r="AD16" s="8">
        <f t="shared" si="16"/>
        <v>32.382359999999984</v>
      </c>
    </row>
    <row r="17" spans="1:30" x14ac:dyDescent="0.25">
      <c r="A17" s="1">
        <v>38304</v>
      </c>
      <c r="B17" s="7">
        <f>'[1]Nov Prod'!I16</f>
        <v>5300000.0000029104</v>
      </c>
      <c r="C17" s="8">
        <f t="shared" si="0"/>
        <v>5.3000000000029104</v>
      </c>
      <c r="D17" s="10">
        <f t="shared" si="1"/>
        <v>16.271000000008932</v>
      </c>
      <c r="E17" s="7">
        <f>'[1]Nov Prod'!E16</f>
        <v>6000000</v>
      </c>
      <c r="F17" s="8">
        <f t="shared" si="2"/>
        <v>6</v>
      </c>
      <c r="G17" s="10">
        <f t="shared" si="3"/>
        <v>18.419999999999998</v>
      </c>
      <c r="H17" s="7">
        <f>'[1]Nov Prod'!F16</f>
        <v>0</v>
      </c>
      <c r="I17" s="8">
        <f t="shared" si="15"/>
        <v>0</v>
      </c>
      <c r="J17" s="10">
        <f t="shared" si="4"/>
        <v>0</v>
      </c>
      <c r="K17" s="7">
        <f>'[1]Nov Prod'!$H264*10</f>
        <v>6449750</v>
      </c>
      <c r="L17" s="8">
        <f t="shared" si="17"/>
        <v>0.64497499999999997</v>
      </c>
      <c r="M17" s="10">
        <f t="shared" si="6"/>
        <v>1.9800732499999998</v>
      </c>
      <c r="N17" s="21"/>
      <c r="O17" s="7">
        <f>'[1]Nov Prod'!H16</f>
        <v>5421000.0000000009</v>
      </c>
      <c r="P17" s="8">
        <f t="shared" ref="P17:P34" si="18">O17/1000000</f>
        <v>5.4210000000000012</v>
      </c>
      <c r="Q17" s="10">
        <f t="shared" si="8"/>
        <v>16.642470000000003</v>
      </c>
      <c r="R17" s="7">
        <f>'[1]Nov Prod'!C16</f>
        <v>5516000</v>
      </c>
      <c r="S17" s="8">
        <f t="shared" si="9"/>
        <v>5.516</v>
      </c>
      <c r="T17" s="10">
        <f t="shared" si="10"/>
        <v>16.93412</v>
      </c>
      <c r="U17" s="7">
        <f>'[1]Nov Prod'!D16</f>
        <v>0</v>
      </c>
      <c r="V17" s="8">
        <f t="shared" si="11"/>
        <v>0</v>
      </c>
      <c r="W17" s="10">
        <f t="shared" si="12"/>
        <v>0</v>
      </c>
      <c r="X17" s="7">
        <f>'[1]Nov Prod'!$D264</f>
        <v>94999.999999998865</v>
      </c>
      <c r="Y17" s="8">
        <f t="shared" si="13"/>
        <v>9.4999999999998863E-2</v>
      </c>
      <c r="Z17" s="10">
        <f t="shared" si="14"/>
        <v>0.29164999999999647</v>
      </c>
      <c r="AA17" s="15"/>
      <c r="AB17" s="7">
        <f t="shared" si="16"/>
        <v>10721000.000002911</v>
      </c>
      <c r="AC17" s="8">
        <f t="shared" si="16"/>
        <v>10.721000000002912</v>
      </c>
      <c r="AD17" s="8">
        <f t="shared" si="16"/>
        <v>32.913470000008935</v>
      </c>
    </row>
    <row r="18" spans="1:30" x14ac:dyDescent="0.25">
      <c r="A18" s="1">
        <v>38305</v>
      </c>
      <c r="B18" s="7">
        <f>'[1]Nov Prod'!I17</f>
        <v>6099999.9999985453</v>
      </c>
      <c r="C18" s="8">
        <f t="shared" si="0"/>
        <v>6.0999999999985457</v>
      </c>
      <c r="D18" s="10">
        <f t="shared" si="1"/>
        <v>18.726999999995535</v>
      </c>
      <c r="E18" s="7">
        <f>'[1]Nov Prod'!E17</f>
        <v>6000000</v>
      </c>
      <c r="F18" s="8">
        <f t="shared" si="2"/>
        <v>6</v>
      </c>
      <c r="G18" s="10">
        <f t="shared" si="3"/>
        <v>18.419999999999998</v>
      </c>
      <c r="H18" s="7">
        <f>'[1]Nov Prod'!F17</f>
        <v>0</v>
      </c>
      <c r="I18" s="8">
        <f t="shared" si="15"/>
        <v>0</v>
      </c>
      <c r="J18" s="10">
        <f t="shared" si="4"/>
        <v>0</v>
      </c>
      <c r="K18" s="7">
        <f>'[1]Nov Prod'!$H265*10</f>
        <v>7686930</v>
      </c>
      <c r="L18" s="8">
        <f t="shared" si="17"/>
        <v>0.76869299999999996</v>
      </c>
      <c r="M18" s="10">
        <f t="shared" si="6"/>
        <v>2.3598875099999996</v>
      </c>
      <c r="N18" s="21"/>
      <c r="O18" s="7">
        <f>'[1]Nov Prod'!H17</f>
        <v>6488999.9999999925</v>
      </c>
      <c r="P18" s="8">
        <f t="shared" si="18"/>
        <v>6.4889999999999928</v>
      </c>
      <c r="Q18" s="10">
        <f t="shared" si="8"/>
        <v>19.921229999999976</v>
      </c>
      <c r="R18" s="7">
        <f>'[1]Nov Prod'!C17</f>
        <v>6678000</v>
      </c>
      <c r="S18" s="8">
        <f t="shared" ref="S18:S34" si="19">R18/1000000</f>
        <v>6.6779999999999999</v>
      </c>
      <c r="T18" s="10">
        <f t="shared" si="10"/>
        <v>20.501459999999998</v>
      </c>
      <c r="U18" s="7">
        <f>'[1]Nov Prod'!D17</f>
        <v>0</v>
      </c>
      <c r="V18" s="8">
        <f t="shared" si="11"/>
        <v>0</v>
      </c>
      <c r="W18" s="10">
        <f t="shared" si="12"/>
        <v>0</v>
      </c>
      <c r="X18" s="7">
        <f>'[1]Nov Prod'!$D265</f>
        <v>189000.00000000716</v>
      </c>
      <c r="Y18" s="8">
        <f t="shared" si="13"/>
        <v>0.18900000000000716</v>
      </c>
      <c r="Z18" s="10">
        <f t="shared" si="14"/>
        <v>0.58023000000002201</v>
      </c>
      <c r="AA18" s="15"/>
      <c r="AB18" s="7">
        <f t="shared" si="16"/>
        <v>12588999.999998538</v>
      </c>
      <c r="AC18" s="8">
        <f t="shared" si="16"/>
        <v>12.588999999998538</v>
      </c>
      <c r="AD18" s="8">
        <f t="shared" si="16"/>
        <v>38.648229999995507</v>
      </c>
    </row>
    <row r="19" spans="1:30" x14ac:dyDescent="0.25">
      <c r="A19" s="1">
        <v>38306</v>
      </c>
      <c r="B19" s="7">
        <f>'[1]Nov Prod'!I18</f>
        <v>4599999.9999985453</v>
      </c>
      <c r="C19" s="8">
        <f t="shared" si="0"/>
        <v>4.5999999999985457</v>
      </c>
      <c r="D19" s="10">
        <f t="shared" si="1"/>
        <v>14.121999999995534</v>
      </c>
      <c r="E19" s="7">
        <f>'[1]Nov Prod'!E18</f>
        <v>6000000</v>
      </c>
      <c r="F19" s="8">
        <f t="shared" si="2"/>
        <v>6</v>
      </c>
      <c r="G19" s="10">
        <f t="shared" si="3"/>
        <v>18.419999999999998</v>
      </c>
      <c r="H19" s="7">
        <f>'[1]Nov Prod'!F18</f>
        <v>0</v>
      </c>
      <c r="I19" s="8">
        <f t="shared" si="15"/>
        <v>0</v>
      </c>
      <c r="J19" s="10">
        <f t="shared" si="4"/>
        <v>0</v>
      </c>
      <c r="K19" s="7">
        <f>'[1]Nov Prod'!$H266*10</f>
        <v>6347600</v>
      </c>
      <c r="L19" s="8">
        <f t="shared" si="17"/>
        <v>0.63475999999999999</v>
      </c>
      <c r="M19" s="10">
        <f t="shared" si="6"/>
        <v>1.9487131999999998</v>
      </c>
      <c r="N19" s="21"/>
      <c r="O19" s="7">
        <f>'[1]Nov Prod'!H18</f>
        <v>7042000.0000000075</v>
      </c>
      <c r="P19" s="8">
        <f t="shared" si="18"/>
        <v>7.0420000000000078</v>
      </c>
      <c r="Q19" s="10">
        <f t="shared" si="8"/>
        <v>21.618940000000023</v>
      </c>
      <c r="R19" s="7">
        <f>'[1]Nov Prod'!C18</f>
        <v>7231000</v>
      </c>
      <c r="S19" s="8">
        <f t="shared" si="19"/>
        <v>7.2309999999999999</v>
      </c>
      <c r="T19" s="10">
        <f t="shared" si="10"/>
        <v>22.199169999999999</v>
      </c>
      <c r="U19" s="7">
        <f>'[1]Nov Prod'!D18</f>
        <v>0</v>
      </c>
      <c r="V19" s="8">
        <f t="shared" si="11"/>
        <v>0</v>
      </c>
      <c r="W19" s="10">
        <f t="shared" si="12"/>
        <v>0</v>
      </c>
      <c r="X19" s="7">
        <f>'[1]Nov Prod'!$D266</f>
        <v>188999.99999999296</v>
      </c>
      <c r="Y19" s="8">
        <f t="shared" si="13"/>
        <v>0.18899999999999295</v>
      </c>
      <c r="Z19" s="10">
        <f t="shared" si="14"/>
        <v>0.58022999999997837</v>
      </c>
      <c r="AA19" s="15"/>
      <c r="AB19" s="7">
        <f t="shared" si="16"/>
        <v>11641999.999998553</v>
      </c>
      <c r="AC19" s="8">
        <f t="shared" si="16"/>
        <v>11.641999999998554</v>
      </c>
      <c r="AD19" s="8">
        <f>D19+Q19</f>
        <v>35.740939999995561</v>
      </c>
    </row>
    <row r="20" spans="1:30" x14ac:dyDescent="0.25">
      <c r="A20" s="1">
        <v>38307</v>
      </c>
      <c r="B20" s="7">
        <f>'[1]Nov Prod'!I19</f>
        <v>5200000.0000007274</v>
      </c>
      <c r="C20" s="8">
        <f t="shared" si="0"/>
        <v>5.2000000000007276</v>
      </c>
      <c r="D20" s="10">
        <f t="shared" si="1"/>
        <v>15.964000000002233</v>
      </c>
      <c r="E20" s="7">
        <f>'[1]Nov Prod'!E19</f>
        <v>6000000</v>
      </c>
      <c r="F20" s="8">
        <f t="shared" si="2"/>
        <v>6</v>
      </c>
      <c r="G20" s="10">
        <f t="shared" si="3"/>
        <v>18.419999999999998</v>
      </c>
      <c r="H20" s="7">
        <f>'[1]Nov Prod'!F19</f>
        <v>0</v>
      </c>
      <c r="I20" s="8">
        <f t="shared" si="15"/>
        <v>0</v>
      </c>
      <c r="J20" s="10">
        <f t="shared" si="4"/>
        <v>0</v>
      </c>
      <c r="K20" s="7">
        <f>'[1]Nov Prod'!$H267*10</f>
        <v>7013310</v>
      </c>
      <c r="L20" s="8">
        <f t="shared" si="17"/>
        <v>0.70133100000000004</v>
      </c>
      <c r="M20" s="10">
        <f t="shared" si="6"/>
        <v>2.1530861699999999</v>
      </c>
      <c r="N20" s="21"/>
      <c r="O20" s="7">
        <f>'[1]Nov Prod'!H19</f>
        <v>7474999.9999999925</v>
      </c>
      <c r="P20" s="8">
        <f t="shared" si="18"/>
        <v>7.4749999999999925</v>
      </c>
      <c r="Q20" s="10">
        <f t="shared" si="8"/>
        <v>22.948249999999977</v>
      </c>
      <c r="R20" s="7">
        <f>'[1]Nov Prod'!C19</f>
        <v>7664000</v>
      </c>
      <c r="S20" s="8">
        <f t="shared" si="19"/>
        <v>7.6639999999999997</v>
      </c>
      <c r="T20" s="10">
        <f t="shared" si="10"/>
        <v>23.528479999999998</v>
      </c>
      <c r="U20" s="7">
        <f>'[1]Nov Prod'!D19</f>
        <v>0</v>
      </c>
      <c r="V20" s="8">
        <f t="shared" si="11"/>
        <v>0</v>
      </c>
      <c r="W20" s="10">
        <f t="shared" si="12"/>
        <v>0</v>
      </c>
      <c r="X20" s="7">
        <f>'[1]Nov Prod'!$D267</f>
        <v>189000.00000000716</v>
      </c>
      <c r="Y20" s="8">
        <f t="shared" si="13"/>
        <v>0.18900000000000716</v>
      </c>
      <c r="Z20" s="10">
        <f t="shared" si="14"/>
        <v>0.58023000000002201</v>
      </c>
      <c r="AA20" s="15"/>
      <c r="AB20" s="7">
        <f t="shared" si="16"/>
        <v>12675000.000000719</v>
      </c>
      <c r="AC20" s="8">
        <f t="shared" si="16"/>
        <v>12.67500000000072</v>
      </c>
      <c r="AD20" s="8">
        <f t="shared" si="16"/>
        <v>38.91225000000221</v>
      </c>
    </row>
    <row r="21" spans="1:30" x14ac:dyDescent="0.25">
      <c r="A21" s="1">
        <v>38308</v>
      </c>
      <c r="B21" s="7">
        <f>'[1]Nov Prod'!I20</f>
        <v>4600000.000002183</v>
      </c>
      <c r="C21" s="8">
        <f t="shared" si="0"/>
        <v>4.6000000000021828</v>
      </c>
      <c r="D21" s="10">
        <f t="shared" si="1"/>
        <v>14.1220000000067</v>
      </c>
      <c r="E21" s="7">
        <f>'[1]Nov Prod'!E20</f>
        <v>5000000</v>
      </c>
      <c r="F21" s="8">
        <f t="shared" si="2"/>
        <v>5</v>
      </c>
      <c r="G21" s="10">
        <f t="shared" si="3"/>
        <v>15.35</v>
      </c>
      <c r="H21" s="7">
        <f>'[1]Nov Prod'!F20</f>
        <v>0</v>
      </c>
      <c r="I21" s="8">
        <f t="shared" si="15"/>
        <v>0</v>
      </c>
      <c r="J21" s="10">
        <f t="shared" si="4"/>
        <v>0</v>
      </c>
      <c r="K21" s="7">
        <f>'[1]Nov Prod'!$H268*10</f>
        <v>5901670</v>
      </c>
      <c r="L21" s="8">
        <f t="shared" si="17"/>
        <v>0.590167</v>
      </c>
      <c r="M21" s="10">
        <f t="shared" si="6"/>
        <v>1.81181269</v>
      </c>
      <c r="N21" s="21"/>
      <c r="O21" s="7">
        <f>'[1]Nov Prod'!H20</f>
        <v>6792000.0000000093</v>
      </c>
      <c r="P21" s="8">
        <f t="shared" si="18"/>
        <v>6.7920000000000096</v>
      </c>
      <c r="Q21" s="10">
        <f t="shared" si="8"/>
        <v>20.851440000000029</v>
      </c>
      <c r="R21" s="7">
        <f>'[1]Nov Prod'!C20</f>
        <v>6933000</v>
      </c>
      <c r="S21" s="8">
        <f t="shared" si="19"/>
        <v>6.9329999999999998</v>
      </c>
      <c r="T21" s="10">
        <f t="shared" si="10"/>
        <v>21.284309999999998</v>
      </c>
      <c r="U21" s="7">
        <f>'[1]Nov Prod'!D20</f>
        <v>0</v>
      </c>
      <c r="V21" s="8">
        <f t="shared" si="11"/>
        <v>0</v>
      </c>
      <c r="W21" s="10">
        <f t="shared" si="12"/>
        <v>0</v>
      </c>
      <c r="X21" s="7">
        <f>'[1]Nov Prod'!$D268</f>
        <v>140999.99999999112</v>
      </c>
      <c r="Y21" s="8">
        <f t="shared" si="13"/>
        <v>0.14099999999999113</v>
      </c>
      <c r="Z21" s="10">
        <f t="shared" si="14"/>
        <v>0.43286999999997278</v>
      </c>
      <c r="AA21" s="15"/>
      <c r="AB21" s="7">
        <f t="shared" si="16"/>
        <v>11392000.000002192</v>
      </c>
      <c r="AC21" s="8">
        <f t="shared" si="16"/>
        <v>11.392000000002191</v>
      </c>
      <c r="AD21" s="8">
        <f t="shared" si="16"/>
        <v>34.973440000006732</v>
      </c>
    </row>
    <row r="22" spans="1:30" x14ac:dyDescent="0.25">
      <c r="A22" s="1">
        <v>38309</v>
      </c>
      <c r="B22" s="7">
        <f>'[1]Nov Prod'!I21</f>
        <v>5299999.9999992726</v>
      </c>
      <c r="C22" s="8">
        <f t="shared" si="0"/>
        <v>5.2999999999992724</v>
      </c>
      <c r="D22" s="10">
        <f t="shared" si="1"/>
        <v>16.270999999997766</v>
      </c>
      <c r="E22" s="7">
        <f>'[1]Nov Prod'!E21</f>
        <v>7000000</v>
      </c>
      <c r="F22" s="8">
        <f t="shared" si="2"/>
        <v>7</v>
      </c>
      <c r="G22" s="10">
        <f t="shared" si="3"/>
        <v>21.49</v>
      </c>
      <c r="H22" s="7">
        <f>'[1]Nov Prod'!F21</f>
        <v>0</v>
      </c>
      <c r="I22" s="8">
        <f t="shared" si="15"/>
        <v>0</v>
      </c>
      <c r="J22" s="10">
        <f t="shared" si="4"/>
        <v>0</v>
      </c>
      <c r="K22" s="7">
        <f>'[1]Nov Prod'!$H269*10</f>
        <v>8330650</v>
      </c>
      <c r="L22" s="8">
        <f t="shared" si="17"/>
        <v>0.83306500000000006</v>
      </c>
      <c r="M22" s="10">
        <f t="shared" si="6"/>
        <v>2.5575095500000002</v>
      </c>
      <c r="N22" s="21"/>
      <c r="O22" s="7">
        <f>'[1]Nov Prod'!H21</f>
        <v>6039999.9999999963</v>
      </c>
      <c r="P22" s="8">
        <f t="shared" si="18"/>
        <v>6.0399999999999965</v>
      </c>
      <c r="Q22" s="10">
        <f t="shared" si="8"/>
        <v>18.542799999999989</v>
      </c>
      <c r="R22" s="7">
        <f>'[1]Nov Prod'!C21</f>
        <v>6133000</v>
      </c>
      <c r="S22" s="8">
        <f t="shared" si="19"/>
        <v>6.133</v>
      </c>
      <c r="T22" s="10">
        <f t="shared" si="10"/>
        <v>18.828309999999998</v>
      </c>
      <c r="U22" s="7">
        <f>'[1]Nov Prod'!D21</f>
        <v>0</v>
      </c>
      <c r="V22" s="8">
        <f t="shared" si="11"/>
        <v>0</v>
      </c>
      <c r="W22" s="10">
        <f t="shared" si="12"/>
        <v>0</v>
      </c>
      <c r="X22" s="7">
        <f>'[1]Nov Prod'!$D269</f>
        <v>93000.000000003522</v>
      </c>
      <c r="Y22" s="8">
        <f t="shared" si="13"/>
        <v>9.3000000000003524E-2</v>
      </c>
      <c r="Z22" s="10">
        <f t="shared" si="14"/>
        <v>0.28551000000001081</v>
      </c>
      <c r="AA22" s="15"/>
      <c r="AB22" s="7">
        <f t="shared" si="16"/>
        <v>11339999.99999927</v>
      </c>
      <c r="AC22" s="8">
        <f t="shared" si="16"/>
        <v>11.339999999999268</v>
      </c>
      <c r="AD22" s="8">
        <f t="shared" si="16"/>
        <v>34.813799999997755</v>
      </c>
    </row>
    <row r="23" spans="1:30" x14ac:dyDescent="0.25">
      <c r="A23" s="1">
        <v>38310</v>
      </c>
      <c r="B23" s="7">
        <f>'[1]Nov Prod'!I22</f>
        <v>6000000</v>
      </c>
      <c r="C23" s="8">
        <f t="shared" si="0"/>
        <v>6</v>
      </c>
      <c r="D23" s="10">
        <f t="shared" si="1"/>
        <v>18.419999999999998</v>
      </c>
      <c r="E23" s="7">
        <f>'[1]Nov Prod'!E22</f>
        <v>7000000</v>
      </c>
      <c r="F23" s="8">
        <f t="shared" si="2"/>
        <v>7</v>
      </c>
      <c r="G23" s="10">
        <f t="shared" si="3"/>
        <v>21.49</v>
      </c>
      <c r="H23" s="7">
        <f>'[1]Nov Prod'!F22</f>
        <v>0</v>
      </c>
      <c r="I23" s="8">
        <f t="shared" si="15"/>
        <v>0</v>
      </c>
      <c r="J23" s="10">
        <f t="shared" si="4"/>
        <v>0</v>
      </c>
      <c r="K23" s="7">
        <f>'[1]Nov Prod'!$H270*10</f>
        <v>7627580</v>
      </c>
      <c r="L23" s="8">
        <f t="shared" si="17"/>
        <v>0.76275800000000005</v>
      </c>
      <c r="M23" s="10">
        <f t="shared" si="6"/>
        <v>2.3416670600000002</v>
      </c>
      <c r="N23" s="21"/>
      <c r="O23" s="7">
        <f>'[1]Nov Prod'!H22</f>
        <v>5704000.0000000028</v>
      </c>
      <c r="P23" s="8">
        <f t="shared" si="18"/>
        <v>5.7040000000000024</v>
      </c>
      <c r="Q23" s="10">
        <f t="shared" si="8"/>
        <v>17.511280000000006</v>
      </c>
      <c r="R23" s="7">
        <f>'[1]Nov Prod'!C22</f>
        <v>5891000</v>
      </c>
      <c r="S23" s="8">
        <f t="shared" si="19"/>
        <v>5.891</v>
      </c>
      <c r="T23" s="10">
        <f t="shared" si="10"/>
        <v>18.085369999999998</v>
      </c>
      <c r="U23" s="7">
        <f>'[1]Nov Prod'!D22</f>
        <v>0</v>
      </c>
      <c r="V23" s="8">
        <f t="shared" si="11"/>
        <v>0</v>
      </c>
      <c r="W23" s="10">
        <f t="shared" si="12"/>
        <v>0</v>
      </c>
      <c r="X23" s="7">
        <f>'[1]Nov Prod'!$D270</f>
        <v>186999.99999999761</v>
      </c>
      <c r="Y23" s="8">
        <f t="shared" si="13"/>
        <v>0.18699999999999761</v>
      </c>
      <c r="Z23" s="10">
        <f t="shared" si="14"/>
        <v>0.57408999999999266</v>
      </c>
      <c r="AA23" s="15"/>
      <c r="AB23" s="7">
        <f t="shared" si="16"/>
        <v>11704000.000000004</v>
      </c>
      <c r="AC23" s="8">
        <f t="shared" si="16"/>
        <v>11.704000000000002</v>
      </c>
      <c r="AD23" s="8">
        <f t="shared" si="16"/>
        <v>35.931280000000001</v>
      </c>
    </row>
    <row r="24" spans="1:30" x14ac:dyDescent="0.25">
      <c r="A24" s="1">
        <v>38311</v>
      </c>
      <c r="B24" s="7">
        <f>'[1]Nov Prod'!I23</f>
        <v>6299999.9999992726</v>
      </c>
      <c r="C24" s="8">
        <f t="shared" si="0"/>
        <v>6.2999999999992724</v>
      </c>
      <c r="D24" s="10">
        <f t="shared" si="1"/>
        <v>19.340999999997766</v>
      </c>
      <c r="E24" s="7">
        <f>'[1]Nov Prod'!E23</f>
        <v>7000000</v>
      </c>
      <c r="F24" s="8">
        <f t="shared" si="2"/>
        <v>7</v>
      </c>
      <c r="G24" s="10">
        <f t="shared" si="3"/>
        <v>21.49</v>
      </c>
      <c r="H24" s="7">
        <f>'[1]Nov Prod'!F23</f>
        <v>0</v>
      </c>
      <c r="I24" s="8">
        <f t="shared" si="15"/>
        <v>0</v>
      </c>
      <c r="J24" s="10">
        <f t="shared" si="4"/>
        <v>0</v>
      </c>
      <c r="K24" s="7">
        <f>'[1]Nov Prod'!$H271*10</f>
        <v>7843250</v>
      </c>
      <c r="L24" s="8">
        <f t="shared" si="17"/>
        <v>0.78432500000000005</v>
      </c>
      <c r="M24" s="10">
        <f t="shared" si="6"/>
        <v>2.4078777499999999</v>
      </c>
      <c r="N24" s="21"/>
      <c r="O24" s="7">
        <f>'[1]Nov Prod'!H23</f>
        <v>5945000.0000000028</v>
      </c>
      <c r="P24" s="8">
        <f t="shared" si="18"/>
        <v>5.9450000000000029</v>
      </c>
      <c r="Q24" s="10">
        <f t="shared" si="8"/>
        <v>18.25115000000001</v>
      </c>
      <c r="R24" s="7">
        <f>'[1]Nov Prod'!C23</f>
        <v>6132000</v>
      </c>
      <c r="S24" s="8">
        <f t="shared" si="19"/>
        <v>6.1319999999999997</v>
      </c>
      <c r="T24" s="10">
        <f t="shared" si="10"/>
        <v>18.825239999999997</v>
      </c>
      <c r="U24" s="7">
        <f>'[1]Nov Prod'!D23</f>
        <v>0</v>
      </c>
      <c r="V24" s="8">
        <f t="shared" si="11"/>
        <v>0</v>
      </c>
      <c r="W24" s="10">
        <f t="shared" si="12"/>
        <v>0</v>
      </c>
      <c r="X24" s="7">
        <f>'[1]Nov Prod'!$D271</f>
        <v>186999.99999999761</v>
      </c>
      <c r="Y24" s="8">
        <f t="shared" si="13"/>
        <v>0.18699999999999761</v>
      </c>
      <c r="Z24" s="10">
        <f t="shared" si="14"/>
        <v>0.57408999999999266</v>
      </c>
      <c r="AA24" s="15"/>
      <c r="AB24" s="7">
        <f t="shared" si="16"/>
        <v>12244999.999999275</v>
      </c>
      <c r="AC24" s="8">
        <f t="shared" si="16"/>
        <v>12.244999999999276</v>
      </c>
      <c r="AD24" s="8">
        <f>D24+Q24</f>
        <v>37.592149999997773</v>
      </c>
    </row>
    <row r="25" spans="1:30" x14ac:dyDescent="0.25">
      <c r="A25" s="1">
        <v>38312</v>
      </c>
      <c r="B25" s="7">
        <f>'[1]Nov Prod'!I24</f>
        <v>5599999.9999985453</v>
      </c>
      <c r="C25" s="8">
        <f t="shared" si="0"/>
        <v>5.5999999999985457</v>
      </c>
      <c r="D25" s="10">
        <f t="shared" si="1"/>
        <v>17.191999999995534</v>
      </c>
      <c r="E25" s="7">
        <f>'[1]Nov Prod'!E24</f>
        <v>7000000</v>
      </c>
      <c r="F25" s="8">
        <f t="shared" si="2"/>
        <v>7</v>
      </c>
      <c r="G25" s="10">
        <f t="shared" si="3"/>
        <v>21.49</v>
      </c>
      <c r="H25" s="7">
        <f>'[1]Nov Prod'!F24</f>
        <v>0</v>
      </c>
      <c r="I25" s="8">
        <f t="shared" si="15"/>
        <v>0</v>
      </c>
      <c r="J25" s="10">
        <f t="shared" si="4"/>
        <v>0</v>
      </c>
      <c r="K25" s="7">
        <f>'[1]Nov Prod'!$H272*10</f>
        <v>7922440</v>
      </c>
      <c r="L25" s="8">
        <f t="shared" si="17"/>
        <v>0.79224399999999995</v>
      </c>
      <c r="M25" s="10">
        <f t="shared" si="6"/>
        <v>2.4321890799999997</v>
      </c>
      <c r="N25" s="21"/>
      <c r="O25" s="7">
        <f>'[1]Nov Prod'!H24</f>
        <v>5841999.9999999991</v>
      </c>
      <c r="P25" s="8">
        <f t="shared" si="18"/>
        <v>5.8419999999999987</v>
      </c>
      <c r="Q25" s="10">
        <f t="shared" si="8"/>
        <v>17.934939999999994</v>
      </c>
      <c r="R25" s="7">
        <f>'[1]Nov Prod'!C24</f>
        <v>5982000</v>
      </c>
      <c r="S25" s="8">
        <f t="shared" si="19"/>
        <v>5.9820000000000002</v>
      </c>
      <c r="T25" s="10">
        <f t="shared" si="10"/>
        <v>18.364740000000001</v>
      </c>
      <c r="U25" s="7">
        <f>'[1]Nov Prod'!D24</f>
        <v>0</v>
      </c>
      <c r="V25" s="8">
        <f t="shared" si="11"/>
        <v>0</v>
      </c>
      <c r="W25" s="10">
        <f t="shared" si="12"/>
        <v>0</v>
      </c>
      <c r="X25" s="7">
        <f>'[1]Nov Prod'!$D272</f>
        <v>140000.00000000058</v>
      </c>
      <c r="Y25" s="8">
        <f t="shared" si="13"/>
        <v>0.14000000000000057</v>
      </c>
      <c r="Z25" s="10">
        <f t="shared" si="14"/>
        <v>0.42980000000000174</v>
      </c>
      <c r="AA25" s="15"/>
      <c r="AB25" s="7">
        <f t="shared" si="16"/>
        <v>11441999.999998543</v>
      </c>
      <c r="AC25" s="8">
        <f t="shared" si="16"/>
        <v>11.441999999998544</v>
      </c>
      <c r="AD25" s="8">
        <f t="shared" si="16"/>
        <v>35.126939999995528</v>
      </c>
    </row>
    <row r="26" spans="1:30" x14ac:dyDescent="0.25">
      <c r="A26" s="1">
        <v>38313</v>
      </c>
      <c r="B26" s="7">
        <f>'[1]Nov Prod'!I25</f>
        <v>6200000.0000007274</v>
      </c>
      <c r="C26" s="8">
        <f t="shared" si="0"/>
        <v>6.2000000000007276</v>
      </c>
      <c r="D26" s="10">
        <f t="shared" si="1"/>
        <v>19.034000000002234</v>
      </c>
      <c r="E26" s="7">
        <f>'[1]Nov Prod'!E25</f>
        <v>7000000</v>
      </c>
      <c r="F26" s="8">
        <f t="shared" si="2"/>
        <v>7</v>
      </c>
      <c r="G26" s="10">
        <f t="shared" si="3"/>
        <v>21.49</v>
      </c>
      <c r="H26" s="7">
        <f>'[1]Nov Prod'!F25</f>
        <v>0</v>
      </c>
      <c r="I26" s="8">
        <f t="shared" si="15"/>
        <v>0</v>
      </c>
      <c r="J26" s="10">
        <f t="shared" si="4"/>
        <v>0</v>
      </c>
      <c r="K26" s="7">
        <f>'[1]Nov Prod'!$H273*10</f>
        <v>8332110</v>
      </c>
      <c r="L26" s="8">
        <f t="shared" si="17"/>
        <v>0.83321100000000003</v>
      </c>
      <c r="M26" s="10">
        <f t="shared" si="6"/>
        <v>2.5579577699999998</v>
      </c>
      <c r="N26" s="21"/>
      <c r="O26" s="7">
        <f>'[1]Nov Prod'!H25</f>
        <v>7312999.9999999898</v>
      </c>
      <c r="P26" s="8">
        <f t="shared" si="18"/>
        <v>7.31299999999999</v>
      </c>
      <c r="Q26" s="10">
        <f t="shared" si="8"/>
        <v>22.450909999999968</v>
      </c>
      <c r="R26" s="7">
        <f>'[1]Nov Prod'!C25</f>
        <v>7452000</v>
      </c>
      <c r="S26" s="8">
        <f t="shared" si="19"/>
        <v>7.452</v>
      </c>
      <c r="T26" s="10">
        <f t="shared" si="10"/>
        <v>22.87764</v>
      </c>
      <c r="U26" s="7">
        <f>'[1]Nov Prod'!D25</f>
        <v>0</v>
      </c>
      <c r="V26" s="8">
        <f t="shared" si="11"/>
        <v>0</v>
      </c>
      <c r="W26" s="10">
        <f t="shared" si="12"/>
        <v>0</v>
      </c>
      <c r="X26" s="7">
        <f>'[1]Nov Prod'!$D273</f>
        <v>139000.00000001001</v>
      </c>
      <c r="Y26" s="8">
        <f t="shared" si="13"/>
        <v>0.13900000000001</v>
      </c>
      <c r="Z26" s="10">
        <f t="shared" si="14"/>
        <v>0.4267300000000307</v>
      </c>
      <c r="AA26" s="15"/>
      <c r="AB26" s="7">
        <f t="shared" si="16"/>
        <v>13513000.000000717</v>
      </c>
      <c r="AC26" s="8">
        <f t="shared" si="16"/>
        <v>13.513000000000718</v>
      </c>
      <c r="AD26" s="8">
        <f t="shared" si="16"/>
        <v>41.484910000002202</v>
      </c>
    </row>
    <row r="27" spans="1:30" x14ac:dyDescent="0.25">
      <c r="A27" s="1">
        <v>38314</v>
      </c>
      <c r="B27" s="7">
        <f>'[1]Nov Prod'!I26</f>
        <v>4200000.0000007274</v>
      </c>
      <c r="C27" s="8">
        <f t="shared" si="0"/>
        <v>4.2000000000007276</v>
      </c>
      <c r="D27" s="10">
        <f t="shared" si="1"/>
        <v>12.894000000002233</v>
      </c>
      <c r="E27" s="7">
        <f>'[1]Nov Prod'!E26</f>
        <v>5000000</v>
      </c>
      <c r="F27" s="8">
        <f t="shared" si="2"/>
        <v>5</v>
      </c>
      <c r="G27" s="10">
        <f t="shared" si="3"/>
        <v>15.35</v>
      </c>
      <c r="H27" s="7">
        <f>'[1]Nov Prod'!F26</f>
        <v>0</v>
      </c>
      <c r="I27" s="8">
        <f t="shared" si="15"/>
        <v>0</v>
      </c>
      <c r="J27" s="10">
        <f t="shared" si="4"/>
        <v>0</v>
      </c>
      <c r="K27" s="7">
        <f>'[1]Nov Prod'!$H274*10</f>
        <v>6400820</v>
      </c>
      <c r="L27" s="8">
        <f t="shared" si="17"/>
        <v>0.64008200000000004</v>
      </c>
      <c r="M27" s="10">
        <f t="shared" si="6"/>
        <v>1.96505174</v>
      </c>
      <c r="N27" s="21"/>
      <c r="O27" s="7">
        <f>'[1]Nov Prod'!H26</f>
        <v>8063000.0000000028</v>
      </c>
      <c r="P27" s="8">
        <f t="shared" si="18"/>
        <v>8.0630000000000024</v>
      </c>
      <c r="Q27" s="10">
        <f t="shared" si="8"/>
        <v>24.753410000000006</v>
      </c>
      <c r="R27" s="7">
        <f>'[1]Nov Prod'!C26</f>
        <v>8250000</v>
      </c>
      <c r="S27" s="8">
        <f t="shared" si="19"/>
        <v>8.25</v>
      </c>
      <c r="T27" s="10">
        <f t="shared" si="10"/>
        <v>25.327499999999997</v>
      </c>
      <c r="U27" s="7">
        <f>'[1]Nov Prod'!D26</f>
        <v>0</v>
      </c>
      <c r="V27" s="8">
        <f t="shared" si="11"/>
        <v>0</v>
      </c>
      <c r="W27" s="10">
        <f t="shared" si="12"/>
        <v>0</v>
      </c>
      <c r="X27" s="7">
        <f>'[1]Nov Prod'!$D274</f>
        <v>186999.99999999761</v>
      </c>
      <c r="Y27" s="8">
        <f t="shared" si="13"/>
        <v>0.18699999999999761</v>
      </c>
      <c r="Z27" s="10">
        <f t="shared" si="14"/>
        <v>0.57408999999999266</v>
      </c>
      <c r="AA27" s="15"/>
      <c r="AB27" s="7">
        <f t="shared" si="16"/>
        <v>12263000.00000073</v>
      </c>
      <c r="AC27" s="8">
        <f t="shared" si="16"/>
        <v>12.26300000000073</v>
      </c>
      <c r="AD27" s="8">
        <f t="shared" si="16"/>
        <v>37.647410000002239</v>
      </c>
    </row>
    <row r="28" spans="1:30" x14ac:dyDescent="0.25">
      <c r="A28" s="1">
        <v>38315</v>
      </c>
      <c r="B28" s="7">
        <f>'[1]Nov Prod'!I27</f>
        <v>5299999.9999992726</v>
      </c>
      <c r="C28" s="8">
        <f t="shared" si="0"/>
        <v>5.2999999999992724</v>
      </c>
      <c r="D28" s="10">
        <f t="shared" si="1"/>
        <v>16.270999999997766</v>
      </c>
      <c r="E28" s="7">
        <f>'[1]Nov Prod'!E27</f>
        <v>6000000</v>
      </c>
      <c r="F28" s="8">
        <f t="shared" si="2"/>
        <v>6</v>
      </c>
      <c r="G28" s="10">
        <f t="shared" si="3"/>
        <v>18.419999999999998</v>
      </c>
      <c r="H28" s="7">
        <f>'[1]Nov Prod'!F27</f>
        <v>0</v>
      </c>
      <c r="I28" s="8">
        <f t="shared" si="15"/>
        <v>0</v>
      </c>
      <c r="J28" s="10">
        <f t="shared" si="4"/>
        <v>0</v>
      </c>
      <c r="K28" s="7">
        <f>'[1]Nov Prod'!$H275*10</f>
        <v>6290250</v>
      </c>
      <c r="L28" s="8">
        <f t="shared" si="17"/>
        <v>0.62902499999999995</v>
      </c>
      <c r="M28" s="10">
        <f t="shared" si="6"/>
        <v>1.9311067499999996</v>
      </c>
      <c r="N28" s="21"/>
      <c r="O28" s="7">
        <f>'[1]Nov Prod'!H27</f>
        <v>6539000.0000000093</v>
      </c>
      <c r="P28" s="8">
        <f t="shared" si="18"/>
        <v>6.5390000000000095</v>
      </c>
      <c r="Q28" s="10">
        <f t="shared" si="8"/>
        <v>20.074730000000027</v>
      </c>
      <c r="R28" s="7">
        <f>'[1]Nov Prod'!C27</f>
        <v>6540000</v>
      </c>
      <c r="S28" s="8">
        <f t="shared" si="19"/>
        <v>6.54</v>
      </c>
      <c r="T28" s="10">
        <f t="shared" si="10"/>
        <v>20.0778</v>
      </c>
      <c r="U28" s="7">
        <f>'[1]Nov Prod'!D27</f>
        <v>0</v>
      </c>
      <c r="V28" s="8">
        <f t="shared" si="11"/>
        <v>0</v>
      </c>
      <c r="W28" s="10">
        <f t="shared" si="12"/>
        <v>0</v>
      </c>
      <c r="X28" s="7">
        <f>'[1]Nov Prod'!$D275</f>
        <v>999.99999999056399</v>
      </c>
      <c r="Y28" s="8">
        <f t="shared" si="13"/>
        <v>9.9999999999056399E-4</v>
      </c>
      <c r="Z28" s="10">
        <f t="shared" si="14"/>
        <v>3.0699999999710312E-3</v>
      </c>
      <c r="AA28" s="15"/>
      <c r="AB28" s="7">
        <f t="shared" si="16"/>
        <v>11838999.999999281</v>
      </c>
      <c r="AC28" s="8">
        <f t="shared" si="16"/>
        <v>11.838999999999281</v>
      </c>
      <c r="AD28" s="8">
        <f t="shared" si="16"/>
        <v>36.345729999997793</v>
      </c>
    </row>
    <row r="29" spans="1:30" x14ac:dyDescent="0.25">
      <c r="A29" s="1">
        <v>38316</v>
      </c>
      <c r="B29" s="7">
        <f>'[1]Nov Prod'!I28</f>
        <v>6600000.000002183</v>
      </c>
      <c r="C29" s="8">
        <f t="shared" si="0"/>
        <v>6.6000000000021828</v>
      </c>
      <c r="D29" s="10">
        <f t="shared" si="1"/>
        <v>20.262000000006701</v>
      </c>
      <c r="E29" s="7">
        <f>'[1]Nov Prod'!E28</f>
        <v>7000000</v>
      </c>
      <c r="F29" s="8">
        <f t="shared" si="2"/>
        <v>7</v>
      </c>
      <c r="G29" s="10">
        <f t="shared" si="3"/>
        <v>21.49</v>
      </c>
      <c r="H29" s="7">
        <f>'[1]Nov Prod'!F28</f>
        <v>0</v>
      </c>
      <c r="I29" s="8">
        <f t="shared" si="15"/>
        <v>0</v>
      </c>
      <c r="J29" s="10">
        <f t="shared" si="4"/>
        <v>0</v>
      </c>
      <c r="K29" s="7">
        <f>'[1]Nov Prod'!$H276*10</f>
        <v>7730440</v>
      </c>
      <c r="L29" s="8">
        <f t="shared" si="17"/>
        <v>0.77304399999999995</v>
      </c>
      <c r="M29" s="10">
        <f t="shared" si="6"/>
        <v>2.3732450799999998</v>
      </c>
      <c r="N29" s="21"/>
      <c r="O29" s="7">
        <f>'[1]Nov Prod'!H28</f>
        <v>7946000</v>
      </c>
      <c r="P29" s="8">
        <f t="shared" si="18"/>
        <v>7.9459999999999997</v>
      </c>
      <c r="Q29" s="10">
        <f t="shared" si="8"/>
        <v>24.394219999999997</v>
      </c>
      <c r="R29" s="7">
        <f>'[1]Nov Prod'!C28</f>
        <v>7949000</v>
      </c>
      <c r="S29" s="8">
        <f t="shared" si="19"/>
        <v>7.9489999999999998</v>
      </c>
      <c r="T29" s="10">
        <f t="shared" si="10"/>
        <v>24.403429999999997</v>
      </c>
      <c r="U29" s="7">
        <f>'[1]Nov Prod'!D28</f>
        <v>0</v>
      </c>
      <c r="V29" s="8">
        <f t="shared" si="11"/>
        <v>0</v>
      </c>
      <c r="W29" s="10">
        <f t="shared" si="12"/>
        <v>0</v>
      </c>
      <c r="X29" s="7">
        <f>'[1]Nov Prod'!$D276</f>
        <v>3000.0000000001137</v>
      </c>
      <c r="Y29" s="8">
        <f t="shared" si="13"/>
        <v>3.0000000000001137E-3</v>
      </c>
      <c r="Z29" s="10">
        <f t="shared" si="14"/>
        <v>9.2100000000003481E-3</v>
      </c>
      <c r="AA29" s="15"/>
      <c r="AB29" s="7">
        <f t="shared" si="16"/>
        <v>14546000.000002183</v>
      </c>
      <c r="AC29" s="8">
        <f t="shared" si="16"/>
        <v>14.546000000002183</v>
      </c>
      <c r="AD29" s="8">
        <f t="shared" si="16"/>
        <v>44.656220000006698</v>
      </c>
    </row>
    <row r="30" spans="1:30" x14ac:dyDescent="0.25">
      <c r="A30" s="1">
        <v>38317</v>
      </c>
      <c r="B30" s="7">
        <f>'[1]Nov Prod'!I29</f>
        <v>4299999.9999992726</v>
      </c>
      <c r="C30" s="8">
        <f t="shared" si="0"/>
        <v>4.2999999999992724</v>
      </c>
      <c r="D30" s="10">
        <f t="shared" si="1"/>
        <v>13.200999999997766</v>
      </c>
      <c r="E30" s="7">
        <f>'[1]Nov Prod'!E29</f>
        <v>6000000</v>
      </c>
      <c r="F30" s="8">
        <f t="shared" si="2"/>
        <v>6</v>
      </c>
      <c r="G30" s="10">
        <f t="shared" si="3"/>
        <v>18.419999999999998</v>
      </c>
      <c r="H30" s="7">
        <f>'[1]Nov Prod'!F29</f>
        <v>0</v>
      </c>
      <c r="I30" s="8">
        <f t="shared" si="15"/>
        <v>0</v>
      </c>
      <c r="J30" s="10">
        <f t="shared" si="4"/>
        <v>0</v>
      </c>
      <c r="K30" s="7">
        <f>'[1]Nov Prod'!$H277*10</f>
        <v>8565140</v>
      </c>
      <c r="L30" s="8">
        <f t="shared" si="17"/>
        <v>0.856514</v>
      </c>
      <c r="M30" s="10">
        <f t="shared" si="6"/>
        <v>2.62949798</v>
      </c>
      <c r="N30" s="21"/>
      <c r="O30" s="7">
        <f>'[1]Nov Prod'!H29</f>
        <v>8393999.9999999944</v>
      </c>
      <c r="P30" s="8">
        <f t="shared" si="18"/>
        <v>8.3939999999999948</v>
      </c>
      <c r="Q30" s="10">
        <f t="shared" si="8"/>
        <v>25.769579999999983</v>
      </c>
      <c r="R30" s="7">
        <f>'[1]Nov Prod'!C29</f>
        <v>8410000</v>
      </c>
      <c r="S30" s="8">
        <f t="shared" si="19"/>
        <v>8.41</v>
      </c>
      <c r="T30" s="10">
        <f t="shared" si="10"/>
        <v>25.8187</v>
      </c>
      <c r="U30" s="7">
        <f>'[1]Nov Prod'!D29</f>
        <v>0</v>
      </c>
      <c r="V30" s="8">
        <f t="shared" si="11"/>
        <v>0</v>
      </c>
      <c r="W30" s="10">
        <f t="shared" si="12"/>
        <v>0</v>
      </c>
      <c r="X30" s="7">
        <f>'[1]Nov Prod'!$D277</f>
        <v>16000.000000005344</v>
      </c>
      <c r="Y30" s="8">
        <f t="shared" si="13"/>
        <v>1.6000000000005343E-2</v>
      </c>
      <c r="Z30" s="10">
        <f t="shared" si="14"/>
        <v>4.9120000000016401E-2</v>
      </c>
      <c r="AA30" s="15"/>
      <c r="AB30" s="7">
        <f t="shared" si="16"/>
        <v>12693999.999999266</v>
      </c>
      <c r="AC30" s="8">
        <f t="shared" si="16"/>
        <v>12.693999999999267</v>
      </c>
      <c r="AD30" s="8">
        <f>D30+Q30</f>
        <v>38.970579999997753</v>
      </c>
    </row>
    <row r="31" spans="1:30" x14ac:dyDescent="0.25">
      <c r="A31" s="1">
        <v>38318</v>
      </c>
      <c r="B31" s="7">
        <f>'[1]Nov Prod'!I30</f>
        <v>4500000</v>
      </c>
      <c r="C31" s="8">
        <f t="shared" si="0"/>
        <v>4.5</v>
      </c>
      <c r="D31" s="10">
        <f t="shared" si="1"/>
        <v>13.815</v>
      </c>
      <c r="E31" s="7">
        <f>'[1]Nov Prod'!E30</f>
        <v>5000000</v>
      </c>
      <c r="F31" s="8">
        <f t="shared" si="2"/>
        <v>5</v>
      </c>
      <c r="G31" s="10">
        <f t="shared" si="3"/>
        <v>15.35</v>
      </c>
      <c r="H31" s="7">
        <f>'[1]Nov Prod'!F30</f>
        <v>0</v>
      </c>
      <c r="I31" s="8">
        <f t="shared" si="15"/>
        <v>0</v>
      </c>
      <c r="J31" s="10">
        <f t="shared" si="4"/>
        <v>0</v>
      </c>
      <c r="K31" s="7">
        <f>'[1]Nov Prod'!$H278*10</f>
        <v>8551240</v>
      </c>
      <c r="L31" s="8">
        <f t="shared" si="17"/>
        <v>0.855124</v>
      </c>
      <c r="M31" s="10">
        <f t="shared" si="6"/>
        <v>2.62523068</v>
      </c>
      <c r="N31" s="21"/>
      <c r="O31" s="7">
        <f>'[1]Nov Prod'!H30</f>
        <v>4955000</v>
      </c>
      <c r="P31" s="8">
        <f t="shared" si="18"/>
        <v>4.9550000000000001</v>
      </c>
      <c r="Q31" s="10">
        <f t="shared" si="8"/>
        <v>15.21185</v>
      </c>
      <c r="R31" s="7">
        <f>'[1]Nov Prod'!C30</f>
        <v>4961000</v>
      </c>
      <c r="S31" s="8">
        <f t="shared" si="19"/>
        <v>4.9610000000000003</v>
      </c>
      <c r="T31" s="10">
        <f t="shared" si="10"/>
        <v>15.230270000000001</v>
      </c>
      <c r="U31" s="7">
        <f>'[1]Nov Prod'!D30</f>
        <v>0</v>
      </c>
      <c r="V31" s="8">
        <f t="shared" si="11"/>
        <v>0</v>
      </c>
      <c r="W31" s="10">
        <f t="shared" si="12"/>
        <v>0</v>
      </c>
      <c r="X31" s="7">
        <f>'[1]Nov Prod'!$D278</f>
        <v>6000.0000000002274</v>
      </c>
      <c r="Y31" s="8">
        <f t="shared" si="13"/>
        <v>6.0000000000002274E-3</v>
      </c>
      <c r="Z31" s="10">
        <f t="shared" si="14"/>
        <v>1.8420000000000696E-2</v>
      </c>
      <c r="AA31" s="15"/>
      <c r="AB31" s="7">
        <f t="shared" si="16"/>
        <v>9455000</v>
      </c>
      <c r="AC31" s="8">
        <f t="shared" si="16"/>
        <v>9.4550000000000001</v>
      </c>
      <c r="AD31" s="8">
        <f t="shared" si="16"/>
        <v>29.02685</v>
      </c>
    </row>
    <row r="32" spans="1:30" x14ac:dyDescent="0.25">
      <c r="A32" s="1">
        <v>38319</v>
      </c>
      <c r="B32" s="7">
        <f>'[1]Nov Prod'!I31</f>
        <v>4500000</v>
      </c>
      <c r="C32" s="8">
        <f t="shared" si="0"/>
        <v>4.5</v>
      </c>
      <c r="D32" s="10">
        <f t="shared" si="1"/>
        <v>13.815</v>
      </c>
      <c r="E32" s="7">
        <f>'[1]Nov Prod'!E31</f>
        <v>5000000</v>
      </c>
      <c r="F32" s="8">
        <f t="shared" si="2"/>
        <v>5</v>
      </c>
      <c r="G32" s="10">
        <f t="shared" si="3"/>
        <v>15.35</v>
      </c>
      <c r="H32" s="7">
        <f>'[1]Nov Prod'!F31</f>
        <v>0</v>
      </c>
      <c r="I32" s="8">
        <f t="shared" si="15"/>
        <v>0</v>
      </c>
      <c r="J32" s="10">
        <f t="shared" si="4"/>
        <v>0</v>
      </c>
      <c r="K32" s="7">
        <f>'[1]Nov Prod'!$H279*10</f>
        <v>5538740</v>
      </c>
      <c r="L32" s="8">
        <f t="shared" si="17"/>
        <v>0.55387399999999998</v>
      </c>
      <c r="M32" s="10">
        <f t="shared" si="6"/>
        <v>1.7003931799999998</v>
      </c>
      <c r="N32" s="21"/>
      <c r="O32" s="7">
        <f>'[1]Nov Prod'!H31</f>
        <v>5910000</v>
      </c>
      <c r="P32" s="8">
        <f t="shared" si="18"/>
        <v>5.91</v>
      </c>
      <c r="Q32" s="10">
        <f t="shared" si="8"/>
        <v>18.143699999999999</v>
      </c>
      <c r="R32" s="7">
        <f>'[1]Nov Prod'!C31</f>
        <v>5910000</v>
      </c>
      <c r="S32" s="8">
        <f t="shared" si="19"/>
        <v>5.91</v>
      </c>
      <c r="T32" s="10">
        <f t="shared" si="10"/>
        <v>18.143699999999999</v>
      </c>
      <c r="U32" s="7">
        <f>'[1]Nov Prod'!D31</f>
        <v>0</v>
      </c>
      <c r="V32" s="8">
        <f t="shared" si="11"/>
        <v>0</v>
      </c>
      <c r="W32" s="10">
        <f t="shared" si="12"/>
        <v>0</v>
      </c>
      <c r="X32" s="7">
        <f>'[1]Nov Prod'!$D279</f>
        <v>0</v>
      </c>
      <c r="Y32" s="8">
        <f t="shared" si="13"/>
        <v>0</v>
      </c>
      <c r="Z32" s="10">
        <f t="shared" si="14"/>
        <v>0</v>
      </c>
      <c r="AA32" s="15"/>
      <c r="AB32" s="7">
        <f t="shared" si="16"/>
        <v>10410000</v>
      </c>
      <c r="AC32" s="8">
        <f t="shared" si="16"/>
        <v>10.41</v>
      </c>
      <c r="AD32" s="8">
        <f t="shared" si="16"/>
        <v>31.9587</v>
      </c>
    </row>
    <row r="33" spans="1:30" x14ac:dyDescent="0.25">
      <c r="A33" s="1">
        <v>38320</v>
      </c>
      <c r="B33" s="7">
        <f>'[1]Nov Prod'!I32</f>
        <v>3299999.9999992726</v>
      </c>
      <c r="C33" s="8">
        <f t="shared" si="0"/>
        <v>3.2999999999992728</v>
      </c>
      <c r="D33" s="10">
        <f t="shared" si="1"/>
        <v>10.130999999997767</v>
      </c>
      <c r="E33" s="7">
        <f>'[1]Nov Prod'!E32</f>
        <v>5000000</v>
      </c>
      <c r="F33" s="8">
        <f t="shared" si="2"/>
        <v>5</v>
      </c>
      <c r="G33" s="10">
        <f t="shared" si="3"/>
        <v>15.35</v>
      </c>
      <c r="H33" s="7">
        <f>'[1]Nov Prod'!F32</f>
        <v>0</v>
      </c>
      <c r="I33" s="8">
        <f t="shared" si="15"/>
        <v>0</v>
      </c>
      <c r="J33" s="10">
        <f t="shared" si="4"/>
        <v>0</v>
      </c>
      <c r="K33" s="7">
        <f>'[1]Nov Prod'!$H280*10</f>
        <v>156990</v>
      </c>
      <c r="L33" s="8">
        <f t="shared" si="17"/>
        <v>1.5699000000000001E-2</v>
      </c>
      <c r="M33" s="10">
        <f t="shared" si="6"/>
        <v>4.8195929999999998E-2</v>
      </c>
      <c r="N33" s="21"/>
      <c r="O33" s="7">
        <f>'[1]Nov Prod'!H32</f>
        <v>9520000</v>
      </c>
      <c r="P33" s="8">
        <f t="shared" si="18"/>
        <v>9.52</v>
      </c>
      <c r="Q33" s="10">
        <f t="shared" si="8"/>
        <v>29.226399999999998</v>
      </c>
      <c r="R33" s="7">
        <f>'[1]Nov Prod'!C32</f>
        <v>9526000</v>
      </c>
      <c r="S33" s="8">
        <f t="shared" si="19"/>
        <v>9.5259999999999998</v>
      </c>
      <c r="T33" s="10">
        <f t="shared" si="10"/>
        <v>29.244819999999997</v>
      </c>
      <c r="U33" s="7">
        <f>'[1]Nov Prod'!D32</f>
        <v>0</v>
      </c>
      <c r="V33" s="8">
        <f t="shared" si="11"/>
        <v>0</v>
      </c>
      <c r="W33" s="10">
        <f t="shared" si="12"/>
        <v>0</v>
      </c>
      <c r="X33" s="7">
        <f>'[1]Nov Prod'!$D280</f>
        <v>6000.0000000002274</v>
      </c>
      <c r="Y33" s="8">
        <f t="shared" si="13"/>
        <v>6.0000000000002274E-3</v>
      </c>
      <c r="Z33" s="10">
        <f t="shared" si="14"/>
        <v>1.8420000000000696E-2</v>
      </c>
      <c r="AA33" s="15"/>
      <c r="AB33" s="7">
        <f t="shared" si="16"/>
        <v>12819999.999999274</v>
      </c>
      <c r="AC33" s="8">
        <f t="shared" si="16"/>
        <v>12.819999999999272</v>
      </c>
      <c r="AD33" s="8">
        <f t="shared" si="16"/>
        <v>39.357399999997767</v>
      </c>
    </row>
    <row r="34" spans="1:30" ht="13.8" thickBot="1" x14ac:dyDescent="0.3">
      <c r="A34" s="1">
        <v>38321</v>
      </c>
      <c r="B34" s="7">
        <f>'[1]Nov Prod'!I33</f>
        <v>5500000</v>
      </c>
      <c r="C34" s="8">
        <f t="shared" si="0"/>
        <v>5.5</v>
      </c>
      <c r="D34" s="10">
        <f t="shared" si="1"/>
        <v>16.884999999999998</v>
      </c>
      <c r="E34" s="7">
        <f>'[1]Nov Prod'!E33</f>
        <v>6000000</v>
      </c>
      <c r="F34" s="8">
        <f t="shared" si="2"/>
        <v>6</v>
      </c>
      <c r="G34" s="10">
        <f t="shared" si="3"/>
        <v>18.419999999999998</v>
      </c>
      <c r="H34" s="7">
        <f>'[1]Nov Prod'!F33</f>
        <v>0</v>
      </c>
      <c r="I34" s="8">
        <f t="shared" si="15"/>
        <v>0</v>
      </c>
      <c r="J34" s="10">
        <f t="shared" si="4"/>
        <v>0</v>
      </c>
      <c r="K34" s="7">
        <f>'[1]Nov Prod'!$H281*10</f>
        <v>7260120</v>
      </c>
      <c r="L34" s="8">
        <f t="shared" si="17"/>
        <v>0.72601199999999999</v>
      </c>
      <c r="M34" s="10">
        <f t="shared" si="6"/>
        <v>2.2288568399999997</v>
      </c>
      <c r="N34" s="21"/>
      <c r="O34" s="7">
        <f>'[1]Nov Prod'!H33</f>
        <v>9607000.0000000037</v>
      </c>
      <c r="P34" s="8">
        <f t="shared" si="18"/>
        <v>9.6070000000000029</v>
      </c>
      <c r="Q34" s="10">
        <f t="shared" si="8"/>
        <v>29.493490000000008</v>
      </c>
      <c r="R34" s="7">
        <f>'[1]Nov Prod'!C33</f>
        <v>9612000</v>
      </c>
      <c r="S34" s="8">
        <f t="shared" si="19"/>
        <v>9.6120000000000001</v>
      </c>
      <c r="T34" s="10">
        <f t="shared" si="10"/>
        <v>29.508839999999999</v>
      </c>
      <c r="U34" s="7">
        <f>'[1]Nov Prod'!D33</f>
        <v>0</v>
      </c>
      <c r="V34" s="8">
        <f t="shared" si="11"/>
        <v>0</v>
      </c>
      <c r="W34" s="10">
        <f t="shared" si="12"/>
        <v>0</v>
      </c>
      <c r="X34" s="7">
        <f>'[1]Nov Prod'!$D281</f>
        <v>4999.9999999954525</v>
      </c>
      <c r="Y34" s="8">
        <f t="shared" si="13"/>
        <v>4.9999999999954525E-3</v>
      </c>
      <c r="Z34" s="10">
        <f t="shared" si="14"/>
        <v>1.5349999999986038E-2</v>
      </c>
      <c r="AA34" s="15"/>
      <c r="AB34" s="7">
        <f t="shared" si="16"/>
        <v>15107000.000000004</v>
      </c>
      <c r="AC34" s="8">
        <f t="shared" si="16"/>
        <v>15.107000000000003</v>
      </c>
      <c r="AD34" s="8">
        <f t="shared" si="16"/>
        <v>46.378490000000006</v>
      </c>
    </row>
    <row r="35" spans="1:30" ht="13.8" thickBot="1" x14ac:dyDescent="0.3">
      <c r="A35" s="20"/>
      <c r="B35" s="38"/>
      <c r="C35" s="39">
        <f>SUM(C5:C34)</f>
        <v>182.79999999999927</v>
      </c>
      <c r="D35" s="39">
        <f>SUM(D5:D34)</f>
        <v>561.19599999999787</v>
      </c>
      <c r="E35" s="38"/>
      <c r="F35" s="39">
        <f>SUM(F5:F34)</f>
        <v>195</v>
      </c>
      <c r="G35" s="39">
        <f>SUM(G5:G34)</f>
        <v>598.65000000000009</v>
      </c>
      <c r="H35" s="38"/>
      <c r="I35" s="39">
        <f>SUM(I5:I34)</f>
        <v>17.260000000000002</v>
      </c>
      <c r="J35" s="39">
        <f>SUM(J5:J34)</f>
        <v>52.988199999999992</v>
      </c>
      <c r="K35" s="38"/>
      <c r="L35" s="39">
        <f>SUM(L5:L34)</f>
        <v>24.360132</v>
      </c>
      <c r="M35" s="39">
        <f>SUM(M5:M34)</f>
        <v>74.78560524000001</v>
      </c>
      <c r="N35" s="14"/>
      <c r="O35" s="38"/>
      <c r="P35" s="39">
        <f>SUM(P5:P34)</f>
        <v>187.40700000000004</v>
      </c>
      <c r="Q35" s="39">
        <f>SUM(Q5:Q34)</f>
        <v>575.33949000000007</v>
      </c>
      <c r="R35" s="38"/>
      <c r="S35" s="39">
        <f>SUM(S5:S34)</f>
        <v>190.63600000000002</v>
      </c>
      <c r="T35" s="39">
        <f>SUM(T5:T34)</f>
        <v>585.25252</v>
      </c>
      <c r="U35" s="38"/>
      <c r="V35" s="39">
        <f>SUM(V5:V34)</f>
        <v>0</v>
      </c>
      <c r="W35" s="39">
        <f>SUM(W5:W34)</f>
        <v>0</v>
      </c>
      <c r="X35" s="38"/>
      <c r="Y35" s="39">
        <f>SUM(Y5:Y34)</f>
        <v>3.2289999999999992</v>
      </c>
      <c r="Z35" s="39">
        <f>SUM(Z5:Z34)</f>
        <v>9.9130299999999973</v>
      </c>
      <c r="AA35" s="14"/>
      <c r="AB35" s="38">
        <f t="shared" si="16"/>
        <v>0</v>
      </c>
      <c r="AC35" s="39">
        <f t="shared" si="16"/>
        <v>370.20699999999931</v>
      </c>
      <c r="AD35" s="39">
        <f t="shared" si="16"/>
        <v>1136.5354899999979</v>
      </c>
    </row>
    <row r="36" spans="1:30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I20" activePane="bottomRight" state="frozen"/>
      <selection pane="topRight" activeCell="B1" sqref="B1"/>
      <selection pane="bottomLeft" activeCell="A5" sqref="A5"/>
      <selection pane="bottomRight" activeCell="T35" sqref="T5:T35"/>
    </sheetView>
  </sheetViews>
  <sheetFormatPr defaultRowHeight="13.2" x14ac:dyDescent="0.25"/>
  <cols>
    <col min="2" max="2" width="14.44140625" bestFit="1" customWidth="1"/>
    <col min="5" max="5" width="11" customWidth="1"/>
    <col min="8" max="8" width="13.44140625" bestFit="1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25">
      <c r="B1" s="40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8" thickBot="1" x14ac:dyDescent="0.3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1">
        <v>38322</v>
      </c>
      <c r="B5" s="7">
        <f>'[2]Dec Prod'!I4</f>
        <v>5799999.9999992726</v>
      </c>
      <c r="C5" s="8">
        <f t="shared" ref="C5:C35" si="0">B5/1000000</f>
        <v>5.7999999999992724</v>
      </c>
      <c r="D5" s="10">
        <f t="shared" ref="D5:D35" si="1">C5*3.07</f>
        <v>17.805999999997766</v>
      </c>
      <c r="E5" s="7">
        <f>'[2]Dec Prod'!E4</f>
        <v>7000000</v>
      </c>
      <c r="F5" s="8">
        <f t="shared" ref="F5:F35" si="2">E5/1000000</f>
        <v>7</v>
      </c>
      <c r="G5" s="10">
        <f t="shared" ref="G5:G35" si="3">F5*3.07</f>
        <v>21.49</v>
      </c>
      <c r="H5" s="7">
        <f>'[2]Dec Prod'!F4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'[2]Dec Prod'!H259</f>
        <v>847105</v>
      </c>
      <c r="L5" s="8">
        <f t="shared" ref="L5:L35" si="6">K5/1000000</f>
        <v>0.847105</v>
      </c>
      <c r="M5" s="10">
        <f t="shared" ref="M5:M35" si="7">L5*3.07</f>
        <v>2.60061235</v>
      </c>
      <c r="N5" s="21"/>
      <c r="O5" s="7">
        <f>'[2]Dec Prod'!H4</f>
        <v>8961000</v>
      </c>
      <c r="P5" s="8">
        <f t="shared" ref="P5:P35" si="8">O5/1000000</f>
        <v>8.9610000000000003</v>
      </c>
      <c r="Q5" s="10">
        <f t="shared" ref="Q5:Q35" si="9">P5*3.07</f>
        <v>27.510269999999998</v>
      </c>
      <c r="R5" s="7">
        <f>'[2]Dec Prod'!C4</f>
        <v>8964000</v>
      </c>
      <c r="S5" s="8">
        <f t="shared" ref="S5:S35" si="10">R5/1000000</f>
        <v>8.9640000000000004</v>
      </c>
      <c r="T5" s="10">
        <f t="shared" ref="T5:T35" si="11">S5*3.07</f>
        <v>27.519480000000001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3000.0000000001137</v>
      </c>
      <c r="Y5" s="8">
        <f t="shared" ref="Y5:Y35" si="14">X5/1000000</f>
        <v>3.0000000000001137E-3</v>
      </c>
      <c r="Z5" s="10">
        <f t="shared" ref="Z5:Z35" si="15">Y5*3.07</f>
        <v>9.2100000000003481E-3</v>
      </c>
      <c r="AA5" s="15"/>
      <c r="AB5" s="7">
        <f>B5+O5</f>
        <v>14760999.999999274</v>
      </c>
      <c r="AC5" s="8">
        <f>C5+P5</f>
        <v>14.760999999999273</v>
      </c>
      <c r="AD5" s="8">
        <f>D5+Q5</f>
        <v>45.316269999997765</v>
      </c>
    </row>
    <row r="6" spans="1:30" x14ac:dyDescent="0.25">
      <c r="A6" s="1">
        <v>38323</v>
      </c>
      <c r="B6" s="7">
        <f>'[2]Dec Prod'!I5</f>
        <v>4900000.0000014547</v>
      </c>
      <c r="C6" s="8">
        <f t="shared" si="0"/>
        <v>4.9000000000014543</v>
      </c>
      <c r="D6" s="10">
        <f t="shared" si="1"/>
        <v>15.043000000004463</v>
      </c>
      <c r="E6" s="7">
        <f>'[2]Dec Prod'!E5</f>
        <v>5000000</v>
      </c>
      <c r="F6" s="8">
        <f t="shared" si="2"/>
        <v>5</v>
      </c>
      <c r="G6" s="10">
        <f t="shared" si="3"/>
        <v>15.35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564703</v>
      </c>
      <c r="L6" s="8">
        <f t="shared" si="6"/>
        <v>0.56470299999999995</v>
      </c>
      <c r="M6" s="10">
        <f t="shared" si="7"/>
        <v>1.7336382099999998</v>
      </c>
      <c r="N6" s="21"/>
      <c r="O6" s="7">
        <f>'[2]Dec Prod'!H5</f>
        <v>6038000</v>
      </c>
      <c r="P6" s="8">
        <f t="shared" si="8"/>
        <v>6.0380000000000003</v>
      </c>
      <c r="Q6" s="10">
        <f t="shared" si="9"/>
        <v>18.536660000000001</v>
      </c>
      <c r="R6" s="7">
        <f>'[2]Dec Prod'!C5</f>
        <v>6044000</v>
      </c>
      <c r="S6" s="8">
        <f t="shared" si="10"/>
        <v>6.0439999999999996</v>
      </c>
      <c r="T6" s="10">
        <f t="shared" si="11"/>
        <v>18.555079999999997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6000.0000000002274</v>
      </c>
      <c r="Y6" s="8">
        <f t="shared" si="14"/>
        <v>6.0000000000002274E-3</v>
      </c>
      <c r="Z6" s="10">
        <f t="shared" si="15"/>
        <v>1.8420000000000696E-2</v>
      </c>
      <c r="AA6" s="15"/>
      <c r="AB6" s="7">
        <f t="shared" ref="AB6:AD35" si="16">B6+O6</f>
        <v>10938000.000001455</v>
      </c>
      <c r="AC6" s="8">
        <f t="shared" si="16"/>
        <v>10.938000000001455</v>
      </c>
      <c r="AD6" s="8">
        <f t="shared" si="16"/>
        <v>33.579660000004466</v>
      </c>
    </row>
    <row r="7" spans="1:30" x14ac:dyDescent="0.25">
      <c r="A7" s="1">
        <v>38324</v>
      </c>
      <c r="B7" s="7">
        <f>'[2]Dec Prod'!I6</f>
        <v>4099999.9999985448</v>
      </c>
      <c r="C7" s="8">
        <f t="shared" si="0"/>
        <v>4.0999999999985448</v>
      </c>
      <c r="D7" s="10">
        <f t="shared" si="1"/>
        <v>12.586999999995532</v>
      </c>
      <c r="E7" s="7">
        <f>'[2]Dec Prod'!E6</f>
        <v>5000000</v>
      </c>
      <c r="F7" s="8">
        <f t="shared" si="2"/>
        <v>5</v>
      </c>
      <c r="G7" s="10">
        <f t="shared" si="3"/>
        <v>15.35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556340</v>
      </c>
      <c r="L7" s="8">
        <f t="shared" si="6"/>
        <v>0.55633999999999995</v>
      </c>
      <c r="M7" s="10">
        <f t="shared" si="7"/>
        <v>1.7079637999999997</v>
      </c>
      <c r="N7" s="21"/>
      <c r="O7" s="7">
        <f>'[2]Dec Prod'!H6</f>
        <v>7942000</v>
      </c>
      <c r="P7" s="8">
        <f t="shared" si="8"/>
        <v>7.9420000000000002</v>
      </c>
      <c r="Q7" s="10">
        <f t="shared" si="9"/>
        <v>24.38194</v>
      </c>
      <c r="R7" s="7">
        <f>'[2]Dec Prod'!C6</f>
        <v>7942000</v>
      </c>
      <c r="S7" s="8">
        <f t="shared" si="10"/>
        <v>7.9420000000000002</v>
      </c>
      <c r="T7" s="10">
        <f t="shared" si="11"/>
        <v>24.38194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12041999.999998545</v>
      </c>
      <c r="AC7" s="8">
        <f t="shared" si="16"/>
        <v>12.041999999998545</v>
      </c>
      <c r="AD7" s="8">
        <f t="shared" si="16"/>
        <v>36.968939999995534</v>
      </c>
    </row>
    <row r="8" spans="1:30" x14ac:dyDescent="0.25">
      <c r="A8" s="1">
        <v>38325</v>
      </c>
      <c r="B8" s="7">
        <f>'[2]Dec Prod'!I7</f>
        <v>3299999.9999992726</v>
      </c>
      <c r="C8" s="8">
        <f t="shared" si="0"/>
        <v>3.2999999999992728</v>
      </c>
      <c r="D8" s="10">
        <f t="shared" si="1"/>
        <v>10.130999999997767</v>
      </c>
      <c r="E8" s="7">
        <f>'[2]Dec Prod'!E7</f>
        <v>2000000</v>
      </c>
      <c r="F8" s="8">
        <f t="shared" si="2"/>
        <v>2</v>
      </c>
      <c r="G8" s="10">
        <f t="shared" si="3"/>
        <v>6.14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1"/>
      <c r="O8" s="7">
        <f>'[2]Dec Prod'!H7</f>
        <v>9471000</v>
      </c>
      <c r="P8" s="8">
        <f t="shared" si="8"/>
        <v>9.4710000000000001</v>
      </c>
      <c r="Q8" s="10">
        <f t="shared" si="9"/>
        <v>29.075969999999998</v>
      </c>
      <c r="R8" s="7">
        <f>'[2]Dec Prod'!C7</f>
        <v>9471000</v>
      </c>
      <c r="S8" s="8">
        <f t="shared" si="10"/>
        <v>9.4710000000000001</v>
      </c>
      <c r="T8" s="10">
        <f t="shared" si="11"/>
        <v>29.075969999999998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12770999.999999274</v>
      </c>
      <c r="AC8" s="8">
        <f t="shared" si="16"/>
        <v>12.770999999999272</v>
      </c>
      <c r="AD8" s="8">
        <f>D8+Q8</f>
        <v>39.206969999997767</v>
      </c>
    </row>
    <row r="9" spans="1:30" x14ac:dyDescent="0.25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86717</v>
      </c>
      <c r="L9" s="8">
        <f t="shared" si="6"/>
        <v>8.6717000000000002E-2</v>
      </c>
      <c r="M9" s="10">
        <f t="shared" si="7"/>
        <v>0.26622119</v>
      </c>
      <c r="N9" s="21"/>
      <c r="O9" s="7">
        <f>'[2]Dec Prod'!H8</f>
        <v>11053999.999999993</v>
      </c>
      <c r="P9" s="8">
        <f t="shared" si="8"/>
        <v>11.053999999999993</v>
      </c>
      <c r="Q9" s="10">
        <f t="shared" si="9"/>
        <v>33.93577999999998</v>
      </c>
      <c r="R9" s="7">
        <f>'[2]Dec Prod'!C8</f>
        <v>11103000</v>
      </c>
      <c r="S9" s="8">
        <f t="shared" si="10"/>
        <v>11.103</v>
      </c>
      <c r="T9" s="10">
        <f t="shared" si="11"/>
        <v>34.086209999999994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49000.000000006592</v>
      </c>
      <c r="Y9" s="8">
        <f t="shared" si="14"/>
        <v>4.9000000000006594E-2</v>
      </c>
      <c r="Z9" s="10">
        <f t="shared" si="15"/>
        <v>0.15043000000002024</v>
      </c>
      <c r="AA9" s="15"/>
      <c r="AB9" s="7">
        <f t="shared" si="16"/>
        <v>11053999.999999993</v>
      </c>
      <c r="AC9" s="8">
        <f t="shared" si="16"/>
        <v>11.053999999999993</v>
      </c>
      <c r="AD9" s="8">
        <f t="shared" si="16"/>
        <v>33.93577999999998</v>
      </c>
    </row>
    <row r="10" spans="1:30" x14ac:dyDescent="0.25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0</v>
      </c>
      <c r="L10" s="8">
        <f t="shared" si="6"/>
        <v>0</v>
      </c>
      <c r="M10" s="10">
        <f t="shared" si="7"/>
        <v>0</v>
      </c>
      <c r="N10" s="21"/>
      <c r="O10" s="7">
        <f>'[2]Dec Prod'!H9</f>
        <v>12642000</v>
      </c>
      <c r="P10" s="8">
        <f t="shared" si="8"/>
        <v>12.641999999999999</v>
      </c>
      <c r="Q10" s="10">
        <f t="shared" si="9"/>
        <v>38.810939999999995</v>
      </c>
      <c r="R10" s="7">
        <f>'[2]Dec Prod'!C9</f>
        <v>12642000</v>
      </c>
      <c r="S10" s="8">
        <f t="shared" si="10"/>
        <v>12.641999999999999</v>
      </c>
      <c r="T10" s="10">
        <f t="shared" si="11"/>
        <v>38.810939999999995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12642000</v>
      </c>
      <c r="AC10" s="8">
        <f t="shared" si="16"/>
        <v>12.641999999999999</v>
      </c>
      <c r="AD10" s="8">
        <f t="shared" si="16"/>
        <v>38.810939999999995</v>
      </c>
    </row>
    <row r="11" spans="1:30" x14ac:dyDescent="0.25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43209</v>
      </c>
      <c r="L11" s="8">
        <f t="shared" si="6"/>
        <v>4.3208999999999997E-2</v>
      </c>
      <c r="M11" s="10">
        <f t="shared" si="7"/>
        <v>0.13265162999999999</v>
      </c>
      <c r="N11" s="21"/>
      <c r="O11" s="7">
        <f>'[2]Dec Prod'!H10</f>
        <v>11892000.000000004</v>
      </c>
      <c r="P11" s="8">
        <f t="shared" si="8"/>
        <v>11.892000000000003</v>
      </c>
      <c r="Q11" s="10">
        <f t="shared" si="9"/>
        <v>36.508440000000007</v>
      </c>
      <c r="R11" s="7">
        <f>'[2]Dec Prod'!C10</f>
        <v>11942000</v>
      </c>
      <c r="S11" s="8">
        <f t="shared" si="10"/>
        <v>11.942</v>
      </c>
      <c r="T11" s="10">
        <f t="shared" si="11"/>
        <v>36.661940000000001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49999.999999997155</v>
      </c>
      <c r="Y11" s="8">
        <f t="shared" si="14"/>
        <v>4.9999999999997158E-2</v>
      </c>
      <c r="Z11" s="10">
        <f t="shared" si="15"/>
        <v>0.15349999999999125</v>
      </c>
      <c r="AA11" s="15"/>
      <c r="AB11" s="7">
        <f t="shared" si="16"/>
        <v>11892000.000000004</v>
      </c>
      <c r="AC11" s="8">
        <f t="shared" si="16"/>
        <v>11.892000000000003</v>
      </c>
      <c r="AD11" s="8">
        <f t="shared" si="16"/>
        <v>36.508440000000007</v>
      </c>
    </row>
    <row r="12" spans="1:30" x14ac:dyDescent="0.25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791944</v>
      </c>
      <c r="L12" s="8">
        <f t="shared" si="6"/>
        <v>0.79194399999999998</v>
      </c>
      <c r="M12" s="10">
        <f t="shared" si="7"/>
        <v>2.4312680799999997</v>
      </c>
      <c r="N12" s="21"/>
      <c r="O12" s="7">
        <f>'[2]Dec Prod'!H11</f>
        <v>11546999.999999993</v>
      </c>
      <c r="P12" s="8">
        <f t="shared" si="8"/>
        <v>11.546999999999992</v>
      </c>
      <c r="Q12" s="10">
        <f t="shared" si="9"/>
        <v>35.449289999999969</v>
      </c>
      <c r="R12" s="7">
        <f>'[2]Dec Prod'!C11</f>
        <v>11596000</v>
      </c>
      <c r="S12" s="8">
        <f t="shared" si="10"/>
        <v>11.596</v>
      </c>
      <c r="T12" s="10">
        <f t="shared" si="11"/>
        <v>35.599719999999998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49000.000000006592</v>
      </c>
      <c r="Y12" s="8">
        <f t="shared" si="14"/>
        <v>4.9000000000006594E-2</v>
      </c>
      <c r="Z12" s="10">
        <f t="shared" si="15"/>
        <v>0.15043000000002024</v>
      </c>
      <c r="AA12" s="15"/>
      <c r="AB12" s="7">
        <f t="shared" si="16"/>
        <v>11546999.999999993</v>
      </c>
      <c r="AC12" s="8">
        <f t="shared" si="16"/>
        <v>11.546999999999992</v>
      </c>
      <c r="AD12" s="8">
        <f t="shared" si="16"/>
        <v>35.449289999999969</v>
      </c>
    </row>
    <row r="13" spans="1:30" x14ac:dyDescent="0.25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0</v>
      </c>
      <c r="L13" s="8">
        <f t="shared" si="6"/>
        <v>0</v>
      </c>
      <c r="M13" s="10">
        <f t="shared" si="7"/>
        <v>0</v>
      </c>
      <c r="N13" s="21"/>
      <c r="O13" s="7">
        <f>'[2]Dec Prod'!H12</f>
        <v>12045000</v>
      </c>
      <c r="P13" s="8">
        <f t="shared" si="8"/>
        <v>12.045</v>
      </c>
      <c r="Q13" s="10">
        <f t="shared" si="9"/>
        <v>36.978149999999999</v>
      </c>
      <c r="R13" s="7">
        <f>'[2]Dec Prod'!C12</f>
        <v>12045000</v>
      </c>
      <c r="S13" s="8">
        <f t="shared" si="10"/>
        <v>12.045</v>
      </c>
      <c r="T13" s="10">
        <f t="shared" si="11"/>
        <v>36.978149999999999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43">
        <f>'[2]Dec Prod'!D267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12045000</v>
      </c>
      <c r="AC13" s="8">
        <f t="shared" si="16"/>
        <v>12.045</v>
      </c>
      <c r="AD13" s="8">
        <f t="shared" si="16"/>
        <v>36.978149999999999</v>
      </c>
    </row>
    <row r="14" spans="1:30" x14ac:dyDescent="0.25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0</v>
      </c>
      <c r="L14" s="8">
        <f t="shared" si="6"/>
        <v>0</v>
      </c>
      <c r="M14" s="10">
        <f t="shared" si="7"/>
        <v>0</v>
      </c>
      <c r="N14" s="21"/>
      <c r="O14" s="7">
        <f>'[2]Dec Prod'!H13</f>
        <v>11479000</v>
      </c>
      <c r="P14" s="8">
        <f t="shared" si="8"/>
        <v>11.478999999999999</v>
      </c>
      <c r="Q14" s="10">
        <f t="shared" si="9"/>
        <v>35.240529999999993</v>
      </c>
      <c r="R14" s="7">
        <f>'[2]Dec Prod'!C13</f>
        <v>11479000</v>
      </c>
      <c r="S14" s="8">
        <f t="shared" si="10"/>
        <v>11.478999999999999</v>
      </c>
      <c r="T14" s="10">
        <f t="shared" si="11"/>
        <v>35.240529999999993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43">
        <f>'[2]Dec Prod'!D268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11479000</v>
      </c>
      <c r="AC14" s="8">
        <f t="shared" si="16"/>
        <v>11.478999999999999</v>
      </c>
      <c r="AD14" s="8">
        <f t="shared" si="16"/>
        <v>35.240529999999993</v>
      </c>
    </row>
    <row r="15" spans="1:30" x14ac:dyDescent="0.25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43605</v>
      </c>
      <c r="L15" s="8">
        <f t="shared" si="6"/>
        <v>4.3604999999999998E-2</v>
      </c>
      <c r="M15" s="10">
        <f t="shared" si="7"/>
        <v>0.13386735</v>
      </c>
      <c r="N15" s="21"/>
      <c r="O15" s="7">
        <f>'[2]Dec Prod'!H14</f>
        <v>11991000</v>
      </c>
      <c r="P15" s="8">
        <f t="shared" si="8"/>
        <v>11.991</v>
      </c>
      <c r="Q15" s="10">
        <f t="shared" si="9"/>
        <v>36.812369999999994</v>
      </c>
      <c r="R15" s="7">
        <f>'[2]Dec Prod'!C14</f>
        <v>12128000</v>
      </c>
      <c r="S15" s="8">
        <f t="shared" si="10"/>
        <v>12.128</v>
      </c>
      <c r="T15" s="10">
        <f t="shared" si="11"/>
        <v>37.232959999999999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137000</v>
      </c>
      <c r="Y15" s="8">
        <f t="shared" si="14"/>
        <v>0.13700000000000001</v>
      </c>
      <c r="Z15" s="10">
        <f t="shared" si="15"/>
        <v>0.42059000000000002</v>
      </c>
      <c r="AA15" s="15"/>
      <c r="AB15" s="7">
        <f t="shared" si="16"/>
        <v>11991000</v>
      </c>
      <c r="AC15" s="8">
        <f t="shared" si="16"/>
        <v>11.991</v>
      </c>
      <c r="AD15" s="8">
        <f t="shared" si="16"/>
        <v>36.812369999999994</v>
      </c>
    </row>
    <row r="16" spans="1:30" x14ac:dyDescent="0.25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238814</v>
      </c>
      <c r="L16" s="8">
        <f t="shared" si="6"/>
        <v>0.238814</v>
      </c>
      <c r="M16" s="10">
        <f t="shared" si="7"/>
        <v>0.7331589799999999</v>
      </c>
      <c r="N16" s="21"/>
      <c r="O16" s="7">
        <f>'[2]Dec Prod'!H15</f>
        <v>11790000</v>
      </c>
      <c r="P16" s="8">
        <f t="shared" si="8"/>
        <v>11.79</v>
      </c>
      <c r="Q16" s="10">
        <f t="shared" si="9"/>
        <v>36.195299999999996</v>
      </c>
      <c r="R16" s="7">
        <f>'[2]Dec Prod'!C15</f>
        <v>12238000</v>
      </c>
      <c r="S16" s="8">
        <f t="shared" si="10"/>
        <v>12.238</v>
      </c>
      <c r="T16" s="10">
        <f t="shared" si="11"/>
        <v>37.570659999999997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447999.99999999994</v>
      </c>
      <c r="Y16" s="8">
        <f t="shared" si="14"/>
        <v>0.44799999999999995</v>
      </c>
      <c r="Z16" s="10">
        <f t="shared" si="15"/>
        <v>1.3753599999999997</v>
      </c>
      <c r="AA16" s="15"/>
      <c r="AB16" s="7">
        <f t="shared" si="16"/>
        <v>11790000</v>
      </c>
      <c r="AC16" s="8">
        <f t="shared" si="16"/>
        <v>11.79</v>
      </c>
      <c r="AD16" s="8">
        <f t="shared" si="16"/>
        <v>36.195299999999996</v>
      </c>
    </row>
    <row r="17" spans="1:30" x14ac:dyDescent="0.25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119929</v>
      </c>
      <c r="L17" s="8">
        <f t="shared" si="6"/>
        <v>0.11992899999999999</v>
      </c>
      <c r="M17" s="10">
        <f t="shared" si="7"/>
        <v>0.36818202999999994</v>
      </c>
      <c r="N17" s="21"/>
      <c r="O17" s="7">
        <f>'[2]Dec Prod'!H16</f>
        <v>11865000</v>
      </c>
      <c r="P17" s="8">
        <f t="shared" si="8"/>
        <v>11.865</v>
      </c>
      <c r="Q17" s="10">
        <f t="shared" si="9"/>
        <v>36.425550000000001</v>
      </c>
      <c r="R17" s="7">
        <f>'[2]Dec Prod'!C16</f>
        <v>12245000</v>
      </c>
      <c r="S17" s="8">
        <f t="shared" si="10"/>
        <v>12.244999999999999</v>
      </c>
      <c r="T17" s="10">
        <f t="shared" si="11"/>
        <v>37.592149999999997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380000</v>
      </c>
      <c r="Y17" s="8">
        <f t="shared" si="14"/>
        <v>0.38</v>
      </c>
      <c r="Z17" s="10">
        <f t="shared" si="15"/>
        <v>1.1665999999999999</v>
      </c>
      <c r="AA17" s="15"/>
      <c r="AB17" s="7">
        <f t="shared" si="16"/>
        <v>11865000</v>
      </c>
      <c r="AC17" s="8">
        <f t="shared" si="16"/>
        <v>11.865</v>
      </c>
      <c r="AD17" s="8">
        <f t="shared" si="16"/>
        <v>36.425550000000001</v>
      </c>
    </row>
    <row r="18" spans="1:30" x14ac:dyDescent="0.25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0</v>
      </c>
      <c r="L18" s="8">
        <f t="shared" si="6"/>
        <v>0</v>
      </c>
      <c r="M18" s="10">
        <f t="shared" si="7"/>
        <v>0</v>
      </c>
      <c r="N18" s="21"/>
      <c r="O18" s="7">
        <f>'[2]Dec Prod'!H17</f>
        <v>12579000</v>
      </c>
      <c r="P18" s="8">
        <f t="shared" si="8"/>
        <v>12.579000000000001</v>
      </c>
      <c r="Q18" s="10">
        <f t="shared" si="9"/>
        <v>38.617530000000002</v>
      </c>
      <c r="R18" s="7">
        <f>'[2]Dec Prod'!C17</f>
        <v>13096000</v>
      </c>
      <c r="S18" s="8">
        <f t="shared" si="10"/>
        <v>13.096</v>
      </c>
      <c r="T18" s="10">
        <f t="shared" si="11"/>
        <v>40.204719999999995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517000</v>
      </c>
      <c r="Y18" s="8">
        <f t="shared" si="14"/>
        <v>0.51700000000000002</v>
      </c>
      <c r="Z18" s="10">
        <f t="shared" si="15"/>
        <v>1.5871899999999999</v>
      </c>
      <c r="AA18" s="15"/>
      <c r="AB18" s="7">
        <f t="shared" si="16"/>
        <v>12579000</v>
      </c>
      <c r="AC18" s="8">
        <f t="shared" si="16"/>
        <v>12.579000000000001</v>
      </c>
      <c r="AD18" s="8">
        <f t="shared" si="16"/>
        <v>38.617530000000002</v>
      </c>
    </row>
    <row r="19" spans="1:30" x14ac:dyDescent="0.25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0</v>
      </c>
      <c r="L19" s="8">
        <f t="shared" si="6"/>
        <v>0</v>
      </c>
      <c r="M19" s="10">
        <f t="shared" si="7"/>
        <v>0</v>
      </c>
      <c r="N19" s="21"/>
      <c r="O19" s="7">
        <f>'[2]Dec Prod'!H18</f>
        <v>12495000</v>
      </c>
      <c r="P19" s="8">
        <f t="shared" si="8"/>
        <v>12.494999999999999</v>
      </c>
      <c r="Q19" s="10">
        <f t="shared" si="9"/>
        <v>38.359649999999995</v>
      </c>
      <c r="R19" s="7">
        <f>'[2]Dec Prod'!C18</f>
        <v>12875000</v>
      </c>
      <c r="S19" s="8">
        <f t="shared" si="10"/>
        <v>12.875</v>
      </c>
      <c r="T19" s="10">
        <f t="shared" si="11"/>
        <v>39.526249999999997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380000.00000000012</v>
      </c>
      <c r="Y19" s="8">
        <f t="shared" si="14"/>
        <v>0.38000000000000012</v>
      </c>
      <c r="Z19" s="10">
        <f t="shared" si="15"/>
        <v>1.1666000000000003</v>
      </c>
      <c r="AA19" s="15"/>
      <c r="AB19" s="7">
        <f t="shared" si="16"/>
        <v>12495000</v>
      </c>
      <c r="AC19" s="8">
        <f t="shared" si="16"/>
        <v>12.494999999999999</v>
      </c>
      <c r="AD19" s="8">
        <f>D19+Q19</f>
        <v>38.359649999999995</v>
      </c>
    </row>
    <row r="20" spans="1:30" x14ac:dyDescent="0.25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76928</v>
      </c>
      <c r="L20" s="8">
        <f t="shared" si="6"/>
        <v>7.6927999999999996E-2</v>
      </c>
      <c r="M20" s="10">
        <f t="shared" si="7"/>
        <v>0.23616895999999998</v>
      </c>
      <c r="N20" s="21"/>
      <c r="O20" s="7">
        <f>'[2]Dec Prod'!H19</f>
        <v>10807000</v>
      </c>
      <c r="P20" s="8">
        <f t="shared" si="8"/>
        <v>10.807</v>
      </c>
      <c r="Q20" s="10">
        <f t="shared" si="9"/>
        <v>33.177489999999999</v>
      </c>
      <c r="R20" s="7">
        <f>'[2]Dec Prod'!C19</f>
        <v>11190000</v>
      </c>
      <c r="S20" s="8">
        <f t="shared" si="10"/>
        <v>11.19</v>
      </c>
      <c r="T20" s="10">
        <f t="shared" si="11"/>
        <v>34.353299999999997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383000</v>
      </c>
      <c r="Y20" s="8">
        <f t="shared" si="14"/>
        <v>0.38300000000000001</v>
      </c>
      <c r="Z20" s="10">
        <f t="shared" si="15"/>
        <v>1.17581</v>
      </c>
      <c r="AA20" s="15"/>
      <c r="AB20" s="7">
        <f t="shared" si="16"/>
        <v>10807000</v>
      </c>
      <c r="AC20" s="8">
        <f t="shared" si="16"/>
        <v>10.807</v>
      </c>
      <c r="AD20" s="8">
        <f t="shared" si="16"/>
        <v>33.177489999999999</v>
      </c>
    </row>
    <row r="21" spans="1:30" x14ac:dyDescent="0.25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64975</v>
      </c>
      <c r="L21" s="8">
        <f t="shared" si="6"/>
        <v>6.4975000000000005E-2</v>
      </c>
      <c r="M21" s="10">
        <f t="shared" si="7"/>
        <v>0.19947325000000002</v>
      </c>
      <c r="N21" s="21"/>
      <c r="O21" s="7">
        <f>'[2]Dec Prod'!H20</f>
        <v>10730000</v>
      </c>
      <c r="P21" s="8">
        <f t="shared" si="8"/>
        <v>10.73</v>
      </c>
      <c r="Q21" s="10">
        <f t="shared" si="9"/>
        <v>32.941099999999999</v>
      </c>
      <c r="R21" s="7">
        <f>'[2]Dec Prod'!C20</f>
        <v>11180000</v>
      </c>
      <c r="S21" s="8">
        <f t="shared" si="10"/>
        <v>11.18</v>
      </c>
      <c r="T21" s="10">
        <f t="shared" si="11"/>
        <v>34.322599999999994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449999.99999999971</v>
      </c>
      <c r="Y21" s="8">
        <f t="shared" si="14"/>
        <v>0.44999999999999973</v>
      </c>
      <c r="Z21" s="10">
        <f t="shared" si="15"/>
        <v>1.3814999999999991</v>
      </c>
      <c r="AA21" s="15"/>
      <c r="AB21" s="7">
        <f t="shared" si="16"/>
        <v>10730000</v>
      </c>
      <c r="AC21" s="8">
        <f t="shared" si="16"/>
        <v>10.73</v>
      </c>
      <c r="AD21" s="8">
        <f t="shared" si="16"/>
        <v>32.941099999999999</v>
      </c>
    </row>
    <row r="22" spans="1:30" x14ac:dyDescent="0.25">
      <c r="A22" s="1">
        <v>38339</v>
      </c>
      <c r="B22" s="7">
        <f>'[2]Dec Prod'!I21</f>
        <v>0</v>
      </c>
      <c r="C22" s="8">
        <f t="shared" si="0"/>
        <v>0</v>
      </c>
      <c r="D22" s="10">
        <f t="shared" si="1"/>
        <v>0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228640</v>
      </c>
      <c r="L22" s="8">
        <f t="shared" si="6"/>
        <v>0.22864000000000001</v>
      </c>
      <c r="M22" s="10">
        <f t="shared" si="7"/>
        <v>0.70192480000000002</v>
      </c>
      <c r="N22" s="21"/>
      <c r="O22" s="7">
        <f>'[2]Dec Prod'!H21</f>
        <v>11359000</v>
      </c>
      <c r="P22" s="8">
        <f t="shared" si="8"/>
        <v>11.359</v>
      </c>
      <c r="Q22" s="10">
        <f t="shared" si="9"/>
        <v>34.872129999999999</v>
      </c>
      <c r="R22" s="7">
        <f>'[2]Dec Prod'!C21</f>
        <v>11638000</v>
      </c>
      <c r="S22" s="8">
        <f t="shared" si="10"/>
        <v>11.638</v>
      </c>
      <c r="T22" s="10">
        <f t="shared" si="11"/>
        <v>35.728659999999998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279000.00000000035</v>
      </c>
      <c r="Y22" s="8">
        <f t="shared" si="14"/>
        <v>0.27900000000000036</v>
      </c>
      <c r="Z22" s="10">
        <f t="shared" si="15"/>
        <v>0.85653000000000101</v>
      </c>
      <c r="AA22" s="15"/>
      <c r="AB22" s="7">
        <f t="shared" si="16"/>
        <v>11359000</v>
      </c>
      <c r="AC22" s="8">
        <f t="shared" si="16"/>
        <v>11.359</v>
      </c>
      <c r="AD22" s="8">
        <f t="shared" si="16"/>
        <v>34.872129999999999</v>
      </c>
    </row>
    <row r="23" spans="1:30" x14ac:dyDescent="0.25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0</v>
      </c>
      <c r="L23" s="8">
        <f t="shared" si="6"/>
        <v>0</v>
      </c>
      <c r="M23" s="10">
        <f t="shared" si="7"/>
        <v>0</v>
      </c>
      <c r="N23" s="21"/>
      <c r="O23" s="7">
        <f>'[2]Dec Prod'!H22</f>
        <v>12163000</v>
      </c>
      <c r="P23" s="8">
        <f t="shared" si="8"/>
        <v>12.163</v>
      </c>
      <c r="Q23" s="10">
        <f t="shared" si="9"/>
        <v>37.340409999999999</v>
      </c>
      <c r="R23" s="7">
        <f>'[2]Dec Prod'!C22</f>
        <v>12685000</v>
      </c>
      <c r="S23" s="8">
        <f t="shared" si="10"/>
        <v>12.685</v>
      </c>
      <c r="T23" s="10">
        <f t="shared" si="11"/>
        <v>38.942949999999996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521999.99999999983</v>
      </c>
      <c r="Y23" s="8">
        <f t="shared" si="14"/>
        <v>0.5219999999999998</v>
      </c>
      <c r="Z23" s="10">
        <f t="shared" si="15"/>
        <v>1.6025399999999992</v>
      </c>
      <c r="AA23" s="15"/>
      <c r="AB23" s="7">
        <f t="shared" si="16"/>
        <v>12163000</v>
      </c>
      <c r="AC23" s="8">
        <f t="shared" si="16"/>
        <v>12.163</v>
      </c>
      <c r="AD23" s="8">
        <f t="shared" si="16"/>
        <v>37.340409999999999</v>
      </c>
    </row>
    <row r="24" spans="1:30" x14ac:dyDescent="0.25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226520</v>
      </c>
      <c r="L24" s="8">
        <f t="shared" si="6"/>
        <v>0.22652</v>
      </c>
      <c r="M24" s="10">
        <f t="shared" si="7"/>
        <v>0.69541639999999993</v>
      </c>
      <c r="N24" s="21"/>
      <c r="O24" s="7">
        <f>'[2]Dec Prod'!H23</f>
        <v>12617000</v>
      </c>
      <c r="P24" s="8">
        <f t="shared" si="8"/>
        <v>12.617000000000001</v>
      </c>
      <c r="Q24" s="10">
        <f t="shared" si="9"/>
        <v>38.734189999999998</v>
      </c>
      <c r="R24" s="7">
        <f>'[2]Dec Prod'!C23</f>
        <v>13001000</v>
      </c>
      <c r="S24" s="8">
        <f t="shared" si="10"/>
        <v>13.000999999999999</v>
      </c>
      <c r="T24" s="10">
        <f t="shared" si="11"/>
        <v>39.913069999999998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383999.99999999988</v>
      </c>
      <c r="Y24" s="8">
        <f t="shared" si="14"/>
        <v>0.3839999999999999</v>
      </c>
      <c r="Z24" s="10">
        <f t="shared" si="15"/>
        <v>1.1788799999999997</v>
      </c>
      <c r="AA24" s="15"/>
      <c r="AB24" s="7">
        <f t="shared" si="16"/>
        <v>12617000</v>
      </c>
      <c r="AC24" s="8">
        <f t="shared" si="16"/>
        <v>12.617000000000001</v>
      </c>
      <c r="AD24" s="8">
        <f>D24+Q24</f>
        <v>38.734189999999998</v>
      </c>
    </row>
    <row r="25" spans="1:30" x14ac:dyDescent="0.25">
      <c r="A25" s="1">
        <v>38342</v>
      </c>
      <c r="B25" s="7">
        <f>'[2]Dec Prod'!I24</f>
        <v>0</v>
      </c>
      <c r="C25" s="8">
        <f t="shared" si="0"/>
        <v>0</v>
      </c>
      <c r="D25" s="10">
        <f t="shared" si="1"/>
        <v>0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61591</v>
      </c>
      <c r="L25" s="8">
        <f t="shared" si="6"/>
        <v>6.1591E-2</v>
      </c>
      <c r="M25" s="10">
        <f t="shared" si="7"/>
        <v>0.18908437</v>
      </c>
      <c r="N25" s="21"/>
      <c r="O25" s="7">
        <f>'[2]Dec Prod'!H24</f>
        <v>12303000</v>
      </c>
      <c r="P25" s="8">
        <f t="shared" si="8"/>
        <v>12.303000000000001</v>
      </c>
      <c r="Q25" s="10">
        <f t="shared" si="9"/>
        <v>37.770209999999999</v>
      </c>
      <c r="R25" s="7">
        <f>'[2]Dec Prod'!C24</f>
        <v>12630000</v>
      </c>
      <c r="S25" s="8">
        <f t="shared" si="10"/>
        <v>12.63</v>
      </c>
      <c r="T25" s="10">
        <f t="shared" si="11"/>
        <v>38.774099999999997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326999.99999999994</v>
      </c>
      <c r="Y25" s="8">
        <f t="shared" si="14"/>
        <v>0.32699999999999996</v>
      </c>
      <c r="Z25" s="10">
        <f t="shared" si="15"/>
        <v>1.0038899999999997</v>
      </c>
      <c r="AA25" s="15"/>
      <c r="AB25" s="7">
        <f t="shared" si="16"/>
        <v>12303000</v>
      </c>
      <c r="AC25" s="8">
        <f t="shared" si="16"/>
        <v>12.303000000000001</v>
      </c>
      <c r="AD25" s="8">
        <f t="shared" si="16"/>
        <v>37.770209999999999</v>
      </c>
    </row>
    <row r="26" spans="1:30" x14ac:dyDescent="0.25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135367</v>
      </c>
      <c r="L26" s="8">
        <f t="shared" si="6"/>
        <v>0.13536699999999999</v>
      </c>
      <c r="M26" s="10">
        <f t="shared" si="7"/>
        <v>0.41557668999999992</v>
      </c>
      <c r="N26" s="21"/>
      <c r="O26" s="7">
        <f>'[2]Dec Prod'!H25</f>
        <v>11155000</v>
      </c>
      <c r="P26" s="8">
        <f t="shared" si="8"/>
        <v>11.154999999999999</v>
      </c>
      <c r="Q26" s="10">
        <f t="shared" si="9"/>
        <v>34.245849999999997</v>
      </c>
      <c r="R26" s="7">
        <f>'[2]Dec Prod'!C25</f>
        <v>11550000</v>
      </c>
      <c r="S26" s="8">
        <f t="shared" si="10"/>
        <v>11.55</v>
      </c>
      <c r="T26" s="10">
        <f t="shared" si="11"/>
        <v>35.458500000000001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395000.00000000047</v>
      </c>
      <c r="Y26" s="8">
        <f t="shared" si="14"/>
        <v>0.39500000000000046</v>
      </c>
      <c r="Z26" s="10">
        <f t="shared" si="15"/>
        <v>1.2126500000000013</v>
      </c>
      <c r="AA26" s="15"/>
      <c r="AB26" s="7">
        <f t="shared" si="16"/>
        <v>11155000</v>
      </c>
      <c r="AC26" s="8">
        <f t="shared" si="16"/>
        <v>11.154999999999999</v>
      </c>
      <c r="AD26" s="8">
        <f t="shared" si="16"/>
        <v>34.245849999999997</v>
      </c>
    </row>
    <row r="27" spans="1:30" x14ac:dyDescent="0.25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0</v>
      </c>
      <c r="L27" s="8">
        <f t="shared" si="6"/>
        <v>0</v>
      </c>
      <c r="M27" s="10">
        <f t="shared" si="7"/>
        <v>0</v>
      </c>
      <c r="N27" s="21"/>
      <c r="O27" s="7">
        <f>'[2]Dec Prod'!H26</f>
        <v>11842000</v>
      </c>
      <c r="P27" s="8">
        <f t="shared" si="8"/>
        <v>11.842000000000001</v>
      </c>
      <c r="Q27" s="10">
        <f t="shared" si="9"/>
        <v>36.354939999999999</v>
      </c>
      <c r="R27" s="7">
        <f>'[2]Dec Prod'!C26</f>
        <v>12219000</v>
      </c>
      <c r="S27" s="8">
        <f t="shared" si="10"/>
        <v>12.218999999999999</v>
      </c>
      <c r="T27" s="10">
        <f t="shared" si="11"/>
        <v>37.512329999999999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376999.99999999977</v>
      </c>
      <c r="Y27" s="8">
        <f t="shared" si="14"/>
        <v>0.37699999999999978</v>
      </c>
      <c r="Z27" s="10">
        <f t="shared" si="15"/>
        <v>1.1573899999999993</v>
      </c>
      <c r="AA27" s="15"/>
      <c r="AB27" s="7">
        <f t="shared" si="16"/>
        <v>11842000</v>
      </c>
      <c r="AC27" s="8">
        <f t="shared" si="16"/>
        <v>11.842000000000001</v>
      </c>
      <c r="AD27" s="8">
        <f t="shared" si="16"/>
        <v>36.354939999999999</v>
      </c>
    </row>
    <row r="28" spans="1:30" x14ac:dyDescent="0.25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0</v>
      </c>
      <c r="L28" s="8">
        <f t="shared" si="6"/>
        <v>0</v>
      </c>
      <c r="M28" s="10">
        <f t="shared" si="7"/>
        <v>0</v>
      </c>
      <c r="N28" s="21"/>
      <c r="O28" s="7">
        <f>'[2]Dec Prod'!H27</f>
        <v>12637000</v>
      </c>
      <c r="P28" s="8">
        <f t="shared" si="8"/>
        <v>12.637</v>
      </c>
      <c r="Q28" s="10">
        <f t="shared" si="9"/>
        <v>38.795589999999997</v>
      </c>
      <c r="R28" s="7">
        <f>'[2]Dec Prod'!C27</f>
        <v>13015000</v>
      </c>
      <c r="S28" s="8">
        <f t="shared" si="10"/>
        <v>13.015000000000001</v>
      </c>
      <c r="T28" s="10">
        <f t="shared" si="11"/>
        <v>39.956049999999998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378000.00000000012</v>
      </c>
      <c r="Y28" s="8">
        <f t="shared" si="14"/>
        <v>0.37800000000000011</v>
      </c>
      <c r="Z28" s="10">
        <f t="shared" si="15"/>
        <v>1.1604600000000003</v>
      </c>
      <c r="AA28" s="15"/>
      <c r="AB28" s="7">
        <f t="shared" si="16"/>
        <v>12637000</v>
      </c>
      <c r="AC28" s="8">
        <f t="shared" si="16"/>
        <v>12.637</v>
      </c>
      <c r="AD28" s="8">
        <f t="shared" si="16"/>
        <v>38.795589999999997</v>
      </c>
    </row>
    <row r="29" spans="1:30" x14ac:dyDescent="0.25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1"/>
      <c r="O29" s="7">
        <f>'[2]Dec Prod'!H28</f>
        <v>12470000</v>
      </c>
      <c r="P29" s="8">
        <f t="shared" si="8"/>
        <v>12.47</v>
      </c>
      <c r="Q29" s="10">
        <f t="shared" si="9"/>
        <v>38.282899999999998</v>
      </c>
      <c r="R29" s="7">
        <f>'[2]Dec Prod'!C28</f>
        <v>12916000</v>
      </c>
      <c r="S29" s="8">
        <f t="shared" si="10"/>
        <v>12.916</v>
      </c>
      <c r="T29" s="10">
        <f t="shared" si="11"/>
        <v>39.652119999999996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445999.99999999971</v>
      </c>
      <c r="Y29" s="8">
        <f t="shared" si="14"/>
        <v>0.44599999999999973</v>
      </c>
      <c r="Z29" s="10">
        <f t="shared" si="15"/>
        <v>1.369219999999999</v>
      </c>
      <c r="AA29" s="15"/>
      <c r="AB29" s="7">
        <f t="shared" si="16"/>
        <v>12470000</v>
      </c>
      <c r="AC29" s="8">
        <f t="shared" si="16"/>
        <v>12.47</v>
      </c>
      <c r="AD29" s="8">
        <f t="shared" si="16"/>
        <v>38.282899999999998</v>
      </c>
    </row>
    <row r="30" spans="1:30" x14ac:dyDescent="0.25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>H30/100000000</f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1"/>
      <c r="O30" s="7">
        <f>'[2]Dec Prod'!H29</f>
        <v>10499000</v>
      </c>
      <c r="P30" s="8">
        <f t="shared" si="8"/>
        <v>10.499000000000001</v>
      </c>
      <c r="Q30" s="10">
        <f t="shared" si="9"/>
        <v>32.231929999999998</v>
      </c>
      <c r="R30" s="7">
        <f>'[2]Dec Prod'!C29</f>
        <v>10873000</v>
      </c>
      <c r="S30" s="8">
        <f t="shared" si="10"/>
        <v>10.872999999999999</v>
      </c>
      <c r="T30" s="10">
        <f t="shared" si="11"/>
        <v>33.380109999999995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373999.99999999965</v>
      </c>
      <c r="Y30" s="8">
        <f t="shared" si="14"/>
        <v>0.37399999999999967</v>
      </c>
      <c r="Z30" s="10">
        <f t="shared" si="15"/>
        <v>1.1481799999999989</v>
      </c>
      <c r="AA30" s="15"/>
      <c r="AB30" s="7">
        <f t="shared" si="16"/>
        <v>10499000</v>
      </c>
      <c r="AC30" s="8">
        <f t="shared" si="16"/>
        <v>10.499000000000001</v>
      </c>
      <c r="AD30" s="8">
        <f>D30+Q30</f>
        <v>32.231929999999998</v>
      </c>
    </row>
    <row r="31" spans="1:30" x14ac:dyDescent="0.25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0</v>
      </c>
      <c r="F31" s="8">
        <f t="shared" si="2"/>
        <v>0</v>
      </c>
      <c r="G31" s="10">
        <f t="shared" si="3"/>
        <v>0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0</v>
      </c>
      <c r="L31" s="8">
        <f t="shared" si="6"/>
        <v>0</v>
      </c>
      <c r="M31" s="10">
        <f t="shared" si="7"/>
        <v>0</v>
      </c>
      <c r="N31" s="21"/>
      <c r="O31" s="7">
        <f>'[2]Dec Prod'!H30</f>
        <v>11747000</v>
      </c>
      <c r="P31" s="8">
        <f t="shared" si="8"/>
        <v>11.747</v>
      </c>
      <c r="Q31" s="10">
        <f t="shared" si="9"/>
        <v>36.063289999999995</v>
      </c>
      <c r="R31" s="7">
        <f>'[2]Dec Prod'!C30</f>
        <v>12121000</v>
      </c>
      <c r="S31" s="8">
        <f t="shared" si="10"/>
        <v>12.121</v>
      </c>
      <c r="T31" s="10">
        <f t="shared" si="11"/>
        <v>37.211469999999998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374000.00000000058</v>
      </c>
      <c r="Y31" s="8">
        <f t="shared" si="14"/>
        <v>0.37400000000000061</v>
      </c>
      <c r="Z31" s="10">
        <f t="shared" si="15"/>
        <v>1.1481800000000018</v>
      </c>
      <c r="AA31" s="15"/>
      <c r="AB31" s="7">
        <f t="shared" si="16"/>
        <v>11747000</v>
      </c>
      <c r="AC31" s="8">
        <f t="shared" si="16"/>
        <v>11.747</v>
      </c>
      <c r="AD31" s="8">
        <f t="shared" si="16"/>
        <v>36.063289999999995</v>
      </c>
    </row>
    <row r="32" spans="1:30" x14ac:dyDescent="0.25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0</v>
      </c>
      <c r="F32" s="8">
        <f t="shared" si="2"/>
        <v>0</v>
      </c>
      <c r="G32" s="10">
        <f t="shared" si="3"/>
        <v>0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1"/>
      <c r="O32" s="7">
        <f>'[2]Dec Prod'!H31</f>
        <v>12415000</v>
      </c>
      <c r="P32" s="8">
        <f t="shared" si="8"/>
        <v>12.414999999999999</v>
      </c>
      <c r="Q32" s="10">
        <f t="shared" si="9"/>
        <v>38.114049999999999</v>
      </c>
      <c r="R32" s="7">
        <f>'[2]Dec Prod'!C31</f>
        <v>12792000</v>
      </c>
      <c r="S32" s="8">
        <f t="shared" si="10"/>
        <v>12.792</v>
      </c>
      <c r="T32" s="10">
        <f t="shared" si="11"/>
        <v>39.271439999999998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376999.99999999977</v>
      </c>
      <c r="Y32" s="8">
        <f t="shared" si="14"/>
        <v>0.37699999999999978</v>
      </c>
      <c r="Z32" s="10">
        <f t="shared" si="15"/>
        <v>1.1573899999999993</v>
      </c>
      <c r="AA32" s="15"/>
      <c r="AB32" s="7">
        <f t="shared" si="16"/>
        <v>12415000</v>
      </c>
      <c r="AC32" s="8">
        <f t="shared" si="16"/>
        <v>12.414999999999999</v>
      </c>
      <c r="AD32" s="8">
        <f t="shared" si="16"/>
        <v>38.114049999999999</v>
      </c>
    </row>
    <row r="33" spans="1:30" x14ac:dyDescent="0.25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0</v>
      </c>
      <c r="F33" s="8">
        <f t="shared" si="2"/>
        <v>0</v>
      </c>
      <c r="G33" s="10">
        <f t="shared" si="3"/>
        <v>0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1"/>
      <c r="O33" s="7">
        <f>'[2]Dec Prod'!H32</f>
        <v>12678000</v>
      </c>
      <c r="P33" s="8">
        <f t="shared" si="8"/>
        <v>12.678000000000001</v>
      </c>
      <c r="Q33" s="10">
        <f t="shared" si="9"/>
        <v>38.921460000000003</v>
      </c>
      <c r="R33" s="7">
        <f>'[2]Dec Prod'!C32</f>
        <v>13071000</v>
      </c>
      <c r="S33" s="8">
        <f t="shared" si="10"/>
        <v>13.071</v>
      </c>
      <c r="T33" s="10">
        <f t="shared" si="11"/>
        <v>40.127969999999998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392999.99999999977</v>
      </c>
      <c r="Y33" s="8">
        <f t="shared" si="14"/>
        <v>0.39299999999999979</v>
      </c>
      <c r="Z33" s="10">
        <f t="shared" si="15"/>
        <v>1.2065099999999993</v>
      </c>
      <c r="AA33" s="15"/>
      <c r="AB33" s="7">
        <f t="shared" si="16"/>
        <v>12678000</v>
      </c>
      <c r="AC33" s="8">
        <f t="shared" si="16"/>
        <v>12.678000000000001</v>
      </c>
      <c r="AD33" s="8">
        <f t="shared" si="16"/>
        <v>38.921460000000003</v>
      </c>
    </row>
    <row r="34" spans="1:30" x14ac:dyDescent="0.25">
      <c r="A34" s="1">
        <v>38351</v>
      </c>
      <c r="B34" s="7">
        <f>'[2]Dec Prod'!I33</f>
        <v>0</v>
      </c>
      <c r="C34" s="8">
        <f t="shared" si="0"/>
        <v>0</v>
      </c>
      <c r="D34" s="10">
        <f t="shared" si="1"/>
        <v>0</v>
      </c>
      <c r="E34" s="7">
        <f>'[2]Dec Prod'!E33</f>
        <v>0</v>
      </c>
      <c r="F34" s="8">
        <f t="shared" si="2"/>
        <v>0</v>
      </c>
      <c r="G34" s="10">
        <f t="shared" si="3"/>
        <v>0</v>
      </c>
      <c r="H34" s="7">
        <f>'[2]Dec Prod'!F33</f>
        <v>0</v>
      </c>
      <c r="I34" s="8">
        <f>H34/100000000</f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1"/>
      <c r="O34" s="7">
        <f>'[2]Dec Prod'!H33</f>
        <v>10955000</v>
      </c>
      <c r="P34" s="8">
        <f t="shared" si="8"/>
        <v>10.955</v>
      </c>
      <c r="Q34" s="10">
        <f t="shared" si="9"/>
        <v>33.63185</v>
      </c>
      <c r="R34" s="7">
        <f>'[2]Dec Prod'!C33</f>
        <v>11424000</v>
      </c>
      <c r="S34" s="8">
        <f t="shared" si="10"/>
        <v>11.423999999999999</v>
      </c>
      <c r="T34" s="10">
        <f t="shared" si="11"/>
        <v>35.071679999999994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469000.00000000029</v>
      </c>
      <c r="Y34" s="8">
        <f t="shared" si="14"/>
        <v>0.46900000000000031</v>
      </c>
      <c r="Z34" s="10">
        <f t="shared" si="15"/>
        <v>1.4398300000000008</v>
      </c>
      <c r="AA34" s="15"/>
      <c r="AB34" s="7">
        <f t="shared" si="16"/>
        <v>10955000</v>
      </c>
      <c r="AC34" s="8">
        <f t="shared" si="16"/>
        <v>10.955</v>
      </c>
      <c r="AD34" s="8">
        <f t="shared" si="16"/>
        <v>33.63185</v>
      </c>
    </row>
    <row r="35" spans="1:30" ht="13.8" thickBot="1" x14ac:dyDescent="0.3">
      <c r="A35" s="1">
        <v>38352</v>
      </c>
      <c r="B35" s="29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0</v>
      </c>
      <c r="F35" s="9">
        <f t="shared" si="2"/>
        <v>0</v>
      </c>
      <c r="G35" s="11">
        <f t="shared" si="3"/>
        <v>0</v>
      </c>
      <c r="H35" s="7">
        <f>'[2]Dec Prod'!F34</f>
        <v>0</v>
      </c>
      <c r="I35" s="9">
        <f>H35/100000000</f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1"/>
      <c r="O35" s="7">
        <f>'[2]Dec Prod'!H34</f>
        <v>11017000</v>
      </c>
      <c r="P35" s="9">
        <f t="shared" si="8"/>
        <v>11.016999999999999</v>
      </c>
      <c r="Q35" s="11">
        <f t="shared" si="9"/>
        <v>33.822189999999999</v>
      </c>
      <c r="R35" s="7">
        <f>'[2]Dec Prod'!C34</f>
        <v>11344000</v>
      </c>
      <c r="S35" s="9">
        <f t="shared" si="10"/>
        <v>11.343999999999999</v>
      </c>
      <c r="T35" s="11">
        <f t="shared" si="11"/>
        <v>34.826079999999997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327000.00000000087</v>
      </c>
      <c r="Y35" s="9">
        <f t="shared" si="14"/>
        <v>0.32700000000000085</v>
      </c>
      <c r="Z35" s="11">
        <f t="shared" si="15"/>
        <v>1.0038900000000026</v>
      </c>
      <c r="AA35" s="15"/>
      <c r="AB35" s="7">
        <f t="shared" si="16"/>
        <v>11017000</v>
      </c>
      <c r="AC35" s="8">
        <f t="shared" si="16"/>
        <v>11.016999999999999</v>
      </c>
      <c r="AD35" s="8">
        <f t="shared" si="16"/>
        <v>33.822189999999999</v>
      </c>
    </row>
    <row r="36" spans="1:30" ht="13.8" thickBot="1" x14ac:dyDescent="0.3">
      <c r="A36" s="20"/>
      <c r="B36" s="38"/>
      <c r="C36" s="39">
        <f>SUM(C5:C35)</f>
        <v>18.099999999998545</v>
      </c>
      <c r="D36" s="39">
        <f>SUM(D5:D35)</f>
        <v>55.566999999995531</v>
      </c>
      <c r="E36" s="38"/>
      <c r="F36" s="39">
        <f>SUM(F5:F35)</f>
        <v>19</v>
      </c>
      <c r="G36" s="39">
        <f>SUM(G5:G35)</f>
        <v>58.33</v>
      </c>
      <c r="H36" s="38"/>
      <c r="I36" s="39">
        <f>SUM(I5:I35)</f>
        <v>0</v>
      </c>
      <c r="J36" s="39">
        <f>SUM(J5:J35)</f>
        <v>0</v>
      </c>
      <c r="K36" s="38"/>
      <c r="L36" s="39">
        <f>SUM(L5:L35)</f>
        <v>4.0863869999999993</v>
      </c>
      <c r="M36" s="39">
        <f>SUM(M5:M35)</f>
        <v>12.545208089999999</v>
      </c>
      <c r="N36" s="14"/>
      <c r="O36" s="38"/>
      <c r="P36" s="39">
        <f>SUM(P5:P35)</f>
        <v>351.18500000000006</v>
      </c>
      <c r="Q36" s="39">
        <f>SUM(Q5:Q35)</f>
        <v>1078.1379500000003</v>
      </c>
      <c r="R36" s="38"/>
      <c r="S36" s="39">
        <f>SUM(S5:S35)</f>
        <v>359.45899999999995</v>
      </c>
      <c r="T36" s="39">
        <f>SUM(T5:T35)</f>
        <v>1103.5391299999997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8.2740000000000116</v>
      </c>
      <c r="Z36" s="39">
        <f>SUM(Z5:Z35)</f>
        <v>25.401180000000032</v>
      </c>
      <c r="AA36" s="14"/>
      <c r="AB36" s="38"/>
      <c r="AC36" s="39">
        <f>SUM(AC5:AC35)</f>
        <v>369.2849999999986</v>
      </c>
      <c r="AD36" s="39">
        <f>SUM(AD5:AD35)</f>
        <v>1133.7049499999955</v>
      </c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P11" activePane="bottomRight" state="frozen"/>
      <selection pane="topRight" activeCell="B1" sqref="B1"/>
      <selection pane="bottomLeft" activeCell="A5" sqref="A5"/>
      <selection pane="bottomRight" activeCell="A30" sqref="A30:XFD30"/>
    </sheetView>
  </sheetViews>
  <sheetFormatPr defaultRowHeight="13.2" x14ac:dyDescent="0.25"/>
  <cols>
    <col min="2" max="2" width="10.88671875" customWidth="1"/>
    <col min="3" max="3" width="7.6640625" style="18" customWidth="1"/>
    <col min="5" max="5" width="13.44140625" style="3" bestFit="1" customWidth="1"/>
    <col min="6" max="6" width="8.33203125" style="3" customWidth="1"/>
    <col min="7" max="7" width="9.109375" style="3"/>
    <col min="8" max="8" width="11.6640625" style="3" customWidth="1"/>
    <col min="9" max="10" width="9.109375" style="3"/>
    <col min="11" max="11" width="11.88671875" style="14" customWidth="1"/>
    <col min="12" max="12" width="11" style="3" customWidth="1"/>
    <col min="13" max="13" width="11.109375" style="3" bestFit="1" customWidth="1"/>
    <col min="14" max="14" width="9.109375" style="3"/>
    <col min="15" max="15" width="13.44140625" style="3" bestFit="1" customWidth="1"/>
    <col min="16" max="17" width="9.109375" style="3"/>
    <col min="18" max="18" width="11.6640625" style="3" bestFit="1" customWidth="1"/>
    <col min="19" max="21" width="9.109375" style="3"/>
    <col min="22" max="22" width="11.6640625" bestFit="1" customWidth="1"/>
    <col min="28" max="28" width="12.6640625" customWidth="1"/>
  </cols>
  <sheetData>
    <row r="1" spans="1:30" ht="13.5" customHeight="1" x14ac:dyDescent="0.25">
      <c r="A1" s="45"/>
      <c r="B1" s="40"/>
      <c r="C1" s="25"/>
      <c r="D1" s="25"/>
      <c r="E1" s="25"/>
      <c r="F1" s="25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27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0</v>
      </c>
      <c r="F5" s="8">
        <f>E5/1000000</f>
        <v>0</v>
      </c>
      <c r="G5" s="10">
        <f>F5*3.07</f>
        <v>0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1"/>
      <c r="O5" s="7">
        <f>'[3]Jan Prod'!H4</f>
        <v>12658000.000000002</v>
      </c>
      <c r="P5" s="8">
        <f>O5/1000000</f>
        <v>12.658000000000001</v>
      </c>
      <c r="Q5" s="10">
        <f>P5*3.07</f>
        <v>38.860060000000004</v>
      </c>
      <c r="R5" s="7">
        <f>'[3]Jan Prod'!C4</f>
        <v>13112000</v>
      </c>
      <c r="S5" s="8">
        <f>R5/1000000</f>
        <v>13.112</v>
      </c>
      <c r="T5" s="10">
        <f>S5*3.07</f>
        <v>40.253839999999997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453999.99999999884</v>
      </c>
      <c r="Y5" s="8">
        <f>X5/1000000</f>
        <v>0.45399999999999885</v>
      </c>
      <c r="Z5" s="10">
        <f>Y5*3.07</f>
        <v>1.3937799999999965</v>
      </c>
      <c r="AA5" s="15"/>
      <c r="AB5" s="7">
        <f>B5+O5</f>
        <v>12658000.000000002</v>
      </c>
      <c r="AC5" s="8">
        <f>C5+P5</f>
        <v>12.658000000000001</v>
      </c>
      <c r="AD5" s="8">
        <f>D5+Q5</f>
        <v>38.860060000000004</v>
      </c>
    </row>
    <row r="6" spans="1:30" x14ac:dyDescent="0.25">
      <c r="A6" s="27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'[3]Jan Prod'!H5</f>
        <v>12758000</v>
      </c>
      <c r="P6" s="8">
        <f t="shared" ref="P6:P35" si="8">O6/1000000</f>
        <v>12.757999999999999</v>
      </c>
      <c r="Q6" s="10">
        <f t="shared" ref="Q6:Q35" si="9">P6*3.07</f>
        <v>39.167059999999992</v>
      </c>
      <c r="R6" s="7">
        <f>'[3]Jan Prod'!C5</f>
        <v>13021000</v>
      </c>
      <c r="S6" s="8">
        <f t="shared" ref="S6:S35" si="10">R6/1000000</f>
        <v>13.021000000000001</v>
      </c>
      <c r="T6" s="10">
        <f t="shared" ref="T6:T35" si="11">S6*3.07</f>
        <v>39.974470000000004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262999.99999999988</v>
      </c>
      <c r="Y6" s="8">
        <f t="shared" ref="Y6:Y35" si="14">X6/1000000</f>
        <v>0.2629999999999999</v>
      </c>
      <c r="Z6" s="10">
        <f t="shared" ref="Z6:Z35" si="15">Y6*3.07</f>
        <v>0.80740999999999963</v>
      </c>
      <c r="AA6" s="15"/>
      <c r="AB6" s="7">
        <f t="shared" ref="AB6:AD35" si="16">B6+O6</f>
        <v>12758000</v>
      </c>
      <c r="AC6" s="8">
        <f t="shared" si="16"/>
        <v>12.757999999999999</v>
      </c>
      <c r="AD6" s="8">
        <f t="shared" si="16"/>
        <v>39.167059999999992</v>
      </c>
    </row>
    <row r="7" spans="1:30" x14ac:dyDescent="0.25">
      <c r="A7" s="27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0</v>
      </c>
      <c r="L7" s="8">
        <f t="shared" si="6"/>
        <v>0</v>
      </c>
      <c r="M7" s="10">
        <f t="shared" si="7"/>
        <v>0</v>
      </c>
      <c r="N7" s="21"/>
      <c r="O7" s="7">
        <f>'[3]Jan Prod'!H6</f>
        <v>12524000</v>
      </c>
      <c r="P7" s="8">
        <f t="shared" si="8"/>
        <v>12.523999999999999</v>
      </c>
      <c r="Q7" s="10">
        <f t="shared" si="9"/>
        <v>38.448679999999996</v>
      </c>
      <c r="R7" s="7">
        <f>'[3]Jan Prod'!C6</f>
        <v>12979000</v>
      </c>
      <c r="S7" s="8">
        <f t="shared" si="10"/>
        <v>12.978999999999999</v>
      </c>
      <c r="T7" s="10">
        <f t="shared" si="11"/>
        <v>39.845529999999997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455000.00000000006</v>
      </c>
      <c r="Y7" s="8">
        <f t="shared" si="14"/>
        <v>0.45500000000000007</v>
      </c>
      <c r="Z7" s="10">
        <f t="shared" si="15"/>
        <v>1.3968500000000001</v>
      </c>
      <c r="AA7" s="15"/>
      <c r="AB7" s="7">
        <f t="shared" si="16"/>
        <v>12524000</v>
      </c>
      <c r="AC7" s="8">
        <f t="shared" si="16"/>
        <v>12.523999999999999</v>
      </c>
      <c r="AD7" s="8">
        <f t="shared" si="16"/>
        <v>38.448679999999996</v>
      </c>
    </row>
    <row r="8" spans="1:30" x14ac:dyDescent="0.25">
      <c r="A8" s="27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1"/>
      <c r="O8" s="7">
        <f>'[3]Jan Prod'!H7</f>
        <v>11938000</v>
      </c>
      <c r="P8" s="8">
        <f t="shared" si="8"/>
        <v>11.938000000000001</v>
      </c>
      <c r="Q8" s="10">
        <f t="shared" si="9"/>
        <v>36.649659999999997</v>
      </c>
      <c r="R8" s="7">
        <f>'[3]Jan Prod'!C7</f>
        <v>12461000</v>
      </c>
      <c r="S8" s="8">
        <f t="shared" si="10"/>
        <v>12.461</v>
      </c>
      <c r="T8" s="10">
        <f t="shared" si="11"/>
        <v>38.255269999999996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522999.99999999971</v>
      </c>
      <c r="Y8" s="8">
        <f t="shared" si="14"/>
        <v>0.52299999999999969</v>
      </c>
      <c r="Z8" s="10">
        <f t="shared" si="15"/>
        <v>1.6056099999999989</v>
      </c>
      <c r="AA8" s="15"/>
      <c r="AB8" s="7">
        <f t="shared" si="16"/>
        <v>11938000</v>
      </c>
      <c r="AC8" s="8">
        <f t="shared" si="16"/>
        <v>11.938000000000001</v>
      </c>
      <c r="AD8" s="8">
        <f>D8+Q8</f>
        <v>36.649659999999997</v>
      </c>
    </row>
    <row r="9" spans="1:30" x14ac:dyDescent="0.25">
      <c r="A9" s="27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0</v>
      </c>
      <c r="I9" s="8">
        <f t="shared" si="4"/>
        <v>0</v>
      </c>
      <c r="J9" s="10">
        <f t="shared" si="5"/>
        <v>0</v>
      </c>
      <c r="K9" s="7">
        <f>'[3]Jan Prod'!H263</f>
        <v>0</v>
      </c>
      <c r="L9" s="8">
        <f t="shared" si="6"/>
        <v>0</v>
      </c>
      <c r="M9" s="10">
        <f t="shared" si="7"/>
        <v>0</v>
      </c>
      <c r="N9" s="21"/>
      <c r="O9" s="7">
        <f>'[3]Jan Prod'!H8</f>
        <v>11476999.999999998</v>
      </c>
      <c r="P9" s="8">
        <f t="shared" si="8"/>
        <v>11.476999999999999</v>
      </c>
      <c r="Q9" s="10">
        <f t="shared" si="9"/>
        <v>35.234389999999991</v>
      </c>
      <c r="R9" s="7">
        <f>'[3]Jan Prod'!C8</f>
        <v>11811000</v>
      </c>
      <c r="S9" s="8">
        <f t="shared" si="10"/>
        <v>11.811</v>
      </c>
      <c r="T9" s="10">
        <f t="shared" si="11"/>
        <v>36.259769999999996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334000.0000000014</v>
      </c>
      <c r="Y9" s="8">
        <f t="shared" si="14"/>
        <v>0.33400000000000141</v>
      </c>
      <c r="Z9" s="10">
        <f t="shared" si="15"/>
        <v>1.0253800000000042</v>
      </c>
      <c r="AA9" s="15"/>
      <c r="AB9" s="7">
        <f t="shared" si="16"/>
        <v>11476999.999999998</v>
      </c>
      <c r="AC9" s="8">
        <f t="shared" si="16"/>
        <v>11.476999999999999</v>
      </c>
      <c r="AD9" s="8">
        <f t="shared" si="16"/>
        <v>35.234389999999991</v>
      </c>
    </row>
    <row r="10" spans="1:30" x14ac:dyDescent="0.25">
      <c r="A10" s="27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1"/>
      <c r="O10" s="7">
        <f>'[3]Jan Prod'!H9</f>
        <v>11767000</v>
      </c>
      <c r="P10" s="8">
        <f t="shared" si="8"/>
        <v>11.766999999999999</v>
      </c>
      <c r="Q10" s="10">
        <f t="shared" si="9"/>
        <v>36.124689999999994</v>
      </c>
      <c r="R10" s="7">
        <f>'[3]Jan Prod'!C9</f>
        <v>12168000</v>
      </c>
      <c r="S10" s="8">
        <f t="shared" si="10"/>
        <v>12.167999999999999</v>
      </c>
      <c r="T10" s="10">
        <f t="shared" si="11"/>
        <v>37.355759999999997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400999.99999999983</v>
      </c>
      <c r="Y10" s="8">
        <f t="shared" si="14"/>
        <v>0.4009999999999998</v>
      </c>
      <c r="Z10" s="10">
        <f t="shared" si="15"/>
        <v>1.2310699999999992</v>
      </c>
      <c r="AA10" s="15"/>
      <c r="AB10" s="7">
        <f t="shared" si="16"/>
        <v>11767000</v>
      </c>
      <c r="AC10" s="8">
        <f t="shared" si="16"/>
        <v>11.766999999999999</v>
      </c>
      <c r="AD10" s="8">
        <f t="shared" si="16"/>
        <v>36.124689999999994</v>
      </c>
    </row>
    <row r="11" spans="1:30" x14ac:dyDescent="0.25">
      <c r="A11" s="27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1"/>
      <c r="O11" s="7">
        <f>'[3]Jan Prod'!H10</f>
        <v>11627000</v>
      </c>
      <c r="P11" s="8">
        <f t="shared" si="8"/>
        <v>11.627000000000001</v>
      </c>
      <c r="Q11" s="10">
        <f t="shared" si="9"/>
        <v>35.694890000000001</v>
      </c>
      <c r="R11" s="7">
        <f>'[3]Jan Prod'!C10</f>
        <v>11946000</v>
      </c>
      <c r="S11" s="8">
        <f t="shared" si="10"/>
        <v>11.946</v>
      </c>
      <c r="T11" s="10">
        <f t="shared" si="11"/>
        <v>36.674219999999998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318999.99999999907</v>
      </c>
      <c r="Y11" s="8">
        <f t="shared" si="14"/>
        <v>0.31899999999999906</v>
      </c>
      <c r="Z11" s="10">
        <f t="shared" si="15"/>
        <v>0.97932999999999704</v>
      </c>
      <c r="AA11" s="15"/>
      <c r="AB11" s="7">
        <f t="shared" si="16"/>
        <v>11627000</v>
      </c>
      <c r="AC11" s="8">
        <f t="shared" si="16"/>
        <v>11.627000000000001</v>
      </c>
      <c r="AD11" s="8">
        <f t="shared" si="16"/>
        <v>35.694890000000001</v>
      </c>
    </row>
    <row r="12" spans="1:30" x14ac:dyDescent="0.25">
      <c r="A12" s="27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1"/>
      <c r="O12" s="7">
        <f>'[3]Jan Prod'!H11</f>
        <v>11197999.999999998</v>
      </c>
      <c r="P12" s="8">
        <f t="shared" si="8"/>
        <v>11.197999999999999</v>
      </c>
      <c r="Q12" s="10">
        <f t="shared" si="9"/>
        <v>34.377859999999991</v>
      </c>
      <c r="R12" s="7">
        <f>'[3]Jan Prod'!C11</f>
        <v>11760000</v>
      </c>
      <c r="S12" s="8">
        <f t="shared" si="10"/>
        <v>11.76</v>
      </c>
      <c r="T12" s="10">
        <f t="shared" si="11"/>
        <v>36.103199999999994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562000.00000000116</v>
      </c>
      <c r="Y12" s="8">
        <f t="shared" si="14"/>
        <v>0.56200000000000117</v>
      </c>
      <c r="Z12" s="10">
        <f t="shared" si="15"/>
        <v>1.7253400000000034</v>
      </c>
      <c r="AA12" s="15"/>
      <c r="AB12" s="7">
        <f t="shared" si="16"/>
        <v>11197999.999999998</v>
      </c>
      <c r="AC12" s="8">
        <f t="shared" si="16"/>
        <v>11.197999999999999</v>
      </c>
      <c r="AD12" s="8">
        <f t="shared" si="16"/>
        <v>34.377859999999991</v>
      </c>
    </row>
    <row r="13" spans="1:30" x14ac:dyDescent="0.25">
      <c r="A13" s="27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0</v>
      </c>
      <c r="I13" s="8">
        <f t="shared" si="4"/>
        <v>0</v>
      </c>
      <c r="J13" s="10">
        <f t="shared" si="5"/>
        <v>0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1"/>
      <c r="O13" s="7">
        <f>'[3]Jan Prod'!H12</f>
        <v>11621000</v>
      </c>
      <c r="P13" s="8">
        <f t="shared" si="8"/>
        <v>11.621</v>
      </c>
      <c r="Q13" s="10">
        <f t="shared" si="9"/>
        <v>35.676470000000002</v>
      </c>
      <c r="R13" s="7">
        <f>'[3]Jan Prod'!C12</f>
        <v>11961000</v>
      </c>
      <c r="S13" s="8">
        <f t="shared" si="10"/>
        <v>11.961</v>
      </c>
      <c r="T13" s="10">
        <f t="shared" si="11"/>
        <v>36.720269999999999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339999.99999999988</v>
      </c>
      <c r="Y13" s="8">
        <f t="shared" si="14"/>
        <v>0.33999999999999986</v>
      </c>
      <c r="Z13" s="10">
        <f t="shared" si="15"/>
        <v>1.0437999999999996</v>
      </c>
      <c r="AA13" s="15"/>
      <c r="AB13" s="7">
        <f t="shared" si="16"/>
        <v>11621000</v>
      </c>
      <c r="AC13" s="8">
        <f t="shared" si="16"/>
        <v>11.621</v>
      </c>
      <c r="AD13" s="8">
        <f t="shared" si="16"/>
        <v>35.676470000000002</v>
      </c>
    </row>
    <row r="14" spans="1:30" x14ac:dyDescent="0.25">
      <c r="A14" s="27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7">
        <f>'[3]Jan Prod'!F13</f>
        <v>0</v>
      </c>
      <c r="I14" s="8">
        <f t="shared" si="4"/>
        <v>0</v>
      </c>
      <c r="J14" s="10">
        <f t="shared" si="5"/>
        <v>0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1"/>
      <c r="O14" s="7">
        <f>'[3]Jan Prod'!H13</f>
        <v>11836000</v>
      </c>
      <c r="P14" s="8">
        <f t="shared" si="8"/>
        <v>11.836</v>
      </c>
      <c r="Q14" s="10">
        <f t="shared" si="9"/>
        <v>36.33652</v>
      </c>
      <c r="R14" s="7">
        <f>'[3]Jan Prod'!C13</f>
        <v>12230000</v>
      </c>
      <c r="S14" s="8">
        <f t="shared" si="10"/>
        <v>12.23</v>
      </c>
      <c r="T14" s="10">
        <f t="shared" si="11"/>
        <v>37.546100000000003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394000.00000000012</v>
      </c>
      <c r="Y14" s="8">
        <f t="shared" si="14"/>
        <v>0.39400000000000013</v>
      </c>
      <c r="Z14" s="10">
        <f t="shared" si="15"/>
        <v>1.2095800000000003</v>
      </c>
      <c r="AA14" s="15"/>
      <c r="AB14" s="7">
        <f t="shared" si="16"/>
        <v>11836000</v>
      </c>
      <c r="AC14" s="8">
        <f t="shared" si="16"/>
        <v>11.836</v>
      </c>
      <c r="AD14" s="8">
        <f t="shared" si="16"/>
        <v>36.33652</v>
      </c>
    </row>
    <row r="15" spans="1:30" x14ac:dyDescent="0.25">
      <c r="A15" s="27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7">
        <f>'[3]Jan Prod'!F14</f>
        <v>0</v>
      </c>
      <c r="I15" s="8">
        <f t="shared" si="4"/>
        <v>0</v>
      </c>
      <c r="J15" s="10">
        <f t="shared" si="5"/>
        <v>0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1"/>
      <c r="O15" s="7">
        <f>'[3]Jan Prod'!H14</f>
        <v>12560000</v>
      </c>
      <c r="P15" s="8">
        <f t="shared" si="8"/>
        <v>12.56</v>
      </c>
      <c r="Q15" s="10">
        <f t="shared" si="9"/>
        <v>38.559199999999997</v>
      </c>
      <c r="R15" s="7">
        <f>'[3]Jan Prod'!C14</f>
        <v>12955000</v>
      </c>
      <c r="S15" s="8">
        <f t="shared" si="10"/>
        <v>12.955</v>
      </c>
      <c r="T15" s="10">
        <f t="shared" si="11"/>
        <v>39.771850000000001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394999.99999999959</v>
      </c>
      <c r="Y15" s="8">
        <f t="shared" si="14"/>
        <v>0.39499999999999957</v>
      </c>
      <c r="Z15" s="10">
        <f t="shared" si="15"/>
        <v>1.2126499999999987</v>
      </c>
      <c r="AA15" s="15"/>
      <c r="AB15" s="7">
        <f t="shared" si="16"/>
        <v>12560000</v>
      </c>
      <c r="AC15" s="8">
        <f t="shared" si="16"/>
        <v>12.56</v>
      </c>
      <c r="AD15" s="8">
        <f t="shared" si="16"/>
        <v>38.559199999999997</v>
      </c>
    </row>
    <row r="16" spans="1:30" x14ac:dyDescent="0.25">
      <c r="A16" s="27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7">
        <f>'[3]Jan Prod'!F15</f>
        <v>0</v>
      </c>
      <c r="I16" s="8">
        <f t="shared" si="4"/>
        <v>0</v>
      </c>
      <c r="J16" s="10">
        <f t="shared" si="5"/>
        <v>0</v>
      </c>
      <c r="K16" s="7">
        <f>'[3]Jan Prod'!H270</f>
        <v>0</v>
      </c>
      <c r="L16" s="8">
        <f t="shared" si="6"/>
        <v>0</v>
      </c>
      <c r="M16" s="10">
        <f t="shared" si="7"/>
        <v>0</v>
      </c>
      <c r="N16" s="21"/>
      <c r="O16" s="7">
        <f>'[3]Jan Prod'!H15</f>
        <v>12657000.000000002</v>
      </c>
      <c r="P16" s="8">
        <f t="shared" si="8"/>
        <v>12.657000000000002</v>
      </c>
      <c r="Q16" s="10">
        <f t="shared" si="9"/>
        <v>38.856990000000003</v>
      </c>
      <c r="R16" s="7">
        <f>'[3]Jan Prod'!C15</f>
        <v>13069000</v>
      </c>
      <c r="S16" s="8">
        <f t="shared" si="10"/>
        <v>13.069000000000001</v>
      </c>
      <c r="T16" s="10">
        <f t="shared" si="11"/>
        <v>40.121830000000003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411999.99999999901</v>
      </c>
      <c r="Y16" s="8">
        <f t="shared" si="14"/>
        <v>0.41199999999999903</v>
      </c>
      <c r="Z16" s="10">
        <f t="shared" si="15"/>
        <v>1.2648399999999971</v>
      </c>
      <c r="AA16" s="15"/>
      <c r="AB16" s="7">
        <f t="shared" si="16"/>
        <v>12657000.000000002</v>
      </c>
      <c r="AC16" s="8">
        <f t="shared" si="16"/>
        <v>12.657000000000002</v>
      </c>
      <c r="AD16" s="8">
        <f t="shared" si="16"/>
        <v>38.856990000000003</v>
      </c>
    </row>
    <row r="17" spans="1:30" x14ac:dyDescent="0.25">
      <c r="A17" s="27">
        <v>38365</v>
      </c>
      <c r="B17" s="7">
        <f>'[3]Jan Prod'!I16</f>
        <v>0</v>
      </c>
      <c r="C17" s="8">
        <f t="shared" si="0"/>
        <v>0</v>
      </c>
      <c r="D17" s="10">
        <f t="shared" si="1"/>
        <v>0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7">
        <f>'[3]Jan Prod'!F16</f>
        <v>0</v>
      </c>
      <c r="I17" s="8">
        <f t="shared" si="4"/>
        <v>0</v>
      </c>
      <c r="J17" s="10">
        <f t="shared" si="5"/>
        <v>0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1"/>
      <c r="O17" s="7">
        <f>'[3]Jan Prod'!H16</f>
        <v>11676000</v>
      </c>
      <c r="P17" s="8">
        <f t="shared" si="8"/>
        <v>11.676</v>
      </c>
      <c r="Q17" s="10">
        <f t="shared" si="9"/>
        <v>35.845320000000001</v>
      </c>
      <c r="R17" s="7">
        <f>'[3]Jan Prod'!C16</f>
        <v>12143000</v>
      </c>
      <c r="S17" s="8">
        <f t="shared" si="10"/>
        <v>12.143000000000001</v>
      </c>
      <c r="T17" s="10">
        <f t="shared" si="11"/>
        <v>37.27901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467000.00000000052</v>
      </c>
      <c r="Y17" s="8">
        <f t="shared" si="14"/>
        <v>0.46700000000000053</v>
      </c>
      <c r="Z17" s="10">
        <f t="shared" si="15"/>
        <v>1.4336900000000015</v>
      </c>
      <c r="AA17" s="15"/>
      <c r="AB17" s="7">
        <f t="shared" si="16"/>
        <v>11676000</v>
      </c>
      <c r="AC17" s="8">
        <f t="shared" si="16"/>
        <v>11.676</v>
      </c>
      <c r="AD17" s="8">
        <f t="shared" si="16"/>
        <v>35.845320000000001</v>
      </c>
    </row>
    <row r="18" spans="1:30" x14ac:dyDescent="0.25">
      <c r="A18" s="27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7">
        <f>'[3]Jan Prod'!F17</f>
        <v>0</v>
      </c>
      <c r="I18" s="8">
        <f t="shared" si="4"/>
        <v>0</v>
      </c>
      <c r="J18" s="10">
        <f t="shared" si="5"/>
        <v>0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1"/>
      <c r="O18" s="7">
        <f>'[3]Jan Prod'!H17</f>
        <v>11692000</v>
      </c>
      <c r="P18" s="8">
        <f t="shared" si="8"/>
        <v>11.692</v>
      </c>
      <c r="Q18" s="10">
        <f t="shared" si="9"/>
        <v>35.894439999999996</v>
      </c>
      <c r="R18" s="7">
        <f>'[3]Jan Prod'!C17</f>
        <v>12091000</v>
      </c>
      <c r="S18" s="8">
        <f t="shared" si="10"/>
        <v>12.090999999999999</v>
      </c>
      <c r="T18" s="10">
        <f t="shared" si="11"/>
        <v>37.119369999999996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399000.00000000093</v>
      </c>
      <c r="Y18" s="8">
        <f t="shared" si="14"/>
        <v>0.39900000000000091</v>
      </c>
      <c r="Z18" s="10">
        <f t="shared" si="15"/>
        <v>1.2249300000000027</v>
      </c>
      <c r="AA18" s="15"/>
      <c r="AB18" s="7">
        <f t="shared" si="16"/>
        <v>11692000</v>
      </c>
      <c r="AC18" s="8">
        <f t="shared" si="16"/>
        <v>11.692</v>
      </c>
      <c r="AD18" s="8">
        <f t="shared" si="16"/>
        <v>35.894439999999996</v>
      </c>
    </row>
    <row r="19" spans="1:30" x14ac:dyDescent="0.25">
      <c r="A19" s="27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7">
        <f>'[3]Jan Prod'!F18</f>
        <v>0</v>
      </c>
      <c r="I19" s="8">
        <f t="shared" si="4"/>
        <v>0</v>
      </c>
      <c r="J19" s="10">
        <f t="shared" si="5"/>
        <v>0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1"/>
      <c r="O19" s="7">
        <f>'[3]Jan Prod'!H18</f>
        <v>12392000.000000002</v>
      </c>
      <c r="P19" s="8">
        <f t="shared" si="8"/>
        <v>12.392000000000001</v>
      </c>
      <c r="Q19" s="10">
        <f t="shared" si="9"/>
        <v>38.043440000000004</v>
      </c>
      <c r="R19" s="7">
        <f>'[3]Jan Prod'!C18</f>
        <v>12734000</v>
      </c>
      <c r="S19" s="8">
        <f t="shared" si="10"/>
        <v>12.734</v>
      </c>
      <c r="T19" s="10">
        <f t="shared" si="11"/>
        <v>39.093379999999996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341999.99999999878</v>
      </c>
      <c r="Y19" s="8">
        <f t="shared" si="14"/>
        <v>0.3419999999999988</v>
      </c>
      <c r="Z19" s="10">
        <f t="shared" si="15"/>
        <v>1.0499399999999963</v>
      </c>
      <c r="AA19" s="15"/>
      <c r="AB19" s="7">
        <f t="shared" si="16"/>
        <v>12392000.000000002</v>
      </c>
      <c r="AC19" s="8">
        <f t="shared" si="16"/>
        <v>12.392000000000001</v>
      </c>
      <c r="AD19" s="8">
        <f>D19+Q19</f>
        <v>38.043440000000004</v>
      </c>
    </row>
    <row r="20" spans="1:30" x14ac:dyDescent="0.25">
      <c r="A20" s="27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7">
        <f>'[3]Jan Prod'!F19</f>
        <v>0</v>
      </c>
      <c r="I20" s="8">
        <f t="shared" si="4"/>
        <v>0</v>
      </c>
      <c r="J20" s="10">
        <f t="shared" si="5"/>
        <v>0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1"/>
      <c r="O20" s="7">
        <f>'[3]Jan Prod'!H19</f>
        <v>10675999.999999998</v>
      </c>
      <c r="P20" s="8">
        <f t="shared" si="8"/>
        <v>10.675999999999998</v>
      </c>
      <c r="Q20" s="10">
        <f t="shared" si="9"/>
        <v>32.775319999999994</v>
      </c>
      <c r="R20" s="7">
        <f>'[3]Jan Prod'!C19</f>
        <v>11145000</v>
      </c>
      <c r="S20" s="8">
        <f t="shared" si="10"/>
        <v>11.145</v>
      </c>
      <c r="T20" s="10">
        <f t="shared" si="11"/>
        <v>34.215149999999994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469000.00000000122</v>
      </c>
      <c r="Y20" s="8">
        <f t="shared" si="14"/>
        <v>0.46900000000000125</v>
      </c>
      <c r="Z20" s="10">
        <f t="shared" si="15"/>
        <v>1.4398300000000037</v>
      </c>
      <c r="AA20" s="15"/>
      <c r="AB20" s="7">
        <f t="shared" si="16"/>
        <v>10675999.999999998</v>
      </c>
      <c r="AC20" s="8">
        <f t="shared" si="16"/>
        <v>10.675999999999998</v>
      </c>
      <c r="AD20" s="8">
        <f t="shared" si="16"/>
        <v>32.775319999999994</v>
      </c>
    </row>
    <row r="21" spans="1:30" x14ac:dyDescent="0.25">
      <c r="A21" s="27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7">
        <f>'[3]Jan Prod'!F20</f>
        <v>0</v>
      </c>
      <c r="I21" s="8">
        <f t="shared" si="4"/>
        <v>0</v>
      </c>
      <c r="J21" s="10">
        <f t="shared" si="5"/>
        <v>0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10655000</v>
      </c>
      <c r="P21" s="8">
        <f t="shared" si="8"/>
        <v>10.654999999999999</v>
      </c>
      <c r="Q21" s="10">
        <f t="shared" si="9"/>
        <v>32.710849999999994</v>
      </c>
      <c r="R21" s="7">
        <f>'[3]Jan Prod'!C20</f>
        <v>11069000</v>
      </c>
      <c r="S21" s="8">
        <f t="shared" si="10"/>
        <v>11.069000000000001</v>
      </c>
      <c r="T21" s="10">
        <f t="shared" si="11"/>
        <v>33.981830000000002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413999.99999999971</v>
      </c>
      <c r="Y21" s="8">
        <f t="shared" si="14"/>
        <v>0.4139999999999997</v>
      </c>
      <c r="Z21" s="10">
        <f t="shared" si="15"/>
        <v>1.2709799999999991</v>
      </c>
      <c r="AA21" s="15"/>
      <c r="AB21" s="7">
        <f t="shared" si="16"/>
        <v>10655000</v>
      </c>
      <c r="AC21" s="8">
        <f t="shared" si="16"/>
        <v>10.654999999999999</v>
      </c>
      <c r="AD21" s="8">
        <f t="shared" si="16"/>
        <v>32.710849999999994</v>
      </c>
    </row>
    <row r="22" spans="1:30" x14ac:dyDescent="0.25">
      <c r="A22" s="27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7">
        <f>'[3]Jan Prod'!F21</f>
        <v>0</v>
      </c>
      <c r="I22" s="8">
        <f t="shared" si="4"/>
        <v>0</v>
      </c>
      <c r="J22" s="10">
        <f t="shared" si="5"/>
        <v>0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1"/>
      <c r="O22" s="7">
        <f>'[3]Jan Prod'!H21</f>
        <v>11618000</v>
      </c>
      <c r="P22" s="8">
        <f t="shared" si="8"/>
        <v>11.618</v>
      </c>
      <c r="Q22" s="10">
        <f t="shared" si="9"/>
        <v>35.667259999999999</v>
      </c>
      <c r="R22" s="7">
        <f>'[3]Jan Prod'!C21</f>
        <v>11946000</v>
      </c>
      <c r="S22" s="8">
        <f t="shared" si="10"/>
        <v>11.946</v>
      </c>
      <c r="T22" s="10">
        <f t="shared" si="11"/>
        <v>36.674219999999998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327999.99999999942</v>
      </c>
      <c r="Y22" s="8">
        <f t="shared" si="14"/>
        <v>0.3279999999999994</v>
      </c>
      <c r="Z22" s="10">
        <f t="shared" si="15"/>
        <v>1.0069599999999981</v>
      </c>
      <c r="AA22" s="15"/>
      <c r="AB22" s="7">
        <f t="shared" si="16"/>
        <v>11618000</v>
      </c>
      <c r="AC22" s="8">
        <f t="shared" si="16"/>
        <v>11.618</v>
      </c>
      <c r="AD22" s="8">
        <f t="shared" si="16"/>
        <v>35.667259999999999</v>
      </c>
    </row>
    <row r="23" spans="1:30" x14ac:dyDescent="0.25">
      <c r="A23" s="27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7">
        <f>'[3]Jan Prod'!F22</f>
        <v>0</v>
      </c>
      <c r="I23" s="8">
        <f t="shared" si="4"/>
        <v>0</v>
      </c>
      <c r="J23" s="10">
        <f t="shared" si="5"/>
        <v>0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1"/>
      <c r="O23" s="7">
        <f>'[3]Jan Prod'!H22</f>
        <v>12657000</v>
      </c>
      <c r="P23" s="8">
        <f t="shared" si="8"/>
        <v>12.657</v>
      </c>
      <c r="Q23" s="10">
        <f t="shared" si="9"/>
        <v>38.856989999999996</v>
      </c>
      <c r="R23" s="7">
        <f>'[3]Jan Prod'!C22</f>
        <v>13070000</v>
      </c>
      <c r="S23" s="8">
        <f t="shared" si="10"/>
        <v>13.07</v>
      </c>
      <c r="T23" s="10">
        <f t="shared" si="11"/>
        <v>40.124899999999997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413000.00000000023</v>
      </c>
      <c r="Y23" s="8">
        <f t="shared" si="14"/>
        <v>0.41300000000000026</v>
      </c>
      <c r="Z23" s="10">
        <f t="shared" si="15"/>
        <v>1.2679100000000008</v>
      </c>
      <c r="AA23" s="15"/>
      <c r="AB23" s="7">
        <f t="shared" si="16"/>
        <v>12657000</v>
      </c>
      <c r="AC23" s="8">
        <f t="shared" si="16"/>
        <v>12.657</v>
      </c>
      <c r="AD23" s="8">
        <f t="shared" si="16"/>
        <v>38.856989999999996</v>
      </c>
    </row>
    <row r="24" spans="1:30" x14ac:dyDescent="0.25">
      <c r="A24" s="27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7">
        <f>'[3]Jan Prod'!F23</f>
        <v>0</v>
      </c>
      <c r="I24" s="8">
        <f t="shared" si="4"/>
        <v>0</v>
      </c>
      <c r="J24" s="10">
        <f t="shared" si="5"/>
        <v>0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1"/>
      <c r="O24" s="7">
        <f>'[3]Jan Prod'!H23</f>
        <v>12857000.000000002</v>
      </c>
      <c r="P24" s="8">
        <f t="shared" si="8"/>
        <v>12.857000000000001</v>
      </c>
      <c r="Q24" s="10">
        <f t="shared" si="9"/>
        <v>39.47099</v>
      </c>
      <c r="R24" s="7">
        <f>'[3]Jan Prod'!C23</f>
        <v>13189000</v>
      </c>
      <c r="S24" s="8">
        <f t="shared" si="10"/>
        <v>13.189</v>
      </c>
      <c r="T24" s="10">
        <f t="shared" si="11"/>
        <v>40.490229999999997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331999.99999999895</v>
      </c>
      <c r="Y24" s="8">
        <f t="shared" si="14"/>
        <v>0.33199999999999896</v>
      </c>
      <c r="Z24" s="10">
        <f t="shared" si="15"/>
        <v>1.0192399999999968</v>
      </c>
      <c r="AA24" s="15"/>
      <c r="AB24" s="7">
        <f t="shared" si="16"/>
        <v>12857000.000000002</v>
      </c>
      <c r="AC24" s="8">
        <f t="shared" si="16"/>
        <v>12.857000000000001</v>
      </c>
      <c r="AD24" s="8">
        <f>D24+Q24</f>
        <v>39.47099</v>
      </c>
    </row>
    <row r="25" spans="1:30" x14ac:dyDescent="0.25">
      <c r="A25" s="27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7">
        <f>'[3]Jan Prod'!F24</f>
        <v>0</v>
      </c>
      <c r="I25" s="8">
        <f t="shared" si="4"/>
        <v>0</v>
      </c>
      <c r="J25" s="10">
        <f t="shared" si="5"/>
        <v>0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1"/>
      <c r="O25" s="7">
        <f>'[3]Jan Prod'!H24</f>
        <v>12029000</v>
      </c>
      <c r="P25" s="8">
        <f t="shared" si="8"/>
        <v>12.029</v>
      </c>
      <c r="Q25" s="10">
        <f t="shared" si="9"/>
        <v>36.929029999999997</v>
      </c>
      <c r="R25" s="7">
        <f>'[3]Jan Prod'!C24</f>
        <v>12418000</v>
      </c>
      <c r="S25" s="8">
        <f t="shared" si="10"/>
        <v>12.417999999999999</v>
      </c>
      <c r="T25" s="10">
        <f t="shared" si="11"/>
        <v>38.123259999999995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388999.99999999936</v>
      </c>
      <c r="Y25" s="8">
        <f t="shared" si="14"/>
        <v>0.38899999999999935</v>
      </c>
      <c r="Z25" s="10">
        <f t="shared" si="15"/>
        <v>1.1942299999999979</v>
      </c>
      <c r="AA25" s="15"/>
      <c r="AB25" s="7">
        <f t="shared" si="16"/>
        <v>12029000</v>
      </c>
      <c r="AC25" s="8">
        <f t="shared" si="16"/>
        <v>12.029</v>
      </c>
      <c r="AD25" s="8">
        <f t="shared" si="16"/>
        <v>36.929029999999997</v>
      </c>
    </row>
    <row r="26" spans="1:30" x14ac:dyDescent="0.25">
      <c r="A26" s="27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7">
        <f>'[3]Jan Prod'!F25</f>
        <v>0</v>
      </c>
      <c r="I26" s="8">
        <f t="shared" si="4"/>
        <v>0</v>
      </c>
      <c r="J26" s="10">
        <f t="shared" si="5"/>
        <v>0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1"/>
      <c r="O26" s="7">
        <f>'[3]Jan Prod'!H25</f>
        <v>10347999.999999996</v>
      </c>
      <c r="P26" s="8">
        <f t="shared" si="8"/>
        <v>10.347999999999995</v>
      </c>
      <c r="Q26" s="10">
        <f t="shared" si="9"/>
        <v>31.768359999999984</v>
      </c>
      <c r="R26" s="7">
        <f>'[3]Jan Prod'!C25</f>
        <v>10743000</v>
      </c>
      <c r="S26" s="8">
        <f t="shared" si="10"/>
        <v>10.743</v>
      </c>
      <c r="T26" s="10">
        <f t="shared" si="11"/>
        <v>32.981009999999998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395000.00000000314</v>
      </c>
      <c r="Y26" s="8">
        <f t="shared" si="14"/>
        <v>0.39500000000000313</v>
      </c>
      <c r="Z26" s="10">
        <f t="shared" si="15"/>
        <v>1.2126500000000096</v>
      </c>
      <c r="AA26" s="15"/>
      <c r="AB26" s="7">
        <f t="shared" si="16"/>
        <v>10347999.999999996</v>
      </c>
      <c r="AC26" s="8">
        <f t="shared" si="16"/>
        <v>10.347999999999995</v>
      </c>
      <c r="AD26" s="8">
        <f t="shared" si="16"/>
        <v>31.768359999999984</v>
      </c>
    </row>
    <row r="27" spans="1:30" x14ac:dyDescent="0.25">
      <c r="A27" s="27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7">
        <f>'[3]Jan Prod'!F26</f>
        <v>0</v>
      </c>
      <c r="I27" s="8">
        <f t="shared" si="4"/>
        <v>0</v>
      </c>
      <c r="J27" s="10">
        <f t="shared" si="5"/>
        <v>0</v>
      </c>
      <c r="K27" s="7">
        <f>'[3]Jan Prod'!H281</f>
        <v>0</v>
      </c>
      <c r="L27" s="8">
        <f t="shared" si="6"/>
        <v>0</v>
      </c>
      <c r="M27" s="10">
        <f t="shared" si="7"/>
        <v>0</v>
      </c>
      <c r="N27" s="21"/>
      <c r="O27" s="7">
        <f>'[3]Jan Prod'!H26</f>
        <v>10687000</v>
      </c>
      <c r="P27" s="8">
        <f t="shared" si="8"/>
        <v>10.686999999999999</v>
      </c>
      <c r="Q27" s="10">
        <f t="shared" si="9"/>
        <v>32.809089999999998</v>
      </c>
      <c r="R27" s="7">
        <f>'[3]Jan Prod'!C26</f>
        <v>11076000</v>
      </c>
      <c r="S27" s="8">
        <f t="shared" si="10"/>
        <v>11.076000000000001</v>
      </c>
      <c r="T27" s="10">
        <f t="shared" si="11"/>
        <v>34.003320000000002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388999.99999999936</v>
      </c>
      <c r="Y27" s="8">
        <f t="shared" si="14"/>
        <v>0.38899999999999935</v>
      </c>
      <c r="Z27" s="10">
        <f t="shared" si="15"/>
        <v>1.1942299999999979</v>
      </c>
      <c r="AA27" s="15"/>
      <c r="AB27" s="7">
        <f t="shared" si="16"/>
        <v>10687000</v>
      </c>
      <c r="AC27" s="8">
        <f t="shared" si="16"/>
        <v>10.686999999999999</v>
      </c>
      <c r="AD27" s="8">
        <f t="shared" si="16"/>
        <v>32.809089999999998</v>
      </c>
    </row>
    <row r="28" spans="1:30" x14ac:dyDescent="0.25">
      <c r="A28" s="27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7">
        <f>'[3]Jan Prod'!F27</f>
        <v>0</v>
      </c>
      <c r="I28" s="8">
        <f t="shared" si="4"/>
        <v>0</v>
      </c>
      <c r="J28" s="10">
        <f t="shared" si="5"/>
        <v>0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1"/>
      <c r="O28" s="7">
        <f>'[3]Jan Prod'!H27</f>
        <v>12523000</v>
      </c>
      <c r="P28" s="8">
        <f t="shared" si="8"/>
        <v>12.523</v>
      </c>
      <c r="Q28" s="10">
        <f t="shared" si="9"/>
        <v>38.445609999999995</v>
      </c>
      <c r="R28" s="7">
        <f>'[3]Jan Prod'!C27</f>
        <v>12845000</v>
      </c>
      <c r="S28" s="8">
        <f t="shared" si="10"/>
        <v>12.845000000000001</v>
      </c>
      <c r="T28" s="10">
        <f t="shared" si="11"/>
        <v>39.434150000000002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321999.99999999919</v>
      </c>
      <c r="Y28" s="8">
        <f t="shared" si="14"/>
        <v>0.32199999999999918</v>
      </c>
      <c r="Z28" s="10">
        <f t="shared" si="15"/>
        <v>0.98853999999999742</v>
      </c>
      <c r="AA28" s="15"/>
      <c r="AB28" s="7">
        <f t="shared" si="16"/>
        <v>12523000</v>
      </c>
      <c r="AC28" s="8">
        <f t="shared" si="16"/>
        <v>12.523</v>
      </c>
      <c r="AD28" s="8">
        <f t="shared" si="16"/>
        <v>38.445609999999995</v>
      </c>
    </row>
    <row r="29" spans="1:30" x14ac:dyDescent="0.25">
      <c r="A29" s="27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7">
        <f>'[3]Jan Prod'!F28</f>
        <v>0</v>
      </c>
      <c r="I29" s="8">
        <f t="shared" si="4"/>
        <v>0</v>
      </c>
      <c r="J29" s="10">
        <f t="shared" si="5"/>
        <v>0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1"/>
      <c r="O29" s="7">
        <f>'[3]Jan Prod'!H28</f>
        <v>11795000</v>
      </c>
      <c r="P29" s="8">
        <f t="shared" si="8"/>
        <v>11.795</v>
      </c>
      <c r="Q29" s="10">
        <f t="shared" si="9"/>
        <v>36.210650000000001</v>
      </c>
      <c r="R29" s="7">
        <f>'[3]Jan Prod'!C28</f>
        <v>12195000</v>
      </c>
      <c r="S29" s="8">
        <f t="shared" si="10"/>
        <v>12.195</v>
      </c>
      <c r="T29" s="10">
        <f t="shared" si="11"/>
        <v>37.438649999999996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400999.99999999983</v>
      </c>
      <c r="Y29" s="8">
        <f t="shared" si="14"/>
        <v>0.4009999999999998</v>
      </c>
      <c r="Z29" s="10">
        <f t="shared" si="15"/>
        <v>1.2310699999999992</v>
      </c>
      <c r="AA29" s="15"/>
      <c r="AB29" s="7">
        <f t="shared" si="16"/>
        <v>11795000</v>
      </c>
      <c r="AC29" s="8">
        <f t="shared" si="16"/>
        <v>11.795</v>
      </c>
      <c r="AD29" s="8">
        <f t="shared" si="16"/>
        <v>36.210650000000001</v>
      </c>
    </row>
    <row r="30" spans="1:30" x14ac:dyDescent="0.25">
      <c r="A30" s="27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7">
        <f>'[3]Jan Prod'!F29</f>
        <v>0</v>
      </c>
      <c r="I30" s="8">
        <f t="shared" si="4"/>
        <v>0</v>
      </c>
      <c r="J30" s="10">
        <f t="shared" si="5"/>
        <v>0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1"/>
      <c r="O30" s="7">
        <f>'[3]Jan Prod'!H29</f>
        <v>13272000</v>
      </c>
      <c r="P30" s="8">
        <f t="shared" si="8"/>
        <v>13.272</v>
      </c>
      <c r="Q30" s="10">
        <f t="shared" si="9"/>
        <v>40.745039999999996</v>
      </c>
      <c r="R30" s="7">
        <f>'[3]Jan Prod'!C29</f>
        <v>13661000</v>
      </c>
      <c r="S30" s="8">
        <f t="shared" si="10"/>
        <v>13.661</v>
      </c>
      <c r="T30" s="10">
        <f t="shared" si="11"/>
        <v>41.939269999999993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388999.99999999936</v>
      </c>
      <c r="Y30" s="8">
        <f t="shared" si="14"/>
        <v>0.38899999999999935</v>
      </c>
      <c r="Z30" s="10">
        <f t="shared" si="15"/>
        <v>1.1942299999999979</v>
      </c>
      <c r="AA30" s="15"/>
      <c r="AB30" s="7">
        <f t="shared" si="16"/>
        <v>13272000</v>
      </c>
      <c r="AC30" s="8">
        <f t="shared" si="16"/>
        <v>13.272</v>
      </c>
      <c r="AD30" s="8">
        <f>D30+Q30</f>
        <v>40.745039999999996</v>
      </c>
    </row>
    <row r="31" spans="1:30" x14ac:dyDescent="0.25">
      <c r="A31" s="27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7">
        <f>'[3]Jan Prod'!F30</f>
        <v>0</v>
      </c>
      <c r="I31" s="8">
        <f t="shared" si="4"/>
        <v>0</v>
      </c>
      <c r="J31" s="10">
        <f t="shared" si="5"/>
        <v>0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1"/>
      <c r="O31" s="7">
        <f>'[3]Jan Prod'!H30</f>
        <v>9909000</v>
      </c>
      <c r="P31" s="8">
        <f t="shared" si="8"/>
        <v>9.9090000000000007</v>
      </c>
      <c r="Q31" s="10">
        <f t="shared" si="9"/>
        <v>30.420629999999999</v>
      </c>
      <c r="R31" s="7">
        <f>'[3]Jan Prod'!C30</f>
        <v>10465000</v>
      </c>
      <c r="S31" s="8">
        <f t="shared" si="10"/>
        <v>10.465</v>
      </c>
      <c r="T31" s="10">
        <f t="shared" si="11"/>
        <v>32.127549999999999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556000.00000000093</v>
      </c>
      <c r="Y31" s="8">
        <f t="shared" si="14"/>
        <v>0.55600000000000094</v>
      </c>
      <c r="Z31" s="10">
        <f t="shared" si="15"/>
        <v>1.7069200000000029</v>
      </c>
      <c r="AA31" s="15"/>
      <c r="AB31" s="7">
        <f t="shared" si="16"/>
        <v>9909000</v>
      </c>
      <c r="AC31" s="8">
        <f t="shared" si="16"/>
        <v>9.9090000000000007</v>
      </c>
      <c r="AD31" s="8">
        <f t="shared" si="16"/>
        <v>30.420629999999999</v>
      </c>
    </row>
    <row r="32" spans="1:30" x14ac:dyDescent="0.25">
      <c r="A32" s="27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0</v>
      </c>
      <c r="L32" s="8">
        <f t="shared" si="6"/>
        <v>0</v>
      </c>
      <c r="M32" s="10">
        <f t="shared" si="7"/>
        <v>0</v>
      </c>
      <c r="N32" s="21"/>
      <c r="O32" s="7">
        <f>'[3]Jan Prod'!H31</f>
        <v>11854000.000000002</v>
      </c>
      <c r="P32" s="8">
        <f t="shared" si="8"/>
        <v>11.854000000000001</v>
      </c>
      <c r="Q32" s="10">
        <f t="shared" si="9"/>
        <v>36.391780000000004</v>
      </c>
      <c r="R32" s="7">
        <f>'[3]Jan Prod'!C31</f>
        <v>12242000</v>
      </c>
      <c r="S32" s="8">
        <f t="shared" si="10"/>
        <v>12.242000000000001</v>
      </c>
      <c r="T32" s="10">
        <f t="shared" si="11"/>
        <v>37.582940000000001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387999.99999999814</v>
      </c>
      <c r="Y32" s="8">
        <f t="shared" si="14"/>
        <v>0.38799999999999812</v>
      </c>
      <c r="Z32" s="10">
        <f t="shared" si="15"/>
        <v>1.1911599999999942</v>
      </c>
      <c r="AA32" s="15"/>
      <c r="AB32" s="7">
        <f t="shared" si="16"/>
        <v>11854000.000000002</v>
      </c>
      <c r="AC32" s="8">
        <f t="shared" si="16"/>
        <v>11.854000000000001</v>
      </c>
      <c r="AD32" s="8">
        <f t="shared" si="16"/>
        <v>36.391780000000004</v>
      </c>
    </row>
    <row r="33" spans="1:30" x14ac:dyDescent="0.25">
      <c r="A33" s="27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0</v>
      </c>
      <c r="L33" s="8">
        <f t="shared" si="6"/>
        <v>0</v>
      </c>
      <c r="M33" s="10">
        <f t="shared" si="7"/>
        <v>0</v>
      </c>
      <c r="N33" s="21"/>
      <c r="O33" s="7">
        <f>'[3]Jan Prod'!H32</f>
        <v>12340999.999999996</v>
      </c>
      <c r="P33" s="8">
        <f t="shared" si="8"/>
        <v>12.340999999999996</v>
      </c>
      <c r="Q33" s="10">
        <f t="shared" si="9"/>
        <v>37.886869999999988</v>
      </c>
      <c r="R33" s="7">
        <f>'[3]Jan Prod'!C32</f>
        <v>12797000</v>
      </c>
      <c r="S33" s="8">
        <f t="shared" si="10"/>
        <v>12.797000000000001</v>
      </c>
      <c r="T33" s="10">
        <f t="shared" si="11"/>
        <v>39.286789999999996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456000.00000000309</v>
      </c>
      <c r="Y33" s="8">
        <f t="shared" si="14"/>
        <v>0.45600000000000307</v>
      </c>
      <c r="Z33" s="10">
        <f t="shared" si="15"/>
        <v>1.3999200000000094</v>
      </c>
      <c r="AA33" s="15"/>
      <c r="AB33" s="7">
        <f t="shared" si="16"/>
        <v>12340999.999999996</v>
      </c>
      <c r="AC33" s="8">
        <f t="shared" si="16"/>
        <v>12.340999999999996</v>
      </c>
      <c r="AD33" s="8">
        <f t="shared" si="16"/>
        <v>37.886869999999988</v>
      </c>
    </row>
    <row r="34" spans="1:30" x14ac:dyDescent="0.25">
      <c r="A34" s="27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43"/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1"/>
      <c r="O34" s="7">
        <f>'[3]Jan Prod'!H33</f>
        <v>9796000.0000000019</v>
      </c>
      <c r="P34" s="8">
        <f t="shared" si="8"/>
        <v>9.7960000000000012</v>
      </c>
      <c r="Q34" s="10">
        <f t="shared" si="9"/>
        <v>30.073720000000002</v>
      </c>
      <c r="R34" s="7">
        <f>'[3]Jan Prod'!C33</f>
        <v>10236000</v>
      </c>
      <c r="S34" s="8">
        <f t="shared" si="10"/>
        <v>10.236000000000001</v>
      </c>
      <c r="T34" s="10">
        <f t="shared" si="11"/>
        <v>31.424520000000001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439999.99999999773</v>
      </c>
      <c r="Y34" s="8">
        <f t="shared" si="14"/>
        <v>0.43999999999999773</v>
      </c>
      <c r="Z34" s="10">
        <f t="shared" si="15"/>
        <v>1.3507999999999929</v>
      </c>
      <c r="AA34" s="15"/>
      <c r="AB34" s="7">
        <f t="shared" si="16"/>
        <v>9796000.0000000019</v>
      </c>
      <c r="AC34" s="8">
        <f t="shared" si="16"/>
        <v>9.7960000000000012</v>
      </c>
      <c r="AD34" s="8">
        <f t="shared" si="16"/>
        <v>30.073720000000002</v>
      </c>
    </row>
    <row r="35" spans="1:30" ht="13.8" thickBot="1" x14ac:dyDescent="0.3">
      <c r="A35" s="27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0</v>
      </c>
      <c r="F35" s="8">
        <f t="shared" si="2"/>
        <v>0</v>
      </c>
      <c r="G35" s="10">
        <f t="shared" si="3"/>
        <v>0</v>
      </c>
      <c r="H35" s="7">
        <f>'[3]Jan Prod'!F34</f>
        <v>0</v>
      </c>
      <c r="I35" s="8">
        <f t="shared" si="4"/>
        <v>0</v>
      </c>
      <c r="J35" s="10">
        <f t="shared" si="5"/>
        <v>0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1"/>
      <c r="O35" s="7">
        <f>'[3]Jan Prod'!H34</f>
        <v>11943000</v>
      </c>
      <c r="P35" s="8">
        <f t="shared" si="8"/>
        <v>11.943</v>
      </c>
      <c r="Q35" s="10">
        <f t="shared" si="9"/>
        <v>36.665009999999995</v>
      </c>
      <c r="R35" s="7">
        <f>'[3]Jan Prod'!C34</f>
        <v>12204000</v>
      </c>
      <c r="S35" s="8">
        <f t="shared" si="10"/>
        <v>12.204000000000001</v>
      </c>
      <c r="T35" s="10">
        <f t="shared" si="11"/>
        <v>37.466279999999998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260999.99999999924</v>
      </c>
      <c r="Y35" s="8">
        <f t="shared" si="14"/>
        <v>0.26099999999999923</v>
      </c>
      <c r="Z35" s="10">
        <f t="shared" si="15"/>
        <v>0.8012699999999976</v>
      </c>
      <c r="AA35" s="15"/>
      <c r="AB35" s="7">
        <f t="shared" si="16"/>
        <v>11943000</v>
      </c>
      <c r="AC35" s="8">
        <f t="shared" si="16"/>
        <v>11.943</v>
      </c>
      <c r="AD35" s="8">
        <f t="shared" si="16"/>
        <v>36.665009999999995</v>
      </c>
    </row>
    <row r="36" spans="1:30" s="18" customFormat="1" ht="13.8" thickBot="1" x14ac:dyDescent="0.3">
      <c r="A36" s="15"/>
      <c r="B36" s="38"/>
      <c r="C36" s="39">
        <f t="shared" ref="C36:W36" si="17">SUM(C5:C35)</f>
        <v>0</v>
      </c>
      <c r="D36" s="39">
        <f t="shared" si="17"/>
        <v>0</v>
      </c>
      <c r="E36" s="38"/>
      <c r="F36" s="39">
        <f t="shared" si="17"/>
        <v>0</v>
      </c>
      <c r="G36" s="39">
        <f t="shared" si="17"/>
        <v>0</v>
      </c>
      <c r="H36" s="38"/>
      <c r="I36" s="39">
        <f t="shared" si="17"/>
        <v>0</v>
      </c>
      <c r="J36" s="39">
        <f t="shared" si="17"/>
        <v>0</v>
      </c>
      <c r="K36" s="38"/>
      <c r="L36" s="39">
        <f>SUM(L5:L35)</f>
        <v>0</v>
      </c>
      <c r="M36" s="39">
        <f>SUM(M5:M35)</f>
        <v>0</v>
      </c>
      <c r="N36" s="14"/>
      <c r="O36" s="38"/>
      <c r="P36" s="39">
        <f t="shared" si="17"/>
        <v>365.34099999999995</v>
      </c>
      <c r="Q36" s="39">
        <f t="shared" si="17"/>
        <v>1121.5968700000001</v>
      </c>
      <c r="R36" s="38"/>
      <c r="S36" s="39">
        <f t="shared" si="17"/>
        <v>377.74200000000002</v>
      </c>
      <c r="T36" s="39">
        <f t="shared" si="17"/>
        <v>1159.6679400000003</v>
      </c>
      <c r="U36" s="38"/>
      <c r="V36" s="39">
        <f t="shared" si="17"/>
        <v>0</v>
      </c>
      <c r="W36" s="39">
        <f t="shared" si="17"/>
        <v>0</v>
      </c>
      <c r="X36" s="38"/>
      <c r="Y36" s="39">
        <f>SUM(Y5:Y35)</f>
        <v>12.401999999999997</v>
      </c>
      <c r="Z36" s="39">
        <f>SUM(Z5:Z35)</f>
        <v>38.074139999999986</v>
      </c>
      <c r="AA36" s="14"/>
      <c r="AB36" s="38"/>
      <c r="AC36" s="39">
        <f>SUM(AC5:AC35)</f>
        <v>365.34099999999995</v>
      </c>
      <c r="AD36" s="39">
        <f>AC36*3.07</f>
        <v>1121.5968699999999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M18" activePane="bottomRight" state="frozen"/>
      <selection pane="topRight" activeCell="B1" sqref="B1"/>
      <selection pane="bottomLeft" activeCell="A5" sqref="A5"/>
      <selection pane="bottomRight" activeCell="T33" sqref="T27:T33"/>
    </sheetView>
  </sheetViews>
  <sheetFormatPr defaultRowHeight="13.2" x14ac:dyDescent="0.25"/>
  <cols>
    <col min="2" max="2" width="11.6640625" customWidth="1"/>
    <col min="5" max="5" width="11.44140625" customWidth="1"/>
    <col min="8" max="8" width="11.6640625" customWidth="1"/>
    <col min="11" max="11" width="14.88671875" bestFit="1" customWidth="1"/>
    <col min="12" max="12" width="11.5546875" customWidth="1"/>
    <col min="15" max="15" width="11.44140625" customWidth="1"/>
    <col min="18" max="18" width="11.5546875" customWidth="1"/>
    <col min="22" max="22" width="11" customWidth="1"/>
    <col min="24" max="24" width="13.6640625" customWidth="1"/>
    <col min="28" max="28" width="14.44140625" bestFit="1" customWidth="1"/>
  </cols>
  <sheetData>
    <row r="1" spans="1:30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27">
        <v>42401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1"/>
      <c r="O5" s="7">
        <f>'[4]Feb Prod'!H4</f>
        <v>11759999.999999996</v>
      </c>
      <c r="P5" s="8">
        <f>O5/1000000</f>
        <v>11.759999999999996</v>
      </c>
      <c r="Q5" s="10">
        <f>P5*3.07</f>
        <v>36.103199999999987</v>
      </c>
      <c r="R5" s="7">
        <f>'[4]Feb Prod'!C4</f>
        <v>12149000</v>
      </c>
      <c r="S5" s="8">
        <f>R5/1000000</f>
        <v>12.148999999999999</v>
      </c>
      <c r="T5" s="10">
        <f>S5*3.07</f>
        <v>37.297429999999999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389000.00000000291</v>
      </c>
      <c r="Y5" s="8">
        <f>X5/1000000</f>
        <v>0.3890000000000029</v>
      </c>
      <c r="Z5" s="10">
        <f>Y5*3.07</f>
        <v>1.1942300000000088</v>
      </c>
      <c r="AA5" s="15"/>
      <c r="AB5" s="7">
        <f>B5+O5</f>
        <v>11759999.999999996</v>
      </c>
      <c r="AC5" s="8">
        <f>C5+P5</f>
        <v>11.759999999999996</v>
      </c>
      <c r="AD5" s="8">
        <f>D5+Q5</f>
        <v>36.103199999999987</v>
      </c>
    </row>
    <row r="6" spans="1:30" x14ac:dyDescent="0.25">
      <c r="A6" s="27">
        <v>42402</v>
      </c>
      <c r="B6" s="7">
        <f>'[4]Feb Prod'!I5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'[4]Feb Prod'!E5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'[4]Feb Prod'!F5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'[4]Feb Prod'!H5</f>
        <v>11615000.000000002</v>
      </c>
      <c r="P6" s="8">
        <f t="shared" ref="P6:P32" si="8">O6/1000000</f>
        <v>11.615000000000002</v>
      </c>
      <c r="Q6" s="10">
        <f t="shared" ref="Q6:Q32" si="9">P6*3.07</f>
        <v>35.658050000000003</v>
      </c>
      <c r="R6" s="7">
        <f>'[4]Feb Prod'!C5</f>
        <v>12070000</v>
      </c>
      <c r="S6" s="8">
        <f t="shared" ref="S6:S32" si="10">R6/1000000</f>
        <v>12.07</v>
      </c>
      <c r="T6" s="10">
        <f t="shared" ref="T6:T32" si="11">S6*3.07</f>
        <v>37.054899999999996</v>
      </c>
      <c r="U6" s="7">
        <f>'[4]Feb Prod'!D5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'[4]Feb Prod'!D246</f>
        <v>454999.99999999831</v>
      </c>
      <c r="Y6" s="8">
        <f t="shared" ref="Y6:Y32" si="14">X6/1000000</f>
        <v>0.45499999999999829</v>
      </c>
      <c r="Z6" s="10">
        <f t="shared" ref="Z6:Z32" si="15">Y6*3.07</f>
        <v>1.3968499999999946</v>
      </c>
      <c r="AA6" s="15"/>
      <c r="AB6" s="7">
        <f t="shared" ref="AB6:AB17" si="16">B6+O6</f>
        <v>11615000.000000002</v>
      </c>
      <c r="AC6" s="8">
        <f t="shared" ref="AB6:AD34" si="17">C6+P6</f>
        <v>11.615000000000002</v>
      </c>
      <c r="AD6" s="8">
        <f t="shared" si="17"/>
        <v>35.658050000000003</v>
      </c>
    </row>
    <row r="7" spans="1:30" x14ac:dyDescent="0.25">
      <c r="A7" s="27">
        <v>42403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0</v>
      </c>
      <c r="L7" s="8">
        <f t="shared" si="6"/>
        <v>0</v>
      </c>
      <c r="M7" s="10">
        <f t="shared" si="7"/>
        <v>0</v>
      </c>
      <c r="N7" s="21"/>
      <c r="O7" s="7">
        <f>'[4]Feb Prod'!H6</f>
        <v>12625999.999999998</v>
      </c>
      <c r="P7" s="8">
        <f t="shared" si="8"/>
        <v>12.625999999999998</v>
      </c>
      <c r="Q7" s="10">
        <f t="shared" si="9"/>
        <v>38.761819999999993</v>
      </c>
      <c r="R7" s="7">
        <f>'[4]Feb Prod'!C6</f>
        <v>13020000</v>
      </c>
      <c r="S7" s="8">
        <f t="shared" si="10"/>
        <v>13.02</v>
      </c>
      <c r="T7" s="10">
        <f t="shared" si="11"/>
        <v>39.971399999999996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394000.00000000192</v>
      </c>
      <c r="Y7" s="8">
        <f t="shared" si="14"/>
        <v>0.3940000000000019</v>
      </c>
      <c r="Z7" s="10">
        <f t="shared" si="15"/>
        <v>1.2095800000000059</v>
      </c>
      <c r="AA7" s="15"/>
      <c r="AB7" s="7">
        <f t="shared" si="16"/>
        <v>12625999.999999998</v>
      </c>
      <c r="AC7" s="8">
        <f t="shared" si="17"/>
        <v>12.625999999999998</v>
      </c>
      <c r="AD7" s="8">
        <f t="shared" si="17"/>
        <v>38.761819999999993</v>
      </c>
    </row>
    <row r="8" spans="1:30" x14ac:dyDescent="0.25">
      <c r="A8" s="27">
        <v>42404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1"/>
      <c r="O8" s="7">
        <f>'[4]Feb Prod'!H7</f>
        <v>12127000</v>
      </c>
      <c r="P8" s="8">
        <f t="shared" si="8"/>
        <v>12.127000000000001</v>
      </c>
      <c r="Q8" s="10">
        <f t="shared" si="9"/>
        <v>37.229889999999997</v>
      </c>
      <c r="R8" s="7">
        <f>'[4]Feb Prod'!C7</f>
        <v>12449000</v>
      </c>
      <c r="S8" s="8">
        <f t="shared" si="10"/>
        <v>12.449</v>
      </c>
      <c r="T8" s="10">
        <f t="shared" si="11"/>
        <v>38.218429999999998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321999.99999999919</v>
      </c>
      <c r="Y8" s="8">
        <f t="shared" si="14"/>
        <v>0.32199999999999918</v>
      </c>
      <c r="Z8" s="10">
        <f t="shared" si="15"/>
        <v>0.98853999999999742</v>
      </c>
      <c r="AA8" s="15"/>
      <c r="AB8" s="7">
        <f t="shared" si="16"/>
        <v>12127000</v>
      </c>
      <c r="AC8" s="8">
        <f t="shared" si="17"/>
        <v>12.127000000000001</v>
      </c>
      <c r="AD8" s="8">
        <f>D8+Q8</f>
        <v>37.229889999999997</v>
      </c>
    </row>
    <row r="9" spans="1:30" x14ac:dyDescent="0.25">
      <c r="A9" s="27">
        <v>42405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1"/>
      <c r="O9" s="7">
        <f>'[4]Feb Prod'!H8</f>
        <v>11114000.000000002</v>
      </c>
      <c r="P9" s="8">
        <f t="shared" si="8"/>
        <v>11.114000000000003</v>
      </c>
      <c r="Q9" s="10">
        <f t="shared" si="9"/>
        <v>34.119980000000005</v>
      </c>
      <c r="R9" s="7">
        <f>'[4]Feb Prod'!C8</f>
        <v>11441000</v>
      </c>
      <c r="S9" s="8">
        <f t="shared" si="10"/>
        <v>11.441000000000001</v>
      </c>
      <c r="T9" s="10">
        <f t="shared" si="11"/>
        <v>35.123870000000004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326999.9999999982</v>
      </c>
      <c r="Y9" s="8">
        <f t="shared" si="14"/>
        <v>0.32699999999999818</v>
      </c>
      <c r="Z9" s="10">
        <f t="shared" si="15"/>
        <v>1.0038899999999944</v>
      </c>
      <c r="AA9" s="15"/>
      <c r="AB9" s="7">
        <f t="shared" si="16"/>
        <v>11114000.000000002</v>
      </c>
      <c r="AC9" s="8">
        <f t="shared" si="17"/>
        <v>11.114000000000003</v>
      </c>
      <c r="AD9" s="8">
        <f t="shared" si="17"/>
        <v>34.119980000000005</v>
      </c>
    </row>
    <row r="10" spans="1:30" x14ac:dyDescent="0.25">
      <c r="A10" s="27">
        <v>42406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0</v>
      </c>
      <c r="L10" s="8">
        <f t="shared" si="6"/>
        <v>0</v>
      </c>
      <c r="M10" s="10">
        <f t="shared" si="7"/>
        <v>0</v>
      </c>
      <c r="N10" s="21"/>
      <c r="O10" s="7">
        <f>'[4]Feb Prod'!H9</f>
        <v>10580000</v>
      </c>
      <c r="P10" s="8">
        <f t="shared" si="8"/>
        <v>10.58</v>
      </c>
      <c r="Q10" s="10">
        <f t="shared" si="9"/>
        <v>32.480599999999995</v>
      </c>
      <c r="R10" s="7">
        <f>'[4]Feb Prod'!C9</f>
        <v>11036000</v>
      </c>
      <c r="S10" s="8">
        <f t="shared" si="10"/>
        <v>11.036</v>
      </c>
      <c r="T10" s="10">
        <f t="shared" si="11"/>
        <v>33.880519999999997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455999.99999999953</v>
      </c>
      <c r="Y10" s="8">
        <f t="shared" si="14"/>
        <v>0.45599999999999952</v>
      </c>
      <c r="Z10" s="10">
        <f t="shared" si="15"/>
        <v>1.3999199999999985</v>
      </c>
      <c r="AA10" s="15"/>
      <c r="AB10" s="7">
        <f t="shared" si="16"/>
        <v>10580000</v>
      </c>
      <c r="AC10" s="8">
        <f t="shared" si="17"/>
        <v>10.58</v>
      </c>
      <c r="AD10" s="8">
        <f t="shared" si="17"/>
        <v>32.480599999999995</v>
      </c>
    </row>
    <row r="11" spans="1:30" x14ac:dyDescent="0.25">
      <c r="A11" s="27">
        <v>42407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1"/>
      <c r="O11" s="7">
        <f>'[4]Feb Prod'!H10</f>
        <v>12540999.999999998</v>
      </c>
      <c r="P11" s="8">
        <f t="shared" si="8"/>
        <v>12.540999999999999</v>
      </c>
      <c r="Q11" s="10">
        <f t="shared" si="9"/>
        <v>38.500869999999992</v>
      </c>
      <c r="R11" s="7">
        <f>'[4]Feb Prod'!C10</f>
        <v>12996000</v>
      </c>
      <c r="S11" s="8">
        <f t="shared" si="10"/>
        <v>12.996</v>
      </c>
      <c r="T11" s="10">
        <f t="shared" si="11"/>
        <v>39.89772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455000.00000000186</v>
      </c>
      <c r="Y11" s="8">
        <f t="shared" si="14"/>
        <v>0.45500000000000185</v>
      </c>
      <c r="Z11" s="10">
        <f t="shared" si="15"/>
        <v>1.3968500000000057</v>
      </c>
      <c r="AA11" s="15"/>
      <c r="AB11" s="7">
        <f t="shared" si="16"/>
        <v>12540999.999999998</v>
      </c>
      <c r="AC11" s="8">
        <f t="shared" si="17"/>
        <v>12.540999999999999</v>
      </c>
      <c r="AD11" s="8">
        <f t="shared" si="17"/>
        <v>38.500869999999992</v>
      </c>
    </row>
    <row r="12" spans="1:30" x14ac:dyDescent="0.25">
      <c r="A12" s="27">
        <v>42408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1"/>
      <c r="O12" s="7">
        <f>'[4]Feb Prod'!H11</f>
        <v>12831000</v>
      </c>
      <c r="P12" s="8">
        <f t="shared" si="8"/>
        <v>12.831</v>
      </c>
      <c r="Q12" s="10">
        <f t="shared" si="9"/>
        <v>39.391169999999995</v>
      </c>
      <c r="R12" s="7">
        <f>'[4]Feb Prod'!C11</f>
        <v>13189000</v>
      </c>
      <c r="S12" s="8">
        <f t="shared" si="10"/>
        <v>13.189</v>
      </c>
      <c r="T12" s="10">
        <f t="shared" si="11"/>
        <v>40.490229999999997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358000.00000000052</v>
      </c>
      <c r="Y12" s="8">
        <f t="shared" si="14"/>
        <v>0.35800000000000054</v>
      </c>
      <c r="Z12" s="10">
        <f t="shared" si="15"/>
        <v>1.0990600000000017</v>
      </c>
      <c r="AA12" s="15"/>
      <c r="AB12" s="7">
        <f t="shared" si="16"/>
        <v>12831000</v>
      </c>
      <c r="AC12" s="8">
        <f t="shared" si="17"/>
        <v>12.831</v>
      </c>
      <c r="AD12" s="8">
        <f t="shared" si="17"/>
        <v>39.391169999999995</v>
      </c>
    </row>
    <row r="13" spans="1:30" x14ac:dyDescent="0.25">
      <c r="A13" s="27">
        <v>42409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0</v>
      </c>
      <c r="F13" s="8">
        <f t="shared" si="2"/>
        <v>0</v>
      </c>
      <c r="G13" s="10">
        <f t="shared" si="3"/>
        <v>0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1"/>
      <c r="O13" s="7">
        <f>'[4]Feb Prod'!H12</f>
        <v>12400000</v>
      </c>
      <c r="P13" s="8">
        <f t="shared" si="8"/>
        <v>12.4</v>
      </c>
      <c r="Q13" s="10">
        <f t="shared" si="9"/>
        <v>38.067999999999998</v>
      </c>
      <c r="R13" s="7">
        <f>'[4]Feb Prod'!C12</f>
        <v>12758000</v>
      </c>
      <c r="S13" s="8">
        <f t="shared" si="10"/>
        <v>12.757999999999999</v>
      </c>
      <c r="T13" s="10">
        <f t="shared" si="11"/>
        <v>39.167059999999992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358000.00000000052</v>
      </c>
      <c r="Y13" s="8">
        <f t="shared" si="14"/>
        <v>0.35800000000000054</v>
      </c>
      <c r="Z13" s="10">
        <f t="shared" si="15"/>
        <v>1.0990600000000017</v>
      </c>
      <c r="AA13" s="15"/>
      <c r="AB13" s="7">
        <f t="shared" si="16"/>
        <v>12400000</v>
      </c>
      <c r="AC13" s="8">
        <f t="shared" si="17"/>
        <v>12.4</v>
      </c>
      <c r="AD13" s="8">
        <f t="shared" si="17"/>
        <v>38.067999999999998</v>
      </c>
    </row>
    <row r="14" spans="1:30" x14ac:dyDescent="0.25">
      <c r="A14" s="27">
        <v>42410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0</v>
      </c>
      <c r="F14" s="8">
        <f t="shared" si="2"/>
        <v>0</v>
      </c>
      <c r="G14" s="10">
        <f t="shared" si="3"/>
        <v>0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1"/>
      <c r="O14" s="7">
        <f>'[4]Feb Prod'!H13</f>
        <v>11255000.000000002</v>
      </c>
      <c r="P14" s="8">
        <f t="shared" si="8"/>
        <v>11.255000000000003</v>
      </c>
      <c r="Q14" s="10">
        <f t="shared" si="9"/>
        <v>34.552850000000007</v>
      </c>
      <c r="R14" s="7">
        <f>'[4]Feb Prod'!C13</f>
        <v>11692000</v>
      </c>
      <c r="S14" s="8">
        <f t="shared" si="10"/>
        <v>11.692</v>
      </c>
      <c r="T14" s="10">
        <f t="shared" si="11"/>
        <v>35.894439999999996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436999.99999999761</v>
      </c>
      <c r="Y14" s="8">
        <f t="shared" si="14"/>
        <v>0.43699999999999761</v>
      </c>
      <c r="Z14" s="10">
        <f t="shared" si="15"/>
        <v>1.3415899999999925</v>
      </c>
      <c r="AA14" s="15"/>
      <c r="AB14" s="7">
        <f t="shared" si="16"/>
        <v>11255000.000000002</v>
      </c>
      <c r="AC14" s="8">
        <f t="shared" si="17"/>
        <v>11.255000000000003</v>
      </c>
      <c r="AD14" s="8">
        <f t="shared" si="17"/>
        <v>34.552850000000007</v>
      </c>
    </row>
    <row r="15" spans="1:30" x14ac:dyDescent="0.25">
      <c r="A15" s="27">
        <v>42411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0</v>
      </c>
      <c r="F15" s="8">
        <f t="shared" si="2"/>
        <v>0</v>
      </c>
      <c r="G15" s="10">
        <f t="shared" si="3"/>
        <v>0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0</v>
      </c>
      <c r="L15" s="8">
        <f t="shared" si="6"/>
        <v>0</v>
      </c>
      <c r="M15" s="10">
        <f t="shared" si="7"/>
        <v>0</v>
      </c>
      <c r="N15" s="21"/>
      <c r="O15" s="7">
        <f>'[4]Feb Prod'!H14</f>
        <v>11713000</v>
      </c>
      <c r="P15" s="8">
        <f t="shared" si="8"/>
        <v>11.712999999999999</v>
      </c>
      <c r="Q15" s="10">
        <f t="shared" si="9"/>
        <v>35.958909999999996</v>
      </c>
      <c r="R15" s="7">
        <f>'[4]Feb Prod'!C14</f>
        <v>12074000</v>
      </c>
      <c r="S15" s="8">
        <f t="shared" si="10"/>
        <v>12.074</v>
      </c>
      <c r="T15" s="10">
        <f t="shared" si="11"/>
        <v>37.06718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361000.00000000064</v>
      </c>
      <c r="Y15" s="8">
        <f t="shared" si="14"/>
        <v>0.36100000000000065</v>
      </c>
      <c r="Z15" s="10">
        <f t="shared" si="15"/>
        <v>1.1082700000000019</v>
      </c>
      <c r="AA15" s="15"/>
      <c r="AB15" s="7">
        <f t="shared" si="16"/>
        <v>11713000</v>
      </c>
      <c r="AC15" s="8">
        <f t="shared" si="17"/>
        <v>11.712999999999999</v>
      </c>
      <c r="AD15" s="8">
        <f t="shared" si="17"/>
        <v>35.958909999999996</v>
      </c>
    </row>
    <row r="16" spans="1:30" x14ac:dyDescent="0.25">
      <c r="A16" s="27">
        <v>42412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0</v>
      </c>
      <c r="F16" s="8">
        <f t="shared" si="2"/>
        <v>0</v>
      </c>
      <c r="G16" s="10">
        <f t="shared" si="3"/>
        <v>0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1"/>
      <c r="O16" s="7">
        <f>'[4]Feb Prod'!H15</f>
        <v>11611999.999999998</v>
      </c>
      <c r="P16" s="8">
        <f t="shared" si="8"/>
        <v>11.611999999999998</v>
      </c>
      <c r="Q16" s="10">
        <f t="shared" si="9"/>
        <v>35.648839999999993</v>
      </c>
      <c r="R16" s="7">
        <f>'[4]Feb Prod'!C15</f>
        <v>12000000</v>
      </c>
      <c r="S16" s="8">
        <f t="shared" si="10"/>
        <v>12</v>
      </c>
      <c r="T16" s="10">
        <f t="shared" si="11"/>
        <v>36.839999999999996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388000.00000000169</v>
      </c>
      <c r="Y16" s="8">
        <f t="shared" si="14"/>
        <v>0.38800000000000168</v>
      </c>
      <c r="Z16" s="10">
        <f t="shared" si="15"/>
        <v>1.1911600000000051</v>
      </c>
      <c r="AA16" s="15"/>
      <c r="AB16" s="7">
        <f t="shared" si="16"/>
        <v>11611999.999999998</v>
      </c>
      <c r="AC16" s="8">
        <f t="shared" si="17"/>
        <v>11.611999999999998</v>
      </c>
      <c r="AD16" s="8">
        <f t="shared" si="17"/>
        <v>35.648839999999993</v>
      </c>
    </row>
    <row r="17" spans="1:30" x14ac:dyDescent="0.25">
      <c r="A17" s="27">
        <v>42413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0</v>
      </c>
      <c r="F17" s="8">
        <f t="shared" si="2"/>
        <v>0</v>
      </c>
      <c r="G17" s="10">
        <f t="shared" si="3"/>
        <v>0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1"/>
      <c r="O17" s="7">
        <f>'[4]Feb Prod'!H16</f>
        <v>11683000</v>
      </c>
      <c r="P17" s="8">
        <f t="shared" si="8"/>
        <v>11.683</v>
      </c>
      <c r="Q17" s="10">
        <f t="shared" si="9"/>
        <v>35.866810000000001</v>
      </c>
      <c r="R17" s="7">
        <f>'[4]Feb Prod'!C16</f>
        <v>12072000</v>
      </c>
      <c r="S17" s="8">
        <f t="shared" si="10"/>
        <v>12.071999999999999</v>
      </c>
      <c r="T17" s="10">
        <f t="shared" si="11"/>
        <v>37.061039999999998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388999.99999999936</v>
      </c>
      <c r="Y17" s="8">
        <f t="shared" si="14"/>
        <v>0.38899999999999935</v>
      </c>
      <c r="Z17" s="10">
        <f t="shared" si="15"/>
        <v>1.1942299999999979</v>
      </c>
      <c r="AA17" s="15"/>
      <c r="AB17" s="7">
        <f t="shared" si="16"/>
        <v>11683000</v>
      </c>
      <c r="AC17" s="8">
        <f t="shared" si="17"/>
        <v>11.683</v>
      </c>
      <c r="AD17" s="8">
        <f t="shared" si="17"/>
        <v>35.866810000000001</v>
      </c>
    </row>
    <row r="18" spans="1:30" x14ac:dyDescent="0.25">
      <c r="A18" s="27">
        <v>42414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0</v>
      </c>
      <c r="F18" s="8">
        <f t="shared" si="2"/>
        <v>0</v>
      </c>
      <c r="G18" s="10">
        <f t="shared" si="3"/>
        <v>0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'[4]Feb Prod'!H17</f>
        <v>11644000</v>
      </c>
      <c r="P18" s="8">
        <f t="shared" si="8"/>
        <v>11.644</v>
      </c>
      <c r="Q18" s="10">
        <f t="shared" si="9"/>
        <v>35.747079999999997</v>
      </c>
      <c r="R18" s="7">
        <f>'[4]Feb Prod'!C17</f>
        <v>12039000</v>
      </c>
      <c r="S18" s="8">
        <f t="shared" si="10"/>
        <v>12.039</v>
      </c>
      <c r="T18" s="10">
        <f t="shared" si="11"/>
        <v>36.95973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394999.99999999959</v>
      </c>
      <c r="Y18" s="8">
        <f t="shared" si="14"/>
        <v>0.39499999999999957</v>
      </c>
      <c r="Z18" s="10">
        <f t="shared" si="15"/>
        <v>1.2126499999999987</v>
      </c>
      <c r="AA18" s="15"/>
      <c r="AB18" s="7">
        <f t="shared" si="17"/>
        <v>11644000</v>
      </c>
      <c r="AC18" s="8">
        <f t="shared" si="17"/>
        <v>11.644</v>
      </c>
      <c r="AD18" s="8">
        <f t="shared" si="17"/>
        <v>35.747079999999997</v>
      </c>
    </row>
    <row r="19" spans="1:30" x14ac:dyDescent="0.25">
      <c r="A19" s="27">
        <v>42415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0</v>
      </c>
      <c r="F19" s="8">
        <f t="shared" si="2"/>
        <v>0</v>
      </c>
      <c r="G19" s="10">
        <f t="shared" si="3"/>
        <v>0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0</v>
      </c>
      <c r="L19" s="8">
        <f t="shared" si="18"/>
        <v>0</v>
      </c>
      <c r="M19" s="10">
        <f t="shared" si="19"/>
        <v>0</v>
      </c>
      <c r="N19" s="21"/>
      <c r="O19" s="7">
        <f>'[4]Feb Prod'!H18</f>
        <v>11775000.000000002</v>
      </c>
      <c r="P19" s="8">
        <f t="shared" si="8"/>
        <v>11.775000000000002</v>
      </c>
      <c r="Q19" s="10">
        <f t="shared" si="9"/>
        <v>36.149250000000002</v>
      </c>
      <c r="R19" s="7">
        <f>'[4]Feb Prod'!C18</f>
        <v>12102000</v>
      </c>
      <c r="S19" s="8">
        <f t="shared" si="10"/>
        <v>12.102</v>
      </c>
      <c r="T19" s="10">
        <f t="shared" si="11"/>
        <v>37.15314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326999.9999999982</v>
      </c>
      <c r="Y19" s="8">
        <f t="shared" si="14"/>
        <v>0.32699999999999818</v>
      </c>
      <c r="Z19" s="10">
        <f t="shared" si="15"/>
        <v>1.0038899999999944</v>
      </c>
      <c r="AA19" s="15"/>
      <c r="AB19" s="7">
        <f t="shared" si="17"/>
        <v>11775000.000000002</v>
      </c>
      <c r="AC19" s="8">
        <f t="shared" si="17"/>
        <v>11.775000000000002</v>
      </c>
      <c r="AD19" s="8">
        <f>D19+Q19</f>
        <v>36.149250000000002</v>
      </c>
    </row>
    <row r="20" spans="1:30" x14ac:dyDescent="0.25">
      <c r="A20" s="27">
        <v>42416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0</v>
      </c>
      <c r="F20" s="8">
        <f t="shared" si="2"/>
        <v>0</v>
      </c>
      <c r="G20" s="10">
        <f t="shared" si="3"/>
        <v>0</v>
      </c>
      <c r="H20" s="7">
        <f>'[4]Feb Prod'!F19</f>
        <v>0</v>
      </c>
      <c r="I20" s="8">
        <f t="shared" si="4"/>
        <v>0</v>
      </c>
      <c r="J20" s="10">
        <f t="shared" si="5"/>
        <v>0</v>
      </c>
      <c r="K20" s="7">
        <f>'[4]Feb Prod'!H260</f>
        <v>0</v>
      </c>
      <c r="L20" s="8">
        <f t="shared" si="18"/>
        <v>0</v>
      </c>
      <c r="M20" s="10">
        <f t="shared" si="19"/>
        <v>0</v>
      </c>
      <c r="N20" s="21"/>
      <c r="O20" s="7">
        <f>'[4]Feb Prod'!H19</f>
        <v>12076999.999999996</v>
      </c>
      <c r="P20" s="8">
        <f t="shared" si="8"/>
        <v>12.076999999999996</v>
      </c>
      <c r="Q20" s="10">
        <f t="shared" si="9"/>
        <v>37.076389999999989</v>
      </c>
      <c r="R20" s="7">
        <f>'[4]Feb Prod'!C19</f>
        <v>12399000</v>
      </c>
      <c r="S20" s="8">
        <f t="shared" si="10"/>
        <v>12.398999999999999</v>
      </c>
      <c r="T20" s="10">
        <f t="shared" si="11"/>
        <v>38.064929999999997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322000.00000000274</v>
      </c>
      <c r="Y20" s="8">
        <f t="shared" si="14"/>
        <v>0.32200000000000273</v>
      </c>
      <c r="Z20" s="10">
        <f t="shared" si="15"/>
        <v>0.9885400000000083</v>
      </c>
      <c r="AA20" s="15"/>
      <c r="AB20" s="7">
        <f t="shared" si="17"/>
        <v>12076999.999999996</v>
      </c>
      <c r="AC20" s="8">
        <f t="shared" si="17"/>
        <v>12.076999999999996</v>
      </c>
      <c r="AD20" s="8">
        <f t="shared" si="17"/>
        <v>37.076389999999989</v>
      </c>
    </row>
    <row r="21" spans="1:30" x14ac:dyDescent="0.25">
      <c r="A21" s="27">
        <v>42417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0</v>
      </c>
      <c r="F21" s="8">
        <f t="shared" si="2"/>
        <v>0</v>
      </c>
      <c r="G21" s="10">
        <f t="shared" si="3"/>
        <v>0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0</v>
      </c>
      <c r="L21" s="8">
        <f t="shared" si="6"/>
        <v>0</v>
      </c>
      <c r="M21" s="10">
        <f t="shared" si="7"/>
        <v>0</v>
      </c>
      <c r="N21" s="21"/>
      <c r="O21" s="7">
        <f>'[4]Feb Prod'!H20</f>
        <v>12660000</v>
      </c>
      <c r="P21" s="8">
        <f t="shared" si="8"/>
        <v>12.66</v>
      </c>
      <c r="Q21" s="10">
        <f t="shared" si="9"/>
        <v>38.866199999999999</v>
      </c>
      <c r="R21" s="7">
        <f>'[4]Feb Prod'!C20</f>
        <v>13114000</v>
      </c>
      <c r="S21" s="8">
        <f t="shared" si="10"/>
        <v>13.114000000000001</v>
      </c>
      <c r="T21" s="10">
        <f t="shared" si="11"/>
        <v>40.259979999999999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454000.00000000064</v>
      </c>
      <c r="Y21" s="8">
        <f t="shared" si="14"/>
        <v>0.45400000000000063</v>
      </c>
      <c r="Z21" s="10">
        <f t="shared" si="15"/>
        <v>1.3937800000000018</v>
      </c>
      <c r="AA21" s="15"/>
      <c r="AB21" s="7">
        <f t="shared" si="17"/>
        <v>12660000</v>
      </c>
      <c r="AC21" s="8">
        <f t="shared" si="17"/>
        <v>12.66</v>
      </c>
      <c r="AD21" s="8">
        <f t="shared" si="17"/>
        <v>38.866199999999999</v>
      </c>
    </row>
    <row r="22" spans="1:30" x14ac:dyDescent="0.25">
      <c r="A22" s="27">
        <v>42418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0</v>
      </c>
      <c r="F22" s="8">
        <f t="shared" si="2"/>
        <v>0</v>
      </c>
      <c r="G22" s="10">
        <f t="shared" si="3"/>
        <v>0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0</v>
      </c>
      <c r="L22" s="8">
        <f t="shared" si="6"/>
        <v>0</v>
      </c>
      <c r="M22" s="10">
        <f t="shared" si="7"/>
        <v>0</v>
      </c>
      <c r="N22" s="21"/>
      <c r="O22" s="7">
        <f>'[4]Feb Prod'!H21</f>
        <v>12604000.000000004</v>
      </c>
      <c r="P22" s="8">
        <f t="shared" si="8"/>
        <v>12.604000000000005</v>
      </c>
      <c r="Q22" s="10">
        <f t="shared" si="9"/>
        <v>38.694280000000013</v>
      </c>
      <c r="R22" s="7">
        <f>'[4]Feb Prod'!C21</f>
        <v>12997000</v>
      </c>
      <c r="S22" s="8">
        <f t="shared" si="10"/>
        <v>12.997</v>
      </c>
      <c r="T22" s="10">
        <f t="shared" si="11"/>
        <v>39.900790000000001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392999.99999999715</v>
      </c>
      <c r="Y22" s="8">
        <f t="shared" si="14"/>
        <v>0.39299999999999713</v>
      </c>
      <c r="Z22" s="10">
        <f t="shared" si="15"/>
        <v>1.2065099999999911</v>
      </c>
      <c r="AA22" s="15"/>
      <c r="AB22" s="7">
        <f t="shared" si="17"/>
        <v>12604000.000000004</v>
      </c>
      <c r="AC22" s="8">
        <f t="shared" si="17"/>
        <v>12.604000000000005</v>
      </c>
      <c r="AD22" s="8">
        <f t="shared" si="17"/>
        <v>38.694280000000013</v>
      </c>
    </row>
    <row r="23" spans="1:30" x14ac:dyDescent="0.25">
      <c r="A23" s="27">
        <v>42419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0</v>
      </c>
      <c r="F23" s="8">
        <f t="shared" si="2"/>
        <v>0</v>
      </c>
      <c r="G23" s="10">
        <f t="shared" si="3"/>
        <v>0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1"/>
      <c r="O23" s="7">
        <f>'[4]Feb Prod'!H22</f>
        <v>12181000</v>
      </c>
      <c r="P23" s="8">
        <f t="shared" si="8"/>
        <v>12.180999999999999</v>
      </c>
      <c r="Q23" s="10">
        <f t="shared" si="9"/>
        <v>37.395669999999996</v>
      </c>
      <c r="R23" s="7">
        <f>'[4]Feb Prod'!C22</f>
        <v>12539000</v>
      </c>
      <c r="S23" s="8">
        <f t="shared" si="10"/>
        <v>12.539</v>
      </c>
      <c r="T23" s="10">
        <f t="shared" si="11"/>
        <v>38.494729999999997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358000.00000000052</v>
      </c>
      <c r="Y23" s="8">
        <f t="shared" si="14"/>
        <v>0.35800000000000054</v>
      </c>
      <c r="Z23" s="10">
        <f t="shared" si="15"/>
        <v>1.0990600000000017</v>
      </c>
      <c r="AA23" s="15"/>
      <c r="AB23" s="7">
        <f t="shared" si="17"/>
        <v>12181000</v>
      </c>
      <c r="AC23" s="8">
        <f t="shared" si="17"/>
        <v>12.180999999999999</v>
      </c>
      <c r="AD23" s="8">
        <f t="shared" si="17"/>
        <v>37.395669999999996</v>
      </c>
    </row>
    <row r="24" spans="1:30" x14ac:dyDescent="0.25">
      <c r="A24" s="27">
        <v>42420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0</v>
      </c>
      <c r="F24" s="8">
        <f t="shared" si="2"/>
        <v>0</v>
      </c>
      <c r="G24" s="10">
        <f t="shared" si="3"/>
        <v>0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'[4]Feb Prod'!H23</f>
        <v>10849000</v>
      </c>
      <c r="P24" s="8">
        <f t="shared" si="8"/>
        <v>10.849</v>
      </c>
      <c r="Q24" s="10">
        <f t="shared" si="9"/>
        <v>33.306429999999999</v>
      </c>
      <c r="R24" s="7">
        <f>'[4]Feb Prod'!C23</f>
        <v>11140000</v>
      </c>
      <c r="S24" s="8">
        <f t="shared" si="10"/>
        <v>11.14</v>
      </c>
      <c r="T24" s="10">
        <f t="shared" si="11"/>
        <v>34.199800000000003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291000.00000000035</v>
      </c>
      <c r="Y24" s="8">
        <f t="shared" si="14"/>
        <v>0.29100000000000037</v>
      </c>
      <c r="Z24" s="10">
        <f t="shared" si="15"/>
        <v>0.89337000000000111</v>
      </c>
      <c r="AA24" s="15"/>
      <c r="AB24" s="7">
        <f t="shared" si="17"/>
        <v>10849000</v>
      </c>
      <c r="AC24" s="8">
        <f t="shared" si="17"/>
        <v>10.849</v>
      </c>
      <c r="AD24" s="8">
        <f>D24+Q24</f>
        <v>33.306429999999999</v>
      </c>
    </row>
    <row r="25" spans="1:30" x14ac:dyDescent="0.25">
      <c r="A25" s="27">
        <v>42421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20"/>
        <v>0</v>
      </c>
      <c r="M25" s="10">
        <f t="shared" si="7"/>
        <v>0</v>
      </c>
      <c r="N25" s="21"/>
      <c r="O25" s="7">
        <f>'[4]Feb Prod'!H24</f>
        <v>11191999.999999998</v>
      </c>
      <c r="P25" s="8">
        <f t="shared" si="8"/>
        <v>11.191999999999998</v>
      </c>
      <c r="Q25" s="10">
        <f t="shared" si="9"/>
        <v>34.359439999999992</v>
      </c>
      <c r="R25" s="7">
        <f>'[4]Feb Prod'!C24</f>
        <v>11586000</v>
      </c>
      <c r="S25" s="8">
        <f t="shared" si="10"/>
        <v>11.586</v>
      </c>
      <c r="T25" s="10">
        <f t="shared" si="11"/>
        <v>35.569020000000002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394000.00000000192</v>
      </c>
      <c r="Y25" s="8">
        <f t="shared" si="14"/>
        <v>0.3940000000000019</v>
      </c>
      <c r="Z25" s="10">
        <f t="shared" si="15"/>
        <v>1.2095800000000059</v>
      </c>
      <c r="AA25" s="15"/>
      <c r="AB25" s="7">
        <f t="shared" si="17"/>
        <v>11191999.999999998</v>
      </c>
      <c r="AC25" s="8">
        <f t="shared" si="17"/>
        <v>11.191999999999998</v>
      </c>
      <c r="AD25" s="8">
        <f t="shared" si="17"/>
        <v>34.359439999999992</v>
      </c>
    </row>
    <row r="26" spans="1:30" x14ac:dyDescent="0.25">
      <c r="A26" s="27">
        <v>42422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0</v>
      </c>
      <c r="L26" s="8">
        <f t="shared" si="20"/>
        <v>0</v>
      </c>
      <c r="M26" s="10">
        <f t="shared" si="7"/>
        <v>0</v>
      </c>
      <c r="N26" s="21"/>
      <c r="O26" s="7">
        <f>'[4]Feb Prod'!H25</f>
        <v>12049000.000000002</v>
      </c>
      <c r="P26" s="8">
        <f t="shared" si="8"/>
        <v>12.049000000000001</v>
      </c>
      <c r="Q26" s="10">
        <f t="shared" si="9"/>
        <v>36.990430000000003</v>
      </c>
      <c r="R26" s="7">
        <f>'[4]Feb Prod'!C25</f>
        <v>12504000</v>
      </c>
      <c r="S26" s="8">
        <f t="shared" si="10"/>
        <v>12.504</v>
      </c>
      <c r="T26" s="10">
        <f t="shared" si="11"/>
        <v>38.387279999999997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454999.99999999831</v>
      </c>
      <c r="Y26" s="8">
        <f t="shared" si="14"/>
        <v>0.45499999999999829</v>
      </c>
      <c r="Z26" s="10">
        <f t="shared" si="15"/>
        <v>1.3968499999999946</v>
      </c>
      <c r="AA26" s="15"/>
      <c r="AB26" s="7">
        <f t="shared" si="17"/>
        <v>12049000.000000002</v>
      </c>
      <c r="AC26" s="8">
        <f t="shared" si="17"/>
        <v>12.049000000000001</v>
      </c>
      <c r="AD26" s="8">
        <f t="shared" si="17"/>
        <v>36.990430000000003</v>
      </c>
    </row>
    <row r="27" spans="1:30" x14ac:dyDescent="0.25">
      <c r="A27" s="27">
        <v>42423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20"/>
        <v>0</v>
      </c>
      <c r="M27" s="10">
        <f t="shared" si="7"/>
        <v>0</v>
      </c>
      <c r="N27" s="21"/>
      <c r="O27" s="7">
        <f>'[4]Feb Prod'!H26</f>
        <v>12378999.999999998</v>
      </c>
      <c r="P27" s="8">
        <f t="shared" si="8"/>
        <v>12.378999999999998</v>
      </c>
      <c r="Q27" s="10">
        <f t="shared" si="9"/>
        <v>38.003529999999991</v>
      </c>
      <c r="R27" s="7">
        <f>'[4]Feb Prod'!C26</f>
        <v>12889000</v>
      </c>
      <c r="S27" s="8">
        <f t="shared" si="10"/>
        <v>12.888999999999999</v>
      </c>
      <c r="T27" s="10">
        <f t="shared" si="11"/>
        <v>39.569229999999997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510000.00000000157</v>
      </c>
      <c r="Y27" s="8">
        <f t="shared" si="14"/>
        <v>0.51000000000000156</v>
      </c>
      <c r="Z27" s="10">
        <f t="shared" si="15"/>
        <v>1.5657000000000048</v>
      </c>
      <c r="AA27" s="15"/>
      <c r="AB27" s="7">
        <f t="shared" si="17"/>
        <v>12378999.999999998</v>
      </c>
      <c r="AC27" s="8">
        <f t="shared" si="17"/>
        <v>12.378999999999998</v>
      </c>
      <c r="AD27" s="8">
        <f t="shared" si="17"/>
        <v>38.003529999999991</v>
      </c>
    </row>
    <row r="28" spans="1:30" x14ac:dyDescent="0.25">
      <c r="A28" s="27">
        <v>42424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0</v>
      </c>
      <c r="I28" s="8">
        <f t="shared" si="4"/>
        <v>0</v>
      </c>
      <c r="J28" s="10">
        <f t="shared" si="5"/>
        <v>0</v>
      </c>
      <c r="K28" s="7">
        <f>'[4]Feb Prod'!H268</f>
        <v>0</v>
      </c>
      <c r="L28" s="8">
        <f t="shared" si="20"/>
        <v>0</v>
      </c>
      <c r="M28" s="10">
        <f t="shared" si="7"/>
        <v>0</v>
      </c>
      <c r="N28" s="21"/>
      <c r="O28" s="7">
        <f>'[4]Feb Prod'!H27</f>
        <v>12458000</v>
      </c>
      <c r="P28" s="8">
        <f t="shared" si="8"/>
        <v>12.458</v>
      </c>
      <c r="Q28" s="10">
        <f t="shared" si="9"/>
        <v>38.24606</v>
      </c>
      <c r="R28" s="7">
        <f>'[4]Feb Prod'!C27</f>
        <v>12719000</v>
      </c>
      <c r="S28" s="8">
        <f t="shared" si="10"/>
        <v>12.718999999999999</v>
      </c>
      <c r="T28" s="10">
        <f t="shared" si="11"/>
        <v>39.047329999999995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260999.99999999924</v>
      </c>
      <c r="Y28" s="8">
        <f t="shared" si="14"/>
        <v>0.26099999999999923</v>
      </c>
      <c r="Z28" s="10">
        <f t="shared" si="15"/>
        <v>0.8012699999999976</v>
      </c>
      <c r="AA28" s="15"/>
      <c r="AB28" s="7">
        <f t="shared" si="17"/>
        <v>12458000</v>
      </c>
      <c r="AC28" s="8">
        <f t="shared" si="17"/>
        <v>12.458</v>
      </c>
      <c r="AD28" s="8">
        <f t="shared" si="17"/>
        <v>38.24606</v>
      </c>
    </row>
    <row r="29" spans="1:30" x14ac:dyDescent="0.25">
      <c r="A29" s="27">
        <v>42425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0</v>
      </c>
      <c r="I29" s="8">
        <f t="shared" si="4"/>
        <v>0</v>
      </c>
      <c r="J29" s="10">
        <f t="shared" si="5"/>
        <v>0</v>
      </c>
      <c r="K29" s="7">
        <f>'[4]Feb Prod'!H269</f>
        <v>0</v>
      </c>
      <c r="L29" s="8">
        <f t="shared" si="20"/>
        <v>0</v>
      </c>
      <c r="M29" s="10">
        <f t="shared" si="7"/>
        <v>0</v>
      </c>
      <c r="N29" s="21"/>
      <c r="O29" s="7">
        <f>'[4]Feb Prod'!H28</f>
        <v>12108000.000000002</v>
      </c>
      <c r="P29" s="8">
        <f t="shared" si="8"/>
        <v>12.108000000000002</v>
      </c>
      <c r="Q29" s="10">
        <f t="shared" si="9"/>
        <v>37.171560000000007</v>
      </c>
      <c r="R29" s="7">
        <f>'[4]Feb Prod'!C28</f>
        <v>12435000</v>
      </c>
      <c r="S29" s="8">
        <f t="shared" si="10"/>
        <v>12.435</v>
      </c>
      <c r="T29" s="10">
        <f t="shared" si="11"/>
        <v>38.175449999999998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326999.9999999982</v>
      </c>
      <c r="Y29" s="8">
        <f t="shared" si="14"/>
        <v>0.32699999999999818</v>
      </c>
      <c r="Z29" s="10">
        <f t="shared" si="15"/>
        <v>1.0038899999999944</v>
      </c>
      <c r="AA29" s="15"/>
      <c r="AB29" s="7">
        <f t="shared" si="17"/>
        <v>12108000.000000002</v>
      </c>
      <c r="AC29" s="8">
        <f t="shared" si="17"/>
        <v>12.108000000000002</v>
      </c>
      <c r="AD29" s="8">
        <f t="shared" si="17"/>
        <v>37.171560000000007</v>
      </c>
    </row>
    <row r="30" spans="1:30" x14ac:dyDescent="0.25">
      <c r="A30" s="27">
        <v>42426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0</v>
      </c>
      <c r="I30" s="8">
        <f t="shared" si="4"/>
        <v>0</v>
      </c>
      <c r="J30" s="10">
        <f t="shared" si="5"/>
        <v>0</v>
      </c>
      <c r="K30" s="7">
        <f>'[4]Feb Prod'!H270</f>
        <v>0</v>
      </c>
      <c r="L30" s="8">
        <f t="shared" si="20"/>
        <v>0</v>
      </c>
      <c r="M30" s="10">
        <f t="shared" si="7"/>
        <v>0</v>
      </c>
      <c r="N30" s="21"/>
      <c r="O30" s="7">
        <f>'[4]Feb Prod'!H29</f>
        <v>12055999.999999996</v>
      </c>
      <c r="P30" s="8">
        <f t="shared" si="8"/>
        <v>12.055999999999996</v>
      </c>
      <c r="Q30" s="10">
        <f t="shared" si="9"/>
        <v>37.011919999999982</v>
      </c>
      <c r="R30" s="7">
        <f>'[4]Feb Prod'!C29</f>
        <v>12445000</v>
      </c>
      <c r="S30" s="8">
        <f t="shared" si="10"/>
        <v>12.445</v>
      </c>
      <c r="T30" s="10">
        <f t="shared" si="11"/>
        <v>38.206150000000001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389000.00000000291</v>
      </c>
      <c r="Y30" s="8">
        <f t="shared" si="14"/>
        <v>0.3890000000000029</v>
      </c>
      <c r="Z30" s="10">
        <f t="shared" si="15"/>
        <v>1.1942300000000088</v>
      </c>
      <c r="AA30" s="15"/>
      <c r="AB30" s="7">
        <f t="shared" si="17"/>
        <v>12055999.999999996</v>
      </c>
      <c r="AC30" s="8">
        <f t="shared" si="17"/>
        <v>12.055999999999996</v>
      </c>
      <c r="AD30" s="8">
        <f>D30+Q30</f>
        <v>37.011919999999982</v>
      </c>
    </row>
    <row r="31" spans="1:30" x14ac:dyDescent="0.25">
      <c r="A31" s="27">
        <v>42427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0</v>
      </c>
      <c r="I31" s="8">
        <f t="shared" si="4"/>
        <v>0</v>
      </c>
      <c r="J31" s="10">
        <f t="shared" si="5"/>
        <v>0</v>
      </c>
      <c r="K31" s="7">
        <f>'[4]Feb Prod'!H271</f>
        <v>0</v>
      </c>
      <c r="L31" s="8">
        <f t="shared" si="20"/>
        <v>0</v>
      </c>
      <c r="M31" s="10">
        <f t="shared" si="7"/>
        <v>0</v>
      </c>
      <c r="N31" s="21"/>
      <c r="O31" s="7">
        <f>'[4]Feb Prod'!H30</f>
        <v>10951000.000000002</v>
      </c>
      <c r="P31" s="8">
        <f t="shared" si="8"/>
        <v>10.951000000000002</v>
      </c>
      <c r="Q31" s="10">
        <f t="shared" si="9"/>
        <v>33.619570000000003</v>
      </c>
      <c r="R31" s="7">
        <f>'[4]Feb Prod'!C30</f>
        <v>11473000</v>
      </c>
      <c r="S31" s="8">
        <f t="shared" si="10"/>
        <v>11.473000000000001</v>
      </c>
      <c r="T31" s="10">
        <f t="shared" si="11"/>
        <v>35.222110000000001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521999.99999999849</v>
      </c>
      <c r="Y31" s="8">
        <f t="shared" si="14"/>
        <v>0.52199999999999847</v>
      </c>
      <c r="Z31" s="10">
        <f t="shared" si="15"/>
        <v>1.6025399999999952</v>
      </c>
      <c r="AA31" s="15"/>
      <c r="AB31" s="7">
        <f t="shared" si="17"/>
        <v>10951000.000000002</v>
      </c>
      <c r="AC31" s="8">
        <f t="shared" si="17"/>
        <v>10.951000000000002</v>
      </c>
      <c r="AD31" s="8">
        <f t="shared" si="17"/>
        <v>33.619570000000003</v>
      </c>
    </row>
    <row r="32" spans="1:30" x14ac:dyDescent="0.25">
      <c r="A32" s="27">
        <v>42428</v>
      </c>
      <c r="B32" s="7">
        <f>'[4]Feb Prod'!I31</f>
        <v>0</v>
      </c>
      <c r="C32" s="8">
        <f t="shared" si="0"/>
        <v>0</v>
      </c>
      <c r="D32" s="10">
        <f t="shared" si="1"/>
        <v>0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0</v>
      </c>
      <c r="I32" s="8">
        <f t="shared" si="4"/>
        <v>0</v>
      </c>
      <c r="J32" s="10">
        <f t="shared" si="5"/>
        <v>0</v>
      </c>
      <c r="K32" s="7">
        <f>'[4]Feb Prod'!H272</f>
        <v>0</v>
      </c>
      <c r="L32" s="8">
        <f t="shared" si="20"/>
        <v>0</v>
      </c>
      <c r="M32" s="10">
        <f t="shared" si="7"/>
        <v>0</v>
      </c>
      <c r="N32" s="21"/>
      <c r="O32" s="7">
        <f>'[4]Feb Prod'!H31</f>
        <v>11554000</v>
      </c>
      <c r="P32" s="8">
        <f t="shared" si="8"/>
        <v>11.554</v>
      </c>
      <c r="Q32" s="10">
        <f t="shared" si="9"/>
        <v>35.470779999999998</v>
      </c>
      <c r="R32" s="7">
        <f>'[4]Feb Prod'!C31</f>
        <v>11876000</v>
      </c>
      <c r="S32" s="8">
        <f t="shared" si="10"/>
        <v>11.875999999999999</v>
      </c>
      <c r="T32" s="10">
        <f t="shared" si="11"/>
        <v>36.459319999999998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321999.99999999919</v>
      </c>
      <c r="Y32" s="8">
        <f t="shared" si="14"/>
        <v>0.32199999999999918</v>
      </c>
      <c r="Z32" s="10">
        <f t="shared" si="15"/>
        <v>0.98853999999999742</v>
      </c>
      <c r="AA32" s="15"/>
      <c r="AB32" s="7">
        <f t="shared" si="17"/>
        <v>11554000</v>
      </c>
      <c r="AC32" s="8">
        <f t="shared" si="17"/>
        <v>11.554</v>
      </c>
      <c r="AD32" s="8">
        <f t="shared" si="17"/>
        <v>35.470779999999998</v>
      </c>
    </row>
    <row r="33" spans="1:30" ht="13.8" thickBot="1" x14ac:dyDescent="0.3">
      <c r="A33" s="27">
        <v>42429</v>
      </c>
      <c r="B33" s="7">
        <f>'[4]Feb Prod'!I32</f>
        <v>0</v>
      </c>
      <c r="C33" s="8">
        <f t="shared" ref="C33" si="21">B33/1000000</f>
        <v>0</v>
      </c>
      <c r="D33" s="10">
        <f t="shared" ref="D33" si="22">C33*3.07</f>
        <v>0</v>
      </c>
      <c r="E33" s="7">
        <f>'[4]Feb Prod'!E32</f>
        <v>0</v>
      </c>
      <c r="F33" s="8">
        <f t="shared" ref="F33" si="23">E33/1000000</f>
        <v>0</v>
      </c>
      <c r="G33" s="10">
        <f t="shared" ref="G33" si="24">F33*3.07</f>
        <v>0</v>
      </c>
      <c r="H33" s="7">
        <f>'[4]Feb Prod'!F32</f>
        <v>0</v>
      </c>
      <c r="I33" s="8">
        <f t="shared" ref="I33" si="25">H33/1000000</f>
        <v>0</v>
      </c>
      <c r="J33" s="10">
        <f t="shared" ref="J33" si="26">I33*3.07</f>
        <v>0</v>
      </c>
      <c r="K33" s="56">
        <f>'[4]Feb Prod'!H273</f>
        <v>0</v>
      </c>
      <c r="L33" s="8">
        <f t="shared" ref="L33" si="27">K33/1000000</f>
        <v>0</v>
      </c>
      <c r="M33" s="10">
        <f t="shared" ref="M33" si="28">L33*3.07</f>
        <v>0</v>
      </c>
      <c r="N33" s="21"/>
      <c r="O33" s="7">
        <f>'[4]Feb Prod'!H32</f>
        <v>11880999.999999998</v>
      </c>
      <c r="P33" s="8">
        <f t="shared" ref="P33" si="29">O33/1000000</f>
        <v>11.880999999999998</v>
      </c>
      <c r="Q33" s="10">
        <f t="shared" ref="Q33" si="30">P33*3.07</f>
        <v>36.474669999999996</v>
      </c>
      <c r="R33" s="7">
        <f>'[4]Feb Prod'!C32</f>
        <v>12275000</v>
      </c>
      <c r="S33" s="8">
        <f t="shared" ref="S33" si="31">R33/1000000</f>
        <v>12.275</v>
      </c>
      <c r="T33" s="10">
        <f t="shared" ref="T33" si="32">S33*3.07</f>
        <v>37.684249999999999</v>
      </c>
      <c r="U33" s="7">
        <f>'[4]Feb Prod'!D32</f>
        <v>0</v>
      </c>
      <c r="V33" s="8">
        <f t="shared" ref="V33" si="33">U33/1000000</f>
        <v>0</v>
      </c>
      <c r="W33" s="10">
        <f t="shared" ref="W33" si="34">V33*3.07</f>
        <v>0</v>
      </c>
      <c r="X33" s="7">
        <f>'[4]Feb Prod'!D273</f>
        <v>394000.00000000192</v>
      </c>
      <c r="Y33" s="8">
        <f t="shared" ref="Y33" si="35">X33/1000000</f>
        <v>0.3940000000000019</v>
      </c>
      <c r="Z33" s="10">
        <f t="shared" ref="Z33" si="36">Y33*3.07</f>
        <v>1.2095800000000059</v>
      </c>
      <c r="AA33" s="15"/>
      <c r="AB33" s="7">
        <f t="shared" ref="AB33" si="37">B33+O33</f>
        <v>11880999.999999998</v>
      </c>
      <c r="AC33" s="8">
        <f t="shared" ref="AC33" si="38">C33+P33</f>
        <v>11.880999999999998</v>
      </c>
      <c r="AD33" s="8">
        <f t="shared" ref="AD33" si="39">D33+Q33</f>
        <v>36.474669999999996</v>
      </c>
    </row>
    <row r="34" spans="1:30" ht="13.8" thickBot="1" x14ac:dyDescent="0.3">
      <c r="A34" s="28"/>
      <c r="B34" s="38"/>
      <c r="C34" s="39">
        <f>SUM(C5:C33)</f>
        <v>0</v>
      </c>
      <c r="D34" s="39">
        <f t="shared" ref="D34:J34" si="40">SUM(D5:D33)</f>
        <v>0</v>
      </c>
      <c r="E34" s="38"/>
      <c r="F34" s="39">
        <f t="shared" si="40"/>
        <v>0</v>
      </c>
      <c r="G34" s="39">
        <f t="shared" si="40"/>
        <v>0</v>
      </c>
      <c r="H34" s="38"/>
      <c r="I34" s="39">
        <f t="shared" si="40"/>
        <v>0</v>
      </c>
      <c r="J34" s="39">
        <f t="shared" si="40"/>
        <v>0</v>
      </c>
      <c r="K34" s="38"/>
      <c r="L34" s="39">
        <f>SUM(L5:L33)</f>
        <v>0</v>
      </c>
      <c r="M34" s="39">
        <f>SUM(M5:M33)</f>
        <v>0</v>
      </c>
      <c r="N34" s="14"/>
      <c r="O34" s="38"/>
      <c r="P34" s="39">
        <f>SUM(P5:P33)</f>
        <v>344.27500000000003</v>
      </c>
      <c r="Q34" s="39">
        <f>SUM(Q5:Q33)</f>
        <v>1056.9242499999998</v>
      </c>
      <c r="R34" s="38"/>
      <c r="S34" s="39">
        <f>SUM(S5:S33)</f>
        <v>355.47799999999995</v>
      </c>
      <c r="T34" s="39">
        <f>SUM(T5:T33)</f>
        <v>1091.31746</v>
      </c>
      <c r="U34" s="38"/>
      <c r="V34" s="39">
        <f>SUM(V5:V33)</f>
        <v>0</v>
      </c>
      <c r="W34" s="39">
        <f>SUM(W5:W33)</f>
        <v>0</v>
      </c>
      <c r="X34" s="38"/>
      <c r="Y34" s="39">
        <f>SUM(Y5:Y33)</f>
        <v>11.203000000000003</v>
      </c>
      <c r="Z34" s="39">
        <f>SUM(Z5:Z33)</f>
        <v>34.393210000000003</v>
      </c>
      <c r="AA34" s="14"/>
      <c r="AB34" s="38">
        <f t="shared" si="17"/>
        <v>0</v>
      </c>
      <c r="AC34" s="39">
        <f t="shared" si="17"/>
        <v>344.27500000000003</v>
      </c>
      <c r="AD34" s="39">
        <f t="shared" si="17"/>
        <v>1056.9242499999998</v>
      </c>
    </row>
    <row r="35" spans="1:30" x14ac:dyDescent="0.2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M19" activePane="bottomRight" state="frozen"/>
      <selection pane="topRight" activeCell="B1" sqref="B1"/>
      <selection pane="bottomLeft" activeCell="A5" sqref="A5"/>
      <selection pane="bottomRight" activeCell="P43" sqref="P43"/>
    </sheetView>
  </sheetViews>
  <sheetFormatPr defaultRowHeight="13.2" x14ac:dyDescent="0.25"/>
  <cols>
    <col min="2" max="2" width="12.6640625" customWidth="1"/>
    <col min="5" max="5" width="11.33203125" customWidth="1"/>
    <col min="8" max="8" width="16.109375" customWidth="1"/>
    <col min="10" max="10" width="10.6640625" customWidth="1"/>
    <col min="11" max="11" width="12.5546875" customWidth="1"/>
    <col min="12" max="12" width="10.5546875" customWidth="1"/>
    <col min="15" max="15" width="10.5546875" customWidth="1"/>
    <col min="18" max="18" width="10.88671875" customWidth="1"/>
    <col min="22" max="22" width="11.88671875" customWidth="1"/>
    <col min="28" max="28" width="13.44140625" bestFit="1" customWidth="1"/>
  </cols>
  <sheetData>
    <row r="1" spans="1:32" x14ac:dyDescent="0.25">
      <c r="A1" s="44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1"/>
      <c r="O5" s="7">
        <f>'[5]Mar Prod'!H4</f>
        <v>12765000</v>
      </c>
      <c r="P5" s="8">
        <f>O5/1000000</f>
        <v>12.765000000000001</v>
      </c>
      <c r="Q5" s="10">
        <f>P5*3.07</f>
        <v>39.188549999999999</v>
      </c>
      <c r="R5" s="7">
        <f>'[5]Mar Prod'!C4</f>
        <v>13026000</v>
      </c>
      <c r="S5" s="8">
        <f>R5/1000000</f>
        <v>13.026</v>
      </c>
      <c r="T5" s="10">
        <f>S5*3.07</f>
        <v>39.989819999999995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260999.99999999924</v>
      </c>
      <c r="Y5" s="8">
        <f>X5/1000000</f>
        <v>0.26099999999999923</v>
      </c>
      <c r="Z5" s="10">
        <f>Y5*3.07</f>
        <v>0.8012699999999976</v>
      </c>
      <c r="AA5" s="15"/>
      <c r="AB5" s="7">
        <f>B5+O5</f>
        <v>12765000</v>
      </c>
      <c r="AC5" s="8">
        <f>C5+P5</f>
        <v>12.765000000000001</v>
      </c>
      <c r="AD5" s="8">
        <f>D5+Q5</f>
        <v>39.188549999999999</v>
      </c>
      <c r="AF5" s="8">
        <f>T5-Q5-Z5</f>
        <v>-2.3314683517128287E-15</v>
      </c>
    </row>
    <row r="6" spans="1:32" x14ac:dyDescent="0.25">
      <c r="A6" s="27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'[5]Mar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'[5]Mar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'[5]Mar Prod'!H5</f>
        <v>12369000.000000002</v>
      </c>
      <c r="P6" s="8">
        <f t="shared" ref="P6:P35" si="8">O6/1000000</f>
        <v>12.369000000000002</v>
      </c>
      <c r="Q6" s="10">
        <f t="shared" ref="Q6:Q35" si="9">P6*3.07</f>
        <v>37.972830000000002</v>
      </c>
      <c r="R6" s="7">
        <f>'[5]Mar Prod'!C5</f>
        <v>12719000</v>
      </c>
      <c r="S6" s="8">
        <f t="shared" ref="S6:S35" si="10">R6/1000000</f>
        <v>12.718999999999999</v>
      </c>
      <c r="T6" s="10">
        <f t="shared" ref="T6:T35" si="11">S6*3.07</f>
        <v>39.047329999999995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349999.99999999785</v>
      </c>
      <c r="Y6" s="8">
        <f t="shared" ref="Y6:Y35" si="14">X6/1000000</f>
        <v>0.34999999999999787</v>
      </c>
      <c r="Z6" s="10">
        <f t="shared" ref="Z6:Z35" si="15">Y6*3.07</f>
        <v>1.0744999999999933</v>
      </c>
      <c r="AA6" s="15"/>
      <c r="AB6" s="7">
        <f t="shared" ref="AB6:AD35" si="16">B6+O6</f>
        <v>12369000.000000002</v>
      </c>
      <c r="AC6" s="8">
        <f t="shared" si="16"/>
        <v>12.369000000000002</v>
      </c>
      <c r="AD6" s="8">
        <f t="shared" si="16"/>
        <v>37.972830000000002</v>
      </c>
      <c r="AF6" s="8">
        <f>T6-Q6-Z6</f>
        <v>0</v>
      </c>
    </row>
    <row r="7" spans="1:32" x14ac:dyDescent="0.25">
      <c r="A7" s="27">
        <v>38414</v>
      </c>
      <c r="B7" s="7">
        <f>'[5]Mar Prod'!I6</f>
        <v>0</v>
      </c>
      <c r="C7" s="8">
        <f t="shared" si="1"/>
        <v>0</v>
      </c>
      <c r="D7" s="10">
        <f t="shared" si="0"/>
        <v>0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0</v>
      </c>
      <c r="I7" s="8">
        <f t="shared" si="4"/>
        <v>0</v>
      </c>
      <c r="J7" s="10">
        <f t="shared" si="5"/>
        <v>0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1"/>
      <c r="O7" s="7">
        <f>'[5]Mar Prod'!H6</f>
        <v>12623000</v>
      </c>
      <c r="P7" s="8">
        <f t="shared" si="8"/>
        <v>12.622999999999999</v>
      </c>
      <c r="Q7" s="10">
        <f t="shared" si="9"/>
        <v>38.752609999999997</v>
      </c>
      <c r="R7" s="7">
        <f>'[5]Mar Prod'!C6</f>
        <v>12952000</v>
      </c>
      <c r="S7" s="8">
        <f t="shared" si="10"/>
        <v>12.952</v>
      </c>
      <c r="T7" s="10">
        <f t="shared" si="11"/>
        <v>39.762639999999998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329000.00000000064</v>
      </c>
      <c r="Y7" s="8">
        <f t="shared" si="14"/>
        <v>0.32900000000000063</v>
      </c>
      <c r="Z7" s="10">
        <f t="shared" si="15"/>
        <v>1.0100300000000018</v>
      </c>
      <c r="AA7" s="15"/>
      <c r="AB7" s="7">
        <f t="shared" si="16"/>
        <v>12623000</v>
      </c>
      <c r="AC7" s="8">
        <f t="shared" si="16"/>
        <v>12.622999999999999</v>
      </c>
      <c r="AD7" s="8">
        <f t="shared" si="16"/>
        <v>38.752609999999997</v>
      </c>
      <c r="AF7" s="8">
        <f t="shared" ref="AF7:AF14" si="17">T7-Q7-Z7</f>
        <v>0</v>
      </c>
    </row>
    <row r="8" spans="1:32" x14ac:dyDescent="0.25">
      <c r="A8" s="27">
        <v>38415</v>
      </c>
      <c r="B8" s="7">
        <f>'[5]Mar Prod'!I7</f>
        <v>0</v>
      </c>
      <c r="C8" s="8">
        <f t="shared" si="1"/>
        <v>0</v>
      </c>
      <c r="D8" s="10">
        <f t="shared" si="0"/>
        <v>0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0</v>
      </c>
      <c r="I8" s="8">
        <f t="shared" si="4"/>
        <v>0</v>
      </c>
      <c r="J8" s="10">
        <f t="shared" si="5"/>
        <v>0</v>
      </c>
      <c r="K8" s="7">
        <f>'[5]Mar Prod'!H262</f>
        <v>0</v>
      </c>
      <c r="L8" s="8">
        <f t="shared" si="6"/>
        <v>0</v>
      </c>
      <c r="M8" s="10">
        <f t="shared" si="7"/>
        <v>0</v>
      </c>
      <c r="N8" s="21"/>
      <c r="O8" s="7">
        <f>'[5]Mar Prod'!H7</f>
        <v>12907000.000000002</v>
      </c>
      <c r="P8" s="8">
        <f t="shared" si="8"/>
        <v>12.907000000000002</v>
      </c>
      <c r="Q8" s="10">
        <f t="shared" si="9"/>
        <v>39.624490000000002</v>
      </c>
      <c r="R8" s="7">
        <f>'[5]Mar Prod'!C7</f>
        <v>13237000</v>
      </c>
      <c r="S8" s="8">
        <f t="shared" si="10"/>
        <v>13.237</v>
      </c>
      <c r="T8" s="10">
        <f t="shared" si="11"/>
        <v>40.637589999999996</v>
      </c>
      <c r="U8" s="7">
        <f>'[5]Mar Prod'!D7</f>
        <v>0</v>
      </c>
      <c r="V8" s="8">
        <f t="shared" si="12"/>
        <v>0</v>
      </c>
      <c r="W8" s="10">
        <f t="shared" si="13"/>
        <v>0</v>
      </c>
      <c r="X8" s="7">
        <f>'[5]Mar Prod'!D262</f>
        <v>329999.99999999831</v>
      </c>
      <c r="Y8" s="8">
        <f t="shared" si="14"/>
        <v>0.32999999999999829</v>
      </c>
      <c r="Z8" s="10">
        <f t="shared" si="15"/>
        <v>1.0130999999999948</v>
      </c>
      <c r="AA8" s="15"/>
      <c r="AB8" s="7">
        <f t="shared" si="16"/>
        <v>12907000.000000002</v>
      </c>
      <c r="AC8" s="8">
        <f t="shared" si="16"/>
        <v>12.907000000000002</v>
      </c>
      <c r="AD8" s="8">
        <f>D8+Q8</f>
        <v>39.624490000000002</v>
      </c>
      <c r="AF8" s="8">
        <f t="shared" si="17"/>
        <v>0</v>
      </c>
    </row>
    <row r="9" spans="1:32" x14ac:dyDescent="0.25">
      <c r="A9" s="27">
        <v>38416</v>
      </c>
      <c r="B9" s="7">
        <f>'[5]Mar Prod'!I8</f>
        <v>0</v>
      </c>
      <c r="C9" s="8">
        <f t="shared" si="1"/>
        <v>0</v>
      </c>
      <c r="D9" s="10">
        <f t="shared" si="0"/>
        <v>0</v>
      </c>
      <c r="E9" s="7">
        <f>'[5]Mar Prod'!E8</f>
        <v>0</v>
      </c>
      <c r="F9" s="8">
        <f t="shared" si="2"/>
        <v>0</v>
      </c>
      <c r="G9" s="10">
        <f t="shared" si="3"/>
        <v>0</v>
      </c>
      <c r="H9" s="7">
        <f>'[5]Mar Prod'!F8</f>
        <v>0</v>
      </c>
      <c r="I9" s="8">
        <f t="shared" si="4"/>
        <v>0</v>
      </c>
      <c r="J9" s="10">
        <f t="shared" si="5"/>
        <v>0</v>
      </c>
      <c r="K9" s="7">
        <f>'[5]Mar Prod'!H263</f>
        <v>0</v>
      </c>
      <c r="L9" s="8">
        <f t="shared" si="6"/>
        <v>0</v>
      </c>
      <c r="M9" s="10">
        <f t="shared" si="7"/>
        <v>0</v>
      </c>
      <c r="N9" s="21"/>
      <c r="O9" s="7">
        <f>'[5]Mar Prod'!H8</f>
        <v>12735099.999999622</v>
      </c>
      <c r="P9" s="8">
        <f t="shared" si="8"/>
        <v>12.735099999999623</v>
      </c>
      <c r="Q9" s="10">
        <f t="shared" si="9"/>
        <v>39.096756999998838</v>
      </c>
      <c r="R9" s="7">
        <f>'[5]Mar Prod'!C8</f>
        <v>12867099.999999627</v>
      </c>
      <c r="S9" s="8">
        <f t="shared" si="10"/>
        <v>12.867099999999628</v>
      </c>
      <c r="T9" s="10">
        <f t="shared" si="11"/>
        <v>39.501996999998852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132000.00000000501</v>
      </c>
      <c r="Y9" s="8">
        <f t="shared" si="14"/>
        <v>0.132000000000005</v>
      </c>
      <c r="Z9" s="10">
        <f t="shared" si="15"/>
        <v>0.40524000000001531</v>
      </c>
      <c r="AA9" s="15"/>
      <c r="AB9" s="7">
        <f t="shared" si="16"/>
        <v>12735099.999999622</v>
      </c>
      <c r="AC9" s="8">
        <f t="shared" si="16"/>
        <v>12.735099999999623</v>
      </c>
      <c r="AD9" s="8">
        <f t="shared" si="16"/>
        <v>39.096756999998838</v>
      </c>
      <c r="AF9" s="8">
        <f t="shared" si="17"/>
        <v>-1.9428902930940239E-15</v>
      </c>
    </row>
    <row r="10" spans="1:32" x14ac:dyDescent="0.25">
      <c r="A10" s="27">
        <v>38417</v>
      </c>
      <c r="B10" s="7">
        <f>'[5]Mar Prod'!I9</f>
        <v>0</v>
      </c>
      <c r="C10" s="8">
        <f t="shared" si="1"/>
        <v>0</v>
      </c>
      <c r="D10" s="10">
        <f t="shared" si="0"/>
        <v>0</v>
      </c>
      <c r="E10" s="7">
        <f>'[5]Mar Prod'!E9</f>
        <v>0</v>
      </c>
      <c r="F10" s="8">
        <f t="shared" si="2"/>
        <v>0</v>
      </c>
      <c r="G10" s="10">
        <f t="shared" si="3"/>
        <v>0</v>
      </c>
      <c r="H10" s="7">
        <f>'[5]Mar Prod'!F9</f>
        <v>0</v>
      </c>
      <c r="I10" s="8">
        <f t="shared" si="4"/>
        <v>0</v>
      </c>
      <c r="J10" s="10">
        <f t="shared" si="5"/>
        <v>0</v>
      </c>
      <c r="K10" s="7">
        <f>'[5]Mar Prod'!H264</f>
        <v>0</v>
      </c>
      <c r="L10" s="8">
        <f t="shared" si="6"/>
        <v>0</v>
      </c>
      <c r="M10" s="10">
        <f t="shared" si="7"/>
        <v>0</v>
      </c>
      <c r="N10" s="21"/>
      <c r="O10" s="7">
        <f>'[5]Mar Prod'!H9</f>
        <v>12723900.000000373</v>
      </c>
      <c r="P10" s="8">
        <f t="shared" si="8"/>
        <v>12.723900000000372</v>
      </c>
      <c r="Q10" s="10">
        <f t="shared" si="9"/>
        <v>39.062373000001138</v>
      </c>
      <c r="R10" s="7">
        <f>'[5]Mar Prod'!C9</f>
        <v>13119900.000000373</v>
      </c>
      <c r="S10" s="8">
        <f t="shared" si="10"/>
        <v>13.119900000000372</v>
      </c>
      <c r="T10" s="10">
        <f t="shared" si="11"/>
        <v>40.278093000001142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396000.00000000081</v>
      </c>
      <c r="Y10" s="8">
        <f t="shared" si="14"/>
        <v>0.3960000000000008</v>
      </c>
      <c r="Z10" s="10">
        <f t="shared" si="15"/>
        <v>1.2157200000000024</v>
      </c>
      <c r="AA10" s="15"/>
      <c r="AB10" s="7">
        <f t="shared" si="16"/>
        <v>12723900.000000373</v>
      </c>
      <c r="AC10" s="8">
        <f t="shared" si="16"/>
        <v>12.723900000000372</v>
      </c>
      <c r="AD10" s="8">
        <f t="shared" si="16"/>
        <v>39.062373000001138</v>
      </c>
      <c r="AF10" s="8">
        <f t="shared" si="17"/>
        <v>2.2204460492503131E-15</v>
      </c>
    </row>
    <row r="11" spans="1:32" x14ac:dyDescent="0.25">
      <c r="A11" s="27">
        <v>38418</v>
      </c>
      <c r="B11" s="7">
        <f>'[5]Mar Prod'!I10</f>
        <v>0</v>
      </c>
      <c r="C11" s="8">
        <f t="shared" si="1"/>
        <v>0</v>
      </c>
      <c r="D11" s="10">
        <f t="shared" si="0"/>
        <v>0</v>
      </c>
      <c r="E11" s="7">
        <f>'[5]Mar Prod'!E10</f>
        <v>0</v>
      </c>
      <c r="F11" s="8">
        <f t="shared" si="2"/>
        <v>0</v>
      </c>
      <c r="G11" s="10">
        <f t="shared" si="3"/>
        <v>0</v>
      </c>
      <c r="H11" s="7">
        <f>'[5]Mar Prod'!F10</f>
        <v>0</v>
      </c>
      <c r="I11" s="8">
        <f t="shared" si="4"/>
        <v>0</v>
      </c>
      <c r="J11" s="10">
        <f t="shared" si="5"/>
        <v>0</v>
      </c>
      <c r="K11" s="7">
        <f>'[5]Mar Prod'!H265</f>
        <v>292786</v>
      </c>
      <c r="L11" s="8">
        <f t="shared" si="6"/>
        <v>0.29278599999999999</v>
      </c>
      <c r="M11" s="10">
        <f t="shared" si="7"/>
        <v>0.89885301999999989</v>
      </c>
      <c r="N11" s="21"/>
      <c r="O11" s="7">
        <f>'[5]Mar Prod'!H10</f>
        <v>12020000.000000002</v>
      </c>
      <c r="P11" s="8">
        <f t="shared" si="8"/>
        <v>12.020000000000001</v>
      </c>
      <c r="Q11" s="10">
        <f t="shared" si="9"/>
        <v>36.901400000000002</v>
      </c>
      <c r="R11" s="7">
        <f>'[5]Mar Prod'!C10</f>
        <v>12283000</v>
      </c>
      <c r="S11" s="8">
        <f t="shared" si="10"/>
        <v>12.282999999999999</v>
      </c>
      <c r="T11" s="10">
        <f t="shared" si="11"/>
        <v>37.70881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262999.99999999814</v>
      </c>
      <c r="Y11" s="8">
        <f t="shared" si="14"/>
        <v>0.26299999999999812</v>
      </c>
      <c r="Z11" s="10">
        <f t="shared" si="15"/>
        <v>0.80740999999999419</v>
      </c>
      <c r="AA11" s="15"/>
      <c r="AB11" s="7">
        <f t="shared" si="16"/>
        <v>12020000.000000002</v>
      </c>
      <c r="AC11" s="8">
        <f t="shared" si="16"/>
        <v>12.020000000000001</v>
      </c>
      <c r="AD11" s="8">
        <f t="shared" si="16"/>
        <v>36.901400000000002</v>
      </c>
      <c r="AF11" s="8">
        <f t="shared" si="17"/>
        <v>3.1086244689504383E-15</v>
      </c>
    </row>
    <row r="12" spans="1:32" x14ac:dyDescent="0.25">
      <c r="A12" s="27">
        <v>38419</v>
      </c>
      <c r="B12" s="7">
        <f>'[5]Mar Prod'!I11</f>
        <v>0</v>
      </c>
      <c r="C12" s="8">
        <f t="shared" si="1"/>
        <v>0</v>
      </c>
      <c r="D12" s="10">
        <f t="shared" si="0"/>
        <v>0</v>
      </c>
      <c r="E12" s="7">
        <f>'[5]Mar Prod'!E11</f>
        <v>0</v>
      </c>
      <c r="F12" s="8">
        <f t="shared" si="2"/>
        <v>0</v>
      </c>
      <c r="G12" s="10">
        <f t="shared" si="3"/>
        <v>0</v>
      </c>
      <c r="H12" s="7">
        <f>'[5]Mar Prod'!F11</f>
        <v>0</v>
      </c>
      <c r="I12" s="8">
        <f t="shared" si="4"/>
        <v>0</v>
      </c>
      <c r="J12" s="10">
        <f t="shared" si="5"/>
        <v>0</v>
      </c>
      <c r="K12" s="7">
        <f>'[5]Mar Prod'!H266</f>
        <v>0</v>
      </c>
      <c r="L12" s="8">
        <f t="shared" si="6"/>
        <v>0</v>
      </c>
      <c r="M12" s="10">
        <f t="shared" si="7"/>
        <v>0</v>
      </c>
      <c r="N12" s="21"/>
      <c r="O12" s="7">
        <f>'[5]Mar Prod'!H11</f>
        <v>11732000.000000002</v>
      </c>
      <c r="P12" s="8">
        <f t="shared" si="8"/>
        <v>11.732000000000001</v>
      </c>
      <c r="Q12" s="10">
        <f t="shared" si="9"/>
        <v>36.017240000000001</v>
      </c>
      <c r="R12" s="7">
        <f>'[5]Mar Prod'!C11</f>
        <v>12062000</v>
      </c>
      <c r="S12" s="8">
        <f t="shared" si="10"/>
        <v>12.061999999999999</v>
      </c>
      <c r="T12" s="10">
        <f t="shared" si="11"/>
        <v>37.030339999999995</v>
      </c>
      <c r="U12" s="7">
        <f>'[5]Mar Prod'!D11</f>
        <v>0</v>
      </c>
      <c r="V12" s="8">
        <f t="shared" si="12"/>
        <v>0</v>
      </c>
      <c r="W12" s="10">
        <f t="shared" si="13"/>
        <v>0</v>
      </c>
      <c r="X12" s="7">
        <f>'[5]Mar Prod'!D266</f>
        <v>329999.99999999831</v>
      </c>
      <c r="Y12" s="8">
        <f t="shared" si="14"/>
        <v>0.32999999999999829</v>
      </c>
      <c r="Z12" s="10">
        <f t="shared" si="15"/>
        <v>1.0130999999999948</v>
      </c>
      <c r="AA12" s="15"/>
      <c r="AB12" s="7">
        <f t="shared" si="16"/>
        <v>11732000.000000002</v>
      </c>
      <c r="AC12" s="8">
        <f t="shared" si="16"/>
        <v>11.732000000000001</v>
      </c>
      <c r="AD12" s="8">
        <f t="shared" si="16"/>
        <v>36.017240000000001</v>
      </c>
      <c r="AF12" s="8">
        <f t="shared" si="17"/>
        <v>0</v>
      </c>
    </row>
    <row r="13" spans="1:32" x14ac:dyDescent="0.25">
      <c r="A13" s="27">
        <v>38420</v>
      </c>
      <c r="B13" s="7">
        <f>'[5]Mar Prod'!I12</f>
        <v>0</v>
      </c>
      <c r="C13" s="8">
        <f t="shared" si="1"/>
        <v>0</v>
      </c>
      <c r="D13" s="10">
        <f t="shared" si="0"/>
        <v>0</v>
      </c>
      <c r="E13" s="7">
        <f>'[5]Mar Prod'!E12</f>
        <v>0</v>
      </c>
      <c r="F13" s="8">
        <f t="shared" si="2"/>
        <v>0</v>
      </c>
      <c r="G13" s="10">
        <f t="shared" si="3"/>
        <v>0</v>
      </c>
      <c r="H13" s="7">
        <f>'[5]Mar Prod'!F12</f>
        <v>0</v>
      </c>
      <c r="I13" s="8">
        <f t="shared" si="4"/>
        <v>0</v>
      </c>
      <c r="J13" s="10">
        <f t="shared" si="5"/>
        <v>0</v>
      </c>
      <c r="K13" s="7">
        <f>'[5]Mar Prod'!H267</f>
        <v>0</v>
      </c>
      <c r="L13" s="8">
        <f t="shared" si="6"/>
        <v>0</v>
      </c>
      <c r="M13" s="10">
        <f t="shared" si="7"/>
        <v>0</v>
      </c>
      <c r="N13" s="21"/>
      <c r="O13" s="7">
        <f>'[5]Mar Prod'!H12</f>
        <v>12009999.999999996</v>
      </c>
      <c r="P13" s="8">
        <f t="shared" si="8"/>
        <v>12.009999999999996</v>
      </c>
      <c r="Q13" s="10">
        <f t="shared" si="9"/>
        <v>36.870699999999985</v>
      </c>
      <c r="R13" s="7">
        <f>'[5]Mar Prod'!C12</f>
        <v>12207000</v>
      </c>
      <c r="S13" s="8">
        <f t="shared" si="10"/>
        <v>12.207000000000001</v>
      </c>
      <c r="T13" s="10">
        <f t="shared" si="11"/>
        <v>37.475490000000001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197000.00000000274</v>
      </c>
      <c r="Y13" s="8">
        <f t="shared" si="14"/>
        <v>0.19700000000000273</v>
      </c>
      <c r="Z13" s="10">
        <f t="shared" si="15"/>
        <v>0.60479000000000838</v>
      </c>
      <c r="AA13" s="15"/>
      <c r="AB13" s="7">
        <f t="shared" si="16"/>
        <v>12009999.999999996</v>
      </c>
      <c r="AC13" s="8">
        <f t="shared" si="16"/>
        <v>12.009999999999996</v>
      </c>
      <c r="AD13" s="8">
        <f>D13+Q13</f>
        <v>36.870699999999985</v>
      </c>
      <c r="AF13" s="8">
        <f t="shared" si="17"/>
        <v>7.1054273576010019E-15</v>
      </c>
    </row>
    <row r="14" spans="1:32" x14ac:dyDescent="0.25">
      <c r="A14" s="27">
        <v>38421</v>
      </c>
      <c r="B14" s="7">
        <f>'[5]Mar Prod'!I13</f>
        <v>0</v>
      </c>
      <c r="C14" s="8">
        <f t="shared" si="1"/>
        <v>0</v>
      </c>
      <c r="D14" s="10">
        <f t="shared" si="0"/>
        <v>0</v>
      </c>
      <c r="E14" s="7">
        <f>'[5]Mar Prod'!E13</f>
        <v>1000000</v>
      </c>
      <c r="F14" s="8">
        <f t="shared" si="2"/>
        <v>1</v>
      </c>
      <c r="G14" s="10">
        <f t="shared" si="3"/>
        <v>3.07</v>
      </c>
      <c r="H14" s="7">
        <f>'[5]Mar Prod'!F13</f>
        <v>0</v>
      </c>
      <c r="I14" s="8">
        <f t="shared" si="4"/>
        <v>0</v>
      </c>
      <c r="J14" s="10">
        <f t="shared" si="5"/>
        <v>0</v>
      </c>
      <c r="K14" s="7">
        <f>'[5]Mar Prod'!H268</f>
        <v>0</v>
      </c>
      <c r="L14" s="8">
        <f t="shared" si="6"/>
        <v>0</v>
      </c>
      <c r="M14" s="10">
        <f t="shared" si="7"/>
        <v>0</v>
      </c>
      <c r="N14" s="21"/>
      <c r="O14" s="7">
        <f>'[5]Mar Prod'!H13</f>
        <v>11915000.000000004</v>
      </c>
      <c r="P14" s="8">
        <f t="shared" si="8"/>
        <v>11.915000000000004</v>
      </c>
      <c r="Q14" s="10">
        <f t="shared" si="9"/>
        <v>36.579050000000009</v>
      </c>
      <c r="R14" s="7">
        <f>'[5]Mar Prod'!C13</f>
        <v>12179000</v>
      </c>
      <c r="S14" s="8">
        <f t="shared" si="10"/>
        <v>12.179</v>
      </c>
      <c r="T14" s="10">
        <f t="shared" si="11"/>
        <v>37.389530000000001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263999.99999999581</v>
      </c>
      <c r="Y14" s="8">
        <f t="shared" si="14"/>
        <v>0.26399999999999579</v>
      </c>
      <c r="Z14" s="10">
        <f t="shared" si="15"/>
        <v>0.81047999999998699</v>
      </c>
      <c r="AA14" s="15"/>
      <c r="AB14" s="7">
        <f t="shared" si="16"/>
        <v>11915000.000000004</v>
      </c>
      <c r="AC14" s="8">
        <f t="shared" si="16"/>
        <v>11.915000000000004</v>
      </c>
      <c r="AD14" s="8">
        <f t="shared" si="16"/>
        <v>36.579050000000009</v>
      </c>
      <c r="AF14" s="8">
        <f t="shared" si="17"/>
        <v>4.2188474935755949E-15</v>
      </c>
    </row>
    <row r="15" spans="1:32" x14ac:dyDescent="0.25">
      <c r="A15" s="27">
        <v>38422</v>
      </c>
      <c r="B15" s="7">
        <f>'[5]Mar Prod'!I14</f>
        <v>0</v>
      </c>
      <c r="C15" s="8">
        <f t="shared" si="1"/>
        <v>0</v>
      </c>
      <c r="D15" s="10">
        <f t="shared" si="0"/>
        <v>0</v>
      </c>
      <c r="E15" s="7">
        <f>'[5]Mar Prod'!E14</f>
        <v>0</v>
      </c>
      <c r="F15" s="8">
        <f t="shared" si="2"/>
        <v>0</v>
      </c>
      <c r="G15" s="10">
        <f t="shared" si="3"/>
        <v>0</v>
      </c>
      <c r="H15" s="7">
        <f>'[5]Mar Prod'!F14</f>
        <v>0</v>
      </c>
      <c r="I15" s="8">
        <f t="shared" si="4"/>
        <v>0</v>
      </c>
      <c r="J15" s="10">
        <f t="shared" si="5"/>
        <v>0</v>
      </c>
      <c r="K15" s="7">
        <f>'[5]Mar Prod'!H269</f>
        <v>0</v>
      </c>
      <c r="L15" s="8">
        <f t="shared" si="6"/>
        <v>0</v>
      </c>
      <c r="M15" s="10">
        <f t="shared" si="7"/>
        <v>0</v>
      </c>
      <c r="N15" s="21"/>
      <c r="O15" s="7">
        <f>'[5]Mar Prod'!H14</f>
        <v>12123000.000000002</v>
      </c>
      <c r="P15" s="8">
        <f t="shared" si="8"/>
        <v>12.123000000000001</v>
      </c>
      <c r="Q15" s="10">
        <f t="shared" si="9"/>
        <v>37.217610000000001</v>
      </c>
      <c r="R15" s="7">
        <f>'[5]Mar Prod'!C14</f>
        <v>12520000</v>
      </c>
      <c r="S15" s="8">
        <f t="shared" si="10"/>
        <v>12.52</v>
      </c>
      <c r="T15" s="10">
        <f t="shared" si="11"/>
        <v>38.436399999999999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396999.99999999849</v>
      </c>
      <c r="Y15" s="8">
        <f t="shared" si="14"/>
        <v>0.39699999999999847</v>
      </c>
      <c r="Z15" s="10">
        <f t="shared" si="15"/>
        <v>1.2187899999999952</v>
      </c>
      <c r="AA15" s="15"/>
      <c r="AB15" s="7">
        <f t="shared" si="16"/>
        <v>12123000.000000002</v>
      </c>
      <c r="AC15" s="8">
        <f t="shared" si="16"/>
        <v>12.123000000000001</v>
      </c>
      <c r="AD15" s="8">
        <f t="shared" si="16"/>
        <v>37.217610000000001</v>
      </c>
      <c r="AF15" s="8">
        <f>T15-Q15-Z15</f>
        <v>3.3306690738754696E-15</v>
      </c>
    </row>
    <row r="16" spans="1:32" x14ac:dyDescent="0.25">
      <c r="A16" s="27">
        <v>38423</v>
      </c>
      <c r="B16" s="7">
        <f>'[5]Mar Prod'!I15</f>
        <v>0</v>
      </c>
      <c r="C16" s="8">
        <f t="shared" si="1"/>
        <v>0</v>
      </c>
      <c r="D16" s="10">
        <f t="shared" si="0"/>
        <v>0</v>
      </c>
      <c r="E16" s="7">
        <f>'[5]Mar Prod'!E15</f>
        <v>0</v>
      </c>
      <c r="F16" s="8">
        <f t="shared" si="2"/>
        <v>0</v>
      </c>
      <c r="G16" s="10">
        <f t="shared" si="3"/>
        <v>0</v>
      </c>
      <c r="H16" s="7">
        <f>'[5]Mar Prod'!F15</f>
        <v>0</v>
      </c>
      <c r="I16" s="8">
        <f t="shared" si="4"/>
        <v>0</v>
      </c>
      <c r="J16" s="10">
        <f t="shared" si="5"/>
        <v>0</v>
      </c>
      <c r="K16" s="7">
        <f>'[5]Mar Prod'!H270</f>
        <v>0</v>
      </c>
      <c r="L16" s="8">
        <f t="shared" si="6"/>
        <v>0</v>
      </c>
      <c r="M16" s="10">
        <f t="shared" si="7"/>
        <v>0</v>
      </c>
      <c r="N16" s="21"/>
      <c r="O16" s="7">
        <f>'[5]Mar Prod'!H15</f>
        <v>13267000</v>
      </c>
      <c r="P16" s="8">
        <f t="shared" si="8"/>
        <v>13.266999999999999</v>
      </c>
      <c r="Q16" s="10">
        <f t="shared" si="9"/>
        <v>40.729689999999998</v>
      </c>
      <c r="R16" s="7">
        <f>'[5]Mar Prod'!C15</f>
        <v>13596000</v>
      </c>
      <c r="S16" s="8">
        <f t="shared" si="10"/>
        <v>13.596</v>
      </c>
      <c r="T16" s="10">
        <f t="shared" si="11"/>
        <v>41.739719999999998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329000.00000000064</v>
      </c>
      <c r="Y16" s="8">
        <f t="shared" si="14"/>
        <v>0.32900000000000063</v>
      </c>
      <c r="Z16" s="10">
        <f t="shared" si="15"/>
        <v>1.0100300000000018</v>
      </c>
      <c r="AA16" s="15"/>
      <c r="AB16" s="7">
        <f t="shared" si="16"/>
        <v>13267000</v>
      </c>
      <c r="AC16" s="8">
        <f t="shared" si="16"/>
        <v>13.266999999999999</v>
      </c>
      <c r="AD16" s="8">
        <f t="shared" si="16"/>
        <v>40.729689999999998</v>
      </c>
      <c r="AF16" s="8">
        <f>T16-Q16-Z16</f>
        <v>0</v>
      </c>
    </row>
    <row r="17" spans="1:32" x14ac:dyDescent="0.25">
      <c r="A17" s="27">
        <v>38424</v>
      </c>
      <c r="B17" s="7">
        <f>'[5]Mar Prod'!I16</f>
        <v>0</v>
      </c>
      <c r="C17" s="8">
        <f t="shared" si="1"/>
        <v>0</v>
      </c>
      <c r="D17" s="10">
        <f t="shared" si="0"/>
        <v>0</v>
      </c>
      <c r="E17" s="7">
        <f>'[5]Mar Prod'!E16</f>
        <v>0</v>
      </c>
      <c r="F17" s="8">
        <f t="shared" si="2"/>
        <v>0</v>
      </c>
      <c r="G17" s="10">
        <f t="shared" si="3"/>
        <v>0</v>
      </c>
      <c r="H17" s="7">
        <f>'[5]Mar Prod'!F16</f>
        <v>0</v>
      </c>
      <c r="I17" s="8">
        <f t="shared" si="4"/>
        <v>0</v>
      </c>
      <c r="J17" s="10">
        <f t="shared" si="5"/>
        <v>0</v>
      </c>
      <c r="K17" s="7">
        <f>'[5]Mar Prod'!H271</f>
        <v>0</v>
      </c>
      <c r="L17" s="8">
        <f t="shared" si="6"/>
        <v>0</v>
      </c>
      <c r="M17" s="10">
        <f t="shared" si="7"/>
        <v>0</v>
      </c>
      <c r="N17" s="21"/>
      <c r="O17" s="7">
        <f>'[5]Mar Prod'!H16</f>
        <v>12593999.999999996</v>
      </c>
      <c r="P17" s="8">
        <f t="shared" si="8"/>
        <v>12.593999999999996</v>
      </c>
      <c r="Q17" s="10">
        <f t="shared" si="9"/>
        <v>38.663579999999982</v>
      </c>
      <c r="R17" s="7">
        <f>'[5]Mar Prod'!C16</f>
        <v>12791000</v>
      </c>
      <c r="S17" s="8">
        <f t="shared" si="10"/>
        <v>12.791</v>
      </c>
      <c r="T17" s="10">
        <f t="shared" si="11"/>
        <v>39.268369999999997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197000.00000000274</v>
      </c>
      <c r="Y17" s="8">
        <f t="shared" si="14"/>
        <v>0.19700000000000273</v>
      </c>
      <c r="Z17" s="10">
        <f t="shared" si="15"/>
        <v>0.60479000000000838</v>
      </c>
      <c r="AA17" s="15"/>
      <c r="AB17" s="7">
        <f t="shared" si="16"/>
        <v>12593999.999999996</v>
      </c>
      <c r="AC17" s="8">
        <f t="shared" si="16"/>
        <v>12.593999999999996</v>
      </c>
      <c r="AD17" s="8">
        <f t="shared" si="16"/>
        <v>38.663579999999982</v>
      </c>
      <c r="AF17" s="8">
        <f>T17-Q17-Z17</f>
        <v>7.1054273576010019E-15</v>
      </c>
    </row>
    <row r="18" spans="1:32" x14ac:dyDescent="0.25">
      <c r="A18" s="27">
        <v>38425</v>
      </c>
      <c r="B18" s="7">
        <f>'[5]Mar Prod'!I17</f>
        <v>0</v>
      </c>
      <c r="C18" s="8">
        <f t="shared" si="1"/>
        <v>0</v>
      </c>
      <c r="D18" s="10">
        <f t="shared" si="0"/>
        <v>0</v>
      </c>
      <c r="E18" s="7">
        <f>'[5]Mar Prod'!E17</f>
        <v>1000000</v>
      </c>
      <c r="F18" s="8">
        <f t="shared" si="2"/>
        <v>1</v>
      </c>
      <c r="G18" s="10">
        <f t="shared" si="3"/>
        <v>3.07</v>
      </c>
      <c r="H18" s="7">
        <f>'[5]Mar Prod'!F17</f>
        <v>0</v>
      </c>
      <c r="I18" s="8">
        <f t="shared" si="4"/>
        <v>0</v>
      </c>
      <c r="J18" s="10">
        <f t="shared" si="5"/>
        <v>0</v>
      </c>
      <c r="K18" s="7">
        <f>'[5]Mar Prod'!H272</f>
        <v>6117</v>
      </c>
      <c r="L18" s="8">
        <f t="shared" si="6"/>
        <v>6.117E-3</v>
      </c>
      <c r="M18" s="10">
        <f t="shared" si="7"/>
        <v>1.8779189999999998E-2</v>
      </c>
      <c r="N18" s="21"/>
      <c r="O18" s="7">
        <f>'[5]Mar Prod'!H17</f>
        <v>13329000.000000002</v>
      </c>
      <c r="P18" s="8">
        <f t="shared" si="8"/>
        <v>13.329000000000002</v>
      </c>
      <c r="Q18" s="10">
        <f t="shared" si="9"/>
        <v>40.920030000000004</v>
      </c>
      <c r="R18" s="7">
        <f>'[5]Mar Prod'!C17</f>
        <v>13592000</v>
      </c>
      <c r="S18" s="8">
        <f t="shared" si="10"/>
        <v>13.592000000000001</v>
      </c>
      <c r="T18" s="10">
        <f t="shared" si="11"/>
        <v>41.727440000000001</v>
      </c>
      <c r="U18" s="7">
        <f>'[5]Mar Prod'!D17</f>
        <v>0</v>
      </c>
      <c r="V18" s="8">
        <f t="shared" si="12"/>
        <v>0</v>
      </c>
      <c r="W18" s="10">
        <f t="shared" si="13"/>
        <v>0</v>
      </c>
      <c r="X18" s="7">
        <f>'[5]Mar Prod'!D272</f>
        <v>262999.99999999814</v>
      </c>
      <c r="Y18" s="8">
        <f t="shared" si="14"/>
        <v>0.26299999999999812</v>
      </c>
      <c r="Z18" s="10">
        <f t="shared" si="15"/>
        <v>0.80740999999999419</v>
      </c>
      <c r="AA18" s="15"/>
      <c r="AB18" s="7">
        <f t="shared" si="16"/>
        <v>13329000.000000002</v>
      </c>
      <c r="AC18" s="8">
        <f t="shared" si="16"/>
        <v>13.329000000000002</v>
      </c>
      <c r="AD18" s="8">
        <f t="shared" si="16"/>
        <v>40.920030000000004</v>
      </c>
      <c r="AF18" s="8">
        <f>T18-Q18-Z18</f>
        <v>3.1086244689504383E-15</v>
      </c>
    </row>
    <row r="19" spans="1:32" x14ac:dyDescent="0.25">
      <c r="A19" s="27">
        <v>38426</v>
      </c>
      <c r="B19" s="7">
        <f>'[5]Mar Prod'!I18</f>
        <v>0</v>
      </c>
      <c r="C19" s="8">
        <f t="shared" si="1"/>
        <v>0</v>
      </c>
      <c r="D19" s="10">
        <f t="shared" si="0"/>
        <v>0</v>
      </c>
      <c r="E19" s="7">
        <f>'[5]Mar Prod'!E18</f>
        <v>2000000</v>
      </c>
      <c r="F19" s="8">
        <f t="shared" si="2"/>
        <v>2</v>
      </c>
      <c r="G19" s="10">
        <f t="shared" si="3"/>
        <v>6.14</v>
      </c>
      <c r="H19" s="7">
        <f>'[5]Mar Prod'!F18</f>
        <v>0</v>
      </c>
      <c r="I19" s="8">
        <f t="shared" si="4"/>
        <v>0</v>
      </c>
      <c r="J19" s="10">
        <f t="shared" si="5"/>
        <v>0</v>
      </c>
      <c r="K19" s="7">
        <f>'[5]Mar Prod'!H273</f>
        <v>352185</v>
      </c>
      <c r="L19" s="8">
        <f t="shared" si="6"/>
        <v>0.35218500000000003</v>
      </c>
      <c r="M19" s="10">
        <f t="shared" si="7"/>
        <v>1.08120795</v>
      </c>
      <c r="N19" s="21"/>
      <c r="O19" s="7">
        <f>'[5]Mar Prod'!H18</f>
        <v>12998999.999999994</v>
      </c>
      <c r="P19" s="8">
        <f t="shared" si="8"/>
        <v>12.998999999999995</v>
      </c>
      <c r="Q19" s="10">
        <f t="shared" si="9"/>
        <v>39.906929999999981</v>
      </c>
      <c r="R19" s="7">
        <f>'[5]Mar Prod'!C18</f>
        <v>13393000</v>
      </c>
      <c r="S19" s="8">
        <f t="shared" si="10"/>
        <v>13.393000000000001</v>
      </c>
      <c r="T19" s="10">
        <f t="shared" si="11"/>
        <v>41.116509999999998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394000.00000000547</v>
      </c>
      <c r="Y19" s="8">
        <f t="shared" si="14"/>
        <v>0.39400000000000546</v>
      </c>
      <c r="Z19" s="10">
        <f t="shared" si="15"/>
        <v>1.2095800000000168</v>
      </c>
      <c r="AA19" s="15"/>
      <c r="AB19" s="7">
        <f t="shared" si="16"/>
        <v>12998999.999999994</v>
      </c>
      <c r="AC19" s="8">
        <f t="shared" si="16"/>
        <v>12.998999999999995</v>
      </c>
      <c r="AD19" s="8">
        <f>D19+Q19</f>
        <v>39.906929999999981</v>
      </c>
      <c r="AF19" s="8">
        <f>T19-Q19-Z19</f>
        <v>0</v>
      </c>
    </row>
    <row r="20" spans="1:32" x14ac:dyDescent="0.25">
      <c r="A20" s="27">
        <v>38427</v>
      </c>
      <c r="B20" s="7">
        <f>'[5]Mar Prod'!I19</f>
        <v>0</v>
      </c>
      <c r="C20" s="8">
        <f t="shared" si="1"/>
        <v>0</v>
      </c>
      <c r="D20" s="10">
        <f t="shared" si="0"/>
        <v>0</v>
      </c>
      <c r="E20" s="7">
        <f>'[5]Mar Prod'!E19</f>
        <v>2000000</v>
      </c>
      <c r="F20" s="8">
        <f t="shared" si="2"/>
        <v>2</v>
      </c>
      <c r="G20" s="10">
        <f t="shared" si="3"/>
        <v>6.14</v>
      </c>
      <c r="H20" s="7">
        <f>'[5]Mar Prod'!F19</f>
        <v>0</v>
      </c>
      <c r="I20" s="8">
        <f t="shared" si="4"/>
        <v>0</v>
      </c>
      <c r="J20" s="10">
        <f t="shared" si="5"/>
        <v>0</v>
      </c>
      <c r="K20" s="7">
        <f>'[5]Mar Prod'!H274</f>
        <v>248789</v>
      </c>
      <c r="L20" s="8">
        <f t="shared" si="6"/>
        <v>0.24878900000000001</v>
      </c>
      <c r="M20" s="10">
        <f t="shared" si="7"/>
        <v>0.76378223000000001</v>
      </c>
      <c r="N20" s="21"/>
      <c r="O20" s="7">
        <f>'[5]Mar Prod'!H19</f>
        <v>12469000.000000004</v>
      </c>
      <c r="P20" s="8">
        <f t="shared" si="8"/>
        <v>12.469000000000003</v>
      </c>
      <c r="Q20" s="10">
        <f t="shared" si="9"/>
        <v>38.279830000000004</v>
      </c>
      <c r="R20" s="7">
        <f>'[5]Mar Prod'!C19</f>
        <v>12733000</v>
      </c>
      <c r="S20" s="8">
        <f t="shared" si="10"/>
        <v>12.733000000000001</v>
      </c>
      <c r="T20" s="10">
        <f t="shared" si="11"/>
        <v>39.090310000000002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263999.99999999581</v>
      </c>
      <c r="Y20" s="8">
        <f t="shared" si="14"/>
        <v>0.26399999999999579</v>
      </c>
      <c r="Z20" s="10">
        <f t="shared" si="15"/>
        <v>0.81047999999998699</v>
      </c>
      <c r="AA20" s="15"/>
      <c r="AB20" s="7">
        <f t="shared" si="16"/>
        <v>12469000.000000004</v>
      </c>
      <c r="AC20" s="8">
        <f t="shared" si="16"/>
        <v>12.469000000000003</v>
      </c>
      <c r="AD20" s="8">
        <f t="shared" si="16"/>
        <v>38.279830000000004</v>
      </c>
      <c r="AF20" s="8">
        <f t="shared" ref="AF20:AF35" si="18">T20-Q20-Z20</f>
        <v>1.1324274851176597E-14</v>
      </c>
    </row>
    <row r="21" spans="1:32" x14ac:dyDescent="0.25">
      <c r="A21" s="27">
        <v>38428</v>
      </c>
      <c r="B21" s="7">
        <f>'[5]Mar Prod'!I20</f>
        <v>0</v>
      </c>
      <c r="C21" s="8">
        <f t="shared" si="1"/>
        <v>0</v>
      </c>
      <c r="D21" s="10">
        <f t="shared" si="0"/>
        <v>0</v>
      </c>
      <c r="E21" s="7">
        <f>'[5]Mar Prod'!E20</f>
        <v>5000000</v>
      </c>
      <c r="F21" s="8">
        <f t="shared" si="2"/>
        <v>5</v>
      </c>
      <c r="G21" s="10">
        <f t="shared" si="3"/>
        <v>15.35</v>
      </c>
      <c r="H21" s="7">
        <f>'[5]Mar Prod'!F20</f>
        <v>0</v>
      </c>
      <c r="I21" s="8">
        <f t="shared" si="4"/>
        <v>0</v>
      </c>
      <c r="J21" s="10">
        <f t="shared" si="5"/>
        <v>0</v>
      </c>
      <c r="K21" s="7">
        <f>'[5]Mar Prod'!H275</f>
        <v>577465</v>
      </c>
      <c r="L21" s="8">
        <f t="shared" si="6"/>
        <v>0.57746500000000001</v>
      </c>
      <c r="M21" s="10">
        <f t="shared" si="7"/>
        <v>1.7728175499999999</v>
      </c>
      <c r="N21" s="21"/>
      <c r="O21" s="7">
        <f>'[5]Mar Prod'!H20</f>
        <v>11661000</v>
      </c>
      <c r="P21" s="8">
        <f t="shared" si="8"/>
        <v>11.661</v>
      </c>
      <c r="Q21" s="10">
        <f t="shared" si="9"/>
        <v>35.79927</v>
      </c>
      <c r="R21" s="7">
        <f>'[5]Mar Prod'!C20</f>
        <v>11856000</v>
      </c>
      <c r="S21" s="8">
        <f t="shared" si="10"/>
        <v>11.856</v>
      </c>
      <c r="T21" s="10">
        <f t="shared" si="11"/>
        <v>36.397919999999999</v>
      </c>
      <c r="U21" s="7">
        <f>'[5]Mar Prod'!D20</f>
        <v>0</v>
      </c>
      <c r="V21" s="8">
        <f t="shared" si="12"/>
        <v>0</v>
      </c>
      <c r="W21" s="10">
        <f t="shared" si="13"/>
        <v>0</v>
      </c>
      <c r="X21" s="7">
        <f>'[5]Mar Prod'!D275</f>
        <v>195000.00000000029</v>
      </c>
      <c r="Y21" s="8">
        <f t="shared" si="14"/>
        <v>0.19500000000000028</v>
      </c>
      <c r="Z21" s="10">
        <f t="shared" si="15"/>
        <v>0.59865000000000079</v>
      </c>
      <c r="AA21" s="15"/>
      <c r="AB21" s="7">
        <f t="shared" si="16"/>
        <v>11661000</v>
      </c>
      <c r="AC21" s="8">
        <f t="shared" si="16"/>
        <v>11.661</v>
      </c>
      <c r="AD21" s="8">
        <f t="shared" si="16"/>
        <v>35.79927</v>
      </c>
      <c r="AF21" s="8">
        <f t="shared" si="18"/>
        <v>-1.5543122344752192E-15</v>
      </c>
    </row>
    <row r="22" spans="1:32" x14ac:dyDescent="0.25">
      <c r="A22" s="27">
        <v>38429</v>
      </c>
      <c r="B22" s="7">
        <f>'[5]Mar Prod'!I21</f>
        <v>0</v>
      </c>
      <c r="C22" s="8">
        <f t="shared" si="1"/>
        <v>0</v>
      </c>
      <c r="D22" s="10">
        <f t="shared" si="0"/>
        <v>0</v>
      </c>
      <c r="E22" s="7">
        <f>'[5]Mar Prod'!E21</f>
        <v>4000000</v>
      </c>
      <c r="F22" s="8">
        <f t="shared" si="2"/>
        <v>4</v>
      </c>
      <c r="G22" s="10">
        <f t="shared" si="3"/>
        <v>12.28</v>
      </c>
      <c r="H22" s="7">
        <f>'[5]Mar Prod'!F21</f>
        <v>0</v>
      </c>
      <c r="I22" s="8">
        <f t="shared" si="4"/>
        <v>0</v>
      </c>
      <c r="J22" s="10">
        <f t="shared" si="5"/>
        <v>0</v>
      </c>
      <c r="K22" s="7">
        <f>'[5]Mar Prod'!H276</f>
        <v>538015</v>
      </c>
      <c r="L22" s="8">
        <f t="shared" si="6"/>
        <v>0.53801500000000002</v>
      </c>
      <c r="M22" s="10">
        <f t="shared" si="7"/>
        <v>1.65170605</v>
      </c>
      <c r="N22" s="21"/>
      <c r="O22" s="7">
        <f>'[5]Mar Prod'!H21</f>
        <v>11871000.000000002</v>
      </c>
      <c r="P22" s="8">
        <f t="shared" si="8"/>
        <v>11.871000000000002</v>
      </c>
      <c r="Q22" s="10">
        <f t="shared" si="9"/>
        <v>36.443970000000007</v>
      </c>
      <c r="R22" s="7">
        <f>'[5]Mar Prod'!C21</f>
        <v>12201000</v>
      </c>
      <c r="S22" s="8">
        <f t="shared" si="10"/>
        <v>12.201000000000001</v>
      </c>
      <c r="T22" s="10">
        <f t="shared" si="11"/>
        <v>37.457070000000002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329999.99999999831</v>
      </c>
      <c r="Y22" s="8">
        <f t="shared" si="14"/>
        <v>0.32999999999999829</v>
      </c>
      <c r="Z22" s="10">
        <f t="shared" si="15"/>
        <v>1.0130999999999948</v>
      </c>
      <c r="AA22" s="15"/>
      <c r="AB22" s="7">
        <f t="shared" si="16"/>
        <v>11871000.000000002</v>
      </c>
      <c r="AC22" s="8">
        <f t="shared" si="16"/>
        <v>11.871000000000002</v>
      </c>
      <c r="AD22" s="8">
        <f t="shared" si="16"/>
        <v>36.443970000000007</v>
      </c>
      <c r="AF22" s="8">
        <f t="shared" si="18"/>
        <v>0</v>
      </c>
    </row>
    <row r="23" spans="1:32" x14ac:dyDescent="0.25">
      <c r="A23" s="27">
        <v>38430</v>
      </c>
      <c r="B23" s="7">
        <f>'[5]Mar Prod'!I22</f>
        <v>0</v>
      </c>
      <c r="C23" s="8">
        <f t="shared" si="1"/>
        <v>0</v>
      </c>
      <c r="D23" s="10">
        <f t="shared" si="0"/>
        <v>0</v>
      </c>
      <c r="E23" s="7">
        <f>'[5]Mar Prod'!E22</f>
        <v>0</v>
      </c>
      <c r="F23" s="8">
        <f t="shared" si="2"/>
        <v>0</v>
      </c>
      <c r="G23" s="10">
        <f t="shared" si="3"/>
        <v>0</v>
      </c>
      <c r="H23" s="7">
        <f>'[5]Mar Prod'!F22</f>
        <v>0</v>
      </c>
      <c r="I23" s="8">
        <f t="shared" si="4"/>
        <v>0</v>
      </c>
      <c r="J23" s="10">
        <f t="shared" si="5"/>
        <v>0</v>
      </c>
      <c r="K23" s="7">
        <f>'[5]Mar Prod'!H277</f>
        <v>0</v>
      </c>
      <c r="L23" s="8">
        <f t="shared" si="6"/>
        <v>0</v>
      </c>
      <c r="M23" s="10">
        <f t="shared" si="7"/>
        <v>0</v>
      </c>
      <c r="N23" s="21"/>
      <c r="O23" s="7">
        <f>'[5]Mar Prod'!H22</f>
        <v>11291999.999999994</v>
      </c>
      <c r="P23" s="8">
        <f t="shared" si="8"/>
        <v>11.291999999999994</v>
      </c>
      <c r="Q23" s="10">
        <f t="shared" si="9"/>
        <v>34.66643999999998</v>
      </c>
      <c r="R23" s="7">
        <f>'[5]Mar Prod'!C22</f>
        <v>11555000</v>
      </c>
      <c r="S23" s="8">
        <f t="shared" si="10"/>
        <v>11.555</v>
      </c>
      <c r="T23" s="10">
        <f t="shared" si="11"/>
        <v>35.473849999999999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263000.00000000524</v>
      </c>
      <c r="Y23" s="8">
        <f t="shared" si="14"/>
        <v>0.26300000000000523</v>
      </c>
      <c r="Z23" s="10">
        <f t="shared" si="15"/>
        <v>0.80741000000001606</v>
      </c>
      <c r="AA23" s="15"/>
      <c r="AB23" s="7">
        <f t="shared" si="16"/>
        <v>11291999.999999994</v>
      </c>
      <c r="AC23" s="8">
        <f t="shared" si="16"/>
        <v>11.291999999999994</v>
      </c>
      <c r="AD23" s="8">
        <f t="shared" si="16"/>
        <v>34.66643999999998</v>
      </c>
      <c r="AF23" s="8">
        <f t="shared" si="18"/>
        <v>2.55351295663786E-15</v>
      </c>
    </row>
    <row r="24" spans="1:32" x14ac:dyDescent="0.25">
      <c r="A24" s="27">
        <v>38431</v>
      </c>
      <c r="B24" s="7">
        <f>'[5]Mar Prod'!I23</f>
        <v>0</v>
      </c>
      <c r="C24" s="8">
        <f t="shared" si="1"/>
        <v>0</v>
      </c>
      <c r="D24" s="10">
        <f t="shared" si="0"/>
        <v>0</v>
      </c>
      <c r="E24" s="7">
        <f>'[5]Mar Prod'!E23</f>
        <v>0</v>
      </c>
      <c r="F24" s="8">
        <f t="shared" si="2"/>
        <v>0</v>
      </c>
      <c r="G24" s="10">
        <f t="shared" si="3"/>
        <v>0</v>
      </c>
      <c r="H24" s="7">
        <f>'[5]Mar Prod'!F23</f>
        <v>0</v>
      </c>
      <c r="I24" s="8">
        <f t="shared" si="4"/>
        <v>0</v>
      </c>
      <c r="J24" s="10">
        <f t="shared" si="5"/>
        <v>0</v>
      </c>
      <c r="K24" s="7">
        <f>'[5]Mar Prod'!H278</f>
        <v>0</v>
      </c>
      <c r="L24" s="8">
        <f t="shared" si="6"/>
        <v>0</v>
      </c>
      <c r="M24" s="10">
        <f t="shared" si="7"/>
        <v>0</v>
      </c>
      <c r="N24" s="21"/>
      <c r="O24" s="7">
        <f>'[5]Mar Prod'!H23</f>
        <v>11760000.000000004</v>
      </c>
      <c r="P24" s="8">
        <f t="shared" si="8"/>
        <v>11.760000000000003</v>
      </c>
      <c r="Q24" s="10">
        <f t="shared" si="9"/>
        <v>36.103200000000008</v>
      </c>
      <c r="R24" s="7">
        <f>'[5]Mar Prod'!C23</f>
        <v>12091000</v>
      </c>
      <c r="S24" s="8">
        <f t="shared" si="10"/>
        <v>12.090999999999999</v>
      </c>
      <c r="T24" s="10">
        <f t="shared" si="11"/>
        <v>37.119369999999996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330999.99999999598</v>
      </c>
      <c r="Y24" s="8">
        <f t="shared" si="14"/>
        <v>0.33099999999999596</v>
      </c>
      <c r="Z24" s="10">
        <f t="shared" si="15"/>
        <v>1.0161699999999876</v>
      </c>
      <c r="AA24" s="15"/>
      <c r="AB24" s="7">
        <f t="shared" si="16"/>
        <v>11760000.000000004</v>
      </c>
      <c r="AC24" s="8">
        <f t="shared" si="16"/>
        <v>11.760000000000003</v>
      </c>
      <c r="AD24" s="8">
        <f>D24+Q24</f>
        <v>36.103200000000008</v>
      </c>
      <c r="AF24" s="8">
        <f t="shared" si="18"/>
        <v>0</v>
      </c>
    </row>
    <row r="25" spans="1:32" x14ac:dyDescent="0.25">
      <c r="A25" s="27">
        <v>38432</v>
      </c>
      <c r="B25" s="7">
        <f>'[5]Mar Prod'!I24</f>
        <v>2200000.0000007274</v>
      </c>
      <c r="C25" s="8">
        <f t="shared" si="1"/>
        <v>2.2000000000007272</v>
      </c>
      <c r="D25" s="10">
        <f t="shared" si="0"/>
        <v>6.7540000000022324</v>
      </c>
      <c r="E25" s="7">
        <f>'[5]Mar Prod'!E24</f>
        <v>3000000</v>
      </c>
      <c r="F25" s="8">
        <f t="shared" si="2"/>
        <v>3</v>
      </c>
      <c r="G25" s="10">
        <f t="shared" si="3"/>
        <v>9.2099999999999991</v>
      </c>
      <c r="H25" s="7">
        <f>'[5]Mar Prod'!F24</f>
        <v>0</v>
      </c>
      <c r="I25" s="8">
        <f t="shared" si="4"/>
        <v>0</v>
      </c>
      <c r="J25" s="10">
        <f t="shared" si="5"/>
        <v>0</v>
      </c>
      <c r="K25" s="7">
        <f>'[5]Mar Prod'!H279</f>
        <v>1137282</v>
      </c>
      <c r="L25" s="8">
        <f t="shared" si="6"/>
        <v>1.1372819999999999</v>
      </c>
      <c r="M25" s="10">
        <f t="shared" si="7"/>
        <v>3.4914557399999997</v>
      </c>
      <c r="N25" s="21"/>
      <c r="O25" s="7">
        <f>'[5]Mar Prod'!H24</f>
        <v>11928000</v>
      </c>
      <c r="P25" s="8">
        <f t="shared" si="8"/>
        <v>11.928000000000001</v>
      </c>
      <c r="Q25" s="10">
        <f t="shared" si="9"/>
        <v>36.618960000000001</v>
      </c>
      <c r="R25" s="7">
        <f>'[5]Mar Prod'!C24</f>
        <v>12193000</v>
      </c>
      <c r="S25" s="8">
        <f t="shared" si="10"/>
        <v>12.193</v>
      </c>
      <c r="T25" s="10">
        <f t="shared" si="11"/>
        <v>37.432509999999994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265000.00000000058</v>
      </c>
      <c r="Y25" s="8">
        <f t="shared" si="14"/>
        <v>0.26500000000000057</v>
      </c>
      <c r="Z25" s="10">
        <f t="shared" si="15"/>
        <v>0.81355000000000166</v>
      </c>
      <c r="AA25" s="15"/>
      <c r="AB25" s="7">
        <f t="shared" si="16"/>
        <v>14128000.000000726</v>
      </c>
      <c r="AC25" s="8">
        <f t="shared" si="16"/>
        <v>14.128000000000728</v>
      </c>
      <c r="AD25" s="8">
        <f t="shared" si="16"/>
        <v>43.372960000002237</v>
      </c>
      <c r="AF25" s="8">
        <f t="shared" si="18"/>
        <v>-9.4368957093138306E-15</v>
      </c>
    </row>
    <row r="26" spans="1:32" x14ac:dyDescent="0.25">
      <c r="A26" s="27">
        <v>38433</v>
      </c>
      <c r="B26" s="7">
        <f>'[5]Mar Prod'!I25</f>
        <v>6900000.0000014547</v>
      </c>
      <c r="C26" s="8">
        <f t="shared" si="1"/>
        <v>6.9000000000014543</v>
      </c>
      <c r="D26" s="10">
        <f t="shared" si="0"/>
        <v>21.183000000004462</v>
      </c>
      <c r="E26" s="7">
        <f>'[5]Mar Prod'!E25</f>
        <v>7000000</v>
      </c>
      <c r="F26" s="8">
        <f t="shared" si="2"/>
        <v>7</v>
      </c>
      <c r="G26" s="10">
        <f t="shared" si="3"/>
        <v>21.49</v>
      </c>
      <c r="H26" s="7">
        <f>'[5]Mar Prod'!F25</f>
        <v>0</v>
      </c>
      <c r="I26" s="8">
        <f t="shared" si="4"/>
        <v>0</v>
      </c>
      <c r="J26" s="10">
        <f t="shared" si="5"/>
        <v>0</v>
      </c>
      <c r="K26" s="7">
        <f>'[5]Mar Prod'!H280</f>
        <v>834047</v>
      </c>
      <c r="L26" s="8">
        <f t="shared" si="6"/>
        <v>0.83404699999999998</v>
      </c>
      <c r="M26" s="10">
        <f t="shared" si="7"/>
        <v>2.5605242899999996</v>
      </c>
      <c r="N26" s="21"/>
      <c r="O26" s="7">
        <f>'[5]Mar Prod'!H25</f>
        <v>5922000</v>
      </c>
      <c r="P26" s="8">
        <f t="shared" si="8"/>
        <v>5.9219999999999997</v>
      </c>
      <c r="Q26" s="10">
        <f t="shared" si="9"/>
        <v>18.180539999999997</v>
      </c>
      <c r="R26" s="7">
        <f>'[5]Mar Prod'!C25</f>
        <v>6184000</v>
      </c>
      <c r="S26" s="8">
        <f t="shared" si="10"/>
        <v>6.1840000000000002</v>
      </c>
      <c r="T26" s="10">
        <f t="shared" si="11"/>
        <v>18.98488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262000.00000000047</v>
      </c>
      <c r="Y26" s="8">
        <f t="shared" si="14"/>
        <v>0.26200000000000045</v>
      </c>
      <c r="Z26" s="10">
        <f t="shared" si="15"/>
        <v>0.80434000000000139</v>
      </c>
      <c r="AA26" s="15"/>
      <c r="AB26" s="7">
        <f t="shared" si="16"/>
        <v>12822000.000001455</v>
      </c>
      <c r="AC26" s="8">
        <f t="shared" si="16"/>
        <v>12.822000000001454</v>
      </c>
      <c r="AD26" s="8">
        <f t="shared" si="16"/>
        <v>39.363540000004463</v>
      </c>
      <c r="AF26" s="8">
        <f t="shared" si="18"/>
        <v>1.9984014443252818E-15</v>
      </c>
    </row>
    <row r="27" spans="1:32" x14ac:dyDescent="0.25">
      <c r="A27" s="27">
        <v>38434</v>
      </c>
      <c r="B27" s="7">
        <f>'[5]Mar Prod'!I26</f>
        <v>1899999.9999978172</v>
      </c>
      <c r="C27" s="8">
        <f t="shared" si="1"/>
        <v>1.8999999999978172</v>
      </c>
      <c r="D27" s="10">
        <f t="shared" si="0"/>
        <v>5.8329999999932989</v>
      </c>
      <c r="E27" s="7">
        <f>'[5]Mar Prod'!E26</f>
        <v>2000000</v>
      </c>
      <c r="F27" s="8">
        <f t="shared" si="2"/>
        <v>2</v>
      </c>
      <c r="G27" s="10">
        <f t="shared" si="3"/>
        <v>6.14</v>
      </c>
      <c r="H27" s="7">
        <f>'[5]Mar Prod'!F26</f>
        <v>0</v>
      </c>
      <c r="I27" s="8">
        <f t="shared" si="4"/>
        <v>0</v>
      </c>
      <c r="J27" s="10">
        <f t="shared" si="5"/>
        <v>0</v>
      </c>
      <c r="K27" s="7">
        <f>'[5]Mar Prod'!H281</f>
        <v>218833</v>
      </c>
      <c r="L27" s="8">
        <f t="shared" si="6"/>
        <v>0.218833</v>
      </c>
      <c r="M27" s="10">
        <f t="shared" si="7"/>
        <v>0.67181731</v>
      </c>
      <c r="N27" s="21"/>
      <c r="O27" s="7">
        <f>'[5]Mar Prod'!H26</f>
        <v>7029000.0000000019</v>
      </c>
      <c r="P27" s="8">
        <f t="shared" si="8"/>
        <v>7.0290000000000017</v>
      </c>
      <c r="Q27" s="10">
        <f t="shared" si="9"/>
        <v>21.579030000000003</v>
      </c>
      <c r="R27" s="7">
        <f>'[5]Mar Prod'!C26</f>
        <v>7228000</v>
      </c>
      <c r="S27" s="8">
        <f t="shared" si="10"/>
        <v>7.2279999999999998</v>
      </c>
      <c r="T27" s="10">
        <f t="shared" si="11"/>
        <v>22.189959999999999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198999.99999999808</v>
      </c>
      <c r="Y27" s="8">
        <f t="shared" si="14"/>
        <v>0.19899999999999807</v>
      </c>
      <c r="Z27" s="10">
        <f t="shared" si="15"/>
        <v>0.61092999999999409</v>
      </c>
      <c r="AA27" s="15"/>
      <c r="AB27" s="7">
        <f t="shared" si="16"/>
        <v>8928999.9999978188</v>
      </c>
      <c r="AC27" s="8">
        <f t="shared" si="16"/>
        <v>8.9289999999978189</v>
      </c>
      <c r="AD27" s="8">
        <f t="shared" si="16"/>
        <v>27.412029999993301</v>
      </c>
      <c r="AF27" s="8">
        <f t="shared" si="18"/>
        <v>2.1094237467877974E-15</v>
      </c>
    </row>
    <row r="28" spans="1:32" x14ac:dyDescent="0.25">
      <c r="A28" s="27">
        <v>38435</v>
      </c>
      <c r="B28" s="7">
        <f>'[5]Mar Prod'!I27</f>
        <v>3700000.0000007274</v>
      </c>
      <c r="C28" s="8">
        <f t="shared" si="1"/>
        <v>3.7000000000007272</v>
      </c>
      <c r="D28" s="10">
        <f t="shared" si="0"/>
        <v>11.359000000002231</v>
      </c>
      <c r="E28" s="7">
        <f>'[5]Mar Prod'!E27</f>
        <v>5000000</v>
      </c>
      <c r="F28" s="8">
        <f t="shared" si="2"/>
        <v>5</v>
      </c>
      <c r="G28" s="10">
        <f t="shared" si="3"/>
        <v>15.35</v>
      </c>
      <c r="H28" s="7">
        <f>'[5]Mar Prod'!F27</f>
        <v>0</v>
      </c>
      <c r="I28" s="8">
        <f t="shared" si="4"/>
        <v>0</v>
      </c>
      <c r="J28" s="10">
        <f t="shared" si="5"/>
        <v>0</v>
      </c>
      <c r="K28" s="7">
        <f>'[5]Mar Prod'!H282</f>
        <v>1076173</v>
      </c>
      <c r="L28" s="8">
        <f t="shared" si="6"/>
        <v>1.076173</v>
      </c>
      <c r="M28" s="10">
        <f t="shared" si="7"/>
        <v>3.3038511100000001</v>
      </c>
      <c r="N28" s="21"/>
      <c r="O28" s="7">
        <f>'[5]Mar Prod'!H27</f>
        <v>8700999.9999999963</v>
      </c>
      <c r="P28" s="8">
        <f t="shared" si="8"/>
        <v>8.700999999999997</v>
      </c>
      <c r="Q28" s="10">
        <f t="shared" si="9"/>
        <v>26.71206999999999</v>
      </c>
      <c r="R28" s="7">
        <f>'[5]Mar Prod'!C27</f>
        <v>8965000</v>
      </c>
      <c r="S28" s="8">
        <f t="shared" si="10"/>
        <v>8.9649999999999999</v>
      </c>
      <c r="T28" s="10">
        <f t="shared" si="11"/>
        <v>27.522549999999999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264000.00000000291</v>
      </c>
      <c r="Y28" s="8">
        <f t="shared" si="14"/>
        <v>0.2640000000000029</v>
      </c>
      <c r="Z28" s="10">
        <f t="shared" si="15"/>
        <v>0.81048000000000886</v>
      </c>
      <c r="AA28" s="15"/>
      <c r="AB28" s="7">
        <f t="shared" si="16"/>
        <v>12401000.000000723</v>
      </c>
      <c r="AC28" s="8">
        <f t="shared" si="16"/>
        <v>12.401000000000725</v>
      </c>
      <c r="AD28" s="8">
        <f t="shared" si="16"/>
        <v>38.071070000002223</v>
      </c>
      <c r="AF28" s="8">
        <f t="shared" si="18"/>
        <v>0</v>
      </c>
    </row>
    <row r="29" spans="1:32" x14ac:dyDescent="0.25">
      <c r="A29" s="27">
        <v>38436</v>
      </c>
      <c r="B29" s="7">
        <f>'[5]Mar Prod'!I28</f>
        <v>6400000.0000014547</v>
      </c>
      <c r="C29" s="8">
        <f t="shared" si="1"/>
        <v>6.4000000000014543</v>
      </c>
      <c r="D29" s="10">
        <f t="shared" si="0"/>
        <v>19.648000000004465</v>
      </c>
      <c r="E29" s="7">
        <f>'[5]Mar Prod'!E28</f>
        <v>7000000</v>
      </c>
      <c r="F29" s="8">
        <f t="shared" si="2"/>
        <v>7</v>
      </c>
      <c r="G29" s="10">
        <f t="shared" si="3"/>
        <v>21.49</v>
      </c>
      <c r="H29" s="7">
        <f>'[5]Mar Prod'!F28</f>
        <v>0</v>
      </c>
      <c r="I29" s="8">
        <f t="shared" si="4"/>
        <v>0</v>
      </c>
      <c r="J29" s="10">
        <f t="shared" si="5"/>
        <v>0</v>
      </c>
      <c r="K29" s="7">
        <f>'[5]Mar Prod'!H283</f>
        <v>813340</v>
      </c>
      <c r="L29" s="8">
        <f t="shared" si="6"/>
        <v>0.81333999999999995</v>
      </c>
      <c r="M29" s="10">
        <f t="shared" si="7"/>
        <v>2.4969537999999996</v>
      </c>
      <c r="N29" s="21"/>
      <c r="O29" s="7">
        <f>'[5]Mar Prod'!H28</f>
        <v>6714000.0000000019</v>
      </c>
      <c r="P29" s="8">
        <f t="shared" si="8"/>
        <v>6.7140000000000022</v>
      </c>
      <c r="Q29" s="10">
        <f t="shared" si="9"/>
        <v>20.611980000000006</v>
      </c>
      <c r="R29" s="7">
        <f>'[5]Mar Prod'!C28</f>
        <v>6846000</v>
      </c>
      <c r="S29" s="8">
        <f t="shared" si="10"/>
        <v>6.8460000000000001</v>
      </c>
      <c r="T29" s="10">
        <f t="shared" si="11"/>
        <v>21.017219999999998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131999.9999999979</v>
      </c>
      <c r="Y29" s="8">
        <f t="shared" si="14"/>
        <v>0.1319999999999979</v>
      </c>
      <c r="Z29" s="10">
        <f t="shared" si="15"/>
        <v>0.40523999999999349</v>
      </c>
      <c r="AA29" s="15"/>
      <c r="AB29" s="7">
        <f t="shared" si="16"/>
        <v>13114000.000001457</v>
      </c>
      <c r="AC29" s="8">
        <f t="shared" si="16"/>
        <v>13.114000000001457</v>
      </c>
      <c r="AD29" s="8">
        <f t="shared" si="16"/>
        <v>40.259980000004475</v>
      </c>
      <c r="AF29" s="8">
        <f t="shared" si="18"/>
        <v>-1.4432899320127035E-15</v>
      </c>
    </row>
    <row r="30" spans="1:32" x14ac:dyDescent="0.25">
      <c r="A30" s="27">
        <v>38437</v>
      </c>
      <c r="B30" s="7">
        <f>'[5]Mar Prod'!I29</f>
        <v>3799999.9999992726</v>
      </c>
      <c r="C30" s="8">
        <f t="shared" si="1"/>
        <v>3.7999999999992728</v>
      </c>
      <c r="D30" s="10">
        <f t="shared" si="0"/>
        <v>11.665999999997767</v>
      </c>
      <c r="E30" s="7">
        <f>'[5]Mar Prod'!E29</f>
        <v>5000000</v>
      </c>
      <c r="F30" s="8">
        <f t="shared" si="2"/>
        <v>5</v>
      </c>
      <c r="G30" s="10">
        <f t="shared" si="3"/>
        <v>15.35</v>
      </c>
      <c r="H30" s="7">
        <f>'[5]Mar Prod'!F29</f>
        <v>0</v>
      </c>
      <c r="I30" s="8">
        <f t="shared" si="4"/>
        <v>0</v>
      </c>
      <c r="J30" s="10">
        <f t="shared" si="5"/>
        <v>0</v>
      </c>
      <c r="K30" s="7">
        <f>'[5]Mar Prod'!H284</f>
        <v>573809</v>
      </c>
      <c r="L30" s="8">
        <f t="shared" si="6"/>
        <v>0.57380900000000001</v>
      </c>
      <c r="M30" s="10">
        <f t="shared" si="7"/>
        <v>1.7615936299999999</v>
      </c>
      <c r="N30" s="21"/>
      <c r="O30" s="7">
        <f>'[5]Mar Prod'!H29</f>
        <v>5762999.9999999972</v>
      </c>
      <c r="P30" s="8">
        <f t="shared" si="8"/>
        <v>5.7629999999999972</v>
      </c>
      <c r="Q30" s="10">
        <f t="shared" si="9"/>
        <v>17.692409999999992</v>
      </c>
      <c r="R30" s="7">
        <f>'[5]Mar Prod'!C29</f>
        <v>5960000</v>
      </c>
      <c r="S30" s="8">
        <f t="shared" si="10"/>
        <v>5.96</v>
      </c>
      <c r="T30" s="10">
        <f t="shared" si="11"/>
        <v>18.2972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197000.00000000274</v>
      </c>
      <c r="Y30" s="8">
        <f t="shared" si="14"/>
        <v>0.19700000000000273</v>
      </c>
      <c r="Z30" s="10">
        <f t="shared" si="15"/>
        <v>0.60479000000000838</v>
      </c>
      <c r="AA30" s="15"/>
      <c r="AB30" s="7">
        <f t="shared" si="16"/>
        <v>9562999.9999992698</v>
      </c>
      <c r="AC30" s="8">
        <f t="shared" si="16"/>
        <v>9.5629999999992705</v>
      </c>
      <c r="AD30" s="8">
        <f>D30+Q30</f>
        <v>29.358409999997761</v>
      </c>
      <c r="AF30" s="8">
        <f t="shared" si="18"/>
        <v>0</v>
      </c>
    </row>
    <row r="31" spans="1:32" x14ac:dyDescent="0.25">
      <c r="A31" s="27">
        <v>38438</v>
      </c>
      <c r="B31" s="7">
        <f>'[5]Mar Prod'!I30</f>
        <v>5700000.0000007274</v>
      </c>
      <c r="C31" s="8">
        <f t="shared" si="1"/>
        <v>5.7000000000007276</v>
      </c>
      <c r="D31" s="10">
        <f t="shared" si="0"/>
        <v>17.499000000002233</v>
      </c>
      <c r="E31" s="7">
        <f>'[5]Mar Prod'!E30</f>
        <v>5000000</v>
      </c>
      <c r="F31" s="8">
        <f t="shared" si="2"/>
        <v>5</v>
      </c>
      <c r="G31" s="10">
        <f t="shared" si="3"/>
        <v>15.35</v>
      </c>
      <c r="H31" s="7">
        <f>'[5]Mar Prod'!F30</f>
        <v>0</v>
      </c>
      <c r="I31" s="8">
        <f t="shared" si="4"/>
        <v>0</v>
      </c>
      <c r="J31" s="10">
        <f t="shared" si="5"/>
        <v>0</v>
      </c>
      <c r="K31" s="7">
        <f>'[5]Mar Prod'!H285</f>
        <v>620360</v>
      </c>
      <c r="L31" s="8">
        <f t="shared" si="6"/>
        <v>0.62036000000000002</v>
      </c>
      <c r="M31" s="10">
        <f t="shared" si="7"/>
        <v>1.9045052</v>
      </c>
      <c r="N31" s="21"/>
      <c r="O31" s="7">
        <f>'[5]Mar Prod'!H30</f>
        <v>5960000</v>
      </c>
      <c r="P31" s="8">
        <f t="shared" si="8"/>
        <v>5.96</v>
      </c>
      <c r="Q31" s="10">
        <f t="shared" si="9"/>
        <v>18.2972</v>
      </c>
      <c r="R31" s="7">
        <f>'[5]Mar Prod'!C30</f>
        <v>6158000</v>
      </c>
      <c r="S31" s="8">
        <f t="shared" si="10"/>
        <v>6.1580000000000004</v>
      </c>
      <c r="T31" s="10">
        <f t="shared" si="11"/>
        <v>18.905059999999999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198000.00000000041</v>
      </c>
      <c r="Y31" s="8">
        <f t="shared" si="14"/>
        <v>0.1980000000000004</v>
      </c>
      <c r="Z31" s="10">
        <f t="shared" si="15"/>
        <v>0.60786000000000118</v>
      </c>
      <c r="AA31" s="15"/>
      <c r="AB31" s="7">
        <f t="shared" si="16"/>
        <v>11660000.000000726</v>
      </c>
      <c r="AC31" s="8">
        <f t="shared" si="16"/>
        <v>11.660000000000728</v>
      </c>
      <c r="AD31" s="8">
        <f t="shared" si="16"/>
        <v>35.79620000000223</v>
      </c>
      <c r="AF31" s="8">
        <f>T31-Q31-Z31</f>
        <v>-2.4424906541753444E-15</v>
      </c>
    </row>
    <row r="32" spans="1:32" x14ac:dyDescent="0.25">
      <c r="A32" s="27">
        <v>38439</v>
      </c>
      <c r="B32" s="7">
        <f>'[5]Mar Prod'!I31</f>
        <v>5899999.999997817</v>
      </c>
      <c r="C32" s="8">
        <f t="shared" si="1"/>
        <v>5.8999999999978172</v>
      </c>
      <c r="D32" s="10">
        <f t="shared" si="0"/>
        <v>18.112999999993299</v>
      </c>
      <c r="E32" s="7">
        <f>'[5]Mar Prod'!E31</f>
        <v>8000000</v>
      </c>
      <c r="F32" s="8">
        <f t="shared" si="2"/>
        <v>8</v>
      </c>
      <c r="G32" s="10">
        <f t="shared" si="3"/>
        <v>24.56</v>
      </c>
      <c r="H32" s="7">
        <f>'[5]Mar Prod'!F31</f>
        <v>0</v>
      </c>
      <c r="I32" s="8">
        <f t="shared" si="4"/>
        <v>0</v>
      </c>
      <c r="J32" s="10">
        <f t="shared" si="5"/>
        <v>0</v>
      </c>
      <c r="K32" s="7">
        <f>'[5]Mar Prod'!H286</f>
        <v>836228</v>
      </c>
      <c r="L32" s="8">
        <f t="shared" si="6"/>
        <v>0.83622799999999997</v>
      </c>
      <c r="M32" s="10">
        <f t="shared" si="7"/>
        <v>2.5672199599999996</v>
      </c>
      <c r="N32" s="21"/>
      <c r="O32" s="7">
        <f>'[5]Mar Prod'!H31</f>
        <v>6003000</v>
      </c>
      <c r="P32" s="8">
        <f t="shared" si="8"/>
        <v>6.0030000000000001</v>
      </c>
      <c r="Q32" s="10">
        <f t="shared" si="9"/>
        <v>18.429209999999998</v>
      </c>
      <c r="R32" s="7">
        <f>'[5]Mar Prod'!C31</f>
        <v>6201000</v>
      </c>
      <c r="S32" s="8">
        <f t="shared" si="10"/>
        <v>6.2009999999999996</v>
      </c>
      <c r="T32" s="10">
        <f t="shared" si="11"/>
        <v>19.037069999999996</v>
      </c>
      <c r="U32" s="7">
        <f>'[5]Mar Prod'!D31</f>
        <v>0</v>
      </c>
      <c r="V32" s="8">
        <f t="shared" si="12"/>
        <v>0</v>
      </c>
      <c r="W32" s="10">
        <f t="shared" si="13"/>
        <v>0</v>
      </c>
      <c r="X32" s="7">
        <f>'[5]Mar Prod'!D286</f>
        <v>198000.00000000041</v>
      </c>
      <c r="Y32" s="8">
        <f t="shared" si="14"/>
        <v>0.1980000000000004</v>
      </c>
      <c r="Z32" s="10">
        <f t="shared" si="15"/>
        <v>0.60786000000000118</v>
      </c>
      <c r="AA32" s="15"/>
      <c r="AB32" s="7">
        <f t="shared" si="16"/>
        <v>11902999.999997817</v>
      </c>
      <c r="AC32" s="8">
        <f t="shared" si="16"/>
        <v>11.902999999997817</v>
      </c>
      <c r="AD32" s="8">
        <f t="shared" si="16"/>
        <v>36.542209999993297</v>
      </c>
      <c r="AF32" s="8">
        <f t="shared" si="18"/>
        <v>-2.4424906541753444E-15</v>
      </c>
    </row>
    <row r="33" spans="1:32" x14ac:dyDescent="0.25">
      <c r="A33" s="27">
        <v>38440</v>
      </c>
      <c r="B33" s="7">
        <f>'[5]Mar Prod'!I32</f>
        <v>7000000</v>
      </c>
      <c r="C33" s="8">
        <f t="shared" si="1"/>
        <v>7</v>
      </c>
      <c r="D33" s="10">
        <f t="shared" si="0"/>
        <v>21.49</v>
      </c>
      <c r="E33" s="7">
        <f>'[5]Mar Prod'!E32</f>
        <v>7000000</v>
      </c>
      <c r="F33" s="8">
        <f t="shared" si="2"/>
        <v>7</v>
      </c>
      <c r="G33" s="10">
        <f t="shared" si="3"/>
        <v>21.49</v>
      </c>
      <c r="H33" s="7">
        <f>'[5]Mar Prod'!F32</f>
        <v>0</v>
      </c>
      <c r="I33" s="8">
        <f t="shared" si="4"/>
        <v>0</v>
      </c>
      <c r="J33" s="10">
        <f t="shared" si="5"/>
        <v>0</v>
      </c>
      <c r="K33" s="7">
        <f>'[5]Mar Prod'!H287</f>
        <v>898437</v>
      </c>
      <c r="L33" s="8">
        <f t="shared" si="6"/>
        <v>0.89843700000000004</v>
      </c>
      <c r="M33" s="10">
        <f t="shared" si="7"/>
        <v>2.7582015900000001</v>
      </c>
      <c r="N33" s="21"/>
      <c r="O33" s="7">
        <f>'[5]Mar Prod'!H32</f>
        <v>6092000.0000000019</v>
      </c>
      <c r="P33" s="8">
        <f t="shared" si="8"/>
        <v>6.0920000000000023</v>
      </c>
      <c r="Q33" s="10">
        <f t="shared" si="9"/>
        <v>18.702440000000006</v>
      </c>
      <c r="R33" s="7">
        <f>'[5]Mar Prod'!C32</f>
        <v>6291000</v>
      </c>
      <c r="S33" s="8">
        <f t="shared" si="10"/>
        <v>6.2910000000000004</v>
      </c>
      <c r="T33" s="10">
        <f t="shared" si="11"/>
        <v>19.313369999999999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198999.99999999808</v>
      </c>
      <c r="Y33" s="8">
        <f t="shared" si="14"/>
        <v>0.19899999999999807</v>
      </c>
      <c r="Z33" s="10">
        <f t="shared" si="15"/>
        <v>0.61092999999999409</v>
      </c>
      <c r="AA33" s="15"/>
      <c r="AB33" s="7">
        <f t="shared" si="16"/>
        <v>13092000.000000002</v>
      </c>
      <c r="AC33" s="8">
        <f t="shared" si="16"/>
        <v>13.092000000000002</v>
      </c>
      <c r="AD33" s="8">
        <f t="shared" si="16"/>
        <v>40.192440000000005</v>
      </c>
      <c r="AF33" s="8">
        <f t="shared" si="18"/>
        <v>-1.4432899320127035E-15</v>
      </c>
    </row>
    <row r="34" spans="1:32" x14ac:dyDescent="0.25">
      <c r="A34" s="27">
        <v>38441</v>
      </c>
      <c r="B34" s="7">
        <f>'[5]Mar Prod'!I33</f>
        <v>5700000.0000007274</v>
      </c>
      <c r="C34" s="8">
        <f t="shared" si="1"/>
        <v>5.7000000000007276</v>
      </c>
      <c r="D34" s="10">
        <f t="shared" si="0"/>
        <v>17.499000000002233</v>
      </c>
      <c r="E34" s="7">
        <f>'[5]Mar Prod'!E33</f>
        <v>8000000</v>
      </c>
      <c r="F34" s="8">
        <f t="shared" si="2"/>
        <v>8</v>
      </c>
      <c r="G34" s="10">
        <f t="shared" si="3"/>
        <v>24.56</v>
      </c>
      <c r="H34" s="7">
        <f>'[5]Mar Prod'!F33</f>
        <v>0</v>
      </c>
      <c r="I34" s="8">
        <f t="shared" si="4"/>
        <v>0</v>
      </c>
      <c r="J34" s="10">
        <f t="shared" si="5"/>
        <v>0</v>
      </c>
      <c r="K34" s="7">
        <f>'[5]Mar Prod'!H288</f>
        <v>956211</v>
      </c>
      <c r="L34" s="8">
        <f t="shared" si="6"/>
        <v>0.95621100000000003</v>
      </c>
      <c r="M34" s="10">
        <f t="shared" si="7"/>
        <v>2.93556777</v>
      </c>
      <c r="N34" s="21"/>
      <c r="O34" s="7">
        <f>'[5]Mar Prod'!H33</f>
        <v>6034999.9999999972</v>
      </c>
      <c r="P34" s="8">
        <f t="shared" si="8"/>
        <v>6.0349999999999975</v>
      </c>
      <c r="Q34" s="10">
        <f t="shared" si="9"/>
        <v>18.527449999999991</v>
      </c>
      <c r="R34" s="7">
        <f>'[5]Mar Prod'!C33</f>
        <v>6168000</v>
      </c>
      <c r="S34" s="8">
        <f t="shared" si="10"/>
        <v>6.1680000000000001</v>
      </c>
      <c r="T34" s="10">
        <f t="shared" si="11"/>
        <v>18.935759999999998</v>
      </c>
      <c r="U34" s="7">
        <f>'[5]Mar Prod'!D33</f>
        <v>0</v>
      </c>
      <c r="V34" s="8">
        <f t="shared" si="12"/>
        <v>0</v>
      </c>
      <c r="W34" s="10">
        <f t="shared" si="13"/>
        <v>0</v>
      </c>
      <c r="X34" s="7">
        <f>'[5]Mar Prod'!D288</f>
        <v>133000.00000000268</v>
      </c>
      <c r="Y34" s="8">
        <f t="shared" si="14"/>
        <v>0.13300000000000267</v>
      </c>
      <c r="Z34" s="10">
        <f t="shared" si="15"/>
        <v>0.40831000000000817</v>
      </c>
      <c r="AA34" s="15"/>
      <c r="AB34" s="7">
        <f t="shared" si="16"/>
        <v>11735000.000000725</v>
      </c>
      <c r="AC34" s="8">
        <f t="shared" si="16"/>
        <v>11.735000000000724</v>
      </c>
      <c r="AD34" s="8">
        <f t="shared" si="16"/>
        <v>36.026450000002228</v>
      </c>
      <c r="AF34" s="8">
        <f t="shared" si="18"/>
        <v>-8.8817841970012523E-16</v>
      </c>
    </row>
    <row r="35" spans="1:32" ht="13.8" thickBot="1" x14ac:dyDescent="0.3">
      <c r="A35" s="27">
        <v>38442</v>
      </c>
      <c r="B35" s="7">
        <f>'[5]Mar Prod'!I34</f>
        <v>8000000</v>
      </c>
      <c r="C35" s="8">
        <f t="shared" si="1"/>
        <v>8</v>
      </c>
      <c r="D35" s="10">
        <f t="shared" si="0"/>
        <v>24.56</v>
      </c>
      <c r="E35" s="7">
        <f>'[5]Mar Prod'!E34</f>
        <v>9000000</v>
      </c>
      <c r="F35" s="8">
        <f t="shared" si="2"/>
        <v>9</v>
      </c>
      <c r="G35" s="10">
        <f t="shared" si="3"/>
        <v>27.63</v>
      </c>
      <c r="H35" s="7">
        <f>'[5]Mar Prod'!F34</f>
        <v>0</v>
      </c>
      <c r="I35" s="8">
        <f t="shared" si="4"/>
        <v>0</v>
      </c>
      <c r="J35" s="10">
        <f t="shared" si="5"/>
        <v>0</v>
      </c>
      <c r="K35" s="7">
        <f>'[5]Mar Prod'!H289</f>
        <v>1096445</v>
      </c>
      <c r="L35" s="8">
        <f t="shared" si="6"/>
        <v>1.0964449999999999</v>
      </c>
      <c r="M35" s="10">
        <f t="shared" si="7"/>
        <v>3.3660861499999997</v>
      </c>
      <c r="N35" s="21"/>
      <c r="O35" s="7">
        <f>'[5]Mar Prod'!H34</f>
        <v>2184000</v>
      </c>
      <c r="P35" s="8">
        <f t="shared" si="8"/>
        <v>2.1840000000000002</v>
      </c>
      <c r="Q35" s="10">
        <f t="shared" si="9"/>
        <v>6.7048800000000002</v>
      </c>
      <c r="R35" s="7">
        <f>'[5]Mar Prod'!C34</f>
        <v>2184000</v>
      </c>
      <c r="S35" s="8">
        <f t="shared" si="10"/>
        <v>2.1840000000000002</v>
      </c>
      <c r="T35" s="10">
        <f t="shared" si="11"/>
        <v>6.7048800000000002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10184000</v>
      </c>
      <c r="AC35" s="8">
        <f t="shared" si="16"/>
        <v>10.184000000000001</v>
      </c>
      <c r="AD35" s="8">
        <f t="shared" si="16"/>
        <v>31.264879999999998</v>
      </c>
      <c r="AF35" s="8">
        <f t="shared" si="18"/>
        <v>0</v>
      </c>
    </row>
    <row r="36" spans="1:32" ht="13.8" thickBot="1" x14ac:dyDescent="0.3">
      <c r="A36" s="14"/>
      <c r="B36" s="38"/>
      <c r="C36" s="39">
        <f>SUM(C5:C35)</f>
        <v>57.200000000000728</v>
      </c>
      <c r="D36" s="39">
        <f t="shared" ref="D36:J36" si="19">SUM(D5:D35)</f>
        <v>175.60400000000223</v>
      </c>
      <c r="E36" s="38"/>
      <c r="F36" s="39">
        <f t="shared" si="19"/>
        <v>81</v>
      </c>
      <c r="G36" s="39">
        <f t="shared" si="19"/>
        <v>248.67</v>
      </c>
      <c r="H36" s="38"/>
      <c r="I36" s="39">
        <f t="shared" si="19"/>
        <v>0</v>
      </c>
      <c r="J36" s="39">
        <f t="shared" si="19"/>
        <v>0</v>
      </c>
      <c r="K36" s="38"/>
      <c r="L36" s="39">
        <f>SUM(L5:L35)</f>
        <v>11.076521999999997</v>
      </c>
      <c r="M36" s="39">
        <f>SUM(M5:M35)</f>
        <v>34.004922539999995</v>
      </c>
      <c r="N36" s="14"/>
      <c r="O36" s="38"/>
      <c r="P36" s="39">
        <f>SUM(P5:P35)</f>
        <v>319.49599999999998</v>
      </c>
      <c r="Q36" s="39">
        <f>SUM(Q5:Q35)</f>
        <v>980.85272000000009</v>
      </c>
      <c r="R36" s="38"/>
      <c r="S36" s="39">
        <f>SUM(S5:S35)</f>
        <v>327.35800000000006</v>
      </c>
      <c r="T36" s="39">
        <f>SUM(T5:T35)</f>
        <v>1004.9890599999999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7.8620000000000019</v>
      </c>
      <c r="Z36" s="39">
        <f>SUM(Z5:Z35)</f>
        <v>24.136340000000001</v>
      </c>
      <c r="AA36" s="14"/>
      <c r="AB36" s="38"/>
      <c r="AC36" s="39">
        <f>SUM(AC5:AC35)</f>
        <v>376.69600000000065</v>
      </c>
      <c r="AD36" s="39">
        <f>AC36*3.07</f>
        <v>1156.456720000002</v>
      </c>
      <c r="AF36" s="39">
        <f>SUM(AF5:AF35)</f>
        <v>2.425837308805967E-14</v>
      </c>
    </row>
    <row r="37" spans="1:32" x14ac:dyDescent="0.2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B8" activePane="bottomRight" state="frozen"/>
      <selection activeCell="D6" sqref="D5:D6"/>
      <selection pane="topRight" activeCell="D6" sqref="D5:D6"/>
      <selection pane="bottomLeft" activeCell="D6" sqref="D5:D6"/>
      <selection pane="bottomRight" activeCell="G34" sqref="G5:G34"/>
    </sheetView>
  </sheetViews>
  <sheetFormatPr defaultRowHeight="13.2" x14ac:dyDescent="0.25"/>
  <cols>
    <col min="2" max="2" width="13.33203125" customWidth="1"/>
    <col min="5" max="5" width="13.109375" customWidth="1"/>
    <col min="8" max="8" width="15.109375" customWidth="1"/>
    <col min="11" max="11" width="10.33203125" customWidth="1"/>
    <col min="12" max="12" width="11.6640625" bestFit="1" customWidth="1"/>
    <col min="15" max="15" width="10.6640625" customWidth="1"/>
    <col min="18" max="18" width="10.6640625" customWidth="1"/>
    <col min="21" max="21" width="10.44140625" customWidth="1"/>
    <col min="22" max="22" width="10.88671875" customWidth="1"/>
    <col min="24" max="24" width="12.109375" customWidth="1"/>
    <col min="28" max="28" width="13.109375" customWidth="1"/>
  </cols>
  <sheetData>
    <row r="1" spans="1:30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27">
        <v>38443</v>
      </c>
      <c r="B5" s="7">
        <f>'[6]Apr Prod'!I4</f>
        <v>10500000</v>
      </c>
      <c r="C5" s="8">
        <f>B5/1000000</f>
        <v>10.5</v>
      </c>
      <c r="D5" s="10">
        <f>C5*3.07</f>
        <v>32.234999999999999</v>
      </c>
      <c r="E5" s="7">
        <f>'[6]Apr Prod'!E4</f>
        <v>11000000</v>
      </c>
      <c r="F5" s="8">
        <f>E5/1000000</f>
        <v>11</v>
      </c>
      <c r="G5" s="10">
        <f>F5*3.07</f>
        <v>33.769999999999996</v>
      </c>
      <c r="H5" s="7">
        <f>'[6]Apr Prod'!F4</f>
        <v>0</v>
      </c>
      <c r="I5" s="8">
        <f t="shared" ref="I5:I34" si="0">H5/1000000</f>
        <v>0</v>
      </c>
      <c r="J5" s="10">
        <f>I5*3.07</f>
        <v>0</v>
      </c>
      <c r="K5" s="7">
        <f>'[6]Apr Prod'!H252</f>
        <v>1307812</v>
      </c>
      <c r="L5" s="8">
        <f>K5/1000000</f>
        <v>1.307812</v>
      </c>
      <c r="M5" s="10">
        <f>L5*3.07</f>
        <v>4.0149828400000001</v>
      </c>
      <c r="N5" s="21"/>
      <c r="O5" s="7">
        <f>'[6]Apr Prod'!H4</f>
        <v>0</v>
      </c>
      <c r="P5" s="8">
        <f>O5/1000000</f>
        <v>0</v>
      </c>
      <c r="Q5" s="10">
        <f>P5*3.07</f>
        <v>0</v>
      </c>
      <c r="R5" s="7">
        <f>'[6]Apr Prod'!C4</f>
        <v>0</v>
      </c>
      <c r="S5" s="8">
        <f>R5/1000000</f>
        <v>0</v>
      </c>
      <c r="T5" s="10">
        <f>S5*3.07</f>
        <v>0</v>
      </c>
      <c r="U5" s="7">
        <f>'[6]Apr Prod'!D4</f>
        <v>0</v>
      </c>
      <c r="V5" s="8">
        <f>U5/1000000</f>
        <v>0</v>
      </c>
      <c r="W5" s="10">
        <f>V5*3.07</f>
        <v>0</v>
      </c>
      <c r="X5" s="7">
        <f>'[6]Apr Prod'!D252</f>
        <v>0</v>
      </c>
      <c r="Y5" s="8">
        <f>X5/1000000</f>
        <v>0</v>
      </c>
      <c r="Z5" s="10">
        <f>Y5*3.07</f>
        <v>0</v>
      </c>
      <c r="AA5" s="15"/>
      <c r="AB5" s="7">
        <f>B5+O5</f>
        <v>10500000</v>
      </c>
      <c r="AC5" s="8">
        <f>C5+P5</f>
        <v>10.5</v>
      </c>
      <c r="AD5" s="8">
        <f>D5+Q5</f>
        <v>32.234999999999999</v>
      </c>
    </row>
    <row r="6" spans="1:30" x14ac:dyDescent="0.25">
      <c r="A6" s="27">
        <v>38444</v>
      </c>
      <c r="B6" s="7">
        <f>'[6]Apr Prod'!I5</f>
        <v>11200000.000000728</v>
      </c>
      <c r="C6" s="8">
        <f t="shared" ref="C6:C34" si="1">B6/1000000</f>
        <v>11.200000000000728</v>
      </c>
      <c r="D6" s="10">
        <f t="shared" ref="D6:D34" si="2">C6*3.07</f>
        <v>34.384000000002231</v>
      </c>
      <c r="E6" s="7">
        <f>'[6]Apr Prod'!E5</f>
        <v>14000000</v>
      </c>
      <c r="F6" s="8">
        <f t="shared" ref="F6:F34" si="3">E6/1000000</f>
        <v>14</v>
      </c>
      <c r="G6" s="10">
        <f t="shared" ref="G6:G34" si="4">F6*3.07</f>
        <v>42.98</v>
      </c>
      <c r="H6" s="7">
        <f>'[6]Apr Prod'!F5</f>
        <v>0</v>
      </c>
      <c r="I6" s="8">
        <f t="shared" si="0"/>
        <v>0</v>
      </c>
      <c r="J6" s="10">
        <f t="shared" ref="J6:J34" si="5">I6*3.07</f>
        <v>0</v>
      </c>
      <c r="K6" s="7">
        <f>'[6]Apr Prod'!H253</f>
        <v>1108394</v>
      </c>
      <c r="L6" s="8">
        <f t="shared" ref="L6:L34" si="6">K6/1000000</f>
        <v>1.1083940000000001</v>
      </c>
      <c r="M6" s="10">
        <f t="shared" ref="M6:M34" si="7">L6*3.07</f>
        <v>3.4027695800000002</v>
      </c>
      <c r="N6" s="21"/>
      <c r="O6" s="7">
        <f>'[6]Apr Prod'!H5</f>
        <v>0</v>
      </c>
      <c r="P6" s="8">
        <f t="shared" ref="P6:P34" si="8">O6/1000000</f>
        <v>0</v>
      </c>
      <c r="Q6" s="10">
        <f t="shared" ref="Q6:Q34" si="9">P6*3.07</f>
        <v>0</v>
      </c>
      <c r="R6" s="7">
        <f>'[6]Apr Prod'!C5</f>
        <v>0</v>
      </c>
      <c r="S6" s="8">
        <f t="shared" ref="S6:S34" si="10">R6/1000000</f>
        <v>0</v>
      </c>
      <c r="T6" s="10">
        <f t="shared" ref="T6:T34" si="11">S6*3.07</f>
        <v>0</v>
      </c>
      <c r="U6" s="7">
        <f>'[6]Apr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 Prod'!D253</f>
        <v>0</v>
      </c>
      <c r="Y6" s="8">
        <f t="shared" ref="Y6:Y34" si="14">X6/1000000</f>
        <v>0</v>
      </c>
      <c r="Z6" s="10">
        <f t="shared" ref="Z6:Z34" si="15">Y6*3.07</f>
        <v>0</v>
      </c>
      <c r="AA6" s="15"/>
      <c r="AB6" s="7">
        <f t="shared" ref="AB6:AD35" si="16">B6+O6</f>
        <v>11200000.000000728</v>
      </c>
      <c r="AC6" s="8">
        <f t="shared" si="16"/>
        <v>11.200000000000728</v>
      </c>
      <c r="AD6" s="8">
        <f t="shared" si="16"/>
        <v>34.384000000002231</v>
      </c>
    </row>
    <row r="7" spans="1:30" x14ac:dyDescent="0.25">
      <c r="A7" s="27">
        <v>38445</v>
      </c>
      <c r="B7" s="7">
        <f>'[6]Apr Prod'!I6</f>
        <v>12400000.000001455</v>
      </c>
      <c r="C7" s="8">
        <f t="shared" si="1"/>
        <v>12.400000000001455</v>
      </c>
      <c r="D7" s="10">
        <f t="shared" si="2"/>
        <v>38.068000000004467</v>
      </c>
      <c r="E7" s="7">
        <f>'[6]Apr Prod'!E6</f>
        <v>13000000</v>
      </c>
      <c r="F7" s="8">
        <f t="shared" si="3"/>
        <v>13</v>
      </c>
      <c r="G7" s="10">
        <f t="shared" si="4"/>
        <v>39.909999999999997</v>
      </c>
      <c r="H7" s="7">
        <f>'[6]Apr Prod'!F6</f>
        <v>0</v>
      </c>
      <c r="I7" s="8">
        <f t="shared" si="0"/>
        <v>0</v>
      </c>
      <c r="J7" s="10">
        <f t="shared" si="5"/>
        <v>0</v>
      </c>
      <c r="K7" s="7">
        <f>'[6]Apr Prod'!H254</f>
        <v>1494839</v>
      </c>
      <c r="L7" s="8">
        <f t="shared" si="6"/>
        <v>1.494839</v>
      </c>
      <c r="M7" s="10">
        <f t="shared" si="7"/>
        <v>4.5891557299999999</v>
      </c>
      <c r="N7" s="21"/>
      <c r="O7" s="7">
        <f>'[6]Apr Prod'!H6</f>
        <v>0</v>
      </c>
      <c r="P7" s="8">
        <f t="shared" si="8"/>
        <v>0</v>
      </c>
      <c r="Q7" s="10">
        <f t="shared" si="9"/>
        <v>0</v>
      </c>
      <c r="R7" s="7">
        <f>'[6]Apr Prod'!C6</f>
        <v>0</v>
      </c>
      <c r="S7" s="8">
        <f t="shared" si="10"/>
        <v>0</v>
      </c>
      <c r="T7" s="10">
        <f t="shared" si="11"/>
        <v>0</v>
      </c>
      <c r="U7" s="7">
        <f>'[6]Apr Prod'!D6</f>
        <v>0</v>
      </c>
      <c r="V7" s="8">
        <f t="shared" si="12"/>
        <v>0</v>
      </c>
      <c r="W7" s="10">
        <f t="shared" si="13"/>
        <v>0</v>
      </c>
      <c r="X7" s="7">
        <f>'[6]Apr Prod'!D254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12400000.000001455</v>
      </c>
      <c r="AC7" s="8">
        <f t="shared" si="16"/>
        <v>12.400000000001455</v>
      </c>
      <c r="AD7" s="8">
        <f t="shared" si="16"/>
        <v>38.068000000004467</v>
      </c>
    </row>
    <row r="8" spans="1:30" x14ac:dyDescent="0.25">
      <c r="A8" s="27">
        <v>38446</v>
      </c>
      <c r="B8" s="7">
        <f>'[6]Apr Prod'!I7</f>
        <v>11699999.999997091</v>
      </c>
      <c r="C8" s="8">
        <f t="shared" si="1"/>
        <v>11.699999999997091</v>
      </c>
      <c r="D8" s="10">
        <f t="shared" si="2"/>
        <v>35.918999999991065</v>
      </c>
      <c r="E8" s="7">
        <f>'[6]Apr Prod'!E7</f>
        <v>15000000</v>
      </c>
      <c r="F8" s="8">
        <f t="shared" si="3"/>
        <v>15</v>
      </c>
      <c r="G8" s="10">
        <f t="shared" si="4"/>
        <v>46.05</v>
      </c>
      <c r="H8" s="7">
        <f>'[6]Apr Prod'!F7</f>
        <v>0</v>
      </c>
      <c r="I8" s="8">
        <f t="shared" si="0"/>
        <v>0</v>
      </c>
      <c r="J8" s="10">
        <f t="shared" si="5"/>
        <v>0</v>
      </c>
      <c r="K8" s="7">
        <f>'[6]Apr Prod'!H255</f>
        <v>1559244</v>
      </c>
      <c r="L8" s="8">
        <f t="shared" si="6"/>
        <v>1.5592440000000001</v>
      </c>
      <c r="M8" s="10">
        <f t="shared" si="7"/>
        <v>4.7868790800000003</v>
      </c>
      <c r="N8" s="21"/>
      <c r="O8" s="7">
        <f>'[6]Apr Prod'!H7</f>
        <v>0</v>
      </c>
      <c r="P8" s="8">
        <f t="shared" si="8"/>
        <v>0</v>
      </c>
      <c r="Q8" s="10">
        <f t="shared" si="9"/>
        <v>0</v>
      </c>
      <c r="R8" s="7">
        <f>'[6]Apr Prod'!C7</f>
        <v>0</v>
      </c>
      <c r="S8" s="8">
        <f t="shared" ref="S8:S16" si="17">R8/1000000</f>
        <v>0</v>
      </c>
      <c r="T8" s="10">
        <f t="shared" ref="T8:T16" si="18">S8*3.07</f>
        <v>0</v>
      </c>
      <c r="U8" s="7">
        <f>'[6]Apr Prod'!D7</f>
        <v>0</v>
      </c>
      <c r="V8" s="8">
        <f t="shared" si="12"/>
        <v>0</v>
      </c>
      <c r="W8" s="10">
        <f t="shared" si="13"/>
        <v>0</v>
      </c>
      <c r="X8" s="7">
        <f>'[6]Apr Prod'!D255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11699999.999997091</v>
      </c>
      <c r="AC8" s="8">
        <f t="shared" si="16"/>
        <v>11.699999999997091</v>
      </c>
      <c r="AD8" s="8">
        <f>D8+Q8</f>
        <v>35.918999999991065</v>
      </c>
    </row>
    <row r="9" spans="1:30" x14ac:dyDescent="0.25">
      <c r="A9" s="27">
        <v>38447</v>
      </c>
      <c r="B9" s="7">
        <f>'[6]Apr Prod'!I8</f>
        <v>13900000.000001455</v>
      </c>
      <c r="C9" s="8">
        <f t="shared" si="1"/>
        <v>13.900000000001455</v>
      </c>
      <c r="D9" s="10">
        <f t="shared" si="2"/>
        <v>42.673000000004464</v>
      </c>
      <c r="E9" s="7">
        <f>'[6]Apr Prod'!E8</f>
        <v>16000000</v>
      </c>
      <c r="F9" s="8">
        <f t="shared" si="3"/>
        <v>16</v>
      </c>
      <c r="G9" s="10">
        <f t="shared" si="4"/>
        <v>49.12</v>
      </c>
      <c r="H9" s="7">
        <f>'[6]Apr Prod'!F8</f>
        <v>0</v>
      </c>
      <c r="I9" s="8">
        <f t="shared" si="0"/>
        <v>0</v>
      </c>
      <c r="J9" s="10">
        <f t="shared" si="5"/>
        <v>0</v>
      </c>
      <c r="K9" s="7">
        <f>'[6]Apr Prod'!H256</f>
        <v>1812587</v>
      </c>
      <c r="L9" s="8">
        <f t="shared" si="6"/>
        <v>1.8125869999999999</v>
      </c>
      <c r="M9" s="10">
        <f t="shared" si="7"/>
        <v>5.5646420899999995</v>
      </c>
      <c r="N9" s="21"/>
      <c r="O9" s="7">
        <f>'[6]Apr Prod'!H8</f>
        <v>0</v>
      </c>
      <c r="P9" s="8">
        <f t="shared" ref="P9:P13" si="19">O9/1000000</f>
        <v>0</v>
      </c>
      <c r="Q9" s="10">
        <f t="shared" ref="Q9:Q13" si="20">P9*3.07</f>
        <v>0</v>
      </c>
      <c r="R9" s="7">
        <f>'[6]Apr Prod'!C8</f>
        <v>0</v>
      </c>
      <c r="S9" s="8">
        <f t="shared" si="17"/>
        <v>0</v>
      </c>
      <c r="T9" s="10">
        <f t="shared" si="18"/>
        <v>0</v>
      </c>
      <c r="U9" s="7">
        <f>'[6]Apr Prod'!D8</f>
        <v>0</v>
      </c>
      <c r="V9" s="8">
        <f t="shared" si="12"/>
        <v>0</v>
      </c>
      <c r="W9" s="10">
        <f t="shared" si="13"/>
        <v>0</v>
      </c>
      <c r="X9" s="7">
        <f>'[6]Apr Prod'!D256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13900000.000001455</v>
      </c>
      <c r="AC9" s="8">
        <f t="shared" si="16"/>
        <v>13.900000000001455</v>
      </c>
      <c r="AD9" s="8">
        <f t="shared" si="16"/>
        <v>42.673000000004464</v>
      </c>
    </row>
    <row r="10" spans="1:30" x14ac:dyDescent="0.25">
      <c r="A10" s="27">
        <v>38448</v>
      </c>
      <c r="B10" s="7">
        <f>'[6]Apr Prod'!I9</f>
        <v>11099999.999998545</v>
      </c>
      <c r="C10" s="8">
        <f t="shared" si="1"/>
        <v>11.099999999998545</v>
      </c>
      <c r="D10" s="10">
        <f t="shared" si="2"/>
        <v>34.076999999995529</v>
      </c>
      <c r="E10" s="7">
        <f>'[6]Apr Prod'!E9</f>
        <v>13000000</v>
      </c>
      <c r="F10" s="8">
        <f t="shared" si="3"/>
        <v>13</v>
      </c>
      <c r="G10" s="10">
        <f t="shared" si="4"/>
        <v>39.909999999999997</v>
      </c>
      <c r="H10" s="7">
        <f>'[6]Apr Prod'!F9</f>
        <v>0</v>
      </c>
      <c r="I10" s="8">
        <f t="shared" si="0"/>
        <v>0</v>
      </c>
      <c r="J10" s="10">
        <f t="shared" si="5"/>
        <v>0</v>
      </c>
      <c r="K10" s="7">
        <f>'[6]Apr Prod'!H257</f>
        <v>1451981</v>
      </c>
      <c r="L10" s="8">
        <f t="shared" si="6"/>
        <v>1.451981</v>
      </c>
      <c r="M10" s="10">
        <f t="shared" si="7"/>
        <v>4.4575816699999997</v>
      </c>
      <c r="N10" s="21"/>
      <c r="O10" s="7">
        <f>'[6]Apr Prod'!H9</f>
        <v>0</v>
      </c>
      <c r="P10" s="8">
        <f t="shared" si="19"/>
        <v>0</v>
      </c>
      <c r="Q10" s="10">
        <f t="shared" si="20"/>
        <v>0</v>
      </c>
      <c r="R10" s="7">
        <f>'[6]Apr Prod'!C9</f>
        <v>0</v>
      </c>
      <c r="S10" s="8">
        <f t="shared" si="17"/>
        <v>0</v>
      </c>
      <c r="T10" s="10">
        <f t="shared" si="18"/>
        <v>0</v>
      </c>
      <c r="U10" s="7">
        <f>'[6]Apr Prod'!D9</f>
        <v>0</v>
      </c>
      <c r="V10" s="8">
        <f t="shared" si="12"/>
        <v>0</v>
      </c>
      <c r="W10" s="10">
        <f t="shared" si="13"/>
        <v>0</v>
      </c>
      <c r="X10" s="7">
        <f>'[6]Apr Prod'!D257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11099999.999998545</v>
      </c>
      <c r="AC10" s="8">
        <f t="shared" si="16"/>
        <v>11.099999999998545</v>
      </c>
      <c r="AD10" s="8">
        <f t="shared" si="16"/>
        <v>34.076999999995529</v>
      </c>
    </row>
    <row r="11" spans="1:30" x14ac:dyDescent="0.25">
      <c r="A11" s="27">
        <v>38449</v>
      </c>
      <c r="B11" s="7">
        <f>'[6]Apr Prod'!I10</f>
        <v>13000000</v>
      </c>
      <c r="C11" s="8">
        <f t="shared" si="1"/>
        <v>13</v>
      </c>
      <c r="D11" s="10">
        <f t="shared" si="2"/>
        <v>39.909999999999997</v>
      </c>
      <c r="E11" s="7">
        <f>'[6]Apr Prod'!E10</f>
        <v>10000000</v>
      </c>
      <c r="F11" s="8">
        <f t="shared" si="3"/>
        <v>10</v>
      </c>
      <c r="G11" s="10">
        <f t="shared" si="4"/>
        <v>30.7</v>
      </c>
      <c r="H11" s="7">
        <f>'[6]Apr Prod'!F10</f>
        <v>0</v>
      </c>
      <c r="I11" s="8">
        <f t="shared" si="0"/>
        <v>0</v>
      </c>
      <c r="J11" s="10">
        <f t="shared" si="5"/>
        <v>0</v>
      </c>
      <c r="K11" s="7">
        <f>'[6]Apr Prod'!H258</f>
        <v>1216141</v>
      </c>
      <c r="L11" s="8">
        <f t="shared" ref="L11:L12" si="21">K11/1000000</f>
        <v>1.2161409999999999</v>
      </c>
      <c r="M11" s="10">
        <f t="shared" ref="M11:M12" si="22">L11*3.07</f>
        <v>3.7335528699999996</v>
      </c>
      <c r="N11" s="21"/>
      <c r="O11" s="7">
        <f>'[6]Apr Prod'!H10</f>
        <v>0</v>
      </c>
      <c r="P11" s="8">
        <f t="shared" si="19"/>
        <v>0</v>
      </c>
      <c r="Q11" s="10">
        <f t="shared" si="20"/>
        <v>0</v>
      </c>
      <c r="R11" s="7">
        <f>'[6]Apr Prod'!C10</f>
        <v>0</v>
      </c>
      <c r="S11" s="8">
        <f t="shared" si="17"/>
        <v>0</v>
      </c>
      <c r="T11" s="10">
        <f t="shared" si="18"/>
        <v>0</v>
      </c>
      <c r="U11" s="7">
        <f>'[6]Apr Prod'!D10</f>
        <v>0</v>
      </c>
      <c r="V11" s="8">
        <f t="shared" si="12"/>
        <v>0</v>
      </c>
      <c r="W11" s="10">
        <f t="shared" si="13"/>
        <v>0</v>
      </c>
      <c r="X11" s="7">
        <f>'[6]Apr Prod'!D258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13000000</v>
      </c>
      <c r="AC11" s="8">
        <f t="shared" si="16"/>
        <v>13</v>
      </c>
      <c r="AD11" s="8">
        <f t="shared" si="16"/>
        <v>39.909999999999997</v>
      </c>
    </row>
    <row r="12" spans="1:30" x14ac:dyDescent="0.25">
      <c r="A12" s="27">
        <v>38450</v>
      </c>
      <c r="B12" s="7">
        <f>'[6]Apr Prod'!I11</f>
        <v>12900000.000001455</v>
      </c>
      <c r="C12" s="8">
        <f t="shared" si="1"/>
        <v>12.900000000001455</v>
      </c>
      <c r="D12" s="10">
        <f t="shared" si="2"/>
        <v>39.603000000004464</v>
      </c>
      <c r="E12" s="7">
        <f>'[6]Apr Prod'!E11</f>
        <v>15000000</v>
      </c>
      <c r="F12" s="8">
        <f t="shared" si="3"/>
        <v>15</v>
      </c>
      <c r="G12" s="10">
        <f t="shared" si="4"/>
        <v>46.05</v>
      </c>
      <c r="H12" s="7">
        <f>'[6]Apr Prod'!F11</f>
        <v>0</v>
      </c>
      <c r="I12" s="8">
        <f t="shared" si="0"/>
        <v>0</v>
      </c>
      <c r="J12" s="10">
        <f t="shared" si="5"/>
        <v>0</v>
      </c>
      <c r="K12" s="7">
        <f>'[6]Apr Prod'!H259</f>
        <v>1424615</v>
      </c>
      <c r="L12" s="8">
        <f t="shared" si="21"/>
        <v>1.424615</v>
      </c>
      <c r="M12" s="10">
        <f t="shared" si="22"/>
        <v>4.3735680499999994</v>
      </c>
      <c r="N12" s="21"/>
      <c r="O12" s="7">
        <f>'[6]Apr Prod'!H11</f>
        <v>0</v>
      </c>
      <c r="P12" s="8">
        <f t="shared" si="19"/>
        <v>0</v>
      </c>
      <c r="Q12" s="10">
        <f t="shared" si="20"/>
        <v>0</v>
      </c>
      <c r="R12" s="7">
        <f>'[6]Apr Prod'!C11</f>
        <v>0</v>
      </c>
      <c r="S12" s="8">
        <f t="shared" si="17"/>
        <v>0</v>
      </c>
      <c r="T12" s="10">
        <f t="shared" si="18"/>
        <v>0</v>
      </c>
      <c r="U12" s="7">
        <f>'[6]Apr Prod'!D11</f>
        <v>0</v>
      </c>
      <c r="V12" s="8">
        <f t="shared" si="12"/>
        <v>0</v>
      </c>
      <c r="W12" s="10">
        <f t="shared" si="13"/>
        <v>0</v>
      </c>
      <c r="X12" s="7">
        <f>'[6]Apr Prod'!D259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12900000.000001455</v>
      </c>
      <c r="AC12" s="8">
        <f t="shared" si="16"/>
        <v>12.900000000001455</v>
      </c>
      <c r="AD12" s="8">
        <f t="shared" si="16"/>
        <v>39.603000000004464</v>
      </c>
    </row>
    <row r="13" spans="1:30" x14ac:dyDescent="0.25">
      <c r="A13" s="27">
        <v>38451</v>
      </c>
      <c r="B13" s="7">
        <f>'[6]Apr Prod'!I12</f>
        <v>16500000</v>
      </c>
      <c r="C13" s="8">
        <f t="shared" si="1"/>
        <v>16.5</v>
      </c>
      <c r="D13" s="10">
        <f t="shared" si="2"/>
        <v>50.654999999999994</v>
      </c>
      <c r="E13" s="7">
        <f>'[6]Apr Prod'!E12</f>
        <v>19000000</v>
      </c>
      <c r="F13" s="8">
        <f t="shared" si="3"/>
        <v>19</v>
      </c>
      <c r="G13" s="10">
        <f t="shared" si="4"/>
        <v>58.33</v>
      </c>
      <c r="H13" s="7">
        <f>'[6]Apr Prod'!F12</f>
        <v>0</v>
      </c>
      <c r="I13" s="8">
        <f t="shared" si="0"/>
        <v>0</v>
      </c>
      <c r="J13" s="10">
        <f t="shared" si="5"/>
        <v>0</v>
      </c>
      <c r="K13" s="7">
        <f>'[6]Apr Prod'!H260</f>
        <v>1525379</v>
      </c>
      <c r="L13" s="8">
        <f t="shared" si="6"/>
        <v>1.525379</v>
      </c>
      <c r="M13" s="10">
        <f t="shared" si="7"/>
        <v>4.6829135299999995</v>
      </c>
      <c r="N13" s="21"/>
      <c r="O13" s="7">
        <f>'[6]Apr Prod'!H12</f>
        <v>0</v>
      </c>
      <c r="P13" s="8">
        <f t="shared" si="19"/>
        <v>0</v>
      </c>
      <c r="Q13" s="10">
        <f t="shared" si="20"/>
        <v>0</v>
      </c>
      <c r="R13" s="7">
        <f>'[6]Apr Prod'!C12</f>
        <v>0</v>
      </c>
      <c r="S13" s="8">
        <f t="shared" si="17"/>
        <v>0</v>
      </c>
      <c r="T13" s="10">
        <f t="shared" si="18"/>
        <v>0</v>
      </c>
      <c r="U13" s="7">
        <f>'[6]Apr Prod'!D12</f>
        <v>0</v>
      </c>
      <c r="V13" s="8">
        <f t="shared" si="12"/>
        <v>0</v>
      </c>
      <c r="W13" s="10">
        <f t="shared" si="13"/>
        <v>0</v>
      </c>
      <c r="X13" s="7">
        <f>'[6]Apr Prod'!D260</f>
        <v>283000.00000000122</v>
      </c>
      <c r="Y13" s="8">
        <f t="shared" si="14"/>
        <v>0.2830000000000012</v>
      </c>
      <c r="Z13" s="10">
        <f t="shared" si="15"/>
        <v>0.86881000000000363</v>
      </c>
      <c r="AA13" s="15"/>
      <c r="AB13" s="7">
        <f t="shared" si="16"/>
        <v>16500000</v>
      </c>
      <c r="AC13" s="8">
        <f t="shared" si="16"/>
        <v>16.5</v>
      </c>
      <c r="AD13" s="8">
        <f t="shared" si="16"/>
        <v>50.654999999999994</v>
      </c>
    </row>
    <row r="14" spans="1:30" x14ac:dyDescent="0.25">
      <c r="A14" s="27">
        <v>38452</v>
      </c>
      <c r="B14" s="7">
        <f>'[6]Apr Prod'!I13</f>
        <v>13799999.999999272</v>
      </c>
      <c r="C14" s="8">
        <f t="shared" si="1"/>
        <v>13.799999999999272</v>
      </c>
      <c r="D14" s="10">
        <f t="shared" si="2"/>
        <v>42.365999999997761</v>
      </c>
      <c r="E14" s="7">
        <f>'[6]Apr Prod'!E13</f>
        <v>15000000</v>
      </c>
      <c r="F14" s="8">
        <f t="shared" si="3"/>
        <v>15</v>
      </c>
      <c r="G14" s="10">
        <f t="shared" si="4"/>
        <v>46.05</v>
      </c>
      <c r="H14" s="7">
        <f>'[6]Apr Prod'!F13</f>
        <v>0</v>
      </c>
      <c r="I14" s="8">
        <f t="shared" si="0"/>
        <v>0</v>
      </c>
      <c r="J14" s="10">
        <f t="shared" si="5"/>
        <v>0</v>
      </c>
      <c r="K14" s="7">
        <f>'[6]Apr Prod'!H261</f>
        <v>1208293</v>
      </c>
      <c r="L14" s="8">
        <f t="shared" si="6"/>
        <v>1.2082930000000001</v>
      </c>
      <c r="M14" s="10">
        <f t="shared" si="7"/>
        <v>3.7094595099999998</v>
      </c>
      <c r="N14" s="21"/>
      <c r="O14" s="7">
        <f>'[6]Apr Prod'!H13</f>
        <v>0</v>
      </c>
      <c r="P14" s="8">
        <f t="shared" si="8"/>
        <v>0</v>
      </c>
      <c r="Q14" s="10">
        <f t="shared" si="9"/>
        <v>0</v>
      </c>
      <c r="R14" s="7">
        <f>'[6]Apr Prod'!C13</f>
        <v>0</v>
      </c>
      <c r="S14" s="8">
        <f t="shared" si="17"/>
        <v>0</v>
      </c>
      <c r="T14" s="10">
        <f t="shared" si="18"/>
        <v>0</v>
      </c>
      <c r="U14" s="7">
        <f>'[6]Apr Prod'!D13</f>
        <v>0</v>
      </c>
      <c r="V14" s="8">
        <f t="shared" si="12"/>
        <v>0</v>
      </c>
      <c r="W14" s="10">
        <f t="shared" si="13"/>
        <v>0</v>
      </c>
      <c r="X14" s="7">
        <f>'[6]Apr Prod'!D261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13799999.999999272</v>
      </c>
      <c r="AC14" s="8">
        <f t="shared" si="16"/>
        <v>13.799999999999272</v>
      </c>
      <c r="AD14" s="8">
        <f t="shared" si="16"/>
        <v>42.365999999997761</v>
      </c>
    </row>
    <row r="15" spans="1:30" x14ac:dyDescent="0.25">
      <c r="A15" s="27">
        <v>38453</v>
      </c>
      <c r="B15" s="7">
        <f>'[6]Apr Prod'!I14</f>
        <v>14100000.000002183</v>
      </c>
      <c r="C15" s="8">
        <f t="shared" si="1"/>
        <v>14.100000000002183</v>
      </c>
      <c r="D15" s="10">
        <f t="shared" si="2"/>
        <v>43.287000000006699</v>
      </c>
      <c r="E15" s="7">
        <f>'[6]Apr Prod'!E14</f>
        <v>16000000</v>
      </c>
      <c r="F15" s="8">
        <f t="shared" si="3"/>
        <v>16</v>
      </c>
      <c r="G15" s="10">
        <f t="shared" si="4"/>
        <v>49.12</v>
      </c>
      <c r="H15" s="7">
        <f>'[6]Apr Prod'!F14</f>
        <v>0</v>
      </c>
      <c r="I15" s="8">
        <f t="shared" si="0"/>
        <v>0</v>
      </c>
      <c r="J15" s="10">
        <f t="shared" si="5"/>
        <v>0</v>
      </c>
      <c r="K15" s="7">
        <f>'[6]Apr Prod'!H262</f>
        <v>1305253</v>
      </c>
      <c r="L15" s="8">
        <f t="shared" si="6"/>
        <v>1.305253</v>
      </c>
      <c r="M15" s="10">
        <f t="shared" si="7"/>
        <v>4.0071267099999996</v>
      </c>
      <c r="N15" s="21"/>
      <c r="O15" s="7">
        <f>'[6]Apr Prod'!H14</f>
        <v>0</v>
      </c>
      <c r="P15" s="8">
        <f t="shared" si="8"/>
        <v>0</v>
      </c>
      <c r="Q15" s="10">
        <f t="shared" si="9"/>
        <v>0</v>
      </c>
      <c r="R15" s="7">
        <f>'[6]Apr Prod'!C14</f>
        <v>0</v>
      </c>
      <c r="S15" s="8">
        <f t="shared" si="17"/>
        <v>0</v>
      </c>
      <c r="T15" s="10">
        <f t="shared" si="18"/>
        <v>0</v>
      </c>
      <c r="U15" s="7">
        <f>'[6]Apr Prod'!D14</f>
        <v>0</v>
      </c>
      <c r="V15" s="8">
        <f t="shared" si="12"/>
        <v>0</v>
      </c>
      <c r="W15" s="10">
        <f t="shared" si="13"/>
        <v>0</v>
      </c>
      <c r="X15" s="7">
        <f>'[6]Apr Prod'!D262</f>
        <v>358999.99999999464</v>
      </c>
      <c r="Y15" s="8">
        <f t="shared" si="14"/>
        <v>0.35899999999999466</v>
      </c>
      <c r="Z15" s="10">
        <f t="shared" si="15"/>
        <v>1.1021299999999836</v>
      </c>
      <c r="AA15" s="15"/>
      <c r="AB15" s="7">
        <f t="shared" si="16"/>
        <v>14100000.000002183</v>
      </c>
      <c r="AC15" s="8">
        <f t="shared" si="16"/>
        <v>14.100000000002183</v>
      </c>
      <c r="AD15" s="8">
        <f t="shared" si="16"/>
        <v>43.287000000006699</v>
      </c>
    </row>
    <row r="16" spans="1:30" x14ac:dyDescent="0.25">
      <c r="A16" s="27">
        <v>38454</v>
      </c>
      <c r="B16" s="7">
        <f>'[6]Apr Prod'!I15</f>
        <v>11599999.999998545</v>
      </c>
      <c r="C16" s="8">
        <f t="shared" si="1"/>
        <v>11.599999999998545</v>
      </c>
      <c r="D16" s="10">
        <f t="shared" si="2"/>
        <v>35.611999999995533</v>
      </c>
      <c r="E16" s="7">
        <f>'[6]Apr Prod'!E15</f>
        <v>13000000</v>
      </c>
      <c r="F16" s="8">
        <f t="shared" si="3"/>
        <v>13</v>
      </c>
      <c r="G16" s="10">
        <f t="shared" si="4"/>
        <v>39.909999999999997</v>
      </c>
      <c r="H16" s="7">
        <f>'[6]Apr Prod'!F15</f>
        <v>0</v>
      </c>
      <c r="I16" s="8">
        <f t="shared" si="0"/>
        <v>0</v>
      </c>
      <c r="J16" s="10">
        <f t="shared" si="5"/>
        <v>0</v>
      </c>
      <c r="K16" s="7">
        <f>'[6]Apr Prod'!H263</f>
        <v>1096093</v>
      </c>
      <c r="L16" s="8">
        <f t="shared" si="6"/>
        <v>1.096093</v>
      </c>
      <c r="M16" s="10">
        <f t="shared" si="7"/>
        <v>3.3650055099999996</v>
      </c>
      <c r="N16" s="21"/>
      <c r="O16" s="7">
        <f>'[6]Apr Prod'!H15</f>
        <v>0</v>
      </c>
      <c r="P16" s="8">
        <f t="shared" si="8"/>
        <v>0</v>
      </c>
      <c r="Q16" s="10">
        <f t="shared" si="9"/>
        <v>0</v>
      </c>
      <c r="R16" s="7">
        <f>'[6]Apr Prod'!C15</f>
        <v>0</v>
      </c>
      <c r="S16" s="8">
        <f t="shared" si="17"/>
        <v>0</v>
      </c>
      <c r="T16" s="10">
        <f t="shared" si="18"/>
        <v>0</v>
      </c>
      <c r="U16" s="7">
        <f>'[6]Apr Prod'!D15</f>
        <v>0</v>
      </c>
      <c r="V16" s="8">
        <f t="shared" si="12"/>
        <v>0</v>
      </c>
      <c r="W16" s="10">
        <f t="shared" si="13"/>
        <v>0</v>
      </c>
      <c r="X16" s="7">
        <f>'[6]Apr Prod'!D263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11599999.999998545</v>
      </c>
      <c r="AC16" s="8">
        <f t="shared" si="16"/>
        <v>11.599999999998545</v>
      </c>
      <c r="AD16" s="8">
        <f t="shared" si="16"/>
        <v>35.611999999995533</v>
      </c>
    </row>
    <row r="17" spans="1:30" x14ac:dyDescent="0.25">
      <c r="A17" s="27">
        <v>38455</v>
      </c>
      <c r="B17" s="7">
        <f>'[6]Apr Prod'!I16</f>
        <v>11799999.999999272</v>
      </c>
      <c r="C17" s="8">
        <f t="shared" si="1"/>
        <v>11.799999999999272</v>
      </c>
      <c r="D17" s="10">
        <f t="shared" si="2"/>
        <v>36.225999999997761</v>
      </c>
      <c r="E17" s="7">
        <f>'[6]Apr Prod'!E16</f>
        <v>14000000</v>
      </c>
      <c r="F17" s="8">
        <f t="shared" si="3"/>
        <v>14</v>
      </c>
      <c r="G17" s="10">
        <f t="shared" si="4"/>
        <v>42.98</v>
      </c>
      <c r="H17" s="7">
        <f>'[6]Apr Prod'!F16</f>
        <v>0</v>
      </c>
      <c r="I17" s="8">
        <f t="shared" si="0"/>
        <v>0</v>
      </c>
      <c r="J17" s="10">
        <f t="shared" si="5"/>
        <v>0</v>
      </c>
      <c r="K17" s="7">
        <f>'[6]Apr Prod'!H264</f>
        <v>1181661</v>
      </c>
      <c r="L17" s="8">
        <f t="shared" si="6"/>
        <v>1.1816610000000001</v>
      </c>
      <c r="M17" s="10">
        <f t="shared" si="7"/>
        <v>3.6276992699999999</v>
      </c>
      <c r="N17" s="21"/>
      <c r="O17" s="7">
        <f>'[6]Apr Prod'!H16</f>
        <v>0</v>
      </c>
      <c r="P17" s="8">
        <f t="shared" si="8"/>
        <v>0</v>
      </c>
      <c r="Q17" s="10">
        <f t="shared" si="9"/>
        <v>0</v>
      </c>
      <c r="R17" s="7">
        <f>'[6]Apr Prod'!C16</f>
        <v>0</v>
      </c>
      <c r="S17" s="8">
        <f t="shared" si="10"/>
        <v>0</v>
      </c>
      <c r="T17" s="10">
        <f t="shared" si="11"/>
        <v>0</v>
      </c>
      <c r="U17" s="7">
        <f>'[6]Apr Prod'!D16</f>
        <v>0</v>
      </c>
      <c r="V17" s="8">
        <f t="shared" si="12"/>
        <v>0</v>
      </c>
      <c r="W17" s="10">
        <f t="shared" si="13"/>
        <v>0</v>
      </c>
      <c r="X17" s="7">
        <f>'[6]Apr Prod'!D264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11799999.999999272</v>
      </c>
      <c r="AC17" s="8">
        <f t="shared" si="16"/>
        <v>11.799999999999272</v>
      </c>
      <c r="AD17" s="8">
        <f t="shared" si="16"/>
        <v>36.225999999997761</v>
      </c>
    </row>
    <row r="18" spans="1:30" x14ac:dyDescent="0.25">
      <c r="A18" s="27">
        <v>38456</v>
      </c>
      <c r="B18" s="7">
        <f>'[6]Apr Prod'!I17</f>
        <v>14500000</v>
      </c>
      <c r="C18" s="8">
        <f t="shared" si="1"/>
        <v>14.5</v>
      </c>
      <c r="D18" s="10">
        <f t="shared" si="2"/>
        <v>44.515000000000001</v>
      </c>
      <c r="E18" s="7">
        <f>'[6]Apr Prod'!E17</f>
        <v>15000000</v>
      </c>
      <c r="F18" s="8">
        <f t="shared" si="3"/>
        <v>15</v>
      </c>
      <c r="G18" s="10">
        <f t="shared" si="4"/>
        <v>46.05</v>
      </c>
      <c r="H18" s="7">
        <f>'[6]Apr Prod'!F17</f>
        <v>0</v>
      </c>
      <c r="I18" s="8">
        <f t="shared" si="0"/>
        <v>0</v>
      </c>
      <c r="J18" s="10">
        <f t="shared" si="5"/>
        <v>0</v>
      </c>
      <c r="K18" s="7">
        <f>'[6]Apr Prod'!H265</f>
        <v>1356789</v>
      </c>
      <c r="L18" s="8">
        <f t="shared" si="6"/>
        <v>1.356789</v>
      </c>
      <c r="M18" s="10">
        <f t="shared" si="7"/>
        <v>4.1653422300000003</v>
      </c>
      <c r="N18" s="21"/>
      <c r="O18" s="7">
        <f>'[6]Apr Prod'!H17</f>
        <v>0</v>
      </c>
      <c r="P18" s="8">
        <f t="shared" si="8"/>
        <v>0</v>
      </c>
      <c r="Q18" s="10">
        <f t="shared" si="9"/>
        <v>0</v>
      </c>
      <c r="R18" s="7">
        <f>'[6]Apr Prod'!C17</f>
        <v>0</v>
      </c>
      <c r="S18" s="8">
        <f t="shared" si="10"/>
        <v>0</v>
      </c>
      <c r="T18" s="10">
        <f t="shared" si="11"/>
        <v>0</v>
      </c>
      <c r="U18" s="7">
        <f>'[6]Apr Prod'!D17</f>
        <v>0</v>
      </c>
      <c r="V18" s="8">
        <f t="shared" si="12"/>
        <v>0</v>
      </c>
      <c r="W18" s="10">
        <f t="shared" si="13"/>
        <v>0</v>
      </c>
      <c r="X18" s="7">
        <f>'[6]Apr Prod'!D265</f>
        <v>66000.000000002503</v>
      </c>
      <c r="Y18" s="8">
        <f t="shared" si="14"/>
        <v>6.6000000000002501E-2</v>
      </c>
      <c r="Z18" s="10">
        <f t="shared" si="15"/>
        <v>0.20262000000000766</v>
      </c>
      <c r="AA18" s="15"/>
      <c r="AB18" s="7">
        <f t="shared" si="16"/>
        <v>14500000</v>
      </c>
      <c r="AC18" s="8">
        <f t="shared" si="16"/>
        <v>14.5</v>
      </c>
      <c r="AD18" s="8">
        <f t="shared" si="16"/>
        <v>44.515000000000001</v>
      </c>
    </row>
    <row r="19" spans="1:30" x14ac:dyDescent="0.25">
      <c r="A19" s="27">
        <v>38457</v>
      </c>
      <c r="B19" s="7">
        <f>'[6]Apr Prod'!I18</f>
        <v>12500000</v>
      </c>
      <c r="C19" s="8">
        <f t="shared" si="1"/>
        <v>12.5</v>
      </c>
      <c r="D19" s="10">
        <f t="shared" si="2"/>
        <v>38.375</v>
      </c>
      <c r="E19" s="7">
        <f>'[6]Apr Prod'!E18</f>
        <v>14000000</v>
      </c>
      <c r="F19" s="8">
        <f t="shared" si="3"/>
        <v>14</v>
      </c>
      <c r="G19" s="10">
        <f t="shared" si="4"/>
        <v>42.98</v>
      </c>
      <c r="H19" s="7">
        <f>'[6]Apr Prod'!F18</f>
        <v>270000</v>
      </c>
      <c r="I19" s="8">
        <f t="shared" si="0"/>
        <v>0.27</v>
      </c>
      <c r="J19" s="10">
        <f t="shared" si="5"/>
        <v>0.82889999999999997</v>
      </c>
      <c r="K19" s="7">
        <f>'[6]Apr Prod'!H266</f>
        <v>1238273</v>
      </c>
      <c r="L19" s="8">
        <f t="shared" si="6"/>
        <v>1.238273</v>
      </c>
      <c r="M19" s="10">
        <f t="shared" si="7"/>
        <v>3.8014981099999998</v>
      </c>
      <c r="N19" s="21"/>
      <c r="O19" s="7">
        <f>'[6]Apr Prod'!H18</f>
        <v>0</v>
      </c>
      <c r="P19" s="8">
        <f t="shared" si="8"/>
        <v>0</v>
      </c>
      <c r="Q19" s="10">
        <f t="shared" si="9"/>
        <v>0</v>
      </c>
      <c r="R19" s="7">
        <f>'[6]Apr Prod'!C18</f>
        <v>0</v>
      </c>
      <c r="S19" s="8">
        <f t="shared" si="10"/>
        <v>0</v>
      </c>
      <c r="T19" s="10">
        <f t="shared" si="11"/>
        <v>0</v>
      </c>
      <c r="U19" s="7">
        <f>'[6]Apr Prod'!D18</f>
        <v>0</v>
      </c>
      <c r="V19" s="8">
        <f t="shared" si="12"/>
        <v>0</v>
      </c>
      <c r="W19" s="10">
        <f t="shared" si="13"/>
        <v>0</v>
      </c>
      <c r="X19" s="7">
        <f>'[6]Apr Prod'!D266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12500000</v>
      </c>
      <c r="AC19" s="8">
        <f t="shared" si="16"/>
        <v>12.5</v>
      </c>
      <c r="AD19" s="8">
        <f>D19+Q19</f>
        <v>38.375</v>
      </c>
    </row>
    <row r="20" spans="1:30" x14ac:dyDescent="0.25">
      <c r="A20" s="27">
        <v>38458</v>
      </c>
      <c r="B20" s="7">
        <f>'[6]Apr Prod'!I19</f>
        <v>10600000.000002183</v>
      </c>
      <c r="C20" s="8">
        <f t="shared" si="1"/>
        <v>10.600000000002183</v>
      </c>
      <c r="D20" s="10">
        <f t="shared" si="2"/>
        <v>32.542000000006702</v>
      </c>
      <c r="E20" s="7">
        <f>'[6]Apr Prod'!E19</f>
        <v>11000000</v>
      </c>
      <c r="F20" s="8">
        <f t="shared" si="3"/>
        <v>11</v>
      </c>
      <c r="G20" s="10">
        <f t="shared" si="4"/>
        <v>33.769999999999996</v>
      </c>
      <c r="H20" s="7">
        <f>'[6]Apr Prod'!F19</f>
        <v>0</v>
      </c>
      <c r="I20" s="8">
        <f t="shared" si="0"/>
        <v>0</v>
      </c>
      <c r="J20" s="10">
        <f t="shared" si="5"/>
        <v>0</v>
      </c>
      <c r="K20" s="7">
        <f>'[6]Apr Prod'!H267</f>
        <v>982096</v>
      </c>
      <c r="L20" s="8">
        <f t="shared" si="6"/>
        <v>0.98209599999999997</v>
      </c>
      <c r="M20" s="10">
        <f t="shared" si="7"/>
        <v>3.0150347199999996</v>
      </c>
      <c r="N20" s="21"/>
      <c r="O20" s="7">
        <f>'[6]Apr Prod'!H19</f>
        <v>0</v>
      </c>
      <c r="P20" s="8">
        <f t="shared" si="8"/>
        <v>0</v>
      </c>
      <c r="Q20" s="10">
        <f t="shared" si="9"/>
        <v>0</v>
      </c>
      <c r="R20" s="7">
        <f>'[6]Apr Prod'!C19</f>
        <v>0</v>
      </c>
      <c r="S20" s="8">
        <f t="shared" si="10"/>
        <v>0</v>
      </c>
      <c r="T20" s="10">
        <f t="shared" si="11"/>
        <v>0</v>
      </c>
      <c r="U20" s="7">
        <f>'[6]Apr Prod'!D19</f>
        <v>0</v>
      </c>
      <c r="V20" s="8">
        <f t="shared" si="12"/>
        <v>0</v>
      </c>
      <c r="W20" s="10">
        <f t="shared" si="13"/>
        <v>0</v>
      </c>
      <c r="X20" s="7">
        <f>'[6]Apr Prod'!D267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10600000.000002183</v>
      </c>
      <c r="AC20" s="8">
        <f t="shared" si="16"/>
        <v>10.600000000002183</v>
      </c>
      <c r="AD20" s="8">
        <f t="shared" si="16"/>
        <v>32.542000000006702</v>
      </c>
    </row>
    <row r="21" spans="1:30" x14ac:dyDescent="0.25">
      <c r="A21" s="27">
        <v>38459</v>
      </c>
      <c r="B21" s="7">
        <f>'[6]Apr Prod'!I20</f>
        <v>9899999.999997817</v>
      </c>
      <c r="C21" s="8">
        <f t="shared" si="1"/>
        <v>9.8999999999978172</v>
      </c>
      <c r="D21" s="10">
        <f t="shared" si="2"/>
        <v>30.392999999993297</v>
      </c>
      <c r="E21" s="7">
        <f>'[6]Apr Prod'!E20</f>
        <v>12000000</v>
      </c>
      <c r="F21" s="8">
        <f t="shared" si="3"/>
        <v>12</v>
      </c>
      <c r="G21" s="10">
        <f t="shared" si="4"/>
        <v>36.839999999999996</v>
      </c>
      <c r="H21" s="7">
        <f>'[6]Apr Prod'!F20</f>
        <v>0</v>
      </c>
      <c r="I21" s="8">
        <f t="shared" si="0"/>
        <v>0</v>
      </c>
      <c r="J21" s="10">
        <f t="shared" si="5"/>
        <v>0</v>
      </c>
      <c r="K21" s="7">
        <f>'[6]Apr Prod'!H268</f>
        <v>965059</v>
      </c>
      <c r="L21" s="8">
        <f t="shared" si="6"/>
        <v>0.965059</v>
      </c>
      <c r="M21" s="10">
        <f t="shared" si="7"/>
        <v>2.9627311299999999</v>
      </c>
      <c r="N21" s="21"/>
      <c r="O21" s="7">
        <f>'[6]Apr Prod'!H20</f>
        <v>0</v>
      </c>
      <c r="P21" s="8">
        <f t="shared" si="8"/>
        <v>0</v>
      </c>
      <c r="Q21" s="10">
        <f t="shared" si="9"/>
        <v>0</v>
      </c>
      <c r="R21" s="7">
        <f>'[6]Apr Prod'!C20</f>
        <v>0</v>
      </c>
      <c r="S21" s="8">
        <f t="shared" si="10"/>
        <v>0</v>
      </c>
      <c r="T21" s="10">
        <f t="shared" si="11"/>
        <v>0</v>
      </c>
      <c r="U21" s="7">
        <f>'[6]Apr Prod'!D20</f>
        <v>0</v>
      </c>
      <c r="V21" s="8">
        <f t="shared" si="12"/>
        <v>0</v>
      </c>
      <c r="W21" s="10">
        <f t="shared" si="13"/>
        <v>0</v>
      </c>
      <c r="X21" s="7">
        <f>'[6]Apr Prod'!D268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9899999.999997817</v>
      </c>
      <c r="AC21" s="8">
        <f t="shared" si="16"/>
        <v>9.8999999999978172</v>
      </c>
      <c r="AD21" s="8">
        <f t="shared" si="16"/>
        <v>30.392999999993297</v>
      </c>
    </row>
    <row r="22" spans="1:30" x14ac:dyDescent="0.25">
      <c r="A22" s="27">
        <v>38460</v>
      </c>
      <c r="B22" s="7">
        <f>'[6]Apr Prod'!I21</f>
        <v>13100000.000002183</v>
      </c>
      <c r="C22" s="8">
        <f t="shared" si="1"/>
        <v>13.100000000002183</v>
      </c>
      <c r="D22" s="10">
        <f t="shared" si="2"/>
        <v>40.217000000006699</v>
      </c>
      <c r="E22" s="7">
        <f>'[6]Apr Prod'!E21</f>
        <v>15000000</v>
      </c>
      <c r="F22" s="8">
        <f t="shared" si="3"/>
        <v>15</v>
      </c>
      <c r="G22" s="10">
        <f t="shared" si="4"/>
        <v>46.05</v>
      </c>
      <c r="H22" s="7">
        <f>'[6]Apr Prod'!F21</f>
        <v>0</v>
      </c>
      <c r="I22" s="8">
        <f t="shared" si="0"/>
        <v>0</v>
      </c>
      <c r="J22" s="10">
        <f t="shared" si="5"/>
        <v>0</v>
      </c>
      <c r="K22" s="7">
        <f>'[6]Apr Prod'!H269</f>
        <v>1318369</v>
      </c>
      <c r="L22" s="8">
        <f t="shared" si="6"/>
        <v>1.3183689999999999</v>
      </c>
      <c r="M22" s="10">
        <f t="shared" si="7"/>
        <v>4.0473928299999997</v>
      </c>
      <c r="N22" s="21"/>
      <c r="O22" s="7">
        <f>'[6]Apr Prod'!H21</f>
        <v>0</v>
      </c>
      <c r="P22" s="8">
        <f t="shared" si="8"/>
        <v>0</v>
      </c>
      <c r="Q22" s="10">
        <f t="shared" si="9"/>
        <v>0</v>
      </c>
      <c r="R22" s="7">
        <f>'[6]Apr Prod'!C21</f>
        <v>0</v>
      </c>
      <c r="S22" s="8">
        <f t="shared" si="10"/>
        <v>0</v>
      </c>
      <c r="T22" s="10">
        <f t="shared" si="11"/>
        <v>0</v>
      </c>
      <c r="U22" s="7">
        <f>'[6]Apr Prod'!D21</f>
        <v>0</v>
      </c>
      <c r="V22" s="8">
        <f t="shared" si="12"/>
        <v>0</v>
      </c>
      <c r="W22" s="10">
        <f t="shared" si="13"/>
        <v>0</v>
      </c>
      <c r="X22" s="7">
        <f>'[6]Apr Prod'!D269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13100000.000002183</v>
      </c>
      <c r="AC22" s="8">
        <f t="shared" si="16"/>
        <v>13.100000000002183</v>
      </c>
      <c r="AD22" s="8">
        <f t="shared" si="16"/>
        <v>40.217000000006699</v>
      </c>
    </row>
    <row r="23" spans="1:30" x14ac:dyDescent="0.25">
      <c r="A23" s="27">
        <v>38461</v>
      </c>
      <c r="B23" s="7">
        <f>'[6]Apr Prod'!I22</f>
        <v>11399999.999997817</v>
      </c>
      <c r="C23" s="8">
        <f t="shared" si="1"/>
        <v>11.399999999997817</v>
      </c>
      <c r="D23" s="10">
        <f t="shared" si="2"/>
        <v>34.997999999993297</v>
      </c>
      <c r="E23" s="7">
        <f>'[6]Apr Prod'!E22</f>
        <v>12000000</v>
      </c>
      <c r="F23" s="8">
        <f t="shared" si="3"/>
        <v>12</v>
      </c>
      <c r="G23" s="10">
        <f t="shared" si="4"/>
        <v>36.839999999999996</v>
      </c>
      <c r="H23" s="7">
        <f>'[6]Apr Prod'!F22</f>
        <v>0</v>
      </c>
      <c r="I23" s="8">
        <f t="shared" si="0"/>
        <v>0</v>
      </c>
      <c r="J23" s="10">
        <f t="shared" si="5"/>
        <v>0</v>
      </c>
      <c r="K23" s="7">
        <f>'[6]Apr Prod'!H270</f>
        <v>1052604</v>
      </c>
      <c r="L23" s="8">
        <f t="shared" si="6"/>
        <v>1.0526040000000001</v>
      </c>
      <c r="M23" s="10">
        <f t="shared" si="7"/>
        <v>3.2314942800000002</v>
      </c>
      <c r="N23" s="21"/>
      <c r="O23" s="7">
        <f>'[6]Apr Prod'!H22</f>
        <v>0</v>
      </c>
      <c r="P23" s="8">
        <f t="shared" si="8"/>
        <v>0</v>
      </c>
      <c r="Q23" s="10">
        <f t="shared" si="9"/>
        <v>0</v>
      </c>
      <c r="R23" s="7">
        <f>'[6]Apr Prod'!C22</f>
        <v>0</v>
      </c>
      <c r="S23" s="8">
        <f t="shared" si="10"/>
        <v>0</v>
      </c>
      <c r="T23" s="10">
        <f t="shared" si="11"/>
        <v>0</v>
      </c>
      <c r="U23" s="7">
        <f>'[6]Apr Prod'!D22</f>
        <v>0</v>
      </c>
      <c r="V23" s="8">
        <f t="shared" si="12"/>
        <v>0</v>
      </c>
      <c r="W23" s="10">
        <f t="shared" si="13"/>
        <v>0</v>
      </c>
      <c r="X23" s="7">
        <f>'[6]Apr Prod'!D270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11399999.999997817</v>
      </c>
      <c r="AC23" s="8">
        <f t="shared" si="16"/>
        <v>11.399999999997817</v>
      </c>
      <c r="AD23" s="8">
        <f t="shared" si="16"/>
        <v>34.997999999993297</v>
      </c>
    </row>
    <row r="24" spans="1:30" x14ac:dyDescent="0.25">
      <c r="A24" s="27">
        <v>38462</v>
      </c>
      <c r="B24" s="7">
        <f>'[6]Apr Prod'!I23</f>
        <v>10700000.000000728</v>
      </c>
      <c r="C24" s="8">
        <f t="shared" si="1"/>
        <v>10.700000000000728</v>
      </c>
      <c r="D24" s="10">
        <f t="shared" si="2"/>
        <v>32.849000000002235</v>
      </c>
      <c r="E24" s="7">
        <f>'[6]Apr Prod'!E23</f>
        <v>12000000</v>
      </c>
      <c r="F24" s="8">
        <f t="shared" si="3"/>
        <v>12</v>
      </c>
      <c r="G24" s="10">
        <f t="shared" si="4"/>
        <v>36.839999999999996</v>
      </c>
      <c r="H24" s="7">
        <f>'[6]Apr Prod'!F23</f>
        <v>200000</v>
      </c>
      <c r="I24" s="8">
        <f t="shared" si="0"/>
        <v>0.2</v>
      </c>
      <c r="J24" s="10">
        <f t="shared" si="5"/>
        <v>0.61399999999999999</v>
      </c>
      <c r="K24" s="7">
        <f>'[6]Apr Prod'!H271</f>
        <v>1107863</v>
      </c>
      <c r="L24" s="8">
        <f t="shared" si="6"/>
        <v>1.107863</v>
      </c>
      <c r="M24" s="10">
        <f t="shared" si="7"/>
        <v>3.4011394099999999</v>
      </c>
      <c r="N24" s="21"/>
      <c r="O24" s="7">
        <f>'[6]Apr Prod'!H23</f>
        <v>0</v>
      </c>
      <c r="P24" s="8">
        <f t="shared" si="8"/>
        <v>0</v>
      </c>
      <c r="Q24" s="10">
        <f t="shared" si="9"/>
        <v>0</v>
      </c>
      <c r="R24" s="7">
        <f>'[6]Apr Prod'!C23</f>
        <v>0</v>
      </c>
      <c r="S24" s="8">
        <f t="shared" si="10"/>
        <v>0</v>
      </c>
      <c r="T24" s="10">
        <f t="shared" si="11"/>
        <v>0</v>
      </c>
      <c r="U24" s="7">
        <f>'[6]Apr Prod'!D23</f>
        <v>0</v>
      </c>
      <c r="V24" s="8">
        <f t="shared" si="12"/>
        <v>0</v>
      </c>
      <c r="W24" s="10">
        <f t="shared" si="13"/>
        <v>0</v>
      </c>
      <c r="X24" s="7">
        <f>'[6]Apr Prod'!D271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10700000.000000728</v>
      </c>
      <c r="AC24" s="8">
        <f t="shared" si="16"/>
        <v>10.700000000000728</v>
      </c>
      <c r="AD24" s="8">
        <f>D24+Q24</f>
        <v>32.849000000002235</v>
      </c>
    </row>
    <row r="25" spans="1:30" x14ac:dyDescent="0.25">
      <c r="A25" s="27">
        <v>38463</v>
      </c>
      <c r="B25" s="7">
        <f>'[6]Apr Prod'!I24</f>
        <v>10099999.999998545</v>
      </c>
      <c r="C25" s="8">
        <f t="shared" si="1"/>
        <v>10.099999999998545</v>
      </c>
      <c r="D25" s="10">
        <f t="shared" si="2"/>
        <v>31.006999999995532</v>
      </c>
      <c r="E25" s="7">
        <f>'[6]Apr Prod'!E24</f>
        <v>11000000</v>
      </c>
      <c r="F25" s="8">
        <f t="shared" si="3"/>
        <v>11</v>
      </c>
      <c r="G25" s="10">
        <f t="shared" si="4"/>
        <v>33.769999999999996</v>
      </c>
      <c r="H25" s="7">
        <f>'[6]Apr Prod'!F24</f>
        <v>0</v>
      </c>
      <c r="I25" s="8">
        <f t="shared" si="0"/>
        <v>0</v>
      </c>
      <c r="J25" s="10">
        <f t="shared" si="5"/>
        <v>0</v>
      </c>
      <c r="K25" s="7">
        <f>'[6]Apr Prod'!H272</f>
        <v>986885</v>
      </c>
      <c r="L25" s="8">
        <f t="shared" si="6"/>
        <v>0.98688500000000001</v>
      </c>
      <c r="M25" s="10">
        <f t="shared" si="7"/>
        <v>3.0297369499999998</v>
      </c>
      <c r="N25" s="21"/>
      <c r="O25" s="7">
        <f>'[6]Apr Prod'!H24</f>
        <v>0</v>
      </c>
      <c r="P25" s="8">
        <f t="shared" si="8"/>
        <v>0</v>
      </c>
      <c r="Q25" s="10">
        <f t="shared" si="9"/>
        <v>0</v>
      </c>
      <c r="R25" s="7">
        <f>'[6]Apr Prod'!C24</f>
        <v>0</v>
      </c>
      <c r="S25" s="8">
        <f t="shared" si="10"/>
        <v>0</v>
      </c>
      <c r="T25" s="10">
        <f t="shared" si="11"/>
        <v>0</v>
      </c>
      <c r="U25" s="7">
        <f>'[6]Apr Prod'!D24</f>
        <v>0</v>
      </c>
      <c r="V25" s="8">
        <f t="shared" si="12"/>
        <v>0</v>
      </c>
      <c r="W25" s="10">
        <f t="shared" si="13"/>
        <v>0</v>
      </c>
      <c r="X25" s="7">
        <f>'[6]Apr Prod'!D272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10099999.999998545</v>
      </c>
      <c r="AC25" s="8">
        <f t="shared" si="16"/>
        <v>10.099999999998545</v>
      </c>
      <c r="AD25" s="8">
        <f t="shared" si="16"/>
        <v>31.006999999995532</v>
      </c>
    </row>
    <row r="26" spans="1:30" x14ac:dyDescent="0.25">
      <c r="A26" s="27">
        <v>38464</v>
      </c>
      <c r="B26" s="7">
        <f>'[6]Apr Prod'!I25</f>
        <v>13200000.000000728</v>
      </c>
      <c r="C26" s="8">
        <f t="shared" si="1"/>
        <v>13.200000000000728</v>
      </c>
      <c r="D26" s="10">
        <f t="shared" si="2"/>
        <v>40.524000000002232</v>
      </c>
      <c r="E26" s="7">
        <f>'[6]Apr Prod'!E25</f>
        <v>15000000</v>
      </c>
      <c r="F26" s="8">
        <f t="shared" si="3"/>
        <v>15</v>
      </c>
      <c r="G26" s="10">
        <f t="shared" si="4"/>
        <v>46.05</v>
      </c>
      <c r="H26" s="7">
        <f>'[6]Apr Prod'!F25</f>
        <v>0</v>
      </c>
      <c r="I26" s="8">
        <f t="shared" si="0"/>
        <v>0</v>
      </c>
      <c r="J26" s="10">
        <f t="shared" si="5"/>
        <v>0</v>
      </c>
      <c r="K26" s="7">
        <f>'[6]Apr Prod'!H273</f>
        <v>1339494</v>
      </c>
      <c r="L26" s="8">
        <f t="shared" si="6"/>
        <v>1.339494</v>
      </c>
      <c r="M26" s="10">
        <f t="shared" si="7"/>
        <v>4.1122465799999999</v>
      </c>
      <c r="N26" s="21"/>
      <c r="O26" s="7">
        <f>'[6]Apr Prod'!H25</f>
        <v>0</v>
      </c>
      <c r="P26" s="8">
        <f t="shared" si="8"/>
        <v>0</v>
      </c>
      <c r="Q26" s="10">
        <f t="shared" si="9"/>
        <v>0</v>
      </c>
      <c r="R26" s="7">
        <f>'[6]Apr Prod'!C25</f>
        <v>0</v>
      </c>
      <c r="S26" s="8">
        <f t="shared" si="10"/>
        <v>0</v>
      </c>
      <c r="T26" s="10">
        <f t="shared" si="11"/>
        <v>0</v>
      </c>
      <c r="U26" s="7">
        <f>'[6]Apr Prod'!D25</f>
        <v>0</v>
      </c>
      <c r="V26" s="8">
        <f t="shared" si="12"/>
        <v>0</v>
      </c>
      <c r="W26" s="10">
        <f t="shared" si="13"/>
        <v>0</v>
      </c>
      <c r="X26" s="7">
        <f>'[6]Apr Prod'!D273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13200000.000000728</v>
      </c>
      <c r="AC26" s="8">
        <f t="shared" si="16"/>
        <v>13.200000000000728</v>
      </c>
      <c r="AD26" s="8">
        <f t="shared" si="16"/>
        <v>40.524000000002232</v>
      </c>
    </row>
    <row r="27" spans="1:30" x14ac:dyDescent="0.25">
      <c r="A27" s="27">
        <v>38465</v>
      </c>
      <c r="B27" s="7">
        <f>'[6]Apr Prod'!I26</f>
        <v>13799999.999999272</v>
      </c>
      <c r="C27" s="8">
        <f t="shared" si="1"/>
        <v>13.799999999999272</v>
      </c>
      <c r="D27" s="10">
        <f t="shared" si="2"/>
        <v>42.365999999997761</v>
      </c>
      <c r="E27" s="7">
        <f>'[6]Apr Prod'!E26</f>
        <v>16000000</v>
      </c>
      <c r="F27" s="8">
        <f t="shared" si="3"/>
        <v>16</v>
      </c>
      <c r="G27" s="10">
        <f t="shared" si="4"/>
        <v>49.12</v>
      </c>
      <c r="H27" s="7">
        <f>'[6]Apr Prod'!F26</f>
        <v>0</v>
      </c>
      <c r="I27" s="8">
        <f t="shared" si="0"/>
        <v>0</v>
      </c>
      <c r="J27" s="10">
        <f t="shared" si="5"/>
        <v>0</v>
      </c>
      <c r="K27" s="7">
        <f>'[6]Apr Prod'!H274</f>
        <v>1405668</v>
      </c>
      <c r="L27" s="8">
        <f t="shared" si="6"/>
        <v>1.4056679999999999</v>
      </c>
      <c r="M27" s="10">
        <f t="shared" si="7"/>
        <v>4.3154007599999993</v>
      </c>
      <c r="N27" s="21"/>
      <c r="O27" s="7">
        <f>'[6]Apr Prod'!H26</f>
        <v>0</v>
      </c>
      <c r="P27" s="8">
        <f t="shared" si="8"/>
        <v>0</v>
      </c>
      <c r="Q27" s="10">
        <f t="shared" si="9"/>
        <v>0</v>
      </c>
      <c r="R27" s="7">
        <f>'[6]Apr Prod'!C26</f>
        <v>0</v>
      </c>
      <c r="S27" s="8">
        <f t="shared" si="10"/>
        <v>0</v>
      </c>
      <c r="T27" s="10">
        <f t="shared" si="11"/>
        <v>0</v>
      </c>
      <c r="U27" s="7">
        <f>'[6]Apr Prod'!D26</f>
        <v>0</v>
      </c>
      <c r="V27" s="8">
        <f t="shared" si="12"/>
        <v>0</v>
      </c>
      <c r="W27" s="10">
        <f t="shared" si="13"/>
        <v>0</v>
      </c>
      <c r="X27" s="7">
        <f>'[6]Apr Prod'!D274</f>
        <v>147000</v>
      </c>
      <c r="Y27" s="8">
        <f t="shared" si="14"/>
        <v>0.14699999999999999</v>
      </c>
      <c r="Z27" s="10">
        <f t="shared" si="15"/>
        <v>0.45128999999999997</v>
      </c>
      <c r="AA27" s="15"/>
      <c r="AB27" s="7">
        <f t="shared" si="16"/>
        <v>13799999.999999272</v>
      </c>
      <c r="AC27" s="8">
        <f t="shared" si="16"/>
        <v>13.799999999999272</v>
      </c>
      <c r="AD27" s="8">
        <f t="shared" si="16"/>
        <v>42.365999999997761</v>
      </c>
    </row>
    <row r="28" spans="1:30" x14ac:dyDescent="0.25">
      <c r="A28" s="27">
        <v>38466</v>
      </c>
      <c r="B28" s="7">
        <f>'[6]Apr Prod'!I27</f>
        <v>14800000.000002909</v>
      </c>
      <c r="C28" s="8">
        <f t="shared" si="1"/>
        <v>14.800000000002909</v>
      </c>
      <c r="D28" s="10">
        <f t="shared" si="2"/>
        <v>45.436000000008924</v>
      </c>
      <c r="E28" s="7">
        <f>'[6]Apr Prod'!E27</f>
        <v>17000000</v>
      </c>
      <c r="F28" s="8">
        <f t="shared" si="3"/>
        <v>17</v>
      </c>
      <c r="G28" s="10">
        <f t="shared" si="4"/>
        <v>52.19</v>
      </c>
      <c r="H28" s="7">
        <f>'[6]Apr Prod'!F27</f>
        <v>0</v>
      </c>
      <c r="I28" s="8">
        <f t="shared" si="0"/>
        <v>0</v>
      </c>
      <c r="J28" s="10">
        <f t="shared" si="5"/>
        <v>0</v>
      </c>
      <c r="K28" s="7">
        <f>'[6]Apr Prod'!H275</f>
        <v>1428861</v>
      </c>
      <c r="L28" s="8">
        <f t="shared" si="6"/>
        <v>1.4288609999999999</v>
      </c>
      <c r="M28" s="10">
        <f t="shared" si="7"/>
        <v>4.3866032699999993</v>
      </c>
      <c r="N28" s="21"/>
      <c r="O28" s="7">
        <f>'[6]Apr Prod'!H27</f>
        <v>0</v>
      </c>
      <c r="P28" s="8">
        <f t="shared" si="8"/>
        <v>0</v>
      </c>
      <c r="Q28" s="10">
        <f t="shared" si="9"/>
        <v>0</v>
      </c>
      <c r="R28" s="7">
        <f>'[6]Apr Prod'!C27</f>
        <v>0</v>
      </c>
      <c r="S28" s="8">
        <f t="shared" si="10"/>
        <v>0</v>
      </c>
      <c r="T28" s="10">
        <f t="shared" si="11"/>
        <v>0</v>
      </c>
      <c r="U28" s="7">
        <f>'[6]Apr Prod'!D27</f>
        <v>0</v>
      </c>
      <c r="V28" s="8">
        <f t="shared" si="12"/>
        <v>0</v>
      </c>
      <c r="W28" s="10">
        <f t="shared" si="13"/>
        <v>0</v>
      </c>
      <c r="X28" s="7">
        <f>'[6]Apr Prod'!D275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14800000.000002909</v>
      </c>
      <c r="AC28" s="8">
        <f t="shared" si="16"/>
        <v>14.800000000002909</v>
      </c>
      <c r="AD28" s="8">
        <f t="shared" si="16"/>
        <v>45.436000000008924</v>
      </c>
    </row>
    <row r="29" spans="1:30" x14ac:dyDescent="0.25">
      <c r="A29" s="27">
        <v>38467</v>
      </c>
      <c r="B29" s="7">
        <f>'[6]Apr Prod'!I28</f>
        <v>14000000</v>
      </c>
      <c r="C29" s="8">
        <f t="shared" si="1"/>
        <v>14</v>
      </c>
      <c r="D29" s="10">
        <f t="shared" si="2"/>
        <v>42.98</v>
      </c>
      <c r="E29" s="7">
        <f>'[6]Apr Prod'!E28</f>
        <v>15000000</v>
      </c>
      <c r="F29" s="8">
        <f t="shared" si="3"/>
        <v>15</v>
      </c>
      <c r="G29" s="10">
        <f t="shared" si="4"/>
        <v>46.05</v>
      </c>
      <c r="H29" s="7">
        <f>'[6]Apr Prod'!F28</f>
        <v>0</v>
      </c>
      <c r="I29" s="8">
        <f t="shared" si="0"/>
        <v>0</v>
      </c>
      <c r="J29" s="10">
        <f t="shared" si="5"/>
        <v>0</v>
      </c>
      <c r="K29" s="7">
        <f>'[6]Apr Prod'!H276</f>
        <v>1400024</v>
      </c>
      <c r="L29" s="8">
        <f t="shared" si="6"/>
        <v>1.4000239999999999</v>
      </c>
      <c r="M29" s="10">
        <f t="shared" si="7"/>
        <v>4.2980736799999999</v>
      </c>
      <c r="N29" s="21"/>
      <c r="O29" s="7">
        <f>'[6]Apr Prod'!H28</f>
        <v>0</v>
      </c>
      <c r="P29" s="8">
        <f t="shared" si="8"/>
        <v>0</v>
      </c>
      <c r="Q29" s="10">
        <f t="shared" si="9"/>
        <v>0</v>
      </c>
      <c r="R29" s="7">
        <f>'[6]Apr Prod'!C28</f>
        <v>0</v>
      </c>
      <c r="S29" s="8">
        <f t="shared" si="10"/>
        <v>0</v>
      </c>
      <c r="T29" s="10">
        <f t="shared" si="11"/>
        <v>0</v>
      </c>
      <c r="U29" s="7">
        <f>'[6]Apr Prod'!D28</f>
        <v>0</v>
      </c>
      <c r="V29" s="8">
        <f t="shared" si="12"/>
        <v>0</v>
      </c>
      <c r="W29" s="10">
        <f t="shared" si="13"/>
        <v>0</v>
      </c>
      <c r="X29" s="7">
        <f>'[6]Apr Prod'!D276</f>
        <v>9000.0000000000073</v>
      </c>
      <c r="Y29" s="8">
        <f t="shared" si="14"/>
        <v>9.000000000000008E-3</v>
      </c>
      <c r="Z29" s="10">
        <f t="shared" si="15"/>
        <v>2.7630000000000023E-2</v>
      </c>
      <c r="AA29" s="15"/>
      <c r="AB29" s="7">
        <f t="shared" si="16"/>
        <v>14000000</v>
      </c>
      <c r="AC29" s="8">
        <f t="shared" si="16"/>
        <v>14</v>
      </c>
      <c r="AD29" s="8">
        <f t="shared" si="16"/>
        <v>42.98</v>
      </c>
    </row>
    <row r="30" spans="1:30" x14ac:dyDescent="0.25">
      <c r="A30" s="27">
        <v>38468</v>
      </c>
      <c r="B30" s="7">
        <f>'[6]Apr Prod'!I29</f>
        <v>12199999.999997091</v>
      </c>
      <c r="C30" s="8">
        <f t="shared" si="1"/>
        <v>12.199999999997091</v>
      </c>
      <c r="D30" s="10">
        <f t="shared" si="2"/>
        <v>37.453999999991069</v>
      </c>
      <c r="E30" s="7">
        <f>'[6]Apr Prod'!E29</f>
        <v>14000000</v>
      </c>
      <c r="F30" s="8">
        <f t="shared" si="3"/>
        <v>14</v>
      </c>
      <c r="G30" s="10">
        <f t="shared" si="4"/>
        <v>42.98</v>
      </c>
      <c r="H30" s="7">
        <f>'[6]Apr Prod'!F29</f>
        <v>0</v>
      </c>
      <c r="I30" s="8">
        <f t="shared" si="0"/>
        <v>0</v>
      </c>
      <c r="J30" s="10">
        <f t="shared" si="5"/>
        <v>0</v>
      </c>
      <c r="K30" s="7">
        <f>'[6]Apr Prod'!H277</f>
        <v>1229099</v>
      </c>
      <c r="L30" s="8">
        <f t="shared" si="6"/>
        <v>1.2290989999999999</v>
      </c>
      <c r="M30" s="10">
        <f t="shared" si="7"/>
        <v>3.7733339299999997</v>
      </c>
      <c r="N30" s="21"/>
      <c r="O30" s="7">
        <f>'[6]Apr Prod'!H29</f>
        <v>0</v>
      </c>
      <c r="P30" s="8">
        <f t="shared" si="8"/>
        <v>0</v>
      </c>
      <c r="Q30" s="10">
        <f t="shared" si="9"/>
        <v>0</v>
      </c>
      <c r="R30" s="7">
        <f>'[6]Apr Prod'!C29</f>
        <v>0</v>
      </c>
      <c r="S30" s="8">
        <f t="shared" si="10"/>
        <v>0</v>
      </c>
      <c r="T30" s="10">
        <f t="shared" si="11"/>
        <v>0</v>
      </c>
      <c r="U30" s="7">
        <f>'[6]Apr Prod'!D29</f>
        <v>0</v>
      </c>
      <c r="V30" s="8">
        <f t="shared" si="12"/>
        <v>0</v>
      </c>
      <c r="W30" s="10">
        <f t="shared" si="13"/>
        <v>0</v>
      </c>
      <c r="X30" s="7">
        <f>'[6]Apr Prod'!D277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12199999.999997091</v>
      </c>
      <c r="AC30" s="8">
        <f t="shared" si="16"/>
        <v>12.199999999997091</v>
      </c>
      <c r="AD30" s="8">
        <f>D30+Q30</f>
        <v>37.453999999991069</v>
      </c>
    </row>
    <row r="31" spans="1:30" x14ac:dyDescent="0.25">
      <c r="A31" s="27">
        <v>38469</v>
      </c>
      <c r="B31" s="7">
        <f>'[6]Apr Prod'!I30</f>
        <v>13100000.000002183</v>
      </c>
      <c r="C31" s="8">
        <f t="shared" si="1"/>
        <v>13.100000000002183</v>
      </c>
      <c r="D31" s="10">
        <f t="shared" si="2"/>
        <v>40.217000000006699</v>
      </c>
      <c r="E31" s="7">
        <f>'[6]Apr Prod'!E30</f>
        <v>15000000</v>
      </c>
      <c r="F31" s="8">
        <f t="shared" si="3"/>
        <v>15</v>
      </c>
      <c r="G31" s="10">
        <f t="shared" si="4"/>
        <v>46.05</v>
      </c>
      <c r="H31" s="7">
        <f>'[6]Apr Prod'!F30</f>
        <v>0</v>
      </c>
      <c r="I31" s="8">
        <f t="shared" si="0"/>
        <v>0</v>
      </c>
      <c r="J31" s="10">
        <f t="shared" si="5"/>
        <v>0</v>
      </c>
      <c r="K31" s="7">
        <f>'[6]Apr Prod'!H278</f>
        <v>1418199</v>
      </c>
      <c r="L31" s="8">
        <f t="shared" si="6"/>
        <v>1.418199</v>
      </c>
      <c r="M31" s="10">
        <f t="shared" si="7"/>
        <v>4.3538709299999994</v>
      </c>
      <c r="N31" s="21"/>
      <c r="O31" s="7">
        <f>'[6]Apr Prod'!H30</f>
        <v>0</v>
      </c>
      <c r="P31" s="8">
        <f t="shared" si="8"/>
        <v>0</v>
      </c>
      <c r="Q31" s="10">
        <f t="shared" si="9"/>
        <v>0</v>
      </c>
      <c r="R31" s="7">
        <f>'[6]Apr Prod'!C30</f>
        <v>0</v>
      </c>
      <c r="S31" s="8">
        <f t="shared" si="10"/>
        <v>0</v>
      </c>
      <c r="T31" s="10">
        <f t="shared" si="11"/>
        <v>0</v>
      </c>
      <c r="U31" s="7">
        <f>'[6]Apr Prod'!D30</f>
        <v>0</v>
      </c>
      <c r="V31" s="8">
        <f t="shared" si="12"/>
        <v>0</v>
      </c>
      <c r="W31" s="10">
        <f t="shared" si="13"/>
        <v>0</v>
      </c>
      <c r="X31" s="7">
        <f>'[6]Apr Prod'!D278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13100000.000002183</v>
      </c>
      <c r="AC31" s="8">
        <f t="shared" si="16"/>
        <v>13.100000000002183</v>
      </c>
      <c r="AD31" s="8">
        <f t="shared" si="16"/>
        <v>40.217000000006699</v>
      </c>
    </row>
    <row r="32" spans="1:30" x14ac:dyDescent="0.25">
      <c r="A32" s="27">
        <v>38470</v>
      </c>
      <c r="B32" s="7">
        <f>'[6]Apr Prod'!I31</f>
        <v>11500000</v>
      </c>
      <c r="C32" s="8">
        <f t="shared" si="1"/>
        <v>11.5</v>
      </c>
      <c r="D32" s="10">
        <f t="shared" si="2"/>
        <v>35.305</v>
      </c>
      <c r="E32" s="7">
        <f>'[6]Apr Prod'!E31</f>
        <v>9000000</v>
      </c>
      <c r="F32" s="8">
        <f t="shared" si="3"/>
        <v>9</v>
      </c>
      <c r="G32" s="10">
        <f t="shared" si="4"/>
        <v>27.63</v>
      </c>
      <c r="H32" s="7">
        <f>'[6]Apr Prod'!F31</f>
        <v>2860000</v>
      </c>
      <c r="I32" s="8">
        <f t="shared" si="0"/>
        <v>2.86</v>
      </c>
      <c r="J32" s="10">
        <f t="shared" si="5"/>
        <v>8.7801999999999989</v>
      </c>
      <c r="K32" s="7">
        <f>'[6]Apr Prod'!H279</f>
        <v>1388199</v>
      </c>
      <c r="L32" s="8">
        <f t="shared" si="6"/>
        <v>1.388199</v>
      </c>
      <c r="M32" s="10">
        <f t="shared" si="7"/>
        <v>4.26177093</v>
      </c>
      <c r="N32" s="21"/>
      <c r="O32" s="7">
        <f>'[6]Apr Prod'!H31</f>
        <v>0</v>
      </c>
      <c r="P32" s="8">
        <f t="shared" si="8"/>
        <v>0</v>
      </c>
      <c r="Q32" s="10">
        <f t="shared" si="9"/>
        <v>0</v>
      </c>
      <c r="R32" s="7">
        <f>'[6]Apr Prod'!C31</f>
        <v>0</v>
      </c>
      <c r="S32" s="8">
        <f t="shared" si="10"/>
        <v>0</v>
      </c>
      <c r="T32" s="10">
        <f t="shared" si="11"/>
        <v>0</v>
      </c>
      <c r="U32" s="7">
        <f>'[6]Apr Prod'!D31</f>
        <v>0</v>
      </c>
      <c r="V32" s="8">
        <f t="shared" si="12"/>
        <v>0</v>
      </c>
      <c r="W32" s="10">
        <f t="shared" si="13"/>
        <v>0</v>
      </c>
      <c r="X32" s="7">
        <f>'[6]Apr Prod'!D279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11500000</v>
      </c>
      <c r="AC32" s="8">
        <f t="shared" si="16"/>
        <v>11.5</v>
      </c>
      <c r="AD32" s="8">
        <f t="shared" si="16"/>
        <v>35.305</v>
      </c>
    </row>
    <row r="33" spans="1:32" x14ac:dyDescent="0.25">
      <c r="A33" s="27">
        <v>38471</v>
      </c>
      <c r="B33" s="7">
        <f>'[6]Apr Prod'!I32</f>
        <v>12000000</v>
      </c>
      <c r="C33" s="8">
        <f t="shared" si="1"/>
        <v>12</v>
      </c>
      <c r="D33" s="10">
        <f t="shared" si="2"/>
        <v>36.839999999999996</v>
      </c>
      <c r="E33" s="7">
        <f>'[6]Apr Prod'!E32</f>
        <v>7000000</v>
      </c>
      <c r="F33" s="8">
        <f t="shared" si="3"/>
        <v>7</v>
      </c>
      <c r="G33" s="10">
        <f t="shared" si="4"/>
        <v>21.49</v>
      </c>
      <c r="H33" s="7">
        <f>'[6]Apr Prod'!F32</f>
        <v>5030000</v>
      </c>
      <c r="I33" s="8">
        <f t="shared" si="0"/>
        <v>5.03</v>
      </c>
      <c r="J33" s="10">
        <f t="shared" si="5"/>
        <v>15.4421</v>
      </c>
      <c r="K33" s="7">
        <f>'[6]Apr Prod'!H280</f>
        <v>1148850</v>
      </c>
      <c r="L33" s="8">
        <f t="shared" si="6"/>
        <v>1.1488499999999999</v>
      </c>
      <c r="M33" s="10">
        <f t="shared" si="7"/>
        <v>3.5269694999999994</v>
      </c>
      <c r="N33" s="21"/>
      <c r="O33" s="7">
        <f>'[6]Apr Prod'!H32</f>
        <v>0</v>
      </c>
      <c r="P33" s="8">
        <f t="shared" si="8"/>
        <v>0</v>
      </c>
      <c r="Q33" s="10">
        <f t="shared" si="9"/>
        <v>0</v>
      </c>
      <c r="R33" s="7">
        <f>'[6]Apr Prod'!C32</f>
        <v>0</v>
      </c>
      <c r="S33" s="8">
        <f t="shared" si="10"/>
        <v>0</v>
      </c>
      <c r="T33" s="10">
        <f t="shared" si="11"/>
        <v>0</v>
      </c>
      <c r="U33" s="7">
        <f>'[6]Apr Prod'!D32</f>
        <v>0</v>
      </c>
      <c r="V33" s="8">
        <f t="shared" si="12"/>
        <v>0</v>
      </c>
      <c r="W33" s="10">
        <f t="shared" si="13"/>
        <v>0</v>
      </c>
      <c r="X33" s="7">
        <f>'[6]Apr Prod'!D280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12000000</v>
      </c>
      <c r="AC33" s="8">
        <f t="shared" si="16"/>
        <v>12</v>
      </c>
      <c r="AD33" s="8">
        <f t="shared" si="16"/>
        <v>36.839999999999996</v>
      </c>
    </row>
    <row r="34" spans="1:32" ht="13.8" thickBot="1" x14ac:dyDescent="0.3">
      <c r="A34" s="27">
        <v>38472</v>
      </c>
      <c r="B34" s="7">
        <f>'[6]Apr Prod'!I33</f>
        <v>12099999.999998545</v>
      </c>
      <c r="C34" s="8">
        <f t="shared" si="1"/>
        <v>12.099999999998545</v>
      </c>
      <c r="D34" s="10">
        <f t="shared" si="2"/>
        <v>37.146999999995529</v>
      </c>
      <c r="E34" s="7">
        <f>'[6]Apr Prod'!E33</f>
        <v>7000000</v>
      </c>
      <c r="F34" s="8">
        <f t="shared" si="3"/>
        <v>7</v>
      </c>
      <c r="G34" s="10">
        <f t="shared" si="4"/>
        <v>21.49</v>
      </c>
      <c r="H34" s="7">
        <f>'[6]Apr Prod'!F33</f>
        <v>5970000</v>
      </c>
      <c r="I34" s="8">
        <f t="shared" si="0"/>
        <v>5.97</v>
      </c>
      <c r="J34" s="10">
        <f t="shared" si="5"/>
        <v>18.3279</v>
      </c>
      <c r="K34" s="7">
        <f>'[6]Apr Prod'!H281</f>
        <v>1152603</v>
      </c>
      <c r="L34" s="8">
        <f t="shared" si="6"/>
        <v>1.152603</v>
      </c>
      <c r="M34" s="10">
        <f t="shared" si="7"/>
        <v>3.5384912100000001</v>
      </c>
      <c r="N34" s="21"/>
      <c r="O34" s="7">
        <f>'[6]Apr Prod'!H33</f>
        <v>0</v>
      </c>
      <c r="P34" s="8">
        <f t="shared" si="8"/>
        <v>0</v>
      </c>
      <c r="Q34" s="10">
        <f t="shared" si="9"/>
        <v>0</v>
      </c>
      <c r="R34" s="7">
        <f>'[6]Apr Prod'!C33</f>
        <v>0</v>
      </c>
      <c r="S34" s="8">
        <f t="shared" si="10"/>
        <v>0</v>
      </c>
      <c r="T34" s="10">
        <f t="shared" si="11"/>
        <v>0</v>
      </c>
      <c r="U34" s="7">
        <f>'[6]Apr Prod'!D33</f>
        <v>0</v>
      </c>
      <c r="V34" s="8">
        <f t="shared" si="12"/>
        <v>0</v>
      </c>
      <c r="W34" s="10">
        <f t="shared" si="13"/>
        <v>0</v>
      </c>
      <c r="X34" s="7">
        <f>'[6]Apr Prod'!D281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12099999.999998545</v>
      </c>
      <c r="AC34" s="8">
        <f t="shared" si="16"/>
        <v>12.099999999998545</v>
      </c>
      <c r="AD34" s="8">
        <f t="shared" si="16"/>
        <v>37.146999999995529</v>
      </c>
    </row>
    <row r="35" spans="1:32" ht="13.8" thickBot="1" x14ac:dyDescent="0.3">
      <c r="A35" s="3"/>
      <c r="B35" s="38"/>
      <c r="C35" s="39">
        <f>SUM(C5:C34)</f>
        <v>374</v>
      </c>
      <c r="D35" s="39">
        <f>SUM(D5:D34)</f>
        <v>1148.18</v>
      </c>
      <c r="E35" s="38"/>
      <c r="F35" s="39">
        <f>SUM(F5:F34)</f>
        <v>401</v>
      </c>
      <c r="G35" s="39">
        <f>SUM(G5:G34)</f>
        <v>1231.07</v>
      </c>
      <c r="H35" s="38"/>
      <c r="I35" s="39">
        <f>SUM(I5:I34)</f>
        <v>14.329999999999998</v>
      </c>
      <c r="J35" s="39">
        <f>SUM(J5:J34)</f>
        <v>43.993099999999998</v>
      </c>
      <c r="K35" s="38"/>
      <c r="L35" s="39">
        <f>SUM(L5:L34)</f>
        <v>38.611227</v>
      </c>
      <c r="M35" s="39">
        <f>SUM(M5:M34)</f>
        <v>118.53646689</v>
      </c>
      <c r="N35" s="14"/>
      <c r="O35" s="38"/>
      <c r="P35" s="39">
        <f>SUM(P5:P34)</f>
        <v>0</v>
      </c>
      <c r="Q35" s="39">
        <f>SUM(Q5:Q34)</f>
        <v>0</v>
      </c>
      <c r="R35" s="38"/>
      <c r="S35" s="39">
        <f>SUM(S5:S34)</f>
        <v>0</v>
      </c>
      <c r="T35" s="39">
        <f>SUM(T5:T34)</f>
        <v>0</v>
      </c>
      <c r="U35" s="38"/>
      <c r="V35" s="39">
        <f>SUM(V5:V34)</f>
        <v>0</v>
      </c>
      <c r="W35" s="39">
        <f>SUM(W5:W34)</f>
        <v>0</v>
      </c>
      <c r="X35" s="38"/>
      <c r="Y35" s="39">
        <f>SUM(Y5:Y34)</f>
        <v>0.86399999999999844</v>
      </c>
      <c r="Z35" s="39">
        <f>SUM(Z5:Z34)</f>
        <v>2.6524799999999948</v>
      </c>
      <c r="AA35" s="14"/>
      <c r="AB35" s="38">
        <f t="shared" si="16"/>
        <v>0</v>
      </c>
      <c r="AC35" s="39">
        <f t="shared" si="16"/>
        <v>374</v>
      </c>
      <c r="AD35" s="39">
        <f t="shared" si="16"/>
        <v>1148.18</v>
      </c>
      <c r="AF35" s="18"/>
    </row>
    <row r="36" spans="1:32" x14ac:dyDescent="0.2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7"/>
  <sheetViews>
    <sheetView workbookViewId="0">
      <pane xSplit="1" ySplit="4" topLeftCell="I5" activePane="bottomRight" state="frozen"/>
      <selection activeCell="G30" sqref="G30:G34"/>
      <selection pane="topRight" activeCell="G30" sqref="G30:G34"/>
      <selection pane="bottomLeft" activeCell="G30" sqref="G30:G34"/>
      <selection pane="bottomRight" activeCell="T35" sqref="T35"/>
    </sheetView>
  </sheetViews>
  <sheetFormatPr defaultRowHeight="13.2" x14ac:dyDescent="0.25"/>
  <cols>
    <col min="2" max="2" width="11.44140625" customWidth="1"/>
    <col min="5" max="5" width="11.109375" customWidth="1"/>
    <col min="8" max="8" width="14.44140625" bestFit="1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44140625" customWidth="1"/>
    <col min="24" max="24" width="11.6640625" bestFit="1" customWidth="1"/>
    <col min="28" max="28" width="13.33203125" customWidth="1"/>
  </cols>
  <sheetData>
    <row r="1" spans="1:30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5">
      <c r="A5" s="27">
        <v>38473</v>
      </c>
      <c r="B5" s="7">
        <f>'[7]May Prod'!I4</f>
        <v>11000000</v>
      </c>
      <c r="C5" s="8">
        <f>B5/1000000</f>
        <v>11</v>
      </c>
      <c r="D5" s="10">
        <f>C5*3.07</f>
        <v>33.769999999999996</v>
      </c>
      <c r="E5" s="7">
        <f>'[7]May Prod'!E4</f>
        <v>6000000</v>
      </c>
      <c r="F5" s="8">
        <f>E5/1000000</f>
        <v>6</v>
      </c>
      <c r="G5" s="10">
        <f>F5*3.07</f>
        <v>18.419999999999998</v>
      </c>
      <c r="H5" s="7">
        <f>'[7]May Prod'!F4</f>
        <v>5660000</v>
      </c>
      <c r="I5" s="8">
        <f>H5/1000000</f>
        <v>5.66</v>
      </c>
      <c r="J5" s="10">
        <f>I5*3.07</f>
        <v>17.376200000000001</v>
      </c>
      <c r="K5" s="7">
        <f>'[7]May Prod'!H259</f>
        <v>1120460</v>
      </c>
      <c r="L5" s="8">
        <f>K5/1000000</f>
        <v>1.12046</v>
      </c>
      <c r="M5" s="10">
        <f>L5*3.07</f>
        <v>3.4398122</v>
      </c>
      <c r="N5" s="21"/>
      <c r="O5" s="7">
        <f>'[7]May Prod'!H4</f>
        <v>0</v>
      </c>
      <c r="P5" s="8">
        <f>O5/1000000</f>
        <v>0</v>
      </c>
      <c r="Q5" s="10">
        <f t="shared" ref="Q5:Q36" si="0">P5*3.07</f>
        <v>0</v>
      </c>
      <c r="R5" s="7">
        <f>'[7]May Prod'!C4</f>
        <v>0</v>
      </c>
      <c r="S5" s="8">
        <f>R5/1000000</f>
        <v>0</v>
      </c>
      <c r="T5" s="10">
        <f t="shared" ref="T5:T36" si="1">S5*3.07</f>
        <v>0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0</v>
      </c>
      <c r="Y5" s="8">
        <f>X5/1000000</f>
        <v>0</v>
      </c>
      <c r="Z5" s="10">
        <f t="shared" ref="Z5:Z35" si="3">Y5*3.07</f>
        <v>0</v>
      </c>
      <c r="AA5" s="15"/>
      <c r="AB5" s="7">
        <f>B5+O5</f>
        <v>11000000</v>
      </c>
      <c r="AC5" s="8">
        <f>C5+P5</f>
        <v>11</v>
      </c>
      <c r="AD5" s="8">
        <f>D5+Q5</f>
        <v>33.769999999999996</v>
      </c>
    </row>
    <row r="6" spans="1:30" x14ac:dyDescent="0.25">
      <c r="A6" s="27">
        <v>38474</v>
      </c>
      <c r="B6" s="7">
        <f>'[7]May Prod'!I5</f>
        <v>13700000.000000728</v>
      </c>
      <c r="C6" s="8">
        <f t="shared" ref="C6:C35" si="4">B6/1000000</f>
        <v>13.700000000000728</v>
      </c>
      <c r="D6" s="10">
        <f t="shared" ref="D6:D36" si="5">C6*3.07</f>
        <v>42.059000000002229</v>
      </c>
      <c r="E6" s="7">
        <f>'[7]May Prod'!E5</f>
        <v>7000000</v>
      </c>
      <c r="F6" s="8">
        <f t="shared" ref="F6:F35" si="6">E6/1000000</f>
        <v>7</v>
      </c>
      <c r="G6" s="10">
        <f t="shared" ref="G6:G36" si="7">F6*3.07</f>
        <v>21.49</v>
      </c>
      <c r="H6" s="7">
        <f>'[7]May Prod'!F5</f>
        <v>6920000</v>
      </c>
      <c r="I6" s="8">
        <f t="shared" ref="I6:I35" si="8">H6/1000000</f>
        <v>6.92</v>
      </c>
      <c r="J6" s="10">
        <f t="shared" ref="J6:J36" si="9">I6*3.07</f>
        <v>21.244399999999999</v>
      </c>
      <c r="K6" s="7">
        <f>'[7]May Prod'!H260</f>
        <v>1341443</v>
      </c>
      <c r="L6" s="8">
        <f t="shared" ref="L6:L35" si="10">K6/1000000</f>
        <v>1.3414429999999999</v>
      </c>
      <c r="M6" s="10">
        <f t="shared" ref="M6:M35" si="11">L6*3.07</f>
        <v>4.1182300099999996</v>
      </c>
      <c r="N6" s="21"/>
      <c r="O6" s="7">
        <f>'[7]May Prod'!H5</f>
        <v>0</v>
      </c>
      <c r="P6" s="8">
        <f t="shared" ref="P6:P35" si="12">O6/1000000</f>
        <v>0</v>
      </c>
      <c r="Q6" s="10">
        <f t="shared" si="0"/>
        <v>0</v>
      </c>
      <c r="R6" s="7">
        <f>'[7]May Prod'!C5</f>
        <v>0</v>
      </c>
      <c r="S6" s="8">
        <f t="shared" ref="S6:S35" si="13">R6/1000000</f>
        <v>0</v>
      </c>
      <c r="T6" s="10">
        <f t="shared" si="1"/>
        <v>0</v>
      </c>
      <c r="U6" s="7">
        <f>'[7]May Prod'!D5</f>
        <v>0</v>
      </c>
      <c r="V6" s="8">
        <f t="shared" ref="V6:V35" si="14">U6/1000000</f>
        <v>0</v>
      </c>
      <c r="W6" s="10">
        <f t="shared" si="2"/>
        <v>0</v>
      </c>
      <c r="X6" s="7">
        <f>'[7]May Prod'!D260</f>
        <v>0</v>
      </c>
      <c r="Y6" s="8">
        <f t="shared" ref="Y6:Y35" si="15">X6/1000000</f>
        <v>0</v>
      </c>
      <c r="Z6" s="10">
        <f t="shared" si="3"/>
        <v>0</v>
      </c>
      <c r="AA6" s="15"/>
      <c r="AB6" s="7">
        <f t="shared" ref="AB6:AD35" si="16">B6+O6</f>
        <v>13700000.000000728</v>
      </c>
      <c r="AC6" s="8">
        <f t="shared" si="16"/>
        <v>13.700000000000728</v>
      </c>
      <c r="AD6" s="8">
        <f t="shared" si="16"/>
        <v>42.059000000002229</v>
      </c>
    </row>
    <row r="7" spans="1:30" x14ac:dyDescent="0.25">
      <c r="A7" s="27">
        <v>38475</v>
      </c>
      <c r="B7" s="7">
        <f>'[7]May Prod'!I6</f>
        <v>13000000</v>
      </c>
      <c r="C7" s="8">
        <f t="shared" si="4"/>
        <v>13</v>
      </c>
      <c r="D7" s="10">
        <f t="shared" si="5"/>
        <v>39.909999999999997</v>
      </c>
      <c r="E7" s="7">
        <f>'[7]May Prod'!E6</f>
        <v>7000000</v>
      </c>
      <c r="F7" s="8">
        <f t="shared" si="6"/>
        <v>7</v>
      </c>
      <c r="G7" s="10">
        <f t="shared" si="7"/>
        <v>21.49</v>
      </c>
      <c r="H7" s="7">
        <f>'[7]May Prod'!F6</f>
        <v>7070000</v>
      </c>
      <c r="I7" s="8">
        <f t="shared" si="8"/>
        <v>7.07</v>
      </c>
      <c r="J7" s="10">
        <f t="shared" si="9"/>
        <v>21.704899999999999</v>
      </c>
      <c r="K7" s="7">
        <f>'[7]May Prod'!H261</f>
        <v>1380309</v>
      </c>
      <c r="L7" s="8">
        <f t="shared" si="10"/>
        <v>1.380309</v>
      </c>
      <c r="M7" s="10">
        <f t="shared" si="11"/>
        <v>4.23754863</v>
      </c>
      <c r="N7" s="21"/>
      <c r="O7" s="7">
        <f>'[7]May Prod'!H6</f>
        <v>0</v>
      </c>
      <c r="P7" s="8">
        <f t="shared" si="12"/>
        <v>0</v>
      </c>
      <c r="Q7" s="10">
        <f t="shared" si="0"/>
        <v>0</v>
      </c>
      <c r="R7" s="7">
        <f>'[7]May Prod'!C6</f>
        <v>0</v>
      </c>
      <c r="S7" s="8">
        <f t="shared" si="13"/>
        <v>0</v>
      </c>
      <c r="T7" s="10">
        <f t="shared" si="1"/>
        <v>0</v>
      </c>
      <c r="U7" s="7">
        <f>'[7]May Prod'!D6</f>
        <v>0</v>
      </c>
      <c r="V7" s="8">
        <f t="shared" si="14"/>
        <v>0</v>
      </c>
      <c r="W7" s="10">
        <f t="shared" si="2"/>
        <v>0</v>
      </c>
      <c r="X7" s="7">
        <f>'[7]May Prod'!D261</f>
        <v>0</v>
      </c>
      <c r="Y7" s="8">
        <f t="shared" si="15"/>
        <v>0</v>
      </c>
      <c r="Z7" s="10">
        <f t="shared" si="3"/>
        <v>0</v>
      </c>
      <c r="AA7" s="15"/>
      <c r="AB7" s="7">
        <f t="shared" si="16"/>
        <v>13000000</v>
      </c>
      <c r="AC7" s="8">
        <f t="shared" si="16"/>
        <v>13</v>
      </c>
      <c r="AD7" s="8">
        <f t="shared" si="16"/>
        <v>39.909999999999997</v>
      </c>
    </row>
    <row r="8" spans="1:30" x14ac:dyDescent="0.25">
      <c r="A8" s="27">
        <v>38476</v>
      </c>
      <c r="B8" s="7">
        <f>'[7]May Prod'!I7</f>
        <v>13900000.000001455</v>
      </c>
      <c r="C8" s="8">
        <f t="shared" si="4"/>
        <v>13.900000000001455</v>
      </c>
      <c r="D8" s="10">
        <f t="shared" si="5"/>
        <v>42.673000000004464</v>
      </c>
      <c r="E8" s="7">
        <f>'[7]May Prod'!E7</f>
        <v>8000000</v>
      </c>
      <c r="F8" s="8">
        <f t="shared" si="6"/>
        <v>8</v>
      </c>
      <c r="G8" s="10">
        <f t="shared" si="7"/>
        <v>24.56</v>
      </c>
      <c r="H8" s="7">
        <f>'[7]May Prod'!F7</f>
        <v>6050000</v>
      </c>
      <c r="I8" s="8">
        <f t="shared" si="8"/>
        <v>6.05</v>
      </c>
      <c r="J8" s="10">
        <f t="shared" si="9"/>
        <v>18.573499999999999</v>
      </c>
      <c r="K8" s="7">
        <f>'[7]May Prod'!H262</f>
        <v>1283749</v>
      </c>
      <c r="L8" s="8">
        <f t="shared" si="10"/>
        <v>1.283749</v>
      </c>
      <c r="M8" s="10">
        <f t="shared" si="11"/>
        <v>3.94110943</v>
      </c>
      <c r="N8" s="21"/>
      <c r="O8" s="7">
        <f>'[7]May Prod'!H7</f>
        <v>0</v>
      </c>
      <c r="P8" s="8">
        <f t="shared" si="12"/>
        <v>0</v>
      </c>
      <c r="Q8" s="10">
        <f t="shared" si="0"/>
        <v>0</v>
      </c>
      <c r="R8" s="7">
        <f>'[7]May Prod'!C7</f>
        <v>0</v>
      </c>
      <c r="S8" s="8">
        <f t="shared" si="13"/>
        <v>0</v>
      </c>
      <c r="T8" s="10">
        <f t="shared" si="1"/>
        <v>0</v>
      </c>
      <c r="U8" s="7">
        <f>'[7]May Prod'!D7</f>
        <v>0</v>
      </c>
      <c r="V8" s="8">
        <f t="shared" si="14"/>
        <v>0</v>
      </c>
      <c r="W8" s="10">
        <f t="shared" si="2"/>
        <v>0</v>
      </c>
      <c r="X8" s="7">
        <f>'[7]May Prod'!D262</f>
        <v>4000</v>
      </c>
      <c r="Y8" s="8">
        <f t="shared" si="15"/>
        <v>4.0000000000000001E-3</v>
      </c>
      <c r="Z8" s="10">
        <f t="shared" si="3"/>
        <v>1.2279999999999999E-2</v>
      </c>
      <c r="AA8" s="15"/>
      <c r="AB8" s="7">
        <f t="shared" si="16"/>
        <v>13900000.000001455</v>
      </c>
      <c r="AC8" s="8">
        <f t="shared" si="16"/>
        <v>13.900000000001455</v>
      </c>
      <c r="AD8" s="8">
        <f t="shared" si="16"/>
        <v>42.673000000004464</v>
      </c>
    </row>
    <row r="9" spans="1:30" x14ac:dyDescent="0.25">
      <c r="A9" s="27">
        <v>38477</v>
      </c>
      <c r="B9" s="7">
        <f>'[7]May Prod'!I8</f>
        <v>14199999.999997091</v>
      </c>
      <c r="C9" s="8">
        <f t="shared" si="4"/>
        <v>14.199999999997091</v>
      </c>
      <c r="D9" s="10">
        <f t="shared" si="5"/>
        <v>43.59399999999107</v>
      </c>
      <c r="E9" s="7">
        <f>'[7]May Prod'!E8</f>
        <v>9000000</v>
      </c>
      <c r="F9" s="8">
        <f t="shared" si="6"/>
        <v>9</v>
      </c>
      <c r="G9" s="10">
        <f t="shared" si="7"/>
        <v>27.63</v>
      </c>
      <c r="H9" s="7">
        <f>'[7]May Prod'!F8</f>
        <v>5280000</v>
      </c>
      <c r="I9" s="8">
        <f t="shared" si="8"/>
        <v>5.28</v>
      </c>
      <c r="J9" s="10">
        <f t="shared" si="9"/>
        <v>16.209599999999998</v>
      </c>
      <c r="K9" s="7">
        <f>'[7]May Prod'!H263</f>
        <v>1295475</v>
      </c>
      <c r="L9" s="8">
        <f t="shared" si="10"/>
        <v>1.2954749999999999</v>
      </c>
      <c r="M9" s="10">
        <f t="shared" si="11"/>
        <v>3.9771082499999997</v>
      </c>
      <c r="N9" s="21"/>
      <c r="O9" s="7">
        <f>'[7]May Prod'!H8</f>
        <v>0</v>
      </c>
      <c r="P9" s="8">
        <f t="shared" si="12"/>
        <v>0</v>
      </c>
      <c r="Q9" s="10">
        <f t="shared" si="0"/>
        <v>0</v>
      </c>
      <c r="R9" s="7">
        <f>'[7]May Prod'!C8</f>
        <v>155000</v>
      </c>
      <c r="S9" s="8">
        <f t="shared" si="13"/>
        <v>0.155</v>
      </c>
      <c r="T9" s="10">
        <f t="shared" si="1"/>
        <v>0.47585</v>
      </c>
      <c r="U9" s="7">
        <f>'[7]May Prod'!D8</f>
        <v>0</v>
      </c>
      <c r="V9" s="8">
        <f t="shared" si="14"/>
        <v>0</v>
      </c>
      <c r="W9" s="10">
        <f t="shared" si="2"/>
        <v>0</v>
      </c>
      <c r="X9" s="7">
        <f>'[7]May Prod'!D263</f>
        <v>0</v>
      </c>
      <c r="Y9" s="8">
        <f t="shared" si="15"/>
        <v>0</v>
      </c>
      <c r="Z9" s="10">
        <f t="shared" si="3"/>
        <v>0</v>
      </c>
      <c r="AA9" s="15"/>
      <c r="AB9" s="7">
        <f t="shared" si="16"/>
        <v>14199999.999997091</v>
      </c>
      <c r="AC9" s="8">
        <f t="shared" si="16"/>
        <v>14.199999999997091</v>
      </c>
      <c r="AD9" s="8">
        <f t="shared" si="16"/>
        <v>43.59399999999107</v>
      </c>
    </row>
    <row r="10" spans="1:30" x14ac:dyDescent="0.25">
      <c r="A10" s="27">
        <v>38478</v>
      </c>
      <c r="B10" s="7">
        <f>'[7]May Prod'!I9</f>
        <v>16300000.000002909</v>
      </c>
      <c r="C10" s="8">
        <f t="shared" si="4"/>
        <v>16.30000000000291</v>
      </c>
      <c r="D10" s="10">
        <f t="shared" si="5"/>
        <v>50.041000000008935</v>
      </c>
      <c r="E10" s="7">
        <f>'[7]May Prod'!E9</f>
        <v>10000000</v>
      </c>
      <c r="F10" s="8">
        <f t="shared" si="6"/>
        <v>10</v>
      </c>
      <c r="G10" s="10">
        <f t="shared" si="7"/>
        <v>30.7</v>
      </c>
      <c r="H10" s="7">
        <f>'[7]May Prod'!F9</f>
        <v>6970000</v>
      </c>
      <c r="I10" s="8">
        <f t="shared" si="8"/>
        <v>6.97</v>
      </c>
      <c r="J10" s="10">
        <f t="shared" si="9"/>
        <v>21.397899999999996</v>
      </c>
      <c r="K10" s="7">
        <f>'[7]May Prod'!H264</f>
        <v>1610135</v>
      </c>
      <c r="L10" s="8">
        <f t="shared" si="10"/>
        <v>1.6101350000000001</v>
      </c>
      <c r="M10" s="10">
        <f t="shared" si="11"/>
        <v>4.9431144500000004</v>
      </c>
      <c r="N10" s="21"/>
      <c r="O10" s="7">
        <f>'[7]May Prod'!H9</f>
        <v>0</v>
      </c>
      <c r="P10" s="8">
        <f t="shared" si="12"/>
        <v>0</v>
      </c>
      <c r="Q10" s="10">
        <f t="shared" si="0"/>
        <v>0</v>
      </c>
      <c r="R10" s="7">
        <f>'[7]May Prod'!C9</f>
        <v>0</v>
      </c>
      <c r="S10" s="8">
        <f t="shared" si="13"/>
        <v>0</v>
      </c>
      <c r="T10" s="10">
        <f t="shared" si="1"/>
        <v>0</v>
      </c>
      <c r="U10" s="7">
        <f>'[7]May Prod'!D9</f>
        <v>0</v>
      </c>
      <c r="V10" s="8">
        <f t="shared" si="14"/>
        <v>0</v>
      </c>
      <c r="W10" s="10">
        <f t="shared" si="2"/>
        <v>0</v>
      </c>
      <c r="X10" s="7">
        <f>'[7]May Prod'!D264</f>
        <v>0</v>
      </c>
      <c r="Y10" s="8">
        <f t="shared" si="15"/>
        <v>0</v>
      </c>
      <c r="Z10" s="10">
        <f t="shared" si="3"/>
        <v>0</v>
      </c>
      <c r="AA10" s="15"/>
      <c r="AB10" s="7">
        <f t="shared" si="16"/>
        <v>16300000.000002909</v>
      </c>
      <c r="AC10" s="8">
        <f t="shared" si="16"/>
        <v>16.30000000000291</v>
      </c>
      <c r="AD10" s="8">
        <f t="shared" si="16"/>
        <v>50.041000000008935</v>
      </c>
    </row>
    <row r="11" spans="1:30" x14ac:dyDescent="0.25">
      <c r="A11" s="27">
        <v>38479</v>
      </c>
      <c r="B11" s="7">
        <f>'[7]May Prod'!I10</f>
        <v>15799999.999999272</v>
      </c>
      <c r="C11" s="8">
        <f t="shared" si="4"/>
        <v>15.799999999999272</v>
      </c>
      <c r="D11" s="10">
        <f t="shared" si="5"/>
        <v>48.505999999997762</v>
      </c>
      <c r="E11" s="7">
        <f>'[7]May Prod'!E10</f>
        <v>10000000</v>
      </c>
      <c r="F11" s="8">
        <f t="shared" si="6"/>
        <v>10</v>
      </c>
      <c r="G11" s="10">
        <f t="shared" si="7"/>
        <v>30.7</v>
      </c>
      <c r="H11" s="7">
        <f>'[7]May Prod'!F10</f>
        <v>6750000</v>
      </c>
      <c r="I11" s="8">
        <f t="shared" si="8"/>
        <v>6.75</v>
      </c>
      <c r="J11" s="10">
        <f t="shared" si="9"/>
        <v>20.7225</v>
      </c>
      <c r="K11" s="7">
        <f>'[7]May Prod'!H265</f>
        <v>1602739</v>
      </c>
      <c r="L11" s="8">
        <f t="shared" si="10"/>
        <v>1.6027389999999999</v>
      </c>
      <c r="M11" s="10">
        <f t="shared" si="11"/>
        <v>4.9204087299999992</v>
      </c>
      <c r="N11" s="21"/>
      <c r="O11" s="7">
        <f>'[7]May Prod'!H10</f>
        <v>0</v>
      </c>
      <c r="P11" s="8">
        <f t="shared" si="12"/>
        <v>0</v>
      </c>
      <c r="Q11" s="10">
        <f t="shared" si="0"/>
        <v>0</v>
      </c>
      <c r="R11" s="7">
        <f>'[7]May Prod'!C10</f>
        <v>0</v>
      </c>
      <c r="S11" s="8">
        <f t="shared" si="13"/>
        <v>0</v>
      </c>
      <c r="T11" s="10">
        <f t="shared" si="1"/>
        <v>0</v>
      </c>
      <c r="U11" s="7">
        <f>'[7]May Prod'!D10</f>
        <v>0</v>
      </c>
      <c r="V11" s="8">
        <f t="shared" si="14"/>
        <v>0</v>
      </c>
      <c r="W11" s="10">
        <f t="shared" si="2"/>
        <v>0</v>
      </c>
      <c r="X11" s="7">
        <f>'[7]May Prod'!D265</f>
        <v>0</v>
      </c>
      <c r="Y11" s="8">
        <f t="shared" si="15"/>
        <v>0</v>
      </c>
      <c r="Z11" s="10">
        <f t="shared" si="3"/>
        <v>0</v>
      </c>
      <c r="AA11" s="15"/>
      <c r="AB11" s="7">
        <f t="shared" si="16"/>
        <v>15799999.999999272</v>
      </c>
      <c r="AC11" s="8">
        <f t="shared" si="16"/>
        <v>15.799999999999272</v>
      </c>
      <c r="AD11" s="8">
        <f t="shared" si="16"/>
        <v>48.505999999997762</v>
      </c>
    </row>
    <row r="12" spans="1:30" x14ac:dyDescent="0.25">
      <c r="A12" s="27">
        <v>38480</v>
      </c>
      <c r="B12" s="7">
        <f>'[7]May Prod'!I11</f>
        <v>12299999.999999272</v>
      </c>
      <c r="C12" s="8">
        <f t="shared" si="4"/>
        <v>12.299999999999272</v>
      </c>
      <c r="D12" s="10">
        <f t="shared" si="5"/>
        <v>37.760999999997765</v>
      </c>
      <c r="E12" s="7">
        <f>'[7]May Prod'!E11</f>
        <v>8000000</v>
      </c>
      <c r="F12" s="8">
        <f t="shared" si="6"/>
        <v>8</v>
      </c>
      <c r="G12" s="10">
        <f t="shared" si="7"/>
        <v>24.56</v>
      </c>
      <c r="H12" s="7">
        <f>'[7]May Prod'!F11</f>
        <v>5100000.0000000009</v>
      </c>
      <c r="I12" s="8">
        <f t="shared" si="8"/>
        <v>5.1000000000000005</v>
      </c>
      <c r="J12" s="10">
        <f t="shared" si="9"/>
        <v>15.657</v>
      </c>
      <c r="K12" s="7">
        <f>'[7]May Prod'!H266</f>
        <v>1280141</v>
      </c>
      <c r="L12" s="8">
        <f t="shared" si="10"/>
        <v>1.280141</v>
      </c>
      <c r="M12" s="10">
        <f t="shared" si="11"/>
        <v>3.9300328699999998</v>
      </c>
      <c r="N12" s="21"/>
      <c r="O12" s="7">
        <f>'[7]May Prod'!H11</f>
        <v>0</v>
      </c>
      <c r="P12" s="8">
        <f t="shared" si="12"/>
        <v>0</v>
      </c>
      <c r="Q12" s="10">
        <f t="shared" si="0"/>
        <v>0</v>
      </c>
      <c r="R12" s="7">
        <f>'[7]May Prod'!C11</f>
        <v>0</v>
      </c>
      <c r="S12" s="8">
        <f t="shared" si="13"/>
        <v>0</v>
      </c>
      <c r="T12" s="10">
        <f t="shared" si="1"/>
        <v>0</v>
      </c>
      <c r="U12" s="7">
        <f>'[7]May Prod'!D11</f>
        <v>0</v>
      </c>
      <c r="V12" s="8">
        <f t="shared" si="14"/>
        <v>0</v>
      </c>
      <c r="W12" s="10">
        <f t="shared" si="2"/>
        <v>0</v>
      </c>
      <c r="X12" s="7">
        <f>'[7]May Prod'!D266</f>
        <v>28000</v>
      </c>
      <c r="Y12" s="8">
        <f t="shared" si="15"/>
        <v>2.8000000000000001E-2</v>
      </c>
      <c r="Z12" s="10">
        <f t="shared" si="3"/>
        <v>8.5959999999999995E-2</v>
      </c>
      <c r="AA12" s="15"/>
      <c r="AB12" s="7">
        <f t="shared" si="16"/>
        <v>12299999.999999272</v>
      </c>
      <c r="AC12" s="8">
        <f t="shared" si="16"/>
        <v>12.299999999999272</v>
      </c>
      <c r="AD12" s="8">
        <f t="shared" si="16"/>
        <v>37.760999999997765</v>
      </c>
    </row>
    <row r="13" spans="1:30" x14ac:dyDescent="0.25">
      <c r="A13" s="27">
        <v>38481</v>
      </c>
      <c r="B13" s="7">
        <f>'[7]May Prod'!I12</f>
        <v>13900000.000001455</v>
      </c>
      <c r="C13" s="8">
        <f t="shared" si="4"/>
        <v>13.900000000001455</v>
      </c>
      <c r="D13" s="10">
        <f t="shared" si="5"/>
        <v>42.673000000004464</v>
      </c>
      <c r="E13" s="7">
        <f>'[7]May Prod'!E12</f>
        <v>8000000</v>
      </c>
      <c r="F13" s="8">
        <f t="shared" si="6"/>
        <v>8</v>
      </c>
      <c r="G13" s="10">
        <f t="shared" si="7"/>
        <v>24.56</v>
      </c>
      <c r="H13" s="7">
        <f>'[7]May Prod'!F12</f>
        <v>5340000</v>
      </c>
      <c r="I13" s="8">
        <f t="shared" si="8"/>
        <v>5.34</v>
      </c>
      <c r="J13" s="10">
        <f t="shared" si="9"/>
        <v>16.393799999999999</v>
      </c>
      <c r="K13" s="7">
        <f>'[7]May Prod'!H267</f>
        <v>1328028</v>
      </c>
      <c r="L13" s="8">
        <f t="shared" si="10"/>
        <v>1.328028</v>
      </c>
      <c r="M13" s="10">
        <f t="shared" si="11"/>
        <v>4.0770459599999995</v>
      </c>
      <c r="N13" s="21"/>
      <c r="O13" s="7">
        <f>'[7]May Prod'!H12</f>
        <v>0</v>
      </c>
      <c r="P13" s="8">
        <f t="shared" si="12"/>
        <v>0</v>
      </c>
      <c r="Q13" s="10">
        <f t="shared" si="0"/>
        <v>0</v>
      </c>
      <c r="R13" s="7">
        <f>'[7]May Prod'!C12</f>
        <v>0</v>
      </c>
      <c r="S13" s="8">
        <f t="shared" si="13"/>
        <v>0</v>
      </c>
      <c r="T13" s="10">
        <f t="shared" si="1"/>
        <v>0</v>
      </c>
      <c r="U13" s="7">
        <f>'[7]May Prod'!D12</f>
        <v>0</v>
      </c>
      <c r="V13" s="8">
        <f t="shared" si="14"/>
        <v>0</v>
      </c>
      <c r="W13" s="10">
        <f t="shared" si="2"/>
        <v>0</v>
      </c>
      <c r="X13" s="7">
        <f>'[7]May Prod'!D267</f>
        <v>0</v>
      </c>
      <c r="Y13" s="8">
        <f t="shared" si="15"/>
        <v>0</v>
      </c>
      <c r="Z13" s="10">
        <f t="shared" si="3"/>
        <v>0</v>
      </c>
      <c r="AA13" s="15"/>
      <c r="AB13" s="7">
        <f t="shared" si="16"/>
        <v>13900000.000001455</v>
      </c>
      <c r="AC13" s="8">
        <f t="shared" si="16"/>
        <v>13.900000000001455</v>
      </c>
      <c r="AD13" s="8">
        <f t="shared" si="16"/>
        <v>42.673000000004464</v>
      </c>
    </row>
    <row r="14" spans="1:30" x14ac:dyDescent="0.25">
      <c r="A14" s="27">
        <v>38482</v>
      </c>
      <c r="B14" s="7">
        <f>'[7]May Prod'!I13</f>
        <v>16899999.999997817</v>
      </c>
      <c r="C14" s="8">
        <f t="shared" si="4"/>
        <v>16.899999999997817</v>
      </c>
      <c r="D14" s="10">
        <f t="shared" si="5"/>
        <v>51.882999999993295</v>
      </c>
      <c r="E14" s="7">
        <f>'[7]May Prod'!E13</f>
        <v>12000000</v>
      </c>
      <c r="F14" s="8">
        <f t="shared" si="6"/>
        <v>12</v>
      </c>
      <c r="G14" s="10">
        <f t="shared" si="7"/>
        <v>36.839999999999996</v>
      </c>
      <c r="H14" s="7">
        <f>'[7]May Prod'!F13</f>
        <v>6100000.0000000009</v>
      </c>
      <c r="I14" s="8">
        <f t="shared" si="8"/>
        <v>6.1000000000000005</v>
      </c>
      <c r="J14" s="10">
        <f t="shared" si="9"/>
        <v>18.727</v>
      </c>
      <c r="K14" s="7">
        <f>'[7]May Prod'!H268</f>
        <v>1622660</v>
      </c>
      <c r="L14" s="8">
        <f t="shared" si="10"/>
        <v>1.62266</v>
      </c>
      <c r="M14" s="10">
        <f t="shared" si="11"/>
        <v>4.9815661999999996</v>
      </c>
      <c r="N14" s="21"/>
      <c r="O14" s="7">
        <f>'[7]May Prod'!H13</f>
        <v>0</v>
      </c>
      <c r="P14" s="8">
        <f t="shared" si="12"/>
        <v>0</v>
      </c>
      <c r="Q14" s="10">
        <f t="shared" si="0"/>
        <v>0</v>
      </c>
      <c r="R14" s="7">
        <f>'[7]May Prod'!C13</f>
        <v>0</v>
      </c>
      <c r="S14" s="8">
        <f t="shared" si="13"/>
        <v>0</v>
      </c>
      <c r="T14" s="10">
        <f t="shared" si="1"/>
        <v>0</v>
      </c>
      <c r="U14" s="7">
        <f>'[7]May Prod'!D13</f>
        <v>0</v>
      </c>
      <c r="V14" s="8">
        <f t="shared" si="14"/>
        <v>0</v>
      </c>
      <c r="W14" s="10">
        <f t="shared" si="2"/>
        <v>0</v>
      </c>
      <c r="X14" s="7">
        <f>'[7]May Prod'!D268</f>
        <v>0</v>
      </c>
      <c r="Y14" s="8">
        <f t="shared" si="15"/>
        <v>0</v>
      </c>
      <c r="Z14" s="10">
        <f t="shared" si="3"/>
        <v>0</v>
      </c>
      <c r="AA14" s="15"/>
      <c r="AB14" s="7">
        <f t="shared" si="16"/>
        <v>16899999.999997817</v>
      </c>
      <c r="AC14" s="8">
        <f t="shared" si="16"/>
        <v>16.899999999997817</v>
      </c>
      <c r="AD14" s="8">
        <f t="shared" si="16"/>
        <v>51.882999999993295</v>
      </c>
    </row>
    <row r="15" spans="1:30" x14ac:dyDescent="0.25">
      <c r="A15" s="27">
        <v>38483</v>
      </c>
      <c r="B15" s="7">
        <f>'[7]May Prod'!I14</f>
        <v>13100000.000002183</v>
      </c>
      <c r="C15" s="8">
        <f t="shared" si="4"/>
        <v>13.100000000002183</v>
      </c>
      <c r="D15" s="10">
        <f t="shared" si="5"/>
        <v>40.217000000006699</v>
      </c>
      <c r="E15" s="7">
        <f>'[7]May Prod'!E14</f>
        <v>9000000</v>
      </c>
      <c r="F15" s="8">
        <f t="shared" si="6"/>
        <v>9</v>
      </c>
      <c r="G15" s="10">
        <f t="shared" si="7"/>
        <v>27.63</v>
      </c>
      <c r="H15" s="7">
        <f>'[7]May Prod'!F14</f>
        <v>4940000</v>
      </c>
      <c r="I15" s="8">
        <f t="shared" si="8"/>
        <v>4.9400000000000004</v>
      </c>
      <c r="J15" s="10">
        <f t="shared" si="9"/>
        <v>15.165800000000001</v>
      </c>
      <c r="K15" s="7">
        <f>'[7]May Prod'!H269</f>
        <v>1335758</v>
      </c>
      <c r="L15" s="8">
        <f t="shared" si="10"/>
        <v>1.335758</v>
      </c>
      <c r="M15" s="10">
        <f t="shared" si="11"/>
        <v>4.1007770599999995</v>
      </c>
      <c r="N15" s="21"/>
      <c r="O15" s="7">
        <f>'[7]May Prod'!H14</f>
        <v>0</v>
      </c>
      <c r="P15" s="8">
        <f t="shared" si="12"/>
        <v>0</v>
      </c>
      <c r="Q15" s="10">
        <f t="shared" si="0"/>
        <v>0</v>
      </c>
      <c r="R15" s="7">
        <f>'[7]May Prod'!C14</f>
        <v>0</v>
      </c>
      <c r="S15" s="8">
        <f t="shared" si="13"/>
        <v>0</v>
      </c>
      <c r="T15" s="10">
        <f t="shared" si="1"/>
        <v>0</v>
      </c>
      <c r="U15" s="7">
        <f>'[7]May Prod'!D14</f>
        <v>0</v>
      </c>
      <c r="V15" s="8">
        <f t="shared" si="14"/>
        <v>0</v>
      </c>
      <c r="W15" s="10">
        <f t="shared" si="2"/>
        <v>0</v>
      </c>
      <c r="X15" s="7">
        <f>'[7]May Prod'!D269</f>
        <v>310000.00000000006</v>
      </c>
      <c r="Y15" s="8">
        <f t="shared" si="15"/>
        <v>0.31000000000000005</v>
      </c>
      <c r="Z15" s="10">
        <f t="shared" si="3"/>
        <v>0.9517000000000001</v>
      </c>
      <c r="AA15" s="15"/>
      <c r="AB15" s="7">
        <f t="shared" si="16"/>
        <v>13100000.000002183</v>
      </c>
      <c r="AC15" s="8">
        <f t="shared" si="16"/>
        <v>13.100000000002183</v>
      </c>
      <c r="AD15" s="8">
        <f t="shared" si="16"/>
        <v>40.217000000006699</v>
      </c>
    </row>
    <row r="16" spans="1:30" x14ac:dyDescent="0.25">
      <c r="A16" s="27">
        <v>38484</v>
      </c>
      <c r="B16" s="7">
        <f>'[7]May Prod'!I15</f>
        <v>12399999.999997817</v>
      </c>
      <c r="C16" s="8">
        <f t="shared" si="4"/>
        <v>12.399999999997817</v>
      </c>
      <c r="D16" s="10">
        <f t="shared" si="5"/>
        <v>38.067999999993297</v>
      </c>
      <c r="E16" s="7">
        <f>'[7]May Prod'!E15</f>
        <v>7000000</v>
      </c>
      <c r="F16" s="8">
        <f t="shared" si="6"/>
        <v>7</v>
      </c>
      <c r="G16" s="10">
        <f t="shared" si="7"/>
        <v>21.49</v>
      </c>
      <c r="H16" s="7">
        <f>'[7]May Prod'!F15</f>
        <v>6130000</v>
      </c>
      <c r="I16" s="8">
        <f t="shared" si="8"/>
        <v>6.13</v>
      </c>
      <c r="J16" s="10">
        <f t="shared" si="9"/>
        <v>18.819099999999999</v>
      </c>
      <c r="K16" s="7">
        <f>'[7]May Prod'!H270</f>
        <v>1208634</v>
      </c>
      <c r="L16" s="8">
        <f t="shared" si="10"/>
        <v>1.208634</v>
      </c>
      <c r="M16" s="10">
        <f t="shared" si="11"/>
        <v>3.7105063799999995</v>
      </c>
      <c r="N16" s="21"/>
      <c r="O16" s="7">
        <f>'[7]May Prod'!H15</f>
        <v>3273000</v>
      </c>
      <c r="P16" s="8">
        <f t="shared" si="12"/>
        <v>3.2730000000000001</v>
      </c>
      <c r="Q16" s="10">
        <f t="shared" si="0"/>
        <v>10.048109999999999</v>
      </c>
      <c r="R16" s="7">
        <f>'[7]May Prod'!C15</f>
        <v>3365000</v>
      </c>
      <c r="S16" s="8">
        <f t="shared" si="13"/>
        <v>3.3650000000000002</v>
      </c>
      <c r="T16" s="10">
        <f t="shared" si="1"/>
        <v>10.330550000000001</v>
      </c>
      <c r="U16" s="7">
        <f>'[7]May Prod'!D15</f>
        <v>0</v>
      </c>
      <c r="V16" s="8">
        <f t="shared" si="14"/>
        <v>0</v>
      </c>
      <c r="W16" s="10">
        <f t="shared" si="2"/>
        <v>0</v>
      </c>
      <c r="X16" s="7">
        <f>'[7]May Prod'!D270</f>
        <v>91999.999999999971</v>
      </c>
      <c r="Y16" s="8">
        <f t="shared" si="15"/>
        <v>9.1999999999999971E-2</v>
      </c>
      <c r="Z16" s="10">
        <f t="shared" si="3"/>
        <v>0.28243999999999991</v>
      </c>
      <c r="AA16" s="15"/>
      <c r="AB16" s="7">
        <f t="shared" si="16"/>
        <v>15672999.999997817</v>
      </c>
      <c r="AC16" s="8">
        <f t="shared" si="16"/>
        <v>15.672999999997817</v>
      </c>
      <c r="AD16" s="8">
        <f t="shared" si="16"/>
        <v>48.116109999993299</v>
      </c>
    </row>
    <row r="17" spans="1:30" x14ac:dyDescent="0.25">
      <c r="A17" s="27">
        <v>38485</v>
      </c>
      <c r="B17" s="7">
        <f>'[7]May Prod'!I16</f>
        <v>12600000.000002183</v>
      </c>
      <c r="C17" s="8">
        <f t="shared" si="4"/>
        <v>12.600000000002183</v>
      </c>
      <c r="D17" s="10">
        <f t="shared" si="5"/>
        <v>38.682000000006703</v>
      </c>
      <c r="E17" s="7">
        <f>'[7]May Prod'!E16</f>
        <v>2000000</v>
      </c>
      <c r="F17" s="8">
        <f t="shared" si="6"/>
        <v>2</v>
      </c>
      <c r="G17" s="10">
        <f t="shared" si="7"/>
        <v>6.14</v>
      </c>
      <c r="H17" s="7">
        <f>'[7]May Prod'!F16</f>
        <v>9830000</v>
      </c>
      <c r="I17" s="8">
        <f t="shared" si="8"/>
        <v>9.83</v>
      </c>
      <c r="J17" s="10">
        <f t="shared" si="9"/>
        <v>30.178099999999997</v>
      </c>
      <c r="K17" s="7">
        <f>'[7]May Prod'!H271</f>
        <v>1197085</v>
      </c>
      <c r="L17" s="8">
        <f t="shared" si="10"/>
        <v>1.197085</v>
      </c>
      <c r="M17" s="10">
        <f t="shared" si="11"/>
        <v>3.6750509499999997</v>
      </c>
      <c r="N17" s="21"/>
      <c r="O17" s="7">
        <f>'[7]May Prod'!H16</f>
        <v>6924000</v>
      </c>
      <c r="P17" s="8">
        <f t="shared" si="12"/>
        <v>6.9240000000000004</v>
      </c>
      <c r="Q17" s="10">
        <f t="shared" si="0"/>
        <v>21.256679999999999</v>
      </c>
      <c r="R17" s="7">
        <f>'[7]May Prod'!C16</f>
        <v>7236000</v>
      </c>
      <c r="S17" s="8">
        <f t="shared" si="13"/>
        <v>7.2359999999999998</v>
      </c>
      <c r="T17" s="10">
        <f t="shared" si="1"/>
        <v>22.214519999999997</v>
      </c>
      <c r="U17" s="7">
        <f>'[7]May Prod'!D16</f>
        <v>0</v>
      </c>
      <c r="V17" s="8">
        <f t="shared" si="14"/>
        <v>0</v>
      </c>
      <c r="W17" s="10">
        <f t="shared" si="2"/>
        <v>0</v>
      </c>
      <c r="X17" s="7">
        <f>'[7]May Prod'!D271</f>
        <v>312000</v>
      </c>
      <c r="Y17" s="8">
        <f t="shared" si="15"/>
        <v>0.312</v>
      </c>
      <c r="Z17" s="10">
        <f t="shared" si="3"/>
        <v>0.95783999999999991</v>
      </c>
      <c r="AA17" s="15"/>
      <c r="AB17" s="7">
        <f t="shared" si="16"/>
        <v>19524000.000002183</v>
      </c>
      <c r="AC17" s="8">
        <f t="shared" si="16"/>
        <v>19.524000000002182</v>
      </c>
      <c r="AD17" s="8">
        <f t="shared" si="16"/>
        <v>59.938680000006698</v>
      </c>
    </row>
    <row r="18" spans="1:30" x14ac:dyDescent="0.25">
      <c r="A18" s="27">
        <v>38486</v>
      </c>
      <c r="B18" s="7">
        <f>'[7]May Prod'!I17</f>
        <v>9899999.999997817</v>
      </c>
      <c r="C18" s="8">
        <f t="shared" si="4"/>
        <v>9.8999999999978172</v>
      </c>
      <c r="D18" s="10">
        <f t="shared" si="5"/>
        <v>30.392999999993297</v>
      </c>
      <c r="E18" s="7">
        <f>'[7]May Prod'!E17</f>
        <v>0</v>
      </c>
      <c r="F18" s="8">
        <f t="shared" si="6"/>
        <v>0</v>
      </c>
      <c r="G18" s="10">
        <f t="shared" si="7"/>
        <v>0</v>
      </c>
      <c r="H18" s="7">
        <f>'[7]May Prod'!F17</f>
        <v>9240000</v>
      </c>
      <c r="I18" s="8">
        <f t="shared" si="8"/>
        <v>9.24</v>
      </c>
      <c r="J18" s="10">
        <f t="shared" si="9"/>
        <v>28.366799999999998</v>
      </c>
      <c r="K18" s="7">
        <f>'[7]May Prod'!H272</f>
        <v>947683</v>
      </c>
      <c r="L18" s="8">
        <f t="shared" si="10"/>
        <v>0.94768300000000005</v>
      </c>
      <c r="M18" s="10">
        <f t="shared" si="11"/>
        <v>2.90938681</v>
      </c>
      <c r="N18" s="21"/>
      <c r="O18" s="7">
        <f>'[7]May Prod'!H17</f>
        <v>7841000</v>
      </c>
      <c r="P18" s="8">
        <f t="shared" si="12"/>
        <v>7.8410000000000002</v>
      </c>
      <c r="Q18" s="10">
        <f t="shared" si="0"/>
        <v>24.071870000000001</v>
      </c>
      <c r="R18" s="7">
        <f>'[7]May Prod'!C17</f>
        <v>7998000</v>
      </c>
      <c r="S18" s="8">
        <f t="shared" si="13"/>
        <v>7.9980000000000002</v>
      </c>
      <c r="T18" s="10">
        <f t="shared" si="1"/>
        <v>24.55386</v>
      </c>
      <c r="U18" s="7">
        <f>'[7]May Prod'!D17</f>
        <v>0</v>
      </c>
      <c r="V18" s="8">
        <f t="shared" si="14"/>
        <v>0</v>
      </c>
      <c r="W18" s="10">
        <f t="shared" si="2"/>
        <v>0</v>
      </c>
      <c r="X18" s="7">
        <f>'[7]May Prod'!D272</f>
        <v>157000.00000000003</v>
      </c>
      <c r="Y18" s="8">
        <f t="shared" si="15"/>
        <v>0.15700000000000003</v>
      </c>
      <c r="Z18" s="10">
        <f t="shared" si="3"/>
        <v>0.48199000000000009</v>
      </c>
      <c r="AA18" s="15"/>
      <c r="AB18" s="7">
        <f t="shared" si="16"/>
        <v>17740999.999997817</v>
      </c>
      <c r="AC18" s="8">
        <f t="shared" si="16"/>
        <v>17.740999999997818</v>
      </c>
      <c r="AD18" s="8">
        <f t="shared" si="16"/>
        <v>54.464869999993297</v>
      </c>
    </row>
    <row r="19" spans="1:30" x14ac:dyDescent="0.25">
      <c r="A19" s="27">
        <v>38487</v>
      </c>
      <c r="B19" s="7">
        <f>'[7]May Prod'!I18</f>
        <v>8700000.0000007283</v>
      </c>
      <c r="C19" s="8">
        <f t="shared" si="4"/>
        <v>8.7000000000007276</v>
      </c>
      <c r="D19" s="10">
        <f t="shared" si="5"/>
        <v>26.709000000002231</v>
      </c>
      <c r="E19" s="7">
        <f>'[7]May Prod'!E18</f>
        <v>0</v>
      </c>
      <c r="F19" s="8">
        <f t="shared" si="6"/>
        <v>0</v>
      </c>
      <c r="G19" s="10">
        <f t="shared" si="7"/>
        <v>0</v>
      </c>
      <c r="H19" s="7">
        <f>'[7]May Prod'!F18</f>
        <v>7900000</v>
      </c>
      <c r="I19" s="8">
        <f t="shared" si="8"/>
        <v>7.9</v>
      </c>
      <c r="J19" s="10">
        <f t="shared" si="9"/>
        <v>24.253</v>
      </c>
      <c r="K19" s="7">
        <f>'[7]May Prod'!H273</f>
        <v>828479</v>
      </c>
      <c r="L19" s="8">
        <f t="shared" si="10"/>
        <v>0.82847899999999997</v>
      </c>
      <c r="M19" s="10">
        <f t="shared" si="11"/>
        <v>2.5434305299999997</v>
      </c>
      <c r="N19" s="21"/>
      <c r="O19" s="7">
        <f>'[7]May Prod'!H18</f>
        <v>7762000</v>
      </c>
      <c r="P19" s="8">
        <f t="shared" si="12"/>
        <v>7.7619999999999996</v>
      </c>
      <c r="Q19" s="10">
        <f t="shared" si="0"/>
        <v>23.829339999999998</v>
      </c>
      <c r="R19" s="7">
        <f>'[7]May Prod'!C18</f>
        <v>8057000</v>
      </c>
      <c r="S19" s="8">
        <f t="shared" si="13"/>
        <v>8.0570000000000004</v>
      </c>
      <c r="T19" s="10">
        <f t="shared" si="1"/>
        <v>24.73499</v>
      </c>
      <c r="U19" s="7">
        <f>'[7]May Prod'!D18</f>
        <v>0</v>
      </c>
      <c r="V19" s="8">
        <f t="shared" si="14"/>
        <v>0</v>
      </c>
      <c r="W19" s="10">
        <f t="shared" si="2"/>
        <v>0</v>
      </c>
      <c r="X19" s="7">
        <f>'[7]May Prod'!D273</f>
        <v>294999.99999999994</v>
      </c>
      <c r="Y19" s="8">
        <f t="shared" si="15"/>
        <v>0.29499999999999993</v>
      </c>
      <c r="Z19" s="10">
        <f t="shared" si="3"/>
        <v>0.90564999999999973</v>
      </c>
      <c r="AA19" s="15"/>
      <c r="AB19" s="7">
        <f t="shared" si="16"/>
        <v>16462000.000000728</v>
      </c>
      <c r="AC19" s="8">
        <f t="shared" si="16"/>
        <v>16.462000000000728</v>
      </c>
      <c r="AD19" s="8">
        <f t="shared" si="16"/>
        <v>50.538340000002229</v>
      </c>
    </row>
    <row r="20" spans="1:30" x14ac:dyDescent="0.25">
      <c r="A20" s="27">
        <v>38488</v>
      </c>
      <c r="B20" s="7">
        <f>'[7]May Prod'!I19</f>
        <v>8200000.0000007274</v>
      </c>
      <c r="C20" s="8">
        <f t="shared" si="4"/>
        <v>8.2000000000007276</v>
      </c>
      <c r="D20" s="10">
        <f t="shared" si="5"/>
        <v>25.174000000002234</v>
      </c>
      <c r="E20" s="7">
        <f>'[7]May Prod'!E19</f>
        <v>0</v>
      </c>
      <c r="F20" s="8">
        <f t="shared" si="6"/>
        <v>0</v>
      </c>
      <c r="G20" s="10">
        <f t="shared" si="7"/>
        <v>0</v>
      </c>
      <c r="H20" s="7">
        <f>'[7]May Prod'!F19</f>
        <v>8060000.0000000009</v>
      </c>
      <c r="I20" s="8">
        <f t="shared" si="8"/>
        <v>8.06</v>
      </c>
      <c r="J20" s="10">
        <f t="shared" si="9"/>
        <v>24.744199999999999</v>
      </c>
      <c r="K20" s="7">
        <f>'[7]May Prod'!H274</f>
        <v>696161</v>
      </c>
      <c r="L20" s="8">
        <f t="shared" si="10"/>
        <v>0.69616100000000003</v>
      </c>
      <c r="M20" s="10">
        <f t="shared" si="11"/>
        <v>2.1372142699999999</v>
      </c>
      <c r="N20" s="21"/>
      <c r="O20" s="7">
        <f>'[7]May Prod'!H19</f>
        <v>8465000</v>
      </c>
      <c r="P20" s="8">
        <f t="shared" si="12"/>
        <v>8.4649999999999999</v>
      </c>
      <c r="Q20" s="10">
        <f t="shared" si="0"/>
        <v>25.987549999999999</v>
      </c>
      <c r="R20" s="7">
        <f>'[7]May Prod'!C19</f>
        <v>8859000</v>
      </c>
      <c r="S20" s="8">
        <f t="shared" si="13"/>
        <v>8.859</v>
      </c>
      <c r="T20" s="10">
        <f t="shared" si="1"/>
        <v>27.197129999999998</v>
      </c>
      <c r="U20" s="7">
        <f>'[7]May Prod'!D19</f>
        <v>0</v>
      </c>
      <c r="V20" s="8">
        <f t="shared" si="14"/>
        <v>0</v>
      </c>
      <c r="W20" s="10">
        <f t="shared" si="2"/>
        <v>0</v>
      </c>
      <c r="X20" s="7">
        <f>'[7]May Prod'!D274</f>
        <v>394000.00000000012</v>
      </c>
      <c r="Y20" s="8">
        <f t="shared" si="15"/>
        <v>0.39400000000000013</v>
      </c>
      <c r="Z20" s="10">
        <f t="shared" si="3"/>
        <v>1.2095800000000003</v>
      </c>
      <c r="AA20" s="15"/>
      <c r="AB20" s="7">
        <f t="shared" si="16"/>
        <v>16665000.000000726</v>
      </c>
      <c r="AC20" s="8">
        <f t="shared" si="16"/>
        <v>16.665000000000727</v>
      </c>
      <c r="AD20" s="8">
        <f t="shared" si="16"/>
        <v>51.161550000002237</v>
      </c>
    </row>
    <row r="21" spans="1:30" x14ac:dyDescent="0.25">
      <c r="A21" s="27">
        <v>38489</v>
      </c>
      <c r="B21" s="7">
        <f>'[7]May Prod'!I20</f>
        <v>7700000.0000007274</v>
      </c>
      <c r="C21" s="8">
        <f t="shared" si="4"/>
        <v>7.7000000000007276</v>
      </c>
      <c r="D21" s="10">
        <f t="shared" si="5"/>
        <v>23.639000000002234</v>
      </c>
      <c r="E21" s="7">
        <f>'[7]May Prod'!E20</f>
        <v>0</v>
      </c>
      <c r="F21" s="8">
        <f t="shared" si="6"/>
        <v>0</v>
      </c>
      <c r="G21" s="10">
        <f t="shared" si="7"/>
        <v>0</v>
      </c>
      <c r="H21" s="7">
        <f>'[7]May Prod'!F20</f>
        <v>7070000</v>
      </c>
      <c r="I21" s="8">
        <f t="shared" si="8"/>
        <v>7.07</v>
      </c>
      <c r="J21" s="10">
        <f t="shared" si="9"/>
        <v>21.704899999999999</v>
      </c>
      <c r="K21" s="7">
        <f>'[7]May Prod'!H275</f>
        <v>801159</v>
      </c>
      <c r="L21" s="8">
        <f t="shared" si="10"/>
        <v>0.80115899999999995</v>
      </c>
      <c r="M21" s="10">
        <f t="shared" si="11"/>
        <v>2.4595581299999996</v>
      </c>
      <c r="N21" s="21"/>
      <c r="O21" s="7">
        <f>'[7]May Prod'!H20</f>
        <v>6554000</v>
      </c>
      <c r="P21" s="8">
        <f t="shared" si="12"/>
        <v>6.5540000000000003</v>
      </c>
      <c r="Q21" s="10">
        <f t="shared" si="0"/>
        <v>20.12078</v>
      </c>
      <c r="R21" s="7">
        <f>'[7]May Prod'!C20</f>
        <v>7011000</v>
      </c>
      <c r="S21" s="8">
        <f t="shared" si="13"/>
        <v>7.0110000000000001</v>
      </c>
      <c r="T21" s="10">
        <f t="shared" si="1"/>
        <v>21.523769999999999</v>
      </c>
      <c r="U21" s="7">
        <f>'[7]May Prod'!D20</f>
        <v>0</v>
      </c>
      <c r="V21" s="8">
        <f t="shared" si="14"/>
        <v>0</v>
      </c>
      <c r="W21" s="10">
        <f t="shared" si="2"/>
        <v>0</v>
      </c>
      <c r="X21" s="7">
        <f>'[7]May Prod'!D275</f>
        <v>456999.99999999983</v>
      </c>
      <c r="Y21" s="8">
        <f t="shared" si="15"/>
        <v>0.45699999999999985</v>
      </c>
      <c r="Z21" s="10">
        <f t="shared" si="3"/>
        <v>1.4029899999999995</v>
      </c>
      <c r="AA21" s="15"/>
      <c r="AB21" s="7">
        <f t="shared" si="16"/>
        <v>14254000.000000726</v>
      </c>
      <c r="AC21" s="8">
        <f t="shared" si="16"/>
        <v>14.254000000000728</v>
      </c>
      <c r="AD21" s="8">
        <f t="shared" si="16"/>
        <v>43.759780000002237</v>
      </c>
    </row>
    <row r="22" spans="1:30" x14ac:dyDescent="0.25">
      <c r="A22" s="27">
        <v>38490</v>
      </c>
      <c r="B22" s="7">
        <f>'[7]May Prod'!I21</f>
        <v>7899999.999997817</v>
      </c>
      <c r="C22" s="8">
        <f t="shared" si="4"/>
        <v>7.8999999999978172</v>
      </c>
      <c r="D22" s="10">
        <f t="shared" si="5"/>
        <v>24.252999999993296</v>
      </c>
      <c r="E22" s="7">
        <f>'[7]May Prod'!E21</f>
        <v>0</v>
      </c>
      <c r="F22" s="8">
        <f t="shared" si="6"/>
        <v>0</v>
      </c>
      <c r="G22" s="10">
        <f t="shared" si="7"/>
        <v>0</v>
      </c>
      <c r="H22" s="7">
        <f>'[7]May Prod'!F21</f>
        <v>7290000</v>
      </c>
      <c r="I22" s="8">
        <f t="shared" si="8"/>
        <v>7.29</v>
      </c>
      <c r="J22" s="10">
        <f t="shared" si="9"/>
        <v>22.380299999999998</v>
      </c>
      <c r="K22" s="7">
        <f>'[7]May Prod'!H276</f>
        <v>871356</v>
      </c>
      <c r="L22" s="8">
        <f t="shared" si="10"/>
        <v>0.87135600000000002</v>
      </c>
      <c r="M22" s="10">
        <f t="shared" si="11"/>
        <v>2.6750629199999998</v>
      </c>
      <c r="N22" s="21"/>
      <c r="O22" s="7">
        <f>'[7]May Prod'!H21</f>
        <v>6072000</v>
      </c>
      <c r="P22" s="8">
        <f t="shared" si="12"/>
        <v>6.0720000000000001</v>
      </c>
      <c r="Q22" s="10">
        <f t="shared" si="0"/>
        <v>18.64104</v>
      </c>
      <c r="R22" s="7">
        <f>'[7]May Prod'!C21</f>
        <v>6442000</v>
      </c>
      <c r="S22" s="8">
        <f t="shared" si="13"/>
        <v>6.4420000000000002</v>
      </c>
      <c r="T22" s="10">
        <f t="shared" si="1"/>
        <v>19.77694</v>
      </c>
      <c r="U22" s="7">
        <f>'[7]May Prod'!D21</f>
        <v>0</v>
      </c>
      <c r="V22" s="8">
        <f t="shared" si="14"/>
        <v>0</v>
      </c>
      <c r="W22" s="10">
        <f t="shared" si="2"/>
        <v>0</v>
      </c>
      <c r="X22" s="7">
        <f>'[7]May Prod'!D276</f>
        <v>370000.00000000012</v>
      </c>
      <c r="Y22" s="8">
        <f t="shared" si="15"/>
        <v>0.37000000000000011</v>
      </c>
      <c r="Z22" s="10">
        <f t="shared" si="3"/>
        <v>1.1359000000000004</v>
      </c>
      <c r="AA22" s="15"/>
      <c r="AB22" s="7">
        <f t="shared" si="16"/>
        <v>13971999.999997817</v>
      </c>
      <c r="AC22" s="8">
        <f t="shared" si="16"/>
        <v>13.971999999997816</v>
      </c>
      <c r="AD22" s="8">
        <f t="shared" si="16"/>
        <v>42.894039999993296</v>
      </c>
    </row>
    <row r="23" spans="1:30" x14ac:dyDescent="0.25">
      <c r="A23" s="27">
        <v>38491</v>
      </c>
      <c r="B23" s="7">
        <f>'[7]May Prod'!I22</f>
        <v>10100000.000002183</v>
      </c>
      <c r="C23" s="8">
        <f t="shared" si="4"/>
        <v>10.100000000002183</v>
      </c>
      <c r="D23" s="10">
        <f t="shared" si="5"/>
        <v>31.007000000006698</v>
      </c>
      <c r="E23" s="7">
        <f>'[7]May Prod'!E22</f>
        <v>0</v>
      </c>
      <c r="F23" s="8">
        <f t="shared" si="6"/>
        <v>0</v>
      </c>
      <c r="G23" s="10">
        <f t="shared" si="7"/>
        <v>0</v>
      </c>
      <c r="H23" s="7">
        <f>'[7]May Prod'!F22</f>
        <v>9260000</v>
      </c>
      <c r="I23" s="8">
        <f t="shared" si="8"/>
        <v>9.26</v>
      </c>
      <c r="J23" s="10">
        <f t="shared" si="9"/>
        <v>28.428199999999997</v>
      </c>
      <c r="K23" s="7">
        <f>'[7]May Prod'!H277</f>
        <v>928644</v>
      </c>
      <c r="L23" s="8">
        <f t="shared" si="10"/>
        <v>0.92864400000000002</v>
      </c>
      <c r="M23" s="10">
        <f t="shared" si="11"/>
        <v>2.85093708</v>
      </c>
      <c r="N23" s="21"/>
      <c r="O23" s="7">
        <f>'[7]May Prod'!H22</f>
        <v>6319000</v>
      </c>
      <c r="P23" s="8">
        <f t="shared" si="12"/>
        <v>6.319</v>
      </c>
      <c r="Q23" s="10">
        <f t="shared" si="0"/>
        <v>19.399329999999999</v>
      </c>
      <c r="R23" s="7">
        <f>'[7]May Prod'!C22</f>
        <v>6601000</v>
      </c>
      <c r="S23" s="8">
        <f t="shared" si="13"/>
        <v>6.601</v>
      </c>
      <c r="T23" s="10">
        <f t="shared" si="1"/>
        <v>20.265069999999998</v>
      </c>
      <c r="U23" s="7">
        <f>'[7]May Prod'!D22</f>
        <v>0</v>
      </c>
      <c r="V23" s="8">
        <f t="shared" si="14"/>
        <v>0</v>
      </c>
      <c r="W23" s="10">
        <f t="shared" si="2"/>
        <v>0</v>
      </c>
      <c r="X23" s="7">
        <f>'[7]May Prod'!D277</f>
        <v>282000</v>
      </c>
      <c r="Y23" s="8">
        <f t="shared" si="15"/>
        <v>0.28199999999999997</v>
      </c>
      <c r="Z23" s="10">
        <f t="shared" si="3"/>
        <v>0.86573999999999984</v>
      </c>
      <c r="AA23" s="15"/>
      <c r="AB23" s="7">
        <f t="shared" si="16"/>
        <v>16419000.000002183</v>
      </c>
      <c r="AC23" s="8">
        <f t="shared" si="16"/>
        <v>16.419000000002182</v>
      </c>
      <c r="AD23" s="8">
        <f t="shared" si="16"/>
        <v>50.406330000006697</v>
      </c>
    </row>
    <row r="24" spans="1:30" x14ac:dyDescent="0.25">
      <c r="A24" s="27">
        <v>38492</v>
      </c>
      <c r="B24" s="7">
        <f>'[7]May Prod'!I23</f>
        <v>13399999.999997817</v>
      </c>
      <c r="C24" s="8">
        <f t="shared" si="4"/>
        <v>13.399999999997817</v>
      </c>
      <c r="D24" s="10">
        <f t="shared" si="5"/>
        <v>41.137999999993298</v>
      </c>
      <c r="E24" s="7">
        <f>'[7]May Prod'!E23</f>
        <v>0</v>
      </c>
      <c r="F24" s="8">
        <f t="shared" si="6"/>
        <v>0</v>
      </c>
      <c r="G24" s="10">
        <f t="shared" si="7"/>
        <v>0</v>
      </c>
      <c r="H24" s="7">
        <f>'[7]May Prod'!F23</f>
        <v>12200000.000000002</v>
      </c>
      <c r="I24" s="8">
        <f t="shared" si="8"/>
        <v>12.200000000000001</v>
      </c>
      <c r="J24" s="10">
        <f t="shared" si="9"/>
        <v>37.454000000000001</v>
      </c>
      <c r="K24" s="7">
        <f>'[7]May Prod'!H278</f>
        <v>845674</v>
      </c>
      <c r="L24" s="8">
        <f t="shared" si="10"/>
        <v>0.84567400000000004</v>
      </c>
      <c r="M24" s="10">
        <f t="shared" si="11"/>
        <v>2.5962191799999998</v>
      </c>
      <c r="N24" s="21"/>
      <c r="O24" s="7">
        <f>'[7]May Prod'!H23</f>
        <v>9184000</v>
      </c>
      <c r="P24" s="8">
        <f t="shared" si="12"/>
        <v>9.1839999999999993</v>
      </c>
      <c r="Q24" s="10">
        <f t="shared" si="0"/>
        <v>28.194879999999998</v>
      </c>
      <c r="R24" s="7">
        <f>'[7]May Prod'!C23</f>
        <v>9484000</v>
      </c>
      <c r="S24" s="8">
        <f t="shared" si="13"/>
        <v>9.484</v>
      </c>
      <c r="T24" s="10">
        <f t="shared" si="1"/>
        <v>29.115879999999997</v>
      </c>
      <c r="U24" s="7">
        <f>'[7]May Prod'!D23</f>
        <v>0</v>
      </c>
      <c r="V24" s="8">
        <f t="shared" si="14"/>
        <v>0</v>
      </c>
      <c r="W24" s="10">
        <f t="shared" si="2"/>
        <v>0</v>
      </c>
      <c r="X24" s="7">
        <f>'[7]May Prod'!D278</f>
        <v>299999.99999999983</v>
      </c>
      <c r="Y24" s="8">
        <f t="shared" si="15"/>
        <v>0.29999999999999982</v>
      </c>
      <c r="Z24" s="10">
        <f t="shared" si="3"/>
        <v>0.92099999999999937</v>
      </c>
      <c r="AA24" s="15"/>
      <c r="AB24" s="7">
        <f t="shared" si="16"/>
        <v>22583999.999997817</v>
      </c>
      <c r="AC24" s="8">
        <f t="shared" si="16"/>
        <v>22.583999999997815</v>
      </c>
      <c r="AD24" s="8">
        <f t="shared" si="16"/>
        <v>69.332879999993295</v>
      </c>
    </row>
    <row r="25" spans="1:30" x14ac:dyDescent="0.25">
      <c r="A25" s="27">
        <v>38493</v>
      </c>
      <c r="B25" s="7">
        <f>'[7]May Prod'!I24</f>
        <v>9100000.000002183</v>
      </c>
      <c r="C25" s="8">
        <f t="shared" si="4"/>
        <v>9.1000000000021828</v>
      </c>
      <c r="D25" s="10">
        <f t="shared" si="5"/>
        <v>27.937000000006698</v>
      </c>
      <c r="E25" s="7">
        <f>'[7]May Prod'!E24</f>
        <v>0</v>
      </c>
      <c r="F25" s="8">
        <f t="shared" si="6"/>
        <v>0</v>
      </c>
      <c r="G25" s="10">
        <f t="shared" si="7"/>
        <v>0</v>
      </c>
      <c r="H25" s="7">
        <f>'[7]May Prod'!F24</f>
        <v>9060000</v>
      </c>
      <c r="I25" s="8">
        <f t="shared" si="8"/>
        <v>9.06</v>
      </c>
      <c r="J25" s="10">
        <f t="shared" si="9"/>
        <v>27.8142</v>
      </c>
      <c r="K25" s="7">
        <f>'[7]May Prod'!H279</f>
        <v>923707</v>
      </c>
      <c r="L25" s="8">
        <f t="shared" si="10"/>
        <v>0.92370699999999994</v>
      </c>
      <c r="M25" s="10">
        <f t="shared" si="11"/>
        <v>2.8357804899999999</v>
      </c>
      <c r="N25" s="21"/>
      <c r="O25" s="7">
        <f>'[7]May Prod'!H24</f>
        <v>10710000</v>
      </c>
      <c r="P25" s="8">
        <f t="shared" si="12"/>
        <v>10.71</v>
      </c>
      <c r="Q25" s="10">
        <f t="shared" si="0"/>
        <v>32.8797</v>
      </c>
      <c r="R25" s="7">
        <f>'[7]May Prod'!C24</f>
        <v>11066000</v>
      </c>
      <c r="S25" s="8">
        <f t="shared" si="13"/>
        <v>11.066000000000001</v>
      </c>
      <c r="T25" s="10">
        <f t="shared" si="1"/>
        <v>33.972619999999999</v>
      </c>
      <c r="U25" s="7">
        <f>'[7]May Prod'!D24</f>
        <v>0</v>
      </c>
      <c r="V25" s="8">
        <f t="shared" si="14"/>
        <v>0</v>
      </c>
      <c r="W25" s="10">
        <f t="shared" si="2"/>
        <v>0</v>
      </c>
      <c r="X25" s="7">
        <f>'[7]May Prod'!D279</f>
        <v>356000.00000000029</v>
      </c>
      <c r="Y25" s="8">
        <f t="shared" si="15"/>
        <v>0.35600000000000032</v>
      </c>
      <c r="Z25" s="10">
        <f t="shared" si="3"/>
        <v>1.092920000000001</v>
      </c>
      <c r="AA25" s="15"/>
      <c r="AB25" s="7">
        <f t="shared" si="16"/>
        <v>19810000.000002183</v>
      </c>
      <c r="AC25" s="8">
        <f t="shared" si="16"/>
        <v>19.810000000002184</v>
      </c>
      <c r="AD25" s="8">
        <f t="shared" si="16"/>
        <v>60.816700000006698</v>
      </c>
    </row>
    <row r="26" spans="1:30" x14ac:dyDescent="0.25">
      <c r="A26" s="27">
        <v>38494</v>
      </c>
      <c r="B26" s="7">
        <f>'[7]May Prod'!I25</f>
        <v>9099999.9999985453</v>
      </c>
      <c r="C26" s="8">
        <f t="shared" si="4"/>
        <v>9.0999999999985448</v>
      </c>
      <c r="D26" s="10">
        <f t="shared" si="5"/>
        <v>27.936999999995532</v>
      </c>
      <c r="E26" s="7">
        <f>'[7]May Prod'!E25</f>
        <v>0</v>
      </c>
      <c r="F26" s="8">
        <f t="shared" si="6"/>
        <v>0</v>
      </c>
      <c r="G26" s="10">
        <f t="shared" si="7"/>
        <v>0</v>
      </c>
      <c r="H26" s="7">
        <f>'[7]May Prod'!F25</f>
        <v>8330000</v>
      </c>
      <c r="I26" s="8">
        <f t="shared" si="8"/>
        <v>8.33</v>
      </c>
      <c r="J26" s="10">
        <f t="shared" si="9"/>
        <v>25.5731</v>
      </c>
      <c r="K26" s="7">
        <f>'[7]May Prod'!H280</f>
        <v>962260</v>
      </c>
      <c r="L26" s="8">
        <f t="shared" si="10"/>
        <v>0.96226</v>
      </c>
      <c r="M26" s="10">
        <f t="shared" si="11"/>
        <v>2.9541382</v>
      </c>
      <c r="N26" s="21"/>
      <c r="O26" s="7">
        <f>'[7]May Prod'!H25</f>
        <v>11796000</v>
      </c>
      <c r="P26" s="8">
        <f t="shared" si="12"/>
        <v>11.795999999999999</v>
      </c>
      <c r="Q26" s="10">
        <f t="shared" si="0"/>
        <v>36.213719999999995</v>
      </c>
      <c r="R26" s="7">
        <f>'[7]May Prod'!C25</f>
        <v>12161000</v>
      </c>
      <c r="S26" s="8">
        <f t="shared" si="13"/>
        <v>12.161</v>
      </c>
      <c r="T26" s="10">
        <f t="shared" si="1"/>
        <v>37.334269999999997</v>
      </c>
      <c r="U26" s="7">
        <f>'[7]May Prod'!D25</f>
        <v>0</v>
      </c>
      <c r="V26" s="8">
        <f t="shared" si="14"/>
        <v>0</v>
      </c>
      <c r="W26" s="10">
        <f t="shared" si="2"/>
        <v>0</v>
      </c>
      <c r="X26" s="7">
        <f>'[7]May Prod'!D280</f>
        <v>364999.99999999977</v>
      </c>
      <c r="Y26" s="8">
        <f t="shared" si="15"/>
        <v>0.36499999999999977</v>
      </c>
      <c r="Z26" s="10">
        <f t="shared" si="3"/>
        <v>1.1205499999999993</v>
      </c>
      <c r="AA26" s="15"/>
      <c r="AB26" s="7">
        <f t="shared" si="16"/>
        <v>20895999.999998547</v>
      </c>
      <c r="AC26" s="8">
        <f t="shared" si="16"/>
        <v>20.895999999998544</v>
      </c>
      <c r="AD26" s="8">
        <f t="shared" si="16"/>
        <v>64.15071999999553</v>
      </c>
    </row>
    <row r="27" spans="1:30" x14ac:dyDescent="0.25">
      <c r="A27" s="27">
        <v>38495</v>
      </c>
      <c r="B27" s="7">
        <f>'[7]May Prod'!I26</f>
        <v>10299999.999999272</v>
      </c>
      <c r="C27" s="8">
        <f t="shared" si="4"/>
        <v>10.299999999999272</v>
      </c>
      <c r="D27" s="10">
        <f t="shared" si="5"/>
        <v>31.620999999997764</v>
      </c>
      <c r="E27" s="7">
        <f>'[7]May Prod'!E26</f>
        <v>0</v>
      </c>
      <c r="F27" s="8">
        <f t="shared" si="6"/>
        <v>0</v>
      </c>
      <c r="G27" s="10">
        <f t="shared" si="7"/>
        <v>0</v>
      </c>
      <c r="H27" s="7">
        <f>'[7]May Prod'!F26</f>
        <v>9610000</v>
      </c>
      <c r="I27" s="8">
        <f t="shared" si="8"/>
        <v>9.61</v>
      </c>
      <c r="J27" s="10">
        <f t="shared" si="9"/>
        <v>29.502699999999997</v>
      </c>
      <c r="K27" s="7">
        <f>'[7]May Prod'!H281</f>
        <v>1012996</v>
      </c>
      <c r="L27" s="8">
        <f t="shared" si="10"/>
        <v>1.012996</v>
      </c>
      <c r="M27" s="10">
        <f t="shared" si="11"/>
        <v>3.1098977199999998</v>
      </c>
      <c r="N27" s="21"/>
      <c r="O27" s="7">
        <f>'[7]May Prod'!H26</f>
        <v>12491000</v>
      </c>
      <c r="P27" s="8">
        <f t="shared" si="12"/>
        <v>12.491</v>
      </c>
      <c r="Q27" s="10">
        <f t="shared" si="0"/>
        <v>38.347369999999998</v>
      </c>
      <c r="R27" s="7">
        <f>'[7]May Prod'!C26</f>
        <v>12948000</v>
      </c>
      <c r="S27" s="8">
        <f t="shared" si="13"/>
        <v>12.948</v>
      </c>
      <c r="T27" s="10">
        <f t="shared" si="1"/>
        <v>39.750360000000001</v>
      </c>
      <c r="U27" s="7">
        <f>'[7]May Prod'!D26</f>
        <v>0</v>
      </c>
      <c r="V27" s="8">
        <f t="shared" si="14"/>
        <v>0</v>
      </c>
      <c r="W27" s="10">
        <f t="shared" si="2"/>
        <v>0</v>
      </c>
      <c r="X27" s="7">
        <f>'[7]May Prod'!D281</f>
        <v>457000.00000000029</v>
      </c>
      <c r="Y27" s="8">
        <f t="shared" si="15"/>
        <v>0.45700000000000029</v>
      </c>
      <c r="Z27" s="10">
        <f t="shared" si="3"/>
        <v>1.4029900000000008</v>
      </c>
      <c r="AA27" s="15"/>
      <c r="AB27" s="7">
        <f t="shared" si="16"/>
        <v>22790999.99999927</v>
      </c>
      <c r="AC27" s="8">
        <f t="shared" si="16"/>
        <v>22.790999999999272</v>
      </c>
      <c r="AD27" s="8">
        <f t="shared" si="16"/>
        <v>69.968369999997762</v>
      </c>
    </row>
    <row r="28" spans="1:30" x14ac:dyDescent="0.25">
      <c r="A28" s="27">
        <v>38496</v>
      </c>
      <c r="B28" s="7">
        <f>'[7]May Prod'!I27</f>
        <v>8600000.000002183</v>
      </c>
      <c r="C28" s="8">
        <f t="shared" si="4"/>
        <v>8.6000000000021828</v>
      </c>
      <c r="D28" s="10">
        <f t="shared" si="5"/>
        <v>26.402000000006701</v>
      </c>
      <c r="E28" s="7">
        <f>'[7]May Prod'!E27</f>
        <v>0</v>
      </c>
      <c r="F28" s="8">
        <f t="shared" si="6"/>
        <v>0</v>
      </c>
      <c r="G28" s="10">
        <f t="shared" si="7"/>
        <v>0</v>
      </c>
      <c r="H28" s="7">
        <f>'[7]May Prod'!F27</f>
        <v>8080000</v>
      </c>
      <c r="I28" s="8">
        <f t="shared" si="8"/>
        <v>8.08</v>
      </c>
      <c r="J28" s="10">
        <f t="shared" si="9"/>
        <v>24.805599999999998</v>
      </c>
      <c r="K28" s="7">
        <f>'[7]May Prod'!H282</f>
        <v>940455</v>
      </c>
      <c r="L28" s="8">
        <f t="shared" si="10"/>
        <v>0.94045500000000004</v>
      </c>
      <c r="M28" s="10">
        <f t="shared" si="11"/>
        <v>2.88719685</v>
      </c>
      <c r="N28" s="21"/>
      <c r="O28" s="7">
        <f>'[7]May Prod'!H27</f>
        <v>10713000</v>
      </c>
      <c r="P28" s="8">
        <f t="shared" si="12"/>
        <v>10.712999999999999</v>
      </c>
      <c r="Q28" s="10">
        <f t="shared" si="0"/>
        <v>32.888909999999996</v>
      </c>
      <c r="R28" s="7">
        <f>'[7]May Prod'!C27</f>
        <v>11105000</v>
      </c>
      <c r="S28" s="8">
        <f t="shared" si="13"/>
        <v>11.105</v>
      </c>
      <c r="T28" s="10">
        <f t="shared" si="1"/>
        <v>34.092349999999996</v>
      </c>
      <c r="U28" s="7">
        <f>'[7]May Prod'!D27</f>
        <v>0</v>
      </c>
      <c r="V28" s="8">
        <f t="shared" si="14"/>
        <v>0</v>
      </c>
      <c r="W28" s="10">
        <f t="shared" si="2"/>
        <v>0</v>
      </c>
      <c r="X28" s="7">
        <f>'[7]May Prod'!D282</f>
        <v>391999.99999999948</v>
      </c>
      <c r="Y28" s="8">
        <f t="shared" si="15"/>
        <v>0.39199999999999946</v>
      </c>
      <c r="Z28" s="10">
        <f t="shared" si="3"/>
        <v>1.2034399999999983</v>
      </c>
      <c r="AA28" s="15"/>
      <c r="AB28" s="7">
        <f t="shared" si="16"/>
        <v>19313000.000002183</v>
      </c>
      <c r="AC28" s="8">
        <f t="shared" si="16"/>
        <v>19.313000000002184</v>
      </c>
      <c r="AD28" s="8">
        <f t="shared" si="16"/>
        <v>59.290910000006697</v>
      </c>
    </row>
    <row r="29" spans="1:30" x14ac:dyDescent="0.25">
      <c r="A29" s="27">
        <v>38497</v>
      </c>
      <c r="B29" s="7">
        <f>'[7]May Prod'!I28</f>
        <v>9199999.9999970905</v>
      </c>
      <c r="C29" s="8">
        <f t="shared" si="4"/>
        <v>9.1999999999970914</v>
      </c>
      <c r="D29" s="10">
        <f t="shared" si="5"/>
        <v>28.243999999991068</v>
      </c>
      <c r="E29" s="7">
        <f>'[7]May Prod'!E28</f>
        <v>0</v>
      </c>
      <c r="F29" s="8">
        <f t="shared" si="6"/>
        <v>0</v>
      </c>
      <c r="G29" s="10">
        <f t="shared" si="7"/>
        <v>0</v>
      </c>
      <c r="H29" s="7">
        <f>'[7]May Prod'!F28</f>
        <v>8850000</v>
      </c>
      <c r="I29" s="8">
        <f t="shared" si="8"/>
        <v>8.85</v>
      </c>
      <c r="J29" s="10">
        <f t="shared" si="9"/>
        <v>27.169499999999996</v>
      </c>
      <c r="K29" s="7">
        <f>'[7]May Prod'!H283</f>
        <v>922941</v>
      </c>
      <c r="L29" s="8">
        <f t="shared" si="10"/>
        <v>0.92294100000000001</v>
      </c>
      <c r="M29" s="10">
        <f t="shared" si="11"/>
        <v>2.8334288700000001</v>
      </c>
      <c r="N29" s="21"/>
      <c r="O29" s="7">
        <f>'[7]May Prod'!H28</f>
        <v>12013000</v>
      </c>
      <c r="P29" s="8">
        <f t="shared" si="12"/>
        <v>12.013</v>
      </c>
      <c r="Q29" s="10">
        <f t="shared" si="0"/>
        <v>36.879909999999995</v>
      </c>
      <c r="R29" s="7">
        <f>'[7]May Prod'!C28</f>
        <v>12449000</v>
      </c>
      <c r="S29" s="8">
        <f t="shared" si="13"/>
        <v>12.449</v>
      </c>
      <c r="T29" s="10">
        <f t="shared" si="1"/>
        <v>38.218429999999998</v>
      </c>
      <c r="U29" s="7">
        <f>'[7]May Prod'!D28</f>
        <v>0</v>
      </c>
      <c r="V29" s="8">
        <f t="shared" si="14"/>
        <v>0</v>
      </c>
      <c r="W29" s="10">
        <f t="shared" si="2"/>
        <v>0</v>
      </c>
      <c r="X29" s="7">
        <f>'[7]May Prod'!D283</f>
        <v>435999.99999999994</v>
      </c>
      <c r="Y29" s="8">
        <f t="shared" si="15"/>
        <v>0.43599999999999994</v>
      </c>
      <c r="Z29" s="10">
        <f t="shared" si="3"/>
        <v>1.3385199999999997</v>
      </c>
      <c r="AA29" s="15"/>
      <c r="AB29" s="7">
        <f t="shared" si="16"/>
        <v>21212999.999997091</v>
      </c>
      <c r="AC29" s="8">
        <f t="shared" si="16"/>
        <v>21.212999999997091</v>
      </c>
      <c r="AD29" s="8">
        <f t="shared" si="16"/>
        <v>65.123909999991071</v>
      </c>
    </row>
    <row r="30" spans="1:30" x14ac:dyDescent="0.25">
      <c r="A30" s="27">
        <v>38498</v>
      </c>
      <c r="B30" s="7">
        <f>'[7]May Prod'!I29</f>
        <v>7200000.0000007274</v>
      </c>
      <c r="C30" s="8">
        <f t="shared" si="4"/>
        <v>7.2000000000007276</v>
      </c>
      <c r="D30" s="10">
        <f t="shared" si="5"/>
        <v>22.104000000002234</v>
      </c>
      <c r="E30" s="7">
        <f>'[7]May Prod'!E29</f>
        <v>0</v>
      </c>
      <c r="F30" s="8">
        <f t="shared" si="6"/>
        <v>0</v>
      </c>
      <c r="G30" s="10">
        <f t="shared" si="7"/>
        <v>0</v>
      </c>
      <c r="H30" s="7">
        <f>'[7]May Prod'!F29</f>
        <v>6060000</v>
      </c>
      <c r="I30" s="8">
        <f t="shared" si="8"/>
        <v>6.06</v>
      </c>
      <c r="J30" s="10">
        <f t="shared" si="9"/>
        <v>18.604199999999999</v>
      </c>
      <c r="K30" s="7">
        <f>'[7]May Prod'!H284</f>
        <v>753248</v>
      </c>
      <c r="L30" s="8">
        <f t="shared" si="10"/>
        <v>0.75324800000000003</v>
      </c>
      <c r="M30" s="10">
        <f t="shared" si="11"/>
        <v>2.31247136</v>
      </c>
      <c r="N30" s="21"/>
      <c r="O30" s="7">
        <f>'[7]May Prod'!H29</f>
        <v>10474000</v>
      </c>
      <c r="P30" s="8">
        <f t="shared" si="12"/>
        <v>10.474</v>
      </c>
      <c r="Q30" s="10">
        <f t="shared" si="0"/>
        <v>32.155180000000001</v>
      </c>
      <c r="R30" s="7">
        <f>'[7]May Prod'!C29</f>
        <v>10918000</v>
      </c>
      <c r="S30" s="8">
        <f t="shared" si="13"/>
        <v>10.917999999999999</v>
      </c>
      <c r="T30" s="10">
        <f t="shared" si="1"/>
        <v>33.518259999999998</v>
      </c>
      <c r="U30" s="7">
        <f>'[7]May Prod'!D29</f>
        <v>0</v>
      </c>
      <c r="V30" s="8">
        <f t="shared" si="14"/>
        <v>0</v>
      </c>
      <c r="W30" s="10">
        <f t="shared" si="2"/>
        <v>0</v>
      </c>
      <c r="X30" s="7">
        <f>'[7]May Prod'!D284</f>
        <v>443999.99999999994</v>
      </c>
      <c r="Y30" s="8">
        <f t="shared" si="15"/>
        <v>0.44399999999999995</v>
      </c>
      <c r="Z30" s="10">
        <f t="shared" si="3"/>
        <v>1.3630799999999998</v>
      </c>
      <c r="AA30" s="15"/>
      <c r="AB30" s="7">
        <f t="shared" si="16"/>
        <v>17674000.000000726</v>
      </c>
      <c r="AC30" s="8">
        <f t="shared" si="16"/>
        <v>17.674000000000728</v>
      </c>
      <c r="AD30" s="8">
        <f t="shared" si="16"/>
        <v>54.259180000002232</v>
      </c>
    </row>
    <row r="31" spans="1:30" x14ac:dyDescent="0.25">
      <c r="A31" s="27">
        <v>38499</v>
      </c>
      <c r="B31" s="7">
        <f>'[7]May Prod'!I30</f>
        <v>6000000</v>
      </c>
      <c r="C31" s="8">
        <f t="shared" si="4"/>
        <v>6</v>
      </c>
      <c r="D31" s="10">
        <f t="shared" si="5"/>
        <v>18.419999999999998</v>
      </c>
      <c r="E31" s="7">
        <f>'[7]May Prod'!E30</f>
        <v>0</v>
      </c>
      <c r="F31" s="8">
        <f t="shared" si="6"/>
        <v>0</v>
      </c>
      <c r="G31" s="10">
        <f t="shared" si="7"/>
        <v>0</v>
      </c>
      <c r="H31" s="7">
        <f>'[7]May Prod'!F30</f>
        <v>5850000.0000000009</v>
      </c>
      <c r="I31" s="8">
        <f t="shared" si="8"/>
        <v>5.8500000000000005</v>
      </c>
      <c r="J31" s="10">
        <f t="shared" si="9"/>
        <v>17.959500000000002</v>
      </c>
      <c r="K31" s="7">
        <f>'[7]May Prod'!H285</f>
        <v>693646</v>
      </c>
      <c r="L31" s="8">
        <f t="shared" si="10"/>
        <v>0.69364599999999998</v>
      </c>
      <c r="M31" s="10">
        <f t="shared" si="11"/>
        <v>2.1294932199999996</v>
      </c>
      <c r="N31" s="21"/>
      <c r="O31" s="7">
        <f>'[7]May Prod'!H30</f>
        <v>8443000</v>
      </c>
      <c r="P31" s="8">
        <f t="shared" si="12"/>
        <v>8.4429999999999996</v>
      </c>
      <c r="Q31" s="10">
        <f t="shared" si="0"/>
        <v>25.920009999999998</v>
      </c>
      <c r="R31" s="7">
        <f>'[7]May Prod'!C30</f>
        <v>8904000</v>
      </c>
      <c r="S31" s="8">
        <f t="shared" si="13"/>
        <v>8.9039999999999999</v>
      </c>
      <c r="T31" s="10">
        <f t="shared" si="1"/>
        <v>27.335279999999997</v>
      </c>
      <c r="U31" s="7">
        <f>'[7]May Prod'!D30</f>
        <v>0</v>
      </c>
      <c r="V31" s="8">
        <f t="shared" si="14"/>
        <v>0</v>
      </c>
      <c r="W31" s="10">
        <f t="shared" si="2"/>
        <v>0</v>
      </c>
      <c r="X31" s="7">
        <f>'[7]May Prod'!D285</f>
        <v>461000.00000000029</v>
      </c>
      <c r="Y31" s="8">
        <f t="shared" si="15"/>
        <v>0.4610000000000003</v>
      </c>
      <c r="Z31" s="10">
        <f t="shared" si="3"/>
        <v>1.4152700000000009</v>
      </c>
      <c r="AA31" s="15"/>
      <c r="AB31" s="7">
        <f t="shared" si="16"/>
        <v>14443000</v>
      </c>
      <c r="AC31" s="8">
        <f t="shared" si="16"/>
        <v>14.443</v>
      </c>
      <c r="AD31" s="8">
        <f t="shared" si="16"/>
        <v>44.340009999999992</v>
      </c>
    </row>
    <row r="32" spans="1:30" x14ac:dyDescent="0.25">
      <c r="A32" s="27">
        <v>38500</v>
      </c>
      <c r="B32" s="7">
        <f>'[7]May Prod'!I31</f>
        <v>9500000</v>
      </c>
      <c r="C32" s="8">
        <f t="shared" si="4"/>
        <v>9.5</v>
      </c>
      <c r="D32" s="10">
        <f t="shared" si="5"/>
        <v>29.164999999999999</v>
      </c>
      <c r="E32" s="7">
        <f>'[7]May Prod'!E31</f>
        <v>0</v>
      </c>
      <c r="F32" s="8">
        <f t="shared" si="6"/>
        <v>0</v>
      </c>
      <c r="G32" s="10">
        <f t="shared" si="7"/>
        <v>0</v>
      </c>
      <c r="H32" s="7">
        <f>'[7]May Prod'!F31</f>
        <v>9080000</v>
      </c>
      <c r="I32" s="8">
        <f t="shared" si="8"/>
        <v>9.08</v>
      </c>
      <c r="J32" s="10">
        <f t="shared" si="9"/>
        <v>27.875599999999999</v>
      </c>
      <c r="K32" s="7">
        <f>'[7]May Prod'!H286</f>
        <v>25000</v>
      </c>
      <c r="L32" s="8">
        <f t="shared" si="10"/>
        <v>2.5000000000000001E-2</v>
      </c>
      <c r="M32" s="10">
        <f t="shared" si="11"/>
        <v>7.6749999999999999E-2</v>
      </c>
      <c r="N32" s="21"/>
      <c r="O32" s="7">
        <f>'[7]May Prod'!H31</f>
        <v>11662000</v>
      </c>
      <c r="P32" s="8">
        <f t="shared" si="12"/>
        <v>11.662000000000001</v>
      </c>
      <c r="Q32" s="10">
        <f t="shared" si="0"/>
        <v>35.802340000000001</v>
      </c>
      <c r="R32" s="7">
        <f>'[7]May Prod'!C31</f>
        <v>12106000</v>
      </c>
      <c r="S32" s="8">
        <f t="shared" si="13"/>
        <v>12.106</v>
      </c>
      <c r="T32" s="10">
        <f t="shared" si="1"/>
        <v>37.165419999999997</v>
      </c>
      <c r="U32" s="7">
        <f>'[7]May Prod'!D31</f>
        <v>0</v>
      </c>
      <c r="V32" s="8">
        <f t="shared" si="14"/>
        <v>0</v>
      </c>
      <c r="W32" s="10">
        <f t="shared" si="2"/>
        <v>0</v>
      </c>
      <c r="X32" s="7">
        <f>'[7]May Prod'!D286</f>
        <v>443999.99999999994</v>
      </c>
      <c r="Y32" s="8">
        <f t="shared" si="15"/>
        <v>0.44399999999999995</v>
      </c>
      <c r="Z32" s="10">
        <f t="shared" si="3"/>
        <v>1.3630799999999998</v>
      </c>
      <c r="AA32" s="15"/>
      <c r="AB32" s="7">
        <f t="shared" si="16"/>
        <v>21162000</v>
      </c>
      <c r="AC32" s="8">
        <f t="shared" si="16"/>
        <v>21.161999999999999</v>
      </c>
      <c r="AD32" s="8">
        <f t="shared" si="16"/>
        <v>64.967340000000007</v>
      </c>
    </row>
    <row r="33" spans="1:30" x14ac:dyDescent="0.25">
      <c r="A33" s="27">
        <v>38501</v>
      </c>
      <c r="B33" s="7">
        <f>'[7]May Prod'!I32</f>
        <v>7900000.0000014547</v>
      </c>
      <c r="C33" s="8">
        <f t="shared" si="4"/>
        <v>7.9000000000014543</v>
      </c>
      <c r="D33" s="10">
        <f t="shared" si="5"/>
        <v>24.253000000004462</v>
      </c>
      <c r="E33" s="7">
        <f>'[7]May Prod'!E32</f>
        <v>0</v>
      </c>
      <c r="F33" s="8">
        <f t="shared" si="6"/>
        <v>0</v>
      </c>
      <c r="G33" s="10">
        <f t="shared" si="7"/>
        <v>0</v>
      </c>
      <c r="H33" s="7">
        <f>'[7]May Prod'!F32</f>
        <v>7140000.0000000009</v>
      </c>
      <c r="I33" s="8">
        <f t="shared" si="8"/>
        <v>7.1400000000000006</v>
      </c>
      <c r="J33" s="10">
        <f t="shared" si="9"/>
        <v>21.919800000000002</v>
      </c>
      <c r="K33" s="7">
        <f>'[7]May Prod'!H287</f>
        <v>851647</v>
      </c>
      <c r="L33" s="8">
        <f t="shared" si="10"/>
        <v>0.85164700000000004</v>
      </c>
      <c r="M33" s="10">
        <f t="shared" si="11"/>
        <v>2.6145562899999999</v>
      </c>
      <c r="N33" s="21"/>
      <c r="O33" s="7">
        <f>'[7]May Prod'!H32</f>
        <v>10036000</v>
      </c>
      <c r="P33" s="8">
        <f t="shared" si="12"/>
        <v>10.036</v>
      </c>
      <c r="Q33" s="10">
        <f t="shared" si="0"/>
        <v>30.810519999999997</v>
      </c>
      <c r="R33" s="7">
        <f>'[7]May Prod'!C32</f>
        <v>10337000</v>
      </c>
      <c r="S33" s="8">
        <f t="shared" si="13"/>
        <v>10.337</v>
      </c>
      <c r="T33" s="10">
        <f t="shared" si="1"/>
        <v>31.734589999999997</v>
      </c>
      <c r="U33" s="7">
        <f>'[7]May Prod'!D32</f>
        <v>0</v>
      </c>
      <c r="V33" s="8">
        <f t="shared" si="14"/>
        <v>0</v>
      </c>
      <c r="W33" s="10">
        <f t="shared" si="2"/>
        <v>0</v>
      </c>
      <c r="X33" s="7">
        <f>'[7]May Prod'!D287</f>
        <v>301000.00000000017</v>
      </c>
      <c r="Y33" s="8">
        <f t="shared" si="15"/>
        <v>0.30100000000000016</v>
      </c>
      <c r="Z33" s="10">
        <f t="shared" si="3"/>
        <v>0.92407000000000039</v>
      </c>
      <c r="AA33" s="15"/>
      <c r="AB33" s="7">
        <f t="shared" si="16"/>
        <v>17936000.000001453</v>
      </c>
      <c r="AC33" s="8">
        <f t="shared" si="16"/>
        <v>17.936000000001453</v>
      </c>
      <c r="AD33" s="8">
        <f t="shared" si="16"/>
        <v>55.063520000004459</v>
      </c>
    </row>
    <row r="34" spans="1:30" x14ac:dyDescent="0.25">
      <c r="A34" s="27">
        <v>38502</v>
      </c>
      <c r="B34" s="7">
        <f>'[7]May Prod'!I33</f>
        <v>8000000</v>
      </c>
      <c r="C34" s="8">
        <f t="shared" si="4"/>
        <v>8</v>
      </c>
      <c r="D34" s="10">
        <f t="shared" si="5"/>
        <v>24.56</v>
      </c>
      <c r="E34" s="7">
        <f>'[7]May Prod'!E33</f>
        <v>0</v>
      </c>
      <c r="F34" s="8">
        <f t="shared" si="6"/>
        <v>0</v>
      </c>
      <c r="G34" s="10">
        <f t="shared" si="7"/>
        <v>0</v>
      </c>
      <c r="H34" s="7">
        <f>'[7]May Prod'!F33</f>
        <v>7260000</v>
      </c>
      <c r="I34" s="8">
        <f t="shared" si="8"/>
        <v>7.26</v>
      </c>
      <c r="J34" s="10">
        <f t="shared" si="9"/>
        <v>22.2882</v>
      </c>
      <c r="K34" s="7">
        <f>'[7]May Prod'!H288</f>
        <v>773287</v>
      </c>
      <c r="L34" s="8">
        <f t="shared" si="10"/>
        <v>0.77328699999999995</v>
      </c>
      <c r="M34" s="10">
        <f t="shared" si="11"/>
        <v>2.3739910899999996</v>
      </c>
      <c r="N34" s="21"/>
      <c r="O34" s="7">
        <f>'[7]May Prod'!H33</f>
        <v>11769000</v>
      </c>
      <c r="P34" s="8">
        <f t="shared" si="12"/>
        <v>11.769</v>
      </c>
      <c r="Q34" s="10">
        <f t="shared" si="0"/>
        <v>36.130829999999996</v>
      </c>
      <c r="R34" s="7">
        <f>'[7]May Prod'!C33</f>
        <v>12235000</v>
      </c>
      <c r="S34" s="8">
        <f t="shared" si="13"/>
        <v>12.234999999999999</v>
      </c>
      <c r="T34" s="10">
        <f t="shared" si="1"/>
        <v>37.561449999999994</v>
      </c>
      <c r="U34" s="7">
        <f>'[7]May Prod'!D33</f>
        <v>0</v>
      </c>
      <c r="V34" s="8">
        <f t="shared" si="14"/>
        <v>0</v>
      </c>
      <c r="W34" s="10">
        <f t="shared" si="2"/>
        <v>0</v>
      </c>
      <c r="X34" s="7">
        <f>'[7]May Prod'!D288</f>
        <v>466000.00000000017</v>
      </c>
      <c r="Y34" s="8">
        <f t="shared" si="15"/>
        <v>0.46600000000000019</v>
      </c>
      <c r="Z34" s="10">
        <f t="shared" si="3"/>
        <v>1.4306200000000004</v>
      </c>
      <c r="AA34" s="15"/>
      <c r="AB34" s="7">
        <f t="shared" si="16"/>
        <v>19769000</v>
      </c>
      <c r="AC34" s="8">
        <f t="shared" si="16"/>
        <v>19.768999999999998</v>
      </c>
      <c r="AD34" s="8">
        <f t="shared" si="16"/>
        <v>60.690829999999991</v>
      </c>
    </row>
    <row r="35" spans="1:30" ht="13.8" thickBot="1" x14ac:dyDescent="0.3">
      <c r="A35" s="27">
        <v>38503</v>
      </c>
      <c r="B35" s="29">
        <f>'[7]May Prod'!I34</f>
        <v>8899999.999997817</v>
      </c>
      <c r="C35" s="9">
        <f t="shared" si="4"/>
        <v>8.8999999999978172</v>
      </c>
      <c r="D35" s="11">
        <f t="shared" si="5"/>
        <v>27.322999999993296</v>
      </c>
      <c r="E35" s="29">
        <f>'[7]May Prod'!E34</f>
        <v>0</v>
      </c>
      <c r="F35" s="9">
        <f t="shared" si="6"/>
        <v>0</v>
      </c>
      <c r="G35" s="11">
        <f t="shared" si="7"/>
        <v>0</v>
      </c>
      <c r="H35" s="29">
        <f>'[7]May Prod'!F34</f>
        <v>8359999.9999999991</v>
      </c>
      <c r="I35" s="8">
        <f t="shared" si="8"/>
        <v>8.36</v>
      </c>
      <c r="J35" s="11">
        <f t="shared" si="9"/>
        <v>25.665199999999999</v>
      </c>
      <c r="K35" s="7">
        <f>'[7]May Prod'!H289</f>
        <v>861199</v>
      </c>
      <c r="L35" s="9">
        <f t="shared" si="10"/>
        <v>0.86119900000000005</v>
      </c>
      <c r="M35" s="11">
        <f t="shared" si="11"/>
        <v>2.6438809299999999</v>
      </c>
      <c r="N35" s="21"/>
      <c r="O35" s="29">
        <f>'[7]May Prod'!H34</f>
        <v>11371000</v>
      </c>
      <c r="P35" s="9">
        <f t="shared" si="12"/>
        <v>11.371</v>
      </c>
      <c r="Q35" s="11">
        <f t="shared" si="0"/>
        <v>34.908969999999997</v>
      </c>
      <c r="R35" s="29">
        <f>'[7]May Prod'!C34</f>
        <v>11817000</v>
      </c>
      <c r="S35" s="9">
        <f t="shared" si="13"/>
        <v>11.817</v>
      </c>
      <c r="T35" s="11">
        <f t="shared" si="1"/>
        <v>36.278190000000002</v>
      </c>
      <c r="U35" s="7">
        <f>'[7]May Prod'!D34</f>
        <v>0</v>
      </c>
      <c r="V35" s="9">
        <f t="shared" si="14"/>
        <v>0</v>
      </c>
      <c r="W35" s="11">
        <f t="shared" si="2"/>
        <v>0</v>
      </c>
      <c r="X35" s="7">
        <f>'[7]May Prod'!D289</f>
        <v>445999.99999999971</v>
      </c>
      <c r="Y35" s="8">
        <f t="shared" si="15"/>
        <v>0.44599999999999973</v>
      </c>
      <c r="Z35" s="10">
        <f t="shared" si="3"/>
        <v>1.369219999999999</v>
      </c>
      <c r="AA35" s="15"/>
      <c r="AB35" s="7">
        <f t="shared" si="16"/>
        <v>20270999.999997817</v>
      </c>
      <c r="AC35" s="8">
        <f t="shared" si="16"/>
        <v>20.270999999997819</v>
      </c>
      <c r="AD35" s="8">
        <f t="shared" si="16"/>
        <v>62.231969999993296</v>
      </c>
    </row>
    <row r="36" spans="1:30" s="18" customFormat="1" ht="13.8" thickBot="1" x14ac:dyDescent="0.3">
      <c r="A36" s="15"/>
      <c r="B36" s="38"/>
      <c r="C36" s="39">
        <f>SUM(C5:C35)</f>
        <v>338.79999999999927</v>
      </c>
      <c r="D36" s="39">
        <f t="shared" si="5"/>
        <v>1040.1159999999977</v>
      </c>
      <c r="E36" s="38"/>
      <c r="F36" s="39">
        <f>SUM(F5:F35)</f>
        <v>103</v>
      </c>
      <c r="G36" s="39">
        <f t="shared" si="7"/>
        <v>316.20999999999998</v>
      </c>
      <c r="H36" s="38"/>
      <c r="I36" s="39">
        <f>SUM(I5:I35)</f>
        <v>230.84000000000003</v>
      </c>
      <c r="J36" s="39">
        <f t="shared" si="9"/>
        <v>708.67880000000002</v>
      </c>
      <c r="K36" s="38"/>
      <c r="L36" s="39">
        <f>SUM(L5:L35)</f>
        <v>32.246158000000001</v>
      </c>
      <c r="M36" s="39">
        <f>L36*3.07</f>
        <v>98.995705059999992</v>
      </c>
      <c r="N36" s="14"/>
      <c r="O36" s="38"/>
      <c r="P36" s="39">
        <f>SUM(P5:P35)</f>
        <v>183.87200000000004</v>
      </c>
      <c r="Q36" s="39">
        <f t="shared" si="0"/>
        <v>564.48704000000009</v>
      </c>
      <c r="R36" s="38"/>
      <c r="S36" s="39">
        <f>SUM(S5:S35)</f>
        <v>191.25400000000002</v>
      </c>
      <c r="T36" s="39">
        <f t="shared" si="1"/>
        <v>587.14978000000008</v>
      </c>
      <c r="U36" s="38"/>
      <c r="V36" s="39">
        <f>SUM(V5:V35)</f>
        <v>0</v>
      </c>
      <c r="W36" s="39">
        <f>V36*3.07</f>
        <v>0</v>
      </c>
      <c r="X36" s="38"/>
      <c r="Y36" s="39">
        <f>SUM(Y5:Y35)</f>
        <v>7.569</v>
      </c>
      <c r="Z36" s="39">
        <f>Y36*3.07</f>
        <v>23.236829999999998</v>
      </c>
      <c r="AA36" s="14"/>
      <c r="AB36" s="38"/>
      <c r="AC36" s="39">
        <f>SUM(AC5:AC35)</f>
        <v>522.67199999999923</v>
      </c>
      <c r="AD36" s="39">
        <f>AC36*3.07</f>
        <v>1604.6030399999975</v>
      </c>
    </row>
    <row r="37" spans="1:30" x14ac:dyDescent="0.2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0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3"/>
  <sheetViews>
    <sheetView workbookViewId="0">
      <pane xSplit="1" ySplit="4" topLeftCell="P10" activePane="bottomRight" state="frozen"/>
      <selection pane="topRight" activeCell="B1" sqref="B1"/>
      <selection pane="bottomLeft" activeCell="A5" sqref="A5"/>
      <selection pane="bottomRight" activeCell="T31" sqref="T25:T31"/>
    </sheetView>
  </sheetViews>
  <sheetFormatPr defaultRowHeight="13.2" x14ac:dyDescent="0.25"/>
  <cols>
    <col min="2" max="2" width="11.109375" customWidth="1"/>
    <col min="5" max="5" width="15.33203125" customWidth="1"/>
    <col min="7" max="7" width="11.44140625" customWidth="1"/>
    <col min="8" max="8" width="13.6640625" customWidth="1"/>
    <col min="11" max="11" width="11.6640625" bestFit="1" customWidth="1"/>
    <col min="12" max="12" width="11" customWidth="1"/>
    <col min="15" max="15" width="13.44140625" bestFit="1" customWidth="1"/>
    <col min="18" max="18" width="10.109375" customWidth="1"/>
    <col min="19" max="21" width="9.109375" customWidth="1"/>
    <col min="22" max="22" width="11.109375" customWidth="1"/>
    <col min="23" max="23" width="9.109375" customWidth="1"/>
    <col min="28" max="28" width="12.109375" customWidth="1"/>
  </cols>
  <sheetData>
    <row r="1" spans="1:32" x14ac:dyDescent="0.25">
      <c r="A1" s="44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5" t="s">
        <v>2</v>
      </c>
    </row>
    <row r="5" spans="1:32" x14ac:dyDescent="0.25">
      <c r="A5" s="27">
        <v>38504</v>
      </c>
      <c r="B5" s="7">
        <f>'[8]Jun Prod'!I4</f>
        <v>12300000.000002909</v>
      </c>
      <c r="C5" s="8">
        <f>B5/1000000</f>
        <v>12.300000000002909</v>
      </c>
      <c r="D5" s="10">
        <f>C5*3.07</f>
        <v>37.761000000008927</v>
      </c>
      <c r="E5" s="7">
        <f>'[8]Jun Prod'!E4</f>
        <v>3000000</v>
      </c>
      <c r="F5" s="8">
        <f>E5/1000000</f>
        <v>3</v>
      </c>
      <c r="G5" s="10">
        <f>F5*3.07</f>
        <v>9.2099999999999991</v>
      </c>
      <c r="H5" s="7">
        <f>'[8]Jun Prod'!F4</f>
        <v>8920000</v>
      </c>
      <c r="I5" s="8">
        <f>H5/1000000</f>
        <v>8.92</v>
      </c>
      <c r="J5" s="10">
        <f>I5*3.07</f>
        <v>27.384399999999999</v>
      </c>
      <c r="K5" s="7">
        <f>'[8]Jun Prod'!H252</f>
        <v>1253692</v>
      </c>
      <c r="L5" s="8">
        <f>K5/1000000</f>
        <v>1.253692</v>
      </c>
      <c r="M5" s="10">
        <f>L5*3.07</f>
        <v>3.8488344400000001</v>
      </c>
      <c r="N5" s="21"/>
      <c r="O5" s="7">
        <f>'[8]Jun Prod'!H4</f>
        <v>7480000</v>
      </c>
      <c r="P5" s="8">
        <f>O5/1000000</f>
        <v>7.48</v>
      </c>
      <c r="Q5" s="10">
        <f>P5*3.07</f>
        <v>22.9636</v>
      </c>
      <c r="R5" s="7">
        <f>'[8]Jun Prod'!C4</f>
        <v>7864000</v>
      </c>
      <c r="S5" s="8">
        <f>R5/1000000</f>
        <v>7.8639999999999999</v>
      </c>
      <c r="T5" s="10">
        <f>S5*3.07</f>
        <v>24.142479999999999</v>
      </c>
      <c r="U5" s="7">
        <f>'[8]Jun Prod'!D4</f>
        <v>0</v>
      </c>
      <c r="V5" s="8">
        <f>U5/1000000</f>
        <v>0</v>
      </c>
      <c r="W5" s="10">
        <f>V5*3.07</f>
        <v>0</v>
      </c>
      <c r="X5" s="7">
        <f>'[8]Jun Prod'!D252</f>
        <v>384000.00000000035</v>
      </c>
      <c r="Y5" s="8">
        <f>X5/1000000</f>
        <v>0.38400000000000034</v>
      </c>
      <c r="Z5" s="10">
        <f>Y5*3.07</f>
        <v>1.178880000000001</v>
      </c>
      <c r="AA5" s="15"/>
      <c r="AB5" s="7">
        <f>B5+O5</f>
        <v>19780000.000002909</v>
      </c>
      <c r="AC5" s="8">
        <f>C5+P5</f>
        <v>19.780000000002907</v>
      </c>
      <c r="AD5" s="8">
        <f>D5+Q5</f>
        <v>60.724600000008927</v>
      </c>
      <c r="AF5" s="8">
        <f t="shared" ref="AF5:AF14" si="0">T5-Q5-Z5</f>
        <v>0</v>
      </c>
    </row>
    <row r="6" spans="1:32" x14ac:dyDescent="0.25">
      <c r="A6" s="27">
        <v>38505</v>
      </c>
      <c r="B6" s="7">
        <f>'[8]Jun Prod'!I5</f>
        <v>13099999.999998545</v>
      </c>
      <c r="C6" s="8">
        <f t="shared" ref="C6:C34" si="1">B6/1000000</f>
        <v>13.099999999998545</v>
      </c>
      <c r="D6" s="10">
        <f t="shared" ref="D6:D35" si="2">C6*3.07</f>
        <v>40.216999999995529</v>
      </c>
      <c r="E6" s="7">
        <f>'[8]Jun Prod'!E5</f>
        <v>6000000</v>
      </c>
      <c r="F6" s="8">
        <f t="shared" ref="F6:F34" si="3">E6/1000000</f>
        <v>6</v>
      </c>
      <c r="G6" s="10">
        <f t="shared" ref="G6:G35" si="4">F6*3.07</f>
        <v>18.419999999999998</v>
      </c>
      <c r="H6" s="7">
        <f>'[8]Jun Prod'!F5</f>
        <v>6220000</v>
      </c>
      <c r="I6" s="8">
        <f t="shared" ref="I6:I34" si="5">H6/1000000</f>
        <v>6.22</v>
      </c>
      <c r="J6" s="10">
        <f t="shared" ref="J6:J35" si="6">I6*3.07</f>
        <v>19.095399999999998</v>
      </c>
      <c r="K6" s="7">
        <f>'[8]Jun Prod'!H253</f>
        <v>1183962</v>
      </c>
      <c r="L6" s="8">
        <f>K6/1000000</f>
        <v>1.183962</v>
      </c>
      <c r="M6" s="10">
        <f t="shared" ref="M6:M35" si="7">L6*3.07</f>
        <v>3.6347633399999997</v>
      </c>
      <c r="N6" s="21"/>
      <c r="O6" s="7">
        <f>'[8]Jun Prod'!H5</f>
        <v>8655000</v>
      </c>
      <c r="P6" s="8">
        <f t="shared" ref="P6:P34" si="8">O6/1000000</f>
        <v>8.6549999999999994</v>
      </c>
      <c r="Q6" s="10">
        <f t="shared" ref="Q6:Q35" si="9">P6*3.07</f>
        <v>26.570849999999997</v>
      </c>
      <c r="R6" s="7">
        <f>'[8]Jun Prod'!C5</f>
        <v>8943000</v>
      </c>
      <c r="S6" s="8">
        <f t="shared" ref="S6:S34" si="10">R6/1000000</f>
        <v>8.9429999999999996</v>
      </c>
      <c r="T6" s="10">
        <f t="shared" ref="T6:T35" si="11">S6*3.07</f>
        <v>27.455009999999998</v>
      </c>
      <c r="U6" s="7">
        <f>'[8]Jun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 Prod'!D253</f>
        <v>287999.99999999936</v>
      </c>
      <c r="Y6" s="8">
        <f t="shared" ref="Y6:Y34" si="14">X6/1000000</f>
        <v>0.28799999999999937</v>
      </c>
      <c r="Z6" s="10">
        <f t="shared" ref="Z6:Z35" si="15">Y6*3.07</f>
        <v>0.88415999999999806</v>
      </c>
      <c r="AA6" s="15"/>
      <c r="AB6" s="7">
        <f t="shared" ref="AB6:AD34" si="16">B6+O6</f>
        <v>21754999.999998547</v>
      </c>
      <c r="AC6" s="8">
        <f t="shared" si="16"/>
        <v>21.754999999998546</v>
      </c>
      <c r="AD6" s="8">
        <f t="shared" si="16"/>
        <v>66.78784999999553</v>
      </c>
      <c r="AF6" s="8">
        <f t="shared" si="0"/>
        <v>3.3306690738754696E-15</v>
      </c>
    </row>
    <row r="7" spans="1:32" x14ac:dyDescent="0.25">
      <c r="A7" s="27">
        <v>38506</v>
      </c>
      <c r="B7" s="7">
        <f>'[8]Jun Prod'!I6</f>
        <v>12000000</v>
      </c>
      <c r="C7" s="8">
        <f t="shared" si="1"/>
        <v>12</v>
      </c>
      <c r="D7" s="10">
        <f t="shared" si="2"/>
        <v>36.839999999999996</v>
      </c>
      <c r="E7" s="7">
        <f>'[8]Jun Prod'!E6</f>
        <v>7000000</v>
      </c>
      <c r="F7" s="8">
        <f t="shared" si="3"/>
        <v>7</v>
      </c>
      <c r="G7" s="10">
        <f t="shared" si="4"/>
        <v>21.49</v>
      </c>
      <c r="H7" s="7">
        <f>'[8]Jun Prod'!F6</f>
        <v>6240000</v>
      </c>
      <c r="I7" s="8">
        <f t="shared" si="5"/>
        <v>6.24</v>
      </c>
      <c r="J7" s="10">
        <f t="shared" si="6"/>
        <v>19.1568</v>
      </c>
      <c r="K7" s="7">
        <f>'[8]Jun Prod'!H254</f>
        <v>1179897</v>
      </c>
      <c r="L7" s="8">
        <f t="shared" ref="L7:L34" si="17">K7/1000000</f>
        <v>1.179897</v>
      </c>
      <c r="M7" s="10">
        <f t="shared" si="7"/>
        <v>3.6222837899999996</v>
      </c>
      <c r="N7" s="21"/>
      <c r="O7" s="7">
        <f>'[8]Jun Prod'!H6</f>
        <v>10624000</v>
      </c>
      <c r="P7" s="8">
        <f t="shared" si="8"/>
        <v>10.624000000000001</v>
      </c>
      <c r="Q7" s="10">
        <f t="shared" si="9"/>
        <v>32.615679999999998</v>
      </c>
      <c r="R7" s="7">
        <f>'[8]Jun Prod'!C6</f>
        <v>10900000</v>
      </c>
      <c r="S7" s="8">
        <f t="shared" si="10"/>
        <v>10.9</v>
      </c>
      <c r="T7" s="10">
        <f t="shared" si="11"/>
        <v>33.463000000000001</v>
      </c>
      <c r="U7" s="7">
        <f>'[8]Jun Prod'!D6</f>
        <v>0</v>
      </c>
      <c r="V7" s="8">
        <f t="shared" si="12"/>
        <v>0</v>
      </c>
      <c r="W7" s="10">
        <f t="shared" si="13"/>
        <v>0</v>
      </c>
      <c r="X7" s="7">
        <f>'[8]Jun Prod'!D254</f>
        <v>275999.99999999983</v>
      </c>
      <c r="Y7" s="8">
        <f t="shared" si="14"/>
        <v>0.2759999999999998</v>
      </c>
      <c r="Z7" s="10">
        <f t="shared" si="15"/>
        <v>0.8473199999999993</v>
      </c>
      <c r="AA7" s="15"/>
      <c r="AB7" s="7">
        <f t="shared" si="16"/>
        <v>22624000</v>
      </c>
      <c r="AC7" s="8">
        <f t="shared" si="16"/>
        <v>22.624000000000002</v>
      </c>
      <c r="AD7" s="8">
        <f t="shared" si="16"/>
        <v>69.455680000000001</v>
      </c>
      <c r="AF7" s="8">
        <f t="shared" si="0"/>
        <v>4.1078251911130792E-15</v>
      </c>
    </row>
    <row r="8" spans="1:32" x14ac:dyDescent="0.25">
      <c r="A8" s="27">
        <v>38507</v>
      </c>
      <c r="B8" s="7">
        <f>'[8]Jun Prod'!I7</f>
        <v>14200000.000000728</v>
      </c>
      <c r="C8" s="8">
        <f t="shared" si="1"/>
        <v>14.200000000000728</v>
      </c>
      <c r="D8" s="10">
        <f t="shared" si="2"/>
        <v>43.594000000002232</v>
      </c>
      <c r="E8" s="7">
        <f>'[8]Jun Prod'!E7</f>
        <v>7000000</v>
      </c>
      <c r="F8" s="8">
        <f t="shared" si="3"/>
        <v>7</v>
      </c>
      <c r="G8" s="10">
        <f t="shared" si="4"/>
        <v>21.49</v>
      </c>
      <c r="H8" s="7">
        <f>'[8]Jun Prod'!F7</f>
        <v>7090000</v>
      </c>
      <c r="I8" s="8">
        <f t="shared" si="5"/>
        <v>7.09</v>
      </c>
      <c r="J8" s="10">
        <f t="shared" si="6"/>
        <v>21.766299999999998</v>
      </c>
      <c r="K8" s="7">
        <f>'[8]Jun Prod'!H255</f>
        <v>1389779</v>
      </c>
      <c r="L8" s="8">
        <f t="shared" si="17"/>
        <v>1.3897790000000001</v>
      </c>
      <c r="M8" s="10">
        <f t="shared" si="7"/>
        <v>4.2666215300000001</v>
      </c>
      <c r="N8" s="21"/>
      <c r="O8" s="7">
        <f>'[8]Jun Prod'!H7</f>
        <v>12634000</v>
      </c>
      <c r="P8" s="8">
        <f t="shared" si="8"/>
        <v>12.634</v>
      </c>
      <c r="Q8" s="10">
        <f t="shared" si="9"/>
        <v>38.786380000000001</v>
      </c>
      <c r="R8" s="7">
        <f>'[8]Jun Prod'!C7</f>
        <v>13044000</v>
      </c>
      <c r="S8" s="8">
        <f t="shared" si="10"/>
        <v>13.044</v>
      </c>
      <c r="T8" s="10">
        <f t="shared" si="11"/>
        <v>40.045079999999999</v>
      </c>
      <c r="U8" s="7">
        <f>'[8]Jun Prod'!D7</f>
        <v>0</v>
      </c>
      <c r="V8" s="8">
        <f t="shared" si="12"/>
        <v>0</v>
      </c>
      <c r="W8" s="10">
        <f t="shared" si="13"/>
        <v>0</v>
      </c>
      <c r="X8" s="7">
        <f>'[8]Jun Prod'!D255</f>
        <v>410000.00000000012</v>
      </c>
      <c r="Y8" s="8">
        <f t="shared" si="14"/>
        <v>0.41000000000000014</v>
      </c>
      <c r="Z8" s="10">
        <f t="shared" si="15"/>
        <v>1.2587000000000004</v>
      </c>
      <c r="AA8" s="15"/>
      <c r="AB8" s="7">
        <f t="shared" si="16"/>
        <v>26834000.00000073</v>
      </c>
      <c r="AC8" s="8">
        <f t="shared" si="16"/>
        <v>26.834000000000728</v>
      </c>
      <c r="AD8" s="8">
        <f t="shared" si="16"/>
        <v>82.380380000002233</v>
      </c>
      <c r="AF8" s="8">
        <f t="shared" si="0"/>
        <v>-2.886579864025407E-15</v>
      </c>
    </row>
    <row r="9" spans="1:32" x14ac:dyDescent="0.25">
      <c r="A9" s="27">
        <v>38508</v>
      </c>
      <c r="B9" s="7">
        <f>'[8]Jun Prod'!I8</f>
        <v>17500000</v>
      </c>
      <c r="C9" s="8">
        <f t="shared" si="1"/>
        <v>17.5</v>
      </c>
      <c r="D9" s="10">
        <f t="shared" si="2"/>
        <v>53.724999999999994</v>
      </c>
      <c r="E9" s="7">
        <f>'[8]Jun Prod'!E8</f>
        <v>9000000</v>
      </c>
      <c r="F9" s="8">
        <f t="shared" si="3"/>
        <v>9</v>
      </c>
      <c r="G9" s="10">
        <f t="shared" si="4"/>
        <v>27.63</v>
      </c>
      <c r="H9" s="7">
        <f>'[8]Jun Prod'!F8</f>
        <v>9080000</v>
      </c>
      <c r="I9" s="8">
        <f t="shared" si="5"/>
        <v>9.08</v>
      </c>
      <c r="J9" s="10">
        <f t="shared" si="6"/>
        <v>27.875599999999999</v>
      </c>
      <c r="K9" s="7">
        <f>'[8]Jun Prod'!H256</f>
        <v>1759761</v>
      </c>
      <c r="L9" s="8">
        <f t="shared" si="17"/>
        <v>1.7597609999999999</v>
      </c>
      <c r="M9" s="10">
        <f t="shared" si="7"/>
        <v>5.4024662699999997</v>
      </c>
      <c r="N9" s="21"/>
      <c r="O9" s="7">
        <f>'[8]Jun Prod'!H8</f>
        <v>12869999.999999998</v>
      </c>
      <c r="P9" s="8">
        <f t="shared" si="8"/>
        <v>12.869999999999997</v>
      </c>
      <c r="Q9" s="10">
        <f t="shared" si="9"/>
        <v>39.510899999999992</v>
      </c>
      <c r="R9" s="7">
        <f>'[8]Jun Prod'!C8</f>
        <v>13272000</v>
      </c>
      <c r="S9" s="8">
        <f t="shared" si="10"/>
        <v>13.272</v>
      </c>
      <c r="T9" s="10">
        <f t="shared" si="11"/>
        <v>40.745039999999996</v>
      </c>
      <c r="U9" s="7">
        <f>'[8]Jun Prod'!D8</f>
        <v>0</v>
      </c>
      <c r="V9" s="8">
        <f t="shared" si="12"/>
        <v>0</v>
      </c>
      <c r="W9" s="10">
        <f t="shared" si="13"/>
        <v>0</v>
      </c>
      <c r="X9" s="7">
        <f>'[8]Jun Prod'!D256</f>
        <v>402000.00000000105</v>
      </c>
      <c r="Y9" s="8">
        <f t="shared" si="14"/>
        <v>0.40200000000000102</v>
      </c>
      <c r="Z9" s="10">
        <f t="shared" si="15"/>
        <v>1.2341400000000031</v>
      </c>
      <c r="AA9" s="15"/>
      <c r="AB9" s="7">
        <f t="shared" si="16"/>
        <v>30370000</v>
      </c>
      <c r="AC9" s="8">
        <f t="shared" si="16"/>
        <v>30.369999999999997</v>
      </c>
      <c r="AD9" s="8">
        <f t="shared" si="16"/>
        <v>93.235899999999987</v>
      </c>
      <c r="AF9" s="8">
        <f t="shared" si="0"/>
        <v>0</v>
      </c>
    </row>
    <row r="10" spans="1:32" x14ac:dyDescent="0.25">
      <c r="A10" s="27">
        <v>38509</v>
      </c>
      <c r="B10" s="7">
        <f>'[8]Jun Prod'!I9</f>
        <v>14399999.999997817</v>
      </c>
      <c r="C10" s="8">
        <f t="shared" si="1"/>
        <v>14.399999999997817</v>
      </c>
      <c r="D10" s="10">
        <f t="shared" si="2"/>
        <v>44.207999999993298</v>
      </c>
      <c r="E10" s="7">
        <f>'[8]Jun Prod'!E9</f>
        <v>7000000</v>
      </c>
      <c r="F10" s="8">
        <f t="shared" si="3"/>
        <v>7</v>
      </c>
      <c r="G10" s="10">
        <f t="shared" si="4"/>
        <v>21.49</v>
      </c>
      <c r="H10" s="7">
        <f>'[8]Jun Prod'!F9</f>
        <v>7360000</v>
      </c>
      <c r="I10" s="8">
        <f t="shared" si="5"/>
        <v>7.36</v>
      </c>
      <c r="J10" s="10">
        <f t="shared" si="6"/>
        <v>22.595199999999998</v>
      </c>
      <c r="K10" s="7">
        <f>'[8]Jun Prod'!H257</f>
        <v>1407688</v>
      </c>
      <c r="L10" s="8">
        <f t="shared" si="17"/>
        <v>1.4076880000000001</v>
      </c>
      <c r="M10" s="10">
        <f t="shared" si="7"/>
        <v>4.3216021600000003</v>
      </c>
      <c r="N10" s="21"/>
      <c r="O10" s="7">
        <f>'[8]Jun Prod'!H9</f>
        <v>12628000.000000002</v>
      </c>
      <c r="P10" s="8">
        <f t="shared" si="8"/>
        <v>12.628000000000002</v>
      </c>
      <c r="Q10" s="10">
        <f t="shared" si="9"/>
        <v>38.767960000000002</v>
      </c>
      <c r="R10" s="7">
        <f>'[8]Jun Prod'!C9</f>
        <v>13105000</v>
      </c>
      <c r="S10" s="8">
        <f t="shared" si="10"/>
        <v>13.105</v>
      </c>
      <c r="T10" s="10">
        <f t="shared" si="11"/>
        <v>40.232349999999997</v>
      </c>
      <c r="U10" s="7">
        <f>'[8]Jun Prod'!D9</f>
        <v>0</v>
      </c>
      <c r="V10" s="8">
        <f t="shared" si="12"/>
        <v>0</v>
      </c>
      <c r="W10" s="10">
        <f t="shared" si="13"/>
        <v>0</v>
      </c>
      <c r="X10" s="7">
        <f>'[8]Jun Prod'!D257</f>
        <v>476999.99999999854</v>
      </c>
      <c r="Y10" s="8">
        <f t="shared" si="14"/>
        <v>0.47699999999999854</v>
      </c>
      <c r="Z10" s="10">
        <f t="shared" si="15"/>
        <v>1.4643899999999954</v>
      </c>
      <c r="AA10" s="15"/>
      <c r="AB10" s="7">
        <f t="shared" si="16"/>
        <v>27027999.999997817</v>
      </c>
      <c r="AC10" s="8">
        <f t="shared" si="16"/>
        <v>27.027999999997817</v>
      </c>
      <c r="AD10" s="8">
        <f t="shared" si="16"/>
        <v>82.975959999993307</v>
      </c>
      <c r="AF10" s="8">
        <f t="shared" si="0"/>
        <v>0</v>
      </c>
    </row>
    <row r="11" spans="1:32" x14ac:dyDescent="0.25">
      <c r="A11" s="27">
        <v>38510</v>
      </c>
      <c r="B11" s="7">
        <f>'[8]Jun Prod'!I10</f>
        <v>14000000</v>
      </c>
      <c r="C11" s="8">
        <f t="shared" si="1"/>
        <v>14</v>
      </c>
      <c r="D11" s="10">
        <f t="shared" si="2"/>
        <v>42.98</v>
      </c>
      <c r="E11" s="7">
        <f>'[8]Jun Prod'!E10</f>
        <v>7000000</v>
      </c>
      <c r="F11" s="8">
        <f t="shared" si="3"/>
        <v>7</v>
      </c>
      <c r="G11" s="10">
        <f t="shared" si="4"/>
        <v>21.49</v>
      </c>
      <c r="H11" s="7">
        <f>'[8]Jun Prod'!F10</f>
        <v>7110000</v>
      </c>
      <c r="I11" s="8">
        <f t="shared" si="5"/>
        <v>7.11</v>
      </c>
      <c r="J11" s="10">
        <f t="shared" si="6"/>
        <v>21.8277</v>
      </c>
      <c r="K11" s="7">
        <f>'[8]Jun Prod'!H258</f>
        <v>1408697</v>
      </c>
      <c r="L11" s="8">
        <f t="shared" si="17"/>
        <v>1.4086970000000001</v>
      </c>
      <c r="M11" s="10">
        <f t="shared" si="7"/>
        <v>4.3246997900000004</v>
      </c>
      <c r="N11" s="21"/>
      <c r="O11" s="7">
        <f>'[8]Jun Prod'!H10</f>
        <v>13637999.999999998</v>
      </c>
      <c r="P11" s="8">
        <f t="shared" si="8"/>
        <v>13.637999999999998</v>
      </c>
      <c r="Q11" s="10">
        <f t="shared" si="9"/>
        <v>41.868659999999991</v>
      </c>
      <c r="R11" s="7">
        <f>'[8]Jun Prod'!C10</f>
        <v>13927000</v>
      </c>
      <c r="S11" s="8">
        <f t="shared" si="10"/>
        <v>13.927</v>
      </c>
      <c r="T11" s="10">
        <f t="shared" si="11"/>
        <v>42.755889999999994</v>
      </c>
      <c r="U11" s="7">
        <f>'[8]Jun Prod'!D10</f>
        <v>0</v>
      </c>
      <c r="V11" s="8">
        <f t="shared" si="12"/>
        <v>0</v>
      </c>
      <c r="W11" s="10">
        <f t="shared" si="13"/>
        <v>0</v>
      </c>
      <c r="X11" s="7">
        <f>'[8]Jun Prod'!D258</f>
        <v>289000.00000000146</v>
      </c>
      <c r="Y11" s="8">
        <f t="shared" si="14"/>
        <v>0.28900000000000148</v>
      </c>
      <c r="Z11" s="10">
        <f t="shared" si="15"/>
        <v>0.88723000000000452</v>
      </c>
      <c r="AA11" s="15"/>
      <c r="AB11" s="7">
        <f t="shared" si="16"/>
        <v>27638000</v>
      </c>
      <c r="AC11" s="8">
        <f t="shared" si="16"/>
        <v>27.637999999999998</v>
      </c>
      <c r="AD11" s="8">
        <f t="shared" si="16"/>
        <v>84.848659999999995</v>
      </c>
      <c r="AF11" s="8">
        <f t="shared" si="0"/>
        <v>-2.1094237467877974E-15</v>
      </c>
    </row>
    <row r="12" spans="1:32" x14ac:dyDescent="0.25">
      <c r="A12" s="27">
        <v>38511</v>
      </c>
      <c r="B12" s="7">
        <f>'[8]Jun Prod'!I11</f>
        <v>13200000.000000728</v>
      </c>
      <c r="C12" s="8">
        <f t="shared" si="1"/>
        <v>13.200000000000728</v>
      </c>
      <c r="D12" s="10">
        <f t="shared" si="2"/>
        <v>40.524000000002232</v>
      </c>
      <c r="E12" s="7">
        <f>'[8]Jun Prod'!E11</f>
        <v>7000000</v>
      </c>
      <c r="F12" s="8">
        <f t="shared" si="3"/>
        <v>7</v>
      </c>
      <c r="G12" s="10">
        <f t="shared" si="4"/>
        <v>21.49</v>
      </c>
      <c r="H12" s="7">
        <f>'[8]Jun Prod'!F11</f>
        <v>6040000</v>
      </c>
      <c r="I12" s="8">
        <f t="shared" si="5"/>
        <v>6.04</v>
      </c>
      <c r="J12" s="10">
        <f t="shared" si="6"/>
        <v>18.5428</v>
      </c>
      <c r="K12" s="7">
        <f>'[8]Jun Prod'!H259</f>
        <v>1206684</v>
      </c>
      <c r="L12" s="8">
        <f t="shared" si="17"/>
        <v>1.2066840000000001</v>
      </c>
      <c r="M12" s="10">
        <f t="shared" si="7"/>
        <v>3.7045198799999999</v>
      </c>
      <c r="N12" s="21"/>
      <c r="O12" s="7">
        <f>'[8]Jun Prod'!H11</f>
        <v>13610000.000000002</v>
      </c>
      <c r="P12" s="8">
        <f t="shared" si="8"/>
        <v>13.610000000000001</v>
      </c>
      <c r="Q12" s="10">
        <f t="shared" si="9"/>
        <v>41.782699999999998</v>
      </c>
      <c r="R12" s="7">
        <f>'[8]Jun Prod'!C11</f>
        <v>14019000</v>
      </c>
      <c r="S12" s="8">
        <f t="shared" si="10"/>
        <v>14.019</v>
      </c>
      <c r="T12" s="10">
        <f t="shared" si="11"/>
        <v>43.038329999999995</v>
      </c>
      <c r="U12" s="7">
        <f>'[8]Jun Prod'!D11</f>
        <v>0</v>
      </c>
      <c r="V12" s="8">
        <f t="shared" si="12"/>
        <v>0</v>
      </c>
      <c r="W12" s="10">
        <f t="shared" si="13"/>
        <v>0</v>
      </c>
      <c r="X12" s="7">
        <f>'[8]Jun Prod'!D259</f>
        <v>408999.99999999889</v>
      </c>
      <c r="Y12" s="8">
        <f t="shared" si="14"/>
        <v>0.40899999999999892</v>
      </c>
      <c r="Z12" s="10">
        <f t="shared" si="15"/>
        <v>1.2556299999999967</v>
      </c>
      <c r="AA12" s="15"/>
      <c r="AB12" s="7">
        <f t="shared" si="16"/>
        <v>26810000.00000073</v>
      </c>
      <c r="AC12" s="8">
        <f t="shared" si="16"/>
        <v>26.810000000000727</v>
      </c>
      <c r="AD12" s="8">
        <f t="shared" si="16"/>
        <v>82.306700000002223</v>
      </c>
      <c r="AF12" s="8">
        <f t="shared" si="0"/>
        <v>0</v>
      </c>
    </row>
    <row r="13" spans="1:32" x14ac:dyDescent="0.25">
      <c r="A13" s="27">
        <v>38512</v>
      </c>
      <c r="B13" s="7">
        <f>'[8]Jun Prod'!I12</f>
        <v>16500000</v>
      </c>
      <c r="C13" s="8">
        <f t="shared" si="1"/>
        <v>16.5</v>
      </c>
      <c r="D13" s="10">
        <f t="shared" si="2"/>
        <v>50.654999999999994</v>
      </c>
      <c r="E13" s="7">
        <f>'[8]Jun Prod'!E12</f>
        <v>8000000</v>
      </c>
      <c r="F13" s="8">
        <f t="shared" si="3"/>
        <v>8</v>
      </c>
      <c r="G13" s="10">
        <f t="shared" si="4"/>
        <v>24.56</v>
      </c>
      <c r="H13" s="7">
        <f>'[8]Jun Prod'!F12</f>
        <v>8100000</v>
      </c>
      <c r="I13" s="8">
        <f t="shared" si="5"/>
        <v>8.1</v>
      </c>
      <c r="J13" s="10">
        <f t="shared" si="6"/>
        <v>24.866999999999997</v>
      </c>
      <c r="K13" s="7">
        <f>'[8]Jun Prod'!H260</f>
        <v>1529219</v>
      </c>
      <c r="L13" s="8">
        <f t="shared" si="17"/>
        <v>1.5292190000000001</v>
      </c>
      <c r="M13" s="10">
        <f t="shared" si="7"/>
        <v>4.6947023300000001</v>
      </c>
      <c r="N13" s="21"/>
      <c r="O13" s="7">
        <f>'[8]Jun Prod'!H12</f>
        <v>13047000</v>
      </c>
      <c r="P13" s="8">
        <f t="shared" si="8"/>
        <v>13.047000000000001</v>
      </c>
      <c r="Q13" s="10">
        <f t="shared" si="9"/>
        <v>40.054290000000002</v>
      </c>
      <c r="R13" s="7">
        <f>'[8]Jun Prod'!C12</f>
        <v>13321000</v>
      </c>
      <c r="S13" s="8">
        <f t="shared" si="10"/>
        <v>13.321</v>
      </c>
      <c r="T13" s="10">
        <f t="shared" si="11"/>
        <v>40.895469999999996</v>
      </c>
      <c r="U13" s="7">
        <f>'[8]Jun Prod'!D12</f>
        <v>0</v>
      </c>
      <c r="V13" s="8">
        <f t="shared" si="12"/>
        <v>0</v>
      </c>
      <c r="W13" s="10">
        <f t="shared" si="13"/>
        <v>0</v>
      </c>
      <c r="X13" s="7">
        <f>'[8]Jun Prod'!D260</f>
        <v>274000.00000000093</v>
      </c>
      <c r="Y13" s="8">
        <f t="shared" si="14"/>
        <v>0.27400000000000091</v>
      </c>
      <c r="Z13" s="10">
        <f t="shared" si="15"/>
        <v>0.8411800000000027</v>
      </c>
      <c r="AA13" s="15"/>
      <c r="AB13" s="7">
        <f t="shared" si="16"/>
        <v>29547000</v>
      </c>
      <c r="AC13" s="8">
        <f t="shared" si="16"/>
        <v>29.547000000000001</v>
      </c>
      <c r="AD13" s="8">
        <f t="shared" si="16"/>
        <v>90.709289999999996</v>
      </c>
      <c r="AF13" s="8">
        <f t="shared" si="0"/>
        <v>-8.4376949871511897E-15</v>
      </c>
    </row>
    <row r="14" spans="1:32" x14ac:dyDescent="0.25">
      <c r="A14" s="27">
        <v>38513</v>
      </c>
      <c r="B14" s="7">
        <f>'[8]Jun Prod'!I13</f>
        <v>20900000.000001457</v>
      </c>
      <c r="C14" s="8">
        <f t="shared" si="1"/>
        <v>20.900000000001455</v>
      </c>
      <c r="D14" s="10">
        <f t="shared" si="2"/>
        <v>64.163000000004459</v>
      </c>
      <c r="E14" s="7">
        <f>'[8]Jun Prod'!E13</f>
        <v>10000000</v>
      </c>
      <c r="F14" s="8">
        <f t="shared" si="3"/>
        <v>10</v>
      </c>
      <c r="G14" s="10">
        <f t="shared" si="4"/>
        <v>30.7</v>
      </c>
      <c r="H14" s="7">
        <f>'[8]Jun Prod'!F13</f>
        <v>10300000</v>
      </c>
      <c r="I14" s="8">
        <f t="shared" si="5"/>
        <v>10.3</v>
      </c>
      <c r="J14" s="10">
        <f t="shared" si="6"/>
        <v>31.621000000000002</v>
      </c>
      <c r="K14" s="7">
        <f>'[8]Jun Prod'!H261</f>
        <v>1909138</v>
      </c>
      <c r="L14" s="8">
        <f t="shared" si="17"/>
        <v>1.909138</v>
      </c>
      <c r="M14" s="10">
        <f t="shared" si="7"/>
        <v>5.8610536599999996</v>
      </c>
      <c r="N14" s="21"/>
      <c r="O14" s="7">
        <f>'[8]Jun Prod'!H13</f>
        <v>12146000</v>
      </c>
      <c r="P14" s="8">
        <f t="shared" si="8"/>
        <v>12.146000000000001</v>
      </c>
      <c r="Q14" s="10">
        <f t="shared" si="9"/>
        <v>37.288220000000003</v>
      </c>
      <c r="R14" s="7">
        <f>'[8]Jun Prod'!C13</f>
        <v>12593000</v>
      </c>
      <c r="S14" s="55">
        <f t="shared" si="10"/>
        <v>12.593</v>
      </c>
      <c r="T14" s="10">
        <f t="shared" si="11"/>
        <v>38.660509999999995</v>
      </c>
      <c r="U14" s="7">
        <f>'[8]Jun Prod'!D13</f>
        <v>0</v>
      </c>
      <c r="V14" s="8">
        <f t="shared" si="12"/>
        <v>0</v>
      </c>
      <c r="W14" s="10">
        <f t="shared" si="13"/>
        <v>0</v>
      </c>
      <c r="X14" s="7">
        <f>'[8]Jun Prod'!D261</f>
        <v>446999.99999999919</v>
      </c>
      <c r="Y14" s="8">
        <f t="shared" si="14"/>
        <v>0.44699999999999918</v>
      </c>
      <c r="Z14" s="10">
        <f t="shared" si="15"/>
        <v>1.3722899999999973</v>
      </c>
      <c r="AA14" s="15"/>
      <c r="AB14" s="7">
        <f t="shared" si="16"/>
        <v>33046000.000001457</v>
      </c>
      <c r="AC14" s="8">
        <f t="shared" si="16"/>
        <v>33.046000000001456</v>
      </c>
      <c r="AD14" s="8">
        <f t="shared" si="16"/>
        <v>101.45122000000447</v>
      </c>
      <c r="AF14" s="8">
        <f t="shared" si="0"/>
        <v>-4.8849813083506888E-15</v>
      </c>
    </row>
    <row r="15" spans="1:32" x14ac:dyDescent="0.25">
      <c r="A15" s="27">
        <v>38514</v>
      </c>
      <c r="B15" s="7">
        <f>'[8]Jun Prod'!I14</f>
        <v>18799999.999999274</v>
      </c>
      <c r="C15" s="8">
        <f t="shared" si="1"/>
        <v>18.799999999999272</v>
      </c>
      <c r="D15" s="10">
        <f t="shared" si="2"/>
        <v>57.715999999997763</v>
      </c>
      <c r="E15" s="7">
        <f>'[8]Jun Prod'!E14</f>
        <v>10000000</v>
      </c>
      <c r="F15" s="8">
        <f t="shared" si="3"/>
        <v>10</v>
      </c>
      <c r="G15" s="10">
        <f t="shared" si="4"/>
        <v>30.7</v>
      </c>
      <c r="H15" s="7">
        <f>'[8]Jun Prod'!F14</f>
        <v>8690000</v>
      </c>
      <c r="I15" s="8">
        <f t="shared" si="5"/>
        <v>8.69</v>
      </c>
      <c r="J15" s="10">
        <f t="shared" si="6"/>
        <v>26.678299999999997</v>
      </c>
      <c r="K15" s="7">
        <f>'[8]Jun Prod'!H262</f>
        <v>1875213</v>
      </c>
      <c r="L15" s="8">
        <f t="shared" si="17"/>
        <v>1.875213</v>
      </c>
      <c r="M15" s="10">
        <f t="shared" si="7"/>
        <v>5.7569039100000001</v>
      </c>
      <c r="N15" s="21"/>
      <c r="O15" s="7">
        <f>'[8]Jun Prod'!H14</f>
        <v>11963000</v>
      </c>
      <c r="P15" s="8">
        <f t="shared" si="8"/>
        <v>11.962999999999999</v>
      </c>
      <c r="Q15" s="10">
        <f t="shared" si="9"/>
        <v>36.726409999999994</v>
      </c>
      <c r="R15" s="7">
        <f>'[8]Jun Prod'!C14</f>
        <v>12340000</v>
      </c>
      <c r="S15" s="55">
        <f t="shared" si="10"/>
        <v>12.34</v>
      </c>
      <c r="T15" s="10">
        <f t="shared" si="11"/>
        <v>37.883800000000001</v>
      </c>
      <c r="U15" s="7">
        <f>'[8]Jun Prod'!D14</f>
        <v>0</v>
      </c>
      <c r="V15" s="8">
        <f t="shared" si="12"/>
        <v>0</v>
      </c>
      <c r="W15" s="10">
        <f t="shared" si="13"/>
        <v>0</v>
      </c>
      <c r="X15" s="7">
        <f>'[8]Jun Prod'!D262</f>
        <v>377000.00000000064</v>
      </c>
      <c r="Y15" s="8">
        <f t="shared" si="14"/>
        <v>0.37700000000000067</v>
      </c>
      <c r="Z15" s="10">
        <f t="shared" si="15"/>
        <v>1.1573900000000019</v>
      </c>
      <c r="AA15" s="15"/>
      <c r="AB15" s="7">
        <f t="shared" si="16"/>
        <v>30762999.999999274</v>
      </c>
      <c r="AC15" s="8">
        <f t="shared" si="16"/>
        <v>30.762999999999273</v>
      </c>
      <c r="AD15" s="8">
        <f t="shared" si="16"/>
        <v>94.44240999999775</v>
      </c>
      <c r="AF15" s="8">
        <f>T15-Q15-Z15</f>
        <v>4.6629367034256575E-15</v>
      </c>
    </row>
    <row r="16" spans="1:32" x14ac:dyDescent="0.25">
      <c r="A16" s="27">
        <v>38515</v>
      </c>
      <c r="B16" s="7">
        <f>'[8]Jun Prod'!I15</f>
        <v>18900000.000001457</v>
      </c>
      <c r="C16" s="8">
        <f t="shared" si="1"/>
        <v>18.900000000001455</v>
      </c>
      <c r="D16" s="10">
        <f t="shared" si="2"/>
        <v>58.023000000004465</v>
      </c>
      <c r="E16" s="7">
        <f>'[8]Jun Prod'!E15</f>
        <v>10000000</v>
      </c>
      <c r="F16" s="8">
        <f t="shared" si="3"/>
        <v>10</v>
      </c>
      <c r="G16" s="10">
        <f t="shared" si="4"/>
        <v>30.7</v>
      </c>
      <c r="H16" s="7">
        <f>'[8]Jun Prod'!F15</f>
        <v>8610000</v>
      </c>
      <c r="I16" s="8">
        <f t="shared" si="5"/>
        <v>8.61</v>
      </c>
      <c r="J16" s="10">
        <f t="shared" si="6"/>
        <v>26.432699999999997</v>
      </c>
      <c r="K16" s="7">
        <f>'[8]Jun Prod'!H263</f>
        <v>1714271</v>
      </c>
      <c r="L16" s="8">
        <f t="shared" si="17"/>
        <v>1.7142710000000001</v>
      </c>
      <c r="M16" s="10">
        <f t="shared" si="7"/>
        <v>5.2628119700000004</v>
      </c>
      <c r="N16" s="21"/>
      <c r="O16" s="7">
        <f>'[8]Jun Prod'!H15</f>
        <v>11723000</v>
      </c>
      <c r="P16" s="8">
        <f t="shared" si="8"/>
        <v>11.723000000000001</v>
      </c>
      <c r="Q16" s="10">
        <f t="shared" si="9"/>
        <v>35.989609999999999</v>
      </c>
      <c r="R16" s="7">
        <f>'[8]Jun Prod'!C15</f>
        <v>12144000</v>
      </c>
      <c r="S16" s="55">
        <f t="shared" si="10"/>
        <v>12.144</v>
      </c>
      <c r="T16" s="10">
        <f t="shared" si="11"/>
        <v>37.282080000000001</v>
      </c>
      <c r="U16" s="7">
        <f>'[8]Jun Prod'!D15</f>
        <v>0</v>
      </c>
      <c r="V16" s="8">
        <f t="shared" si="12"/>
        <v>0</v>
      </c>
      <c r="W16" s="10">
        <f t="shared" si="13"/>
        <v>0</v>
      </c>
      <c r="X16" s="7">
        <f>'[8]Jun Prod'!D263</f>
        <v>420999.99999999936</v>
      </c>
      <c r="Y16" s="8">
        <f t="shared" si="14"/>
        <v>0.42099999999999937</v>
      </c>
      <c r="Z16" s="10">
        <f t="shared" si="15"/>
        <v>1.292469999999998</v>
      </c>
      <c r="AA16" s="15"/>
      <c r="AB16" s="7">
        <f t="shared" si="16"/>
        <v>30623000.000001457</v>
      </c>
      <c r="AC16" s="8">
        <f t="shared" si="16"/>
        <v>30.623000000001454</v>
      </c>
      <c r="AD16" s="8">
        <f t="shared" si="16"/>
        <v>94.012610000004457</v>
      </c>
      <c r="AF16" s="8">
        <f>T16-Q16-Z16</f>
        <v>3.5527136788005009E-15</v>
      </c>
    </row>
    <row r="17" spans="1:32" x14ac:dyDescent="0.25">
      <c r="A17" s="27">
        <v>38516</v>
      </c>
      <c r="B17" s="7">
        <f>'[8]Jun Prod'!I16</f>
        <v>17899999.999997817</v>
      </c>
      <c r="C17" s="8">
        <f t="shared" si="1"/>
        <v>17.899999999997817</v>
      </c>
      <c r="D17" s="10">
        <f t="shared" si="2"/>
        <v>54.952999999993295</v>
      </c>
      <c r="E17" s="7">
        <f>'[8]Jun Prod'!E16</f>
        <v>9000000</v>
      </c>
      <c r="F17" s="8">
        <f t="shared" si="3"/>
        <v>9</v>
      </c>
      <c r="G17" s="10">
        <f t="shared" si="4"/>
        <v>27.63</v>
      </c>
      <c r="H17" s="7">
        <f>'[8]Jun Prod'!F16</f>
        <v>8550000</v>
      </c>
      <c r="I17" s="8">
        <f t="shared" si="5"/>
        <v>8.5500000000000007</v>
      </c>
      <c r="J17" s="10">
        <f t="shared" si="6"/>
        <v>26.2485</v>
      </c>
      <c r="K17" s="7">
        <f>'[8]Jun Prod'!H264</f>
        <v>1819953</v>
      </c>
      <c r="L17" s="8">
        <f t="shared" si="17"/>
        <v>1.8199529999999999</v>
      </c>
      <c r="M17" s="10">
        <f t="shared" si="7"/>
        <v>5.5872557099999991</v>
      </c>
      <c r="N17" s="21"/>
      <c r="O17" s="7">
        <f>'[8]Jun Prod'!H16</f>
        <v>10545000</v>
      </c>
      <c r="P17" s="8">
        <f t="shared" si="8"/>
        <v>10.545</v>
      </c>
      <c r="Q17" s="10">
        <f t="shared" si="9"/>
        <v>32.373149999999995</v>
      </c>
      <c r="R17" s="7">
        <f>'[8]Jun Prod'!C16</f>
        <v>10835000</v>
      </c>
      <c r="S17" s="55">
        <f t="shared" si="10"/>
        <v>10.835000000000001</v>
      </c>
      <c r="T17" s="10">
        <f t="shared" si="11"/>
        <v>33.263449999999999</v>
      </c>
      <c r="U17" s="7">
        <f>'[8]Jun Prod'!D16</f>
        <v>0</v>
      </c>
      <c r="V17" s="8">
        <f t="shared" si="12"/>
        <v>0</v>
      </c>
      <c r="W17" s="10">
        <f t="shared" si="13"/>
        <v>0</v>
      </c>
      <c r="X17" s="7">
        <f>'[8]Jun Prod'!D264</f>
        <v>290000.00000000093</v>
      </c>
      <c r="Y17" s="8">
        <f t="shared" si="14"/>
        <v>0.29000000000000092</v>
      </c>
      <c r="Z17" s="10">
        <f t="shared" si="15"/>
        <v>0.89030000000000276</v>
      </c>
      <c r="AA17" s="15"/>
      <c r="AB17" s="7">
        <f t="shared" si="16"/>
        <v>28444999.999997817</v>
      </c>
      <c r="AC17" s="8">
        <f t="shared" si="16"/>
        <v>28.444999999997819</v>
      </c>
      <c r="AD17" s="8">
        <f t="shared" si="16"/>
        <v>87.326149999993291</v>
      </c>
      <c r="AF17" s="8">
        <f>T17-Q17-Z17</f>
        <v>0</v>
      </c>
    </row>
    <row r="18" spans="1:32" x14ac:dyDescent="0.25">
      <c r="A18" s="27">
        <v>38517</v>
      </c>
      <c r="B18" s="7">
        <f>'[8]Jun Prod'!I17</f>
        <v>15000000</v>
      </c>
      <c r="C18" s="8">
        <f t="shared" si="1"/>
        <v>15</v>
      </c>
      <c r="D18" s="10">
        <f t="shared" si="2"/>
        <v>46.05</v>
      </c>
      <c r="E18" s="7">
        <f>'[8]Jun Prod'!E17</f>
        <v>7000000</v>
      </c>
      <c r="F18" s="8">
        <f t="shared" si="3"/>
        <v>7</v>
      </c>
      <c r="G18" s="10">
        <f t="shared" si="4"/>
        <v>21.49</v>
      </c>
      <c r="H18" s="7">
        <f>'[8]Jun Prod'!F17</f>
        <v>7120000</v>
      </c>
      <c r="I18" s="8">
        <f t="shared" si="5"/>
        <v>7.12</v>
      </c>
      <c r="J18" s="10">
        <f t="shared" si="6"/>
        <v>21.8584</v>
      </c>
      <c r="K18" s="7">
        <f>'[8]Jun Prod'!H265</f>
        <v>1314155</v>
      </c>
      <c r="L18" s="8">
        <f t="shared" si="17"/>
        <v>1.314155</v>
      </c>
      <c r="M18" s="10">
        <f t="shared" si="7"/>
        <v>4.0344558499999996</v>
      </c>
      <c r="N18" s="21"/>
      <c r="O18" s="7">
        <f>'[8]Jun Prod'!H17</f>
        <v>9385000</v>
      </c>
      <c r="P18" s="8">
        <f t="shared" si="8"/>
        <v>9.3849999999999998</v>
      </c>
      <c r="Q18" s="10">
        <f t="shared" si="9"/>
        <v>28.81195</v>
      </c>
      <c r="R18" s="7">
        <f>'[8]Jun Prod'!C17</f>
        <v>9654000</v>
      </c>
      <c r="S18" s="55">
        <f t="shared" si="10"/>
        <v>9.6539999999999999</v>
      </c>
      <c r="T18" s="10">
        <f t="shared" si="11"/>
        <v>29.637779999999999</v>
      </c>
      <c r="U18" s="7">
        <f>'[8]Jun Prod'!D17</f>
        <v>0</v>
      </c>
      <c r="V18" s="8">
        <f t="shared" si="12"/>
        <v>0</v>
      </c>
      <c r="W18" s="10">
        <f t="shared" si="13"/>
        <v>0</v>
      </c>
      <c r="X18" s="7">
        <f>'[8]Jun Prod'!D265</f>
        <v>269000.00000000012</v>
      </c>
      <c r="Y18" s="8">
        <f t="shared" si="14"/>
        <v>0.26900000000000013</v>
      </c>
      <c r="Z18" s="10">
        <f t="shared" si="15"/>
        <v>0.8258300000000004</v>
      </c>
      <c r="AA18" s="15"/>
      <c r="AB18" s="7">
        <f t="shared" si="16"/>
        <v>24385000</v>
      </c>
      <c r="AC18" s="8">
        <f t="shared" si="16"/>
        <v>24.384999999999998</v>
      </c>
      <c r="AD18" s="8">
        <f t="shared" si="16"/>
        <v>74.861949999999993</v>
      </c>
      <c r="AF18" s="8">
        <f>T18-Q18-Z18</f>
        <v>0</v>
      </c>
    </row>
    <row r="19" spans="1:32" x14ac:dyDescent="0.25">
      <c r="A19" s="27">
        <v>38518</v>
      </c>
      <c r="B19" s="7">
        <f>'[8]Jun Prod'!I18</f>
        <v>20000000</v>
      </c>
      <c r="C19" s="8">
        <f t="shared" si="1"/>
        <v>20</v>
      </c>
      <c r="D19" s="10">
        <f t="shared" si="2"/>
        <v>61.4</v>
      </c>
      <c r="E19" s="7">
        <f>'[8]Jun Prod'!E18</f>
        <v>10000000</v>
      </c>
      <c r="F19" s="8">
        <f t="shared" si="3"/>
        <v>10</v>
      </c>
      <c r="G19" s="10">
        <f t="shared" si="4"/>
        <v>30.7</v>
      </c>
      <c r="H19" s="7">
        <f>'[8]Jun Prod'!F18</f>
        <v>10250000</v>
      </c>
      <c r="I19" s="8">
        <f t="shared" si="5"/>
        <v>10.25</v>
      </c>
      <c r="J19" s="10">
        <f t="shared" si="6"/>
        <v>31.467499999999998</v>
      </c>
      <c r="K19" s="7">
        <f>'[8]Jun Prod'!H266</f>
        <v>1827978</v>
      </c>
      <c r="L19" s="8">
        <f t="shared" si="17"/>
        <v>1.8279780000000001</v>
      </c>
      <c r="M19" s="10">
        <f t="shared" si="7"/>
        <v>5.61189246</v>
      </c>
      <c r="N19" s="21"/>
      <c r="O19" s="7">
        <f>'[8]Jun Prod'!H18</f>
        <v>11826000</v>
      </c>
      <c r="P19" s="8">
        <f t="shared" si="8"/>
        <v>11.826000000000001</v>
      </c>
      <c r="Q19" s="10">
        <f t="shared" si="9"/>
        <v>36.305819999999997</v>
      </c>
      <c r="R19" s="7">
        <f>'[8]Jun Prod'!C18</f>
        <v>12182000</v>
      </c>
      <c r="S19" s="55">
        <f t="shared" si="10"/>
        <v>12.182</v>
      </c>
      <c r="T19" s="10">
        <f t="shared" si="11"/>
        <v>37.398739999999997</v>
      </c>
      <c r="U19" s="7">
        <f>'[8]Jun Prod'!D18</f>
        <v>0</v>
      </c>
      <c r="V19" s="8">
        <f t="shared" si="12"/>
        <v>0</v>
      </c>
      <c r="W19" s="10">
        <f t="shared" si="13"/>
        <v>0</v>
      </c>
      <c r="X19" s="7">
        <f>'[8]Jun Prod'!D266</f>
        <v>355999.99999999988</v>
      </c>
      <c r="Y19" s="8">
        <f t="shared" si="14"/>
        <v>0.35599999999999987</v>
      </c>
      <c r="Z19" s="10">
        <f t="shared" si="15"/>
        <v>1.0929199999999994</v>
      </c>
      <c r="AA19" s="15"/>
      <c r="AB19" s="7">
        <f t="shared" si="16"/>
        <v>31826000</v>
      </c>
      <c r="AC19" s="8">
        <f t="shared" si="16"/>
        <v>31.826000000000001</v>
      </c>
      <c r="AD19" s="8">
        <f t="shared" si="16"/>
        <v>97.705819999999989</v>
      </c>
      <c r="AF19" s="8">
        <f>T19-Q19-Z19</f>
        <v>0</v>
      </c>
    </row>
    <row r="20" spans="1:32" x14ac:dyDescent="0.25">
      <c r="A20" s="27">
        <v>38519</v>
      </c>
      <c r="B20" s="7">
        <f>'[8]Jun Prod'!I19</f>
        <v>22900000.000001457</v>
      </c>
      <c r="C20" s="8">
        <f t="shared" si="1"/>
        <v>22.900000000001455</v>
      </c>
      <c r="D20" s="10">
        <f t="shared" si="2"/>
        <v>70.303000000004459</v>
      </c>
      <c r="E20" s="7">
        <f>'[8]Jun Prod'!E19</f>
        <v>10000000</v>
      </c>
      <c r="F20" s="8">
        <f t="shared" si="3"/>
        <v>10</v>
      </c>
      <c r="G20" s="10">
        <f t="shared" si="4"/>
        <v>30.7</v>
      </c>
      <c r="H20" s="7">
        <f>'[8]Jun Prod'!F19</f>
        <v>12410000</v>
      </c>
      <c r="I20" s="8">
        <f t="shared" si="5"/>
        <v>12.41</v>
      </c>
      <c r="J20" s="10">
        <f t="shared" si="6"/>
        <v>38.098700000000001</v>
      </c>
      <c r="K20" s="7">
        <f>'[8]Jun Prod'!H267</f>
        <v>2275961</v>
      </c>
      <c r="L20" s="8">
        <f t="shared" si="17"/>
        <v>2.2759610000000001</v>
      </c>
      <c r="M20" s="10">
        <f t="shared" si="7"/>
        <v>6.9872002699999998</v>
      </c>
      <c r="N20" s="21"/>
      <c r="O20" s="7">
        <f>'[8]Jun Prod'!H19</f>
        <v>11557000</v>
      </c>
      <c r="P20" s="8">
        <f t="shared" si="8"/>
        <v>11.557</v>
      </c>
      <c r="Q20" s="10">
        <f t="shared" si="9"/>
        <v>35.479990000000001</v>
      </c>
      <c r="R20" s="7">
        <f>'[8]Jun Prod'!C19</f>
        <v>11919000</v>
      </c>
      <c r="S20" s="55">
        <f t="shared" si="10"/>
        <v>11.919</v>
      </c>
      <c r="T20" s="10">
        <f t="shared" si="11"/>
        <v>36.591329999999999</v>
      </c>
      <c r="U20" s="7">
        <f>'[8]Jun Prod'!D19</f>
        <v>0</v>
      </c>
      <c r="V20" s="8">
        <f t="shared" si="12"/>
        <v>0</v>
      </c>
      <c r="W20" s="10">
        <f t="shared" si="13"/>
        <v>0</v>
      </c>
      <c r="X20" s="7">
        <f>'[8]Jun Prod'!D267</f>
        <v>362000.00000000012</v>
      </c>
      <c r="Y20" s="8">
        <f t="shared" si="14"/>
        <v>0.3620000000000001</v>
      </c>
      <c r="Z20" s="10">
        <f t="shared" si="15"/>
        <v>1.1113400000000002</v>
      </c>
      <c r="AA20" s="15"/>
      <c r="AB20" s="7">
        <f t="shared" si="16"/>
        <v>34457000.00000146</v>
      </c>
      <c r="AC20" s="8">
        <f t="shared" si="16"/>
        <v>34.457000000001457</v>
      </c>
      <c r="AD20" s="8">
        <f t="shared" si="16"/>
        <v>105.78299000000446</v>
      </c>
      <c r="AF20" s="8">
        <f t="shared" ref="AF20:AF34" si="18">T20-Q20-Z20</f>
        <v>-1.7763568394002505E-15</v>
      </c>
    </row>
    <row r="21" spans="1:32" x14ac:dyDescent="0.25">
      <c r="A21" s="27">
        <v>38520</v>
      </c>
      <c r="B21" s="7">
        <f>'[8]Jun Prod'!I20</f>
        <v>25099999.999998543</v>
      </c>
      <c r="C21" s="8">
        <f t="shared" si="1"/>
        <v>25.099999999998545</v>
      </c>
      <c r="D21" s="10">
        <f t="shared" si="2"/>
        <v>77.056999999995526</v>
      </c>
      <c r="E21" s="7">
        <f>'[8]Jun Prod'!E20</f>
        <v>11000000</v>
      </c>
      <c r="F21" s="8">
        <f t="shared" si="3"/>
        <v>11</v>
      </c>
      <c r="G21" s="10">
        <f t="shared" si="4"/>
        <v>33.769999999999996</v>
      </c>
      <c r="H21" s="7">
        <f>'[8]Jun Prod'!F20</f>
        <v>12970000</v>
      </c>
      <c r="I21" s="8">
        <f t="shared" si="5"/>
        <v>12.97</v>
      </c>
      <c r="J21" s="10">
        <f t="shared" si="6"/>
        <v>39.817900000000002</v>
      </c>
      <c r="K21" s="7">
        <f>'[8]Jun Prod'!H268</f>
        <v>2292018</v>
      </c>
      <c r="L21" s="8">
        <f t="shared" si="17"/>
        <v>2.2920180000000001</v>
      </c>
      <c r="M21" s="10">
        <f t="shared" si="7"/>
        <v>7.0364952599999997</v>
      </c>
      <c r="N21" s="21"/>
      <c r="O21" s="7">
        <f>'[8]Jun Prod'!H20</f>
        <v>11786000.000000002</v>
      </c>
      <c r="P21" s="8">
        <f t="shared" si="8"/>
        <v>11.786000000000001</v>
      </c>
      <c r="Q21" s="10">
        <f t="shared" si="9"/>
        <v>36.183019999999999</v>
      </c>
      <c r="R21" s="7">
        <f>'[8]Jun Prod'!C20</f>
        <v>12118000</v>
      </c>
      <c r="S21" s="8">
        <f t="shared" si="10"/>
        <v>12.118</v>
      </c>
      <c r="T21" s="10">
        <f t="shared" si="11"/>
        <v>37.202260000000003</v>
      </c>
      <c r="U21" s="7">
        <f>'[8]Jun Prod'!D20</f>
        <v>0</v>
      </c>
      <c r="V21" s="8">
        <f t="shared" si="12"/>
        <v>0</v>
      </c>
      <c r="W21" s="10">
        <f t="shared" si="13"/>
        <v>0</v>
      </c>
      <c r="X21" s="7">
        <f>'[8]Jun Prod'!D268</f>
        <v>331999.99999999895</v>
      </c>
      <c r="Y21" s="8">
        <f t="shared" si="14"/>
        <v>0.33199999999999896</v>
      </c>
      <c r="Z21" s="10">
        <f t="shared" si="15"/>
        <v>1.0192399999999968</v>
      </c>
      <c r="AA21" s="15"/>
      <c r="AB21" s="7">
        <f t="shared" si="16"/>
        <v>36885999.999998547</v>
      </c>
      <c r="AC21" s="8">
        <f t="shared" si="16"/>
        <v>36.885999999998546</v>
      </c>
      <c r="AD21" s="8">
        <f t="shared" si="16"/>
        <v>113.24001999999552</v>
      </c>
      <c r="AF21" s="8">
        <f t="shared" si="18"/>
        <v>6.6613381477509392E-15</v>
      </c>
    </row>
    <row r="22" spans="1:32" x14ac:dyDescent="0.25">
      <c r="A22" s="27">
        <v>38521</v>
      </c>
      <c r="B22" s="7">
        <f>'[8]Jun Prod'!I21</f>
        <v>23200000.000000726</v>
      </c>
      <c r="C22" s="8">
        <f t="shared" si="1"/>
        <v>23.200000000000728</v>
      </c>
      <c r="D22" s="10">
        <f t="shared" si="2"/>
        <v>71.224000000002235</v>
      </c>
      <c r="E22" s="7">
        <f>'[8]Jun Prod'!E21</f>
        <v>12000000</v>
      </c>
      <c r="F22" s="8">
        <f t="shared" si="3"/>
        <v>12</v>
      </c>
      <c r="G22" s="10">
        <f t="shared" si="4"/>
        <v>36.839999999999996</v>
      </c>
      <c r="H22" s="7">
        <f>'[8]Jun Prod'!F21</f>
        <v>11680000</v>
      </c>
      <c r="I22" s="8">
        <f t="shared" si="5"/>
        <v>11.68</v>
      </c>
      <c r="J22" s="10">
        <f t="shared" si="6"/>
        <v>35.857599999999998</v>
      </c>
      <c r="K22" s="7">
        <f>'[8]Jun Prod'!H269</f>
        <v>2176839</v>
      </c>
      <c r="L22" s="8">
        <f t="shared" si="17"/>
        <v>2.1768390000000002</v>
      </c>
      <c r="M22" s="10">
        <f t="shared" si="7"/>
        <v>6.6828957300000003</v>
      </c>
      <c r="N22" s="21"/>
      <c r="O22" s="7">
        <f>'[8]Jun Prod'!H21</f>
        <v>12544000</v>
      </c>
      <c r="P22" s="8">
        <f t="shared" si="8"/>
        <v>12.544</v>
      </c>
      <c r="Q22" s="10">
        <f t="shared" si="9"/>
        <v>38.510080000000002</v>
      </c>
      <c r="R22" s="7">
        <f>'[8]Jun Prod'!C21</f>
        <v>13022000</v>
      </c>
      <c r="S22" s="8">
        <f t="shared" si="10"/>
        <v>13.022</v>
      </c>
      <c r="T22" s="10">
        <f t="shared" si="11"/>
        <v>39.977539999999998</v>
      </c>
      <c r="U22" s="7">
        <f>'[8]Jun Prod'!D21</f>
        <v>0</v>
      </c>
      <c r="V22" s="8">
        <f t="shared" si="12"/>
        <v>0</v>
      </c>
      <c r="W22" s="10">
        <f t="shared" si="13"/>
        <v>0</v>
      </c>
      <c r="X22" s="7">
        <f>'[8]Jun Prod'!D269</f>
        <v>477999.99999999977</v>
      </c>
      <c r="Y22" s="8">
        <f t="shared" si="14"/>
        <v>0.47799999999999976</v>
      </c>
      <c r="Z22" s="10">
        <f t="shared" si="15"/>
        <v>1.4674599999999991</v>
      </c>
      <c r="AA22" s="15"/>
      <c r="AB22" s="7">
        <f t="shared" si="16"/>
        <v>35744000.00000073</v>
      </c>
      <c r="AC22" s="8">
        <f t="shared" si="16"/>
        <v>35.744000000000725</v>
      </c>
      <c r="AD22" s="8">
        <f t="shared" si="16"/>
        <v>109.73408000000224</v>
      </c>
      <c r="AF22" s="8">
        <f t="shared" si="18"/>
        <v>-3.5527136788005009E-15</v>
      </c>
    </row>
    <row r="23" spans="1:32" x14ac:dyDescent="0.25">
      <c r="A23" s="27">
        <v>38522</v>
      </c>
      <c r="B23" s="7">
        <f>'[8]Jun Prod'!I22</f>
        <v>28799999.999999274</v>
      </c>
      <c r="C23" s="8">
        <f t="shared" si="1"/>
        <v>28.799999999999272</v>
      </c>
      <c r="D23" s="10">
        <f t="shared" si="2"/>
        <v>88.415999999997766</v>
      </c>
      <c r="E23" s="7">
        <f>'[8]Jun Prod'!E22</f>
        <v>13000000</v>
      </c>
      <c r="F23" s="8">
        <f t="shared" si="3"/>
        <v>13</v>
      </c>
      <c r="G23" s="10">
        <f t="shared" si="4"/>
        <v>39.909999999999997</v>
      </c>
      <c r="H23" s="7">
        <f>'[8]Jun Prod'!F22</f>
        <v>13540000</v>
      </c>
      <c r="I23" s="8">
        <f t="shared" si="5"/>
        <v>13.54</v>
      </c>
      <c r="J23" s="10">
        <f t="shared" si="6"/>
        <v>41.567799999999998</v>
      </c>
      <c r="K23" s="7">
        <f>'[8]Jun Prod'!H270</f>
        <v>2577536</v>
      </c>
      <c r="L23" s="8">
        <f t="shared" si="17"/>
        <v>2.5775359999999998</v>
      </c>
      <c r="M23" s="10">
        <f t="shared" si="7"/>
        <v>7.9130355199999993</v>
      </c>
      <c r="N23" s="21"/>
      <c r="O23" s="7">
        <f>'[8]Jun Prod'!H22</f>
        <v>11662000</v>
      </c>
      <c r="P23" s="8">
        <f t="shared" si="8"/>
        <v>11.662000000000001</v>
      </c>
      <c r="Q23" s="10">
        <f t="shared" si="9"/>
        <v>35.802340000000001</v>
      </c>
      <c r="R23" s="7">
        <f>'[8]Jun Prod'!C22</f>
        <v>12011000</v>
      </c>
      <c r="S23" s="8">
        <f t="shared" ref="S23" si="19">R23/1000000</f>
        <v>12.010999999999999</v>
      </c>
      <c r="T23" s="10">
        <f t="shared" ref="T23" si="20">S23*3.07</f>
        <v>36.873769999999993</v>
      </c>
      <c r="U23" s="7">
        <f>'[8]Jun Prod'!D22</f>
        <v>0</v>
      </c>
      <c r="V23" s="8">
        <f t="shared" si="12"/>
        <v>0</v>
      </c>
      <c r="W23" s="10">
        <f t="shared" si="13"/>
        <v>0</v>
      </c>
      <c r="X23" s="7">
        <f>'[8]Jun Prod'!D270</f>
        <v>349000.00000000017</v>
      </c>
      <c r="Y23" s="8">
        <f t="shared" si="14"/>
        <v>0.3490000000000002</v>
      </c>
      <c r="Z23" s="10">
        <f t="shared" si="15"/>
        <v>1.0714300000000005</v>
      </c>
      <c r="AA23" s="15"/>
      <c r="AB23" s="7">
        <f t="shared" si="16"/>
        <v>40461999.99999927</v>
      </c>
      <c r="AC23" s="8">
        <f t="shared" si="16"/>
        <v>40.461999999999271</v>
      </c>
      <c r="AD23" s="8">
        <f t="shared" si="16"/>
        <v>124.21833999999777</v>
      </c>
      <c r="AF23" s="8">
        <f t="shared" si="18"/>
        <v>-8.2156503822261584E-15</v>
      </c>
    </row>
    <row r="24" spans="1:32" x14ac:dyDescent="0.25">
      <c r="A24" s="27">
        <v>38523</v>
      </c>
      <c r="B24" s="7">
        <f>'[8]Jun Prod'!I23</f>
        <v>27700000.000000726</v>
      </c>
      <c r="C24" s="8">
        <f t="shared" si="1"/>
        <v>27.700000000000728</v>
      </c>
      <c r="D24" s="10">
        <f t="shared" si="2"/>
        <v>85.039000000002233</v>
      </c>
      <c r="E24" s="7">
        <f>'[8]Jun Prod'!E23</f>
        <v>14000000</v>
      </c>
      <c r="F24" s="8">
        <f t="shared" si="3"/>
        <v>14</v>
      </c>
      <c r="G24" s="10">
        <f t="shared" si="4"/>
        <v>42.98</v>
      </c>
      <c r="H24" s="7">
        <f>'[8]Jun Prod'!F23</f>
        <v>13440000</v>
      </c>
      <c r="I24" s="8">
        <f t="shared" si="5"/>
        <v>13.44</v>
      </c>
      <c r="J24" s="10">
        <f t="shared" si="6"/>
        <v>41.260799999999996</v>
      </c>
      <c r="K24" s="7">
        <f>'[8]Jun Prod'!H271</f>
        <v>2582182</v>
      </c>
      <c r="L24" s="8">
        <f t="shared" si="17"/>
        <v>2.582182</v>
      </c>
      <c r="M24" s="10">
        <f t="shared" si="7"/>
        <v>7.9272987399999995</v>
      </c>
      <c r="N24" s="21"/>
      <c r="O24" s="7">
        <f>'[8]Jun Prod'!H23</f>
        <v>10852000</v>
      </c>
      <c r="P24" s="8">
        <f t="shared" si="8"/>
        <v>10.852</v>
      </c>
      <c r="Q24" s="10">
        <f t="shared" si="9"/>
        <v>33.315640000000002</v>
      </c>
      <c r="R24" s="7">
        <f>'[8]Jun Prod'!C23</f>
        <v>11128000</v>
      </c>
      <c r="S24" s="8">
        <f t="shared" si="10"/>
        <v>11.128</v>
      </c>
      <c r="T24" s="10">
        <f t="shared" si="11"/>
        <v>34.162959999999998</v>
      </c>
      <c r="U24" s="7">
        <f>'[8]Jun Prod'!D23</f>
        <v>0</v>
      </c>
      <c r="V24" s="8">
        <f t="shared" si="12"/>
        <v>0</v>
      </c>
      <c r="W24" s="10">
        <f t="shared" si="13"/>
        <v>0</v>
      </c>
      <c r="X24" s="7">
        <f>'[8]Jun Prod'!D271</f>
        <v>275999.99999999983</v>
      </c>
      <c r="Y24" s="8">
        <f t="shared" si="14"/>
        <v>0.2759999999999998</v>
      </c>
      <c r="Z24" s="10">
        <f t="shared" si="15"/>
        <v>0.8473199999999993</v>
      </c>
      <c r="AA24" s="15"/>
      <c r="AB24" s="7">
        <f t="shared" si="16"/>
        <v>38552000.00000073</v>
      </c>
      <c r="AC24" s="8">
        <f t="shared" si="16"/>
        <v>38.552000000000731</v>
      </c>
      <c r="AD24" s="8">
        <f t="shared" si="16"/>
        <v>118.35464000000223</v>
      </c>
      <c r="AF24" s="8">
        <f t="shared" si="18"/>
        <v>-2.9976021664879227E-15</v>
      </c>
    </row>
    <row r="25" spans="1:32" x14ac:dyDescent="0.25">
      <c r="A25" s="27">
        <v>38524</v>
      </c>
      <c r="B25" s="7">
        <f>'[8]Jun Prod'!I24</f>
        <v>27000000</v>
      </c>
      <c r="C25" s="8">
        <f t="shared" si="1"/>
        <v>27</v>
      </c>
      <c r="D25" s="10">
        <f t="shared" si="2"/>
        <v>82.89</v>
      </c>
      <c r="E25" s="7">
        <f>'[8]Jun Prod'!E24</f>
        <v>17000000</v>
      </c>
      <c r="F25" s="8">
        <f t="shared" si="3"/>
        <v>17</v>
      </c>
      <c r="G25" s="10">
        <f t="shared" si="4"/>
        <v>52.19</v>
      </c>
      <c r="H25" s="7">
        <f>'[8]Jun Prod'!F24</f>
        <v>9380000</v>
      </c>
      <c r="I25" s="8">
        <f t="shared" si="5"/>
        <v>9.3800000000000008</v>
      </c>
      <c r="J25" s="10">
        <f t="shared" si="6"/>
        <v>28.796600000000002</v>
      </c>
      <c r="K25" s="7">
        <f>'[8]Jun Prod'!H272</f>
        <v>2528419</v>
      </c>
      <c r="L25" s="8">
        <f t="shared" si="17"/>
        <v>2.528419</v>
      </c>
      <c r="M25" s="10">
        <f t="shared" si="7"/>
        <v>7.7622463299999991</v>
      </c>
      <c r="N25" s="21"/>
      <c r="O25" s="7">
        <f>'[8]Jun Prod'!H24</f>
        <v>9686000</v>
      </c>
      <c r="P25" s="8">
        <f t="shared" si="8"/>
        <v>9.6859999999999999</v>
      </c>
      <c r="Q25" s="10">
        <f t="shared" si="9"/>
        <v>29.73602</v>
      </c>
      <c r="R25" s="7">
        <f>'[8]Jun Prod'!C24</f>
        <v>10093000</v>
      </c>
      <c r="S25" s="8">
        <f t="shared" si="10"/>
        <v>10.093</v>
      </c>
      <c r="T25" s="10">
        <f t="shared" si="11"/>
        <v>30.985509999999998</v>
      </c>
      <c r="U25" s="7">
        <f>'[8]Jun Prod'!D24</f>
        <v>0</v>
      </c>
      <c r="V25" s="8">
        <f t="shared" si="12"/>
        <v>0</v>
      </c>
      <c r="W25" s="10">
        <f t="shared" si="13"/>
        <v>0</v>
      </c>
      <c r="X25" s="7">
        <f>'[8]Jun Prod'!D272</f>
        <v>407000</v>
      </c>
      <c r="Y25" s="8">
        <f t="shared" si="14"/>
        <v>0.40699999999999997</v>
      </c>
      <c r="Z25" s="10">
        <f t="shared" si="15"/>
        <v>1.2494899999999998</v>
      </c>
      <c r="AA25" s="15"/>
      <c r="AB25" s="7">
        <f t="shared" si="16"/>
        <v>36686000</v>
      </c>
      <c r="AC25" s="8">
        <f t="shared" si="16"/>
        <v>36.686</v>
      </c>
      <c r="AD25" s="8">
        <f t="shared" si="16"/>
        <v>112.62602</v>
      </c>
      <c r="AF25" s="8">
        <f t="shared" si="18"/>
        <v>-1.7763568394002505E-15</v>
      </c>
    </row>
    <row r="26" spans="1:32" x14ac:dyDescent="0.25">
      <c r="A26" s="27">
        <v>38525</v>
      </c>
      <c r="B26" s="7">
        <f>'[8]Jun Prod'!I25</f>
        <v>28200000.000000726</v>
      </c>
      <c r="C26" s="8">
        <f t="shared" si="1"/>
        <v>28.200000000000728</v>
      </c>
      <c r="D26" s="10">
        <f t="shared" si="2"/>
        <v>86.574000000002229</v>
      </c>
      <c r="E26" s="7">
        <f>'[8]Jun Prod'!E25</f>
        <v>23000000</v>
      </c>
      <c r="F26" s="8">
        <f t="shared" si="3"/>
        <v>23</v>
      </c>
      <c r="G26" s="10">
        <f t="shared" si="4"/>
        <v>70.61</v>
      </c>
      <c r="H26" s="7">
        <f>'[8]Jun Prod'!F25</f>
        <v>7190000</v>
      </c>
      <c r="I26" s="8">
        <f t="shared" si="5"/>
        <v>7.19</v>
      </c>
      <c r="J26" s="10">
        <f t="shared" si="6"/>
        <v>22.0733</v>
      </c>
      <c r="K26" s="7">
        <f>'[8]Jun Prod'!H273</f>
        <v>2539067</v>
      </c>
      <c r="L26" s="8">
        <f t="shared" si="17"/>
        <v>2.5390670000000002</v>
      </c>
      <c r="M26" s="10">
        <f t="shared" si="7"/>
        <v>7.79493569</v>
      </c>
      <c r="N26" s="21"/>
      <c r="O26" s="7">
        <f>'[8]Jun Prod'!H25</f>
        <v>9903000</v>
      </c>
      <c r="P26" s="8">
        <f t="shared" si="8"/>
        <v>9.9030000000000005</v>
      </c>
      <c r="Q26" s="10">
        <f t="shared" si="9"/>
        <v>30.40221</v>
      </c>
      <c r="R26" s="7">
        <f>'[8]Jun Prod'!C25</f>
        <v>10357000</v>
      </c>
      <c r="S26" s="8">
        <f t="shared" si="10"/>
        <v>10.356999999999999</v>
      </c>
      <c r="T26" s="10">
        <f t="shared" si="11"/>
        <v>31.795989999999996</v>
      </c>
      <c r="U26" s="7">
        <f>'[8]Jun Prod'!D25</f>
        <v>0</v>
      </c>
      <c r="V26" s="8">
        <f t="shared" si="12"/>
        <v>0</v>
      </c>
      <c r="W26" s="10">
        <f t="shared" si="13"/>
        <v>0</v>
      </c>
      <c r="X26" s="7">
        <f>'[8]Jun Prod'!D273</f>
        <v>454000.00000000064</v>
      </c>
      <c r="Y26" s="8">
        <f t="shared" si="14"/>
        <v>0.45400000000000063</v>
      </c>
      <c r="Z26" s="10">
        <f t="shared" si="15"/>
        <v>1.3937800000000018</v>
      </c>
      <c r="AA26" s="15"/>
      <c r="AB26" s="7">
        <f t="shared" si="16"/>
        <v>38103000.00000073</v>
      </c>
      <c r="AC26" s="8">
        <f t="shared" si="16"/>
        <v>38.103000000000726</v>
      </c>
      <c r="AD26" s="8">
        <f t="shared" si="16"/>
        <v>116.97621000000223</v>
      </c>
      <c r="AF26" s="8">
        <f t="shared" si="18"/>
        <v>-5.773159728050814E-15</v>
      </c>
    </row>
    <row r="27" spans="1:32" x14ac:dyDescent="0.25">
      <c r="A27" s="27">
        <v>38526</v>
      </c>
      <c r="B27" s="7">
        <f>'[8]Jun Prod'!I26</f>
        <v>24599999.999998543</v>
      </c>
      <c r="C27" s="8">
        <f t="shared" si="1"/>
        <v>24.599999999998545</v>
      </c>
      <c r="D27" s="10">
        <f t="shared" si="2"/>
        <v>75.521999999995529</v>
      </c>
      <c r="E27" s="7">
        <f>'[8]Jun Prod'!E26</f>
        <v>18000000</v>
      </c>
      <c r="F27" s="8">
        <f t="shared" si="3"/>
        <v>18</v>
      </c>
      <c r="G27" s="10">
        <f t="shared" si="4"/>
        <v>55.26</v>
      </c>
      <c r="H27" s="7">
        <f>'[8]Jun Prod'!F26</f>
        <v>6610000</v>
      </c>
      <c r="I27" s="8">
        <f t="shared" si="5"/>
        <v>6.61</v>
      </c>
      <c r="J27" s="10">
        <f t="shared" si="6"/>
        <v>20.2927</v>
      </c>
      <c r="K27" s="7">
        <f>'[8]Jun Prod'!H274</f>
        <v>2261166</v>
      </c>
      <c r="L27" s="8">
        <f t="shared" si="17"/>
        <v>2.2611659999999998</v>
      </c>
      <c r="M27" s="10">
        <f t="shared" si="7"/>
        <v>6.9417796199999993</v>
      </c>
      <c r="N27" s="21"/>
      <c r="O27" s="7">
        <f>'[8]Jun Prod'!H26</f>
        <v>9563000</v>
      </c>
      <c r="P27" s="8">
        <f t="shared" si="8"/>
        <v>9.5630000000000006</v>
      </c>
      <c r="Q27" s="10">
        <f t="shared" si="9"/>
        <v>29.358409999999999</v>
      </c>
      <c r="R27" s="7">
        <f>'[8]Jun Prod'!C26</f>
        <v>9937000</v>
      </c>
      <c r="S27" s="8">
        <f t="shared" si="10"/>
        <v>9.9369999999999994</v>
      </c>
      <c r="T27" s="10">
        <f t="shared" si="11"/>
        <v>30.506589999999996</v>
      </c>
      <c r="U27" s="7">
        <f>'[8]Jun Prod'!D26</f>
        <v>0</v>
      </c>
      <c r="V27" s="8">
        <f t="shared" si="12"/>
        <v>0</v>
      </c>
      <c r="W27" s="10">
        <f t="shared" si="13"/>
        <v>0</v>
      </c>
      <c r="X27" s="7">
        <f>'[8]Jun Prod'!D274</f>
        <v>374000.00000000058</v>
      </c>
      <c r="Y27" s="8">
        <f t="shared" si="14"/>
        <v>0.37400000000000061</v>
      </c>
      <c r="Z27" s="10">
        <f t="shared" si="15"/>
        <v>1.1481800000000018</v>
      </c>
      <c r="AA27" s="15"/>
      <c r="AB27" s="7">
        <f t="shared" si="16"/>
        <v>34162999.99999854</v>
      </c>
      <c r="AC27" s="8">
        <f t="shared" si="16"/>
        <v>34.162999999998547</v>
      </c>
      <c r="AD27" s="8">
        <f t="shared" si="16"/>
        <v>104.88040999999552</v>
      </c>
      <c r="AF27" s="8">
        <f t="shared" si="18"/>
        <v>-5.3290705182007514E-15</v>
      </c>
    </row>
    <row r="28" spans="1:32" x14ac:dyDescent="0.25">
      <c r="A28" s="27">
        <v>38527</v>
      </c>
      <c r="B28" s="7">
        <f>'[8]Jun Prod'!I27</f>
        <v>27100000.000002183</v>
      </c>
      <c r="C28" s="8">
        <f t="shared" si="1"/>
        <v>27.100000000002183</v>
      </c>
      <c r="D28" s="10">
        <f t="shared" si="2"/>
        <v>83.197000000006696</v>
      </c>
      <c r="E28" s="7">
        <f>'[8]Jun Prod'!E27</f>
        <v>22000000</v>
      </c>
      <c r="F28" s="8">
        <f t="shared" si="3"/>
        <v>22</v>
      </c>
      <c r="G28" s="10">
        <f t="shared" si="4"/>
        <v>67.539999999999992</v>
      </c>
      <c r="H28" s="7">
        <f>'[8]Jun Prod'!F27</f>
        <v>7070000</v>
      </c>
      <c r="I28" s="8">
        <f t="shared" si="5"/>
        <v>7.07</v>
      </c>
      <c r="J28" s="10">
        <f t="shared" si="6"/>
        <v>21.704899999999999</v>
      </c>
      <c r="K28" s="7">
        <f>'[8]Jun Prod'!H275</f>
        <v>2584475</v>
      </c>
      <c r="L28" s="8">
        <f t="shared" si="17"/>
        <v>2.5844749999999999</v>
      </c>
      <c r="M28" s="10">
        <f t="shared" si="7"/>
        <v>7.9343382499999988</v>
      </c>
      <c r="N28" s="21"/>
      <c r="O28" s="7">
        <f>'[8]Jun Prod'!H27</f>
        <v>10905000.000000002</v>
      </c>
      <c r="P28" s="8">
        <f t="shared" si="8"/>
        <v>10.905000000000001</v>
      </c>
      <c r="Q28" s="10">
        <f t="shared" si="9"/>
        <v>33.478349999999999</v>
      </c>
      <c r="R28" s="7">
        <f>'[8]Jun Prod'!C27</f>
        <v>11242000</v>
      </c>
      <c r="S28" s="8">
        <f t="shared" si="10"/>
        <v>11.242000000000001</v>
      </c>
      <c r="T28" s="10">
        <f t="shared" si="11"/>
        <v>34.51294</v>
      </c>
      <c r="U28" s="7">
        <f>'[8]Jun Prod'!D27</f>
        <v>0</v>
      </c>
      <c r="V28" s="8">
        <f t="shared" si="12"/>
        <v>0</v>
      </c>
      <c r="W28" s="10">
        <f t="shared" si="13"/>
        <v>0</v>
      </c>
      <c r="X28" s="7">
        <f>'[8]Jun Prod'!D275</f>
        <v>336999.99999999796</v>
      </c>
      <c r="Y28" s="8">
        <f t="shared" si="14"/>
        <v>0.33699999999999797</v>
      </c>
      <c r="Z28" s="10">
        <f t="shared" si="15"/>
        <v>1.0345899999999937</v>
      </c>
      <c r="AA28" s="15"/>
      <c r="AB28" s="7">
        <f t="shared" si="16"/>
        <v>38005000.000002183</v>
      </c>
      <c r="AC28" s="8">
        <f t="shared" si="16"/>
        <v>38.005000000002184</v>
      </c>
      <c r="AD28" s="8">
        <f t="shared" si="16"/>
        <v>116.67535000000669</v>
      </c>
      <c r="AF28" s="8">
        <f t="shared" si="18"/>
        <v>7.7715611723760958E-15</v>
      </c>
    </row>
    <row r="29" spans="1:32" x14ac:dyDescent="0.25">
      <c r="A29" s="27">
        <v>38528</v>
      </c>
      <c r="B29" s="7">
        <f>'[8]Jun Prod'!I28</f>
        <v>26699999.999997091</v>
      </c>
      <c r="C29" s="8">
        <f t="shared" si="1"/>
        <v>26.69999999999709</v>
      </c>
      <c r="D29" s="10">
        <f t="shared" si="2"/>
        <v>81.968999999991055</v>
      </c>
      <c r="E29" s="7">
        <f>'[8]Jun Prod'!E28</f>
        <v>21000000</v>
      </c>
      <c r="F29" s="8">
        <f t="shared" si="3"/>
        <v>21</v>
      </c>
      <c r="G29" s="10">
        <f t="shared" si="4"/>
        <v>64.47</v>
      </c>
      <c r="H29" s="7">
        <f>'[8]Jun Prod'!F28</f>
        <v>6470000</v>
      </c>
      <c r="I29" s="8">
        <f t="shared" si="5"/>
        <v>6.47</v>
      </c>
      <c r="J29" s="10">
        <f t="shared" si="6"/>
        <v>19.8629</v>
      </c>
      <c r="K29" s="7">
        <f>'[8]Jun Prod'!H276</f>
        <v>2395028</v>
      </c>
      <c r="L29" s="8">
        <f>K29/1000000</f>
        <v>2.3950279999999999</v>
      </c>
      <c r="M29" s="10">
        <f t="shared" si="7"/>
        <v>7.3527359599999995</v>
      </c>
      <c r="N29" s="21"/>
      <c r="O29" s="7">
        <f>'[8]Jun Prod'!H28</f>
        <v>11333999.999999996</v>
      </c>
      <c r="P29" s="8">
        <f t="shared" si="8"/>
        <v>11.333999999999996</v>
      </c>
      <c r="Q29" s="10">
        <f t="shared" si="9"/>
        <v>34.795379999999987</v>
      </c>
      <c r="R29" s="7">
        <f>'[8]Jun Prod'!C28</f>
        <v>11534000</v>
      </c>
      <c r="S29" s="8">
        <f t="shared" si="10"/>
        <v>11.534000000000001</v>
      </c>
      <c r="T29" s="10">
        <f t="shared" si="11"/>
        <v>35.409379999999999</v>
      </c>
      <c r="U29" s="7">
        <f>'[8]Jun Prod'!D28</f>
        <v>0</v>
      </c>
      <c r="V29" s="8">
        <f t="shared" si="12"/>
        <v>0</v>
      </c>
      <c r="W29" s="10">
        <f t="shared" si="13"/>
        <v>0</v>
      </c>
      <c r="X29" s="7">
        <f>'[8]Jun Prod'!D276</f>
        <v>200000.00000000285</v>
      </c>
      <c r="Y29" s="8">
        <f t="shared" si="14"/>
        <v>0.20000000000000284</v>
      </c>
      <c r="Z29" s="10">
        <f t="shared" si="15"/>
        <v>0.61400000000000865</v>
      </c>
      <c r="AA29" s="15"/>
      <c r="AB29" s="7">
        <f t="shared" si="16"/>
        <v>38033999.999997087</v>
      </c>
      <c r="AC29" s="8">
        <f t="shared" si="16"/>
        <v>38.033999999997086</v>
      </c>
      <c r="AD29" s="8">
        <f t="shared" si="16"/>
        <v>116.76437999999104</v>
      </c>
      <c r="AF29" s="8">
        <f t="shared" si="18"/>
        <v>2.7755575615628914E-15</v>
      </c>
    </row>
    <row r="30" spans="1:32" x14ac:dyDescent="0.25">
      <c r="A30" s="27">
        <v>38529</v>
      </c>
      <c r="B30" s="7">
        <f>'[8]Jun Prod'!I29</f>
        <v>27100000.000002183</v>
      </c>
      <c r="C30" s="8">
        <f t="shared" si="1"/>
        <v>27.100000000002183</v>
      </c>
      <c r="D30" s="10">
        <f t="shared" si="2"/>
        <v>83.197000000006696</v>
      </c>
      <c r="E30" s="7">
        <f>'[8]Jun Prod'!E29</f>
        <v>23000000</v>
      </c>
      <c r="F30" s="8">
        <f t="shared" si="3"/>
        <v>23</v>
      </c>
      <c r="G30" s="10">
        <f t="shared" si="4"/>
        <v>70.61</v>
      </c>
      <c r="H30" s="7">
        <f>'[8]Jun Prod'!F29</f>
        <v>5860000</v>
      </c>
      <c r="I30" s="8">
        <f t="shared" si="5"/>
        <v>5.86</v>
      </c>
      <c r="J30" s="10">
        <f t="shared" si="6"/>
        <v>17.990200000000002</v>
      </c>
      <c r="K30" s="7">
        <f>'[8]Jun Prod'!H277</f>
        <v>2529422</v>
      </c>
      <c r="L30" s="8">
        <f t="shared" si="17"/>
        <v>2.5294219999999998</v>
      </c>
      <c r="M30" s="10">
        <f t="shared" si="7"/>
        <v>7.7653255399999992</v>
      </c>
      <c r="N30" s="21"/>
      <c r="O30" s="7">
        <f>'[8]Jun Prod'!H29</f>
        <v>10535000.000000002</v>
      </c>
      <c r="P30" s="8">
        <f t="shared" si="8"/>
        <v>10.535000000000002</v>
      </c>
      <c r="Q30" s="10">
        <f t="shared" si="9"/>
        <v>32.342450000000007</v>
      </c>
      <c r="R30" s="7">
        <f>'[8]Jun Prod'!C29</f>
        <v>11002000</v>
      </c>
      <c r="S30" s="8">
        <f t="shared" si="10"/>
        <v>11.002000000000001</v>
      </c>
      <c r="T30" s="10">
        <f t="shared" si="11"/>
        <v>33.776139999999998</v>
      </c>
      <c r="U30" s="7">
        <f>'[8]Jun Prod'!D29</f>
        <v>0</v>
      </c>
      <c r="V30" s="8">
        <f t="shared" si="12"/>
        <v>0</v>
      </c>
      <c r="W30" s="10">
        <f t="shared" si="13"/>
        <v>0</v>
      </c>
      <c r="X30" s="7">
        <f>'[8]Jun Prod'!D277</f>
        <v>466999.99999999878</v>
      </c>
      <c r="Y30" s="8">
        <f t="shared" si="14"/>
        <v>0.4669999999999988</v>
      </c>
      <c r="Z30" s="10">
        <f t="shared" si="15"/>
        <v>1.4336899999999964</v>
      </c>
      <c r="AA30" s="15"/>
      <c r="AB30" s="7">
        <f t="shared" si="16"/>
        <v>37635000.000002183</v>
      </c>
      <c r="AC30" s="8">
        <f t="shared" si="16"/>
        <v>37.635000000002186</v>
      </c>
      <c r="AD30" s="8">
        <f t="shared" si="16"/>
        <v>115.5394500000067</v>
      </c>
      <c r="AF30" s="8">
        <f t="shared" si="18"/>
        <v>-4.8849813083506888E-15</v>
      </c>
    </row>
    <row r="31" spans="1:32" x14ac:dyDescent="0.25">
      <c r="A31" s="27">
        <v>38530</v>
      </c>
      <c r="B31" s="7">
        <f>'[8]Jun Prod'!I30</f>
        <v>27299999.999999274</v>
      </c>
      <c r="C31" s="8">
        <f t="shared" si="1"/>
        <v>27.299999999999272</v>
      </c>
      <c r="D31" s="10">
        <f t="shared" si="2"/>
        <v>83.810999999997762</v>
      </c>
      <c r="E31" s="7">
        <f>'[8]Jun Prod'!E30</f>
        <v>24000000</v>
      </c>
      <c r="F31" s="8">
        <f t="shared" si="3"/>
        <v>24</v>
      </c>
      <c r="G31" s="10">
        <f t="shared" si="4"/>
        <v>73.679999999999993</v>
      </c>
      <c r="H31" s="7">
        <f>'[8]Jun Prod'!F30</f>
        <v>4940000</v>
      </c>
      <c r="I31" s="8">
        <f t="shared" si="5"/>
        <v>4.9400000000000004</v>
      </c>
      <c r="J31" s="10">
        <f t="shared" si="6"/>
        <v>15.165800000000001</v>
      </c>
      <c r="K31" s="7">
        <f>'[8]Jun Prod'!H278</f>
        <v>2600907</v>
      </c>
      <c r="L31" s="8">
        <f t="shared" si="17"/>
        <v>2.6009069999999999</v>
      </c>
      <c r="M31" s="10">
        <f t="shared" si="7"/>
        <v>7.9847844899999991</v>
      </c>
      <c r="N31" s="21"/>
      <c r="O31" s="7">
        <f>'[8]Jun Prod'!H30</f>
        <v>9900999.9999999981</v>
      </c>
      <c r="P31" s="8">
        <f t="shared" si="8"/>
        <v>9.900999999999998</v>
      </c>
      <c r="Q31" s="10">
        <f t="shared" si="9"/>
        <v>30.396069999999991</v>
      </c>
      <c r="R31" s="7">
        <f>'[8]Jun Prod'!C30</f>
        <v>10376000</v>
      </c>
      <c r="S31" s="8">
        <f t="shared" si="10"/>
        <v>10.375999999999999</v>
      </c>
      <c r="T31" s="10">
        <f t="shared" si="11"/>
        <v>31.854319999999998</v>
      </c>
      <c r="U31" s="7">
        <f>'[8]Jun Prod'!D30</f>
        <v>0</v>
      </c>
      <c r="V31" s="8">
        <f t="shared" si="12"/>
        <v>0</v>
      </c>
      <c r="W31" s="10">
        <f t="shared" si="13"/>
        <v>0</v>
      </c>
      <c r="X31" s="7">
        <f>'[8]Jun Prod'!D278</f>
        <v>475000.0000000014</v>
      </c>
      <c r="Y31" s="8">
        <f t="shared" si="14"/>
        <v>0.47500000000000142</v>
      </c>
      <c r="Z31" s="10">
        <f t="shared" si="15"/>
        <v>1.4582500000000043</v>
      </c>
      <c r="AA31" s="15"/>
      <c r="AB31" s="7">
        <f t="shared" si="16"/>
        <v>37200999.99999927</v>
      </c>
      <c r="AC31" s="8">
        <f t="shared" si="16"/>
        <v>37.200999999999269</v>
      </c>
      <c r="AD31" s="8">
        <f t="shared" si="16"/>
        <v>114.20706999999776</v>
      </c>
      <c r="AF31" s="8">
        <f t="shared" si="18"/>
        <v>2.4424906541753444E-15</v>
      </c>
    </row>
    <row r="32" spans="1:32" x14ac:dyDescent="0.25">
      <c r="A32" s="27">
        <v>38531</v>
      </c>
      <c r="B32" s="7">
        <f>'[8]Jun Prod'!I31</f>
        <v>27700000.000000726</v>
      </c>
      <c r="C32" s="8">
        <f t="shared" si="1"/>
        <v>27.700000000000728</v>
      </c>
      <c r="D32" s="10">
        <f t="shared" si="2"/>
        <v>85.039000000002233</v>
      </c>
      <c r="E32" s="7">
        <f>'[8]Jun Prod'!E31</f>
        <v>25000000</v>
      </c>
      <c r="F32" s="8">
        <f t="shared" si="3"/>
        <v>25</v>
      </c>
      <c r="G32" s="10">
        <f t="shared" si="4"/>
        <v>76.75</v>
      </c>
      <c r="H32" s="7">
        <f>'[8]Jun Prod'!F31</f>
        <v>5020000</v>
      </c>
      <c r="I32" s="8">
        <f t="shared" si="5"/>
        <v>5.0199999999999996</v>
      </c>
      <c r="J32" s="10">
        <f t="shared" si="6"/>
        <v>15.411399999999999</v>
      </c>
      <c r="K32" s="7">
        <f>'[8]Jun Prod'!H279</f>
        <v>2646386</v>
      </c>
      <c r="L32" s="8">
        <f t="shared" si="17"/>
        <v>2.6463860000000001</v>
      </c>
      <c r="M32" s="10">
        <f t="shared" si="7"/>
        <v>8.1244050199999993</v>
      </c>
      <c r="N32" s="21"/>
      <c r="O32" s="7">
        <f>'[8]Jun Prod'!H31</f>
        <v>10775000</v>
      </c>
      <c r="P32" s="8">
        <f t="shared" si="8"/>
        <v>10.775</v>
      </c>
      <c r="Q32" s="10">
        <f t="shared" si="9"/>
        <v>33.079250000000002</v>
      </c>
      <c r="R32" s="7">
        <f>'[8]Jun Prod'!C31</f>
        <v>11106000</v>
      </c>
      <c r="S32" s="8">
        <f t="shared" si="10"/>
        <v>11.106</v>
      </c>
      <c r="T32" s="10">
        <f t="shared" si="11"/>
        <v>34.095419999999997</v>
      </c>
      <c r="U32" s="7">
        <f>'[8]Jun Prod'!D31</f>
        <v>0</v>
      </c>
      <c r="V32" s="8">
        <f t="shared" si="12"/>
        <v>0</v>
      </c>
      <c r="W32" s="10">
        <f t="shared" si="13"/>
        <v>0</v>
      </c>
      <c r="X32" s="7">
        <f>'[8]Jun Prod'!D279</f>
        <v>330999.99999999953</v>
      </c>
      <c r="Y32" s="8">
        <f t="shared" si="14"/>
        <v>0.33099999999999952</v>
      </c>
      <c r="Z32" s="10">
        <f t="shared" si="15"/>
        <v>1.0161699999999985</v>
      </c>
      <c r="AA32" s="15"/>
      <c r="AB32" s="7">
        <f t="shared" si="16"/>
        <v>38475000.00000073</v>
      </c>
      <c r="AC32" s="8">
        <f>C32+P32</f>
        <v>38.475000000000726</v>
      </c>
      <c r="AD32" s="8">
        <f>D32+Q32</f>
        <v>118.11825000000223</v>
      </c>
      <c r="AF32" s="8">
        <f t="shared" si="18"/>
        <v>-3.1086244689504383E-15</v>
      </c>
    </row>
    <row r="33" spans="1:32" x14ac:dyDescent="0.25">
      <c r="A33" s="27">
        <v>38532</v>
      </c>
      <c r="B33" s="7">
        <f>'[8]Jun Prod'!I32</f>
        <v>25399999.999997817</v>
      </c>
      <c r="C33" s="8">
        <f t="shared" si="1"/>
        <v>25.399999999997817</v>
      </c>
      <c r="D33" s="10">
        <f t="shared" si="2"/>
        <v>77.977999999993301</v>
      </c>
      <c r="E33" s="7">
        <f>'[8]Jun Prod'!E32</f>
        <v>21000000</v>
      </c>
      <c r="F33" s="8">
        <f t="shared" si="3"/>
        <v>21</v>
      </c>
      <c r="G33" s="10">
        <f t="shared" si="4"/>
        <v>64.47</v>
      </c>
      <c r="H33" s="7">
        <f>'[8]Jun Prod'!F32</f>
        <v>5040000</v>
      </c>
      <c r="I33" s="8">
        <f t="shared" si="5"/>
        <v>5.04</v>
      </c>
      <c r="J33" s="10">
        <f t="shared" si="6"/>
        <v>15.472799999999999</v>
      </c>
      <c r="K33" s="7">
        <f>'[8]Jun Prod'!H280</f>
        <v>2209665</v>
      </c>
      <c r="L33" s="8">
        <f t="shared" si="17"/>
        <v>2.2096650000000002</v>
      </c>
      <c r="M33" s="10">
        <f t="shared" si="7"/>
        <v>6.7836715500000002</v>
      </c>
      <c r="N33" s="21"/>
      <c r="O33" s="7">
        <f>'[8]Jun Prod'!H32</f>
        <v>9037000</v>
      </c>
      <c r="P33" s="8">
        <f t="shared" si="8"/>
        <v>9.0370000000000008</v>
      </c>
      <c r="Q33" s="10">
        <f t="shared" si="9"/>
        <v>27.743590000000001</v>
      </c>
      <c r="R33" s="7">
        <f>'[8]Jun Prod'!C32</f>
        <v>9374000</v>
      </c>
      <c r="S33" s="8">
        <f t="shared" si="10"/>
        <v>9.3740000000000006</v>
      </c>
      <c r="T33" s="10">
        <f t="shared" si="11"/>
        <v>28.778179999999999</v>
      </c>
      <c r="U33" s="7">
        <f>'[8]Jun Prod'!D32</f>
        <v>0</v>
      </c>
      <c r="V33" s="8">
        <f t="shared" si="12"/>
        <v>0</v>
      </c>
      <c r="W33" s="10">
        <f t="shared" si="13"/>
        <v>0</v>
      </c>
      <c r="X33" s="7">
        <f>'[8]Jun Prod'!D280</f>
        <v>336999.99999999977</v>
      </c>
      <c r="Y33" s="8">
        <f t="shared" si="14"/>
        <v>0.33699999999999974</v>
      </c>
      <c r="Z33" s="10">
        <f t="shared" si="15"/>
        <v>1.0345899999999992</v>
      </c>
      <c r="AA33" s="15"/>
      <c r="AB33" s="7">
        <f t="shared" si="16"/>
        <v>34436999.999997817</v>
      </c>
      <c r="AC33" s="8">
        <f t="shared" si="16"/>
        <v>34.436999999997816</v>
      </c>
      <c r="AD33" s="8">
        <f t="shared" si="16"/>
        <v>105.7215899999933</v>
      </c>
      <c r="AF33" s="8">
        <f t="shared" si="18"/>
        <v>0</v>
      </c>
    </row>
    <row r="34" spans="1:32" ht="13.8" thickBot="1" x14ac:dyDescent="0.3">
      <c r="A34" s="27">
        <v>38533</v>
      </c>
      <c r="B34" s="7">
        <f>'[8]Jun Prod'!I33</f>
        <v>23800000.000002909</v>
      </c>
      <c r="C34" s="8">
        <f t="shared" si="1"/>
        <v>23.80000000000291</v>
      </c>
      <c r="D34" s="10">
        <f t="shared" si="2"/>
        <v>73.066000000008927</v>
      </c>
      <c r="E34" s="7">
        <f>'[8]Jun Prod'!E33</f>
        <v>20000000</v>
      </c>
      <c r="F34" s="8">
        <f t="shared" si="3"/>
        <v>20</v>
      </c>
      <c r="G34" s="10">
        <f t="shared" si="4"/>
        <v>61.4</v>
      </c>
      <c r="H34" s="7">
        <f>'[8]Jun Prod'!F33</f>
        <v>5030000</v>
      </c>
      <c r="I34" s="8">
        <f t="shared" si="5"/>
        <v>5.03</v>
      </c>
      <c r="J34" s="10">
        <f t="shared" si="6"/>
        <v>15.4421</v>
      </c>
      <c r="K34" s="7">
        <f>'[8]Jun Prod'!H281</f>
        <v>2355239</v>
      </c>
      <c r="L34" s="8">
        <f t="shared" si="17"/>
        <v>2.3552390000000001</v>
      </c>
      <c r="M34" s="10">
        <f t="shared" si="7"/>
        <v>7.2305837300000002</v>
      </c>
      <c r="N34" s="21"/>
      <c r="O34" s="7">
        <f>'[8]Jun Prod'!H33</f>
        <v>9730000</v>
      </c>
      <c r="P34" s="8">
        <f t="shared" si="8"/>
        <v>9.73</v>
      </c>
      <c r="Q34" s="10">
        <f t="shared" si="9"/>
        <v>29.871099999999998</v>
      </c>
      <c r="R34" s="7">
        <f>'[8]Jun Prod'!C33</f>
        <v>9998000</v>
      </c>
      <c r="S34" s="8">
        <f t="shared" si="10"/>
        <v>9.9979999999999993</v>
      </c>
      <c r="T34" s="10">
        <f t="shared" si="11"/>
        <v>30.693859999999997</v>
      </c>
      <c r="U34" s="7">
        <f>'[8]Jun Prod'!D33</f>
        <v>0</v>
      </c>
      <c r="V34" s="8">
        <f t="shared" si="12"/>
        <v>0</v>
      </c>
      <c r="W34" s="10">
        <f t="shared" si="13"/>
        <v>0</v>
      </c>
      <c r="X34" s="7">
        <f>'[8]Jun Prod'!D281</f>
        <v>268000.0000000007</v>
      </c>
      <c r="Y34" s="8">
        <f t="shared" si="14"/>
        <v>0.26800000000000068</v>
      </c>
      <c r="Z34" s="10">
        <f t="shared" si="15"/>
        <v>0.82276000000000205</v>
      </c>
      <c r="AA34" s="15"/>
      <c r="AB34" s="7">
        <f t="shared" si="16"/>
        <v>33530000.000002909</v>
      </c>
      <c r="AC34" s="8">
        <f t="shared" si="16"/>
        <v>33.530000000002914</v>
      </c>
      <c r="AD34" s="8">
        <f t="shared" si="16"/>
        <v>102.93710000000893</v>
      </c>
      <c r="AF34" s="8">
        <f t="shared" si="18"/>
        <v>-3.219646771412954E-15</v>
      </c>
    </row>
    <row r="35" spans="1:32" ht="13.8" thickBot="1" x14ac:dyDescent="0.3">
      <c r="A35" s="3"/>
      <c r="B35" s="38"/>
      <c r="C35" s="39">
        <f>SUM(C5:C34)</f>
        <v>631.30000000000291</v>
      </c>
      <c r="D35" s="39">
        <f t="shared" si="2"/>
        <v>1938.0910000000088</v>
      </c>
      <c r="E35" s="38"/>
      <c r="F35" s="39">
        <f>SUM(F5:F34)</f>
        <v>391</v>
      </c>
      <c r="G35" s="39">
        <f t="shared" si="4"/>
        <v>1200.3699999999999</v>
      </c>
      <c r="H35" s="38"/>
      <c r="I35" s="39">
        <f>SUM(I5:I34)</f>
        <v>246.33</v>
      </c>
      <c r="J35" s="39">
        <f t="shared" si="6"/>
        <v>756.23310000000004</v>
      </c>
      <c r="K35" s="38"/>
      <c r="L35" s="39">
        <f>SUM(L5:L34)</f>
        <v>59.334396999999996</v>
      </c>
      <c r="M35" s="39">
        <f t="shared" si="7"/>
        <v>182.15659878999998</v>
      </c>
      <c r="N35" s="14"/>
      <c r="O35" s="38"/>
      <c r="P35" s="39">
        <f>SUM(P5:P34)</f>
        <v>332.54399999999998</v>
      </c>
      <c r="Q35" s="39">
        <f t="shared" si="9"/>
        <v>1020.9100799999999</v>
      </c>
      <c r="R35" s="38"/>
      <c r="S35" s="39">
        <f>SUM(S5:S34)</f>
        <v>343.36</v>
      </c>
      <c r="T35" s="39">
        <f t="shared" si="11"/>
        <v>1054.1152</v>
      </c>
      <c r="U35" s="38"/>
      <c r="V35" s="39">
        <f>SUM(V5:V34)</f>
        <v>0</v>
      </c>
      <c r="W35" s="39">
        <f t="shared" si="13"/>
        <v>0</v>
      </c>
      <c r="X35" s="38"/>
      <c r="Y35" s="39">
        <f>SUM(Y5:Y34)</f>
        <v>10.816000000000003</v>
      </c>
      <c r="Z35" s="39">
        <f t="shared" si="15"/>
        <v>33.205120000000008</v>
      </c>
      <c r="AA35" s="14"/>
      <c r="AB35" s="38"/>
      <c r="AC35" s="39">
        <f>SUM(AC5:AC34)</f>
        <v>963.84400000000289</v>
      </c>
      <c r="AD35" s="39">
        <f>AC35*3.07</f>
        <v>2959.0010800000086</v>
      </c>
      <c r="AF35" s="39">
        <f>SUM(AF5:AF34)</f>
        <v>-2.3647750424515834E-14</v>
      </c>
    </row>
    <row r="36" spans="1:32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  <c r="AF36" s="30"/>
    </row>
    <row r="43" spans="1:32" x14ac:dyDescent="0.2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37"/>
  <sheetViews>
    <sheetView workbookViewId="0">
      <pane xSplit="1" ySplit="4" topLeftCell="B13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J30" sqref="J30:J35"/>
    </sheetView>
  </sheetViews>
  <sheetFormatPr defaultRowHeight="13.2" x14ac:dyDescent="0.25"/>
  <cols>
    <col min="2" max="2" width="11.109375" customWidth="1"/>
    <col min="5" max="5" width="11.33203125" customWidth="1"/>
    <col min="8" max="8" width="13.5546875" customWidth="1"/>
    <col min="9" max="9" width="9.6640625" customWidth="1"/>
    <col min="10" max="10" width="11.5546875" customWidth="1"/>
    <col min="11" max="11" width="13.44140625" bestFit="1" customWidth="1"/>
    <col min="12" max="12" width="11.44140625" customWidth="1"/>
    <col min="15" max="15" width="11.109375" customWidth="1"/>
    <col min="18" max="18" width="11.109375" customWidth="1"/>
    <col min="21" max="21" width="10.6640625" bestFit="1" customWidth="1"/>
    <col min="22" max="22" width="10.5546875" customWidth="1"/>
    <col min="28" max="31" width="0" hidden="1" customWidth="1"/>
    <col min="32" max="32" width="12.109375" customWidth="1"/>
  </cols>
  <sheetData>
    <row r="1" spans="1:36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6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6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5</v>
      </c>
      <c r="AC3" s="58"/>
      <c r="AD3" s="59"/>
      <c r="AF3" s="60" t="s">
        <v>8</v>
      </c>
      <c r="AG3" s="61"/>
      <c r="AH3" s="62"/>
      <c r="AJ3" s="34" t="s">
        <v>9</v>
      </c>
    </row>
    <row r="4" spans="1:36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5" t="s">
        <v>0</v>
      </c>
      <c r="AG4" s="36" t="s">
        <v>1</v>
      </c>
      <c r="AH4" s="37" t="s">
        <v>2</v>
      </c>
      <c r="AJ4" s="5" t="s">
        <v>2</v>
      </c>
    </row>
    <row r="5" spans="1:36" x14ac:dyDescent="0.25">
      <c r="A5" s="27">
        <v>38534</v>
      </c>
      <c r="B5" s="7">
        <f>'[9]Jul Prod'!I4</f>
        <v>21500000</v>
      </c>
      <c r="C5" s="8">
        <f t="shared" ref="C5:C35" si="0">B5/1000000</f>
        <v>21.5</v>
      </c>
      <c r="D5" s="10">
        <f t="shared" ref="D5:D36" si="1">C5*3.07</f>
        <v>66.004999999999995</v>
      </c>
      <c r="E5" s="7">
        <f>'[9]Jul Prod'!E4</f>
        <v>18000000</v>
      </c>
      <c r="F5" s="8">
        <f t="shared" ref="F5:F35" si="2">E5/1000000</f>
        <v>18</v>
      </c>
      <c r="G5" s="10">
        <f t="shared" ref="G5:G36" si="3">F5*3.07</f>
        <v>55.26</v>
      </c>
      <c r="H5" s="7">
        <f>'[9]Jul Prod'!F4</f>
        <v>4930000</v>
      </c>
      <c r="I5" s="8">
        <f t="shared" ref="I5:I35" si="4">H5/1000000</f>
        <v>4.93</v>
      </c>
      <c r="J5" s="10">
        <f t="shared" ref="J5:J36" si="5">I5*3.07</f>
        <v>15.135099999999998</v>
      </c>
      <c r="K5" s="7">
        <f>'[9]Jul Prod'!H259</f>
        <v>2085096</v>
      </c>
      <c r="L5" s="8">
        <f t="shared" ref="L5:L35" si="6">K5/1000000</f>
        <v>2.0850960000000001</v>
      </c>
      <c r="M5" s="10">
        <f t="shared" ref="M5:M36" si="7">L5*3.07</f>
        <v>6.4012447200000002</v>
      </c>
      <c r="N5" s="21"/>
      <c r="O5" s="7">
        <f>'[9]Jul Prod'!H4</f>
        <v>10388000</v>
      </c>
      <c r="P5" s="8">
        <f t="shared" ref="P5:P35" si="8">O5/1000000</f>
        <v>10.388</v>
      </c>
      <c r="Q5" s="10">
        <f t="shared" ref="Q5:Q36" si="9">P5*3.07</f>
        <v>31.891159999999999</v>
      </c>
      <c r="R5" s="7">
        <f>'[9]Jul Prod'!C4</f>
        <v>10725000</v>
      </c>
      <c r="S5" s="8">
        <f t="shared" ref="S5:S35" si="10">R5/1000000</f>
        <v>10.725</v>
      </c>
      <c r="T5" s="10">
        <f t="shared" ref="T5:T36" si="11">S5*3.07</f>
        <v>32.925750000000001</v>
      </c>
      <c r="U5" s="7">
        <f>'[9]Jul Prod'!D4</f>
        <v>0</v>
      </c>
      <c r="V5" s="8">
        <f t="shared" ref="V5:V35" si="12">U5/1000000</f>
        <v>0</v>
      </c>
      <c r="W5" s="10">
        <f t="shared" ref="W5:W36" si="13">V5*3.07</f>
        <v>0</v>
      </c>
      <c r="X5" s="7">
        <f>'[9]Jul Prod'!D259</f>
        <v>336999.99999999977</v>
      </c>
      <c r="Y5" s="8">
        <f t="shared" ref="Y5:Y35" si="14">X5/1000000</f>
        <v>0.33699999999999974</v>
      </c>
      <c r="Z5" s="10">
        <f t="shared" ref="Z5:Z36" si="15">Y5*3.07</f>
        <v>1.0345899999999992</v>
      </c>
      <c r="AA5" s="15"/>
      <c r="AB5" s="7">
        <f>'[9]Jul Prod'!G4</f>
        <v>0</v>
      </c>
      <c r="AC5" s="8">
        <f t="shared" ref="AC5:AC35" si="16">AB5/1000000</f>
        <v>0</v>
      </c>
      <c r="AD5" s="10">
        <f t="shared" ref="AD5:AD36" si="17">AC5*3.07</f>
        <v>0</v>
      </c>
      <c r="AF5" s="7">
        <f t="shared" ref="AF5:AF35" si="18">B5+O5</f>
        <v>31888000</v>
      </c>
      <c r="AG5" s="8">
        <f t="shared" ref="AG5:AG35" si="19">C5+P5</f>
        <v>31.887999999999998</v>
      </c>
      <c r="AH5" s="8">
        <f t="shared" ref="AH5:AH35" si="20">D5+Q5</f>
        <v>97.896159999999995</v>
      </c>
      <c r="AJ5" s="8">
        <f t="shared" ref="AJ5:AJ35" si="21">T5-Q5-Z5</f>
        <v>2.2204460492503131E-15</v>
      </c>
    </row>
    <row r="6" spans="1:36" x14ac:dyDescent="0.25">
      <c r="A6" s="27">
        <v>38535</v>
      </c>
      <c r="B6" s="7">
        <f>'[9]Jul Prod'!I5</f>
        <v>20199999.999997091</v>
      </c>
      <c r="C6" s="8">
        <f t="shared" si="0"/>
        <v>20.19999999999709</v>
      </c>
      <c r="D6" s="10">
        <f t="shared" si="1"/>
        <v>62.013999999991064</v>
      </c>
      <c r="E6" s="7">
        <f>'[9]Jul Prod'!E5</f>
        <v>16000000</v>
      </c>
      <c r="F6" s="8">
        <f t="shared" si="2"/>
        <v>16</v>
      </c>
      <c r="G6" s="10">
        <f t="shared" si="3"/>
        <v>49.12</v>
      </c>
      <c r="H6" s="7">
        <f>'[9]Jul Prod'!F5</f>
        <v>5530000</v>
      </c>
      <c r="I6" s="8">
        <f t="shared" si="4"/>
        <v>5.53</v>
      </c>
      <c r="J6" s="10">
        <f t="shared" si="5"/>
        <v>16.9771</v>
      </c>
      <c r="K6" s="7">
        <f>'[9]Jul Prod'!H260</f>
        <v>1903025</v>
      </c>
      <c r="L6" s="8">
        <f t="shared" si="6"/>
        <v>1.903025</v>
      </c>
      <c r="M6" s="10">
        <f t="shared" si="7"/>
        <v>5.8422867499999995</v>
      </c>
      <c r="N6" s="21"/>
      <c r="O6" s="7">
        <f>'[9]Jul Prod'!H5</f>
        <v>10937000</v>
      </c>
      <c r="P6" s="8">
        <f t="shared" si="8"/>
        <v>10.936999999999999</v>
      </c>
      <c r="Q6" s="10">
        <f t="shared" si="9"/>
        <v>33.576589999999996</v>
      </c>
      <c r="R6" s="7">
        <f>'[9]Jul Prod'!C5</f>
        <v>11405000</v>
      </c>
      <c r="S6" s="8">
        <f t="shared" si="10"/>
        <v>11.404999999999999</v>
      </c>
      <c r="T6" s="10">
        <f t="shared" si="11"/>
        <v>35.013349999999996</v>
      </c>
      <c r="U6" s="7">
        <f>'[9]Jul Prod'!D5</f>
        <v>0</v>
      </c>
      <c r="V6" s="8">
        <f t="shared" si="12"/>
        <v>0</v>
      </c>
      <c r="W6" s="10">
        <f t="shared" si="13"/>
        <v>0</v>
      </c>
      <c r="X6" s="7">
        <f>'[9]Jul Prod'!D260</f>
        <v>468000</v>
      </c>
      <c r="Y6" s="8">
        <f t="shared" si="14"/>
        <v>0.46800000000000003</v>
      </c>
      <c r="Z6" s="10">
        <f t="shared" si="15"/>
        <v>1.43676</v>
      </c>
      <c r="AA6" s="15"/>
      <c r="AB6" s="7">
        <f>'[9]Jul Prod'!G5</f>
        <v>0</v>
      </c>
      <c r="AC6" s="8">
        <f t="shared" si="16"/>
        <v>0</v>
      </c>
      <c r="AD6" s="10">
        <f t="shared" si="17"/>
        <v>0</v>
      </c>
      <c r="AF6" s="7">
        <f t="shared" si="18"/>
        <v>31136999.999997091</v>
      </c>
      <c r="AG6" s="8">
        <f t="shared" si="19"/>
        <v>31.136999999997087</v>
      </c>
      <c r="AH6" s="8">
        <f t="shared" si="20"/>
        <v>95.590589999991067</v>
      </c>
      <c r="AJ6" s="8">
        <f t="shared" si="21"/>
        <v>0</v>
      </c>
    </row>
    <row r="7" spans="1:36" x14ac:dyDescent="0.25">
      <c r="A7" s="27">
        <v>38536</v>
      </c>
      <c r="B7" s="7">
        <f>'[9]Jul Prod'!I6</f>
        <v>20000000</v>
      </c>
      <c r="C7" s="8">
        <f t="shared" si="0"/>
        <v>20</v>
      </c>
      <c r="D7" s="10">
        <f t="shared" si="1"/>
        <v>61.4</v>
      </c>
      <c r="E7" s="7">
        <f>'[9]Jul Prod'!E6</f>
        <v>15000000</v>
      </c>
      <c r="F7" s="8">
        <f t="shared" si="2"/>
        <v>15</v>
      </c>
      <c r="G7" s="10">
        <f t="shared" si="3"/>
        <v>46.05</v>
      </c>
      <c r="H7" s="7">
        <f>'[9]Jul Prod'!F6</f>
        <v>6000000</v>
      </c>
      <c r="I7" s="8">
        <f t="shared" si="4"/>
        <v>6</v>
      </c>
      <c r="J7" s="10">
        <f t="shared" si="5"/>
        <v>18.419999999999998</v>
      </c>
      <c r="K7" s="7">
        <f>'[9]Jul Prod'!H261</f>
        <v>1885943</v>
      </c>
      <c r="L7" s="8">
        <f t="shared" si="6"/>
        <v>1.8859429999999999</v>
      </c>
      <c r="M7" s="10">
        <f t="shared" si="7"/>
        <v>5.7898450099999996</v>
      </c>
      <c r="N7" s="21"/>
      <c r="O7" s="7">
        <f>'[9]Jul Prod'!H6</f>
        <v>11026000.000000002</v>
      </c>
      <c r="P7" s="8">
        <f t="shared" si="8"/>
        <v>11.026000000000002</v>
      </c>
      <c r="Q7" s="10">
        <f t="shared" si="9"/>
        <v>33.849820000000001</v>
      </c>
      <c r="R7" s="7">
        <f>'[9]Jul Prod'!C6</f>
        <v>11425000</v>
      </c>
      <c r="S7" s="8">
        <f t="shared" si="10"/>
        <v>11.425000000000001</v>
      </c>
      <c r="T7" s="10">
        <f t="shared" si="11"/>
        <v>35.074750000000002</v>
      </c>
      <c r="U7" s="7">
        <f>'[9]Jul Prod'!D6</f>
        <v>0</v>
      </c>
      <c r="V7" s="8">
        <f t="shared" si="12"/>
        <v>0</v>
      </c>
      <c r="W7" s="10">
        <f t="shared" si="13"/>
        <v>0</v>
      </c>
      <c r="X7" s="7">
        <f>'[9]Jul Prod'!D261</f>
        <v>398999.99999999738</v>
      </c>
      <c r="Y7" s="8">
        <f t="shared" si="14"/>
        <v>0.39899999999999736</v>
      </c>
      <c r="Z7" s="10">
        <f t="shared" si="15"/>
        <v>1.2249299999999919</v>
      </c>
      <c r="AA7" s="15"/>
      <c r="AB7" s="7">
        <f>'[9]Jul Prod'!G6</f>
        <v>0</v>
      </c>
      <c r="AC7" s="8">
        <f t="shared" si="16"/>
        <v>0</v>
      </c>
      <c r="AD7" s="10">
        <f t="shared" si="17"/>
        <v>0</v>
      </c>
      <c r="AF7" s="7">
        <f t="shared" si="18"/>
        <v>31026000</v>
      </c>
      <c r="AG7" s="8">
        <f t="shared" si="19"/>
        <v>31.026000000000003</v>
      </c>
      <c r="AH7" s="8">
        <f t="shared" si="20"/>
        <v>95.24982</v>
      </c>
      <c r="AJ7" s="8">
        <f t="shared" si="21"/>
        <v>8.659739592076221E-15</v>
      </c>
    </row>
    <row r="8" spans="1:36" x14ac:dyDescent="0.25">
      <c r="A8" s="27">
        <v>38537</v>
      </c>
      <c r="B8" s="7">
        <f>'[9]Jul Prod'!I7</f>
        <v>26200000.000000726</v>
      </c>
      <c r="C8" s="8">
        <f t="shared" si="0"/>
        <v>26.200000000000728</v>
      </c>
      <c r="D8" s="10">
        <f t="shared" si="1"/>
        <v>80.434000000002229</v>
      </c>
      <c r="E8" s="7">
        <f>'[9]Jul Prod'!E7</f>
        <v>22000000</v>
      </c>
      <c r="F8" s="8">
        <f t="shared" si="2"/>
        <v>22</v>
      </c>
      <c r="G8" s="10">
        <f t="shared" si="3"/>
        <v>67.539999999999992</v>
      </c>
      <c r="H8" s="7">
        <f>'[9]Jul Prod'!F7</f>
        <v>5370000</v>
      </c>
      <c r="I8" s="8">
        <f t="shared" si="4"/>
        <v>5.37</v>
      </c>
      <c r="J8" s="10">
        <f t="shared" si="5"/>
        <v>16.485900000000001</v>
      </c>
      <c r="K8" s="7">
        <f>'[9]Jul Prod'!H262</f>
        <v>2410000</v>
      </c>
      <c r="L8" s="8">
        <f t="shared" si="6"/>
        <v>2.41</v>
      </c>
      <c r="M8" s="10">
        <f t="shared" si="7"/>
        <v>7.3986999999999998</v>
      </c>
      <c r="N8" s="21"/>
      <c r="O8" s="7">
        <f>'[9]Jul Prod'!H7</f>
        <v>11875000</v>
      </c>
      <c r="P8" s="8">
        <f t="shared" si="8"/>
        <v>11.875</v>
      </c>
      <c r="Q8" s="10">
        <f t="shared" si="9"/>
        <v>36.456249999999997</v>
      </c>
      <c r="R8" s="7">
        <f>'[9]Jul Prod'!C7</f>
        <v>12143000</v>
      </c>
      <c r="S8" s="8">
        <f t="shared" si="10"/>
        <v>12.143000000000001</v>
      </c>
      <c r="T8" s="10">
        <f t="shared" si="11"/>
        <v>37.27901</v>
      </c>
      <c r="U8" s="7">
        <f>'[9]Jul Prod'!D7</f>
        <v>0</v>
      </c>
      <c r="V8" s="8">
        <f t="shared" si="12"/>
        <v>0</v>
      </c>
      <c r="W8" s="10">
        <f t="shared" si="13"/>
        <v>0</v>
      </c>
      <c r="X8" s="7">
        <f>'[9]Jul Prod'!D262</f>
        <v>268000.0000000007</v>
      </c>
      <c r="Y8" s="8">
        <f t="shared" si="14"/>
        <v>0.26800000000000068</v>
      </c>
      <c r="Z8" s="10">
        <f t="shared" si="15"/>
        <v>0.82276000000000205</v>
      </c>
      <c r="AA8" s="15"/>
      <c r="AB8" s="7">
        <f>'[9]Jul Prod'!G7</f>
        <v>0</v>
      </c>
      <c r="AC8" s="8">
        <f t="shared" si="16"/>
        <v>0</v>
      </c>
      <c r="AD8" s="10">
        <f t="shared" si="17"/>
        <v>0</v>
      </c>
      <c r="AF8" s="7">
        <f t="shared" si="18"/>
        <v>38075000.00000073</v>
      </c>
      <c r="AG8" s="8">
        <f t="shared" si="19"/>
        <v>38.075000000000728</v>
      </c>
      <c r="AH8" s="8">
        <f t="shared" si="20"/>
        <v>116.89025000000223</v>
      </c>
      <c r="AJ8" s="8">
        <f t="shared" si="21"/>
        <v>0</v>
      </c>
    </row>
    <row r="9" spans="1:36" x14ac:dyDescent="0.25">
      <c r="A9" s="27">
        <v>38538</v>
      </c>
      <c r="B9" s="7">
        <f>'[9]Jul Prod'!I8</f>
        <v>25400000.000001457</v>
      </c>
      <c r="C9" s="8">
        <f t="shared" si="0"/>
        <v>25.400000000001455</v>
      </c>
      <c r="D9" s="10">
        <f t="shared" si="1"/>
        <v>77.978000000004457</v>
      </c>
      <c r="E9" s="7">
        <f>'[9]Jul Prod'!E8</f>
        <v>22000000</v>
      </c>
      <c r="F9" s="8">
        <f t="shared" si="2"/>
        <v>22</v>
      </c>
      <c r="G9" s="10">
        <f t="shared" si="3"/>
        <v>67.539999999999992</v>
      </c>
      <c r="H9" s="7">
        <f>'[9]Jul Prod'!F8</f>
        <v>5530000</v>
      </c>
      <c r="I9" s="8">
        <f t="shared" si="4"/>
        <v>5.53</v>
      </c>
      <c r="J9" s="10">
        <f t="shared" si="5"/>
        <v>16.9771</v>
      </c>
      <c r="K9" s="7">
        <f>'[9]Jul Prod'!H263</f>
        <v>2418052</v>
      </c>
      <c r="L9" s="8">
        <f t="shared" si="6"/>
        <v>2.4180519999999999</v>
      </c>
      <c r="M9" s="10">
        <f t="shared" si="7"/>
        <v>7.4234196399999988</v>
      </c>
      <c r="N9" s="21"/>
      <c r="O9" s="7">
        <f>'[9]Jul Prod'!H8</f>
        <v>10551000</v>
      </c>
      <c r="P9" s="8">
        <f t="shared" si="8"/>
        <v>10.551</v>
      </c>
      <c r="Q9" s="10">
        <f t="shared" si="9"/>
        <v>32.391570000000002</v>
      </c>
      <c r="R9" s="7">
        <f>'[9]Jul Prod'!C8</f>
        <v>10819000</v>
      </c>
      <c r="S9" s="8">
        <f t="shared" si="10"/>
        <v>10.819000000000001</v>
      </c>
      <c r="T9" s="10">
        <f t="shared" si="11"/>
        <v>33.214330000000004</v>
      </c>
      <c r="U9" s="7">
        <f>'[9]Jul Prod'!D8</f>
        <v>0</v>
      </c>
      <c r="V9" s="8">
        <f t="shared" si="12"/>
        <v>0</v>
      </c>
      <c r="W9" s="10">
        <f t="shared" si="13"/>
        <v>0</v>
      </c>
      <c r="X9" s="7">
        <f>'[9]Jul Prod'!D263</f>
        <v>268000.0000000007</v>
      </c>
      <c r="Y9" s="8">
        <f t="shared" si="14"/>
        <v>0.26800000000000068</v>
      </c>
      <c r="Z9" s="10">
        <f t="shared" si="15"/>
        <v>0.82276000000000205</v>
      </c>
      <c r="AA9" s="15"/>
      <c r="AB9" s="7">
        <f>'[9]Jul Prod'!G8</f>
        <v>0</v>
      </c>
      <c r="AC9" s="8">
        <f t="shared" si="16"/>
        <v>0</v>
      </c>
      <c r="AD9" s="10">
        <f t="shared" si="17"/>
        <v>0</v>
      </c>
      <c r="AF9" s="7">
        <f t="shared" si="18"/>
        <v>35951000.00000146</v>
      </c>
      <c r="AG9" s="8">
        <f t="shared" si="19"/>
        <v>35.951000000001457</v>
      </c>
      <c r="AH9" s="8">
        <f t="shared" si="20"/>
        <v>110.36957000000446</v>
      </c>
      <c r="AJ9" s="8">
        <f t="shared" si="21"/>
        <v>0</v>
      </c>
    </row>
    <row r="10" spans="1:36" x14ac:dyDescent="0.25">
      <c r="A10" s="27">
        <v>38539</v>
      </c>
      <c r="B10" s="7">
        <f>'[9]Jul Prod'!I9</f>
        <v>24299999.999999274</v>
      </c>
      <c r="C10" s="8">
        <f t="shared" si="0"/>
        <v>24.299999999999272</v>
      </c>
      <c r="D10" s="10">
        <f t="shared" si="1"/>
        <v>74.600999999997768</v>
      </c>
      <c r="E10" s="7">
        <f>'[9]Jul Prod'!E9</f>
        <v>19000000</v>
      </c>
      <c r="F10" s="8">
        <f t="shared" si="2"/>
        <v>19</v>
      </c>
      <c r="G10" s="10">
        <f t="shared" si="3"/>
        <v>58.33</v>
      </c>
      <c r="H10" s="7">
        <f>'[9]Jul Prod'!F9</f>
        <v>5950000</v>
      </c>
      <c r="I10" s="8">
        <f t="shared" si="4"/>
        <v>5.95</v>
      </c>
      <c r="J10" s="10">
        <f t="shared" si="5"/>
        <v>18.266500000000001</v>
      </c>
      <c r="K10" s="7">
        <f>'[9]Jul Prod'!H264</f>
        <v>2222023</v>
      </c>
      <c r="L10" s="8">
        <f t="shared" si="6"/>
        <v>2.2220230000000001</v>
      </c>
      <c r="M10" s="10">
        <f t="shared" si="7"/>
        <v>6.8216106099999996</v>
      </c>
      <c r="N10" s="21"/>
      <c r="O10" s="7">
        <f>'[9]Jul Prod'!H9</f>
        <v>10683000.000000002</v>
      </c>
      <c r="P10" s="8">
        <f t="shared" si="8"/>
        <v>10.683000000000002</v>
      </c>
      <c r="Q10" s="10">
        <f t="shared" si="9"/>
        <v>32.796810000000001</v>
      </c>
      <c r="R10" s="7">
        <f>'[9]Jul Prod'!C9</f>
        <v>11150000</v>
      </c>
      <c r="S10" s="8">
        <f t="shared" si="10"/>
        <v>11.15</v>
      </c>
      <c r="T10" s="10">
        <f t="shared" si="11"/>
        <v>34.230499999999999</v>
      </c>
      <c r="U10" s="7">
        <f>'[9]Jul Prod'!D9</f>
        <v>0</v>
      </c>
      <c r="V10" s="8">
        <f t="shared" si="12"/>
        <v>0</v>
      </c>
      <c r="W10" s="10">
        <f t="shared" si="13"/>
        <v>0</v>
      </c>
      <c r="X10" s="7">
        <f>'[9]Jul Prod'!D264</f>
        <v>466999.99999999878</v>
      </c>
      <c r="Y10" s="8">
        <f t="shared" si="14"/>
        <v>0.4669999999999988</v>
      </c>
      <c r="Z10" s="10">
        <f t="shared" si="15"/>
        <v>1.4336899999999964</v>
      </c>
      <c r="AA10" s="15"/>
      <c r="AB10" s="7">
        <f>'[9]Jul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34982999.999999277</v>
      </c>
      <c r="AG10" s="8">
        <f t="shared" si="19"/>
        <v>34.982999999999272</v>
      </c>
      <c r="AH10" s="8">
        <f t="shared" si="20"/>
        <v>107.39780999999778</v>
      </c>
      <c r="AJ10" s="8">
        <f t="shared" si="21"/>
        <v>2.2204460492503131E-15</v>
      </c>
    </row>
    <row r="11" spans="1:36" x14ac:dyDescent="0.25">
      <c r="A11" s="27">
        <v>38540</v>
      </c>
      <c r="B11" s="7">
        <f>'[9]Jul Prod'!I10</f>
        <v>25900000.000001457</v>
      </c>
      <c r="C11" s="8">
        <f t="shared" si="0"/>
        <v>25.900000000001455</v>
      </c>
      <c r="D11" s="10">
        <f t="shared" si="1"/>
        <v>79.513000000004467</v>
      </c>
      <c r="E11" s="7">
        <f>'[9]Jul Prod'!E10</f>
        <v>19000000</v>
      </c>
      <c r="F11" s="8">
        <f t="shared" si="2"/>
        <v>19</v>
      </c>
      <c r="G11" s="10">
        <f t="shared" si="3"/>
        <v>58.33</v>
      </c>
      <c r="H11" s="7">
        <f>'[9]Jul Prod'!F10</f>
        <v>8160000</v>
      </c>
      <c r="I11" s="8">
        <f t="shared" si="4"/>
        <v>8.16</v>
      </c>
      <c r="J11" s="10">
        <f t="shared" si="5"/>
        <v>25.051199999999998</v>
      </c>
      <c r="K11" s="7">
        <f>'[9]Jul Prod'!H265</f>
        <v>2443834</v>
      </c>
      <c r="L11" s="8">
        <f t="shared" si="6"/>
        <v>2.4438339999999998</v>
      </c>
      <c r="M11" s="10">
        <f t="shared" si="7"/>
        <v>7.502570379999999</v>
      </c>
      <c r="N11" s="21"/>
      <c r="O11" s="7">
        <f>'[9]Jul Prod'!H10</f>
        <v>11662000</v>
      </c>
      <c r="P11" s="8">
        <f t="shared" si="8"/>
        <v>11.662000000000001</v>
      </c>
      <c r="Q11" s="10">
        <f t="shared" si="9"/>
        <v>35.802340000000001</v>
      </c>
      <c r="R11" s="7">
        <f>'[9]Jul Prod'!C10</f>
        <v>12061000</v>
      </c>
      <c r="S11" s="8">
        <f t="shared" si="10"/>
        <v>12.061</v>
      </c>
      <c r="T11" s="10">
        <f t="shared" si="11"/>
        <v>37.027269999999994</v>
      </c>
      <c r="U11" s="7">
        <f>'[9]Jul Prod'!D10</f>
        <v>0</v>
      </c>
      <c r="V11" s="8">
        <f t="shared" si="12"/>
        <v>0</v>
      </c>
      <c r="W11" s="10">
        <f t="shared" si="13"/>
        <v>0</v>
      </c>
      <c r="X11" s="7">
        <f>'[9]Jul Prod'!D265</f>
        <v>399000.00000000093</v>
      </c>
      <c r="Y11" s="8">
        <f t="shared" si="14"/>
        <v>0.39900000000000091</v>
      </c>
      <c r="Z11" s="10">
        <f t="shared" si="15"/>
        <v>1.2249300000000027</v>
      </c>
      <c r="AA11" s="15"/>
      <c r="AB11" s="7">
        <f>'[9]Jul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37562000.00000146</v>
      </c>
      <c r="AG11" s="8">
        <f t="shared" si="19"/>
        <v>37.562000000001454</v>
      </c>
      <c r="AH11" s="8">
        <f t="shared" si="20"/>
        <v>115.31534000000447</v>
      </c>
      <c r="AJ11" s="8">
        <f t="shared" si="21"/>
        <v>-9.3258734068513149E-15</v>
      </c>
    </row>
    <row r="12" spans="1:36" x14ac:dyDescent="0.25">
      <c r="A12" s="27">
        <v>38541</v>
      </c>
      <c r="B12" s="7">
        <f>'[9]Jul Prod'!I11</f>
        <v>26599999.999998543</v>
      </c>
      <c r="C12" s="8">
        <f t="shared" si="0"/>
        <v>26.599999999998545</v>
      </c>
      <c r="D12" s="10">
        <f t="shared" si="1"/>
        <v>81.66199999999553</v>
      </c>
      <c r="E12" s="7">
        <f>'[9]Jul Prod'!E11</f>
        <v>13000000</v>
      </c>
      <c r="F12" s="8">
        <f t="shared" si="2"/>
        <v>13</v>
      </c>
      <c r="G12" s="10">
        <f t="shared" si="3"/>
        <v>39.909999999999997</v>
      </c>
      <c r="H12" s="7">
        <f>'[9]Jul Prod'!F11</f>
        <v>13110000</v>
      </c>
      <c r="I12" s="8">
        <f t="shared" si="4"/>
        <v>13.11</v>
      </c>
      <c r="J12" s="10">
        <f t="shared" si="5"/>
        <v>40.247699999999995</v>
      </c>
      <c r="K12" s="7">
        <f>'[9]Jul Prod'!H266</f>
        <v>2461716</v>
      </c>
      <c r="L12" s="8">
        <f t="shared" si="6"/>
        <v>2.461716</v>
      </c>
      <c r="M12" s="10">
        <f t="shared" si="7"/>
        <v>7.5574681199999993</v>
      </c>
      <c r="N12" s="21"/>
      <c r="O12" s="7">
        <f>'[9]Jul Prod'!H11</f>
        <v>11541000</v>
      </c>
      <c r="P12" s="8">
        <f t="shared" si="8"/>
        <v>11.541</v>
      </c>
      <c r="Q12" s="10">
        <f t="shared" si="9"/>
        <v>35.430869999999999</v>
      </c>
      <c r="R12" s="7">
        <f>'[9]Jul Prod'!C11</f>
        <v>12009000</v>
      </c>
      <c r="S12" s="8">
        <f t="shared" si="10"/>
        <v>12.009</v>
      </c>
      <c r="T12" s="10">
        <f t="shared" si="11"/>
        <v>36.867629999999998</v>
      </c>
      <c r="U12" s="7">
        <f>'[9]Jul Prod'!D11</f>
        <v>0</v>
      </c>
      <c r="V12" s="8">
        <f t="shared" si="12"/>
        <v>0</v>
      </c>
      <c r="W12" s="10">
        <f t="shared" si="13"/>
        <v>0</v>
      </c>
      <c r="X12" s="7">
        <f>'[9]Jul Prod'!D266</f>
        <v>468000</v>
      </c>
      <c r="Y12" s="8">
        <f t="shared" si="14"/>
        <v>0.46800000000000003</v>
      </c>
      <c r="Z12" s="10">
        <f t="shared" si="15"/>
        <v>1.43676</v>
      </c>
      <c r="AA12" s="15"/>
      <c r="AB12" s="7">
        <f>'[9]Jul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38140999.99999854</v>
      </c>
      <c r="AG12" s="8">
        <f t="shared" si="19"/>
        <v>38.140999999998542</v>
      </c>
      <c r="AH12" s="8">
        <f t="shared" si="20"/>
        <v>117.09286999999553</v>
      </c>
      <c r="AJ12" s="8">
        <f t="shared" si="21"/>
        <v>0</v>
      </c>
    </row>
    <row r="13" spans="1:36" x14ac:dyDescent="0.25">
      <c r="A13" s="27">
        <v>38542</v>
      </c>
      <c r="B13" s="7">
        <f>'[9]Jul Prod'!I12</f>
        <v>28700000.000000726</v>
      </c>
      <c r="C13" s="8">
        <f t="shared" si="0"/>
        <v>28.700000000000728</v>
      </c>
      <c r="D13" s="10">
        <f t="shared" si="1"/>
        <v>88.109000000002226</v>
      </c>
      <c r="E13" s="7">
        <f>'[9]Jul Prod'!E12</f>
        <v>14000000</v>
      </c>
      <c r="F13" s="8">
        <f t="shared" si="2"/>
        <v>14</v>
      </c>
      <c r="G13" s="10">
        <f t="shared" si="3"/>
        <v>42.98</v>
      </c>
      <c r="H13" s="7">
        <f>'[9]Jul Prod'!F12</f>
        <v>13710000</v>
      </c>
      <c r="I13" s="8">
        <f t="shared" si="4"/>
        <v>13.71</v>
      </c>
      <c r="J13" s="10">
        <f t="shared" si="5"/>
        <v>42.089700000000001</v>
      </c>
      <c r="K13" s="7">
        <f>'[9]Jul Prod'!H267</f>
        <v>2521254</v>
      </c>
      <c r="L13" s="8">
        <f t="shared" si="6"/>
        <v>2.5212539999999999</v>
      </c>
      <c r="M13" s="10">
        <f t="shared" si="7"/>
        <v>7.7402497799999992</v>
      </c>
      <c r="N13" s="21"/>
      <c r="O13" s="7">
        <f>'[9]Jul Prod'!H12</f>
        <v>11126000</v>
      </c>
      <c r="P13" s="8">
        <f t="shared" si="8"/>
        <v>11.125999999999999</v>
      </c>
      <c r="Q13" s="10">
        <f t="shared" si="9"/>
        <v>34.156819999999996</v>
      </c>
      <c r="R13" s="7">
        <f>'[9]Jul Prod'!C12</f>
        <v>11463000</v>
      </c>
      <c r="S13" s="8">
        <f t="shared" si="10"/>
        <v>11.462999999999999</v>
      </c>
      <c r="T13" s="10">
        <f t="shared" si="11"/>
        <v>35.191409999999998</v>
      </c>
      <c r="U13" s="7">
        <f>'[9]Jul Prod'!D12</f>
        <v>0</v>
      </c>
      <c r="V13" s="8">
        <f t="shared" si="12"/>
        <v>0</v>
      </c>
      <c r="W13" s="10">
        <f t="shared" si="13"/>
        <v>0</v>
      </c>
      <c r="X13" s="7">
        <f>'[9]Jul Prod'!D267</f>
        <v>336999.99999999977</v>
      </c>
      <c r="Y13" s="8">
        <f t="shared" si="14"/>
        <v>0.33699999999999974</v>
      </c>
      <c r="Z13" s="10">
        <f t="shared" si="15"/>
        <v>1.0345899999999992</v>
      </c>
      <c r="AA13" s="15"/>
      <c r="AB13" s="7">
        <f>'[9]Jul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39826000.00000073</v>
      </c>
      <c r="AG13" s="8">
        <f t="shared" si="19"/>
        <v>39.826000000000725</v>
      </c>
      <c r="AH13" s="8">
        <f t="shared" si="20"/>
        <v>122.26582000000222</v>
      </c>
      <c r="AJ13" s="8">
        <f t="shared" si="21"/>
        <v>2.2204460492503131E-15</v>
      </c>
    </row>
    <row r="14" spans="1:36" x14ac:dyDescent="0.25">
      <c r="A14" s="27">
        <v>38543</v>
      </c>
      <c r="B14" s="7">
        <f>'[9]Jul Prod'!I13</f>
        <v>29000000</v>
      </c>
      <c r="C14" s="8">
        <f t="shared" si="0"/>
        <v>29</v>
      </c>
      <c r="D14" s="10">
        <f t="shared" si="1"/>
        <v>89.03</v>
      </c>
      <c r="E14" s="7">
        <f>'[9]Jul Prod'!E13</f>
        <v>14000000</v>
      </c>
      <c r="F14" s="8">
        <f t="shared" si="2"/>
        <v>14</v>
      </c>
      <c r="G14" s="10">
        <f t="shared" si="3"/>
        <v>42.98</v>
      </c>
      <c r="H14" s="7">
        <f>'[9]Jul Prod'!F13</f>
        <v>14180000</v>
      </c>
      <c r="I14" s="8">
        <f t="shared" si="4"/>
        <v>14.18</v>
      </c>
      <c r="J14" s="10">
        <f t="shared" si="5"/>
        <v>43.532599999999995</v>
      </c>
      <c r="K14" s="7">
        <f>'[9]Jul Prod'!H268</f>
        <v>2631814</v>
      </c>
      <c r="L14" s="8">
        <f t="shared" si="6"/>
        <v>2.6318139999999999</v>
      </c>
      <c r="M14" s="10">
        <f t="shared" si="7"/>
        <v>8.0796689799999992</v>
      </c>
      <c r="N14" s="21"/>
      <c r="O14" s="7">
        <f>'[9]Jul Prod'!H13</f>
        <v>11255000</v>
      </c>
      <c r="P14" s="8">
        <f t="shared" si="8"/>
        <v>11.255000000000001</v>
      </c>
      <c r="Q14" s="10">
        <f t="shared" si="9"/>
        <v>34.552849999999999</v>
      </c>
      <c r="R14" s="7">
        <f>'[9]Jul Prod'!C13</f>
        <v>11516000</v>
      </c>
      <c r="S14" s="8">
        <f t="shared" si="10"/>
        <v>11.516</v>
      </c>
      <c r="T14" s="10">
        <f t="shared" si="11"/>
        <v>35.354119999999995</v>
      </c>
      <c r="U14" s="7">
        <f>'[9]Jul Prod'!D13</f>
        <v>0</v>
      </c>
      <c r="V14" s="8">
        <f t="shared" si="12"/>
        <v>0</v>
      </c>
      <c r="W14" s="10">
        <f t="shared" si="13"/>
        <v>0</v>
      </c>
      <c r="X14" s="7">
        <f>'[9]Jul Prod'!D268</f>
        <v>260999.99999999924</v>
      </c>
      <c r="Y14" s="8">
        <f t="shared" si="14"/>
        <v>0.26099999999999923</v>
      </c>
      <c r="Z14" s="10">
        <f t="shared" si="15"/>
        <v>0.8012699999999976</v>
      </c>
      <c r="AA14" s="15"/>
      <c r="AB14" s="7">
        <f>'[9]Jul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40255000</v>
      </c>
      <c r="AG14" s="8">
        <f t="shared" si="19"/>
        <v>40.255000000000003</v>
      </c>
      <c r="AH14" s="8">
        <f t="shared" si="20"/>
        <v>123.58285000000001</v>
      </c>
      <c r="AJ14" s="8">
        <f t="shared" si="21"/>
        <v>-2.3314683517128287E-15</v>
      </c>
    </row>
    <row r="15" spans="1:36" x14ac:dyDescent="0.25">
      <c r="A15" s="27">
        <v>38544</v>
      </c>
      <c r="B15" s="7">
        <f>'[9]Jul Prod'!I14</f>
        <v>28799999.999999274</v>
      </c>
      <c r="C15" s="8">
        <f t="shared" si="0"/>
        <v>28.799999999999272</v>
      </c>
      <c r="D15" s="10">
        <f t="shared" si="1"/>
        <v>88.415999999997766</v>
      </c>
      <c r="E15" s="7">
        <f>'[9]Jul Prod'!E14</f>
        <v>14000000</v>
      </c>
      <c r="F15" s="8">
        <f t="shared" si="2"/>
        <v>14</v>
      </c>
      <c r="G15" s="10">
        <f t="shared" si="3"/>
        <v>42.98</v>
      </c>
      <c r="H15" s="7">
        <f>'[9]Jul Prod'!F14</f>
        <v>14120000.000000002</v>
      </c>
      <c r="I15" s="8">
        <f t="shared" si="4"/>
        <v>14.120000000000001</v>
      </c>
      <c r="J15" s="10">
        <f t="shared" si="5"/>
        <v>43.348399999999998</v>
      </c>
      <c r="K15" s="7">
        <f>'[9]Jul Prod'!H269</f>
        <v>2666543</v>
      </c>
      <c r="L15" s="8">
        <f t="shared" si="6"/>
        <v>2.6665429999999999</v>
      </c>
      <c r="M15" s="10">
        <f t="shared" si="7"/>
        <v>8.1862870099999991</v>
      </c>
      <c r="N15" s="21"/>
      <c r="O15" s="7">
        <f>'[9]Jul Prod'!H14</f>
        <v>11468999.999999998</v>
      </c>
      <c r="P15" s="8">
        <f t="shared" si="8"/>
        <v>11.468999999999998</v>
      </c>
      <c r="Q15" s="10">
        <f t="shared" si="9"/>
        <v>35.20982999999999</v>
      </c>
      <c r="R15" s="7">
        <f>'[9]Jul Prod'!C14</f>
        <v>11944000</v>
      </c>
      <c r="S15" s="8">
        <f t="shared" si="10"/>
        <v>11.944000000000001</v>
      </c>
      <c r="T15" s="10">
        <f t="shared" si="11"/>
        <v>36.668080000000003</v>
      </c>
      <c r="U15" s="7">
        <f>'[9]Jul Prod'!D14</f>
        <v>0</v>
      </c>
      <c r="V15" s="8">
        <f t="shared" si="12"/>
        <v>0</v>
      </c>
      <c r="W15" s="10">
        <f t="shared" si="13"/>
        <v>0</v>
      </c>
      <c r="X15" s="7">
        <f>'[9]Jul Prod'!D269</f>
        <v>475000.0000000014</v>
      </c>
      <c r="Y15" s="8">
        <f t="shared" si="14"/>
        <v>0.47500000000000142</v>
      </c>
      <c r="Z15" s="10">
        <f t="shared" si="15"/>
        <v>1.4582500000000043</v>
      </c>
      <c r="AA15" s="15"/>
      <c r="AB15" s="7">
        <f>'[9]Jul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40268999.99999927</v>
      </c>
      <c r="AG15" s="8">
        <f t="shared" si="19"/>
        <v>40.268999999999266</v>
      </c>
      <c r="AH15" s="8">
        <f t="shared" si="20"/>
        <v>123.62582999999776</v>
      </c>
      <c r="AJ15" s="8">
        <f t="shared" si="21"/>
        <v>9.5479180117763462E-15</v>
      </c>
    </row>
    <row r="16" spans="1:36" x14ac:dyDescent="0.25">
      <c r="A16" s="27">
        <v>38545</v>
      </c>
      <c r="B16" s="7">
        <f>'[9]Jul Prod'!I15</f>
        <v>26500000</v>
      </c>
      <c r="C16" s="8">
        <f t="shared" si="0"/>
        <v>26.5</v>
      </c>
      <c r="D16" s="10">
        <f t="shared" si="1"/>
        <v>81.35499999999999</v>
      </c>
      <c r="E16" s="7">
        <f>'[9]Jul Prod'!E15</f>
        <v>15000000</v>
      </c>
      <c r="F16" s="8">
        <f t="shared" si="2"/>
        <v>15</v>
      </c>
      <c r="G16" s="10">
        <f t="shared" si="3"/>
        <v>46.05</v>
      </c>
      <c r="H16" s="7">
        <f>'[9]Jul Prod'!F15</f>
        <v>11630000</v>
      </c>
      <c r="I16" s="8">
        <f t="shared" si="4"/>
        <v>11.63</v>
      </c>
      <c r="J16" s="10">
        <f t="shared" si="5"/>
        <v>35.704100000000004</v>
      </c>
      <c r="K16" s="7">
        <f>'[9]Jul Prod'!H270</f>
        <v>2465874</v>
      </c>
      <c r="L16" s="8">
        <f t="shared" si="6"/>
        <v>2.4658739999999999</v>
      </c>
      <c r="M16" s="10">
        <f t="shared" si="7"/>
        <v>7.5702331799999989</v>
      </c>
      <c r="N16" s="21"/>
      <c r="O16" s="7">
        <f>'[9]Jul Prod'!H15</f>
        <v>11643000</v>
      </c>
      <c r="P16" s="8">
        <f t="shared" si="8"/>
        <v>11.643000000000001</v>
      </c>
      <c r="Q16" s="10">
        <f t="shared" si="9"/>
        <v>35.744010000000003</v>
      </c>
      <c r="R16" s="7">
        <f>'[9]Jul Prod'!C15</f>
        <v>12050000</v>
      </c>
      <c r="S16" s="8">
        <f t="shared" si="10"/>
        <v>12.05</v>
      </c>
      <c r="T16" s="10">
        <f t="shared" si="11"/>
        <v>36.993499999999997</v>
      </c>
      <c r="U16" s="7">
        <f>'[9]Jul Prod'!D15</f>
        <v>0</v>
      </c>
      <c r="V16" s="8">
        <f t="shared" si="12"/>
        <v>0</v>
      </c>
      <c r="W16" s="10">
        <f t="shared" si="13"/>
        <v>0</v>
      </c>
      <c r="X16" s="7">
        <f>'[9]Jul Prod'!D270</f>
        <v>407000</v>
      </c>
      <c r="Y16" s="8">
        <f t="shared" si="14"/>
        <v>0.40699999999999997</v>
      </c>
      <c r="Z16" s="10">
        <f t="shared" si="15"/>
        <v>1.2494899999999998</v>
      </c>
      <c r="AA16" s="15"/>
      <c r="AB16" s="7">
        <f>'[9]Jul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38143000</v>
      </c>
      <c r="AG16" s="8">
        <f t="shared" si="19"/>
        <v>38.143000000000001</v>
      </c>
      <c r="AH16" s="8">
        <f t="shared" si="20"/>
        <v>117.09900999999999</v>
      </c>
      <c r="AJ16" s="8">
        <f t="shared" si="21"/>
        <v>-5.3290705182007514E-15</v>
      </c>
    </row>
    <row r="17" spans="1:36" x14ac:dyDescent="0.25">
      <c r="A17" s="27">
        <v>38546</v>
      </c>
      <c r="B17" s="7">
        <f>'[9]Jul Prod'!I16</f>
        <v>27599999.999998543</v>
      </c>
      <c r="C17" s="8">
        <f t="shared" si="0"/>
        <v>27.599999999998545</v>
      </c>
      <c r="D17" s="10">
        <f t="shared" si="1"/>
        <v>84.731999999995523</v>
      </c>
      <c r="E17" s="7">
        <f>'[9]Jul Prod'!E16</f>
        <v>12000000</v>
      </c>
      <c r="F17" s="8">
        <f t="shared" si="2"/>
        <v>12</v>
      </c>
      <c r="G17" s="10">
        <f t="shared" si="3"/>
        <v>36.839999999999996</v>
      </c>
      <c r="H17" s="7">
        <f>'[9]Jul Prod'!F16</f>
        <v>13690000</v>
      </c>
      <c r="I17" s="8">
        <f t="shared" si="4"/>
        <v>13.69</v>
      </c>
      <c r="J17" s="10">
        <f t="shared" si="5"/>
        <v>42.028299999999994</v>
      </c>
      <c r="K17" s="7">
        <f>'[9]Jul Prod'!H271</f>
        <v>2338186</v>
      </c>
      <c r="L17" s="8">
        <f t="shared" si="6"/>
        <v>2.3381859999999999</v>
      </c>
      <c r="M17" s="10">
        <f t="shared" si="7"/>
        <v>7.1782310199999992</v>
      </c>
      <c r="N17" s="21"/>
      <c r="O17" s="7">
        <f>'[9]Jul Prod'!H16</f>
        <v>14000000</v>
      </c>
      <c r="P17" s="8">
        <f t="shared" si="8"/>
        <v>14</v>
      </c>
      <c r="Q17" s="10">
        <f t="shared" si="9"/>
        <v>42.98</v>
      </c>
      <c r="R17" s="7">
        <f>'[9]Jul Prod'!C16</f>
        <v>14372000</v>
      </c>
      <c r="S17" s="8">
        <f t="shared" si="10"/>
        <v>14.372</v>
      </c>
      <c r="T17" s="10">
        <f t="shared" si="11"/>
        <v>44.122039999999998</v>
      </c>
      <c r="U17" s="7">
        <f>'[9]Jul Prod'!D16</f>
        <v>0</v>
      </c>
      <c r="V17" s="8">
        <f t="shared" si="12"/>
        <v>0</v>
      </c>
      <c r="W17" s="10">
        <f t="shared" si="13"/>
        <v>0</v>
      </c>
      <c r="X17" s="7">
        <f>'[9]Jul Prod'!D271</f>
        <v>371999.99999999988</v>
      </c>
      <c r="Y17" s="8">
        <f t="shared" si="14"/>
        <v>0.37199999999999989</v>
      </c>
      <c r="Z17" s="10">
        <f t="shared" si="15"/>
        <v>1.1420399999999995</v>
      </c>
      <c r="AA17" s="15"/>
      <c r="AB17" s="7">
        <f>'[9]Jul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41599999.99999854</v>
      </c>
      <c r="AG17" s="8">
        <f t="shared" si="19"/>
        <v>41.599999999998545</v>
      </c>
      <c r="AH17" s="8">
        <f t="shared" si="20"/>
        <v>127.71199999999553</v>
      </c>
      <c r="AJ17" s="8">
        <f t="shared" si="21"/>
        <v>1.9984014443252818E-15</v>
      </c>
    </row>
    <row r="18" spans="1:36" x14ac:dyDescent="0.25">
      <c r="A18" s="27">
        <v>38547</v>
      </c>
      <c r="B18" s="7">
        <f>'[9]Jul Prod'!I17</f>
        <v>23300000.000002909</v>
      </c>
      <c r="C18" s="8">
        <f t="shared" si="0"/>
        <v>23.30000000000291</v>
      </c>
      <c r="D18" s="10">
        <f t="shared" si="1"/>
        <v>71.53100000000893</v>
      </c>
      <c r="E18" s="7">
        <f>'[9]Jul Prod'!E17</f>
        <v>12000000</v>
      </c>
      <c r="F18" s="8">
        <f t="shared" si="2"/>
        <v>12</v>
      </c>
      <c r="G18" s="10">
        <f t="shared" si="3"/>
        <v>36.839999999999996</v>
      </c>
      <c r="H18" s="7">
        <f>'[9]Jul Prod'!F17</f>
        <v>11530000</v>
      </c>
      <c r="I18" s="8">
        <f t="shared" si="4"/>
        <v>11.53</v>
      </c>
      <c r="J18" s="10">
        <f t="shared" si="5"/>
        <v>35.397099999999995</v>
      </c>
      <c r="K18" s="7">
        <f>'[9]Jul Prod'!H272</f>
        <v>2215941</v>
      </c>
      <c r="L18" s="8">
        <f t="shared" si="6"/>
        <v>2.2159409999999999</v>
      </c>
      <c r="M18" s="10">
        <f t="shared" si="7"/>
        <v>6.8029388699999993</v>
      </c>
      <c r="N18" s="21"/>
      <c r="O18" s="7">
        <f>'[9]Jul Prod'!H17</f>
        <v>13766999.999999998</v>
      </c>
      <c r="P18" s="8">
        <f t="shared" si="8"/>
        <v>13.766999999999998</v>
      </c>
      <c r="Q18" s="10">
        <f t="shared" si="9"/>
        <v>42.264689999999987</v>
      </c>
      <c r="R18" s="7">
        <f>'[9]Jul Prod'!C17</f>
        <v>14201000</v>
      </c>
      <c r="S18" s="8">
        <f t="shared" si="10"/>
        <v>14.201000000000001</v>
      </c>
      <c r="T18" s="10">
        <f t="shared" si="11"/>
        <v>43.597070000000002</v>
      </c>
      <c r="U18" s="7">
        <f>'[9]Jul Prod'!D17</f>
        <v>0</v>
      </c>
      <c r="V18" s="8">
        <f t="shared" si="12"/>
        <v>0</v>
      </c>
      <c r="W18" s="10">
        <f t="shared" si="13"/>
        <v>0</v>
      </c>
      <c r="X18" s="7">
        <f>'[9]Jul Prod'!D272</f>
        <v>434000.00000000105</v>
      </c>
      <c r="Y18" s="8">
        <f t="shared" si="14"/>
        <v>0.43400000000000105</v>
      </c>
      <c r="Z18" s="10">
        <f t="shared" si="15"/>
        <v>1.3323800000000032</v>
      </c>
      <c r="AA18" s="15"/>
      <c r="AB18" s="7">
        <f>'[9]Jul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37067000.000002906</v>
      </c>
      <c r="AG18" s="8">
        <f t="shared" si="19"/>
        <v>37.067000000002906</v>
      </c>
      <c r="AH18" s="8">
        <f t="shared" si="20"/>
        <v>113.79569000000892</v>
      </c>
      <c r="AJ18" s="8">
        <f t="shared" si="21"/>
        <v>1.1546319456101628E-14</v>
      </c>
    </row>
    <row r="19" spans="1:36" x14ac:dyDescent="0.25">
      <c r="A19" s="27">
        <v>38548</v>
      </c>
      <c r="B19" s="7">
        <f>'[9]Jul Prod'!I18</f>
        <v>29399999.999997817</v>
      </c>
      <c r="C19" s="8">
        <f t="shared" si="0"/>
        <v>29.399999999997817</v>
      </c>
      <c r="D19" s="10">
        <f t="shared" si="1"/>
        <v>90.257999999993288</v>
      </c>
      <c r="E19" s="7">
        <f>'[9]Jul Prod'!E18</f>
        <v>14000000</v>
      </c>
      <c r="F19" s="8">
        <f t="shared" si="2"/>
        <v>14</v>
      </c>
      <c r="G19" s="10">
        <f t="shared" si="3"/>
        <v>42.98</v>
      </c>
      <c r="H19" s="7">
        <f>'[9]Jul Prod'!F18</f>
        <v>14230000</v>
      </c>
      <c r="I19" s="8">
        <f t="shared" si="4"/>
        <v>14.23</v>
      </c>
      <c r="J19" s="10">
        <f t="shared" si="5"/>
        <v>43.686099999999996</v>
      </c>
      <c r="K19" s="7">
        <f>'[9]Jul Prod'!H273</f>
        <v>2661088</v>
      </c>
      <c r="L19" s="8">
        <f t="shared" si="6"/>
        <v>2.6610879999999999</v>
      </c>
      <c r="M19" s="10">
        <f t="shared" si="7"/>
        <v>8.1695401599999986</v>
      </c>
      <c r="N19" s="21"/>
      <c r="O19" s="7">
        <f>'[9]Jul Prod'!H18</f>
        <v>12811000.000000002</v>
      </c>
      <c r="P19" s="8">
        <f t="shared" si="8"/>
        <v>12.811000000000002</v>
      </c>
      <c r="Q19" s="10">
        <f t="shared" si="9"/>
        <v>39.329770000000003</v>
      </c>
      <c r="R19" s="7">
        <f>'[9]Jul Prod'!C18</f>
        <v>13260000</v>
      </c>
      <c r="S19" s="8">
        <f t="shared" si="10"/>
        <v>13.26</v>
      </c>
      <c r="T19" s="10">
        <f t="shared" si="11"/>
        <v>40.708199999999998</v>
      </c>
      <c r="U19" s="7">
        <f>'[9]Jul Prod'!D18</f>
        <v>0</v>
      </c>
      <c r="V19" s="8">
        <f t="shared" si="12"/>
        <v>0</v>
      </c>
      <c r="W19" s="10">
        <f t="shared" si="13"/>
        <v>0</v>
      </c>
      <c r="X19" s="7">
        <f>'[9]Jul Prod'!D273</f>
        <v>448999.99999999808</v>
      </c>
      <c r="Y19" s="8">
        <f t="shared" si="14"/>
        <v>0.44899999999999807</v>
      </c>
      <c r="Z19" s="10">
        <f t="shared" si="15"/>
        <v>1.378429999999994</v>
      </c>
      <c r="AA19" s="15"/>
      <c r="AB19" s="7">
        <f>'[9]Jul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42210999.999997817</v>
      </c>
      <c r="AG19" s="8">
        <f t="shared" si="19"/>
        <v>42.210999999997817</v>
      </c>
      <c r="AH19" s="8">
        <f t="shared" si="20"/>
        <v>129.5877699999933</v>
      </c>
      <c r="AJ19" s="8">
        <f t="shared" si="21"/>
        <v>0</v>
      </c>
    </row>
    <row r="20" spans="1:36" x14ac:dyDescent="0.25">
      <c r="A20" s="27">
        <v>38549</v>
      </c>
      <c r="B20" s="7">
        <f>'[9]Jul Prod'!I19</f>
        <v>26400000.000001457</v>
      </c>
      <c r="C20" s="8">
        <f t="shared" si="0"/>
        <v>26.400000000001455</v>
      </c>
      <c r="D20" s="10">
        <f t="shared" si="1"/>
        <v>81.048000000004464</v>
      </c>
      <c r="E20" s="7">
        <f>'[9]Jul Prod'!E19</f>
        <v>12000000</v>
      </c>
      <c r="F20" s="8">
        <f t="shared" si="2"/>
        <v>12</v>
      </c>
      <c r="G20" s="10">
        <f t="shared" si="3"/>
        <v>36.839999999999996</v>
      </c>
      <c r="H20" s="7">
        <f>'[9]Jul Prod'!F19</f>
        <v>12540000</v>
      </c>
      <c r="I20" s="8">
        <f t="shared" si="4"/>
        <v>12.54</v>
      </c>
      <c r="J20" s="10">
        <f t="shared" si="5"/>
        <v>38.497799999999998</v>
      </c>
      <c r="K20" s="7">
        <f>'[9]Jul Prod'!H274</f>
        <v>2374056</v>
      </c>
      <c r="L20" s="8">
        <f t="shared" si="6"/>
        <v>2.3740559999999999</v>
      </c>
      <c r="M20" s="10">
        <f t="shared" si="7"/>
        <v>7.2883519199999993</v>
      </c>
      <c r="N20" s="21"/>
      <c r="O20" s="7">
        <f>'[9]Jul Prod'!H19</f>
        <v>9682999.9999999981</v>
      </c>
      <c r="P20" s="8">
        <f t="shared" si="8"/>
        <v>9.6829999999999981</v>
      </c>
      <c r="Q20" s="10">
        <f t="shared" si="9"/>
        <v>29.726809999999993</v>
      </c>
      <c r="R20" s="7">
        <f>'[9]Jul Prod'!C19</f>
        <v>10117000</v>
      </c>
      <c r="S20" s="8">
        <f t="shared" si="10"/>
        <v>10.117000000000001</v>
      </c>
      <c r="T20" s="10">
        <f t="shared" si="11"/>
        <v>31.059190000000001</v>
      </c>
      <c r="U20" s="7">
        <f>'[9]Jul Prod'!D19</f>
        <v>0</v>
      </c>
      <c r="V20" s="8">
        <f t="shared" si="12"/>
        <v>0</v>
      </c>
      <c r="W20" s="10">
        <f t="shared" si="13"/>
        <v>0</v>
      </c>
      <c r="X20" s="7">
        <f>'[9]Jul Prod'!D274</f>
        <v>434000.00000000105</v>
      </c>
      <c r="Y20" s="8">
        <f t="shared" si="14"/>
        <v>0.43400000000000105</v>
      </c>
      <c r="Z20" s="10">
        <f t="shared" si="15"/>
        <v>1.3323800000000032</v>
      </c>
      <c r="AA20" s="15"/>
      <c r="AB20" s="7">
        <f>'[9]Jul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36083000.000001453</v>
      </c>
      <c r="AG20" s="8">
        <f t="shared" si="19"/>
        <v>36.083000000001455</v>
      </c>
      <c r="AH20" s="8">
        <f t="shared" si="20"/>
        <v>110.77481000000446</v>
      </c>
      <c r="AJ20" s="8">
        <f t="shared" si="21"/>
        <v>4.4408920985006262E-15</v>
      </c>
    </row>
    <row r="21" spans="1:36" x14ac:dyDescent="0.25">
      <c r="A21" s="27">
        <v>38550</v>
      </c>
      <c r="B21" s="7">
        <f>'[9]Jul Prod'!I20</f>
        <v>28899999.999997817</v>
      </c>
      <c r="C21" s="8">
        <f t="shared" si="0"/>
        <v>28.899999999997817</v>
      </c>
      <c r="D21" s="10">
        <f t="shared" si="1"/>
        <v>88.722999999993291</v>
      </c>
      <c r="E21" s="7">
        <f>'[9]Jul Prod'!E20</f>
        <v>15000000</v>
      </c>
      <c r="F21" s="8">
        <f t="shared" si="2"/>
        <v>15</v>
      </c>
      <c r="G21" s="10">
        <f t="shared" si="3"/>
        <v>46.05</v>
      </c>
      <c r="H21" s="7">
        <f>'[9]Jul Prod'!F20</f>
        <v>14460000</v>
      </c>
      <c r="I21" s="8">
        <f t="shared" si="4"/>
        <v>14.46</v>
      </c>
      <c r="J21" s="10">
        <f t="shared" si="5"/>
        <v>44.392200000000003</v>
      </c>
      <c r="K21" s="7">
        <f>'[9]Jul Prod'!H275</f>
        <v>2608403</v>
      </c>
      <c r="L21" s="8">
        <f t="shared" si="6"/>
        <v>2.608403</v>
      </c>
      <c r="M21" s="10">
        <f t="shared" si="7"/>
        <v>8.0077972099999997</v>
      </c>
      <c r="N21" s="21"/>
      <c r="O21" s="7">
        <f>'[9]Jul Prod'!H20</f>
        <v>14091000</v>
      </c>
      <c r="P21" s="8">
        <f t="shared" si="8"/>
        <v>14.090999999999999</v>
      </c>
      <c r="Q21" s="10">
        <f t="shared" si="9"/>
        <v>43.259369999999997</v>
      </c>
      <c r="R21" s="7">
        <f>'[9]Jul Prod'!C20</f>
        <v>14463000</v>
      </c>
      <c r="S21" s="8">
        <f t="shared" si="10"/>
        <v>14.462999999999999</v>
      </c>
      <c r="T21" s="10">
        <f t="shared" si="11"/>
        <v>44.401409999999998</v>
      </c>
      <c r="U21" s="7">
        <f>'[9]Jul Prod'!D20</f>
        <v>0</v>
      </c>
      <c r="V21" s="8">
        <f t="shared" si="12"/>
        <v>0</v>
      </c>
      <c r="W21" s="10">
        <f t="shared" si="13"/>
        <v>0</v>
      </c>
      <c r="X21" s="7">
        <f>'[9]Jul Prod'!D275</f>
        <v>371999.99999999988</v>
      </c>
      <c r="Y21" s="8">
        <f t="shared" si="14"/>
        <v>0.37199999999999989</v>
      </c>
      <c r="Z21" s="10">
        <f t="shared" si="15"/>
        <v>1.1420399999999995</v>
      </c>
      <c r="AA21" s="15"/>
      <c r="AB21" s="7">
        <f>'[9]Jul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42990999.999997817</v>
      </c>
      <c r="AG21" s="8">
        <f t="shared" si="19"/>
        <v>42.990999999997818</v>
      </c>
      <c r="AH21" s="8">
        <f t="shared" si="20"/>
        <v>131.9823699999933</v>
      </c>
      <c r="AJ21" s="8">
        <f t="shared" si="21"/>
        <v>1.9984014443252818E-15</v>
      </c>
    </row>
    <row r="22" spans="1:36" x14ac:dyDescent="0.25">
      <c r="A22" s="27">
        <v>38551</v>
      </c>
      <c r="B22" s="7">
        <f>'[9]Jul Prod'!I21</f>
        <v>25100000.000002183</v>
      </c>
      <c r="C22" s="8">
        <f t="shared" si="0"/>
        <v>25.100000000002183</v>
      </c>
      <c r="D22" s="10">
        <f t="shared" si="1"/>
        <v>77.057000000006695</v>
      </c>
      <c r="E22" s="7">
        <f>'[9]Jul Prod'!E21</f>
        <v>12000000</v>
      </c>
      <c r="F22" s="8">
        <f t="shared" si="2"/>
        <v>12</v>
      </c>
      <c r="G22" s="10">
        <f t="shared" si="3"/>
        <v>36.839999999999996</v>
      </c>
      <c r="H22" s="7">
        <f>'[9]Jul Prod'!F21</f>
        <v>11580000</v>
      </c>
      <c r="I22" s="8">
        <f t="shared" si="4"/>
        <v>11.58</v>
      </c>
      <c r="J22" s="10">
        <f t="shared" si="5"/>
        <v>35.550599999999996</v>
      </c>
      <c r="K22" s="7">
        <f>'[9]Jul Prod'!H276</f>
        <v>2230486</v>
      </c>
      <c r="L22" s="8">
        <f t="shared" si="6"/>
        <v>2.230486</v>
      </c>
      <c r="M22" s="10">
        <f t="shared" si="7"/>
        <v>6.8475920199999996</v>
      </c>
      <c r="N22" s="21"/>
      <c r="O22" s="7">
        <f>'[9]Jul Prod'!H21</f>
        <v>11472000</v>
      </c>
      <c r="P22" s="8">
        <f t="shared" si="8"/>
        <v>11.472</v>
      </c>
      <c r="Q22" s="10">
        <f t="shared" si="9"/>
        <v>35.21904</v>
      </c>
      <c r="R22" s="7">
        <f>'[9]Jul Prod'!C21</f>
        <v>11983000</v>
      </c>
      <c r="S22" s="8">
        <f t="shared" si="10"/>
        <v>11.983000000000001</v>
      </c>
      <c r="T22" s="10">
        <f t="shared" si="11"/>
        <v>36.78781</v>
      </c>
      <c r="U22" s="7">
        <f>'[9]Jul Prod'!D21</f>
        <v>0</v>
      </c>
      <c r="V22" s="8">
        <f t="shared" si="12"/>
        <v>0</v>
      </c>
      <c r="W22" s="10">
        <f t="shared" si="13"/>
        <v>0</v>
      </c>
      <c r="X22" s="7">
        <f>'[9]Jul Prod'!D276</f>
        <v>510999.99999999924</v>
      </c>
      <c r="Y22" s="8">
        <f t="shared" si="14"/>
        <v>0.51099999999999923</v>
      </c>
      <c r="Z22" s="10">
        <f t="shared" si="15"/>
        <v>1.5687699999999976</v>
      </c>
      <c r="AA22" s="15"/>
      <c r="AB22" s="7">
        <f>'[9]Jul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36572000.000002183</v>
      </c>
      <c r="AG22" s="8">
        <f t="shared" si="19"/>
        <v>36.572000000002184</v>
      </c>
      <c r="AH22" s="8">
        <f t="shared" si="20"/>
        <v>112.2760400000067</v>
      </c>
      <c r="AI22" s="18"/>
      <c r="AJ22" s="8">
        <f t="shared" si="21"/>
        <v>3.1086244689504383E-15</v>
      </c>
    </row>
    <row r="23" spans="1:36" x14ac:dyDescent="0.25">
      <c r="A23" s="27">
        <v>38552</v>
      </c>
      <c r="B23" s="7">
        <f>'[9]Jul Prod'!I22</f>
        <v>24599999.999998543</v>
      </c>
      <c r="C23" s="8">
        <f t="shared" si="0"/>
        <v>24.599999999998545</v>
      </c>
      <c r="D23" s="10">
        <f t="shared" si="1"/>
        <v>75.521999999995529</v>
      </c>
      <c r="E23" s="7">
        <f>'[9]Jul Prod'!E22</f>
        <v>12000000</v>
      </c>
      <c r="F23" s="8">
        <f t="shared" si="2"/>
        <v>12</v>
      </c>
      <c r="G23" s="10">
        <f t="shared" si="3"/>
        <v>36.839999999999996</v>
      </c>
      <c r="H23" s="7">
        <f>'[9]Jul Prod'!F22</f>
        <v>11980000</v>
      </c>
      <c r="I23" s="8">
        <f t="shared" si="4"/>
        <v>11.98</v>
      </c>
      <c r="J23" s="10">
        <f t="shared" si="5"/>
        <v>36.778599999999997</v>
      </c>
      <c r="K23" s="7">
        <f>'[9]Jul Prod'!H277</f>
        <v>2284458</v>
      </c>
      <c r="L23" s="8">
        <f t="shared" si="6"/>
        <v>2.2844579999999999</v>
      </c>
      <c r="M23" s="10">
        <f t="shared" si="7"/>
        <v>7.0132860599999995</v>
      </c>
      <c r="N23" s="21"/>
      <c r="O23" s="7">
        <f>'[9]Jul Prod'!H22</f>
        <v>11093999.999999998</v>
      </c>
      <c r="P23" s="8">
        <f t="shared" si="8"/>
        <v>11.093999999999998</v>
      </c>
      <c r="Q23" s="10">
        <f t="shared" si="9"/>
        <v>34.058579999999992</v>
      </c>
      <c r="R23" s="7">
        <f>'[9]Jul Prod'!C22</f>
        <v>11403000</v>
      </c>
      <c r="S23" s="8">
        <f t="shared" si="10"/>
        <v>11.403</v>
      </c>
      <c r="T23" s="10">
        <f t="shared" si="11"/>
        <v>35.007210000000001</v>
      </c>
      <c r="U23" s="7">
        <f>'[9]Jul Prod'!D22</f>
        <v>0</v>
      </c>
      <c r="V23" s="8">
        <f t="shared" si="12"/>
        <v>0</v>
      </c>
      <c r="W23" s="10">
        <f t="shared" si="13"/>
        <v>0</v>
      </c>
      <c r="X23" s="7">
        <f>'[9]Jul Prod'!D277</f>
        <v>309000.00000000105</v>
      </c>
      <c r="Y23" s="8">
        <f t="shared" si="14"/>
        <v>0.30900000000000105</v>
      </c>
      <c r="Z23" s="10">
        <f t="shared" si="15"/>
        <v>0.94863000000000319</v>
      </c>
      <c r="AA23" s="15"/>
      <c r="AB23" s="7">
        <f>'[9]Jul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35693999.99999854</v>
      </c>
      <c r="AG23" s="8">
        <f t="shared" si="19"/>
        <v>35.693999999998539</v>
      </c>
      <c r="AH23" s="8">
        <f t="shared" si="20"/>
        <v>109.58057999999552</v>
      </c>
      <c r="AJ23" s="8">
        <f t="shared" si="21"/>
        <v>5.3290705182007514E-15</v>
      </c>
    </row>
    <row r="24" spans="1:36" x14ac:dyDescent="0.25">
      <c r="A24" s="27">
        <v>38553</v>
      </c>
      <c r="B24" s="7">
        <f>'[9]Jul Prod'!I23</f>
        <v>23800000</v>
      </c>
      <c r="C24" s="8">
        <f t="shared" si="0"/>
        <v>23.8</v>
      </c>
      <c r="D24" s="10">
        <f t="shared" si="1"/>
        <v>73.066000000000003</v>
      </c>
      <c r="E24" s="7">
        <f>'[9]Jul Prod'!E23</f>
        <v>12000000</v>
      </c>
      <c r="F24" s="8">
        <f t="shared" si="2"/>
        <v>12</v>
      </c>
      <c r="G24" s="10">
        <f t="shared" si="3"/>
        <v>36.839999999999996</v>
      </c>
      <c r="H24" s="7">
        <f>'[9]Jul Prod'!F23</f>
        <v>11870000.000000002</v>
      </c>
      <c r="I24" s="8">
        <f t="shared" si="4"/>
        <v>11.870000000000001</v>
      </c>
      <c r="J24" s="10">
        <f t="shared" si="5"/>
        <v>36.440899999999999</v>
      </c>
      <c r="K24" s="43">
        <f>'[9]Jul Prod'!H278</f>
        <v>229541</v>
      </c>
      <c r="L24" s="8">
        <f t="shared" si="6"/>
        <v>0.229541</v>
      </c>
      <c r="M24" s="10">
        <f t="shared" si="7"/>
        <v>0.70469086999999997</v>
      </c>
      <c r="N24" s="21"/>
      <c r="O24" s="7">
        <f>'[9]Jul Prod'!H23</f>
        <v>10782000</v>
      </c>
      <c r="P24" s="8">
        <f t="shared" si="8"/>
        <v>10.782</v>
      </c>
      <c r="Q24" s="10">
        <f t="shared" si="9"/>
        <v>33.100740000000002</v>
      </c>
      <c r="R24" s="7">
        <f>'[9]Jul Prod'!C23</f>
        <v>11133000</v>
      </c>
      <c r="S24" s="8">
        <f t="shared" si="10"/>
        <v>11.132999999999999</v>
      </c>
      <c r="T24" s="10">
        <f t="shared" si="11"/>
        <v>34.178309999999996</v>
      </c>
      <c r="U24" s="7">
        <f>'[9]Jul Prod'!D23</f>
        <v>0</v>
      </c>
      <c r="V24" s="8">
        <f t="shared" si="12"/>
        <v>0</v>
      </c>
      <c r="W24" s="10">
        <f t="shared" si="13"/>
        <v>0</v>
      </c>
      <c r="X24" s="7">
        <f>'[9]Jul Prod'!D278</f>
        <v>350999.99999999907</v>
      </c>
      <c r="Y24" s="8">
        <f t="shared" si="14"/>
        <v>0.35099999999999909</v>
      </c>
      <c r="Z24" s="10">
        <f t="shared" si="15"/>
        <v>1.0775699999999973</v>
      </c>
      <c r="AA24" s="15"/>
      <c r="AB24" s="7">
        <f>'[9]Jul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34582000</v>
      </c>
      <c r="AG24" s="8">
        <f t="shared" si="19"/>
        <v>34.582000000000001</v>
      </c>
      <c r="AH24" s="8">
        <f t="shared" si="20"/>
        <v>106.16674</v>
      </c>
      <c r="AJ24" s="8">
        <f t="shared" si="21"/>
        <v>-2.886579864025407E-15</v>
      </c>
    </row>
    <row r="25" spans="1:36" x14ac:dyDescent="0.25">
      <c r="A25" s="27">
        <v>38554</v>
      </c>
      <c r="B25" s="7">
        <f>'[9]Jul Prod'!I24</f>
        <v>26100000.000002183</v>
      </c>
      <c r="C25" s="8">
        <f t="shared" si="0"/>
        <v>26.100000000002183</v>
      </c>
      <c r="D25" s="10">
        <f t="shared" si="1"/>
        <v>80.127000000006703</v>
      </c>
      <c r="E25" s="7">
        <f>'[9]Jul Prod'!E24</f>
        <v>13000000</v>
      </c>
      <c r="F25" s="8">
        <f t="shared" si="2"/>
        <v>13</v>
      </c>
      <c r="G25" s="10">
        <f t="shared" si="3"/>
        <v>39.909999999999997</v>
      </c>
      <c r="H25" s="7">
        <f>'[9]Jul Prod'!F24</f>
        <v>12420000</v>
      </c>
      <c r="I25" s="8">
        <f t="shared" si="4"/>
        <v>12.42</v>
      </c>
      <c r="J25" s="10">
        <f t="shared" si="5"/>
        <v>38.129399999999997</v>
      </c>
      <c r="K25" s="7">
        <f>'[9]Jul Prod'!H279</f>
        <v>2388130</v>
      </c>
      <c r="L25" s="8">
        <f t="shared" si="6"/>
        <v>2.3881299999999999</v>
      </c>
      <c r="M25" s="10">
        <f t="shared" si="7"/>
        <v>7.3315590999999989</v>
      </c>
      <c r="N25" s="21"/>
      <c r="O25" s="7">
        <f>'[9]Jul Prod'!H24</f>
        <v>11192000</v>
      </c>
      <c r="P25" s="8">
        <f t="shared" si="8"/>
        <v>11.192</v>
      </c>
      <c r="Q25" s="10">
        <f t="shared" si="9"/>
        <v>34.359439999999999</v>
      </c>
      <c r="R25" s="7">
        <f>'[9]Jul Prod'!C24</f>
        <v>11639000</v>
      </c>
      <c r="S25" s="8">
        <f t="shared" si="10"/>
        <v>11.638999999999999</v>
      </c>
      <c r="T25" s="10">
        <f t="shared" si="11"/>
        <v>35.731729999999999</v>
      </c>
      <c r="U25" s="7">
        <f>'[9]Jul Prod'!D24</f>
        <v>0</v>
      </c>
      <c r="V25" s="8">
        <f t="shared" si="12"/>
        <v>0</v>
      </c>
      <c r="W25" s="10">
        <f t="shared" si="13"/>
        <v>0</v>
      </c>
      <c r="X25" s="7">
        <f>'[9]Jul Prod'!D279</f>
        <v>446999.99999999919</v>
      </c>
      <c r="Y25" s="8">
        <f t="shared" si="14"/>
        <v>0.44699999999999918</v>
      </c>
      <c r="Z25" s="10">
        <f t="shared" si="15"/>
        <v>1.3722899999999973</v>
      </c>
      <c r="AA25" s="15"/>
      <c r="AB25" s="7">
        <f>'[9]Jul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37292000.000002183</v>
      </c>
      <c r="AG25" s="8">
        <f t="shared" si="19"/>
        <v>37.292000000002183</v>
      </c>
      <c r="AH25" s="8">
        <f t="shared" si="20"/>
        <v>114.4864400000067</v>
      </c>
      <c r="AJ25" s="8">
        <f t="shared" si="21"/>
        <v>2.2204460492503131E-15</v>
      </c>
    </row>
    <row r="26" spans="1:36" x14ac:dyDescent="0.25">
      <c r="A26" s="27">
        <v>38555</v>
      </c>
      <c r="B26" s="7">
        <f>'[9]Jul Prod'!I25</f>
        <v>28600000</v>
      </c>
      <c r="C26" s="8">
        <f t="shared" si="0"/>
        <v>28.6</v>
      </c>
      <c r="D26" s="10">
        <f t="shared" si="1"/>
        <v>87.802000000000007</v>
      </c>
      <c r="E26" s="7">
        <f>'[9]Jul Prod'!E25</f>
        <v>14000000</v>
      </c>
      <c r="F26" s="8">
        <f t="shared" si="2"/>
        <v>14</v>
      </c>
      <c r="G26" s="10">
        <f t="shared" si="3"/>
        <v>42.98</v>
      </c>
      <c r="H26" s="7">
        <f>'[9]Jul Prod'!F25</f>
        <v>13480000</v>
      </c>
      <c r="I26" s="8">
        <f t="shared" si="4"/>
        <v>13.48</v>
      </c>
      <c r="J26" s="10">
        <f t="shared" si="5"/>
        <v>41.383600000000001</v>
      </c>
      <c r="K26" s="7">
        <f>'[9]Jul Prod'!H280</f>
        <v>2566218</v>
      </c>
      <c r="L26" s="8">
        <f t="shared" si="6"/>
        <v>2.5662180000000001</v>
      </c>
      <c r="M26" s="10">
        <f t="shared" si="7"/>
        <v>7.8782892599999998</v>
      </c>
      <c r="N26" s="21"/>
      <c r="O26" s="7">
        <f>'[9]Jul Prod'!H25</f>
        <v>11800000</v>
      </c>
      <c r="P26" s="8">
        <f t="shared" si="8"/>
        <v>11.8</v>
      </c>
      <c r="Q26" s="10">
        <f t="shared" si="9"/>
        <v>36.225999999999999</v>
      </c>
      <c r="R26" s="7">
        <f>'[9]Jul Prod'!C25</f>
        <v>12172000</v>
      </c>
      <c r="S26" s="8">
        <f t="shared" si="10"/>
        <v>12.172000000000001</v>
      </c>
      <c r="T26" s="10">
        <f t="shared" si="11"/>
        <v>37.368040000000001</v>
      </c>
      <c r="U26" s="7">
        <f>'[9]Jul Prod'!D25</f>
        <v>0</v>
      </c>
      <c r="V26" s="8">
        <f t="shared" si="12"/>
        <v>0</v>
      </c>
      <c r="W26" s="10">
        <f t="shared" si="13"/>
        <v>0</v>
      </c>
      <c r="X26" s="7">
        <f>'[9]Jul Prod'!D280</f>
        <v>371999.99999999988</v>
      </c>
      <c r="Y26" s="8">
        <f t="shared" si="14"/>
        <v>0.37199999999999989</v>
      </c>
      <c r="Z26" s="10">
        <f t="shared" si="15"/>
        <v>1.1420399999999995</v>
      </c>
      <c r="AA26" s="15"/>
      <c r="AB26" s="7">
        <f>'[9]Jul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40400000</v>
      </c>
      <c r="AG26" s="8">
        <f t="shared" si="19"/>
        <v>40.400000000000006</v>
      </c>
      <c r="AH26" s="8">
        <f t="shared" si="20"/>
        <v>124.02800000000001</v>
      </c>
      <c r="AJ26" s="8">
        <f t="shared" si="21"/>
        <v>1.9984014443252818E-15</v>
      </c>
    </row>
    <row r="27" spans="1:36" x14ac:dyDescent="0.25">
      <c r="A27" s="27">
        <v>38556</v>
      </c>
      <c r="B27" s="7">
        <f>'[9]Jul Prod'!I26</f>
        <v>26799999.999999996</v>
      </c>
      <c r="C27" s="8">
        <f t="shared" si="0"/>
        <v>26.799999999999997</v>
      </c>
      <c r="D27" s="10">
        <f t="shared" si="1"/>
        <v>82.275999999999982</v>
      </c>
      <c r="E27" s="7">
        <f>'[9]Jul Prod'!E26</f>
        <v>12000000</v>
      </c>
      <c r="F27" s="8">
        <f t="shared" si="2"/>
        <v>12</v>
      </c>
      <c r="G27" s="10">
        <f t="shared" si="3"/>
        <v>36.839999999999996</v>
      </c>
      <c r="H27" s="7">
        <f>'[9]Jul Prod'!F26</f>
        <v>13160000</v>
      </c>
      <c r="I27" s="8">
        <f t="shared" si="4"/>
        <v>13.16</v>
      </c>
      <c r="J27" s="10">
        <f t="shared" si="5"/>
        <v>40.401199999999996</v>
      </c>
      <c r="K27" s="7">
        <f>'[9]Jul Prod'!H281</f>
        <v>2388862</v>
      </c>
      <c r="L27" s="8">
        <f t="shared" si="6"/>
        <v>2.388862</v>
      </c>
      <c r="M27" s="10">
        <f t="shared" si="7"/>
        <v>7.3338063399999998</v>
      </c>
      <c r="N27" s="21"/>
      <c r="O27" s="7">
        <f>'[9]Jul Prod'!H26</f>
        <v>13436000</v>
      </c>
      <c r="P27" s="8">
        <f t="shared" si="8"/>
        <v>13.436</v>
      </c>
      <c r="Q27" s="10">
        <f t="shared" si="9"/>
        <v>41.248519999999999</v>
      </c>
      <c r="R27" s="7">
        <f>'[9]Jul Prod'!C26</f>
        <v>13730000</v>
      </c>
      <c r="S27" s="8">
        <f t="shared" si="10"/>
        <v>13.73</v>
      </c>
      <c r="T27" s="10">
        <f t="shared" si="11"/>
        <v>42.1511</v>
      </c>
      <c r="U27" s="7">
        <f>'[9]Jul Prod'!D26</f>
        <v>0</v>
      </c>
      <c r="V27" s="8">
        <f t="shared" si="12"/>
        <v>0</v>
      </c>
      <c r="W27" s="10">
        <f t="shared" si="13"/>
        <v>0</v>
      </c>
      <c r="X27" s="7">
        <f>'[9]Jul Prod'!D281</f>
        <v>294000.00000000047</v>
      </c>
      <c r="Y27" s="8">
        <f t="shared" si="14"/>
        <v>0.29400000000000048</v>
      </c>
      <c r="Z27" s="10">
        <f t="shared" si="15"/>
        <v>0.90258000000000138</v>
      </c>
      <c r="AA27" s="15"/>
      <c r="AB27" s="7">
        <f>'[9]Jul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40236000</v>
      </c>
      <c r="AG27" s="8">
        <f t="shared" si="19"/>
        <v>40.235999999999997</v>
      </c>
      <c r="AH27" s="8">
        <f t="shared" si="20"/>
        <v>123.52451999999998</v>
      </c>
      <c r="AJ27" s="8">
        <f t="shared" si="21"/>
        <v>-9.9920072216264089E-16</v>
      </c>
    </row>
    <row r="28" spans="1:36" x14ac:dyDescent="0.25">
      <c r="A28" s="27">
        <v>38557</v>
      </c>
      <c r="B28" s="7">
        <f>'[9]Jul Prod'!I27</f>
        <v>28099999.999999993</v>
      </c>
      <c r="C28" s="8">
        <f t="shared" si="0"/>
        <v>28.099999999999994</v>
      </c>
      <c r="D28" s="10">
        <f t="shared" si="1"/>
        <v>86.266999999999982</v>
      </c>
      <c r="E28" s="7">
        <f>'[9]Jul Prod'!E27</f>
        <v>14000000</v>
      </c>
      <c r="F28" s="8">
        <f t="shared" si="2"/>
        <v>14</v>
      </c>
      <c r="G28" s="10">
        <f t="shared" si="3"/>
        <v>42.98</v>
      </c>
      <c r="H28" s="7">
        <f>'[9]Jul Prod'!F27</f>
        <v>13370000.000000002</v>
      </c>
      <c r="I28" s="8">
        <f t="shared" si="4"/>
        <v>13.370000000000001</v>
      </c>
      <c r="J28" s="10">
        <f t="shared" si="5"/>
        <v>41.045900000000003</v>
      </c>
      <c r="K28" s="7">
        <f>'[9]Jul Prod'!H282</f>
        <v>2507756</v>
      </c>
      <c r="L28" s="8">
        <f t="shared" si="6"/>
        <v>2.5077560000000001</v>
      </c>
      <c r="M28" s="10">
        <f t="shared" si="7"/>
        <v>7.6988109199999997</v>
      </c>
      <c r="N28" s="21"/>
      <c r="O28" s="7">
        <f>'[9]Jul Prod'!H27</f>
        <v>13104999.999999996</v>
      </c>
      <c r="P28" s="8">
        <f t="shared" si="8"/>
        <v>13.104999999999997</v>
      </c>
      <c r="Q28" s="10">
        <f t="shared" si="9"/>
        <v>40.23234999999999</v>
      </c>
      <c r="R28" s="7">
        <f>'[9]Jul Prod'!C27</f>
        <v>13616000</v>
      </c>
      <c r="S28" s="8">
        <f t="shared" si="10"/>
        <v>13.616</v>
      </c>
      <c r="T28" s="10">
        <f t="shared" si="11"/>
        <v>41.801119999999997</v>
      </c>
      <c r="U28" s="7">
        <f>'[9]Jul Prod'!D27</f>
        <v>0</v>
      </c>
      <c r="V28" s="8">
        <f t="shared" si="12"/>
        <v>0</v>
      </c>
      <c r="W28" s="10">
        <f t="shared" si="13"/>
        <v>0</v>
      </c>
      <c r="X28" s="7">
        <f>'[9]Jul Prod'!D282</f>
        <v>511000.00000000279</v>
      </c>
      <c r="Y28" s="8">
        <f t="shared" si="14"/>
        <v>0.51100000000000279</v>
      </c>
      <c r="Z28" s="10">
        <f t="shared" si="15"/>
        <v>1.5687700000000084</v>
      </c>
      <c r="AA28" s="15"/>
      <c r="AB28" s="7">
        <f>'[9]Jul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41204999.999999985</v>
      </c>
      <c r="AG28" s="8">
        <f t="shared" si="19"/>
        <v>41.204999999999991</v>
      </c>
      <c r="AH28" s="8">
        <f t="shared" si="20"/>
        <v>126.49934999999996</v>
      </c>
      <c r="AJ28" s="8">
        <f t="shared" si="21"/>
        <v>0</v>
      </c>
    </row>
    <row r="29" spans="1:36" x14ac:dyDescent="0.25">
      <c r="A29" s="27">
        <v>38558</v>
      </c>
      <c r="B29" s="7">
        <f>'[9]Jul Prod'!I28</f>
        <v>27000000</v>
      </c>
      <c r="C29" s="8">
        <f t="shared" si="0"/>
        <v>27</v>
      </c>
      <c r="D29" s="10">
        <f t="shared" si="1"/>
        <v>82.89</v>
      </c>
      <c r="E29" s="7">
        <f>'[9]Jul Prod'!E28</f>
        <v>13000000</v>
      </c>
      <c r="F29" s="8">
        <f t="shared" si="2"/>
        <v>13</v>
      </c>
      <c r="G29" s="10">
        <f t="shared" si="3"/>
        <v>39.909999999999997</v>
      </c>
      <c r="H29" s="7">
        <f>'[9]Jul Prod'!F28</f>
        <v>13040000</v>
      </c>
      <c r="I29" s="8">
        <f t="shared" si="4"/>
        <v>13.04</v>
      </c>
      <c r="J29" s="10">
        <f t="shared" si="5"/>
        <v>40.032799999999995</v>
      </c>
      <c r="K29" s="7">
        <f>'[9]Jul Prod'!H283</f>
        <v>2453659</v>
      </c>
      <c r="L29" s="8">
        <f t="shared" si="6"/>
        <v>2.453659</v>
      </c>
      <c r="M29" s="10">
        <f t="shared" si="7"/>
        <v>7.5327331299999996</v>
      </c>
      <c r="N29" s="21"/>
      <c r="O29" s="7">
        <f>'[9]Jul Prod'!H28</f>
        <v>13696000.000000004</v>
      </c>
      <c r="P29" s="8">
        <f t="shared" si="8"/>
        <v>13.696000000000003</v>
      </c>
      <c r="Q29" s="10">
        <f t="shared" si="9"/>
        <v>42.046720000000008</v>
      </c>
      <c r="R29" s="7">
        <f>'[9]Jul Prod'!C28</f>
        <v>14144000</v>
      </c>
      <c r="S29" s="8">
        <f t="shared" si="10"/>
        <v>14.144</v>
      </c>
      <c r="T29" s="10">
        <f t="shared" si="11"/>
        <v>43.422080000000001</v>
      </c>
      <c r="U29" s="7">
        <f>'[9]Jul Prod'!D28</f>
        <v>0</v>
      </c>
      <c r="V29" s="8">
        <f t="shared" si="12"/>
        <v>0</v>
      </c>
      <c r="W29" s="10">
        <f t="shared" si="13"/>
        <v>0</v>
      </c>
      <c r="X29" s="7">
        <f>'[9]Jul Prod'!D283</f>
        <v>447999.99999999686</v>
      </c>
      <c r="Y29" s="8">
        <f t="shared" si="14"/>
        <v>0.44799999999999685</v>
      </c>
      <c r="Z29" s="10">
        <f t="shared" si="15"/>
        <v>1.3753599999999901</v>
      </c>
      <c r="AA29" s="15"/>
      <c r="AB29" s="7">
        <f>'[9]Jul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40696000</v>
      </c>
      <c r="AG29" s="8">
        <f t="shared" si="19"/>
        <v>40.696000000000005</v>
      </c>
      <c r="AH29" s="8">
        <f t="shared" si="20"/>
        <v>124.93672000000001</v>
      </c>
      <c r="AJ29" s="8">
        <f t="shared" si="21"/>
        <v>3.3306690738754696E-15</v>
      </c>
    </row>
    <row r="30" spans="1:36" x14ac:dyDescent="0.25">
      <c r="A30" s="27">
        <v>38559</v>
      </c>
      <c r="B30" s="7">
        <f>'[9]Jul Prod'!I29</f>
        <v>24599999.999999993</v>
      </c>
      <c r="C30" s="8">
        <f t="shared" si="0"/>
        <v>24.599999999999994</v>
      </c>
      <c r="D30" s="10">
        <f t="shared" si="1"/>
        <v>75.521999999999977</v>
      </c>
      <c r="E30" s="7">
        <f>'[9]Jul Prod'!E29</f>
        <v>11000000</v>
      </c>
      <c r="F30" s="8">
        <f t="shared" si="2"/>
        <v>11</v>
      </c>
      <c r="G30" s="10">
        <f t="shared" si="3"/>
        <v>33.769999999999996</v>
      </c>
      <c r="H30" s="7">
        <f>'[9]Jul Prod'!F29</f>
        <v>11360000</v>
      </c>
      <c r="I30" s="8">
        <f t="shared" si="4"/>
        <v>11.36</v>
      </c>
      <c r="J30" s="10">
        <f t="shared" si="5"/>
        <v>34.8752</v>
      </c>
      <c r="K30" s="7">
        <f>'[9]Jul Prod'!H284</f>
        <v>2243914</v>
      </c>
      <c r="L30" s="8">
        <f t="shared" si="6"/>
        <v>2.2439140000000002</v>
      </c>
      <c r="M30" s="10">
        <f t="shared" si="7"/>
        <v>6.8888159800000004</v>
      </c>
      <c r="N30" s="21"/>
      <c r="O30" s="7">
        <f>'[9]Jul Prod'!H29</f>
        <v>14784999.999999998</v>
      </c>
      <c r="P30" s="8">
        <f t="shared" si="8"/>
        <v>14.784999999999998</v>
      </c>
      <c r="Q30" s="10">
        <f t="shared" si="9"/>
        <v>45.389949999999992</v>
      </c>
      <c r="R30" s="7">
        <f>'[9]Jul Prod'!C29</f>
        <v>15219000</v>
      </c>
      <c r="S30" s="8">
        <f t="shared" si="10"/>
        <v>15.218999999999999</v>
      </c>
      <c r="T30" s="10">
        <f t="shared" si="11"/>
        <v>46.722329999999992</v>
      </c>
      <c r="U30" s="7">
        <f>'[9]Jul Prod'!D29</f>
        <v>0</v>
      </c>
      <c r="V30" s="8">
        <f t="shared" si="12"/>
        <v>0</v>
      </c>
      <c r="W30" s="10">
        <f t="shared" si="13"/>
        <v>0</v>
      </c>
      <c r="X30" s="7">
        <f>'[9]Jul Prod'!D284</f>
        <v>434000.00000000105</v>
      </c>
      <c r="Y30" s="8">
        <f t="shared" si="14"/>
        <v>0.43400000000000105</v>
      </c>
      <c r="Z30" s="10">
        <f t="shared" si="15"/>
        <v>1.3323800000000032</v>
      </c>
      <c r="AA30" s="15"/>
      <c r="AB30" s="7">
        <f>'[9]Jul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39384999.999999993</v>
      </c>
      <c r="AG30" s="8">
        <f t="shared" si="19"/>
        <v>39.384999999999991</v>
      </c>
      <c r="AH30" s="8">
        <f t="shared" si="20"/>
        <v>120.91194999999996</v>
      </c>
      <c r="AJ30" s="8">
        <f t="shared" si="21"/>
        <v>-2.6645352591003757E-15</v>
      </c>
    </row>
    <row r="31" spans="1:36" x14ac:dyDescent="0.25">
      <c r="A31" s="27">
        <v>38560</v>
      </c>
      <c r="B31" s="7">
        <f>'[9]Jul Prod'!I30</f>
        <v>27000000</v>
      </c>
      <c r="C31" s="8">
        <f t="shared" si="0"/>
        <v>27</v>
      </c>
      <c r="D31" s="10">
        <f t="shared" si="1"/>
        <v>82.89</v>
      </c>
      <c r="E31" s="7">
        <f>'[9]Jul Prod'!E30</f>
        <v>13000000</v>
      </c>
      <c r="F31" s="8">
        <f t="shared" si="2"/>
        <v>13</v>
      </c>
      <c r="G31" s="10">
        <f t="shared" si="3"/>
        <v>39.909999999999997</v>
      </c>
      <c r="H31" s="7">
        <f>'[9]Jul Prod'!F30</f>
        <v>13070000</v>
      </c>
      <c r="I31" s="8">
        <f t="shared" si="4"/>
        <v>13.07</v>
      </c>
      <c r="J31" s="10">
        <f t="shared" si="5"/>
        <v>40.124899999999997</v>
      </c>
      <c r="K31" s="7">
        <f>'[9]Jul Prod'!H285</f>
        <v>2387432</v>
      </c>
      <c r="L31" s="8">
        <f t="shared" si="6"/>
        <v>2.387432</v>
      </c>
      <c r="M31" s="10">
        <f t="shared" si="7"/>
        <v>7.3294162399999996</v>
      </c>
      <c r="N31" s="21"/>
      <c r="O31" s="7">
        <f>'[9]Jul Prod'!H30</f>
        <v>15230000</v>
      </c>
      <c r="P31" s="8">
        <f t="shared" si="8"/>
        <v>15.23</v>
      </c>
      <c r="Q31" s="10">
        <f t="shared" si="9"/>
        <v>46.756099999999996</v>
      </c>
      <c r="R31" s="7">
        <f>'[9]Jul Prod'!C30</f>
        <v>15587000</v>
      </c>
      <c r="S31" s="8">
        <f t="shared" si="10"/>
        <v>15.587</v>
      </c>
      <c r="T31" s="10">
        <f t="shared" si="11"/>
        <v>47.852089999999997</v>
      </c>
      <c r="U31" s="7">
        <f>'[9]Jul Prod'!D30</f>
        <v>0</v>
      </c>
      <c r="V31" s="8">
        <f t="shared" si="12"/>
        <v>0</v>
      </c>
      <c r="W31" s="10">
        <f t="shared" si="13"/>
        <v>0</v>
      </c>
      <c r="X31" s="7">
        <f>'[9]Jul Prod'!D285</f>
        <v>356999.9999999993</v>
      </c>
      <c r="Y31" s="8">
        <f t="shared" si="14"/>
        <v>0.35699999999999932</v>
      </c>
      <c r="Z31" s="10">
        <f t="shared" si="15"/>
        <v>1.0959899999999978</v>
      </c>
      <c r="AA31" s="15"/>
      <c r="AB31" s="7">
        <f>'[9]Jul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42230000</v>
      </c>
      <c r="AG31" s="8">
        <f t="shared" si="19"/>
        <v>42.230000000000004</v>
      </c>
      <c r="AH31" s="8">
        <f t="shared" si="20"/>
        <v>129.64609999999999</v>
      </c>
      <c r="AJ31" s="8">
        <f t="shared" si="21"/>
        <v>2.6645352591003757E-15</v>
      </c>
    </row>
    <row r="32" spans="1:36" x14ac:dyDescent="0.25">
      <c r="A32" s="27">
        <v>38561</v>
      </c>
      <c r="B32" s="7">
        <f>'[9]Jul Prod'!I31</f>
        <v>25100000.000000022</v>
      </c>
      <c r="C32" s="8">
        <f t="shared" si="0"/>
        <v>25.100000000000023</v>
      </c>
      <c r="D32" s="10">
        <f t="shared" si="1"/>
        <v>77.057000000000059</v>
      </c>
      <c r="E32" s="7">
        <f>'[9]Jul Prod'!E31</f>
        <v>13000000</v>
      </c>
      <c r="F32" s="8">
        <f t="shared" si="2"/>
        <v>13</v>
      </c>
      <c r="G32" s="10">
        <f t="shared" si="3"/>
        <v>39.909999999999997</v>
      </c>
      <c r="H32" s="7">
        <f>'[9]Jul Prod'!F31</f>
        <v>10620000.000000002</v>
      </c>
      <c r="I32" s="8">
        <f t="shared" si="4"/>
        <v>10.620000000000001</v>
      </c>
      <c r="J32" s="10">
        <f t="shared" si="5"/>
        <v>32.603400000000001</v>
      </c>
      <c r="K32" s="7">
        <f>'[9]Jul Prod'!H286</f>
        <v>2391815</v>
      </c>
      <c r="L32" s="8">
        <f t="shared" si="6"/>
        <v>2.3918149999999998</v>
      </c>
      <c r="M32" s="10">
        <f t="shared" si="7"/>
        <v>7.3428720499999987</v>
      </c>
      <c r="N32" s="21"/>
      <c r="O32" s="7">
        <f>'[9]Jul Prod'!H31</f>
        <v>13258999.999999998</v>
      </c>
      <c r="P32" s="8">
        <f t="shared" si="8"/>
        <v>13.258999999999999</v>
      </c>
      <c r="Q32" s="10">
        <f t="shared" si="9"/>
        <v>40.705129999999997</v>
      </c>
      <c r="R32" s="7">
        <f>'[9]Jul Prod'!C31</f>
        <v>13722000</v>
      </c>
      <c r="S32" s="8">
        <f t="shared" si="10"/>
        <v>13.722</v>
      </c>
      <c r="T32" s="10">
        <f t="shared" si="11"/>
        <v>42.126539999999999</v>
      </c>
      <c r="U32" s="7">
        <f>'[9]Jul Prod'!D31</f>
        <v>0</v>
      </c>
      <c r="V32" s="8">
        <f t="shared" si="12"/>
        <v>0</v>
      </c>
      <c r="W32" s="10">
        <f t="shared" si="13"/>
        <v>0</v>
      </c>
      <c r="X32" s="7">
        <f>'[9]Jul Prod'!D286</f>
        <v>463000.00000000099</v>
      </c>
      <c r="Y32" s="8">
        <f t="shared" si="14"/>
        <v>0.46300000000000097</v>
      </c>
      <c r="Z32" s="10">
        <f t="shared" si="15"/>
        <v>1.4214100000000029</v>
      </c>
      <c r="AA32" s="15"/>
      <c r="AB32" s="7">
        <f>'[9]Jul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38359000.000000022</v>
      </c>
      <c r="AG32" s="8">
        <f t="shared" si="19"/>
        <v>38.359000000000023</v>
      </c>
      <c r="AH32" s="8">
        <f t="shared" si="20"/>
        <v>117.76213000000006</v>
      </c>
      <c r="AJ32" s="8">
        <f t="shared" si="21"/>
        <v>0</v>
      </c>
    </row>
    <row r="33" spans="1:36" x14ac:dyDescent="0.25">
      <c r="A33" s="27">
        <v>38562</v>
      </c>
      <c r="B33" s="7">
        <f>'[9]Jul Prod'!I32</f>
        <v>22799999.999999981</v>
      </c>
      <c r="C33" s="8">
        <f t="shared" si="0"/>
        <v>22.799999999999983</v>
      </c>
      <c r="D33" s="10">
        <f t="shared" si="1"/>
        <v>69.995999999999938</v>
      </c>
      <c r="E33" s="7">
        <f>'[9]Jul Prod'!E32</f>
        <v>12000000</v>
      </c>
      <c r="F33" s="8">
        <f t="shared" si="2"/>
        <v>12</v>
      </c>
      <c r="G33" s="10">
        <f t="shared" si="3"/>
        <v>36.839999999999996</v>
      </c>
      <c r="H33" s="7">
        <f>'[9]Jul Prod'!F32</f>
        <v>12510000</v>
      </c>
      <c r="I33" s="8">
        <f t="shared" si="4"/>
        <v>12.51</v>
      </c>
      <c r="J33" s="10">
        <f t="shared" si="5"/>
        <v>38.405699999999996</v>
      </c>
      <c r="K33" s="7">
        <f>'[9]Jul Prod'!H287</f>
        <v>2148790</v>
      </c>
      <c r="L33" s="8">
        <f t="shared" si="6"/>
        <v>2.14879</v>
      </c>
      <c r="M33" s="10">
        <f t="shared" si="7"/>
        <v>6.5967852999999996</v>
      </c>
      <c r="N33" s="21"/>
      <c r="O33" s="7">
        <f>'[9]Jul Prod'!H32</f>
        <v>14624999.999999998</v>
      </c>
      <c r="P33" s="8">
        <f t="shared" si="8"/>
        <v>14.624999999999998</v>
      </c>
      <c r="Q33" s="10">
        <f t="shared" si="9"/>
        <v>44.898749999999993</v>
      </c>
      <c r="R33" s="7">
        <f>'[9]Jul Prod'!C32</f>
        <v>15059000</v>
      </c>
      <c r="S33" s="8">
        <f t="shared" si="10"/>
        <v>15.058999999999999</v>
      </c>
      <c r="T33" s="10">
        <f t="shared" si="11"/>
        <v>46.231129999999993</v>
      </c>
      <c r="U33" s="7">
        <f>'[9]Jul Prod'!D32</f>
        <v>0</v>
      </c>
      <c r="V33" s="8">
        <f t="shared" si="12"/>
        <v>0</v>
      </c>
      <c r="W33" s="10">
        <f t="shared" si="13"/>
        <v>0</v>
      </c>
      <c r="X33" s="7">
        <f>'[9]Jul Prod'!D287</f>
        <v>434000.00000000105</v>
      </c>
      <c r="Y33" s="8">
        <f t="shared" si="14"/>
        <v>0.43400000000000105</v>
      </c>
      <c r="Z33" s="10">
        <f t="shared" si="15"/>
        <v>1.3323800000000032</v>
      </c>
      <c r="AA33" s="15"/>
      <c r="AB33" s="7">
        <f>'[9]Jul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37424999.999999978</v>
      </c>
      <c r="AG33" s="8">
        <f t="shared" si="19"/>
        <v>37.424999999999983</v>
      </c>
      <c r="AH33" s="8">
        <f t="shared" si="20"/>
        <v>114.89474999999993</v>
      </c>
      <c r="AJ33" s="8">
        <f t="shared" si="21"/>
        <v>-2.6645352591003757E-15</v>
      </c>
    </row>
    <row r="34" spans="1:36" x14ac:dyDescent="0.25">
      <c r="A34" s="27">
        <v>38563</v>
      </c>
      <c r="B34" s="7">
        <f>'[9]Jul Prod'!I33</f>
        <v>27900000.000000007</v>
      </c>
      <c r="C34" s="8">
        <f t="shared" si="0"/>
        <v>27.900000000000006</v>
      </c>
      <c r="D34" s="10">
        <f t="shared" si="1"/>
        <v>85.65300000000002</v>
      </c>
      <c r="E34" s="7">
        <f>'[9]Jul Prod'!E33</f>
        <v>16000000</v>
      </c>
      <c r="F34" s="8">
        <f t="shared" si="2"/>
        <v>16</v>
      </c>
      <c r="G34" s="10">
        <f t="shared" si="3"/>
        <v>49.12</v>
      </c>
      <c r="H34" s="7">
        <f>'[9]Jul Prod'!F33</f>
        <v>15580000</v>
      </c>
      <c r="I34" s="8">
        <f t="shared" si="4"/>
        <v>15.58</v>
      </c>
      <c r="J34" s="10">
        <f t="shared" si="5"/>
        <v>47.830599999999997</v>
      </c>
      <c r="K34" s="7">
        <f>'[9]Jul Prod'!H288</f>
        <v>2438481</v>
      </c>
      <c r="L34" s="8">
        <f t="shared" si="6"/>
        <v>2.4384809999999999</v>
      </c>
      <c r="M34" s="10">
        <f t="shared" si="7"/>
        <v>7.4861366699999996</v>
      </c>
      <c r="N34" s="21"/>
      <c r="O34" s="7">
        <f>'[9]Jul Prod'!H33</f>
        <v>14072000.000000002</v>
      </c>
      <c r="P34" s="8">
        <f t="shared" si="8"/>
        <v>14.072000000000003</v>
      </c>
      <c r="Q34" s="10">
        <f t="shared" si="9"/>
        <v>43.201040000000006</v>
      </c>
      <c r="R34" s="7">
        <f>'[9]Jul Prod'!C33</f>
        <v>14507000</v>
      </c>
      <c r="S34" s="8">
        <f t="shared" si="10"/>
        <v>14.507</v>
      </c>
      <c r="T34" s="10">
        <f t="shared" si="11"/>
        <v>44.536489999999993</v>
      </c>
      <c r="U34" s="7">
        <f>'[9]Jul Prod'!D33</f>
        <v>0</v>
      </c>
      <c r="V34" s="8">
        <f t="shared" si="12"/>
        <v>0</v>
      </c>
      <c r="W34" s="10">
        <f t="shared" si="13"/>
        <v>0</v>
      </c>
      <c r="X34" s="7">
        <f>'[9]Jul Prod'!D288</f>
        <v>434999.99999999872</v>
      </c>
      <c r="Y34" s="8">
        <f t="shared" si="14"/>
        <v>0.43499999999999872</v>
      </c>
      <c r="Z34" s="10">
        <f t="shared" si="15"/>
        <v>1.335449999999996</v>
      </c>
      <c r="AA34" s="15"/>
      <c r="AB34" s="7">
        <f>'[9]Jul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41972000.000000007</v>
      </c>
      <c r="AG34" s="8">
        <f t="shared" si="19"/>
        <v>41.972000000000008</v>
      </c>
      <c r="AH34" s="8">
        <f t="shared" si="20"/>
        <v>128.85404000000003</v>
      </c>
      <c r="AJ34" s="8">
        <f t="shared" si="21"/>
        <v>-8.659739592076221E-15</v>
      </c>
    </row>
    <row r="35" spans="1:36" ht="13.8" thickBot="1" x14ac:dyDescent="0.3">
      <c r="A35" s="27">
        <v>38564</v>
      </c>
      <c r="B35" s="7">
        <f>'[9]Jul Prod'!I34</f>
        <v>27199999.999999989</v>
      </c>
      <c r="C35" s="9">
        <f t="shared" si="0"/>
        <v>27.199999999999989</v>
      </c>
      <c r="D35" s="11">
        <f t="shared" si="1"/>
        <v>83.503999999999962</v>
      </c>
      <c r="E35" s="7">
        <f>'[9]Jul Prod'!E34</f>
        <v>15000000</v>
      </c>
      <c r="F35" s="9">
        <f t="shared" si="2"/>
        <v>15</v>
      </c>
      <c r="G35" s="11">
        <f t="shared" si="3"/>
        <v>46.05</v>
      </c>
      <c r="H35" s="7">
        <f>'[9]Jul Prod'!F34</f>
        <v>15370000</v>
      </c>
      <c r="I35" s="8">
        <f t="shared" si="4"/>
        <v>15.37</v>
      </c>
      <c r="J35" s="11">
        <f t="shared" si="5"/>
        <v>47.185899999999997</v>
      </c>
      <c r="K35" s="7">
        <f>'[9]Jul Prod'!H289</f>
        <v>2400000</v>
      </c>
      <c r="L35" s="9">
        <f t="shared" si="6"/>
        <v>2.4</v>
      </c>
      <c r="M35" s="11">
        <f t="shared" si="7"/>
        <v>7.3679999999999994</v>
      </c>
      <c r="N35" s="21"/>
      <c r="O35" s="7">
        <f>'[9]Jul Prod'!H34</f>
        <v>14311000</v>
      </c>
      <c r="P35" s="9">
        <f t="shared" si="8"/>
        <v>14.311</v>
      </c>
      <c r="Q35" s="11">
        <f t="shared" si="9"/>
        <v>43.93477</v>
      </c>
      <c r="R35" s="7">
        <f>'[9]Jul Prod'!C34</f>
        <v>14683000</v>
      </c>
      <c r="S35" s="9">
        <f t="shared" si="10"/>
        <v>14.683</v>
      </c>
      <c r="T35" s="11">
        <f t="shared" si="11"/>
        <v>45.076809999999995</v>
      </c>
      <c r="U35" s="7">
        <f>'[9]Jul Prod'!D34</f>
        <v>0</v>
      </c>
      <c r="V35" s="9">
        <f t="shared" si="12"/>
        <v>0</v>
      </c>
      <c r="W35" s="11">
        <f t="shared" si="13"/>
        <v>0</v>
      </c>
      <c r="X35" s="7">
        <f>'[9]Jul Prod'!D289</f>
        <v>371999.99999999988</v>
      </c>
      <c r="Y35" s="9">
        <f t="shared" si="14"/>
        <v>0.37199999999999989</v>
      </c>
      <c r="Z35" s="11">
        <f t="shared" si="15"/>
        <v>1.1420399999999995</v>
      </c>
      <c r="AA35" s="15"/>
      <c r="AB35" s="7">
        <f>'[9]Jul Prod'!G34</f>
        <v>0</v>
      </c>
      <c r="AC35" s="9">
        <f t="shared" si="16"/>
        <v>0</v>
      </c>
      <c r="AD35" s="11">
        <f t="shared" si="17"/>
        <v>0</v>
      </c>
      <c r="AF35" s="7">
        <f t="shared" si="18"/>
        <v>41510999.999999985</v>
      </c>
      <c r="AG35" s="8">
        <f t="shared" si="19"/>
        <v>41.510999999999989</v>
      </c>
      <c r="AH35" s="8">
        <f t="shared" si="20"/>
        <v>127.43876999999996</v>
      </c>
      <c r="AJ35" s="8">
        <f t="shared" si="21"/>
        <v>-5.1070259132757201E-15</v>
      </c>
    </row>
    <row r="36" spans="1:36" ht="13.8" thickBot="1" x14ac:dyDescent="0.3">
      <c r="A36" s="14"/>
      <c r="B36" s="38"/>
      <c r="C36" s="39">
        <f>SUM(C5:C35)</f>
        <v>803.39999999999986</v>
      </c>
      <c r="D36" s="39">
        <f t="shared" si="1"/>
        <v>2466.4379999999996</v>
      </c>
      <c r="E36" s="38"/>
      <c r="F36" s="39">
        <f>SUM(F5:F35)</f>
        <v>448</v>
      </c>
      <c r="G36" s="39">
        <f t="shared" si="3"/>
        <v>1375.36</v>
      </c>
      <c r="H36" s="38"/>
      <c r="I36" s="39">
        <f>SUM(I5:I35)</f>
        <v>354.08</v>
      </c>
      <c r="J36" s="39">
        <f t="shared" si="5"/>
        <v>1087.0255999999999</v>
      </c>
      <c r="K36" s="38"/>
      <c r="L36" s="39">
        <f>SUM(L5:L35)</f>
        <v>71.37239000000001</v>
      </c>
      <c r="M36" s="39">
        <f t="shared" si="7"/>
        <v>219.11323730000001</v>
      </c>
      <c r="N36" s="14"/>
      <c r="O36" s="38"/>
      <c r="P36" s="39">
        <f>SUM(P5:P35)</f>
        <v>381.36700000000013</v>
      </c>
      <c r="Q36" s="39">
        <f t="shared" si="9"/>
        <v>1170.7966900000004</v>
      </c>
      <c r="R36" s="38"/>
      <c r="S36" s="39">
        <f>SUM(S5:S35)</f>
        <v>393.71999999999997</v>
      </c>
      <c r="T36" s="39">
        <f t="shared" si="11"/>
        <v>1208.7203999999999</v>
      </c>
      <c r="U36" s="38"/>
      <c r="V36" s="39">
        <f>SUM(V5:V35)</f>
        <v>0</v>
      </c>
      <c r="W36" s="39">
        <f t="shared" si="13"/>
        <v>0</v>
      </c>
      <c r="X36" s="38"/>
      <c r="Y36" s="39">
        <f>SUM(Y5:Y35)</f>
        <v>12.352999999999998</v>
      </c>
      <c r="Z36" s="39">
        <f t="shared" si="15"/>
        <v>37.923709999999993</v>
      </c>
      <c r="AA36" s="14"/>
      <c r="AB36" s="38"/>
      <c r="AC36" s="39">
        <f>SUM(AC5:AC35)</f>
        <v>0</v>
      </c>
      <c r="AD36" s="39">
        <f t="shared" si="17"/>
        <v>0</v>
      </c>
      <c r="AF36" s="38"/>
      <c r="AG36" s="39">
        <f>SUM(AG5:AG35)</f>
        <v>1184.7669999999998</v>
      </c>
      <c r="AH36" s="39">
        <f>AG36*3.07</f>
        <v>3637.2346899999993</v>
      </c>
      <c r="AJ36" s="39">
        <f>SUM(AJ5:AJ35)</f>
        <v>2.3536728122053319E-14</v>
      </c>
    </row>
    <row r="37" spans="1:36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H5" activePane="bottomRight" state="frozen"/>
      <selection pane="topRight" activeCell="B1" sqref="B1"/>
      <selection pane="bottomLeft" activeCell="A5" sqref="A5"/>
      <selection pane="bottomRight" activeCell="T36" sqref="T5:T36"/>
    </sheetView>
  </sheetViews>
  <sheetFormatPr defaultRowHeight="13.2" x14ac:dyDescent="0.25"/>
  <cols>
    <col min="2" max="2" width="14.44140625" bestFit="1" customWidth="1"/>
    <col min="5" max="5" width="12.88671875" customWidth="1"/>
    <col min="8" max="8" width="11" customWidth="1"/>
    <col min="11" max="11" width="11" customWidth="1"/>
    <col min="12" max="12" width="10.88671875" customWidth="1"/>
    <col min="15" max="15" width="11.33203125" customWidth="1"/>
    <col min="18" max="18" width="10.5546875" customWidth="1"/>
    <col min="22" max="22" width="10.5546875" customWidth="1"/>
    <col min="28" max="28" width="10.6640625" customWidth="1"/>
  </cols>
  <sheetData>
    <row r="1" spans="1:32" x14ac:dyDescent="0.25">
      <c r="A1" s="44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38565</v>
      </c>
      <c r="B5" s="7">
        <f>'[10]Aug Prod'!I4</f>
        <v>26500000</v>
      </c>
      <c r="C5" s="8">
        <f>B5/1000000</f>
        <v>26.5</v>
      </c>
      <c r="D5" s="10">
        <f>C5*3.07</f>
        <v>81.35499999999999</v>
      </c>
      <c r="E5" s="7">
        <f>'[10]Aug Prod'!E4</f>
        <v>16000000</v>
      </c>
      <c r="F5" s="8">
        <f>E5/1000000</f>
        <v>16</v>
      </c>
      <c r="G5" s="10">
        <f>F5*3.07</f>
        <v>49.12</v>
      </c>
      <c r="H5" s="7">
        <f>'[10]Aug Prod'!F4</f>
        <v>15130000</v>
      </c>
      <c r="I5" s="8">
        <f>H5/1000000</f>
        <v>15.13</v>
      </c>
      <c r="J5" s="10">
        <f>I5*3.07</f>
        <v>46.449100000000001</v>
      </c>
      <c r="K5" s="7">
        <f>'[10]Aug Prod'!H259</f>
        <v>2509453</v>
      </c>
      <c r="L5" s="8">
        <f>K5/1000000</f>
        <v>2.5094530000000002</v>
      </c>
      <c r="M5" s="10">
        <f>L5*3.07</f>
        <v>7.70402071</v>
      </c>
      <c r="N5" s="21"/>
      <c r="O5" s="7">
        <f>'[10]Aug Prod'!H4</f>
        <v>13713999.999999998</v>
      </c>
      <c r="P5" s="8">
        <f>O5/1000000</f>
        <v>13.713999999999999</v>
      </c>
      <c r="Q5" s="10">
        <f>P5*3.07</f>
        <v>42.10197999999999</v>
      </c>
      <c r="R5" s="7">
        <f>'[10]Aug Prod'!C4</f>
        <v>14239000</v>
      </c>
      <c r="S5" s="8">
        <f>R5/1000000</f>
        <v>14.239000000000001</v>
      </c>
      <c r="T5" s="10">
        <f>S5*3.07</f>
        <v>43.713729999999998</v>
      </c>
      <c r="U5" s="7">
        <f>'[10]Aug Prod'!D4</f>
        <v>0</v>
      </c>
      <c r="V5" s="8">
        <f>U5/1000000</f>
        <v>0</v>
      </c>
      <c r="W5" s="10">
        <f>V5*3.07</f>
        <v>0</v>
      </c>
      <c r="X5" s="7">
        <f>'[10]Aug Prod'!D259</f>
        <v>525000.0000000021</v>
      </c>
      <c r="Y5" s="8">
        <f>X5/1000000</f>
        <v>0.52500000000000213</v>
      </c>
      <c r="Z5" s="10">
        <f>Y5*3.07</f>
        <v>1.6117500000000065</v>
      </c>
      <c r="AA5" s="15"/>
      <c r="AB5" s="7">
        <f>B5+O5</f>
        <v>40214000</v>
      </c>
      <c r="AC5" s="8">
        <f>C5+P5</f>
        <v>40.213999999999999</v>
      </c>
      <c r="AD5" s="8">
        <f>D5+Q5</f>
        <v>123.45697999999999</v>
      </c>
      <c r="AF5" s="8">
        <f t="shared" ref="AF5:AF14" si="0">T5-Q5-Z5</f>
        <v>0</v>
      </c>
    </row>
    <row r="6" spans="1:32" x14ac:dyDescent="0.25">
      <c r="A6" s="27">
        <v>38566</v>
      </c>
      <c r="B6" s="7">
        <f>'[10]Aug Prod'!I5</f>
        <v>24800000.000000011</v>
      </c>
      <c r="C6" s="8">
        <f t="shared" ref="C6:C35" si="1">B6/1000000</f>
        <v>24.800000000000011</v>
      </c>
      <c r="D6" s="10">
        <f t="shared" ref="D6:D35" si="2">C6*3.07</f>
        <v>76.136000000000024</v>
      </c>
      <c r="E6" s="7">
        <f>'[10]Aug Prod'!E5</f>
        <v>14000000</v>
      </c>
      <c r="F6" s="8">
        <f t="shared" ref="F6:F35" si="3">E6/1000000</f>
        <v>14</v>
      </c>
      <c r="G6" s="10">
        <f t="shared" ref="G6:G35" si="4">F6*3.07</f>
        <v>42.98</v>
      </c>
      <c r="H6" s="7">
        <f>'[10]Aug Prod'!F5</f>
        <v>14000000</v>
      </c>
      <c r="I6" s="8">
        <f t="shared" ref="I6:I35" si="5">H6/1000000</f>
        <v>14</v>
      </c>
      <c r="J6" s="10">
        <f t="shared" ref="J6:J35" si="6">I6*3.07</f>
        <v>42.98</v>
      </c>
      <c r="K6" s="7">
        <f>'[10]Aug Prod'!H260</f>
        <v>2384613</v>
      </c>
      <c r="L6" s="8">
        <f t="shared" ref="L6:L32" si="7">K6/1000000</f>
        <v>2.3846129999999999</v>
      </c>
      <c r="M6" s="10">
        <f t="shared" ref="M6:M32" si="8">L6*3.07</f>
        <v>7.320761909999999</v>
      </c>
      <c r="N6" s="21"/>
      <c r="O6" s="7">
        <f>'[10]Aug Prod'!H5</f>
        <v>14115000.000000002</v>
      </c>
      <c r="P6" s="8">
        <f t="shared" ref="P6:P35" si="9">O6/1000000</f>
        <v>14.115000000000002</v>
      </c>
      <c r="Q6" s="10">
        <f t="shared" ref="Q6:Q35" si="10">P6*3.07</f>
        <v>43.333050000000007</v>
      </c>
      <c r="R6" s="7">
        <f>'[10]Aug Prod'!C5</f>
        <v>14488000</v>
      </c>
      <c r="S6" s="8">
        <f t="shared" ref="S6:S35" si="11">R6/1000000</f>
        <v>14.488</v>
      </c>
      <c r="T6" s="10">
        <f t="shared" ref="T6:T35" si="12">S6*3.07</f>
        <v>44.478159999999995</v>
      </c>
      <c r="U6" s="7">
        <f>'[10]Aug Prod'!D5</f>
        <v>0</v>
      </c>
      <c r="V6" s="8">
        <f t="shared" ref="V6:V35" si="13">U6/1000000</f>
        <v>0</v>
      </c>
      <c r="W6" s="10">
        <f t="shared" ref="W6:W35" si="14">V6*3.07</f>
        <v>0</v>
      </c>
      <c r="X6" s="7">
        <f>'[10]Aug Prod'!D260</f>
        <v>372999.99999999756</v>
      </c>
      <c r="Y6" s="8">
        <f t="shared" ref="Y6:Y35" si="15">X6/1000000</f>
        <v>0.37299999999999756</v>
      </c>
      <c r="Z6" s="10">
        <f t="shared" ref="Z6:Z35" si="16">Y6*3.07</f>
        <v>1.1451099999999925</v>
      </c>
      <c r="AA6" s="15"/>
      <c r="AB6" s="7">
        <f t="shared" ref="AB6:AD35" si="17">B6+O6</f>
        <v>38915000.000000015</v>
      </c>
      <c r="AC6" s="8">
        <f t="shared" si="17"/>
        <v>38.915000000000013</v>
      </c>
      <c r="AD6" s="8">
        <f t="shared" si="17"/>
        <v>119.46905000000004</v>
      </c>
      <c r="AF6" s="8">
        <f t="shared" si="0"/>
        <v>-4.2188474935755949E-15</v>
      </c>
    </row>
    <row r="7" spans="1:32" x14ac:dyDescent="0.25">
      <c r="A7" s="27">
        <v>38567</v>
      </c>
      <c r="B7" s="7">
        <f>'[10]Aug Prod'!I6</f>
        <v>23399999.999999978</v>
      </c>
      <c r="C7" s="8">
        <f t="shared" si="1"/>
        <v>23.399999999999977</v>
      </c>
      <c r="D7" s="10">
        <f t="shared" si="2"/>
        <v>71.837999999999923</v>
      </c>
      <c r="E7" s="7">
        <f>'[10]Aug Prod'!E6</f>
        <v>13000000</v>
      </c>
      <c r="F7" s="8">
        <f t="shared" si="3"/>
        <v>13</v>
      </c>
      <c r="G7" s="10">
        <f t="shared" si="4"/>
        <v>39.909999999999997</v>
      </c>
      <c r="H7" s="7">
        <f>'[10]Aug Prod'!F6</f>
        <v>13040000</v>
      </c>
      <c r="I7" s="8">
        <f t="shared" si="5"/>
        <v>13.04</v>
      </c>
      <c r="J7" s="10">
        <f t="shared" si="6"/>
        <v>40.032799999999995</v>
      </c>
      <c r="K7" s="7">
        <f>'[10]Aug Prod'!H261</f>
        <v>2176206</v>
      </c>
      <c r="L7" s="8">
        <f t="shared" si="7"/>
        <v>2.1762060000000001</v>
      </c>
      <c r="M7" s="10">
        <f t="shared" si="8"/>
        <v>6.6809524199999997</v>
      </c>
      <c r="N7" s="21"/>
      <c r="O7" s="7">
        <f>'[10]Aug Prod'!H6</f>
        <v>14195999.999999996</v>
      </c>
      <c r="P7" s="8">
        <f t="shared" si="9"/>
        <v>14.195999999999996</v>
      </c>
      <c r="Q7" s="10">
        <f t="shared" si="10"/>
        <v>43.581719999999983</v>
      </c>
      <c r="R7" s="7">
        <f>'[10]Aug Prod'!C6</f>
        <v>14623000</v>
      </c>
      <c r="S7" s="8">
        <f t="shared" si="11"/>
        <v>14.622999999999999</v>
      </c>
      <c r="T7" s="10">
        <f t="shared" si="12"/>
        <v>44.892609999999998</v>
      </c>
      <c r="U7" s="7">
        <f>'[10]Aug Prod'!D6</f>
        <v>0</v>
      </c>
      <c r="V7" s="8">
        <f t="shared" si="13"/>
        <v>0</v>
      </c>
      <c r="W7" s="10">
        <f t="shared" si="14"/>
        <v>0</v>
      </c>
      <c r="X7" s="7">
        <f>'[10]Aug Prod'!D261</f>
        <v>427000.00000000314</v>
      </c>
      <c r="Y7" s="8">
        <f t="shared" si="15"/>
        <v>0.42700000000000315</v>
      </c>
      <c r="Z7" s="10">
        <f t="shared" si="16"/>
        <v>1.3108900000000097</v>
      </c>
      <c r="AA7" s="15"/>
      <c r="AB7" s="7">
        <f t="shared" si="17"/>
        <v>37595999.99999997</v>
      </c>
      <c r="AC7" s="8">
        <f t="shared" si="17"/>
        <v>37.595999999999975</v>
      </c>
      <c r="AD7" s="8">
        <f t="shared" si="17"/>
        <v>115.4197199999999</v>
      </c>
      <c r="AF7" s="8">
        <f t="shared" si="0"/>
        <v>5.1070259132757201E-15</v>
      </c>
    </row>
    <row r="8" spans="1:32" x14ac:dyDescent="0.25">
      <c r="A8" s="27">
        <v>38568</v>
      </c>
      <c r="B8" s="7">
        <f>'[10]Aug Prod'!I7</f>
        <v>23100000.000000022</v>
      </c>
      <c r="C8" s="8">
        <f t="shared" si="1"/>
        <v>23.100000000000023</v>
      </c>
      <c r="D8" s="10">
        <f t="shared" si="2"/>
        <v>70.917000000000073</v>
      </c>
      <c r="E8" s="7">
        <f>'[10]Aug Prod'!E7</f>
        <v>14000000</v>
      </c>
      <c r="F8" s="8">
        <f t="shared" si="3"/>
        <v>14</v>
      </c>
      <c r="G8" s="10">
        <f t="shared" si="4"/>
        <v>42.98</v>
      </c>
      <c r="H8" s="7">
        <f>'[10]Aug Prod'!F7</f>
        <v>12960000</v>
      </c>
      <c r="I8" s="8">
        <f t="shared" si="5"/>
        <v>12.96</v>
      </c>
      <c r="J8" s="10">
        <f t="shared" si="6"/>
        <v>39.787199999999999</v>
      </c>
      <c r="K8" s="7">
        <f>'[10]Aug Prod'!H262</f>
        <v>2185000</v>
      </c>
      <c r="L8" s="8">
        <f t="shared" si="7"/>
        <v>2.1850000000000001</v>
      </c>
      <c r="M8" s="10">
        <f t="shared" si="8"/>
        <v>6.7079499999999994</v>
      </c>
      <c r="N8" s="21"/>
      <c r="O8" s="7">
        <f>'[10]Aug Prod'!H7</f>
        <v>11710000</v>
      </c>
      <c r="P8" s="8">
        <f t="shared" si="9"/>
        <v>11.71</v>
      </c>
      <c r="Q8" s="10">
        <f t="shared" si="10"/>
        <v>35.9497</v>
      </c>
      <c r="R8" s="7">
        <f>'[10]Aug Prod'!C7</f>
        <v>12030000</v>
      </c>
      <c r="S8" s="8">
        <f t="shared" si="11"/>
        <v>12.03</v>
      </c>
      <c r="T8" s="10">
        <f t="shared" si="12"/>
        <v>36.932099999999998</v>
      </c>
      <c r="U8" s="7">
        <f>'[10]Aug Prod'!D7</f>
        <v>0</v>
      </c>
      <c r="V8" s="8">
        <f t="shared" si="13"/>
        <v>0</v>
      </c>
      <c r="W8" s="10">
        <f t="shared" si="14"/>
        <v>0</v>
      </c>
      <c r="X8" s="7">
        <f>'[10]Aug Prod'!D262</f>
        <v>320000.00000000029</v>
      </c>
      <c r="Y8" s="8">
        <f t="shared" si="15"/>
        <v>0.32000000000000028</v>
      </c>
      <c r="Z8" s="10">
        <f t="shared" si="16"/>
        <v>0.98240000000000083</v>
      </c>
      <c r="AA8" s="15"/>
      <c r="AB8" s="7">
        <f t="shared" si="17"/>
        <v>34810000.000000022</v>
      </c>
      <c r="AC8" s="8">
        <f t="shared" si="17"/>
        <v>34.810000000000024</v>
      </c>
      <c r="AD8" s="8">
        <f>D8+Q8</f>
        <v>106.86670000000007</v>
      </c>
      <c r="AF8" s="8">
        <f t="shared" si="0"/>
        <v>-2.4424906541753444E-15</v>
      </c>
    </row>
    <row r="9" spans="1:32" x14ac:dyDescent="0.25">
      <c r="A9" s="27">
        <v>38569</v>
      </c>
      <c r="B9" s="7">
        <f>'[10]Aug Prod'!I8</f>
        <v>22100000.000000022</v>
      </c>
      <c r="C9" s="8">
        <f t="shared" si="1"/>
        <v>22.100000000000023</v>
      </c>
      <c r="D9" s="10">
        <f t="shared" si="2"/>
        <v>67.847000000000065</v>
      </c>
      <c r="E9" s="7">
        <f>'[10]Aug Prod'!E8</f>
        <v>13000000</v>
      </c>
      <c r="F9" s="8">
        <f t="shared" si="3"/>
        <v>13</v>
      </c>
      <c r="G9" s="10">
        <f t="shared" si="4"/>
        <v>39.909999999999997</v>
      </c>
      <c r="H9" s="7">
        <f>'[10]Aug Prod'!F8</f>
        <v>13020000</v>
      </c>
      <c r="I9" s="8">
        <f t="shared" si="5"/>
        <v>13.02</v>
      </c>
      <c r="J9" s="10">
        <f t="shared" si="6"/>
        <v>39.971399999999996</v>
      </c>
      <c r="K9" s="7">
        <f>'[10]Aug Prod'!H263</f>
        <v>2186769</v>
      </c>
      <c r="L9" s="8">
        <f t="shared" si="7"/>
        <v>2.186769</v>
      </c>
      <c r="M9" s="10">
        <f t="shared" si="8"/>
        <v>6.7133808299999993</v>
      </c>
      <c r="N9" s="21"/>
      <c r="O9" s="7">
        <f>'[10]Aug Prod'!H8</f>
        <v>13849000.000000002</v>
      </c>
      <c r="P9" s="8">
        <f t="shared" si="9"/>
        <v>13.849000000000002</v>
      </c>
      <c r="Q9" s="10">
        <f t="shared" si="10"/>
        <v>42.516430000000007</v>
      </c>
      <c r="R9" s="7">
        <f>'[10]Aug Prod'!C8</f>
        <v>14045000</v>
      </c>
      <c r="S9" s="8">
        <f t="shared" si="11"/>
        <v>14.045</v>
      </c>
      <c r="T9" s="10">
        <f t="shared" si="12"/>
        <v>43.11815</v>
      </c>
      <c r="U9" s="7">
        <f>'[10]Aug Prod'!D8</f>
        <v>0</v>
      </c>
      <c r="V9" s="8">
        <f t="shared" si="13"/>
        <v>0</v>
      </c>
      <c r="W9" s="10">
        <f t="shared" si="14"/>
        <v>0</v>
      </c>
      <c r="X9" s="7">
        <f>'[10]Aug Prod'!D263</f>
        <v>195999.99999999796</v>
      </c>
      <c r="Y9" s="8">
        <f t="shared" si="15"/>
        <v>0.19599999999999795</v>
      </c>
      <c r="Z9" s="10">
        <f t="shared" si="16"/>
        <v>0.6017199999999937</v>
      </c>
      <c r="AA9" s="15"/>
      <c r="AB9" s="7">
        <f t="shared" si="17"/>
        <v>35949000.000000022</v>
      </c>
      <c r="AC9" s="8">
        <f t="shared" si="17"/>
        <v>35.949000000000026</v>
      </c>
      <c r="AD9" s="8">
        <f t="shared" si="17"/>
        <v>110.36343000000008</v>
      </c>
      <c r="AF9" s="8">
        <f t="shared" si="0"/>
        <v>0</v>
      </c>
    </row>
    <row r="10" spans="1:32" x14ac:dyDescent="0.25">
      <c r="A10" s="27">
        <v>38570</v>
      </c>
      <c r="B10" s="7">
        <f>'[10]Aug Prod'!I9</f>
        <v>24099999.999999966</v>
      </c>
      <c r="C10" s="8">
        <f t="shared" si="1"/>
        <v>24.099999999999966</v>
      </c>
      <c r="D10" s="10">
        <f t="shared" si="2"/>
        <v>73.986999999999895</v>
      </c>
      <c r="E10" s="7">
        <f>'[10]Aug Prod'!E9</f>
        <v>13000000</v>
      </c>
      <c r="F10" s="8">
        <f t="shared" si="3"/>
        <v>13</v>
      </c>
      <c r="G10" s="10">
        <f t="shared" si="4"/>
        <v>39.909999999999997</v>
      </c>
      <c r="H10" s="7">
        <f>'[10]Aug Prod'!F9</f>
        <v>13650000</v>
      </c>
      <c r="I10" s="8">
        <f t="shared" si="5"/>
        <v>13.65</v>
      </c>
      <c r="J10" s="10">
        <f t="shared" si="6"/>
        <v>41.905499999999996</v>
      </c>
      <c r="K10" s="7">
        <f>'[10]Aug Prod'!H264</f>
        <v>2245342</v>
      </c>
      <c r="L10" s="8">
        <f t="shared" si="7"/>
        <v>2.2453419999999999</v>
      </c>
      <c r="M10" s="10">
        <f t="shared" si="8"/>
        <v>6.8931999399999997</v>
      </c>
      <c r="N10" s="21"/>
      <c r="O10" s="7">
        <f>'[10]Aug Prod'!H9</f>
        <v>13725999.999999998</v>
      </c>
      <c r="P10" s="8">
        <f t="shared" si="9"/>
        <v>13.725999999999997</v>
      </c>
      <c r="Q10" s="10">
        <f t="shared" si="10"/>
        <v>42.138819999999988</v>
      </c>
      <c r="R10" s="7">
        <f>'[10]Aug Prod'!C9</f>
        <v>14045000</v>
      </c>
      <c r="S10" s="8">
        <f t="shared" si="11"/>
        <v>14.045</v>
      </c>
      <c r="T10" s="10">
        <f t="shared" si="12"/>
        <v>43.11815</v>
      </c>
      <c r="U10" s="7">
        <f>'[10]Aug Prod'!D9</f>
        <v>0</v>
      </c>
      <c r="V10" s="8">
        <f t="shared" si="13"/>
        <v>0</v>
      </c>
      <c r="W10" s="10">
        <f t="shared" si="14"/>
        <v>0</v>
      </c>
      <c r="X10" s="7">
        <f>'[10]Aug Prod'!D264</f>
        <v>319000.00000000262</v>
      </c>
      <c r="Y10" s="8">
        <f t="shared" si="15"/>
        <v>0.31900000000000261</v>
      </c>
      <c r="Z10" s="10">
        <f t="shared" si="16"/>
        <v>0.97933000000000803</v>
      </c>
      <c r="AA10" s="15"/>
      <c r="AB10" s="7">
        <f t="shared" si="17"/>
        <v>37825999.999999963</v>
      </c>
      <c r="AC10" s="8">
        <f t="shared" si="17"/>
        <v>37.825999999999965</v>
      </c>
      <c r="AD10" s="8">
        <f t="shared" si="17"/>
        <v>116.12581999999989</v>
      </c>
      <c r="AF10" s="8">
        <f t="shared" si="0"/>
        <v>3.5527136788005009E-15</v>
      </c>
    </row>
    <row r="11" spans="1:32" x14ac:dyDescent="0.25">
      <c r="A11" s="27">
        <v>38571</v>
      </c>
      <c r="B11" s="7">
        <f>'[10]Aug Prod'!I10</f>
        <v>24000000</v>
      </c>
      <c r="C11" s="8">
        <f t="shared" si="1"/>
        <v>24</v>
      </c>
      <c r="D11" s="10">
        <f t="shared" si="2"/>
        <v>73.679999999999993</v>
      </c>
      <c r="E11" s="7">
        <f>'[10]Aug Prod'!E10</f>
        <v>14000000</v>
      </c>
      <c r="F11" s="8">
        <f t="shared" si="3"/>
        <v>14</v>
      </c>
      <c r="G11" s="10">
        <f t="shared" si="4"/>
        <v>42.98</v>
      </c>
      <c r="H11" s="7">
        <f>'[10]Aug Prod'!F10</f>
        <v>13570000</v>
      </c>
      <c r="I11" s="8">
        <f t="shared" si="5"/>
        <v>13.57</v>
      </c>
      <c r="J11" s="10">
        <f t="shared" si="6"/>
        <v>41.6599</v>
      </c>
      <c r="K11" s="7">
        <f>'[10]Aug Prod'!H265</f>
        <v>2178787</v>
      </c>
      <c r="L11" s="8">
        <f t="shared" si="7"/>
        <v>2.1787869999999998</v>
      </c>
      <c r="M11" s="10">
        <f t="shared" si="8"/>
        <v>6.6888760899999991</v>
      </c>
      <c r="N11" s="21"/>
      <c r="O11" s="7">
        <f>'[10]Aug Prod'!H10</f>
        <v>13355000.000000002</v>
      </c>
      <c r="P11" s="8">
        <f t="shared" si="9"/>
        <v>13.355000000000002</v>
      </c>
      <c r="Q11" s="10">
        <f t="shared" si="10"/>
        <v>40.999850000000002</v>
      </c>
      <c r="R11" s="7">
        <f>'[10]Aug Prod'!C10</f>
        <v>13612000</v>
      </c>
      <c r="S11" s="8">
        <f t="shared" si="11"/>
        <v>13.612</v>
      </c>
      <c r="T11" s="10">
        <f t="shared" si="12"/>
        <v>41.78884</v>
      </c>
      <c r="U11" s="7">
        <f>'[10]Aug Prod'!D10</f>
        <v>0</v>
      </c>
      <c r="V11" s="8">
        <f t="shared" si="13"/>
        <v>0</v>
      </c>
      <c r="W11" s="10">
        <f t="shared" si="14"/>
        <v>0</v>
      </c>
      <c r="X11" s="7">
        <f>'[10]Aug Prod'!D265</f>
        <v>256999.9999999979</v>
      </c>
      <c r="Y11" s="8">
        <f t="shared" si="15"/>
        <v>0.2569999999999979</v>
      </c>
      <c r="Z11" s="10">
        <f t="shared" si="16"/>
        <v>0.78898999999999353</v>
      </c>
      <c r="AA11" s="15"/>
      <c r="AB11" s="7">
        <f t="shared" si="17"/>
        <v>37355000</v>
      </c>
      <c r="AC11" s="8">
        <f t="shared" si="17"/>
        <v>37.355000000000004</v>
      </c>
      <c r="AD11" s="8">
        <f t="shared" si="17"/>
        <v>114.67984999999999</v>
      </c>
      <c r="AF11" s="8">
        <f t="shared" si="0"/>
        <v>4.7739590058881731E-15</v>
      </c>
    </row>
    <row r="12" spans="1:32" x14ac:dyDescent="0.25">
      <c r="A12" s="27">
        <v>38572</v>
      </c>
      <c r="B12" s="7">
        <f>'[10]Aug Prod'!I11</f>
        <v>22800000.000000011</v>
      </c>
      <c r="C12" s="8">
        <f t="shared" si="1"/>
        <v>22.800000000000011</v>
      </c>
      <c r="D12" s="10">
        <f t="shared" si="2"/>
        <v>69.996000000000038</v>
      </c>
      <c r="E12" s="7">
        <f>'[10]Aug Prod'!E11</f>
        <v>13000000</v>
      </c>
      <c r="F12" s="8">
        <f t="shared" si="3"/>
        <v>13</v>
      </c>
      <c r="G12" s="10">
        <f t="shared" si="4"/>
        <v>39.909999999999997</v>
      </c>
      <c r="H12" s="7">
        <f>'[10]Aug Prod'!F11</f>
        <v>13240000</v>
      </c>
      <c r="I12" s="8">
        <f t="shared" si="5"/>
        <v>13.24</v>
      </c>
      <c r="J12" s="10">
        <f t="shared" si="6"/>
        <v>40.646799999999999</v>
      </c>
      <c r="K12" s="7">
        <f>'[10]Aug Prod'!H266</f>
        <v>2380360</v>
      </c>
      <c r="L12" s="8">
        <f t="shared" si="7"/>
        <v>2.38036</v>
      </c>
      <c r="M12" s="10">
        <f t="shared" si="8"/>
        <v>7.3077052</v>
      </c>
      <c r="N12" s="21"/>
      <c r="O12" s="7">
        <f>'[10]Aug Prod'!H11</f>
        <v>13303000.000000004</v>
      </c>
      <c r="P12" s="8">
        <f t="shared" si="9"/>
        <v>13.303000000000004</v>
      </c>
      <c r="Q12" s="10">
        <f t="shared" si="10"/>
        <v>40.840210000000013</v>
      </c>
      <c r="R12" s="7">
        <f>'[10]Aug Prod'!C11</f>
        <v>13561000</v>
      </c>
      <c r="S12" s="8">
        <f t="shared" si="11"/>
        <v>13.561</v>
      </c>
      <c r="T12" s="10">
        <f t="shared" si="12"/>
        <v>41.632269999999998</v>
      </c>
      <c r="U12" s="7">
        <f>'[10]Aug Prod'!D11</f>
        <v>0</v>
      </c>
      <c r="V12" s="8">
        <f t="shared" si="13"/>
        <v>0</v>
      </c>
      <c r="W12" s="10">
        <f t="shared" si="14"/>
        <v>0</v>
      </c>
      <c r="X12" s="7">
        <f>'[10]Aug Prod'!D266</f>
        <v>257999.99999999558</v>
      </c>
      <c r="Y12" s="8">
        <f t="shared" si="15"/>
        <v>0.25799999999999557</v>
      </c>
      <c r="Z12" s="10">
        <f t="shared" si="16"/>
        <v>0.79205999999998633</v>
      </c>
      <c r="AA12" s="15"/>
      <c r="AB12" s="7">
        <f t="shared" si="17"/>
        <v>36103000.000000015</v>
      </c>
      <c r="AC12" s="8">
        <f t="shared" si="17"/>
        <v>36.103000000000016</v>
      </c>
      <c r="AD12" s="8">
        <f t="shared" si="17"/>
        <v>110.83621000000005</v>
      </c>
      <c r="AF12" s="8">
        <f t="shared" si="0"/>
        <v>-1.2212453270876722E-15</v>
      </c>
    </row>
    <row r="13" spans="1:32" x14ac:dyDescent="0.25">
      <c r="A13" s="27">
        <v>38573</v>
      </c>
      <c r="B13" s="7">
        <f>'[10]Aug Prod'!I12</f>
        <v>24799999.999999955</v>
      </c>
      <c r="C13" s="8">
        <f t="shared" si="1"/>
        <v>24.799999999999955</v>
      </c>
      <c r="D13" s="10">
        <f t="shared" si="2"/>
        <v>76.135999999999854</v>
      </c>
      <c r="E13" s="7">
        <f>'[10]Aug Prod'!E12</f>
        <v>14000000</v>
      </c>
      <c r="F13" s="8">
        <f t="shared" si="3"/>
        <v>14</v>
      </c>
      <c r="G13" s="10">
        <f t="shared" si="4"/>
        <v>42.98</v>
      </c>
      <c r="H13" s="7">
        <f>'[10]Aug Prod'!F12</f>
        <v>14180000</v>
      </c>
      <c r="I13" s="8">
        <f t="shared" si="5"/>
        <v>14.18</v>
      </c>
      <c r="J13" s="10">
        <f t="shared" si="6"/>
        <v>43.532599999999995</v>
      </c>
      <c r="K13" s="7">
        <f>'[10]Aug Prod'!H267</f>
        <v>2313931</v>
      </c>
      <c r="L13" s="8">
        <f t="shared" si="7"/>
        <v>2.3139310000000002</v>
      </c>
      <c r="M13" s="10">
        <f t="shared" si="8"/>
        <v>7.1037681700000004</v>
      </c>
      <c r="N13" s="21"/>
      <c r="O13" s="7">
        <f>'[10]Aug Prod'!H12</f>
        <v>12112999.999999998</v>
      </c>
      <c r="P13" s="8">
        <f t="shared" si="9"/>
        <v>12.112999999999998</v>
      </c>
      <c r="Q13" s="10">
        <f t="shared" si="10"/>
        <v>37.18690999999999</v>
      </c>
      <c r="R13" s="7">
        <f>'[10]Aug Prod'!C12</f>
        <v>12371000</v>
      </c>
      <c r="S13" s="8">
        <f t="shared" si="11"/>
        <v>12.371</v>
      </c>
      <c r="T13" s="10">
        <f t="shared" si="12"/>
        <v>37.978969999999997</v>
      </c>
      <c r="U13" s="7">
        <f>'[10]Aug Prod'!D12</f>
        <v>0</v>
      </c>
      <c r="V13" s="8">
        <f t="shared" si="13"/>
        <v>0</v>
      </c>
      <c r="W13" s="10">
        <f t="shared" si="14"/>
        <v>0</v>
      </c>
      <c r="X13" s="7">
        <f>'[10]Aug Prod'!D267</f>
        <v>258000.00000000268</v>
      </c>
      <c r="Y13" s="8">
        <f t="shared" si="15"/>
        <v>0.25800000000000267</v>
      </c>
      <c r="Z13" s="10">
        <f t="shared" si="16"/>
        <v>0.7920600000000082</v>
      </c>
      <c r="AA13" s="15"/>
      <c r="AB13" s="7">
        <f t="shared" si="17"/>
        <v>36912999.999999955</v>
      </c>
      <c r="AC13" s="8">
        <f t="shared" si="17"/>
        <v>36.912999999999954</v>
      </c>
      <c r="AD13" s="8">
        <f t="shared" si="17"/>
        <v>113.32290999999984</v>
      </c>
      <c r="AF13" s="8">
        <f t="shared" si="0"/>
        <v>-1.7763568394002505E-15</v>
      </c>
    </row>
    <row r="14" spans="1:32" x14ac:dyDescent="0.25">
      <c r="A14" s="27">
        <v>38574</v>
      </c>
      <c r="B14" s="7">
        <f>'[10]Aug Prod'!I13</f>
        <v>25700000.000000045</v>
      </c>
      <c r="C14" s="8">
        <f t="shared" si="1"/>
        <v>25.700000000000045</v>
      </c>
      <c r="D14" s="10">
        <f t="shared" si="2"/>
        <v>78.899000000000129</v>
      </c>
      <c r="E14" s="7">
        <f>'[10]Aug Prod'!E13</f>
        <v>15000000</v>
      </c>
      <c r="F14" s="8">
        <f t="shared" si="3"/>
        <v>15</v>
      </c>
      <c r="G14" s="10">
        <f t="shared" si="4"/>
        <v>46.05</v>
      </c>
      <c r="H14" s="7">
        <f>'[10]Aug Prod'!F13</f>
        <v>14200000.000000002</v>
      </c>
      <c r="I14" s="8">
        <f t="shared" si="5"/>
        <v>14.200000000000001</v>
      </c>
      <c r="J14" s="10">
        <f t="shared" si="6"/>
        <v>43.594000000000001</v>
      </c>
      <c r="K14" s="7">
        <f>'[10]Aug Prod'!H268</f>
        <v>2239652</v>
      </c>
      <c r="L14" s="8">
        <f t="shared" si="7"/>
        <v>2.239652</v>
      </c>
      <c r="M14" s="10">
        <f t="shared" si="8"/>
        <v>6.8757316399999997</v>
      </c>
      <c r="N14" s="21"/>
      <c r="O14" s="7">
        <f>'[10]Aug Prod'!H13</f>
        <v>13328999.999999996</v>
      </c>
      <c r="P14" s="8">
        <f t="shared" si="9"/>
        <v>13.328999999999997</v>
      </c>
      <c r="Q14" s="10">
        <f t="shared" si="10"/>
        <v>40.92002999999999</v>
      </c>
      <c r="R14" s="7">
        <f>'[10]Aug Prod'!C13</f>
        <v>13654000</v>
      </c>
      <c r="S14" s="8">
        <f t="shared" si="11"/>
        <v>13.654</v>
      </c>
      <c r="T14" s="10">
        <f t="shared" si="12"/>
        <v>41.91778</v>
      </c>
      <c r="U14" s="7">
        <f>'[10]Aug Prod'!D13</f>
        <v>0</v>
      </c>
      <c r="V14" s="8">
        <f t="shared" si="13"/>
        <v>0</v>
      </c>
      <c r="W14" s="10">
        <f t="shared" si="14"/>
        <v>0</v>
      </c>
      <c r="X14" s="7">
        <f>'[10]Aug Prod'!D268</f>
        <v>325000.00000000285</v>
      </c>
      <c r="Y14" s="8">
        <f t="shared" si="15"/>
        <v>0.32500000000000284</v>
      </c>
      <c r="Z14" s="10">
        <f t="shared" si="16"/>
        <v>0.99775000000000869</v>
      </c>
      <c r="AA14" s="15"/>
      <c r="AB14" s="7">
        <f t="shared" si="17"/>
        <v>39029000.000000045</v>
      </c>
      <c r="AC14" s="8">
        <f t="shared" si="17"/>
        <v>39.029000000000039</v>
      </c>
      <c r="AD14" s="8">
        <f t="shared" si="17"/>
        <v>119.81903000000011</v>
      </c>
      <c r="AF14" s="8">
        <f t="shared" si="0"/>
        <v>1.8873791418627661E-15</v>
      </c>
    </row>
    <row r="15" spans="1:32" x14ac:dyDescent="0.25">
      <c r="A15" s="27">
        <v>38575</v>
      </c>
      <c r="B15" s="7">
        <f>'[10]Aug Prod'!I14</f>
        <v>23799999.999999955</v>
      </c>
      <c r="C15" s="8">
        <f t="shared" si="1"/>
        <v>23.799999999999955</v>
      </c>
      <c r="D15" s="10">
        <f t="shared" si="2"/>
        <v>73.06599999999986</v>
      </c>
      <c r="E15" s="7">
        <f>'[10]Aug Prod'!E14</f>
        <v>14000000</v>
      </c>
      <c r="F15" s="8">
        <f t="shared" si="3"/>
        <v>14</v>
      </c>
      <c r="G15" s="10">
        <f t="shared" si="4"/>
        <v>42.98</v>
      </c>
      <c r="H15" s="7">
        <f>'[10]Aug Prod'!F14</f>
        <v>13830000</v>
      </c>
      <c r="I15" s="8">
        <f t="shared" si="5"/>
        <v>13.83</v>
      </c>
      <c r="J15" s="10">
        <f t="shared" si="6"/>
        <v>42.458099999999995</v>
      </c>
      <c r="K15" s="7">
        <f>'[10]Aug Prod'!H269</f>
        <v>2271614</v>
      </c>
      <c r="L15" s="8">
        <f t="shared" si="7"/>
        <v>2.271614</v>
      </c>
      <c r="M15" s="10">
        <f t="shared" si="8"/>
        <v>6.9738549799999996</v>
      </c>
      <c r="N15" s="21"/>
      <c r="O15" s="7">
        <f>'[10]Aug Prod'!H14</f>
        <v>14254000.000000002</v>
      </c>
      <c r="P15" s="8">
        <f t="shared" si="9"/>
        <v>14.254000000000001</v>
      </c>
      <c r="Q15" s="10">
        <f t="shared" si="10"/>
        <v>43.759779999999999</v>
      </c>
      <c r="R15" s="7">
        <f>'[10]Aug Prod'!C14</f>
        <v>14642000</v>
      </c>
      <c r="S15" s="8">
        <f t="shared" si="11"/>
        <v>14.641999999999999</v>
      </c>
      <c r="T15" s="10">
        <f t="shared" si="12"/>
        <v>44.950939999999996</v>
      </c>
      <c r="U15" s="7">
        <f>'[10]Aug Prod'!D14</f>
        <v>0</v>
      </c>
      <c r="V15" s="8">
        <f t="shared" si="13"/>
        <v>0</v>
      </c>
      <c r="W15" s="10">
        <f t="shared" si="14"/>
        <v>0</v>
      </c>
      <c r="X15" s="7">
        <f>'[10]Aug Prod'!D269</f>
        <v>387999.99999999814</v>
      </c>
      <c r="Y15" s="8">
        <f t="shared" si="15"/>
        <v>0.38799999999999812</v>
      </c>
      <c r="Z15" s="10">
        <f t="shared" si="16"/>
        <v>1.1911599999999942</v>
      </c>
      <c r="AA15" s="15"/>
      <c r="AB15" s="7">
        <f t="shared" si="17"/>
        <v>38053999.999999955</v>
      </c>
      <c r="AC15" s="8">
        <f t="shared" si="17"/>
        <v>38.053999999999959</v>
      </c>
      <c r="AD15" s="8">
        <f t="shared" si="17"/>
        <v>116.82577999999987</v>
      </c>
      <c r="AF15" s="8">
        <f>T15-Q15-Z15</f>
        <v>2.2204460492503131E-15</v>
      </c>
    </row>
    <row r="16" spans="1:32" x14ac:dyDescent="0.25">
      <c r="A16" s="27">
        <v>38576</v>
      </c>
      <c r="B16" s="7">
        <f>'[10]Aug Prod'!I15</f>
        <v>21600000.000000022</v>
      </c>
      <c r="C16" s="8">
        <f t="shared" si="1"/>
        <v>21.600000000000023</v>
      </c>
      <c r="D16" s="10">
        <f t="shared" si="2"/>
        <v>66.312000000000069</v>
      </c>
      <c r="E16" s="7">
        <f>'[10]Aug Prod'!E15</f>
        <v>12000000</v>
      </c>
      <c r="F16" s="8">
        <f t="shared" si="3"/>
        <v>12</v>
      </c>
      <c r="G16" s="10">
        <f t="shared" si="4"/>
        <v>36.839999999999996</v>
      </c>
      <c r="H16" s="7">
        <f>'[10]Aug Prod'!F15</f>
        <v>12620000.000000002</v>
      </c>
      <c r="I16" s="8">
        <f t="shared" si="5"/>
        <v>12.620000000000001</v>
      </c>
      <c r="J16" s="10">
        <f t="shared" si="6"/>
        <v>38.743400000000001</v>
      </c>
      <c r="K16" s="7">
        <f>'[10]Aug Prod'!H270</f>
        <v>2042579</v>
      </c>
      <c r="L16" s="8">
        <f t="shared" si="7"/>
        <v>2.0425789999999999</v>
      </c>
      <c r="M16" s="10">
        <f t="shared" si="8"/>
        <v>6.2707175299999998</v>
      </c>
      <c r="N16" s="21"/>
      <c r="O16" s="7">
        <f>'[10]Aug Prod'!H15</f>
        <v>13012000</v>
      </c>
      <c r="P16" s="8">
        <f t="shared" si="9"/>
        <v>13.012</v>
      </c>
      <c r="Q16" s="10">
        <f t="shared" si="10"/>
        <v>39.946840000000002</v>
      </c>
      <c r="R16" s="7">
        <f>'[10]Aug Prod'!C15</f>
        <v>13207000</v>
      </c>
      <c r="S16" s="8">
        <f t="shared" si="11"/>
        <v>13.207000000000001</v>
      </c>
      <c r="T16" s="10">
        <f t="shared" si="12"/>
        <v>40.545490000000001</v>
      </c>
      <c r="U16" s="7">
        <f>'[10]Aug Prod'!D15</f>
        <v>0</v>
      </c>
      <c r="V16" s="8">
        <f t="shared" si="13"/>
        <v>0</v>
      </c>
      <c r="W16" s="10">
        <f t="shared" si="14"/>
        <v>0</v>
      </c>
      <c r="X16" s="7">
        <f>'[10]Aug Prod'!D270</f>
        <v>195000.00000000029</v>
      </c>
      <c r="Y16" s="8">
        <f t="shared" si="15"/>
        <v>0.19500000000000028</v>
      </c>
      <c r="Z16" s="10">
        <f t="shared" si="16"/>
        <v>0.59865000000000079</v>
      </c>
      <c r="AA16" s="15"/>
      <c r="AB16" s="7">
        <f t="shared" si="17"/>
        <v>34612000.000000022</v>
      </c>
      <c r="AC16" s="8">
        <f t="shared" si="17"/>
        <v>34.612000000000023</v>
      </c>
      <c r="AD16" s="8">
        <f t="shared" si="17"/>
        <v>106.25884000000008</v>
      </c>
      <c r="AF16" s="8">
        <f>T16-Q16-Z16</f>
        <v>-1.5543122344752192E-15</v>
      </c>
    </row>
    <row r="17" spans="1:32" x14ac:dyDescent="0.25">
      <c r="A17" s="27">
        <v>38577</v>
      </c>
      <c r="B17" s="7">
        <f>'[10]Aug Prod'!I16</f>
        <v>26700000.000000045</v>
      </c>
      <c r="C17" s="8">
        <f t="shared" si="1"/>
        <v>26.700000000000045</v>
      </c>
      <c r="D17" s="10">
        <f t="shared" si="2"/>
        <v>81.969000000000136</v>
      </c>
      <c r="E17" s="7">
        <f>'[10]Aug Prod'!E16</f>
        <v>16000000</v>
      </c>
      <c r="F17" s="8">
        <f t="shared" si="3"/>
        <v>16</v>
      </c>
      <c r="G17" s="10">
        <f t="shared" si="4"/>
        <v>49.12</v>
      </c>
      <c r="H17" s="7">
        <f>'[10]Aug Prod'!F16</f>
        <v>15130000</v>
      </c>
      <c r="I17" s="8">
        <f t="shared" si="5"/>
        <v>15.13</v>
      </c>
      <c r="J17" s="10">
        <f t="shared" si="6"/>
        <v>46.449100000000001</v>
      </c>
      <c r="K17" s="7">
        <f>'[10]Aug Prod'!H271</f>
        <v>2479672</v>
      </c>
      <c r="L17" s="8">
        <f t="shared" si="7"/>
        <v>2.4796719999999999</v>
      </c>
      <c r="M17" s="10">
        <f t="shared" si="8"/>
        <v>7.6125930399999993</v>
      </c>
      <c r="N17" s="21"/>
      <c r="O17" s="7">
        <f>'[10]Aug Prod'!H16</f>
        <v>13270999.999999998</v>
      </c>
      <c r="P17" s="8">
        <f t="shared" si="9"/>
        <v>13.270999999999999</v>
      </c>
      <c r="Q17" s="10">
        <f t="shared" si="10"/>
        <v>40.741969999999995</v>
      </c>
      <c r="R17" s="7">
        <f>'[10]Aug Prod'!C16</f>
        <v>13465000</v>
      </c>
      <c r="S17" s="8">
        <f t="shared" si="11"/>
        <v>13.465</v>
      </c>
      <c r="T17" s="10">
        <f t="shared" si="12"/>
        <v>41.33755</v>
      </c>
      <c r="U17" s="7">
        <f>'[10]Aug Prod'!D16</f>
        <v>0</v>
      </c>
      <c r="V17" s="8">
        <f t="shared" si="13"/>
        <v>0</v>
      </c>
      <c r="W17" s="10">
        <f t="shared" si="14"/>
        <v>0</v>
      </c>
      <c r="X17" s="7">
        <f>'[10]Aug Prod'!D271</f>
        <v>194000.00000000262</v>
      </c>
      <c r="Y17" s="8">
        <f t="shared" si="15"/>
        <v>0.19400000000000261</v>
      </c>
      <c r="Z17" s="10">
        <f t="shared" si="16"/>
        <v>0.59558000000000799</v>
      </c>
      <c r="AA17" s="15"/>
      <c r="AB17" s="7">
        <f t="shared" si="17"/>
        <v>39971000.000000045</v>
      </c>
      <c r="AC17" s="8">
        <f t="shared" si="17"/>
        <v>39.971000000000046</v>
      </c>
      <c r="AD17" s="8">
        <f t="shared" si="17"/>
        <v>122.71097000000013</v>
      </c>
      <c r="AF17" s="8">
        <f>T17-Q17-Z17</f>
        <v>-2.6645352591003757E-15</v>
      </c>
    </row>
    <row r="18" spans="1:32" x14ac:dyDescent="0.25">
      <c r="A18" s="27">
        <v>38578</v>
      </c>
      <c r="B18" s="7">
        <f>'[10]Aug Prod'!I17</f>
        <v>25500000</v>
      </c>
      <c r="C18" s="8">
        <f t="shared" si="1"/>
        <v>25.5</v>
      </c>
      <c r="D18" s="10">
        <f t="shared" si="2"/>
        <v>78.284999999999997</v>
      </c>
      <c r="E18" s="7">
        <f>'[10]Aug Prod'!E17</f>
        <v>14000000</v>
      </c>
      <c r="F18" s="8">
        <f t="shared" si="3"/>
        <v>14</v>
      </c>
      <c r="G18" s="10">
        <f t="shared" si="4"/>
        <v>42.98</v>
      </c>
      <c r="H18" s="7">
        <f>'[10]Aug Prod'!F17</f>
        <v>14510000</v>
      </c>
      <c r="I18" s="8">
        <f t="shared" si="5"/>
        <v>14.51</v>
      </c>
      <c r="J18" s="10">
        <f t="shared" si="6"/>
        <v>44.545699999999997</v>
      </c>
      <c r="K18" s="7">
        <f>'[10]Aug Prod'!H272</f>
        <v>2313519</v>
      </c>
      <c r="L18" s="8">
        <f t="shared" si="7"/>
        <v>2.3135189999999999</v>
      </c>
      <c r="M18" s="10">
        <f t="shared" si="8"/>
        <v>7.1025033299999993</v>
      </c>
      <c r="N18" s="21"/>
      <c r="O18" s="7">
        <f>'[10]Aug Prod'!H17</f>
        <v>13235000.000000002</v>
      </c>
      <c r="P18" s="8">
        <f t="shared" si="9"/>
        <v>13.235000000000001</v>
      </c>
      <c r="Q18" s="10">
        <f t="shared" si="10"/>
        <v>40.631450000000001</v>
      </c>
      <c r="R18" s="7">
        <f>'[10]Aug Prod'!C17</f>
        <v>13559000</v>
      </c>
      <c r="S18" s="8">
        <f t="shared" si="11"/>
        <v>13.558999999999999</v>
      </c>
      <c r="T18" s="10">
        <f t="shared" si="12"/>
        <v>41.626129999999996</v>
      </c>
      <c r="U18" s="7">
        <f>'[10]Aug Prod'!D17</f>
        <v>0</v>
      </c>
      <c r="V18" s="8">
        <f t="shared" si="13"/>
        <v>0</v>
      </c>
      <c r="W18" s="10">
        <f t="shared" si="14"/>
        <v>0</v>
      </c>
      <c r="X18" s="7">
        <f>'[10]Aug Prod'!D272</f>
        <v>323999.99999999808</v>
      </c>
      <c r="Y18" s="8">
        <f t="shared" si="15"/>
        <v>0.32399999999999807</v>
      </c>
      <c r="Z18" s="10">
        <f t="shared" si="16"/>
        <v>0.99467999999999401</v>
      </c>
      <c r="AA18" s="15"/>
      <c r="AB18" s="7">
        <f t="shared" si="17"/>
        <v>38735000</v>
      </c>
      <c r="AC18" s="8">
        <f t="shared" si="17"/>
        <v>38.734999999999999</v>
      </c>
      <c r="AD18" s="8">
        <f t="shared" si="17"/>
        <v>118.91645</v>
      </c>
      <c r="AF18" s="8">
        <f>T18-Q18-Z18</f>
        <v>1.3322676295501878E-15</v>
      </c>
    </row>
    <row r="19" spans="1:32" x14ac:dyDescent="0.25">
      <c r="A19" s="27">
        <v>38579</v>
      </c>
      <c r="B19" s="7">
        <f>'[10]Aug Prod'!I18</f>
        <v>27699999.999999933</v>
      </c>
      <c r="C19" s="8">
        <f t="shared" si="1"/>
        <v>27.699999999999932</v>
      </c>
      <c r="D19" s="10">
        <f t="shared" si="2"/>
        <v>85.038999999999788</v>
      </c>
      <c r="E19" s="7">
        <f>'[10]Aug Prod'!E18</f>
        <v>16000000</v>
      </c>
      <c r="F19" s="8">
        <f t="shared" si="3"/>
        <v>16</v>
      </c>
      <c r="G19" s="10">
        <f t="shared" si="4"/>
        <v>49.12</v>
      </c>
      <c r="H19" s="7">
        <f>'[10]Aug Prod'!F18</f>
        <v>15480000</v>
      </c>
      <c r="I19" s="8">
        <f t="shared" si="5"/>
        <v>15.48</v>
      </c>
      <c r="J19" s="10">
        <f t="shared" si="6"/>
        <v>47.523600000000002</v>
      </c>
      <c r="K19" s="7">
        <f>'[10]Aug Prod'!H273</f>
        <v>2559661</v>
      </c>
      <c r="L19" s="8">
        <f t="shared" si="7"/>
        <v>2.5596610000000002</v>
      </c>
      <c r="M19" s="10">
        <f t="shared" si="8"/>
        <v>7.8581592699999998</v>
      </c>
      <c r="N19" s="21"/>
      <c r="O19" s="7">
        <f>'[10]Aug Prod'!H18</f>
        <v>13754000.000000004</v>
      </c>
      <c r="P19" s="8">
        <f t="shared" si="9"/>
        <v>13.754000000000003</v>
      </c>
      <c r="Q19" s="10">
        <f t="shared" si="10"/>
        <v>42.22478000000001</v>
      </c>
      <c r="R19" s="7">
        <f>'[10]Aug Prod'!C18</f>
        <v>14079000</v>
      </c>
      <c r="S19" s="8">
        <f t="shared" si="11"/>
        <v>14.079000000000001</v>
      </c>
      <c r="T19" s="10">
        <f t="shared" si="12"/>
        <v>43.222529999999999</v>
      </c>
      <c r="U19" s="7">
        <f>'[10]Aug Prod'!D18</f>
        <v>0</v>
      </c>
      <c r="V19" s="8">
        <f t="shared" si="13"/>
        <v>0</v>
      </c>
      <c r="W19" s="10">
        <f t="shared" si="14"/>
        <v>0</v>
      </c>
      <c r="X19" s="7">
        <f>'[10]Aug Prod'!D273</f>
        <v>324999.99999999575</v>
      </c>
      <c r="Y19" s="8">
        <f t="shared" si="15"/>
        <v>0.32499999999999574</v>
      </c>
      <c r="Z19" s="10">
        <f t="shared" si="16"/>
        <v>0.99774999999998681</v>
      </c>
      <c r="AA19" s="15"/>
      <c r="AB19" s="7">
        <f t="shared" si="17"/>
        <v>41453999.99999994</v>
      </c>
      <c r="AC19" s="8">
        <f t="shared" si="17"/>
        <v>41.453999999999937</v>
      </c>
      <c r="AD19" s="8">
        <f>D19+Q19</f>
        <v>127.2637799999998</v>
      </c>
      <c r="AF19" s="8">
        <f>T19-Q19-Z19</f>
        <v>2.4424906541753444E-15</v>
      </c>
    </row>
    <row r="20" spans="1:32" x14ac:dyDescent="0.25">
      <c r="A20" s="27">
        <v>38580</v>
      </c>
      <c r="B20" s="7">
        <f>'[10]Aug Prod'!I19</f>
        <v>24100000.000000022</v>
      </c>
      <c r="C20" s="8">
        <f t="shared" si="1"/>
        <v>24.100000000000023</v>
      </c>
      <c r="D20" s="10">
        <f t="shared" si="2"/>
        <v>73.987000000000066</v>
      </c>
      <c r="E20" s="7">
        <f>'[10]Aug Prod'!E19</f>
        <v>20000000</v>
      </c>
      <c r="F20" s="8">
        <f t="shared" si="3"/>
        <v>20</v>
      </c>
      <c r="G20" s="10">
        <f t="shared" si="4"/>
        <v>61.4</v>
      </c>
      <c r="H20" s="7">
        <f>'[10]Aug Prod'!F19</f>
        <v>8100000</v>
      </c>
      <c r="I20" s="8">
        <f t="shared" si="5"/>
        <v>8.1</v>
      </c>
      <c r="J20" s="10">
        <f t="shared" si="6"/>
        <v>24.866999999999997</v>
      </c>
      <c r="K20" s="7">
        <f>'[10]Aug Prod'!H274</f>
        <v>2759796</v>
      </c>
      <c r="L20" s="8">
        <f t="shared" si="7"/>
        <v>2.7597960000000001</v>
      </c>
      <c r="M20" s="10">
        <f t="shared" si="8"/>
        <v>8.4725737199999998</v>
      </c>
      <c r="N20" s="21"/>
      <c r="O20" s="7">
        <f>'[10]Aug Prod'!H19</f>
        <v>14068999.999999994</v>
      </c>
      <c r="P20" s="8">
        <f t="shared" si="9"/>
        <v>14.068999999999994</v>
      </c>
      <c r="Q20" s="10">
        <f t="shared" si="10"/>
        <v>43.191829999999982</v>
      </c>
      <c r="R20" s="7">
        <f>'[10]Aug Prod'!C19</f>
        <v>14393000</v>
      </c>
      <c r="S20" s="8">
        <f t="shared" si="11"/>
        <v>14.393000000000001</v>
      </c>
      <c r="T20" s="10">
        <f t="shared" si="12"/>
        <v>44.186509999999998</v>
      </c>
      <c r="U20" s="7">
        <f>'[10]Aug Prod'!D19</f>
        <v>0</v>
      </c>
      <c r="V20" s="8">
        <f t="shared" si="13"/>
        <v>0</v>
      </c>
      <c r="W20" s="10">
        <f t="shared" si="14"/>
        <v>0</v>
      </c>
      <c r="X20" s="7">
        <f>'[10]Aug Prod'!D274</f>
        <v>324000.00000000518</v>
      </c>
      <c r="Y20" s="8">
        <f t="shared" si="15"/>
        <v>0.32400000000000517</v>
      </c>
      <c r="Z20" s="10">
        <f t="shared" si="16"/>
        <v>0.99468000000001577</v>
      </c>
      <c r="AA20" s="15"/>
      <c r="AB20" s="7">
        <f t="shared" si="17"/>
        <v>38169000.000000015</v>
      </c>
      <c r="AC20" s="8">
        <f t="shared" si="17"/>
        <v>38.169000000000018</v>
      </c>
      <c r="AD20" s="8">
        <f t="shared" si="17"/>
        <v>117.17883000000005</v>
      </c>
      <c r="AF20" s="8">
        <f t="shared" ref="AF20:AF35" si="18">T20-Q20-Z20</f>
        <v>8.8817841970012523E-16</v>
      </c>
    </row>
    <row r="21" spans="1:32" x14ac:dyDescent="0.25">
      <c r="A21" s="27">
        <v>38581</v>
      </c>
      <c r="B21" s="7">
        <f>'[10]Aug Prod'!I20</f>
        <v>20600000.000000022</v>
      </c>
      <c r="C21" s="8">
        <f t="shared" si="1"/>
        <v>20.600000000000023</v>
      </c>
      <c r="D21" s="10">
        <f t="shared" si="2"/>
        <v>63.242000000000068</v>
      </c>
      <c r="E21" s="7">
        <f>'[10]Aug Prod'!E20</f>
        <v>29000000</v>
      </c>
      <c r="F21" s="8">
        <f t="shared" si="3"/>
        <v>29</v>
      </c>
      <c r="G21" s="10">
        <f t="shared" si="4"/>
        <v>89.03</v>
      </c>
      <c r="H21" s="7">
        <f>'[10]Aug Prod'!F20</f>
        <v>0</v>
      </c>
      <c r="I21" s="8">
        <f t="shared" si="5"/>
        <v>0</v>
      </c>
      <c r="J21" s="10">
        <f t="shared" si="6"/>
        <v>0</v>
      </c>
      <c r="K21" s="7">
        <f>'[10]Aug Prod'!H275</f>
        <v>2013241</v>
      </c>
      <c r="L21" s="8">
        <f t="shared" si="7"/>
        <v>2.0132409999999998</v>
      </c>
      <c r="M21" s="10">
        <f t="shared" si="8"/>
        <v>6.180649869999999</v>
      </c>
      <c r="N21" s="21"/>
      <c r="O21" s="7">
        <f>'[10]Aug Prod'!H20</f>
        <v>13308000.000000002</v>
      </c>
      <c r="P21" s="8">
        <f t="shared" si="9"/>
        <v>13.308000000000002</v>
      </c>
      <c r="Q21" s="10">
        <f t="shared" si="10"/>
        <v>40.855560000000004</v>
      </c>
      <c r="R21" s="7">
        <f>'[10]Aug Prod'!C20</f>
        <v>13501000</v>
      </c>
      <c r="S21" s="8">
        <f t="shared" si="11"/>
        <v>13.500999999999999</v>
      </c>
      <c r="T21" s="10">
        <f t="shared" si="12"/>
        <v>41.448069999999994</v>
      </c>
      <c r="U21" s="7">
        <f>'[10]Aug Prod'!D20</f>
        <v>0</v>
      </c>
      <c r="V21" s="8">
        <f t="shared" si="13"/>
        <v>0</v>
      </c>
      <c r="W21" s="10">
        <f t="shared" si="14"/>
        <v>0</v>
      </c>
      <c r="X21" s="7">
        <f>'[10]Aug Prod'!D275</f>
        <v>192999.99999999785</v>
      </c>
      <c r="Y21" s="8">
        <f t="shared" si="15"/>
        <v>0.19299999999999784</v>
      </c>
      <c r="Z21" s="10">
        <f t="shared" si="16"/>
        <v>0.59250999999999332</v>
      </c>
      <c r="AA21" s="15"/>
      <c r="AB21" s="7">
        <f t="shared" si="17"/>
        <v>33908000.000000022</v>
      </c>
      <c r="AC21" s="8">
        <f t="shared" si="17"/>
        <v>33.908000000000023</v>
      </c>
      <c r="AD21" s="8">
        <f t="shared" si="17"/>
        <v>104.09756000000007</v>
      </c>
      <c r="AF21" s="8">
        <f t="shared" si="18"/>
        <v>-3.219646771412954E-15</v>
      </c>
    </row>
    <row r="22" spans="1:32" x14ac:dyDescent="0.25">
      <c r="A22" s="27">
        <v>38582</v>
      </c>
      <c r="B22" s="7">
        <f>'[10]Aug Prod'!I21</f>
        <v>20700000.000000045</v>
      </c>
      <c r="C22" s="8">
        <f t="shared" si="1"/>
        <v>20.700000000000045</v>
      </c>
      <c r="D22" s="10">
        <f t="shared" si="2"/>
        <v>63.549000000000134</v>
      </c>
      <c r="E22" s="7">
        <f>'[10]Aug Prod'!E21</f>
        <v>26000000</v>
      </c>
      <c r="F22" s="8">
        <f t="shared" si="3"/>
        <v>26</v>
      </c>
      <c r="G22" s="10">
        <f t="shared" si="4"/>
        <v>79.819999999999993</v>
      </c>
      <c r="H22" s="7">
        <f>'[10]Aug Prod'!F21</f>
        <v>290000</v>
      </c>
      <c r="I22" s="8">
        <f t="shared" si="5"/>
        <v>0.28999999999999998</v>
      </c>
      <c r="J22" s="10">
        <f t="shared" si="6"/>
        <v>0.89029999999999987</v>
      </c>
      <c r="K22" s="7">
        <f>'[10]Aug Prod'!H276</f>
        <v>1964416</v>
      </c>
      <c r="L22" s="8">
        <f t="shared" si="7"/>
        <v>1.9644159999999999</v>
      </c>
      <c r="M22" s="10">
        <f t="shared" si="8"/>
        <v>6.0307571199999996</v>
      </c>
      <c r="N22" s="21"/>
      <c r="O22" s="7">
        <f>'[10]Aug Prod'!H21</f>
        <v>13738000</v>
      </c>
      <c r="P22" s="8">
        <f t="shared" si="9"/>
        <v>13.738</v>
      </c>
      <c r="Q22" s="10">
        <f t="shared" si="10"/>
        <v>42.175659999999993</v>
      </c>
      <c r="R22" s="7">
        <f>'[10]Aug Prod'!C21</f>
        <v>13997000</v>
      </c>
      <c r="S22" s="8">
        <f t="shared" si="11"/>
        <v>13.997</v>
      </c>
      <c r="T22" s="10">
        <f t="shared" si="12"/>
        <v>42.970790000000001</v>
      </c>
      <c r="U22" s="7">
        <f>'[10]Aug Prod'!D21</f>
        <v>0</v>
      </c>
      <c r="V22" s="8">
        <f t="shared" si="13"/>
        <v>0</v>
      </c>
      <c r="W22" s="10">
        <f t="shared" si="14"/>
        <v>0</v>
      </c>
      <c r="X22" s="7">
        <f>'[10]Aug Prod'!D276</f>
        <v>259000.00000000035</v>
      </c>
      <c r="Y22" s="8">
        <f t="shared" si="15"/>
        <v>0.25900000000000034</v>
      </c>
      <c r="Z22" s="10">
        <f t="shared" si="16"/>
        <v>0.795130000000001</v>
      </c>
      <c r="AA22" s="15"/>
      <c r="AB22" s="7">
        <f t="shared" si="17"/>
        <v>34438000.000000045</v>
      </c>
      <c r="AC22" s="8">
        <f t="shared" si="17"/>
        <v>34.438000000000045</v>
      </c>
      <c r="AD22" s="8">
        <f t="shared" si="17"/>
        <v>105.72466000000013</v>
      </c>
      <c r="AF22" s="8">
        <f t="shared" si="18"/>
        <v>6.4392935428259079E-15</v>
      </c>
    </row>
    <row r="23" spans="1:32" x14ac:dyDescent="0.25">
      <c r="A23" s="27">
        <v>38583</v>
      </c>
      <c r="B23" s="7">
        <f>'[10]Aug Prod'!I22</f>
        <v>22799999.999999955</v>
      </c>
      <c r="C23" s="8">
        <f t="shared" si="1"/>
        <v>22.799999999999955</v>
      </c>
      <c r="D23" s="10">
        <f t="shared" si="2"/>
        <v>69.995999999999853</v>
      </c>
      <c r="E23" s="7">
        <f>'[10]Aug Prod'!E22</f>
        <v>20000000</v>
      </c>
      <c r="F23" s="8">
        <f t="shared" si="3"/>
        <v>20</v>
      </c>
      <c r="G23" s="10">
        <f t="shared" si="4"/>
        <v>61.4</v>
      </c>
      <c r="H23" s="7">
        <f>'[10]Aug Prod'!F22</f>
        <v>6060000.0000000009</v>
      </c>
      <c r="I23" s="8">
        <f t="shared" si="5"/>
        <v>6.0600000000000005</v>
      </c>
      <c r="J23" s="10">
        <f t="shared" si="6"/>
        <v>18.604200000000002</v>
      </c>
      <c r="K23" s="7">
        <f>'[10]Aug Prod'!H277</f>
        <v>1764442</v>
      </c>
      <c r="L23" s="8">
        <f t="shared" si="7"/>
        <v>1.7644420000000001</v>
      </c>
      <c r="M23" s="10">
        <f t="shared" si="8"/>
        <v>5.4168369399999996</v>
      </c>
      <c r="N23" s="21"/>
      <c r="O23" s="7">
        <f>'[10]Aug Prod'!H22</f>
        <v>12814000</v>
      </c>
      <c r="P23" s="8">
        <f t="shared" si="9"/>
        <v>12.814</v>
      </c>
      <c r="Q23" s="10">
        <f t="shared" si="10"/>
        <v>39.338979999999999</v>
      </c>
      <c r="R23" s="7">
        <f>'[10]Aug Prod'!C22</f>
        <v>13137000</v>
      </c>
      <c r="S23" s="8">
        <f t="shared" si="11"/>
        <v>13.137</v>
      </c>
      <c r="T23" s="10">
        <f t="shared" si="12"/>
        <v>40.330590000000001</v>
      </c>
      <c r="U23" s="7">
        <f>'[10]Aug Prod'!D22</f>
        <v>0</v>
      </c>
      <c r="V23" s="8">
        <f t="shared" si="13"/>
        <v>0</v>
      </c>
      <c r="W23" s="10">
        <f t="shared" si="14"/>
        <v>0</v>
      </c>
      <c r="X23" s="7">
        <f>'[10]Aug Prod'!D277</f>
        <v>323000.00000000041</v>
      </c>
      <c r="Y23" s="8">
        <f t="shared" si="15"/>
        <v>0.3230000000000004</v>
      </c>
      <c r="Z23" s="10">
        <f t="shared" si="16"/>
        <v>0.99161000000000121</v>
      </c>
      <c r="AA23" s="15"/>
      <c r="AB23" s="7">
        <f t="shared" si="17"/>
        <v>35613999.999999955</v>
      </c>
      <c r="AC23" s="8">
        <f t="shared" si="17"/>
        <v>35.613999999999955</v>
      </c>
      <c r="AD23" s="8">
        <f t="shared" si="17"/>
        <v>109.33497999999986</v>
      </c>
      <c r="AF23" s="8">
        <f t="shared" si="18"/>
        <v>0</v>
      </c>
    </row>
    <row r="24" spans="1:32" x14ac:dyDescent="0.25">
      <c r="A24" s="27">
        <v>38584</v>
      </c>
      <c r="B24" s="7">
        <f>'[10]Aug Prod'!I23</f>
        <v>22000000</v>
      </c>
      <c r="C24" s="8">
        <f t="shared" si="1"/>
        <v>22</v>
      </c>
      <c r="D24" s="10">
        <f t="shared" si="2"/>
        <v>67.539999999999992</v>
      </c>
      <c r="E24" s="7">
        <f>'[10]Aug Prod'!E23</f>
        <v>11000000</v>
      </c>
      <c r="F24" s="8">
        <f t="shared" si="3"/>
        <v>11</v>
      </c>
      <c r="G24" s="10">
        <f t="shared" si="4"/>
        <v>33.769999999999996</v>
      </c>
      <c r="H24" s="7">
        <f>'[10]Aug Prod'!F23</f>
        <v>14730000</v>
      </c>
      <c r="I24" s="8">
        <f t="shared" si="5"/>
        <v>14.73</v>
      </c>
      <c r="J24" s="10">
        <f t="shared" si="6"/>
        <v>45.2211</v>
      </c>
      <c r="K24" s="7">
        <f>'[10]Aug Prod'!H278</f>
        <v>2119500</v>
      </c>
      <c r="L24" s="8">
        <f t="shared" si="7"/>
        <v>2.1194999999999999</v>
      </c>
      <c r="M24" s="10">
        <f t="shared" si="8"/>
        <v>6.5068649999999995</v>
      </c>
      <c r="N24" s="21"/>
      <c r="O24" s="7">
        <f>'[10]Aug Prod'!H23</f>
        <v>13397000</v>
      </c>
      <c r="P24" s="8">
        <f t="shared" si="9"/>
        <v>13.397</v>
      </c>
      <c r="Q24" s="10">
        <f t="shared" si="10"/>
        <v>41.128789999999995</v>
      </c>
      <c r="R24" s="7">
        <f>'[10]Aug Prod'!C23</f>
        <v>13589000</v>
      </c>
      <c r="S24" s="8">
        <f t="shared" si="11"/>
        <v>13.589</v>
      </c>
      <c r="T24" s="10">
        <f t="shared" si="12"/>
        <v>41.718229999999998</v>
      </c>
      <c r="U24" s="7">
        <f>'[10]Aug Prod'!D23</f>
        <v>0</v>
      </c>
      <c r="V24" s="8">
        <f t="shared" si="13"/>
        <v>0</v>
      </c>
      <c r="W24" s="10">
        <f t="shared" si="14"/>
        <v>0</v>
      </c>
      <c r="X24" s="7">
        <f>'[10]Aug Prod'!D278</f>
        <v>192000.00000000017</v>
      </c>
      <c r="Y24" s="8">
        <f t="shared" si="15"/>
        <v>0.19200000000000017</v>
      </c>
      <c r="Z24" s="10">
        <f t="shared" si="16"/>
        <v>0.58944000000000052</v>
      </c>
      <c r="AA24" s="15"/>
      <c r="AB24" s="7">
        <f t="shared" si="17"/>
        <v>35397000</v>
      </c>
      <c r="AC24" s="8">
        <f t="shared" si="17"/>
        <v>35.396999999999998</v>
      </c>
      <c r="AD24" s="8">
        <f>D24+Q24</f>
        <v>108.66878999999999</v>
      </c>
      <c r="AF24" s="8">
        <f t="shared" si="18"/>
        <v>2.7755575615628914E-15</v>
      </c>
    </row>
    <row r="25" spans="1:32" x14ac:dyDescent="0.25">
      <c r="A25" s="27">
        <v>38585</v>
      </c>
      <c r="B25" s="7">
        <f>'[10]Aug Prod'!I24</f>
        <v>21399999.999999978</v>
      </c>
      <c r="C25" s="8">
        <f t="shared" si="1"/>
        <v>21.399999999999977</v>
      </c>
      <c r="D25" s="10">
        <f t="shared" si="2"/>
        <v>65.697999999999922</v>
      </c>
      <c r="E25" s="7">
        <f>'[10]Aug Prod'!E24</f>
        <v>5000000</v>
      </c>
      <c r="F25" s="8">
        <f t="shared" si="3"/>
        <v>5</v>
      </c>
      <c r="G25" s="10">
        <f t="shared" si="4"/>
        <v>15.35</v>
      </c>
      <c r="H25" s="7">
        <f>'[10]Aug Prod'!F24</f>
        <v>19420000</v>
      </c>
      <c r="I25" s="8">
        <f t="shared" si="5"/>
        <v>19.420000000000002</v>
      </c>
      <c r="J25" s="10">
        <f t="shared" si="6"/>
        <v>59.619399999999999</v>
      </c>
      <c r="K25" s="7">
        <f>'[10]Aug Prod'!H279</f>
        <v>1995164</v>
      </c>
      <c r="L25" s="8">
        <f t="shared" si="7"/>
        <v>1.9951639999999999</v>
      </c>
      <c r="M25" s="10">
        <f t="shared" si="8"/>
        <v>6.1251534799999998</v>
      </c>
      <c r="N25" s="21"/>
      <c r="O25" s="7">
        <f>'[10]Aug Prod'!H24</f>
        <v>13133000.000000004</v>
      </c>
      <c r="P25" s="8">
        <f t="shared" si="9"/>
        <v>13.133000000000004</v>
      </c>
      <c r="Q25" s="10">
        <f t="shared" si="10"/>
        <v>40.318310000000011</v>
      </c>
      <c r="R25" s="7">
        <f>'[10]Aug Prod'!C24</f>
        <v>13519000</v>
      </c>
      <c r="S25" s="8">
        <f t="shared" si="11"/>
        <v>13.519</v>
      </c>
      <c r="T25" s="10">
        <f t="shared" si="12"/>
        <v>41.503329999999998</v>
      </c>
      <c r="U25" s="7">
        <f>'[10]Aug Prod'!D24</f>
        <v>0</v>
      </c>
      <c r="V25" s="8">
        <f t="shared" si="13"/>
        <v>0</v>
      </c>
      <c r="W25" s="10">
        <f t="shared" si="14"/>
        <v>0</v>
      </c>
      <c r="X25" s="7">
        <f>'[10]Aug Prod'!D279</f>
        <v>385999.99999999569</v>
      </c>
      <c r="Y25" s="8">
        <f t="shared" si="15"/>
        <v>0.38599999999999568</v>
      </c>
      <c r="Z25" s="10">
        <f t="shared" si="16"/>
        <v>1.1850199999999866</v>
      </c>
      <c r="AA25" s="15"/>
      <c r="AB25" s="7">
        <f t="shared" si="17"/>
        <v>34532999.999999985</v>
      </c>
      <c r="AC25" s="8">
        <f t="shared" si="17"/>
        <v>34.53299999999998</v>
      </c>
      <c r="AD25" s="8">
        <f t="shared" si="17"/>
        <v>106.01630999999993</v>
      </c>
      <c r="AF25" s="8">
        <f t="shared" si="18"/>
        <v>0</v>
      </c>
    </row>
    <row r="26" spans="1:32" x14ac:dyDescent="0.25">
      <c r="A26" s="27">
        <v>38586</v>
      </c>
      <c r="B26" s="7">
        <f>'[10]Aug Prod'!I25</f>
        <v>21100000.000000022</v>
      </c>
      <c r="C26" s="8">
        <f t="shared" si="1"/>
        <v>21.100000000000023</v>
      </c>
      <c r="D26" s="10">
        <f t="shared" si="2"/>
        <v>64.777000000000072</v>
      </c>
      <c r="E26" s="7">
        <f>'[10]Aug Prod'!E25</f>
        <v>5000000</v>
      </c>
      <c r="F26" s="8">
        <f t="shared" si="3"/>
        <v>5</v>
      </c>
      <c r="G26" s="10">
        <f t="shared" si="4"/>
        <v>15.35</v>
      </c>
      <c r="H26" s="7">
        <f>'[10]Aug Prod'!F25</f>
        <v>18790000</v>
      </c>
      <c r="I26" s="8">
        <f t="shared" si="5"/>
        <v>18.79</v>
      </c>
      <c r="J26" s="10">
        <f t="shared" si="6"/>
        <v>57.685299999999991</v>
      </c>
      <c r="K26" s="7">
        <f>'[10]Aug Prod'!H280</f>
        <v>2055946</v>
      </c>
      <c r="L26" s="8">
        <f t="shared" si="7"/>
        <v>2.0559460000000001</v>
      </c>
      <c r="M26" s="10">
        <f t="shared" si="8"/>
        <v>6.3117542200000001</v>
      </c>
      <c r="N26" s="21"/>
      <c r="O26" s="7">
        <f>'[10]Aug Prod'!H25</f>
        <v>14726999.999999996</v>
      </c>
      <c r="P26" s="8">
        <f t="shared" si="9"/>
        <v>14.726999999999997</v>
      </c>
      <c r="Q26" s="10">
        <f t="shared" si="10"/>
        <v>45.21188999999999</v>
      </c>
      <c r="R26" s="7">
        <f>'[10]Aug Prod'!C25</f>
        <v>14988000</v>
      </c>
      <c r="S26" s="8">
        <f t="shared" si="11"/>
        <v>14.988</v>
      </c>
      <c r="T26" s="10">
        <f t="shared" si="12"/>
        <v>46.013159999999999</v>
      </c>
      <c r="U26" s="7">
        <f>'[10]Aug Prod'!D25</f>
        <v>0</v>
      </c>
      <c r="V26" s="8">
        <f t="shared" si="13"/>
        <v>0</v>
      </c>
      <c r="W26" s="10">
        <f t="shared" si="14"/>
        <v>0</v>
      </c>
      <c r="X26" s="7">
        <f>'[10]Aug Prod'!D280</f>
        <v>261000.00000000279</v>
      </c>
      <c r="Y26" s="8">
        <f t="shared" si="15"/>
        <v>0.26100000000000279</v>
      </c>
      <c r="Z26" s="10">
        <f t="shared" si="16"/>
        <v>0.80127000000000848</v>
      </c>
      <c r="AA26" s="15"/>
      <c r="AB26" s="7">
        <f t="shared" si="17"/>
        <v>35827000.000000015</v>
      </c>
      <c r="AC26" s="8">
        <f t="shared" si="17"/>
        <v>35.827000000000019</v>
      </c>
      <c r="AD26" s="8">
        <f t="shared" si="17"/>
        <v>109.98889000000005</v>
      </c>
      <c r="AF26" s="8">
        <f t="shared" si="18"/>
        <v>9.9920072216264089E-16</v>
      </c>
    </row>
    <row r="27" spans="1:32" x14ac:dyDescent="0.25">
      <c r="A27" s="27">
        <v>38587</v>
      </c>
      <c r="B27" s="7">
        <f>'[10]Aug Prod'!I26</f>
        <v>22799999.999999955</v>
      </c>
      <c r="C27" s="8">
        <f t="shared" si="1"/>
        <v>22.799999999999955</v>
      </c>
      <c r="D27" s="10">
        <f t="shared" si="2"/>
        <v>69.995999999999853</v>
      </c>
      <c r="E27" s="7">
        <f>'[10]Aug Prod'!E26</f>
        <v>5000000</v>
      </c>
      <c r="F27" s="8">
        <f t="shared" si="3"/>
        <v>5</v>
      </c>
      <c r="G27" s="10">
        <f t="shared" si="4"/>
        <v>15.35</v>
      </c>
      <c r="H27" s="7">
        <f>'[10]Aug Prod'!F26</f>
        <v>21510000</v>
      </c>
      <c r="I27" s="8">
        <f t="shared" si="5"/>
        <v>21.51</v>
      </c>
      <c r="J27" s="10">
        <f t="shared" si="6"/>
        <v>66.035700000000006</v>
      </c>
      <c r="K27" s="7">
        <f>'[10]Aug Prod'!H281</f>
        <v>2183593</v>
      </c>
      <c r="L27" s="8">
        <f t="shared" si="7"/>
        <v>2.1835930000000001</v>
      </c>
      <c r="M27" s="10">
        <f t="shared" si="8"/>
        <v>6.70363051</v>
      </c>
      <c r="N27" s="21"/>
      <c r="O27" s="7">
        <f>'[10]Aug Prod'!H26</f>
        <v>16249999.999999998</v>
      </c>
      <c r="P27" s="8">
        <f t="shared" si="9"/>
        <v>16.249999999999996</v>
      </c>
      <c r="Q27" s="10">
        <f t="shared" si="10"/>
        <v>49.887499999999989</v>
      </c>
      <c r="R27" s="7">
        <f>'[10]Aug Prod'!C26</f>
        <v>16444000</v>
      </c>
      <c r="S27" s="8">
        <f t="shared" si="11"/>
        <v>16.443999999999999</v>
      </c>
      <c r="T27" s="10">
        <f t="shared" si="12"/>
        <v>50.483079999999994</v>
      </c>
      <c r="U27" s="7">
        <f>'[10]Aug Prod'!D26</f>
        <v>0</v>
      </c>
      <c r="V27" s="8">
        <f t="shared" si="13"/>
        <v>0</v>
      </c>
      <c r="W27" s="10">
        <f t="shared" si="14"/>
        <v>0</v>
      </c>
      <c r="X27" s="7">
        <f>'[10]Aug Prod'!D281</f>
        <v>194000.00000000262</v>
      </c>
      <c r="Y27" s="8">
        <f t="shared" si="15"/>
        <v>0.19400000000000261</v>
      </c>
      <c r="Z27" s="10">
        <f t="shared" si="16"/>
        <v>0.59558000000000799</v>
      </c>
      <c r="AA27" s="15"/>
      <c r="AB27" s="7">
        <f t="shared" si="17"/>
        <v>39049999.999999955</v>
      </c>
      <c r="AC27" s="8">
        <f t="shared" si="17"/>
        <v>39.049999999999955</v>
      </c>
      <c r="AD27" s="8">
        <f t="shared" si="17"/>
        <v>119.88349999999984</v>
      </c>
      <c r="AF27" s="8">
        <f>T27-Q27-Z27</f>
        <v>-2.6645352591003757E-15</v>
      </c>
    </row>
    <row r="28" spans="1:32" x14ac:dyDescent="0.25">
      <c r="A28" s="27">
        <v>38588</v>
      </c>
      <c r="B28" s="7">
        <f>'[10]Aug Prod'!I27</f>
        <v>19000000</v>
      </c>
      <c r="C28" s="8">
        <f t="shared" si="1"/>
        <v>19</v>
      </c>
      <c r="D28" s="10">
        <f t="shared" si="2"/>
        <v>58.33</v>
      </c>
      <c r="E28" s="7">
        <f>'[10]Aug Prod'!E27</f>
        <v>5000000</v>
      </c>
      <c r="F28" s="8">
        <f t="shared" si="3"/>
        <v>5</v>
      </c>
      <c r="G28" s="10">
        <f t="shared" si="4"/>
        <v>15.35</v>
      </c>
      <c r="H28" s="7">
        <f>'[10]Aug Prod'!F27</f>
        <v>15490000</v>
      </c>
      <c r="I28" s="8">
        <f t="shared" si="5"/>
        <v>15.49</v>
      </c>
      <c r="J28" s="10">
        <f t="shared" si="6"/>
        <v>47.554299999999998</v>
      </c>
      <c r="K28" s="7">
        <f>'[10]Aug Prod'!H282</f>
        <v>1765087</v>
      </c>
      <c r="L28" s="8">
        <f t="shared" si="7"/>
        <v>1.7650870000000001</v>
      </c>
      <c r="M28" s="10">
        <f t="shared" si="8"/>
        <v>5.4188170900000001</v>
      </c>
      <c r="N28" s="21"/>
      <c r="O28" s="7">
        <f>'[10]Aug Prod'!H27</f>
        <v>13602000.000000002</v>
      </c>
      <c r="P28" s="8">
        <f t="shared" si="9"/>
        <v>13.602000000000002</v>
      </c>
      <c r="Q28" s="10">
        <f t="shared" si="10"/>
        <v>41.758140000000004</v>
      </c>
      <c r="R28" s="7">
        <f>'[10]Aug Prod'!C27</f>
        <v>13926000</v>
      </c>
      <c r="S28" s="8">
        <f t="shared" si="11"/>
        <v>13.926</v>
      </c>
      <c r="T28" s="10">
        <f t="shared" si="12"/>
        <v>42.75282</v>
      </c>
      <c r="U28" s="7">
        <f>'[10]Aug Prod'!D27</f>
        <v>0</v>
      </c>
      <c r="V28" s="8">
        <f t="shared" si="13"/>
        <v>0</v>
      </c>
      <c r="W28" s="10">
        <f t="shared" si="14"/>
        <v>0</v>
      </c>
      <c r="X28" s="7">
        <f>'[10]Aug Prod'!D282</f>
        <v>323999.99999999808</v>
      </c>
      <c r="Y28" s="8">
        <f t="shared" si="15"/>
        <v>0.32399999999999807</v>
      </c>
      <c r="Z28" s="10">
        <f t="shared" si="16"/>
        <v>0.99467999999999401</v>
      </c>
      <c r="AA28" s="15"/>
      <c r="AB28" s="7">
        <f t="shared" si="17"/>
        <v>32602000</v>
      </c>
      <c r="AC28" s="8">
        <f t="shared" si="17"/>
        <v>32.602000000000004</v>
      </c>
      <c r="AD28" s="8">
        <f t="shared" si="17"/>
        <v>100.08814000000001</v>
      </c>
      <c r="AF28" s="8">
        <f t="shared" si="18"/>
        <v>1.3322676295501878E-15</v>
      </c>
    </row>
    <row r="29" spans="1:32" x14ac:dyDescent="0.25">
      <c r="A29" s="27">
        <v>38589</v>
      </c>
      <c r="B29" s="7">
        <f>'[10]Aug Prod'!I28</f>
        <v>16500000</v>
      </c>
      <c r="C29" s="8">
        <f t="shared" si="1"/>
        <v>16.5</v>
      </c>
      <c r="D29" s="10">
        <f t="shared" si="2"/>
        <v>50.654999999999994</v>
      </c>
      <c r="E29" s="7">
        <f>'[10]Aug Prod'!E28</f>
        <v>5000000</v>
      </c>
      <c r="F29" s="8">
        <f t="shared" si="3"/>
        <v>5</v>
      </c>
      <c r="G29" s="10">
        <f t="shared" si="4"/>
        <v>15.35</v>
      </c>
      <c r="H29" s="7">
        <f>'[10]Aug Prod'!F28</f>
        <v>14720000</v>
      </c>
      <c r="I29" s="8">
        <f t="shared" si="5"/>
        <v>14.72</v>
      </c>
      <c r="J29" s="10">
        <f t="shared" si="6"/>
        <v>45.190399999999997</v>
      </c>
      <c r="K29" s="7">
        <f>'[10]Aug Prod'!H283</f>
        <v>1785442</v>
      </c>
      <c r="L29" s="8">
        <f t="shared" si="7"/>
        <v>1.785442</v>
      </c>
      <c r="M29" s="10">
        <f t="shared" si="8"/>
        <v>5.4813069399999996</v>
      </c>
      <c r="N29" s="21"/>
      <c r="O29" s="7">
        <f>'[10]Aug Prod'!H28</f>
        <v>11554000</v>
      </c>
      <c r="P29" s="8">
        <f t="shared" si="9"/>
        <v>11.554</v>
      </c>
      <c r="Q29" s="10">
        <f t="shared" si="10"/>
        <v>35.470779999999998</v>
      </c>
      <c r="R29" s="7">
        <f>'[10]Aug Prod'!C28</f>
        <v>11880000</v>
      </c>
      <c r="S29" s="8">
        <f t="shared" si="11"/>
        <v>11.88</v>
      </c>
      <c r="T29" s="10">
        <f t="shared" si="12"/>
        <v>36.471600000000002</v>
      </c>
      <c r="U29" s="7">
        <f>'[10]Aug Prod'!D28</f>
        <v>0</v>
      </c>
      <c r="V29" s="8">
        <f t="shared" si="13"/>
        <v>0</v>
      </c>
      <c r="W29" s="10">
        <f t="shared" si="14"/>
        <v>0</v>
      </c>
      <c r="X29" s="7">
        <f>'[10]Aug Prod'!D283</f>
        <v>326000.00000000052</v>
      </c>
      <c r="Y29" s="8">
        <f t="shared" si="15"/>
        <v>0.32600000000000051</v>
      </c>
      <c r="Z29" s="10">
        <f t="shared" si="16"/>
        <v>1.0008200000000016</v>
      </c>
      <c r="AA29" s="15"/>
      <c r="AB29" s="7">
        <f t="shared" si="17"/>
        <v>28054000</v>
      </c>
      <c r="AC29" s="8">
        <f t="shared" si="17"/>
        <v>28.054000000000002</v>
      </c>
      <c r="AD29" s="8">
        <f t="shared" si="17"/>
        <v>86.125779999999992</v>
      </c>
      <c r="AF29" s="8">
        <f t="shared" si="18"/>
        <v>2.886579864025407E-15</v>
      </c>
    </row>
    <row r="30" spans="1:32" x14ac:dyDescent="0.25">
      <c r="A30" s="27">
        <v>38590</v>
      </c>
      <c r="B30" s="7">
        <f>'[10]Aug Prod'!I29</f>
        <v>14000000</v>
      </c>
      <c r="C30" s="8">
        <f t="shared" si="1"/>
        <v>14</v>
      </c>
      <c r="D30" s="10">
        <f t="shared" si="2"/>
        <v>42.98</v>
      </c>
      <c r="E30" s="7">
        <f>'[10]Aug Prod'!E29</f>
        <v>6000000</v>
      </c>
      <c r="F30" s="8">
        <f t="shared" si="3"/>
        <v>6</v>
      </c>
      <c r="G30" s="10">
        <f t="shared" si="4"/>
        <v>18.419999999999998</v>
      </c>
      <c r="H30" s="7">
        <f>'[10]Aug Prod'!F29</f>
        <v>8920000</v>
      </c>
      <c r="I30" s="8">
        <f t="shared" si="5"/>
        <v>8.92</v>
      </c>
      <c r="J30" s="10">
        <f t="shared" si="6"/>
        <v>27.384399999999999</v>
      </c>
      <c r="K30" s="7">
        <f>'[10]Aug Prod'!H284</f>
        <v>1274824</v>
      </c>
      <c r="L30" s="8">
        <f t="shared" si="7"/>
        <v>1.274824</v>
      </c>
      <c r="M30" s="10">
        <f t="shared" si="8"/>
        <v>3.9137096799999997</v>
      </c>
      <c r="N30" s="21"/>
      <c r="O30" s="7">
        <f>'[10]Aug Prod'!H29</f>
        <v>13262000</v>
      </c>
      <c r="P30" s="8">
        <f t="shared" si="9"/>
        <v>13.262</v>
      </c>
      <c r="Q30" s="10">
        <f t="shared" si="10"/>
        <v>40.71434</v>
      </c>
      <c r="R30" s="7">
        <f>'[10]Aug Prod'!C29</f>
        <v>13585000</v>
      </c>
      <c r="S30" s="8">
        <f t="shared" si="11"/>
        <v>13.585000000000001</v>
      </c>
      <c r="T30" s="10">
        <f t="shared" si="12"/>
        <v>41.705950000000001</v>
      </c>
      <c r="U30" s="7">
        <f>'[10]Aug Prod'!D29</f>
        <v>0</v>
      </c>
      <c r="V30" s="8">
        <f t="shared" si="13"/>
        <v>0</v>
      </c>
      <c r="W30" s="10">
        <f t="shared" si="14"/>
        <v>0</v>
      </c>
      <c r="X30" s="7">
        <f>'[10]Aug Prod'!D284</f>
        <v>323000.00000000041</v>
      </c>
      <c r="Y30" s="8">
        <f t="shared" si="15"/>
        <v>0.3230000000000004</v>
      </c>
      <c r="Z30" s="10">
        <f t="shared" si="16"/>
        <v>0.99161000000000121</v>
      </c>
      <c r="AA30" s="15"/>
      <c r="AB30" s="7">
        <f t="shared" si="17"/>
        <v>27262000</v>
      </c>
      <c r="AC30" s="8">
        <f t="shared" si="17"/>
        <v>27.262</v>
      </c>
      <c r="AD30" s="8">
        <f>D30+Q30</f>
        <v>83.694339999999997</v>
      </c>
      <c r="AF30" s="8">
        <f t="shared" si="18"/>
        <v>0</v>
      </c>
    </row>
    <row r="31" spans="1:32" x14ac:dyDescent="0.25">
      <c r="A31" s="27">
        <v>38591</v>
      </c>
      <c r="B31" s="7">
        <f>'[10]Aug Prod'!I30</f>
        <v>19800000.000000067</v>
      </c>
      <c r="C31" s="8">
        <f t="shared" si="1"/>
        <v>19.800000000000068</v>
      </c>
      <c r="D31" s="10">
        <f t="shared" si="2"/>
        <v>60.786000000000207</v>
      </c>
      <c r="E31" s="7">
        <f>'[10]Aug Prod'!E30</f>
        <v>8000000</v>
      </c>
      <c r="F31" s="8">
        <f t="shared" si="3"/>
        <v>8</v>
      </c>
      <c r="G31" s="10">
        <f t="shared" si="4"/>
        <v>24.56</v>
      </c>
      <c r="H31" s="7">
        <f>'[10]Aug Prod'!F30</f>
        <v>14000000</v>
      </c>
      <c r="I31" s="8">
        <f t="shared" si="5"/>
        <v>14</v>
      </c>
      <c r="J31" s="10">
        <f t="shared" si="6"/>
        <v>42.98</v>
      </c>
      <c r="K31" s="7">
        <f>'[10]Aug Prod'!H285</f>
        <v>1665598</v>
      </c>
      <c r="L31" s="8">
        <f t="shared" si="7"/>
        <v>1.6655979999999999</v>
      </c>
      <c r="M31" s="10">
        <f t="shared" si="8"/>
        <v>5.1133858599999993</v>
      </c>
      <c r="N31" s="21"/>
      <c r="O31" s="7">
        <f>'[10]Aug Prod'!H30</f>
        <v>15434000</v>
      </c>
      <c r="P31" s="8">
        <f t="shared" si="9"/>
        <v>15.433999999999999</v>
      </c>
      <c r="Q31" s="10">
        <f t="shared" si="10"/>
        <v>47.382379999999998</v>
      </c>
      <c r="R31" s="7">
        <f>'[10]Aug Prod'!C30</f>
        <v>15629000</v>
      </c>
      <c r="S31" s="8">
        <f t="shared" si="11"/>
        <v>15.629</v>
      </c>
      <c r="T31" s="10">
        <f t="shared" si="12"/>
        <v>47.981029999999997</v>
      </c>
      <c r="U31" s="7">
        <f>'[10]Aug Prod'!D30</f>
        <v>0</v>
      </c>
      <c r="V31" s="8">
        <f t="shared" si="13"/>
        <v>0</v>
      </c>
      <c r="W31" s="10">
        <f t="shared" si="14"/>
        <v>0</v>
      </c>
      <c r="X31" s="7">
        <f>'[10]Aug Prod'!D285</f>
        <v>195000.00000000029</v>
      </c>
      <c r="Y31" s="8">
        <f t="shared" si="15"/>
        <v>0.19500000000000028</v>
      </c>
      <c r="Z31" s="10">
        <f t="shared" si="16"/>
        <v>0.59865000000000079</v>
      </c>
      <c r="AA31" s="15"/>
      <c r="AB31" s="7">
        <f t="shared" si="17"/>
        <v>35234000.000000067</v>
      </c>
      <c r="AC31" s="8">
        <f t="shared" si="17"/>
        <v>35.234000000000066</v>
      </c>
      <c r="AD31" s="8">
        <f t="shared" si="17"/>
        <v>108.16838000000021</v>
      </c>
      <c r="AF31" s="8">
        <f t="shared" si="18"/>
        <v>-1.5543122344752192E-15</v>
      </c>
    </row>
    <row r="32" spans="1:32" x14ac:dyDescent="0.25">
      <c r="A32" s="27">
        <v>38592</v>
      </c>
      <c r="B32" s="7">
        <f>'[10]Aug Prod'!I31</f>
        <v>18600000.000000022</v>
      </c>
      <c r="C32" s="8">
        <f t="shared" si="1"/>
        <v>18.600000000000023</v>
      </c>
      <c r="D32" s="10">
        <f t="shared" si="2"/>
        <v>57.102000000000068</v>
      </c>
      <c r="E32" s="7">
        <f>'[10]Aug Prod'!E31</f>
        <v>8000000</v>
      </c>
      <c r="F32" s="8">
        <f t="shared" si="3"/>
        <v>8</v>
      </c>
      <c r="G32" s="10">
        <f t="shared" si="4"/>
        <v>24.56</v>
      </c>
      <c r="H32" s="7">
        <f>'[10]Aug Prod'!F31</f>
        <v>12030000.000000002</v>
      </c>
      <c r="I32" s="8">
        <f t="shared" si="5"/>
        <v>12.030000000000001</v>
      </c>
      <c r="J32" s="10">
        <f t="shared" si="6"/>
        <v>36.932099999999998</v>
      </c>
      <c r="K32" s="7">
        <f>'[10]Aug Prod'!H286</f>
        <v>1681310</v>
      </c>
      <c r="L32" s="8">
        <f t="shared" si="7"/>
        <v>1.6813100000000001</v>
      </c>
      <c r="M32" s="10">
        <f t="shared" si="8"/>
        <v>5.1616217000000004</v>
      </c>
      <c r="N32" s="21"/>
      <c r="O32" s="7">
        <f>'[10]Aug Prod'!H31</f>
        <v>14420000</v>
      </c>
      <c r="P32" s="8">
        <f t="shared" si="9"/>
        <v>14.42</v>
      </c>
      <c r="Q32" s="10">
        <f t="shared" si="10"/>
        <v>44.269399999999997</v>
      </c>
      <c r="R32" s="7">
        <f>'[10]Aug Prod'!C31</f>
        <v>14743000</v>
      </c>
      <c r="S32" s="8">
        <f t="shared" si="11"/>
        <v>14.743</v>
      </c>
      <c r="T32" s="10">
        <f t="shared" si="12"/>
        <v>45.261009999999999</v>
      </c>
      <c r="U32" s="7">
        <f>'[10]Aug Prod'!D31</f>
        <v>0</v>
      </c>
      <c r="V32" s="8">
        <f t="shared" si="13"/>
        <v>0</v>
      </c>
      <c r="W32" s="10">
        <f t="shared" si="14"/>
        <v>0</v>
      </c>
      <c r="X32" s="7">
        <f>'[10]Aug Prod'!D286</f>
        <v>323000.00000000041</v>
      </c>
      <c r="Y32" s="8">
        <f t="shared" si="15"/>
        <v>0.3230000000000004</v>
      </c>
      <c r="Z32" s="10">
        <f t="shared" si="16"/>
        <v>0.99161000000000121</v>
      </c>
      <c r="AA32" s="15"/>
      <c r="AB32" s="7">
        <f t="shared" si="17"/>
        <v>33020000.000000022</v>
      </c>
      <c r="AC32" s="8">
        <f t="shared" si="17"/>
        <v>33.020000000000024</v>
      </c>
      <c r="AD32" s="8">
        <f t="shared" si="17"/>
        <v>101.37140000000007</v>
      </c>
      <c r="AF32" s="8">
        <f t="shared" si="18"/>
        <v>0</v>
      </c>
    </row>
    <row r="33" spans="1:32" x14ac:dyDescent="0.25">
      <c r="A33" s="27">
        <v>38593</v>
      </c>
      <c r="B33" s="7">
        <f>'[10]Aug Prod'!I32</f>
        <v>22799999.999999955</v>
      </c>
      <c r="C33" s="8">
        <f t="shared" si="1"/>
        <v>22.799999999999955</v>
      </c>
      <c r="D33" s="10">
        <f t="shared" si="2"/>
        <v>69.995999999999853</v>
      </c>
      <c r="E33" s="7">
        <f>'[10]Aug Prod'!E32</f>
        <v>9000000</v>
      </c>
      <c r="F33" s="8">
        <f t="shared" si="3"/>
        <v>9</v>
      </c>
      <c r="G33" s="10">
        <f t="shared" si="4"/>
        <v>27.63</v>
      </c>
      <c r="H33" s="7">
        <f>'[10]Aug Prod'!F32</f>
        <v>16350000.000000002</v>
      </c>
      <c r="I33" s="8">
        <f t="shared" si="5"/>
        <v>16.350000000000001</v>
      </c>
      <c r="J33" s="10">
        <f t="shared" si="6"/>
        <v>50.194500000000005</v>
      </c>
      <c r="K33" s="7">
        <f>'[10]Aug Prod'!H287</f>
        <v>2017852</v>
      </c>
      <c r="L33" s="8">
        <f t="shared" ref="L33" si="19">K33/1000000</f>
        <v>2.017852</v>
      </c>
      <c r="M33" s="10">
        <f t="shared" ref="M33" si="20">L33*3.07</f>
        <v>6.1948056399999993</v>
      </c>
      <c r="N33" s="21"/>
      <c r="O33" s="7">
        <f>'[10]Aug Prod'!H32</f>
        <v>13463000.000000004</v>
      </c>
      <c r="P33" s="8">
        <f t="shared" si="9"/>
        <v>13.463000000000005</v>
      </c>
      <c r="Q33" s="10">
        <f t="shared" si="10"/>
        <v>41.331410000000012</v>
      </c>
      <c r="R33" s="7">
        <f>'[10]Aug Prod'!C32</f>
        <v>13803000</v>
      </c>
      <c r="S33" s="8">
        <f t="shared" si="11"/>
        <v>13.803000000000001</v>
      </c>
      <c r="T33" s="10">
        <f t="shared" si="12"/>
        <v>42.375210000000003</v>
      </c>
      <c r="U33" s="7">
        <f>'[10]Aug Prod'!D32</f>
        <v>0</v>
      </c>
      <c r="V33" s="8">
        <f t="shared" si="13"/>
        <v>0</v>
      </c>
      <c r="W33" s="10">
        <f t="shared" si="14"/>
        <v>0</v>
      </c>
      <c r="X33" s="7">
        <f>'[10]Aug Prod'!D287</f>
        <v>339999.99999999633</v>
      </c>
      <c r="Y33" s="8">
        <f t="shared" si="15"/>
        <v>0.33999999999999631</v>
      </c>
      <c r="Z33" s="10">
        <f t="shared" si="16"/>
        <v>1.0437999999999885</v>
      </c>
      <c r="AA33" s="15"/>
      <c r="AB33" s="7">
        <f t="shared" si="17"/>
        <v>36262999.999999955</v>
      </c>
      <c r="AC33" s="8">
        <f t="shared" si="17"/>
        <v>36.262999999999963</v>
      </c>
      <c r="AD33" s="8">
        <f t="shared" si="17"/>
        <v>111.32740999999987</v>
      </c>
      <c r="AF33" s="8">
        <f t="shared" si="18"/>
        <v>1.7763568394002505E-15</v>
      </c>
    </row>
    <row r="34" spans="1:32" x14ac:dyDescent="0.25">
      <c r="A34" s="27">
        <v>38594</v>
      </c>
      <c r="B34" s="7">
        <f>'[10]Aug Prod'!I33</f>
        <v>16399999.999999978</v>
      </c>
      <c r="C34" s="8">
        <f t="shared" si="1"/>
        <v>16.399999999999977</v>
      </c>
      <c r="D34" s="10">
        <f t="shared" si="2"/>
        <v>50.347999999999928</v>
      </c>
      <c r="E34" s="7">
        <f>'[10]Aug Prod'!E33</f>
        <v>6000000</v>
      </c>
      <c r="F34" s="8">
        <f t="shared" si="3"/>
        <v>6</v>
      </c>
      <c r="G34" s="10">
        <f t="shared" si="4"/>
        <v>18.419999999999998</v>
      </c>
      <c r="H34" s="7">
        <f>'[10]Aug Prod'!F33</f>
        <v>12220000</v>
      </c>
      <c r="I34" s="8">
        <f t="shared" si="5"/>
        <v>12.22</v>
      </c>
      <c r="J34" s="10">
        <f t="shared" si="6"/>
        <v>37.5154</v>
      </c>
      <c r="K34" s="7">
        <f>'[10]Aug Prod'!H288</f>
        <v>1613380</v>
      </c>
      <c r="L34" s="8">
        <f t="shared" ref="L34:L35" si="21">K34/1000000</f>
        <v>1.61338</v>
      </c>
      <c r="M34" s="10">
        <f t="shared" ref="M34:M35" si="22">L34*3.07</f>
        <v>4.9530766000000002</v>
      </c>
      <c r="N34" s="21"/>
      <c r="O34" s="7">
        <f>'[10]Aug Prod'!H33</f>
        <v>12067000</v>
      </c>
      <c r="P34" s="8">
        <f t="shared" si="9"/>
        <v>12.067</v>
      </c>
      <c r="Q34" s="10">
        <f t="shared" si="10"/>
        <v>37.04569</v>
      </c>
      <c r="R34" s="7">
        <f>'[10]Aug Prod'!C33</f>
        <v>12390000</v>
      </c>
      <c r="S34" s="8">
        <f t="shared" si="11"/>
        <v>12.39</v>
      </c>
      <c r="T34" s="10">
        <f t="shared" si="12"/>
        <v>38.037300000000002</v>
      </c>
      <c r="U34" s="7">
        <f>'[10]Aug Prod'!D33</f>
        <v>0</v>
      </c>
      <c r="V34" s="8">
        <f t="shared" si="13"/>
        <v>0</v>
      </c>
      <c r="W34" s="10">
        <f t="shared" si="14"/>
        <v>0</v>
      </c>
      <c r="X34" s="7">
        <f>'[10]Aug Prod'!D288</f>
        <v>323000.00000000041</v>
      </c>
      <c r="Y34" s="8">
        <f t="shared" si="15"/>
        <v>0.3230000000000004</v>
      </c>
      <c r="Z34" s="10">
        <f t="shared" si="16"/>
        <v>0.99161000000000121</v>
      </c>
      <c r="AA34" s="15"/>
      <c r="AB34" s="7">
        <f t="shared" si="17"/>
        <v>28466999.999999978</v>
      </c>
      <c r="AC34" s="8">
        <f t="shared" si="17"/>
        <v>28.466999999999977</v>
      </c>
      <c r="AD34" s="8">
        <f t="shared" si="17"/>
        <v>87.393689999999935</v>
      </c>
      <c r="AF34" s="8">
        <f t="shared" si="18"/>
        <v>0</v>
      </c>
    </row>
    <row r="35" spans="1:32" ht="13.8" thickBot="1" x14ac:dyDescent="0.3">
      <c r="A35" s="27">
        <v>38595</v>
      </c>
      <c r="B35" s="7">
        <f>'[10]Aug Prod'!I34</f>
        <v>18000000</v>
      </c>
      <c r="C35" s="8">
        <f t="shared" si="1"/>
        <v>18</v>
      </c>
      <c r="D35" s="10">
        <f t="shared" si="2"/>
        <v>55.26</v>
      </c>
      <c r="E35" s="7">
        <f>'[10]Aug Prod'!E34</f>
        <v>7000000</v>
      </c>
      <c r="F35" s="8">
        <f t="shared" si="3"/>
        <v>7</v>
      </c>
      <c r="G35" s="10">
        <f t="shared" si="4"/>
        <v>21.49</v>
      </c>
      <c r="H35" s="7">
        <f>'[10]Aug Prod'!F34</f>
        <v>14150000</v>
      </c>
      <c r="I35" s="8">
        <f t="shared" si="5"/>
        <v>14.15</v>
      </c>
      <c r="J35" s="10">
        <f t="shared" si="6"/>
        <v>43.4405</v>
      </c>
      <c r="K35" s="7">
        <f>'[10]Aug Prod'!H289</f>
        <v>1772151</v>
      </c>
      <c r="L35" s="8">
        <f t="shared" si="21"/>
        <v>1.772151</v>
      </c>
      <c r="M35" s="10">
        <f t="shared" si="22"/>
        <v>5.4405035699999997</v>
      </c>
      <c r="N35" s="21"/>
      <c r="O35" s="7">
        <f>'[10]Aug Prod'!H34</f>
        <v>13860999.999999998</v>
      </c>
      <c r="P35" s="8">
        <f t="shared" si="9"/>
        <v>13.860999999999999</v>
      </c>
      <c r="Q35" s="10">
        <f t="shared" si="10"/>
        <v>42.553269999999998</v>
      </c>
      <c r="R35" s="7">
        <f>'[10]Aug Prod'!C34</f>
        <v>14055000</v>
      </c>
      <c r="S35" s="8">
        <f t="shared" si="11"/>
        <v>14.055</v>
      </c>
      <c r="T35" s="10">
        <f t="shared" si="12"/>
        <v>43.148849999999996</v>
      </c>
      <c r="U35" s="7">
        <f>'[10]Aug Prod'!D34</f>
        <v>0</v>
      </c>
      <c r="V35" s="8">
        <f t="shared" si="13"/>
        <v>0</v>
      </c>
      <c r="W35" s="10">
        <f t="shared" si="14"/>
        <v>0</v>
      </c>
      <c r="X35" s="7">
        <f>'[10]Aug Prod'!D289</f>
        <v>194000.00000000262</v>
      </c>
      <c r="Y35" s="8">
        <f t="shared" si="15"/>
        <v>0.19400000000000261</v>
      </c>
      <c r="Z35" s="10">
        <f t="shared" si="16"/>
        <v>0.59558000000000799</v>
      </c>
      <c r="AA35" s="15"/>
      <c r="AB35" s="7">
        <f t="shared" si="17"/>
        <v>31861000</v>
      </c>
      <c r="AC35" s="8">
        <f t="shared" si="17"/>
        <v>31.860999999999997</v>
      </c>
      <c r="AD35" s="8">
        <f t="shared" si="17"/>
        <v>97.813269999999989</v>
      </c>
      <c r="AF35" s="8">
        <f t="shared" si="18"/>
        <v>-9.7699626167013776E-15</v>
      </c>
    </row>
    <row r="36" spans="1:32" ht="13.8" thickBot="1" x14ac:dyDescent="0.3">
      <c r="A36" s="14"/>
      <c r="B36" s="38"/>
      <c r="C36" s="39">
        <f>SUM(C5:C35)</f>
        <v>687.19999999999993</v>
      </c>
      <c r="D36" s="39">
        <f t="shared" ref="D36" si="23">C36*3.07</f>
        <v>2109.7039999999997</v>
      </c>
      <c r="E36" s="38"/>
      <c r="F36" s="39">
        <f>SUM(F5:F35)</f>
        <v>386</v>
      </c>
      <c r="G36" s="39">
        <f t="shared" ref="G36" si="24">F36*3.07</f>
        <v>1185.02</v>
      </c>
      <c r="H36" s="38"/>
      <c r="I36" s="39">
        <f>SUM(I5:I35)</f>
        <v>405.34000000000003</v>
      </c>
      <c r="J36" s="39">
        <f t="shared" ref="J36" si="25">I36*3.07</f>
        <v>1244.3938000000001</v>
      </c>
      <c r="K36" s="38"/>
      <c r="L36" s="39">
        <f>SUM(L5:L35)</f>
        <v>64.898900000000012</v>
      </c>
      <c r="M36" s="39">
        <f t="shared" ref="M36" si="26">L36*3.07</f>
        <v>199.23962300000002</v>
      </c>
      <c r="N36" s="14"/>
      <c r="O36" s="38"/>
      <c r="P36" s="39">
        <f>SUM(P5:P35)</f>
        <v>420.03499999999997</v>
      </c>
      <c r="Q36" s="39">
        <f t="shared" ref="Q36" si="27">P36*3.07</f>
        <v>1289.5074499999998</v>
      </c>
      <c r="R36" s="38"/>
      <c r="S36" s="39">
        <f>SUM(S5:S35)</f>
        <v>429.19900000000001</v>
      </c>
      <c r="T36" s="39">
        <f t="shared" ref="T36" si="28">S36*3.07</f>
        <v>1317.64093</v>
      </c>
      <c r="U36" s="38"/>
      <c r="V36" s="39">
        <f>SUM(V5:V35)</f>
        <v>0</v>
      </c>
      <c r="W36" s="39">
        <f t="shared" ref="W36" si="29">V36*3.07</f>
        <v>0</v>
      </c>
      <c r="X36" s="38"/>
      <c r="Y36" s="39">
        <f>SUM(Y5:Y35)</f>
        <v>9.1640000000000015</v>
      </c>
      <c r="Z36" s="39">
        <f t="shared" ref="Z36" si="30">Y36*3.07</f>
        <v>28.133480000000002</v>
      </c>
      <c r="AA36" s="14"/>
      <c r="AB36" s="38"/>
      <c r="AC36" s="39">
        <f>SUM(AC5:AC35)</f>
        <v>1107.2350000000001</v>
      </c>
      <c r="AD36" s="39">
        <f>AC36*3.07</f>
        <v>3399.2114500000002</v>
      </c>
      <c r="AF36" s="39">
        <f>SUM(AF5:AF35)</f>
        <v>7.3274719625260332E-15</v>
      </c>
    </row>
    <row r="37" spans="1:32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5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38"/>
  <sheetViews>
    <sheetView workbookViewId="0">
      <pane xSplit="1" ySplit="4" topLeftCell="B5" activePane="bottomRight" state="frozen"/>
      <selection activeCell="T39" sqref="T39"/>
      <selection pane="topRight" activeCell="T39" sqref="T39"/>
      <selection pane="bottomLeft" activeCell="T39" sqref="T39"/>
      <selection pane="bottomRight" activeCell="J34" sqref="J5:J34"/>
    </sheetView>
  </sheetViews>
  <sheetFormatPr defaultRowHeight="13.2" x14ac:dyDescent="0.25"/>
  <cols>
    <col min="2" max="2" width="12.5546875" customWidth="1"/>
    <col min="5" max="5" width="11.33203125" customWidth="1"/>
    <col min="8" max="8" width="11.33203125" customWidth="1"/>
    <col min="11" max="11" width="14.44140625" customWidth="1"/>
    <col min="12" max="12" width="10.44140625" customWidth="1"/>
    <col min="13" max="13" width="10.109375" customWidth="1"/>
    <col min="15" max="15" width="13.5546875" customWidth="1"/>
    <col min="18" max="18" width="11.109375" customWidth="1"/>
    <col min="22" max="22" width="11" customWidth="1"/>
    <col min="28" max="28" width="11.109375" customWidth="1"/>
  </cols>
  <sheetData>
    <row r="1" spans="1:32" x14ac:dyDescent="0.25">
      <c r="A1" s="44" t="s">
        <v>14</v>
      </c>
      <c r="B1" s="41"/>
      <c r="C1" s="42"/>
      <c r="D1" s="42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38596</v>
      </c>
      <c r="B5" s="7">
        <f>'[11]Sep Prod'!I4</f>
        <v>18100000.000000022</v>
      </c>
      <c r="C5" s="8">
        <f>B5/1000000</f>
        <v>18.100000000000023</v>
      </c>
      <c r="D5" s="10">
        <f>C5*3.07</f>
        <v>55.567000000000064</v>
      </c>
      <c r="E5" s="7">
        <f>'[11]Sep Prod'!E4</f>
        <v>6000000</v>
      </c>
      <c r="F5" s="8">
        <f>E5/1000000</f>
        <v>6</v>
      </c>
      <c r="G5" s="10">
        <f>F5*3.07</f>
        <v>18.419999999999998</v>
      </c>
      <c r="H5" s="7">
        <f>'[11]Sep Prod'!F4</f>
        <v>14280000</v>
      </c>
      <c r="I5" s="8">
        <f t="shared" ref="I5" si="0">H5/1000000</f>
        <v>14.28</v>
      </c>
      <c r="J5" s="10">
        <f>I5*3.07</f>
        <v>43.839599999999997</v>
      </c>
      <c r="K5" s="7">
        <f>'[11]Sep Prod'!H252</f>
        <v>1675771</v>
      </c>
      <c r="L5" s="8">
        <f>K5/1000000</f>
        <v>1.6757709999999999</v>
      </c>
      <c r="M5" s="10">
        <f>L5*3.07</f>
        <v>5.1446169699999995</v>
      </c>
      <c r="N5" s="21"/>
      <c r="O5" s="7">
        <f>'[11]Sep Prod'!H4</f>
        <v>12866000.000000002</v>
      </c>
      <c r="P5" s="8">
        <f>O5/1000000</f>
        <v>12.866000000000001</v>
      </c>
      <c r="Q5" s="10">
        <f>P5*3.07</f>
        <v>39.498620000000003</v>
      </c>
      <c r="R5" s="7">
        <f>'[11]Sep Prod'!C4</f>
        <v>13190000</v>
      </c>
      <c r="S5" s="8">
        <f>R5/1000000</f>
        <v>13.19</v>
      </c>
      <c r="T5" s="10">
        <f>S5*3.07</f>
        <v>40.493299999999998</v>
      </c>
      <c r="U5" s="7">
        <f>'[11]Sep Prod'!D4</f>
        <v>0</v>
      </c>
      <c r="V5" s="8">
        <f>U5/1000000</f>
        <v>0</v>
      </c>
      <c r="W5" s="10">
        <f>V5*3.07</f>
        <v>0</v>
      </c>
      <c r="X5" s="7">
        <f>'[11]Sep Prod'!D252</f>
        <v>323999.99999999808</v>
      </c>
      <c r="Y5" s="8">
        <f>X5/1000000</f>
        <v>0.32399999999999807</v>
      </c>
      <c r="Z5" s="10">
        <f>Y5*3.07</f>
        <v>0.99467999999999401</v>
      </c>
      <c r="AA5" s="15"/>
      <c r="AB5" s="7">
        <f>B5+O5</f>
        <v>30966000.000000022</v>
      </c>
      <c r="AC5" s="8">
        <f>C5+P5</f>
        <v>30.966000000000022</v>
      </c>
      <c r="AD5" s="8">
        <f>D5+Q5</f>
        <v>95.065620000000067</v>
      </c>
      <c r="AF5" s="8">
        <f>T5-Q5-Z5</f>
        <v>1.3322676295501878E-15</v>
      </c>
    </row>
    <row r="6" spans="1:32" x14ac:dyDescent="0.25">
      <c r="A6" s="27">
        <v>38597</v>
      </c>
      <c r="B6" s="7">
        <f>'[11]Sep Prod'!I5</f>
        <v>21599999.999999911</v>
      </c>
      <c r="C6" s="8">
        <f t="shared" ref="C6:C34" si="1">B6/1000000</f>
        <v>21.599999999999909</v>
      </c>
      <c r="D6" s="10">
        <f t="shared" ref="D6:D34" si="2">C6*3.07</f>
        <v>66.311999999999713</v>
      </c>
      <c r="E6" s="7">
        <f>'[11]Sep Prod'!E5</f>
        <v>7000000</v>
      </c>
      <c r="F6" s="8">
        <f t="shared" ref="F6:F34" si="3">E6/1000000</f>
        <v>7</v>
      </c>
      <c r="G6" s="10">
        <f t="shared" ref="G6:G34" si="4">F6*3.07</f>
        <v>21.49</v>
      </c>
      <c r="H6" s="7">
        <f>'[11]Sep Prod'!F5</f>
        <v>17490000</v>
      </c>
      <c r="I6" s="8">
        <f t="shared" ref="I6:I34" si="5">H6/1000000</f>
        <v>17.489999999999998</v>
      </c>
      <c r="J6" s="10">
        <f t="shared" ref="J6:J34" si="6">I6*3.07</f>
        <v>53.694299999999991</v>
      </c>
      <c r="K6" s="7">
        <f>'[11]Sep Prod'!H253</f>
        <v>2105060</v>
      </c>
      <c r="L6" s="8">
        <f t="shared" ref="L6:L34" si="7">K6/1000000</f>
        <v>2.1050599999999999</v>
      </c>
      <c r="M6" s="10">
        <f t="shared" ref="M6:M34" si="8">L6*3.07</f>
        <v>6.4625341999999995</v>
      </c>
      <c r="N6" s="21"/>
      <c r="O6" s="7">
        <f>'[11]Sep Prod'!H5</f>
        <v>12543000</v>
      </c>
      <c r="P6" s="8">
        <f t="shared" ref="P6:P34" si="9">O6/1000000</f>
        <v>12.542999999999999</v>
      </c>
      <c r="Q6" s="10">
        <f t="shared" ref="Q6:Q34" si="10">P6*3.07</f>
        <v>38.507009999999994</v>
      </c>
      <c r="R6" s="7">
        <f>'[11]Sep Prod'!C5</f>
        <v>12875000</v>
      </c>
      <c r="S6" s="8">
        <f t="shared" ref="S6:S34" si="11">R6/1000000</f>
        <v>12.875</v>
      </c>
      <c r="T6" s="10">
        <f t="shared" ref="T6:T34" si="12">S6*3.07</f>
        <v>39.526249999999997</v>
      </c>
      <c r="U6" s="7">
        <f>'[11]Sep Prod'!D5</f>
        <v>0</v>
      </c>
      <c r="V6" s="8">
        <f t="shared" ref="V6:V34" si="13">U6/1000000</f>
        <v>0</v>
      </c>
      <c r="W6" s="10">
        <f t="shared" ref="W6:W34" si="14">V6*3.07</f>
        <v>0</v>
      </c>
      <c r="X6" s="7">
        <f>'[11]Sep Prod'!D253</f>
        <v>332000.00000000076</v>
      </c>
      <c r="Y6" s="8">
        <f t="shared" ref="Y6:Y34" si="15">X6/1000000</f>
        <v>0.33200000000000074</v>
      </c>
      <c r="Z6" s="10">
        <f t="shared" ref="Z6:Z35" si="16">Y6*3.07</f>
        <v>1.0192400000000021</v>
      </c>
      <c r="AA6" s="15"/>
      <c r="AB6" s="7">
        <f t="shared" ref="AB6:AD35" si="17">B6+O6</f>
        <v>34142999.999999911</v>
      </c>
      <c r="AC6" s="8">
        <f t="shared" si="17"/>
        <v>34.142999999999908</v>
      </c>
      <c r="AD6" s="8">
        <f t="shared" si="17"/>
        <v>104.81900999999971</v>
      </c>
      <c r="AF6" s="8">
        <f t="shared" ref="AF6:AF14" si="18">T6-Q6-Z6</f>
        <v>0</v>
      </c>
    </row>
    <row r="7" spans="1:32" x14ac:dyDescent="0.25">
      <c r="A7" s="27">
        <v>38598</v>
      </c>
      <c r="B7" s="7">
        <f>'[11]Sep Prod'!I6</f>
        <v>21200000.000000045</v>
      </c>
      <c r="C7" s="8">
        <f t="shared" si="1"/>
        <v>21.200000000000045</v>
      </c>
      <c r="D7" s="10">
        <f t="shared" si="2"/>
        <v>65.084000000000131</v>
      </c>
      <c r="E7" s="7">
        <f>'[11]Sep Prod'!E6</f>
        <v>8000000</v>
      </c>
      <c r="F7" s="8">
        <f t="shared" si="3"/>
        <v>8</v>
      </c>
      <c r="G7" s="10">
        <f t="shared" si="4"/>
        <v>24.56</v>
      </c>
      <c r="H7" s="7">
        <f>'[11]Sep Prod'!F6</f>
        <v>17000000</v>
      </c>
      <c r="I7" s="8">
        <f t="shared" si="5"/>
        <v>17</v>
      </c>
      <c r="J7" s="10">
        <f t="shared" si="6"/>
        <v>52.19</v>
      </c>
      <c r="K7" s="7">
        <f>'[11]Sep Prod'!H254</f>
        <v>2118239</v>
      </c>
      <c r="L7" s="8">
        <f t="shared" si="7"/>
        <v>2.118239</v>
      </c>
      <c r="M7" s="10">
        <f t="shared" si="8"/>
        <v>6.50299373</v>
      </c>
      <c r="N7" s="21"/>
      <c r="O7" s="7">
        <f>'[11]Sep Prod'!H6</f>
        <v>12343000.000000002</v>
      </c>
      <c r="P7" s="8">
        <f t="shared" si="9"/>
        <v>12.343000000000002</v>
      </c>
      <c r="Q7" s="10">
        <f t="shared" si="10"/>
        <v>37.893010000000004</v>
      </c>
      <c r="R7" s="7">
        <f>'[11]Sep Prod'!C6</f>
        <v>12536000</v>
      </c>
      <c r="S7" s="8">
        <f t="shared" si="11"/>
        <v>12.536</v>
      </c>
      <c r="T7" s="10">
        <f t="shared" si="12"/>
        <v>38.485519999999994</v>
      </c>
      <c r="U7" s="7">
        <f>'[11]Sep Prod'!D6</f>
        <v>0</v>
      </c>
      <c r="V7" s="8">
        <f t="shared" si="13"/>
        <v>0</v>
      </c>
      <c r="W7" s="10">
        <f t="shared" si="14"/>
        <v>0</v>
      </c>
      <c r="X7" s="7">
        <f>'[11]Sep Prod'!D254</f>
        <v>192999.99999999785</v>
      </c>
      <c r="Y7" s="8">
        <f t="shared" si="15"/>
        <v>0.19299999999999784</v>
      </c>
      <c r="Z7" s="10">
        <f t="shared" si="16"/>
        <v>0.59250999999999332</v>
      </c>
      <c r="AA7" s="15"/>
      <c r="AB7" s="7">
        <f t="shared" si="17"/>
        <v>33543000.000000045</v>
      </c>
      <c r="AC7" s="8">
        <f t="shared" si="17"/>
        <v>33.543000000000049</v>
      </c>
      <c r="AD7" s="8">
        <f t="shared" si="17"/>
        <v>102.97701000000013</v>
      </c>
      <c r="AF7" s="8">
        <f t="shared" si="18"/>
        <v>-3.219646771412954E-15</v>
      </c>
    </row>
    <row r="8" spans="1:32" x14ac:dyDescent="0.25">
      <c r="A8" s="27">
        <v>38599</v>
      </c>
      <c r="B8" s="7">
        <f>'[11]Sep Prod'!I7</f>
        <v>19500000</v>
      </c>
      <c r="C8" s="8">
        <f t="shared" si="1"/>
        <v>19.5</v>
      </c>
      <c r="D8" s="10">
        <f t="shared" si="2"/>
        <v>59.864999999999995</v>
      </c>
      <c r="E8" s="7">
        <f>'[11]Sep Prod'!E7</f>
        <v>8000000</v>
      </c>
      <c r="F8" s="8">
        <f t="shared" si="3"/>
        <v>8</v>
      </c>
      <c r="G8" s="10">
        <f t="shared" si="4"/>
        <v>24.56</v>
      </c>
      <c r="H8" s="7">
        <f>'[11]Sep Prod'!F7</f>
        <v>14040000</v>
      </c>
      <c r="I8" s="8">
        <f t="shared" si="5"/>
        <v>14.04</v>
      </c>
      <c r="J8" s="10">
        <f t="shared" si="6"/>
        <v>43.102799999999995</v>
      </c>
      <c r="K8" s="7">
        <f>'[11]Sep Prod'!H255</f>
        <v>1752639</v>
      </c>
      <c r="L8" s="8">
        <f t="shared" si="7"/>
        <v>1.7526390000000001</v>
      </c>
      <c r="M8" s="10">
        <f t="shared" si="8"/>
        <v>5.3806017299999995</v>
      </c>
      <c r="N8" s="21"/>
      <c r="O8" s="7">
        <f>'[11]Sep Prod'!H7</f>
        <v>14146999.999999994</v>
      </c>
      <c r="P8" s="8">
        <f t="shared" si="9"/>
        <v>14.146999999999995</v>
      </c>
      <c r="Q8" s="10">
        <f t="shared" si="10"/>
        <v>43.431289999999983</v>
      </c>
      <c r="R8" s="7">
        <f>'[11]Sep Prod'!C7</f>
        <v>14404000</v>
      </c>
      <c r="S8" s="8">
        <f t="shared" si="11"/>
        <v>14.404</v>
      </c>
      <c r="T8" s="10">
        <f t="shared" si="12"/>
        <v>44.220279999999995</v>
      </c>
      <c r="U8" s="7">
        <f>'[11]Sep Prod'!D7</f>
        <v>0</v>
      </c>
      <c r="V8" s="8">
        <f t="shared" si="13"/>
        <v>0</v>
      </c>
      <c r="W8" s="10">
        <f t="shared" si="14"/>
        <v>0</v>
      </c>
      <c r="X8" s="7">
        <f>'[11]Sep Prod'!D255</f>
        <v>257000.00000000501</v>
      </c>
      <c r="Y8" s="8">
        <f t="shared" si="15"/>
        <v>0.257000000000005</v>
      </c>
      <c r="Z8" s="10">
        <f t="shared" si="16"/>
        <v>0.78899000000001529</v>
      </c>
      <c r="AA8" s="15"/>
      <c r="AB8" s="7">
        <f t="shared" si="17"/>
        <v>33646999.999999993</v>
      </c>
      <c r="AC8" s="8">
        <f t="shared" si="17"/>
        <v>33.646999999999991</v>
      </c>
      <c r="AD8" s="8">
        <f>D8+Q8</f>
        <v>103.29628999999997</v>
      </c>
      <c r="AF8" s="8">
        <f t="shared" si="18"/>
        <v>-2.7755575615628914E-15</v>
      </c>
    </row>
    <row r="9" spans="1:32" x14ac:dyDescent="0.25">
      <c r="A9" s="27">
        <v>38600</v>
      </c>
      <c r="B9" s="7">
        <f>'[11]Sep Prod'!I8</f>
        <v>20700000.000000045</v>
      </c>
      <c r="C9" s="8">
        <f t="shared" si="1"/>
        <v>20.700000000000045</v>
      </c>
      <c r="D9" s="10">
        <f t="shared" si="2"/>
        <v>63.549000000000134</v>
      </c>
      <c r="E9" s="7">
        <f>'[11]Sep Prod'!E8</f>
        <v>7000000</v>
      </c>
      <c r="F9" s="8">
        <f t="shared" si="3"/>
        <v>7</v>
      </c>
      <c r="G9" s="10">
        <f t="shared" si="4"/>
        <v>21.49</v>
      </c>
      <c r="H9" s="7">
        <f>'[11]Sep Prod'!F8</f>
        <v>16370000.000000002</v>
      </c>
      <c r="I9" s="8">
        <f t="shared" si="5"/>
        <v>16.37</v>
      </c>
      <c r="J9" s="10">
        <f t="shared" si="6"/>
        <v>50.255899999999997</v>
      </c>
      <c r="K9" s="7">
        <f>'[11]Sep Prod'!H256</f>
        <v>1867026</v>
      </c>
      <c r="L9" s="8">
        <f t="shared" si="7"/>
        <v>1.8670260000000001</v>
      </c>
      <c r="M9" s="10">
        <f t="shared" si="8"/>
        <v>5.7317698200000002</v>
      </c>
      <c r="N9" s="21"/>
      <c r="O9" s="7">
        <f>'[11]Sep Prod'!H8</f>
        <v>14253000.000000004</v>
      </c>
      <c r="P9" s="8">
        <f t="shared" si="9"/>
        <v>14.253000000000004</v>
      </c>
      <c r="Q9" s="10">
        <f t="shared" si="10"/>
        <v>43.756710000000012</v>
      </c>
      <c r="R9" s="7">
        <f>'[11]Sep Prod'!C8</f>
        <v>14511000</v>
      </c>
      <c r="S9" s="8">
        <f t="shared" si="11"/>
        <v>14.510999999999999</v>
      </c>
      <c r="T9" s="10">
        <f t="shared" si="12"/>
        <v>44.548769999999998</v>
      </c>
      <c r="U9" s="7">
        <f>'[11]Sep Prod'!D8</f>
        <v>0</v>
      </c>
      <c r="V9" s="8">
        <f t="shared" si="13"/>
        <v>0</v>
      </c>
      <c r="W9" s="10">
        <f t="shared" si="14"/>
        <v>0</v>
      </c>
      <c r="X9" s="7">
        <f>'[11]Sep Prod'!D256</f>
        <v>257999.99999999558</v>
      </c>
      <c r="Y9" s="8">
        <f t="shared" si="15"/>
        <v>0.25799999999999557</v>
      </c>
      <c r="Z9" s="10">
        <f t="shared" si="16"/>
        <v>0.79205999999998633</v>
      </c>
      <c r="AA9" s="15"/>
      <c r="AB9" s="7">
        <f t="shared" si="17"/>
        <v>34953000.000000045</v>
      </c>
      <c r="AC9" s="8">
        <f t="shared" si="17"/>
        <v>34.953000000000046</v>
      </c>
      <c r="AD9" s="8">
        <f t="shared" si="17"/>
        <v>107.30571000000015</v>
      </c>
      <c r="AF9" s="8">
        <f t="shared" si="18"/>
        <v>-1.2212453270876722E-15</v>
      </c>
    </row>
    <row r="10" spans="1:32" x14ac:dyDescent="0.25">
      <c r="A10" s="27">
        <v>38601</v>
      </c>
      <c r="B10" s="7">
        <f>'[11]Sep Prod'!I9</f>
        <v>20700000.000000045</v>
      </c>
      <c r="C10" s="8">
        <f t="shared" si="1"/>
        <v>20.700000000000045</v>
      </c>
      <c r="D10" s="10">
        <f t="shared" si="2"/>
        <v>63.549000000000134</v>
      </c>
      <c r="E10" s="7">
        <f>'[11]Sep Prod'!E9</f>
        <v>7000000</v>
      </c>
      <c r="F10" s="8">
        <f t="shared" si="3"/>
        <v>7</v>
      </c>
      <c r="G10" s="10">
        <f t="shared" si="4"/>
        <v>21.49</v>
      </c>
      <c r="H10" s="7">
        <f>'[11]Sep Prod'!F9</f>
        <v>16440000.000000002</v>
      </c>
      <c r="I10" s="8">
        <f t="shared" si="5"/>
        <v>16.440000000000001</v>
      </c>
      <c r="J10" s="10">
        <f t="shared" si="6"/>
        <v>50.470800000000004</v>
      </c>
      <c r="K10" s="7">
        <f>'[11]Sep Prod'!H257</f>
        <v>2015104</v>
      </c>
      <c r="L10" s="8">
        <f t="shared" si="7"/>
        <v>2.015104</v>
      </c>
      <c r="M10" s="10">
        <f t="shared" si="8"/>
        <v>6.1863692800000001</v>
      </c>
      <c r="N10" s="21"/>
      <c r="O10" s="7">
        <f>'[11]Sep Prod'!H9</f>
        <v>14325999.999999996</v>
      </c>
      <c r="P10" s="8">
        <f t="shared" si="9"/>
        <v>14.325999999999997</v>
      </c>
      <c r="Q10" s="10">
        <f t="shared" si="10"/>
        <v>43.980819999999987</v>
      </c>
      <c r="R10" s="7">
        <f>'[11]Sep Prod'!C9</f>
        <v>14590000</v>
      </c>
      <c r="S10" s="8">
        <f t="shared" si="11"/>
        <v>14.59</v>
      </c>
      <c r="T10" s="10">
        <f t="shared" si="12"/>
        <v>44.7913</v>
      </c>
      <c r="U10" s="7">
        <f>'[11]Sep Prod'!D9</f>
        <v>0</v>
      </c>
      <c r="V10" s="8">
        <f t="shared" si="13"/>
        <v>0</v>
      </c>
      <c r="W10" s="10">
        <f t="shared" si="14"/>
        <v>0</v>
      </c>
      <c r="X10" s="7">
        <f>'[11]Sep Prod'!D257</f>
        <v>264000.00000000291</v>
      </c>
      <c r="Y10" s="8">
        <f t="shared" si="15"/>
        <v>0.2640000000000029</v>
      </c>
      <c r="Z10" s="10">
        <f t="shared" si="16"/>
        <v>0.81048000000000886</v>
      </c>
      <c r="AA10" s="15"/>
      <c r="AB10" s="7">
        <f t="shared" si="17"/>
        <v>35026000.000000045</v>
      </c>
      <c r="AC10" s="8">
        <f t="shared" si="17"/>
        <v>35.026000000000039</v>
      </c>
      <c r="AD10" s="8">
        <f t="shared" si="17"/>
        <v>107.52982000000011</v>
      </c>
      <c r="AF10" s="8">
        <f t="shared" si="18"/>
        <v>3.6637359812630166E-15</v>
      </c>
    </row>
    <row r="11" spans="1:32" x14ac:dyDescent="0.25">
      <c r="A11" s="27">
        <v>38602</v>
      </c>
      <c r="B11" s="7">
        <f>'[11]Sep Prod'!I10</f>
        <v>21099999.999999911</v>
      </c>
      <c r="C11" s="8">
        <f t="shared" si="1"/>
        <v>21.099999999999909</v>
      </c>
      <c r="D11" s="10">
        <f t="shared" si="2"/>
        <v>64.776999999999717</v>
      </c>
      <c r="E11" s="7">
        <f>'[11]Sep Prod'!E10</f>
        <v>6000000</v>
      </c>
      <c r="F11" s="8">
        <f t="shared" si="3"/>
        <v>6</v>
      </c>
      <c r="G11" s="10">
        <f t="shared" si="4"/>
        <v>18.419999999999998</v>
      </c>
      <c r="H11" s="7">
        <f>'[11]Sep Prod'!F10</f>
        <v>18770000</v>
      </c>
      <c r="I11" s="8">
        <f t="shared" si="5"/>
        <v>18.77</v>
      </c>
      <c r="J11" s="10">
        <f t="shared" si="6"/>
        <v>57.623899999999999</v>
      </c>
      <c r="K11" s="7">
        <f>'[11]Sep Prod'!H258</f>
        <v>1985000</v>
      </c>
      <c r="L11" s="8">
        <f t="shared" si="7"/>
        <v>1.9850000000000001</v>
      </c>
      <c r="M11" s="10">
        <f t="shared" si="8"/>
        <v>6.0939500000000004</v>
      </c>
      <c r="N11" s="21"/>
      <c r="O11" s="7">
        <f>'[11]Sep Prod'!H10</f>
        <v>8654999.9999999981</v>
      </c>
      <c r="P11" s="8">
        <f t="shared" si="9"/>
        <v>8.6549999999999976</v>
      </c>
      <c r="Q11" s="10">
        <f t="shared" si="10"/>
        <v>26.570849999999993</v>
      </c>
      <c r="R11" s="7">
        <f>'[11]Sep Prod'!C10</f>
        <v>8956000</v>
      </c>
      <c r="S11" s="8">
        <f t="shared" si="11"/>
        <v>8.9559999999999995</v>
      </c>
      <c r="T11" s="10">
        <f t="shared" si="12"/>
        <v>27.494919999999997</v>
      </c>
      <c r="U11" s="7">
        <f>'[11]Sep Prod'!D10</f>
        <v>0</v>
      </c>
      <c r="V11" s="8">
        <f t="shared" si="13"/>
        <v>0</v>
      </c>
      <c r="W11" s="10">
        <f t="shared" si="14"/>
        <v>0</v>
      </c>
      <c r="X11" s="7">
        <f>'[11]Sep Prod'!D258</f>
        <v>301000.00000000192</v>
      </c>
      <c r="Y11" s="8">
        <f t="shared" si="15"/>
        <v>0.30100000000000193</v>
      </c>
      <c r="Z11" s="10">
        <f t="shared" si="16"/>
        <v>0.92407000000000583</v>
      </c>
      <c r="AA11" s="15"/>
      <c r="AB11" s="7">
        <f t="shared" si="17"/>
        <v>29754999.999999911</v>
      </c>
      <c r="AC11" s="8">
        <f t="shared" si="17"/>
        <v>29.754999999999907</v>
      </c>
      <c r="AD11" s="8">
        <f t="shared" si="17"/>
        <v>91.34784999999971</v>
      </c>
      <c r="AF11" s="8">
        <f t="shared" si="18"/>
        <v>-1.8873791418627661E-15</v>
      </c>
    </row>
    <row r="12" spans="1:32" x14ac:dyDescent="0.25">
      <c r="A12" s="27">
        <v>38603</v>
      </c>
      <c r="B12" s="7">
        <f>'[11]Sep Prod'!I11</f>
        <v>25100000.000000138</v>
      </c>
      <c r="C12" s="8">
        <f t="shared" si="1"/>
        <v>25.100000000000136</v>
      </c>
      <c r="D12" s="10">
        <f t="shared" si="2"/>
        <v>77.057000000000414</v>
      </c>
      <c r="E12" s="7">
        <f>'[11]Sep Prod'!E11</f>
        <v>6000000</v>
      </c>
      <c r="F12" s="8">
        <f t="shared" si="3"/>
        <v>6</v>
      </c>
      <c r="G12" s="10">
        <f t="shared" si="4"/>
        <v>18.419999999999998</v>
      </c>
      <c r="H12" s="7">
        <f>'[11]Sep Prod'!F11</f>
        <v>22460000</v>
      </c>
      <c r="I12" s="8">
        <f t="shared" si="5"/>
        <v>22.46</v>
      </c>
      <c r="J12" s="10">
        <f t="shared" si="6"/>
        <v>68.952200000000005</v>
      </c>
      <c r="K12" s="7">
        <f>'[11]Sep Prod'!H259</f>
        <v>2271378</v>
      </c>
      <c r="L12" s="8">
        <f t="shared" si="7"/>
        <v>2.2713779999999999</v>
      </c>
      <c r="M12" s="10">
        <f t="shared" si="8"/>
        <v>6.9731304599999993</v>
      </c>
      <c r="N12" s="21"/>
      <c r="O12" s="7">
        <f>'[11]Sep Prod'!H11</f>
        <v>9761000.0000000019</v>
      </c>
      <c r="P12" s="8">
        <f t="shared" si="9"/>
        <v>9.761000000000001</v>
      </c>
      <c r="Q12" s="10">
        <f t="shared" si="10"/>
        <v>29.966270000000002</v>
      </c>
      <c r="R12" s="7">
        <f>'[11]Sep Prod'!C11</f>
        <v>10341000</v>
      </c>
      <c r="S12" s="8">
        <f t="shared" si="11"/>
        <v>10.340999999999999</v>
      </c>
      <c r="T12" s="10">
        <f t="shared" si="12"/>
        <v>31.746869999999998</v>
      </c>
      <c r="U12" s="7">
        <f>'[11]Sep Prod'!D11</f>
        <v>0</v>
      </c>
      <c r="V12" s="8">
        <f t="shared" si="13"/>
        <v>0</v>
      </c>
      <c r="W12" s="10">
        <f t="shared" si="14"/>
        <v>0</v>
      </c>
      <c r="X12" s="7">
        <f>'[11]Sep Prod'!D259</f>
        <v>579999.99999999825</v>
      </c>
      <c r="Y12" s="8">
        <f t="shared" si="15"/>
        <v>0.57999999999999829</v>
      </c>
      <c r="Z12" s="10">
        <f t="shared" si="16"/>
        <v>1.7805999999999946</v>
      </c>
      <c r="AA12" s="15"/>
      <c r="AB12" s="7">
        <f t="shared" si="17"/>
        <v>34861000.000000142</v>
      </c>
      <c r="AC12" s="8">
        <f t="shared" si="17"/>
        <v>34.861000000000139</v>
      </c>
      <c r="AD12" s="8">
        <f t="shared" si="17"/>
        <v>107.02327000000042</v>
      </c>
      <c r="AF12" s="8">
        <f t="shared" si="18"/>
        <v>0</v>
      </c>
    </row>
    <row r="13" spans="1:32" x14ac:dyDescent="0.25">
      <c r="A13" s="27">
        <v>38604</v>
      </c>
      <c r="B13" s="7">
        <f>'[11]Sep Prod'!I12</f>
        <v>20199999.999999817</v>
      </c>
      <c r="C13" s="8">
        <f t="shared" si="1"/>
        <v>20.199999999999818</v>
      </c>
      <c r="D13" s="10">
        <f t="shared" si="2"/>
        <v>62.013999999999442</v>
      </c>
      <c r="E13" s="7">
        <f>'[11]Sep Prod'!E12</f>
        <v>5000000</v>
      </c>
      <c r="F13" s="8">
        <f t="shared" si="3"/>
        <v>5</v>
      </c>
      <c r="G13" s="10">
        <f t="shared" si="4"/>
        <v>15.35</v>
      </c>
      <c r="H13" s="7">
        <f>'[11]Sep Prod'!F12</f>
        <v>18220000</v>
      </c>
      <c r="I13" s="8">
        <f t="shared" si="5"/>
        <v>18.22</v>
      </c>
      <c r="J13" s="10">
        <f t="shared" si="6"/>
        <v>55.935399999999994</v>
      </c>
      <c r="K13" s="7">
        <f>'[11]Sep Prod'!H260</f>
        <v>1973441</v>
      </c>
      <c r="L13" s="8">
        <f t="shared" si="7"/>
        <v>1.973441</v>
      </c>
      <c r="M13" s="10">
        <f t="shared" si="8"/>
        <v>6.0584638699999998</v>
      </c>
      <c r="N13" s="21"/>
      <c r="O13" s="7">
        <f>'[11]Sep Prod'!H12</f>
        <v>13232000</v>
      </c>
      <c r="P13" s="8">
        <f t="shared" si="9"/>
        <v>13.231999999999999</v>
      </c>
      <c r="Q13" s="10">
        <f t="shared" si="10"/>
        <v>40.622239999999998</v>
      </c>
      <c r="R13" s="7">
        <f>'[11]Sep Prod'!C12</f>
        <v>13525000</v>
      </c>
      <c r="S13" s="8">
        <f t="shared" si="11"/>
        <v>13.525</v>
      </c>
      <c r="T13" s="10">
        <f t="shared" si="12"/>
        <v>41.521749999999997</v>
      </c>
      <c r="U13" s="7">
        <f>'[11]Sep Prod'!D12</f>
        <v>0</v>
      </c>
      <c r="V13" s="8">
        <f t="shared" si="13"/>
        <v>0</v>
      </c>
      <c r="W13" s="10">
        <f t="shared" si="14"/>
        <v>0</v>
      </c>
      <c r="X13" s="7">
        <f>'[11]Sep Prod'!D260</f>
        <v>292999.99999999924</v>
      </c>
      <c r="Y13" s="8">
        <f t="shared" si="15"/>
        <v>0.29299999999999926</v>
      </c>
      <c r="Z13" s="10">
        <f t="shared" si="16"/>
        <v>0.8995099999999977</v>
      </c>
      <c r="AA13" s="15"/>
      <c r="AB13" s="7">
        <f t="shared" si="17"/>
        <v>33431999.999999817</v>
      </c>
      <c r="AC13" s="8">
        <f t="shared" si="17"/>
        <v>33.431999999999817</v>
      </c>
      <c r="AD13" s="8">
        <f t="shared" si="17"/>
        <v>102.63623999999945</v>
      </c>
      <c r="AF13" s="8">
        <f t="shared" si="18"/>
        <v>1.6653345369377348E-15</v>
      </c>
    </row>
    <row r="14" spans="1:32" x14ac:dyDescent="0.25">
      <c r="A14" s="27">
        <v>38605</v>
      </c>
      <c r="B14" s="7">
        <f>'[11]Sep Prod'!I13</f>
        <v>19900000.000000089</v>
      </c>
      <c r="C14" s="8">
        <f t="shared" si="1"/>
        <v>19.900000000000091</v>
      </c>
      <c r="D14" s="10">
        <f t="shared" si="2"/>
        <v>61.093000000000274</v>
      </c>
      <c r="E14" s="7">
        <f>'[11]Sep Prod'!E13</f>
        <v>5000000</v>
      </c>
      <c r="F14" s="8">
        <f t="shared" si="3"/>
        <v>5</v>
      </c>
      <c r="G14" s="10">
        <f t="shared" si="4"/>
        <v>15.35</v>
      </c>
      <c r="H14" s="7">
        <f>'[11]Sep Prod'!F13</f>
        <v>18130000</v>
      </c>
      <c r="I14" s="8">
        <f t="shared" si="5"/>
        <v>18.13</v>
      </c>
      <c r="J14" s="10">
        <f t="shared" si="6"/>
        <v>55.659099999999995</v>
      </c>
      <c r="K14" s="7">
        <f>'[11]Sep Prod'!H261</f>
        <v>1852020</v>
      </c>
      <c r="L14" s="8">
        <f t="shared" si="7"/>
        <v>1.85202</v>
      </c>
      <c r="M14" s="10">
        <f t="shared" si="8"/>
        <v>5.6857014000000001</v>
      </c>
      <c r="N14" s="21"/>
      <c r="O14" s="7">
        <f>'[11]Sep Prod'!H13</f>
        <v>13535999.999999998</v>
      </c>
      <c r="P14" s="8">
        <f t="shared" si="9"/>
        <v>13.535999999999998</v>
      </c>
      <c r="Q14" s="10">
        <f t="shared" si="10"/>
        <v>41.555519999999994</v>
      </c>
      <c r="R14" s="7">
        <f>'[11]Sep Prod'!C13</f>
        <v>13910000</v>
      </c>
      <c r="S14" s="8">
        <f t="shared" si="11"/>
        <v>13.91</v>
      </c>
      <c r="T14" s="10">
        <f t="shared" si="12"/>
        <v>42.703699999999998</v>
      </c>
      <c r="U14" s="7">
        <f>'[11]Sep Prod'!D13</f>
        <v>0</v>
      </c>
      <c r="V14" s="8">
        <f t="shared" si="13"/>
        <v>0</v>
      </c>
      <c r="W14" s="10">
        <f t="shared" si="14"/>
        <v>0</v>
      </c>
      <c r="X14" s="7">
        <f>'[11]Sep Prod'!D261</f>
        <v>374000.00000000233</v>
      </c>
      <c r="Y14" s="8">
        <f t="shared" si="15"/>
        <v>0.37400000000000233</v>
      </c>
      <c r="Z14" s="10">
        <f t="shared" si="16"/>
        <v>1.1481800000000071</v>
      </c>
      <c r="AA14" s="15"/>
      <c r="AB14" s="7">
        <f t="shared" si="17"/>
        <v>33436000.000000089</v>
      </c>
      <c r="AC14" s="8">
        <f t="shared" si="17"/>
        <v>33.436000000000092</v>
      </c>
      <c r="AD14" s="8">
        <f t="shared" si="17"/>
        <v>102.64852000000027</v>
      </c>
      <c r="AF14" s="8">
        <f t="shared" si="18"/>
        <v>-3.5527136788005009E-15</v>
      </c>
    </row>
    <row r="15" spans="1:32" x14ac:dyDescent="0.25">
      <c r="A15" s="27">
        <v>38606</v>
      </c>
      <c r="B15" s="7">
        <f>'[11]Sep Prod'!I14</f>
        <v>20900000.000000089</v>
      </c>
      <c r="C15" s="8">
        <f t="shared" si="1"/>
        <v>20.900000000000091</v>
      </c>
      <c r="D15" s="10">
        <f t="shared" si="2"/>
        <v>64.163000000000281</v>
      </c>
      <c r="E15" s="7">
        <f>'[11]Sep Prod'!E14</f>
        <v>7000000</v>
      </c>
      <c r="F15" s="8">
        <f t="shared" si="3"/>
        <v>7</v>
      </c>
      <c r="G15" s="10">
        <f t="shared" si="4"/>
        <v>21.49</v>
      </c>
      <c r="H15" s="7">
        <f>'[11]Sep Prod'!F14</f>
        <v>17410000</v>
      </c>
      <c r="I15" s="8">
        <f t="shared" si="5"/>
        <v>17.41</v>
      </c>
      <c r="J15" s="10">
        <f t="shared" si="6"/>
        <v>53.448699999999995</v>
      </c>
      <c r="K15" s="7">
        <f>'[11]Sep Prod'!H262</f>
        <v>1954162</v>
      </c>
      <c r="L15" s="8">
        <f t="shared" si="7"/>
        <v>1.954162</v>
      </c>
      <c r="M15" s="10">
        <f t="shared" si="8"/>
        <v>5.9992773399999999</v>
      </c>
      <c r="N15" s="21"/>
      <c r="O15" s="7">
        <f>'[11]Sep Prod'!H14</f>
        <v>13830000.000000002</v>
      </c>
      <c r="P15" s="8">
        <f t="shared" si="9"/>
        <v>13.830000000000002</v>
      </c>
      <c r="Q15" s="10">
        <f t="shared" si="10"/>
        <v>42.458100000000002</v>
      </c>
      <c r="R15" s="7">
        <f>'[11]Sep Prod'!C14</f>
        <v>14090000</v>
      </c>
      <c r="S15" s="8">
        <f t="shared" si="11"/>
        <v>14.09</v>
      </c>
      <c r="T15" s="10">
        <f t="shared" si="12"/>
        <v>43.256299999999996</v>
      </c>
      <c r="U15" s="7">
        <f>'[11]Sep Prod'!D14</f>
        <v>0</v>
      </c>
      <c r="V15" s="8">
        <f t="shared" si="13"/>
        <v>0</v>
      </c>
      <c r="W15" s="10">
        <f t="shared" si="14"/>
        <v>0</v>
      </c>
      <c r="X15" s="7">
        <f>'[11]Sep Prod'!D262</f>
        <v>259999.99999999802</v>
      </c>
      <c r="Y15" s="8">
        <f t="shared" si="15"/>
        <v>0.25999999999999801</v>
      </c>
      <c r="Z15" s="10">
        <f t="shared" si="16"/>
        <v>0.7981999999999938</v>
      </c>
      <c r="AA15" s="15"/>
      <c r="AB15" s="7">
        <f t="shared" si="17"/>
        <v>34730000.000000089</v>
      </c>
      <c r="AC15" s="8">
        <f t="shared" si="17"/>
        <v>34.730000000000089</v>
      </c>
      <c r="AD15" s="8">
        <f t="shared" si="17"/>
        <v>106.62110000000028</v>
      </c>
      <c r="AF15" s="8">
        <f>T15-Q15-Z15</f>
        <v>0</v>
      </c>
    </row>
    <row r="16" spans="1:32" x14ac:dyDescent="0.25">
      <c r="A16" s="27">
        <v>38607</v>
      </c>
      <c r="B16" s="7">
        <f>'[11]Sep Prod'!I15</f>
        <v>19899999.999999862</v>
      </c>
      <c r="C16" s="8">
        <f t="shared" si="1"/>
        <v>19.899999999999864</v>
      </c>
      <c r="D16" s="10">
        <f t="shared" si="2"/>
        <v>61.092999999999577</v>
      </c>
      <c r="E16" s="7">
        <f>'[11]Sep Prod'!E15</f>
        <v>11000000</v>
      </c>
      <c r="F16" s="8">
        <f t="shared" si="3"/>
        <v>11</v>
      </c>
      <c r="G16" s="10">
        <f t="shared" si="4"/>
        <v>33.769999999999996</v>
      </c>
      <c r="H16" s="7">
        <f>'[11]Sep Prod'!F15</f>
        <v>10380000</v>
      </c>
      <c r="I16" s="8">
        <f t="shared" si="5"/>
        <v>10.38</v>
      </c>
      <c r="J16" s="10">
        <f t="shared" si="6"/>
        <v>31.866600000000002</v>
      </c>
      <c r="K16" s="7">
        <f>'[11]Sep Prod'!H263</f>
        <v>1850855</v>
      </c>
      <c r="L16" s="8">
        <f t="shared" si="7"/>
        <v>1.8508549999999999</v>
      </c>
      <c r="M16" s="10">
        <f t="shared" si="8"/>
        <v>5.6821248499999992</v>
      </c>
      <c r="N16" s="21"/>
      <c r="O16" s="7">
        <f>'[11]Sep Prod'!H15</f>
        <v>14300000.000000002</v>
      </c>
      <c r="P16" s="8">
        <f t="shared" si="9"/>
        <v>14.300000000000002</v>
      </c>
      <c r="Q16" s="10">
        <f t="shared" si="10"/>
        <v>43.901000000000003</v>
      </c>
      <c r="R16" s="7">
        <f>'[11]Sep Prod'!C15</f>
        <v>14560000</v>
      </c>
      <c r="S16" s="8">
        <f t="shared" si="11"/>
        <v>14.56</v>
      </c>
      <c r="T16" s="10">
        <f t="shared" si="12"/>
        <v>44.699199999999998</v>
      </c>
      <c r="U16" s="7">
        <f>'[11]Sep Prod'!D15</f>
        <v>0</v>
      </c>
      <c r="V16" s="8">
        <f t="shared" si="13"/>
        <v>0</v>
      </c>
      <c r="W16" s="10">
        <f t="shared" si="14"/>
        <v>0</v>
      </c>
      <c r="X16" s="7">
        <f>'[11]Sep Prod'!D263</f>
        <v>259999.99999999802</v>
      </c>
      <c r="Y16" s="8">
        <f t="shared" si="15"/>
        <v>0.25999999999999801</v>
      </c>
      <c r="Z16" s="10">
        <f t="shared" si="16"/>
        <v>0.7981999999999938</v>
      </c>
      <c r="AA16" s="15"/>
      <c r="AB16" s="7">
        <f t="shared" si="17"/>
        <v>34199999.999999866</v>
      </c>
      <c r="AC16" s="8">
        <f t="shared" si="17"/>
        <v>34.199999999999868</v>
      </c>
      <c r="AD16" s="8">
        <f t="shared" si="17"/>
        <v>104.99399999999957</v>
      </c>
      <c r="AF16" s="8">
        <f>T16-Q16-Z16</f>
        <v>0</v>
      </c>
    </row>
    <row r="17" spans="1:32" x14ac:dyDescent="0.25">
      <c r="A17" s="27">
        <v>38608</v>
      </c>
      <c r="B17" s="7">
        <f>'[11]Sep Prod'!I16</f>
        <v>14900000.000000091</v>
      </c>
      <c r="C17" s="8">
        <f t="shared" si="1"/>
        <v>14.900000000000091</v>
      </c>
      <c r="D17" s="10">
        <f t="shared" si="2"/>
        <v>45.743000000000279</v>
      </c>
      <c r="E17" s="7">
        <f>'[11]Sep Prod'!E16</f>
        <v>4000000</v>
      </c>
      <c r="F17" s="8">
        <f t="shared" si="3"/>
        <v>4</v>
      </c>
      <c r="G17" s="10">
        <f t="shared" si="4"/>
        <v>12.28</v>
      </c>
      <c r="H17" s="7">
        <f>'[11]Sep Prod'!F16</f>
        <v>13020000</v>
      </c>
      <c r="I17" s="8">
        <f t="shared" si="5"/>
        <v>13.02</v>
      </c>
      <c r="J17" s="10">
        <f t="shared" si="6"/>
        <v>39.971399999999996</v>
      </c>
      <c r="K17" s="7">
        <f>'[11]Sep Prod'!H264</f>
        <v>1582023</v>
      </c>
      <c r="L17" s="8">
        <f t="shared" si="7"/>
        <v>1.582023</v>
      </c>
      <c r="M17" s="10">
        <f t="shared" si="8"/>
        <v>4.8568106099999993</v>
      </c>
      <c r="N17" s="21"/>
      <c r="O17" s="7">
        <f>'[11]Sep Prod'!H16</f>
        <v>10393000</v>
      </c>
      <c r="P17" s="8">
        <f t="shared" si="9"/>
        <v>10.393000000000001</v>
      </c>
      <c r="Q17" s="10">
        <f t="shared" si="10"/>
        <v>31.906510000000001</v>
      </c>
      <c r="R17" s="7">
        <f>'[11]Sep Prod'!C16</f>
        <v>10643000</v>
      </c>
      <c r="S17" s="8">
        <f t="shared" si="11"/>
        <v>10.643000000000001</v>
      </c>
      <c r="T17" s="10">
        <f t="shared" si="12"/>
        <v>32.674010000000003</v>
      </c>
      <c r="U17" s="7">
        <f>'[11]Sep Prod'!D16</f>
        <v>0</v>
      </c>
      <c r="V17" s="8">
        <f t="shared" si="13"/>
        <v>0</v>
      </c>
      <c r="W17" s="10">
        <f t="shared" si="14"/>
        <v>0</v>
      </c>
      <c r="X17" s="7">
        <f>'[11]Sep Prod'!D264</f>
        <v>250000</v>
      </c>
      <c r="Y17" s="8">
        <f t="shared" si="15"/>
        <v>0.25</v>
      </c>
      <c r="Z17" s="10">
        <f t="shared" si="16"/>
        <v>0.76749999999999996</v>
      </c>
      <c r="AA17" s="15"/>
      <c r="AB17" s="7">
        <f t="shared" si="17"/>
        <v>25293000.000000089</v>
      </c>
      <c r="AC17" s="8">
        <f t="shared" si="17"/>
        <v>25.293000000000092</v>
      </c>
      <c r="AD17" s="8">
        <f t="shared" si="17"/>
        <v>77.649510000000276</v>
      </c>
      <c r="AF17" s="8">
        <f>T17-Q17-Z17</f>
        <v>1.8873791418627661E-15</v>
      </c>
    </row>
    <row r="18" spans="1:32" x14ac:dyDescent="0.25">
      <c r="A18" s="27">
        <v>38609</v>
      </c>
      <c r="B18" s="7">
        <f>'[11]Sep Prod'!I17</f>
        <v>17599999.999999911</v>
      </c>
      <c r="C18" s="8">
        <f t="shared" si="1"/>
        <v>17.599999999999909</v>
      </c>
      <c r="D18" s="10">
        <f t="shared" si="2"/>
        <v>54.031999999999719</v>
      </c>
      <c r="E18" s="7">
        <f>'[11]Sep Prod'!E17</f>
        <v>4000000</v>
      </c>
      <c r="F18" s="8">
        <f t="shared" si="3"/>
        <v>4</v>
      </c>
      <c r="G18" s="10">
        <f t="shared" si="4"/>
        <v>12.28</v>
      </c>
      <c r="H18" s="7">
        <f>'[11]Sep Prod'!F17</f>
        <v>15480000</v>
      </c>
      <c r="I18" s="8">
        <f t="shared" si="5"/>
        <v>15.48</v>
      </c>
      <c r="J18" s="10">
        <f t="shared" si="6"/>
        <v>47.523600000000002</v>
      </c>
      <c r="K18" s="7">
        <f>'[11]Sep Prod'!H265</f>
        <v>1809497</v>
      </c>
      <c r="L18" s="8">
        <f t="shared" si="7"/>
        <v>1.8094969999999999</v>
      </c>
      <c r="M18" s="10">
        <f t="shared" si="8"/>
        <v>5.5551557899999997</v>
      </c>
      <c r="N18" s="21"/>
      <c r="O18" s="7">
        <f>'[11]Sep Prod'!H17</f>
        <v>12906999.999999996</v>
      </c>
      <c r="P18" s="8">
        <f t="shared" si="9"/>
        <v>12.906999999999996</v>
      </c>
      <c r="Q18" s="10">
        <f t="shared" si="10"/>
        <v>39.624489999999987</v>
      </c>
      <c r="R18" s="7">
        <f>'[11]Sep Prod'!C17</f>
        <v>13046000</v>
      </c>
      <c r="S18" s="8">
        <f t="shared" si="11"/>
        <v>13.045999999999999</v>
      </c>
      <c r="T18" s="10">
        <f t="shared" si="12"/>
        <v>40.051219999999994</v>
      </c>
      <c r="U18" s="7">
        <f>'[11]Sep Prod'!D17</f>
        <v>0</v>
      </c>
      <c r="V18" s="8">
        <f t="shared" si="13"/>
        <v>0</v>
      </c>
      <c r="W18" s="10">
        <f t="shared" si="14"/>
        <v>0</v>
      </c>
      <c r="X18" s="7">
        <f>'[11]Sep Prod'!D265</f>
        <v>139000.00000000291</v>
      </c>
      <c r="Y18" s="8">
        <f t="shared" si="15"/>
        <v>0.1390000000000029</v>
      </c>
      <c r="Z18" s="10">
        <f t="shared" si="16"/>
        <v>0.42673000000000888</v>
      </c>
      <c r="AA18" s="15"/>
      <c r="AB18" s="7">
        <f t="shared" si="17"/>
        <v>30506999.999999907</v>
      </c>
      <c r="AC18" s="8">
        <f t="shared" si="17"/>
        <v>30.506999999999906</v>
      </c>
      <c r="AD18" s="8">
        <f t="shared" si="17"/>
        <v>93.656489999999707</v>
      </c>
      <c r="AF18" s="8">
        <f>T18-Q18-Z18</f>
        <v>-2.6090241078691179E-15</v>
      </c>
    </row>
    <row r="19" spans="1:32" x14ac:dyDescent="0.25">
      <c r="A19" s="27">
        <v>38610</v>
      </c>
      <c r="B19" s="7">
        <f>'[11]Sep Prod'!I18</f>
        <v>13500000</v>
      </c>
      <c r="C19" s="8">
        <f t="shared" si="1"/>
        <v>13.5</v>
      </c>
      <c r="D19" s="10">
        <f t="shared" si="2"/>
        <v>41.445</v>
      </c>
      <c r="E19" s="7">
        <f>'[11]Sep Prod'!E18</f>
        <v>3000000</v>
      </c>
      <c r="F19" s="8">
        <f t="shared" si="3"/>
        <v>3</v>
      </c>
      <c r="G19" s="10">
        <f t="shared" si="4"/>
        <v>9.2099999999999991</v>
      </c>
      <c r="H19" s="7">
        <f>'[11]Sep Prod'!F18</f>
        <v>11960000</v>
      </c>
      <c r="I19" s="8">
        <f t="shared" si="5"/>
        <v>11.96</v>
      </c>
      <c r="J19" s="10">
        <f t="shared" si="6"/>
        <v>36.717199999999998</v>
      </c>
      <c r="K19" s="7">
        <f>'[11]Sep Prod'!H266</f>
        <v>1319967</v>
      </c>
      <c r="L19" s="8">
        <f t="shared" si="7"/>
        <v>1.3199669999999999</v>
      </c>
      <c r="M19" s="10">
        <f t="shared" si="8"/>
        <v>4.0522986899999998</v>
      </c>
      <c r="N19" s="21"/>
      <c r="O19" s="7">
        <f>'[11]Sep Prod'!H18</f>
        <v>11502000.000000004</v>
      </c>
      <c r="P19" s="8">
        <f t="shared" si="9"/>
        <v>11.502000000000004</v>
      </c>
      <c r="Q19" s="10">
        <f t="shared" si="10"/>
        <v>35.311140000000009</v>
      </c>
      <c r="R19" s="7">
        <f>'[11]Sep Prod'!C18</f>
        <v>12095000</v>
      </c>
      <c r="S19" s="8">
        <f t="shared" si="11"/>
        <v>12.095000000000001</v>
      </c>
      <c r="T19" s="10">
        <f t="shared" si="12"/>
        <v>37.13165</v>
      </c>
      <c r="U19" s="7">
        <f>'[11]Sep Prod'!D18</f>
        <v>0</v>
      </c>
      <c r="V19" s="8">
        <f t="shared" si="13"/>
        <v>0</v>
      </c>
      <c r="W19" s="10">
        <f t="shared" si="14"/>
        <v>0</v>
      </c>
      <c r="X19" s="7">
        <f>'[11]Sep Prod'!D266</f>
        <v>592999.99999999639</v>
      </c>
      <c r="Y19" s="8">
        <f t="shared" si="15"/>
        <v>0.59299999999999642</v>
      </c>
      <c r="Z19" s="10">
        <f t="shared" si="16"/>
        <v>1.820509999999989</v>
      </c>
      <c r="AA19" s="15"/>
      <c r="AB19" s="7">
        <f t="shared" si="17"/>
        <v>25002000.000000004</v>
      </c>
      <c r="AC19" s="8">
        <f t="shared" si="17"/>
        <v>25.002000000000002</v>
      </c>
      <c r="AD19" s="8">
        <f>D19+Q19</f>
        <v>76.756140000000016</v>
      </c>
      <c r="AF19" s="8">
        <f>T19-Q19-Z19</f>
        <v>2.6645352591003757E-15</v>
      </c>
    </row>
    <row r="20" spans="1:32" x14ac:dyDescent="0.25">
      <c r="A20" s="27">
        <v>38611</v>
      </c>
      <c r="B20" s="7">
        <f>'[11]Sep Prod'!I19</f>
        <v>16900000.000000089</v>
      </c>
      <c r="C20" s="8">
        <f t="shared" si="1"/>
        <v>16.900000000000091</v>
      </c>
      <c r="D20" s="10">
        <f t="shared" si="2"/>
        <v>51.88300000000028</v>
      </c>
      <c r="E20" s="7">
        <f>'[11]Sep Prod'!E19</f>
        <v>5000000</v>
      </c>
      <c r="F20" s="8">
        <f t="shared" si="3"/>
        <v>5</v>
      </c>
      <c r="G20" s="10">
        <f t="shared" si="4"/>
        <v>15.35</v>
      </c>
      <c r="H20" s="7">
        <f>'[11]Sep Prod'!F19</f>
        <v>13570000</v>
      </c>
      <c r="I20" s="8">
        <f t="shared" si="5"/>
        <v>13.57</v>
      </c>
      <c r="J20" s="10">
        <f t="shared" si="6"/>
        <v>41.6599</v>
      </c>
      <c r="K20" s="7">
        <f>'[11]Sep Prod'!H267</f>
        <v>1574550</v>
      </c>
      <c r="L20" s="8">
        <f t="shared" si="7"/>
        <v>1.5745499999999999</v>
      </c>
      <c r="M20" s="10">
        <f t="shared" si="8"/>
        <v>4.8338684999999995</v>
      </c>
      <c r="N20" s="21"/>
      <c r="O20" s="7">
        <f>'[11]Sep Prod'!H19</f>
        <v>12435000</v>
      </c>
      <c r="P20" s="8">
        <f t="shared" si="9"/>
        <v>12.435</v>
      </c>
      <c r="Q20" s="10">
        <f t="shared" si="10"/>
        <v>38.175449999999998</v>
      </c>
      <c r="R20" s="7">
        <f>'[11]Sep Prod'!C19</f>
        <v>12825000</v>
      </c>
      <c r="S20" s="8">
        <f t="shared" si="11"/>
        <v>12.824999999999999</v>
      </c>
      <c r="T20" s="10">
        <f t="shared" si="12"/>
        <v>39.372749999999996</v>
      </c>
      <c r="U20" s="7">
        <f>'[11]Sep Prod'!D19</f>
        <v>0</v>
      </c>
      <c r="V20" s="8">
        <f t="shared" si="13"/>
        <v>0</v>
      </c>
      <c r="W20" s="10">
        <f t="shared" si="14"/>
        <v>0</v>
      </c>
      <c r="X20" s="7">
        <f>'[11]Sep Prod'!D267</f>
        <v>390000.00000000058</v>
      </c>
      <c r="Y20" s="8">
        <f t="shared" si="15"/>
        <v>0.39000000000000057</v>
      </c>
      <c r="Z20" s="10">
        <f t="shared" si="16"/>
        <v>1.1973000000000016</v>
      </c>
      <c r="AA20" s="15"/>
      <c r="AB20" s="7">
        <f t="shared" si="17"/>
        <v>29335000.000000089</v>
      </c>
      <c r="AC20" s="8">
        <f t="shared" si="17"/>
        <v>29.335000000000093</v>
      </c>
      <c r="AD20" s="8">
        <f t="shared" si="17"/>
        <v>90.058450000000278</v>
      </c>
      <c r="AF20" s="8">
        <f t="shared" ref="AF20:AF35" si="19">T20-Q20-Z20</f>
        <v>-3.1086244689504383E-15</v>
      </c>
    </row>
    <row r="21" spans="1:32" x14ac:dyDescent="0.25">
      <c r="A21" s="27">
        <v>38612</v>
      </c>
      <c r="B21" s="7">
        <f>'[11]Sep Prod'!I20</f>
        <v>20000000</v>
      </c>
      <c r="C21" s="8">
        <f t="shared" si="1"/>
        <v>20</v>
      </c>
      <c r="D21" s="10">
        <f t="shared" si="2"/>
        <v>61.4</v>
      </c>
      <c r="E21" s="7">
        <f>'[11]Sep Prod'!E20</f>
        <v>5000000</v>
      </c>
      <c r="F21" s="8">
        <f t="shared" si="3"/>
        <v>5</v>
      </c>
      <c r="G21" s="10">
        <f t="shared" si="4"/>
        <v>15.35</v>
      </c>
      <c r="H21" s="7">
        <f>'[11]Sep Prod'!F20</f>
        <v>17090000</v>
      </c>
      <c r="I21" s="8">
        <f t="shared" si="5"/>
        <v>17.09</v>
      </c>
      <c r="J21" s="10">
        <f t="shared" si="6"/>
        <v>52.466299999999997</v>
      </c>
      <c r="K21" s="7">
        <f>'[11]Sep Prod'!H268</f>
        <v>1787736</v>
      </c>
      <c r="L21" s="8">
        <f t="shared" si="7"/>
        <v>1.787736</v>
      </c>
      <c r="M21" s="10">
        <f t="shared" si="8"/>
        <v>5.4883495199999999</v>
      </c>
      <c r="N21" s="21"/>
      <c r="O21" s="7">
        <f>'[11]Sep Prod'!H20</f>
        <v>13081999.999999998</v>
      </c>
      <c r="P21" s="8">
        <f t="shared" si="9"/>
        <v>13.081999999999999</v>
      </c>
      <c r="Q21" s="10">
        <f t="shared" si="10"/>
        <v>40.161739999999995</v>
      </c>
      <c r="R21" s="7">
        <f>'[11]Sep Prod'!C20</f>
        <v>13212000</v>
      </c>
      <c r="S21" s="8">
        <f t="shared" si="11"/>
        <v>13.212</v>
      </c>
      <c r="T21" s="10">
        <f t="shared" si="12"/>
        <v>40.560839999999999</v>
      </c>
      <c r="U21" s="7">
        <f>'[11]Sep Prod'!D20</f>
        <v>0</v>
      </c>
      <c r="V21" s="8">
        <f t="shared" si="13"/>
        <v>0</v>
      </c>
      <c r="W21" s="10">
        <f t="shared" si="14"/>
        <v>0</v>
      </c>
      <c r="X21" s="7">
        <f>'[11]Sep Prod'!D268</f>
        <v>130000.00000000256</v>
      </c>
      <c r="Y21" s="8">
        <f t="shared" si="15"/>
        <v>0.13000000000000256</v>
      </c>
      <c r="Z21" s="10">
        <f t="shared" si="16"/>
        <v>0.39910000000000784</v>
      </c>
      <c r="AA21" s="15"/>
      <c r="AB21" s="7">
        <f t="shared" si="17"/>
        <v>33082000</v>
      </c>
      <c r="AC21" s="8">
        <f t="shared" si="17"/>
        <v>33.082000000000001</v>
      </c>
      <c r="AD21" s="8">
        <f t="shared" si="17"/>
        <v>101.56173999999999</v>
      </c>
      <c r="AF21" s="8">
        <f t="shared" si="19"/>
        <v>-3.6082248300317588E-15</v>
      </c>
    </row>
    <row r="22" spans="1:32" x14ac:dyDescent="0.25">
      <c r="A22" s="27">
        <v>38613</v>
      </c>
      <c r="B22" s="7">
        <f>'[11]Sep Prod'!I21</f>
        <v>18299999.999999955</v>
      </c>
      <c r="C22" s="8">
        <f t="shared" si="1"/>
        <v>18.299999999999955</v>
      </c>
      <c r="D22" s="10">
        <f t="shared" si="2"/>
        <v>56.180999999999855</v>
      </c>
      <c r="E22" s="7">
        <f>'[11]Sep Prod'!E21</f>
        <v>5000000</v>
      </c>
      <c r="F22" s="8">
        <f t="shared" si="3"/>
        <v>5</v>
      </c>
      <c r="G22" s="10">
        <f t="shared" si="4"/>
        <v>15.35</v>
      </c>
      <c r="H22" s="7">
        <f>'[11]Sep Prod'!F21</f>
        <v>15300000</v>
      </c>
      <c r="I22" s="8">
        <f t="shared" si="5"/>
        <v>15.3</v>
      </c>
      <c r="J22" s="10">
        <f t="shared" si="6"/>
        <v>46.970999999999997</v>
      </c>
      <c r="K22" s="7">
        <f>'[11]Sep Prod'!H269</f>
        <v>1740392</v>
      </c>
      <c r="L22" s="8">
        <f t="shared" si="7"/>
        <v>1.7403919999999999</v>
      </c>
      <c r="M22" s="10">
        <f t="shared" si="8"/>
        <v>5.3430034399999995</v>
      </c>
      <c r="N22" s="21"/>
      <c r="O22" s="7">
        <f>'[11]Sep Prod'!H21</f>
        <v>12523000</v>
      </c>
      <c r="P22" s="8">
        <f t="shared" si="9"/>
        <v>12.523</v>
      </c>
      <c r="Q22" s="10">
        <f t="shared" si="10"/>
        <v>38.445609999999995</v>
      </c>
      <c r="R22" s="7">
        <f>'[11]Sep Prod'!C21</f>
        <v>12782000</v>
      </c>
      <c r="S22" s="8">
        <f t="shared" si="11"/>
        <v>12.782</v>
      </c>
      <c r="T22" s="10">
        <f t="shared" si="12"/>
        <v>39.240739999999995</v>
      </c>
      <c r="U22" s="7">
        <f>'[11]Sep Prod'!D21</f>
        <v>0</v>
      </c>
      <c r="V22" s="8">
        <f t="shared" si="13"/>
        <v>0</v>
      </c>
      <c r="W22" s="10">
        <f t="shared" si="14"/>
        <v>0</v>
      </c>
      <c r="X22" s="7">
        <f>'[11]Sep Prod'!D269</f>
        <v>259000.00000000035</v>
      </c>
      <c r="Y22" s="8">
        <f t="shared" si="15"/>
        <v>0.25900000000000034</v>
      </c>
      <c r="Z22" s="10">
        <f t="shared" si="16"/>
        <v>0.795130000000001</v>
      </c>
      <c r="AA22" s="15"/>
      <c r="AB22" s="7">
        <f t="shared" si="17"/>
        <v>30822999.999999955</v>
      </c>
      <c r="AC22" s="8">
        <f t="shared" si="17"/>
        <v>30.822999999999954</v>
      </c>
      <c r="AD22" s="8">
        <f t="shared" si="17"/>
        <v>94.626609999999857</v>
      </c>
      <c r="AF22" s="8">
        <f t="shared" si="19"/>
        <v>0</v>
      </c>
    </row>
    <row r="23" spans="1:32" x14ac:dyDescent="0.25">
      <c r="A23" s="27">
        <v>38614</v>
      </c>
      <c r="B23" s="7">
        <f>'[11]Sep Prod'!I22</f>
        <v>18000000</v>
      </c>
      <c r="C23" s="8">
        <f t="shared" si="1"/>
        <v>18</v>
      </c>
      <c r="D23" s="10">
        <f t="shared" si="2"/>
        <v>55.26</v>
      </c>
      <c r="E23" s="7">
        <f>'[11]Sep Prod'!E22</f>
        <v>4000000</v>
      </c>
      <c r="F23" s="8">
        <f t="shared" si="3"/>
        <v>4</v>
      </c>
      <c r="G23" s="10">
        <f t="shared" si="4"/>
        <v>12.28</v>
      </c>
      <c r="H23" s="7">
        <f>'[11]Sep Prod'!F22</f>
        <v>15320000</v>
      </c>
      <c r="I23" s="8">
        <f t="shared" si="5"/>
        <v>15.32</v>
      </c>
      <c r="J23" s="10">
        <f t="shared" si="6"/>
        <v>47.032399999999996</v>
      </c>
      <c r="K23" s="7">
        <f>'[11]Sep Prod'!H270</f>
        <v>1719337</v>
      </c>
      <c r="L23" s="8">
        <f t="shared" si="7"/>
        <v>1.7193369999999999</v>
      </c>
      <c r="M23" s="10">
        <f t="shared" si="8"/>
        <v>5.2783645899999998</v>
      </c>
      <c r="N23" s="21"/>
      <c r="O23" s="7">
        <f>'[11]Sep Prod'!H22</f>
        <v>13479000.000000002</v>
      </c>
      <c r="P23" s="8">
        <f t="shared" si="9"/>
        <v>13.479000000000001</v>
      </c>
      <c r="Q23" s="10">
        <f t="shared" si="10"/>
        <v>41.38053</v>
      </c>
      <c r="R23" s="7">
        <f>'[11]Sep Prod'!C22</f>
        <v>13739000</v>
      </c>
      <c r="S23" s="8">
        <f t="shared" si="11"/>
        <v>13.739000000000001</v>
      </c>
      <c r="T23" s="10">
        <f t="shared" si="12"/>
        <v>42.178730000000002</v>
      </c>
      <c r="U23" s="7">
        <f>'[11]Sep Prod'!D22</f>
        <v>0</v>
      </c>
      <c r="V23" s="8">
        <f t="shared" si="13"/>
        <v>0</v>
      </c>
      <c r="W23" s="10">
        <f t="shared" si="14"/>
        <v>0</v>
      </c>
      <c r="X23" s="7">
        <f>'[11]Sep Prod'!D270</f>
        <v>259999.99999999802</v>
      </c>
      <c r="Y23" s="8">
        <f t="shared" si="15"/>
        <v>0.25999999999999801</v>
      </c>
      <c r="Z23" s="10">
        <f t="shared" si="16"/>
        <v>0.7981999999999938</v>
      </c>
      <c r="AA23" s="15"/>
      <c r="AB23" s="7">
        <f t="shared" si="17"/>
        <v>31479000</v>
      </c>
      <c r="AC23" s="8">
        <f t="shared" si="17"/>
        <v>31.478999999999999</v>
      </c>
      <c r="AD23" s="8">
        <f t="shared" si="17"/>
        <v>96.640529999999998</v>
      </c>
      <c r="AF23" s="8">
        <f t="shared" si="19"/>
        <v>7.5495165674510645E-15</v>
      </c>
    </row>
    <row r="24" spans="1:32" x14ac:dyDescent="0.25">
      <c r="A24" s="27">
        <v>38615</v>
      </c>
      <c r="B24" s="7">
        <f>'[11]Sep Prod'!I23</f>
        <v>18000000</v>
      </c>
      <c r="C24" s="8">
        <f t="shared" si="1"/>
        <v>18</v>
      </c>
      <c r="D24" s="10">
        <f t="shared" si="2"/>
        <v>55.26</v>
      </c>
      <c r="E24" s="7">
        <f>'[11]Sep Prod'!E23</f>
        <v>4000000</v>
      </c>
      <c r="F24" s="8">
        <f t="shared" si="3"/>
        <v>4</v>
      </c>
      <c r="G24" s="10">
        <f t="shared" si="4"/>
        <v>12.28</v>
      </c>
      <c r="H24" s="7">
        <f>'[11]Sep Prod'!F23</f>
        <v>15370000</v>
      </c>
      <c r="I24" s="8">
        <f t="shared" si="5"/>
        <v>15.37</v>
      </c>
      <c r="J24" s="10">
        <f t="shared" si="6"/>
        <v>47.185899999999997</v>
      </c>
      <c r="K24" s="7">
        <f>'[11]Sep Prod'!H271</f>
        <v>1446428</v>
      </c>
      <c r="L24" s="8">
        <f t="shared" si="7"/>
        <v>1.446428</v>
      </c>
      <c r="M24" s="10">
        <f t="shared" si="8"/>
        <v>4.4405339599999998</v>
      </c>
      <c r="N24" s="21"/>
      <c r="O24" s="7">
        <f>'[11]Sep Prod'!H23</f>
        <v>12732999.999999996</v>
      </c>
      <c r="P24" s="8">
        <f t="shared" si="9"/>
        <v>12.732999999999997</v>
      </c>
      <c r="Q24" s="10">
        <f t="shared" si="10"/>
        <v>39.090309999999988</v>
      </c>
      <c r="R24" s="7">
        <f>'[11]Sep Prod'!C23</f>
        <v>13125000</v>
      </c>
      <c r="S24" s="8">
        <f t="shared" si="11"/>
        <v>13.125</v>
      </c>
      <c r="T24" s="10">
        <f t="shared" si="12"/>
        <v>40.293749999999996</v>
      </c>
      <c r="U24" s="7">
        <f>'[11]Sep Prod'!D23</f>
        <v>0</v>
      </c>
      <c r="V24" s="8">
        <f t="shared" si="13"/>
        <v>0</v>
      </c>
      <c r="W24" s="10">
        <f t="shared" si="14"/>
        <v>0</v>
      </c>
      <c r="X24" s="7">
        <f>'[11]Sep Prod'!D271</f>
        <v>392000.00000000303</v>
      </c>
      <c r="Y24" s="8">
        <f t="shared" si="15"/>
        <v>0.39200000000000301</v>
      </c>
      <c r="Z24" s="10">
        <f t="shared" si="16"/>
        <v>1.2034400000000092</v>
      </c>
      <c r="AA24" s="15"/>
      <c r="AB24" s="7">
        <f t="shared" si="17"/>
        <v>30732999.999999996</v>
      </c>
      <c r="AC24" s="8">
        <f t="shared" si="17"/>
        <v>30.732999999999997</v>
      </c>
      <c r="AD24" s="8">
        <f>D24+Q24</f>
        <v>94.350309999999979</v>
      </c>
      <c r="AF24" s="8">
        <f t="shared" si="19"/>
        <v>0</v>
      </c>
    </row>
    <row r="25" spans="1:32" x14ac:dyDescent="0.25">
      <c r="A25" s="27">
        <v>38616</v>
      </c>
      <c r="B25" s="7">
        <f>'[11]Sep Prod'!I24</f>
        <v>17599999.999999911</v>
      </c>
      <c r="C25" s="8">
        <f t="shared" si="1"/>
        <v>17.599999999999909</v>
      </c>
      <c r="D25" s="10">
        <f t="shared" si="2"/>
        <v>54.031999999999719</v>
      </c>
      <c r="E25" s="7">
        <f>'[11]Sep Prod'!E24</f>
        <v>4000000</v>
      </c>
      <c r="F25" s="8">
        <f t="shared" si="3"/>
        <v>4</v>
      </c>
      <c r="G25" s="10">
        <f t="shared" si="4"/>
        <v>12.28</v>
      </c>
      <c r="H25" s="7">
        <f>'[11]Sep Prod'!F24</f>
        <v>14330000</v>
      </c>
      <c r="I25" s="8">
        <f t="shared" si="5"/>
        <v>14.33</v>
      </c>
      <c r="J25" s="10">
        <f t="shared" si="6"/>
        <v>43.993099999999998</v>
      </c>
      <c r="K25" s="7">
        <f>'[11]Sep Prod'!H272</f>
        <v>1580969</v>
      </c>
      <c r="L25" s="8">
        <f t="shared" si="7"/>
        <v>1.5809690000000001</v>
      </c>
      <c r="M25" s="10">
        <f t="shared" si="8"/>
        <v>4.8535748300000003</v>
      </c>
      <c r="N25" s="21"/>
      <c r="O25" s="7">
        <f>'[11]Sep Prod'!H24</f>
        <v>11428000</v>
      </c>
      <c r="P25" s="8">
        <f t="shared" si="9"/>
        <v>11.428000000000001</v>
      </c>
      <c r="Q25" s="10">
        <f t="shared" si="10"/>
        <v>35.083959999999998</v>
      </c>
      <c r="R25" s="7">
        <f>'[11]Sep Prod'!C24</f>
        <v>11693000</v>
      </c>
      <c r="S25" s="8">
        <f t="shared" si="11"/>
        <v>11.693</v>
      </c>
      <c r="T25" s="10">
        <f t="shared" si="12"/>
        <v>35.897509999999997</v>
      </c>
      <c r="U25" s="7">
        <f>'[11]Sep Prod'!D24</f>
        <v>0</v>
      </c>
      <c r="V25" s="8">
        <f t="shared" si="13"/>
        <v>0</v>
      </c>
      <c r="W25" s="10">
        <f t="shared" si="14"/>
        <v>0</v>
      </c>
      <c r="X25" s="7">
        <f>'[11]Sep Prod'!D272</f>
        <v>265000.00000000058</v>
      </c>
      <c r="Y25" s="8">
        <f t="shared" si="15"/>
        <v>0.26500000000000057</v>
      </c>
      <c r="Z25" s="10">
        <f t="shared" si="16"/>
        <v>0.81355000000000166</v>
      </c>
      <c r="AA25" s="15"/>
      <c r="AB25" s="7">
        <f t="shared" si="17"/>
        <v>29027999.999999911</v>
      </c>
      <c r="AC25" s="8">
        <f t="shared" si="17"/>
        <v>29.02799999999991</v>
      </c>
      <c r="AD25" s="8">
        <f t="shared" si="17"/>
        <v>89.115959999999717</v>
      </c>
      <c r="AF25" s="8">
        <f t="shared" si="19"/>
        <v>-2.3314683517128287E-15</v>
      </c>
    </row>
    <row r="26" spans="1:32" x14ac:dyDescent="0.25">
      <c r="A26" s="27">
        <v>38617</v>
      </c>
      <c r="B26" s="7">
        <f>'[11]Sep Prod'!I25</f>
        <v>18300000.000000183</v>
      </c>
      <c r="C26" s="8">
        <f t="shared" si="1"/>
        <v>18.300000000000182</v>
      </c>
      <c r="D26" s="10">
        <f t="shared" si="2"/>
        <v>56.181000000000559</v>
      </c>
      <c r="E26" s="7">
        <f>'[11]Sep Prod'!E25</f>
        <v>4000000</v>
      </c>
      <c r="F26" s="8">
        <f t="shared" si="3"/>
        <v>4</v>
      </c>
      <c r="G26" s="10">
        <f t="shared" si="4"/>
        <v>12.28</v>
      </c>
      <c r="H26" s="7">
        <f>'[11]Sep Prod'!F25</f>
        <v>16440000.000000002</v>
      </c>
      <c r="I26" s="8">
        <f t="shared" si="5"/>
        <v>16.440000000000001</v>
      </c>
      <c r="J26" s="10">
        <f t="shared" si="6"/>
        <v>50.470800000000004</v>
      </c>
      <c r="K26" s="7">
        <f>'[11]Sep Prod'!H273</f>
        <v>1735409</v>
      </c>
      <c r="L26" s="8">
        <f t="shared" si="7"/>
        <v>1.735409</v>
      </c>
      <c r="M26" s="10">
        <f t="shared" si="8"/>
        <v>5.3277056299999996</v>
      </c>
      <c r="N26" s="21"/>
      <c r="O26" s="7">
        <f>'[11]Sep Prod'!H25</f>
        <v>12539000.000000002</v>
      </c>
      <c r="P26" s="8">
        <f t="shared" si="9"/>
        <v>12.539000000000001</v>
      </c>
      <c r="Q26" s="10">
        <f t="shared" si="10"/>
        <v>38.494730000000004</v>
      </c>
      <c r="R26" s="7">
        <f>'[11]Sep Prod'!C25</f>
        <v>12735000</v>
      </c>
      <c r="S26" s="8">
        <f t="shared" si="11"/>
        <v>12.734999999999999</v>
      </c>
      <c r="T26" s="10">
        <f t="shared" si="12"/>
        <v>39.096449999999997</v>
      </c>
      <c r="U26" s="7">
        <f>'[11]Sep Prod'!D25</f>
        <v>0</v>
      </c>
      <c r="V26" s="8">
        <f t="shared" si="13"/>
        <v>0</v>
      </c>
      <c r="W26" s="10">
        <f t="shared" si="14"/>
        <v>0</v>
      </c>
      <c r="X26" s="7">
        <f>'[11]Sep Prod'!D273</f>
        <v>195999.99999999796</v>
      </c>
      <c r="Y26" s="8">
        <f t="shared" si="15"/>
        <v>0.19599999999999795</v>
      </c>
      <c r="Z26" s="10">
        <f t="shared" si="16"/>
        <v>0.6017199999999937</v>
      </c>
      <c r="AA26" s="15"/>
      <c r="AB26" s="7">
        <f t="shared" si="17"/>
        <v>30839000.000000186</v>
      </c>
      <c r="AC26" s="8">
        <f t="shared" si="17"/>
        <v>30.839000000000183</v>
      </c>
      <c r="AD26" s="8">
        <f t="shared" si="17"/>
        <v>94.675730000000556</v>
      </c>
      <c r="AF26" s="8">
        <f t="shared" si="19"/>
        <v>0</v>
      </c>
    </row>
    <row r="27" spans="1:32" x14ac:dyDescent="0.25">
      <c r="A27" s="27">
        <v>38618</v>
      </c>
      <c r="B27" s="7">
        <f>'[11]Sep Prod'!I26</f>
        <v>17799999.999999955</v>
      </c>
      <c r="C27" s="8">
        <f t="shared" si="1"/>
        <v>17.799999999999955</v>
      </c>
      <c r="D27" s="10">
        <f t="shared" si="2"/>
        <v>54.645999999999859</v>
      </c>
      <c r="E27" s="7">
        <f>'[11]Sep Prod'!E26</f>
        <v>4000000</v>
      </c>
      <c r="F27" s="8">
        <f t="shared" si="3"/>
        <v>4</v>
      </c>
      <c r="G27" s="10">
        <f t="shared" si="4"/>
        <v>12.28</v>
      </c>
      <c r="H27" s="7">
        <f>'[11]Sep Prod'!F26</f>
        <v>15100000</v>
      </c>
      <c r="I27" s="8">
        <f t="shared" si="5"/>
        <v>15.1</v>
      </c>
      <c r="J27" s="10">
        <f t="shared" si="6"/>
        <v>46.356999999999999</v>
      </c>
      <c r="K27" s="7">
        <f>'[11]Sep Prod'!H274</f>
        <v>1615661</v>
      </c>
      <c r="L27" s="8">
        <f t="shared" si="7"/>
        <v>1.615661</v>
      </c>
      <c r="M27" s="10">
        <f t="shared" si="8"/>
        <v>4.9600792699999996</v>
      </c>
      <c r="N27" s="21"/>
      <c r="O27" s="7">
        <f>'[11]Sep Prod'!H26</f>
        <v>12143000.000000004</v>
      </c>
      <c r="P27" s="8">
        <f t="shared" si="9"/>
        <v>12.143000000000004</v>
      </c>
      <c r="Q27" s="10">
        <f t="shared" si="10"/>
        <v>37.279010000000014</v>
      </c>
      <c r="R27" s="7">
        <f>'[11]Sep Prod'!C26</f>
        <v>12571000</v>
      </c>
      <c r="S27" s="8">
        <f t="shared" si="11"/>
        <v>12.571</v>
      </c>
      <c r="T27" s="10">
        <f t="shared" si="12"/>
        <v>38.592969999999994</v>
      </c>
      <c r="U27" s="7">
        <f>'[11]Sep Prod'!D26</f>
        <v>0</v>
      </c>
      <c r="V27" s="8">
        <f t="shared" si="13"/>
        <v>0</v>
      </c>
      <c r="W27" s="10">
        <f t="shared" si="14"/>
        <v>0</v>
      </c>
      <c r="X27" s="7">
        <f>'[11]Sep Prod'!D274</f>
        <v>427999.99999999726</v>
      </c>
      <c r="Y27" s="8">
        <f t="shared" si="15"/>
        <v>0.42799999999999727</v>
      </c>
      <c r="Z27" s="10">
        <f t="shared" si="16"/>
        <v>1.3139599999999916</v>
      </c>
      <c r="AA27" s="15"/>
      <c r="AB27" s="7">
        <f t="shared" si="17"/>
        <v>29942999.999999959</v>
      </c>
      <c r="AC27" s="8">
        <f t="shared" si="17"/>
        <v>29.942999999999959</v>
      </c>
      <c r="AD27" s="8">
        <f t="shared" si="17"/>
        <v>91.925009999999872</v>
      </c>
      <c r="AF27" s="8">
        <f t="shared" si="19"/>
        <v>-1.1324274851176597E-14</v>
      </c>
    </row>
    <row r="28" spans="1:32" x14ac:dyDescent="0.25">
      <c r="A28" s="27">
        <v>38619</v>
      </c>
      <c r="B28" s="7">
        <f>'[11]Sep Prod'!I27</f>
        <v>17500000</v>
      </c>
      <c r="C28" s="8">
        <f t="shared" si="1"/>
        <v>17.5</v>
      </c>
      <c r="D28" s="10">
        <f t="shared" si="2"/>
        <v>53.724999999999994</v>
      </c>
      <c r="E28" s="7">
        <f>'[11]Sep Prod'!E27</f>
        <v>4000000</v>
      </c>
      <c r="F28" s="8">
        <f t="shared" si="3"/>
        <v>4</v>
      </c>
      <c r="G28" s="10">
        <f t="shared" si="4"/>
        <v>12.28</v>
      </c>
      <c r="H28" s="7">
        <f>'[11]Sep Prod'!F27</f>
        <v>15660000</v>
      </c>
      <c r="I28" s="8">
        <f t="shared" si="5"/>
        <v>15.66</v>
      </c>
      <c r="J28" s="10">
        <f t="shared" si="6"/>
        <v>48.0762</v>
      </c>
      <c r="K28" s="7">
        <f>'[11]Sep Prod'!H275</f>
        <v>1697560</v>
      </c>
      <c r="L28" s="8">
        <f t="shared" si="7"/>
        <v>1.69756</v>
      </c>
      <c r="M28" s="10">
        <f t="shared" si="8"/>
        <v>5.2115091999999992</v>
      </c>
      <c r="N28" s="21"/>
      <c r="O28" s="7">
        <f>'[11]Sep Prod'!H27</f>
        <v>12638999.999999996</v>
      </c>
      <c r="P28" s="8">
        <f t="shared" si="9"/>
        <v>12.638999999999996</v>
      </c>
      <c r="Q28" s="10">
        <f t="shared" si="10"/>
        <v>38.801729999999985</v>
      </c>
      <c r="R28" s="7">
        <f>'[11]Sep Prod'!C27</f>
        <v>12967000</v>
      </c>
      <c r="S28" s="8">
        <f t="shared" si="11"/>
        <v>12.967000000000001</v>
      </c>
      <c r="T28" s="10">
        <f t="shared" si="12"/>
        <v>39.808689999999999</v>
      </c>
      <c r="U28" s="7">
        <f>'[11]Sep Prod'!D27</f>
        <v>0</v>
      </c>
      <c r="V28" s="8">
        <f t="shared" si="13"/>
        <v>0</v>
      </c>
      <c r="W28" s="10">
        <f t="shared" si="14"/>
        <v>0</v>
      </c>
      <c r="X28" s="7">
        <f>'[11]Sep Prod'!D275</f>
        <v>328000.00000000297</v>
      </c>
      <c r="Y28" s="8">
        <f t="shared" si="15"/>
        <v>0.32800000000000296</v>
      </c>
      <c r="Z28" s="10">
        <f t="shared" si="16"/>
        <v>1.006960000000009</v>
      </c>
      <c r="AA28" s="15"/>
      <c r="AB28" s="7">
        <f t="shared" si="17"/>
        <v>30138999.999999996</v>
      </c>
      <c r="AC28" s="8">
        <f t="shared" si="17"/>
        <v>30.138999999999996</v>
      </c>
      <c r="AD28" s="8">
        <f t="shared" si="17"/>
        <v>92.526729999999986</v>
      </c>
      <c r="AF28" s="8">
        <f t="shared" si="19"/>
        <v>4.6629367034256575E-15</v>
      </c>
    </row>
    <row r="29" spans="1:32" x14ac:dyDescent="0.25">
      <c r="A29" s="27">
        <v>38620</v>
      </c>
      <c r="B29" s="7">
        <f>'[11]Sep Prod'!I28</f>
        <v>18200000.000000045</v>
      </c>
      <c r="C29" s="8">
        <f t="shared" si="1"/>
        <v>18.200000000000045</v>
      </c>
      <c r="D29" s="10">
        <f t="shared" si="2"/>
        <v>55.874000000000137</v>
      </c>
      <c r="E29" s="7">
        <f>'[11]Sep Prod'!E28</f>
        <v>4000000</v>
      </c>
      <c r="F29" s="8">
        <f t="shared" si="3"/>
        <v>4</v>
      </c>
      <c r="G29" s="10">
        <f t="shared" si="4"/>
        <v>12.28</v>
      </c>
      <c r="H29" s="7">
        <f>'[11]Sep Prod'!F28</f>
        <v>16129999.999999998</v>
      </c>
      <c r="I29" s="8">
        <f t="shared" si="5"/>
        <v>16.13</v>
      </c>
      <c r="J29" s="10">
        <f t="shared" si="6"/>
        <v>49.519099999999995</v>
      </c>
      <c r="K29" s="7">
        <f>'[11]Sep Prod'!H276</f>
        <v>1773057</v>
      </c>
      <c r="L29" s="8">
        <f t="shared" si="7"/>
        <v>1.7730570000000001</v>
      </c>
      <c r="M29" s="10">
        <f t="shared" si="8"/>
        <v>5.4432849900000004</v>
      </c>
      <c r="N29" s="21"/>
      <c r="O29" s="7">
        <f>'[11]Sep Prod'!H28</f>
        <v>14006000.000000002</v>
      </c>
      <c r="P29" s="8">
        <f t="shared" si="9"/>
        <v>14.006000000000002</v>
      </c>
      <c r="Q29" s="10">
        <f t="shared" si="10"/>
        <v>42.998420000000003</v>
      </c>
      <c r="R29" s="7">
        <f>'[11]Sep Prod'!C28</f>
        <v>14202000</v>
      </c>
      <c r="S29" s="8">
        <f t="shared" si="11"/>
        <v>14.202</v>
      </c>
      <c r="T29" s="10">
        <f t="shared" si="12"/>
        <v>43.600139999999996</v>
      </c>
      <c r="U29" s="7">
        <f>'[11]Sep Prod'!D28</f>
        <v>0</v>
      </c>
      <c r="V29" s="8">
        <f t="shared" si="13"/>
        <v>0</v>
      </c>
      <c r="W29" s="10">
        <f t="shared" si="14"/>
        <v>0</v>
      </c>
      <c r="X29" s="7">
        <f>'[11]Sep Prod'!D276</f>
        <v>195999.99999999796</v>
      </c>
      <c r="Y29" s="8">
        <f t="shared" si="15"/>
        <v>0.19599999999999795</v>
      </c>
      <c r="Z29" s="10">
        <f t="shared" si="16"/>
        <v>0.6017199999999937</v>
      </c>
      <c r="AA29" s="15"/>
      <c r="AB29" s="7">
        <f t="shared" si="17"/>
        <v>32206000.000000045</v>
      </c>
      <c r="AC29" s="8">
        <f t="shared" si="17"/>
        <v>32.206000000000046</v>
      </c>
      <c r="AD29" s="8">
        <f t="shared" si="17"/>
        <v>98.872420000000147</v>
      </c>
      <c r="AF29" s="8">
        <f t="shared" si="19"/>
        <v>0</v>
      </c>
    </row>
    <row r="30" spans="1:32" x14ac:dyDescent="0.25">
      <c r="A30" s="27">
        <v>38621</v>
      </c>
      <c r="B30" s="7">
        <f>'[11]Sep Prod'!I29</f>
        <v>15599999.999999909</v>
      </c>
      <c r="C30" s="8">
        <f t="shared" si="1"/>
        <v>15.599999999999909</v>
      </c>
      <c r="D30" s="10">
        <f t="shared" si="2"/>
        <v>47.891999999999719</v>
      </c>
      <c r="E30" s="7">
        <f>'[11]Sep Prod'!E29</f>
        <v>3000000</v>
      </c>
      <c r="F30" s="8">
        <f t="shared" si="3"/>
        <v>3</v>
      </c>
      <c r="G30" s="10">
        <f t="shared" si="4"/>
        <v>9.2099999999999991</v>
      </c>
      <c r="H30" s="7">
        <f>'[11]Sep Prod'!F29</f>
        <v>13880000</v>
      </c>
      <c r="I30" s="8">
        <f t="shared" si="5"/>
        <v>13.88</v>
      </c>
      <c r="J30" s="10">
        <f t="shared" si="6"/>
        <v>42.611600000000003</v>
      </c>
      <c r="K30" s="7">
        <f>'[11]Sep Prod'!H277</f>
        <v>1397160</v>
      </c>
      <c r="L30" s="8">
        <f t="shared" si="7"/>
        <v>1.39716</v>
      </c>
      <c r="M30" s="10">
        <f t="shared" si="8"/>
        <v>4.2892811999999996</v>
      </c>
      <c r="N30" s="21"/>
      <c r="O30" s="7">
        <f>'[11]Sep Prod'!H29</f>
        <v>13487000</v>
      </c>
      <c r="P30" s="8">
        <f t="shared" si="9"/>
        <v>13.487</v>
      </c>
      <c r="Q30" s="10">
        <f t="shared" si="10"/>
        <v>41.405090000000001</v>
      </c>
      <c r="R30" s="7">
        <f>'[11]Sep Prod'!C29</f>
        <v>13679000</v>
      </c>
      <c r="S30" s="8">
        <f t="shared" si="11"/>
        <v>13.679</v>
      </c>
      <c r="T30" s="10">
        <f t="shared" si="12"/>
        <v>41.994529999999997</v>
      </c>
      <c r="U30" s="7">
        <f>'[11]Sep Prod'!D29</f>
        <v>0</v>
      </c>
      <c r="V30" s="8">
        <f t="shared" si="13"/>
        <v>0</v>
      </c>
      <c r="W30" s="10">
        <f t="shared" si="14"/>
        <v>0</v>
      </c>
      <c r="X30" s="7">
        <f>'[11]Sep Prod'!D277</f>
        <v>192000.00000000017</v>
      </c>
      <c r="Y30" s="8">
        <f t="shared" si="15"/>
        <v>0.19200000000000017</v>
      </c>
      <c r="Z30" s="10">
        <f t="shared" si="16"/>
        <v>0.58944000000000052</v>
      </c>
      <c r="AA30" s="15"/>
      <c r="AB30" s="7">
        <f t="shared" si="17"/>
        <v>29086999.999999911</v>
      </c>
      <c r="AC30" s="8">
        <f t="shared" si="17"/>
        <v>29.086999999999911</v>
      </c>
      <c r="AD30" s="8">
        <f>D30+Q30</f>
        <v>89.297089999999713</v>
      </c>
      <c r="AF30" s="8">
        <f t="shared" si="19"/>
        <v>-4.3298697960381105E-15</v>
      </c>
    </row>
    <row r="31" spans="1:32" x14ac:dyDescent="0.25">
      <c r="A31" s="27">
        <v>38622</v>
      </c>
      <c r="B31" s="7">
        <f>'[11]Sep Prod'!I30</f>
        <v>16799999.999999955</v>
      </c>
      <c r="C31" s="8">
        <f t="shared" si="1"/>
        <v>16.799999999999955</v>
      </c>
      <c r="D31" s="10">
        <f t="shared" si="2"/>
        <v>51.575999999999858</v>
      </c>
      <c r="E31" s="7">
        <f>'[11]Sep Prod'!E30</f>
        <v>3000000</v>
      </c>
      <c r="F31" s="8">
        <f t="shared" si="3"/>
        <v>3</v>
      </c>
      <c r="G31" s="10">
        <f t="shared" si="4"/>
        <v>9.2099999999999991</v>
      </c>
      <c r="H31" s="7">
        <f>'[11]Sep Prod'!F30</f>
        <v>15230000</v>
      </c>
      <c r="I31" s="8">
        <f t="shared" si="5"/>
        <v>15.23</v>
      </c>
      <c r="J31" s="10">
        <f t="shared" si="6"/>
        <v>46.756099999999996</v>
      </c>
      <c r="K31" s="7">
        <f>'[11]Sep Prod'!H278</f>
        <v>1641737</v>
      </c>
      <c r="L31" s="8">
        <f t="shared" si="7"/>
        <v>1.641737</v>
      </c>
      <c r="M31" s="10">
        <f t="shared" si="8"/>
        <v>5.0401325899999998</v>
      </c>
      <c r="N31" s="21"/>
      <c r="O31" s="7">
        <f>'[11]Sep Prod'!H30</f>
        <v>12400000</v>
      </c>
      <c r="P31" s="8">
        <f t="shared" si="9"/>
        <v>12.4</v>
      </c>
      <c r="Q31" s="10">
        <f t="shared" si="10"/>
        <v>38.067999999999998</v>
      </c>
      <c r="R31" s="7">
        <f>'[11]Sep Prod'!C30</f>
        <v>12787000</v>
      </c>
      <c r="S31" s="8">
        <f t="shared" si="11"/>
        <v>12.787000000000001</v>
      </c>
      <c r="T31" s="10">
        <f t="shared" si="12"/>
        <v>39.25609</v>
      </c>
      <c r="U31" s="7">
        <f>'[11]Sep Prod'!D30</f>
        <v>0</v>
      </c>
      <c r="V31" s="8">
        <f t="shared" si="13"/>
        <v>0</v>
      </c>
      <c r="W31" s="10">
        <f t="shared" si="14"/>
        <v>0</v>
      </c>
      <c r="X31" s="7">
        <f>'[11]Sep Prod'!D278</f>
        <v>387000.00000000047</v>
      </c>
      <c r="Y31" s="8">
        <f t="shared" si="15"/>
        <v>0.38700000000000045</v>
      </c>
      <c r="Z31" s="10">
        <f t="shared" si="16"/>
        <v>1.1880900000000014</v>
      </c>
      <c r="AA31" s="15"/>
      <c r="AB31" s="7">
        <f t="shared" si="17"/>
        <v>29199999.999999955</v>
      </c>
      <c r="AC31" s="8">
        <f t="shared" si="17"/>
        <v>29.199999999999953</v>
      </c>
      <c r="AD31" s="8">
        <f t="shared" si="17"/>
        <v>89.643999999999863</v>
      </c>
      <c r="AF31" s="8">
        <f>T31-Q31-Z31</f>
        <v>0</v>
      </c>
    </row>
    <row r="32" spans="1:32" x14ac:dyDescent="0.25">
      <c r="A32" s="27">
        <v>38623</v>
      </c>
      <c r="B32" s="7">
        <f>'[11]Sep Prod'!I31</f>
        <v>17500000</v>
      </c>
      <c r="C32" s="8">
        <f t="shared" si="1"/>
        <v>17.5</v>
      </c>
      <c r="D32" s="10">
        <f t="shared" si="2"/>
        <v>53.724999999999994</v>
      </c>
      <c r="E32" s="7">
        <f>'[11]Sep Prod'!E31</f>
        <v>3000000</v>
      </c>
      <c r="F32" s="8">
        <f t="shared" si="3"/>
        <v>3</v>
      </c>
      <c r="G32" s="10">
        <f t="shared" si="4"/>
        <v>9.2099999999999991</v>
      </c>
      <c r="H32" s="7">
        <f>'[11]Sep Prod'!F31</f>
        <v>16360000</v>
      </c>
      <c r="I32" s="8">
        <f t="shared" si="5"/>
        <v>16.36</v>
      </c>
      <c r="J32" s="10">
        <f t="shared" si="6"/>
        <v>50.225199999999994</v>
      </c>
      <c r="K32" s="7">
        <f>'[11]Sep Prod'!H279</f>
        <v>1678098</v>
      </c>
      <c r="L32" s="8">
        <f t="shared" si="7"/>
        <v>1.6780980000000001</v>
      </c>
      <c r="M32" s="10">
        <f t="shared" si="8"/>
        <v>5.1517608600000004</v>
      </c>
      <c r="N32" s="21"/>
      <c r="O32" s="7">
        <f>'[11]Sep Prod'!H31</f>
        <v>11900000.000000002</v>
      </c>
      <c r="P32" s="8">
        <f t="shared" si="9"/>
        <v>11.900000000000002</v>
      </c>
      <c r="Q32" s="10">
        <f t="shared" si="10"/>
        <v>36.533000000000001</v>
      </c>
      <c r="R32" s="7">
        <f>'[11]Sep Prod'!C31</f>
        <v>12227000</v>
      </c>
      <c r="S32" s="8">
        <f t="shared" si="11"/>
        <v>12.227</v>
      </c>
      <c r="T32" s="10">
        <f t="shared" si="12"/>
        <v>37.53689</v>
      </c>
      <c r="U32" s="7">
        <f>'[11]Sep Prod'!D31</f>
        <v>0</v>
      </c>
      <c r="V32" s="8">
        <f t="shared" si="13"/>
        <v>0</v>
      </c>
      <c r="W32" s="10">
        <f t="shared" si="14"/>
        <v>0</v>
      </c>
      <c r="X32" s="7">
        <f>'[11]Sep Prod'!D279</f>
        <v>326999.9999999982</v>
      </c>
      <c r="Y32" s="8">
        <f t="shared" si="15"/>
        <v>0.32699999999999818</v>
      </c>
      <c r="Z32" s="10">
        <f t="shared" si="16"/>
        <v>1.0038899999999944</v>
      </c>
      <c r="AA32" s="15"/>
      <c r="AB32" s="7">
        <f t="shared" si="17"/>
        <v>29400000</v>
      </c>
      <c r="AC32" s="8">
        <f t="shared" si="17"/>
        <v>29.400000000000002</v>
      </c>
      <c r="AD32" s="8">
        <f t="shared" si="17"/>
        <v>90.257999999999996</v>
      </c>
      <c r="AF32" s="8">
        <f t="shared" si="19"/>
        <v>3.9968028886505635E-15</v>
      </c>
    </row>
    <row r="33" spans="1:32" x14ac:dyDescent="0.25">
      <c r="A33" s="27">
        <v>38624</v>
      </c>
      <c r="B33" s="7">
        <f>'[11]Sep Prod'!I32</f>
        <v>14100000.000000136</v>
      </c>
      <c r="C33" s="8">
        <f t="shared" si="1"/>
        <v>14.100000000000136</v>
      </c>
      <c r="D33" s="10">
        <f t="shared" si="2"/>
        <v>43.287000000000418</v>
      </c>
      <c r="E33" s="7">
        <f>'[11]Sep Prod'!E32</f>
        <v>3000000</v>
      </c>
      <c r="F33" s="8">
        <f t="shared" si="3"/>
        <v>3</v>
      </c>
      <c r="G33" s="10">
        <f t="shared" si="4"/>
        <v>9.2099999999999991</v>
      </c>
      <c r="H33" s="7">
        <f>'[11]Sep Prod'!F32</f>
        <v>12400000</v>
      </c>
      <c r="I33" s="8">
        <f t="shared" si="5"/>
        <v>12.4</v>
      </c>
      <c r="J33" s="10">
        <f t="shared" si="6"/>
        <v>38.067999999999998</v>
      </c>
      <c r="K33" s="7">
        <f>'[11]Sep Prod'!H280</f>
        <v>1312496</v>
      </c>
      <c r="L33" s="8">
        <f t="shared" si="7"/>
        <v>1.3124960000000001</v>
      </c>
      <c r="M33" s="10">
        <f t="shared" si="8"/>
        <v>4.02936272</v>
      </c>
      <c r="N33" s="21"/>
      <c r="O33" s="7">
        <f>'[11]Sep Prod'!H32</f>
        <v>12128999.999999996</v>
      </c>
      <c r="P33" s="8">
        <f t="shared" si="9"/>
        <v>12.128999999999996</v>
      </c>
      <c r="Q33" s="10">
        <f t="shared" si="10"/>
        <v>37.236029999999985</v>
      </c>
      <c r="R33" s="7">
        <f>'[11]Sep Prod'!C32</f>
        <v>12481000</v>
      </c>
      <c r="S33" s="8">
        <f t="shared" si="11"/>
        <v>12.481</v>
      </c>
      <c r="T33" s="10">
        <f t="shared" si="12"/>
        <v>38.316669999999995</v>
      </c>
      <c r="U33" s="7">
        <f>'[11]Sep Prod'!D32</f>
        <v>0</v>
      </c>
      <c r="V33" s="8">
        <f t="shared" si="13"/>
        <v>0</v>
      </c>
      <c r="W33" s="10">
        <f t="shared" si="14"/>
        <v>0</v>
      </c>
      <c r="X33" s="7">
        <f>'[11]Sep Prod'!D280</f>
        <v>352000.00000000384</v>
      </c>
      <c r="Y33" s="8">
        <f t="shared" si="15"/>
        <v>0.35200000000000387</v>
      </c>
      <c r="Z33" s="10">
        <f t="shared" si="16"/>
        <v>1.0806400000000118</v>
      </c>
      <c r="AA33" s="15"/>
      <c r="AB33" s="7">
        <f t="shared" si="17"/>
        <v>26229000.000000134</v>
      </c>
      <c r="AC33" s="8">
        <f t="shared" si="17"/>
        <v>26.229000000000134</v>
      </c>
      <c r="AD33" s="8">
        <f t="shared" si="17"/>
        <v>80.523030000000404</v>
      </c>
      <c r="AF33" s="8">
        <f t="shared" si="19"/>
        <v>-2.2204460492503131E-15</v>
      </c>
    </row>
    <row r="34" spans="1:32" ht="13.8" thickBot="1" x14ac:dyDescent="0.3">
      <c r="A34" s="27">
        <v>38625</v>
      </c>
      <c r="B34" s="7">
        <f>'[11]Sep Prod'!I33</f>
        <v>16599999.999999909</v>
      </c>
      <c r="C34" s="8">
        <f t="shared" si="1"/>
        <v>16.599999999999909</v>
      </c>
      <c r="D34" s="10">
        <f t="shared" si="2"/>
        <v>50.961999999999719</v>
      </c>
      <c r="E34" s="7">
        <f>'[11]Sep Prod'!E33</f>
        <v>3000000</v>
      </c>
      <c r="F34" s="8">
        <f t="shared" si="3"/>
        <v>3</v>
      </c>
      <c r="G34" s="10">
        <f t="shared" si="4"/>
        <v>9.2099999999999991</v>
      </c>
      <c r="H34" s="7">
        <f>'[11]Sep Prod'!F33</f>
        <v>15180000</v>
      </c>
      <c r="I34" s="8">
        <f t="shared" si="5"/>
        <v>15.18</v>
      </c>
      <c r="J34" s="10">
        <f t="shared" si="6"/>
        <v>46.602599999999995</v>
      </c>
      <c r="K34" s="7">
        <f>'[11]Sep Prod'!H281</f>
        <v>1529111</v>
      </c>
      <c r="L34" s="8">
        <f t="shared" si="7"/>
        <v>1.5291110000000001</v>
      </c>
      <c r="M34" s="10">
        <f t="shared" si="8"/>
        <v>4.6943707699999999</v>
      </c>
      <c r="N34" s="21"/>
      <c r="O34" s="7">
        <f>'[11]Sep Prod'!H33</f>
        <v>12648000</v>
      </c>
      <c r="P34" s="8">
        <f t="shared" si="9"/>
        <v>12.648</v>
      </c>
      <c r="Q34" s="10">
        <f t="shared" si="10"/>
        <v>38.829359999999994</v>
      </c>
      <c r="R34" s="7">
        <f>'[11]Sep Prod'!C33</f>
        <v>12843000</v>
      </c>
      <c r="S34" s="8">
        <f t="shared" si="11"/>
        <v>12.843</v>
      </c>
      <c r="T34" s="10">
        <f t="shared" si="12"/>
        <v>39.42801</v>
      </c>
      <c r="U34" s="7">
        <f>'[11]Sep Prod'!D33</f>
        <v>0</v>
      </c>
      <c r="V34" s="8">
        <f t="shared" si="13"/>
        <v>0</v>
      </c>
      <c r="W34" s="10">
        <f t="shared" si="14"/>
        <v>0</v>
      </c>
      <c r="X34" s="7">
        <f>'[11]Sep Prod'!D281</f>
        <v>195000.00000000029</v>
      </c>
      <c r="Y34" s="8">
        <f t="shared" si="15"/>
        <v>0.19500000000000028</v>
      </c>
      <c r="Z34" s="10">
        <f t="shared" si="16"/>
        <v>0.59865000000000079</v>
      </c>
      <c r="AA34" s="15"/>
      <c r="AB34" s="7">
        <f t="shared" si="17"/>
        <v>29247999.999999911</v>
      </c>
      <c r="AC34" s="8">
        <f t="shared" si="17"/>
        <v>29.247999999999909</v>
      </c>
      <c r="AD34" s="8">
        <f t="shared" si="17"/>
        <v>89.791359999999713</v>
      </c>
      <c r="AF34" s="8">
        <f t="shared" si="19"/>
        <v>5.5511151231257827E-15</v>
      </c>
    </row>
    <row r="35" spans="1:32" ht="13.8" thickBot="1" x14ac:dyDescent="0.3">
      <c r="A35" s="3"/>
      <c r="B35" s="38">
        <f t="shared" ref="B35:I35" si="20">SUM(B5:B34)</f>
        <v>556100000</v>
      </c>
      <c r="C35" s="39">
        <f t="shared" si="20"/>
        <v>556.1</v>
      </c>
      <c r="D35" s="39">
        <f t="shared" si="20"/>
        <v>1707.2270000000001</v>
      </c>
      <c r="E35" s="38">
        <f t="shared" si="20"/>
        <v>152000000</v>
      </c>
      <c r="F35" s="39">
        <f t="shared" si="20"/>
        <v>152</v>
      </c>
      <c r="G35" s="39">
        <f t="shared" si="20"/>
        <v>466.63999999999965</v>
      </c>
      <c r="H35" s="38">
        <f t="shared" si="20"/>
        <v>468810000</v>
      </c>
      <c r="I35" s="39">
        <f t="shared" si="20"/>
        <v>468.81</v>
      </c>
      <c r="J35" s="39">
        <f t="shared" ref="J35" si="21">I35*3.07</f>
        <v>1439.2466999999999</v>
      </c>
      <c r="K35" s="38">
        <f>SUM(K5:K34)</f>
        <v>52361883</v>
      </c>
      <c r="L35" s="39">
        <f>SUM(L5:L34)</f>
        <v>52.361883000000006</v>
      </c>
      <c r="M35" s="39">
        <f t="shared" ref="M35" si="22">L35*3.07</f>
        <v>160.75098081000002</v>
      </c>
      <c r="N35" s="14"/>
      <c r="O35" s="38">
        <f>SUM(O5:O34)</f>
        <v>378165000</v>
      </c>
      <c r="P35" s="39">
        <f>SUM(P5:P34)</f>
        <v>378.16500000000008</v>
      </c>
      <c r="Q35" s="39">
        <f t="shared" ref="Q35" si="23">P35*3.07</f>
        <v>1160.9665500000001</v>
      </c>
      <c r="R35" s="38"/>
      <c r="S35" s="39">
        <f>SUM(S5:S34)</f>
        <v>387.13999999999993</v>
      </c>
      <c r="T35" s="39">
        <f t="shared" ref="T35" si="24">S35*3.07</f>
        <v>1188.5197999999998</v>
      </c>
      <c r="U35" s="38">
        <f>SUM(U5:U34)</f>
        <v>0</v>
      </c>
      <c r="V35" s="39">
        <f>SUM(V5:V34)</f>
        <v>0</v>
      </c>
      <c r="W35" s="39">
        <f t="shared" ref="W35" si="25">V35*3.07</f>
        <v>0</v>
      </c>
      <c r="X35" s="38"/>
      <c r="Y35" s="39">
        <f>SUM(Y5:Y34)</f>
        <v>8.9750000000000014</v>
      </c>
      <c r="Z35" s="39">
        <f t="shared" si="16"/>
        <v>27.553250000000002</v>
      </c>
      <c r="AA35" s="14"/>
      <c r="AB35" s="38">
        <f>B35+O35</f>
        <v>934265000</v>
      </c>
      <c r="AC35" s="39">
        <f t="shared" si="17"/>
        <v>934.2650000000001</v>
      </c>
      <c r="AD35" s="39">
        <f t="shared" si="17"/>
        <v>2868.19355</v>
      </c>
      <c r="AF35" s="8">
        <f t="shared" si="19"/>
        <v>-2.9487523534044158E-13</v>
      </c>
    </row>
    <row r="36" spans="1:32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0"/>
      <c r="AC36" s="30"/>
      <c r="AD36" s="23"/>
      <c r="AF36" s="30"/>
    </row>
    <row r="37" spans="1:32" x14ac:dyDescent="0.25">
      <c r="Q37" s="18"/>
    </row>
    <row r="38" spans="1:32" x14ac:dyDescent="0.25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35" sqref="J5:J35"/>
    </sheetView>
  </sheetViews>
  <sheetFormatPr defaultRowHeight="13.2" x14ac:dyDescent="0.25"/>
  <cols>
    <col min="2" max="2" width="11" customWidth="1"/>
    <col min="5" max="5" width="11.33203125" customWidth="1"/>
    <col min="8" max="8" width="14.33203125" customWidth="1"/>
    <col min="11" max="11" width="15.44140625" customWidth="1"/>
    <col min="12" max="12" width="10.6640625" customWidth="1"/>
    <col min="13" max="13" width="12.109375" customWidth="1"/>
    <col min="15" max="15" width="11" customWidth="1"/>
    <col min="18" max="18" width="10.6640625" customWidth="1"/>
    <col min="22" max="22" width="10.6640625" customWidth="1"/>
    <col min="28" max="28" width="13.44140625" customWidth="1"/>
  </cols>
  <sheetData>
    <row r="1" spans="1:32" x14ac:dyDescent="0.25">
      <c r="A1" s="44" t="s">
        <v>14</v>
      </c>
      <c r="B1" s="41"/>
      <c r="C1" s="42"/>
      <c r="D1" s="42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38626</v>
      </c>
      <c r="B5" s="7">
        <f>'[12]Oct Prod'!I4</f>
        <v>17099999.999999911</v>
      </c>
      <c r="C5" s="8">
        <f>B5/1000000</f>
        <v>17.099999999999909</v>
      </c>
      <c r="D5" s="10">
        <f>C5*3.07</f>
        <v>52.496999999999716</v>
      </c>
      <c r="E5" s="7">
        <f>'[12]Oct Prod'!E4</f>
        <v>5000000</v>
      </c>
      <c r="F5" s="8">
        <f>E5/1000000</f>
        <v>5</v>
      </c>
      <c r="G5" s="10">
        <f>F5*3.07</f>
        <v>15.35</v>
      </c>
      <c r="H5" s="7">
        <f>'[12]Oct Prod'!F4</f>
        <v>15340000</v>
      </c>
      <c r="I5" s="8">
        <f>H5/1000000</f>
        <v>15.34</v>
      </c>
      <c r="J5" s="10">
        <f>I5*3.07</f>
        <v>47.093799999999995</v>
      </c>
      <c r="K5" s="7">
        <f>'[12]Oct Prod'!H259</f>
        <v>1837132</v>
      </c>
      <c r="L5" s="8">
        <f>K5/1000000</f>
        <v>1.837132</v>
      </c>
      <c r="M5" s="10">
        <f>L5*3.07</f>
        <v>5.6399952399999993</v>
      </c>
      <c r="N5" s="21"/>
      <c r="O5" s="7">
        <f>'[12]Oct Prod'!H4</f>
        <v>11677000</v>
      </c>
      <c r="P5" s="8">
        <f>O5/1000000</f>
        <v>11.677</v>
      </c>
      <c r="Q5" s="10">
        <f>P5*3.07</f>
        <v>35.848389999999995</v>
      </c>
      <c r="R5" s="7">
        <f>'[12]Oct Prod'!C4</f>
        <v>11936000</v>
      </c>
      <c r="S5" s="8">
        <f>R5/1000000</f>
        <v>11.936</v>
      </c>
      <c r="T5" s="10">
        <f>S5*3.07</f>
        <v>36.643519999999995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259000.00000000035</v>
      </c>
      <c r="Y5" s="8">
        <f>X5/1000000</f>
        <v>0.25900000000000034</v>
      </c>
      <c r="Z5" s="10">
        <f>Y5*3.07</f>
        <v>0.795130000000001</v>
      </c>
      <c r="AA5" s="15"/>
      <c r="AB5" s="7">
        <f>B5+O5</f>
        <v>28776999.999999911</v>
      </c>
      <c r="AC5" s="8">
        <f>C5+P5</f>
        <v>28.776999999999909</v>
      </c>
      <c r="AD5" s="8">
        <f>D5+Q5</f>
        <v>88.345389999999711</v>
      </c>
      <c r="AF5" s="8">
        <f>T5-Q5-Z5</f>
        <v>0</v>
      </c>
    </row>
    <row r="6" spans="1:32" x14ac:dyDescent="0.25">
      <c r="A6" s="27">
        <v>38627</v>
      </c>
      <c r="B6" s="7">
        <f>'[12]Oct Prod'!I5</f>
        <v>15700000.000000045</v>
      </c>
      <c r="C6" s="8">
        <f t="shared" ref="C6:C35" si="0">B6/1000000</f>
        <v>15.700000000000045</v>
      </c>
      <c r="D6" s="10">
        <f t="shared" ref="D6:D35" si="1">C6*3.07</f>
        <v>48.19900000000014</v>
      </c>
      <c r="E6" s="7">
        <f>'[12]Oct Prod'!E5</f>
        <v>4000000</v>
      </c>
      <c r="F6" s="8">
        <f t="shared" ref="F6:F35" si="2">E6/1000000</f>
        <v>4</v>
      </c>
      <c r="G6" s="10">
        <f t="shared" ref="G6:G35" si="3">F6*3.07</f>
        <v>12.28</v>
      </c>
      <c r="H6" s="7">
        <f>'[12]Oct Prod'!F5</f>
        <v>12280000</v>
      </c>
      <c r="I6" s="8">
        <f t="shared" ref="I6:I35" si="4">H6/1000000</f>
        <v>12.28</v>
      </c>
      <c r="J6" s="10">
        <f t="shared" ref="J6:J35" si="5">I6*3.07</f>
        <v>37.699599999999997</v>
      </c>
      <c r="K6" s="7">
        <f>'[12]Oct Prod'!H260</f>
        <v>1739241</v>
      </c>
      <c r="L6" s="8">
        <f t="shared" ref="L6:L32" si="6">K6/1000000</f>
        <v>1.739241</v>
      </c>
      <c r="M6" s="10">
        <f t="shared" ref="M6:M32" si="7">L6*3.07</f>
        <v>5.3394698699999994</v>
      </c>
      <c r="N6" s="21"/>
      <c r="O6" s="7">
        <f>'[12]Oct Prod'!H5</f>
        <v>11886000.000000002</v>
      </c>
      <c r="P6" s="8">
        <f t="shared" ref="P6:P35" si="8">O6/1000000</f>
        <v>11.886000000000001</v>
      </c>
      <c r="Q6" s="10">
        <f t="shared" ref="Q6:Q35" si="9">P6*3.07</f>
        <v>36.490020000000001</v>
      </c>
      <c r="R6" s="7">
        <f>'[12]Oct Prod'!C5</f>
        <v>12210000</v>
      </c>
      <c r="S6" s="8">
        <f t="shared" ref="S6:S35" si="10">R6/1000000</f>
        <v>12.21</v>
      </c>
      <c r="T6" s="10">
        <f t="shared" ref="T6:T35" si="11">S6*3.07</f>
        <v>37.484700000000004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323999.99999999808</v>
      </c>
      <c r="Y6" s="8">
        <f t="shared" ref="Y6:Y35" si="14">X6/1000000</f>
        <v>0.32399999999999807</v>
      </c>
      <c r="Z6" s="10">
        <f t="shared" ref="Z6:Z35" si="15">Y6*3.07</f>
        <v>0.99467999999999401</v>
      </c>
      <c r="AA6" s="15"/>
      <c r="AB6" s="7">
        <f t="shared" ref="AB6:AD35" si="16">B6+O6</f>
        <v>27586000.000000045</v>
      </c>
      <c r="AC6" s="8">
        <f t="shared" si="16"/>
        <v>27.586000000000048</v>
      </c>
      <c r="AD6" s="8">
        <f t="shared" si="16"/>
        <v>84.689020000000141</v>
      </c>
      <c r="AF6" s="8">
        <f>T6-Q6-Z6</f>
        <v>8.4376949871511897E-15</v>
      </c>
    </row>
    <row r="7" spans="1:32" x14ac:dyDescent="0.25">
      <c r="A7" s="27">
        <v>38628</v>
      </c>
      <c r="B7" s="7">
        <f>'[12]Oct Prod'!I6</f>
        <v>17400000.000000089</v>
      </c>
      <c r="C7" s="8">
        <f t="shared" si="0"/>
        <v>17.400000000000091</v>
      </c>
      <c r="D7" s="10">
        <f t="shared" si="1"/>
        <v>53.418000000000276</v>
      </c>
      <c r="E7" s="7">
        <f>'[12]Oct Prod'!E6</f>
        <v>4000000</v>
      </c>
      <c r="F7" s="8">
        <f t="shared" si="2"/>
        <v>4</v>
      </c>
      <c r="G7" s="10">
        <f t="shared" si="3"/>
        <v>12.28</v>
      </c>
      <c r="H7" s="7">
        <f>'[12]Oct Prod'!F6</f>
        <v>15130000</v>
      </c>
      <c r="I7" s="8">
        <f t="shared" si="4"/>
        <v>15.13</v>
      </c>
      <c r="J7" s="10">
        <f t="shared" si="5"/>
        <v>46.449100000000001</v>
      </c>
      <c r="K7" s="7">
        <f>'[12]Oct Prod'!H261</f>
        <v>1643184</v>
      </c>
      <c r="L7" s="8">
        <f t="shared" si="6"/>
        <v>1.643184</v>
      </c>
      <c r="M7" s="10">
        <f t="shared" si="7"/>
        <v>5.0445748799999999</v>
      </c>
      <c r="N7" s="21"/>
      <c r="O7" s="7">
        <f>'[12]Oct Prod'!H6</f>
        <v>10991000</v>
      </c>
      <c r="P7" s="8">
        <f t="shared" si="8"/>
        <v>10.991</v>
      </c>
      <c r="Q7" s="10">
        <f t="shared" si="9"/>
        <v>33.742369999999994</v>
      </c>
      <c r="R7" s="7">
        <f>'[12]Oct Prod'!C6</f>
        <v>11119000</v>
      </c>
      <c r="S7" s="8">
        <f t="shared" si="10"/>
        <v>11.119</v>
      </c>
      <c r="T7" s="10">
        <f t="shared" si="11"/>
        <v>34.135329999999996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128000.00000000012</v>
      </c>
      <c r="Y7" s="8">
        <f t="shared" si="14"/>
        <v>0.12800000000000011</v>
      </c>
      <c r="Z7" s="10">
        <f t="shared" si="15"/>
        <v>0.39296000000000031</v>
      </c>
      <c r="AA7" s="15"/>
      <c r="AB7" s="7">
        <f t="shared" si="16"/>
        <v>28391000.000000089</v>
      </c>
      <c r="AC7" s="8">
        <f t="shared" si="16"/>
        <v>28.391000000000091</v>
      </c>
      <c r="AD7" s="8">
        <f t="shared" si="16"/>
        <v>87.16037000000027</v>
      </c>
      <c r="AF7" s="8">
        <f t="shared" ref="AF7:AF14" si="17">T7-Q7-Z7</f>
        <v>1.8873791418627661E-15</v>
      </c>
    </row>
    <row r="8" spans="1:32" x14ac:dyDescent="0.25">
      <c r="A8" s="27">
        <v>38629</v>
      </c>
      <c r="B8" s="7">
        <f>'[12]Oct Prod'!I7</f>
        <v>13700000.000000045</v>
      </c>
      <c r="C8" s="8">
        <f t="shared" si="0"/>
        <v>13.700000000000045</v>
      </c>
      <c r="D8" s="10">
        <f t="shared" si="1"/>
        <v>42.05900000000014</v>
      </c>
      <c r="E8" s="7">
        <f>'[12]Oct Prod'!E7</f>
        <v>3000000</v>
      </c>
      <c r="F8" s="8">
        <f t="shared" si="2"/>
        <v>3</v>
      </c>
      <c r="G8" s="10">
        <f t="shared" si="3"/>
        <v>9.2099999999999991</v>
      </c>
      <c r="H8" s="7">
        <f>'[12]Oct Prod'!F7</f>
        <v>12780000.000000002</v>
      </c>
      <c r="I8" s="8">
        <f t="shared" si="4"/>
        <v>12.780000000000001</v>
      </c>
      <c r="J8" s="10">
        <f t="shared" si="5"/>
        <v>39.2346</v>
      </c>
      <c r="K8" s="7">
        <f>'[12]Oct Prod'!H262</f>
        <v>1449924</v>
      </c>
      <c r="L8" s="8">
        <f t="shared" si="6"/>
        <v>1.449924</v>
      </c>
      <c r="M8" s="10">
        <f t="shared" si="7"/>
        <v>4.4512666799999998</v>
      </c>
      <c r="N8" s="21"/>
      <c r="O8" s="7">
        <f>'[12]Oct Prod'!H7</f>
        <v>10758000.000000002</v>
      </c>
      <c r="P8" s="8">
        <f t="shared" si="8"/>
        <v>10.758000000000003</v>
      </c>
      <c r="Q8" s="10">
        <f t="shared" si="9"/>
        <v>33.027060000000006</v>
      </c>
      <c r="R8" s="7">
        <f>'[12]Oct Prod'!C7</f>
        <v>11018000</v>
      </c>
      <c r="S8" s="8">
        <f t="shared" si="10"/>
        <v>11.018000000000001</v>
      </c>
      <c r="T8" s="10">
        <f t="shared" si="11"/>
        <v>33.82526</v>
      </c>
      <c r="U8" s="7">
        <f>'[12]Oct Prod'!D7</f>
        <v>0</v>
      </c>
      <c r="V8" s="8">
        <f t="shared" si="12"/>
        <v>0</v>
      </c>
      <c r="W8" s="10">
        <f t="shared" si="13"/>
        <v>0</v>
      </c>
      <c r="X8" s="7">
        <f>'[12]Oct Prod'!D262</f>
        <v>259999.99999999802</v>
      </c>
      <c r="Y8" s="8">
        <f t="shared" si="14"/>
        <v>0.25999999999999801</v>
      </c>
      <c r="Z8" s="10">
        <f t="shared" si="15"/>
        <v>0.7981999999999938</v>
      </c>
      <c r="AA8" s="15"/>
      <c r="AB8" s="7">
        <f t="shared" si="16"/>
        <v>24458000.000000045</v>
      </c>
      <c r="AC8" s="8">
        <f t="shared" si="16"/>
        <v>24.458000000000048</v>
      </c>
      <c r="AD8" s="8">
        <f>D8+Q8</f>
        <v>75.086060000000145</v>
      </c>
      <c r="AF8" s="8">
        <f t="shared" si="17"/>
        <v>0</v>
      </c>
    </row>
    <row r="9" spans="1:32" x14ac:dyDescent="0.25">
      <c r="A9" s="27">
        <v>38630</v>
      </c>
      <c r="B9" s="7">
        <f>'[12]Oct Prod'!I8</f>
        <v>12099999.999999909</v>
      </c>
      <c r="C9" s="8">
        <f t="shared" si="0"/>
        <v>12.099999999999909</v>
      </c>
      <c r="D9" s="10">
        <f t="shared" si="1"/>
        <v>37.146999999999721</v>
      </c>
      <c r="E9" s="7">
        <f>'[12]Oct Prod'!E8</f>
        <v>3000000</v>
      </c>
      <c r="F9" s="8">
        <f t="shared" si="2"/>
        <v>3</v>
      </c>
      <c r="G9" s="10">
        <f t="shared" si="3"/>
        <v>9.2099999999999991</v>
      </c>
      <c r="H9" s="7">
        <f>'[12]Oct Prod'!F8</f>
        <v>10650000</v>
      </c>
      <c r="I9" s="8">
        <f t="shared" si="4"/>
        <v>10.65</v>
      </c>
      <c r="J9" s="10">
        <f t="shared" si="5"/>
        <v>32.695500000000003</v>
      </c>
      <c r="K9" s="7">
        <f>'[12]Oct Prod'!H263</f>
        <v>1219463</v>
      </c>
      <c r="L9" s="8">
        <f t="shared" si="6"/>
        <v>1.219463</v>
      </c>
      <c r="M9" s="10">
        <f t="shared" si="7"/>
        <v>3.7437514099999998</v>
      </c>
      <c r="N9" s="21"/>
      <c r="O9" s="7">
        <f>'[12]Oct Prod'!H8</f>
        <v>10869000.000000002</v>
      </c>
      <c r="P9" s="8">
        <f t="shared" si="8"/>
        <v>10.869000000000002</v>
      </c>
      <c r="Q9" s="10">
        <f t="shared" si="9"/>
        <v>33.367830000000005</v>
      </c>
      <c r="R9" s="7">
        <f>'[12]Oct Prod'!C8</f>
        <v>11065000</v>
      </c>
      <c r="S9" s="8">
        <f t="shared" si="10"/>
        <v>11.065</v>
      </c>
      <c r="T9" s="10">
        <f t="shared" si="11"/>
        <v>33.969549999999998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195999.99999999796</v>
      </c>
      <c r="Y9" s="8">
        <f t="shared" si="14"/>
        <v>0.19599999999999795</v>
      </c>
      <c r="Z9" s="10">
        <f t="shared" si="15"/>
        <v>0.6017199999999937</v>
      </c>
      <c r="AA9" s="15"/>
      <c r="AB9" s="7">
        <f t="shared" si="16"/>
        <v>22968999.999999911</v>
      </c>
      <c r="AC9" s="8">
        <f t="shared" si="16"/>
        <v>22.968999999999909</v>
      </c>
      <c r="AD9" s="8">
        <f t="shared" si="16"/>
        <v>70.514829999999733</v>
      </c>
      <c r="AF9" s="8">
        <f t="shared" si="17"/>
        <v>0</v>
      </c>
    </row>
    <row r="10" spans="1:32" x14ac:dyDescent="0.25">
      <c r="A10" s="27">
        <v>38631</v>
      </c>
      <c r="B10" s="7">
        <f>'[12]Oct Prod'!I9</f>
        <v>13299999.999999955</v>
      </c>
      <c r="C10" s="8">
        <f t="shared" si="0"/>
        <v>13.299999999999955</v>
      </c>
      <c r="D10" s="10">
        <f t="shared" si="1"/>
        <v>40.830999999999861</v>
      </c>
      <c r="E10" s="7">
        <f>'[12]Oct Prod'!E9</f>
        <v>3000000</v>
      </c>
      <c r="F10" s="8">
        <f t="shared" si="2"/>
        <v>3</v>
      </c>
      <c r="G10" s="10">
        <f t="shared" si="3"/>
        <v>9.2099999999999991</v>
      </c>
      <c r="H10" s="7">
        <f>'[12]Oct Prod'!F9</f>
        <v>11410000</v>
      </c>
      <c r="I10" s="8">
        <f t="shared" si="4"/>
        <v>11.41</v>
      </c>
      <c r="J10" s="10">
        <f t="shared" si="5"/>
        <v>35.028700000000001</v>
      </c>
      <c r="K10" s="7">
        <f>'[12]Oct Prod'!H264</f>
        <v>1334428</v>
      </c>
      <c r="L10" s="8">
        <f t="shared" si="6"/>
        <v>1.3344279999999999</v>
      </c>
      <c r="M10" s="10">
        <f t="shared" si="7"/>
        <v>4.0966939599999996</v>
      </c>
      <c r="N10" s="21"/>
      <c r="O10" s="7">
        <f>'[12]Oct Prod'!H9</f>
        <v>10745999.999999996</v>
      </c>
      <c r="P10" s="8">
        <f t="shared" si="8"/>
        <v>10.745999999999997</v>
      </c>
      <c r="Q10" s="10">
        <f t="shared" si="9"/>
        <v>32.990219999999987</v>
      </c>
      <c r="R10" s="7">
        <f>'[12]Oct Prod'!C9</f>
        <v>11007000</v>
      </c>
      <c r="S10" s="8">
        <f t="shared" si="10"/>
        <v>11.007</v>
      </c>
      <c r="T10" s="10">
        <f t="shared" si="11"/>
        <v>33.791489999999996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261000.00000000279</v>
      </c>
      <c r="Y10" s="8">
        <f t="shared" si="14"/>
        <v>0.26100000000000279</v>
      </c>
      <c r="Z10" s="10">
        <f t="shared" si="15"/>
        <v>0.80127000000000848</v>
      </c>
      <c r="AA10" s="15"/>
      <c r="AB10" s="7">
        <f t="shared" si="16"/>
        <v>24045999.999999952</v>
      </c>
      <c r="AC10" s="8">
        <f t="shared" si="16"/>
        <v>24.04599999999995</v>
      </c>
      <c r="AD10" s="8">
        <f t="shared" si="16"/>
        <v>73.82121999999984</v>
      </c>
      <c r="AF10" s="8">
        <f t="shared" si="17"/>
        <v>9.9920072216264089E-16</v>
      </c>
    </row>
    <row r="11" spans="1:32" x14ac:dyDescent="0.25">
      <c r="A11" s="27">
        <v>38632</v>
      </c>
      <c r="B11" s="7">
        <f>'[12]Oct Prod'!I10</f>
        <v>9200000.0000000447</v>
      </c>
      <c r="C11" s="8">
        <f t="shared" si="0"/>
        <v>9.2000000000000455</v>
      </c>
      <c r="D11" s="10">
        <f t="shared" si="1"/>
        <v>28.244000000000138</v>
      </c>
      <c r="E11" s="7">
        <f>'[12]Oct Prod'!E10</f>
        <v>1000000</v>
      </c>
      <c r="F11" s="8">
        <f t="shared" si="2"/>
        <v>1</v>
      </c>
      <c r="G11" s="10">
        <f t="shared" si="3"/>
        <v>3.07</v>
      </c>
      <c r="H11" s="7">
        <f>'[12]Oct Prod'!F10</f>
        <v>9300000</v>
      </c>
      <c r="I11" s="8">
        <f t="shared" si="4"/>
        <v>9.3000000000000007</v>
      </c>
      <c r="J11" s="10">
        <f t="shared" si="5"/>
        <v>28.551000000000002</v>
      </c>
      <c r="K11" s="7">
        <f>'[12]Oct Prod'!H265</f>
        <v>966745</v>
      </c>
      <c r="L11" s="8">
        <f t="shared" si="6"/>
        <v>0.96674499999999997</v>
      </c>
      <c r="M11" s="10">
        <f t="shared" si="7"/>
        <v>2.9679071499999998</v>
      </c>
      <c r="N11" s="21"/>
      <c r="O11" s="7">
        <f>'[12]Oct Prod'!H10</f>
        <v>7508999.9999999991</v>
      </c>
      <c r="P11" s="8">
        <f t="shared" si="8"/>
        <v>7.5089999999999995</v>
      </c>
      <c r="Q11" s="10">
        <f t="shared" si="9"/>
        <v>23.052629999999997</v>
      </c>
      <c r="R11" s="7">
        <f>'[12]Oct Prod'!C10</f>
        <v>7844000</v>
      </c>
      <c r="S11" s="8">
        <f t="shared" si="10"/>
        <v>7.8440000000000003</v>
      </c>
      <c r="T11" s="10">
        <f t="shared" si="11"/>
        <v>24.08108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335000.00000000087</v>
      </c>
      <c r="Y11" s="8">
        <f t="shared" si="14"/>
        <v>0.33500000000000085</v>
      </c>
      <c r="Z11" s="10">
        <f t="shared" si="15"/>
        <v>1.0284500000000025</v>
      </c>
      <c r="AA11" s="15"/>
      <c r="AB11" s="7">
        <f t="shared" si="16"/>
        <v>16709000.000000045</v>
      </c>
      <c r="AC11" s="8">
        <f t="shared" si="16"/>
        <v>16.709000000000046</v>
      </c>
      <c r="AD11" s="8">
        <f t="shared" si="16"/>
        <v>51.296630000000135</v>
      </c>
      <c r="AF11" s="8">
        <f t="shared" si="17"/>
        <v>0</v>
      </c>
    </row>
    <row r="12" spans="1:32" x14ac:dyDescent="0.25">
      <c r="A12" s="27">
        <v>38633</v>
      </c>
      <c r="B12" s="7">
        <f>'[12]Oct Prod'!I11</f>
        <v>11700000.000000045</v>
      </c>
      <c r="C12" s="8">
        <f t="shared" si="0"/>
        <v>11.700000000000045</v>
      </c>
      <c r="D12" s="10">
        <f t="shared" si="1"/>
        <v>35.919000000000139</v>
      </c>
      <c r="E12" s="7">
        <f>'[12]Oct Prod'!E11</f>
        <v>0</v>
      </c>
      <c r="F12" s="8">
        <f t="shared" si="2"/>
        <v>0</v>
      </c>
      <c r="G12" s="10">
        <f t="shared" si="3"/>
        <v>0</v>
      </c>
      <c r="H12" s="7">
        <f>'[12]Oct Prod'!F11</f>
        <v>12220000</v>
      </c>
      <c r="I12" s="8">
        <f t="shared" si="4"/>
        <v>12.22</v>
      </c>
      <c r="J12" s="10">
        <f t="shared" si="5"/>
        <v>37.5154</v>
      </c>
      <c r="K12" s="7">
        <f>'[12]Oct Prod'!H266</f>
        <v>1173545</v>
      </c>
      <c r="L12" s="8">
        <f t="shared" si="6"/>
        <v>1.1735450000000001</v>
      </c>
      <c r="M12" s="10">
        <f t="shared" si="7"/>
        <v>3.60278315</v>
      </c>
      <c r="N12" s="21"/>
      <c r="O12" s="7">
        <f>'[12]Oct Prod'!H11</f>
        <v>9896000</v>
      </c>
      <c r="P12" s="8">
        <f t="shared" si="8"/>
        <v>9.8960000000000008</v>
      </c>
      <c r="Q12" s="10">
        <f t="shared" si="9"/>
        <v>30.38072</v>
      </c>
      <c r="R12" s="7">
        <f>'[12]Oct Prod'!C11</f>
        <v>10082000</v>
      </c>
      <c r="S12" s="8">
        <f t="shared" si="10"/>
        <v>10.082000000000001</v>
      </c>
      <c r="T12" s="10">
        <f t="shared" si="11"/>
        <v>30.951740000000001</v>
      </c>
      <c r="U12" s="7">
        <f>'[12]Oct Prod'!D11</f>
        <v>0</v>
      </c>
      <c r="V12" s="8">
        <f t="shared" si="12"/>
        <v>0</v>
      </c>
      <c r="W12" s="10">
        <f t="shared" si="13"/>
        <v>0</v>
      </c>
      <c r="X12" s="7">
        <f>'[12]Oct Prod'!D266</f>
        <v>185999.99999999994</v>
      </c>
      <c r="Y12" s="8">
        <f t="shared" si="14"/>
        <v>0.18599999999999994</v>
      </c>
      <c r="Z12" s="10">
        <f t="shared" si="15"/>
        <v>0.57101999999999975</v>
      </c>
      <c r="AA12" s="15"/>
      <c r="AB12" s="7">
        <f t="shared" si="16"/>
        <v>21596000.000000045</v>
      </c>
      <c r="AC12" s="8">
        <f t="shared" si="16"/>
        <v>21.596000000000046</v>
      </c>
      <c r="AD12" s="8">
        <f t="shared" si="16"/>
        <v>66.299720000000136</v>
      </c>
      <c r="AF12" s="8">
        <f t="shared" si="17"/>
        <v>9.9920072216264089E-16</v>
      </c>
    </row>
    <row r="13" spans="1:32" x14ac:dyDescent="0.25">
      <c r="A13" s="27">
        <v>38634</v>
      </c>
      <c r="B13" s="7">
        <f>'[12]Oct Prod'!I12</f>
        <v>10899999.999999864</v>
      </c>
      <c r="C13" s="8">
        <f t="shared" si="0"/>
        <v>10.899999999999864</v>
      </c>
      <c r="D13" s="10">
        <f t="shared" si="1"/>
        <v>33.462999999999582</v>
      </c>
      <c r="E13" s="7">
        <f>'[12]Oct Prod'!E12</f>
        <v>0</v>
      </c>
      <c r="F13" s="8">
        <f t="shared" si="2"/>
        <v>0</v>
      </c>
      <c r="G13" s="10">
        <f t="shared" si="3"/>
        <v>0</v>
      </c>
      <c r="H13" s="7">
        <f>'[12]Oct Prod'!F12</f>
        <v>11120000.000000002</v>
      </c>
      <c r="I13" s="8">
        <f t="shared" si="4"/>
        <v>11.120000000000001</v>
      </c>
      <c r="J13" s="10">
        <f t="shared" si="5"/>
        <v>34.138400000000004</v>
      </c>
      <c r="K13" s="7">
        <f>'[12]Oct Prod'!H267</f>
        <v>1061757</v>
      </c>
      <c r="L13" s="8">
        <f t="shared" si="6"/>
        <v>1.0617570000000001</v>
      </c>
      <c r="M13" s="10">
        <f t="shared" si="7"/>
        <v>3.2595939899999999</v>
      </c>
      <c r="N13" s="21"/>
      <c r="O13" s="7">
        <f>'[12]Oct Prod'!H12</f>
        <v>9938999.9999999981</v>
      </c>
      <c r="P13" s="8">
        <f t="shared" si="8"/>
        <v>9.9389999999999983</v>
      </c>
      <c r="Q13" s="10">
        <f t="shared" si="9"/>
        <v>30.512729999999994</v>
      </c>
      <c r="R13" s="7">
        <f>'[12]Oct Prod'!C12</f>
        <v>10072000</v>
      </c>
      <c r="S13" s="8">
        <f t="shared" si="10"/>
        <v>10.071999999999999</v>
      </c>
      <c r="T13" s="10">
        <f t="shared" si="11"/>
        <v>30.921039999999994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133000.00000000268</v>
      </c>
      <c r="Y13" s="8">
        <f t="shared" si="14"/>
        <v>0.13300000000000267</v>
      </c>
      <c r="Z13" s="10">
        <f t="shared" si="15"/>
        <v>0.40831000000000817</v>
      </c>
      <c r="AA13" s="15"/>
      <c r="AB13" s="7">
        <f t="shared" si="16"/>
        <v>20838999.999999862</v>
      </c>
      <c r="AC13" s="8">
        <f t="shared" si="16"/>
        <v>20.838999999999864</v>
      </c>
      <c r="AD13" s="8">
        <f t="shared" si="16"/>
        <v>63.975729999999572</v>
      </c>
      <c r="AF13" s="8">
        <f t="shared" si="17"/>
        <v>-7.9936057773011271E-15</v>
      </c>
    </row>
    <row r="14" spans="1:32" x14ac:dyDescent="0.25">
      <c r="A14" s="27">
        <v>38635</v>
      </c>
      <c r="B14" s="7">
        <f>'[12]Oct Prod'!I13</f>
        <v>15300000.000000183</v>
      </c>
      <c r="C14" s="8">
        <f t="shared" si="0"/>
        <v>15.300000000000182</v>
      </c>
      <c r="D14" s="10">
        <f t="shared" si="1"/>
        <v>46.971000000000558</v>
      </c>
      <c r="E14" s="7">
        <f>'[12]Oct Prod'!E13</f>
        <v>0</v>
      </c>
      <c r="F14" s="8">
        <f t="shared" si="2"/>
        <v>0</v>
      </c>
      <c r="G14" s="10">
        <f t="shared" si="3"/>
        <v>0</v>
      </c>
      <c r="H14" s="7">
        <f>'[12]Oct Prod'!F13</f>
        <v>17270000</v>
      </c>
      <c r="I14" s="8">
        <f t="shared" si="4"/>
        <v>17.27</v>
      </c>
      <c r="J14" s="10">
        <f t="shared" si="5"/>
        <v>53.018899999999995</v>
      </c>
      <c r="K14" s="7">
        <f>'[12]Oct Prod'!H268</f>
        <v>1120945</v>
      </c>
      <c r="L14" s="8">
        <f t="shared" si="6"/>
        <v>1.1209450000000001</v>
      </c>
      <c r="M14" s="10">
        <f t="shared" si="7"/>
        <v>3.4413011500000001</v>
      </c>
      <c r="N14" s="21"/>
      <c r="O14" s="7">
        <f>'[12]Oct Prod'!H13</f>
        <v>9149000.0000000037</v>
      </c>
      <c r="P14" s="8">
        <f t="shared" si="8"/>
        <v>9.1490000000000045</v>
      </c>
      <c r="Q14" s="10">
        <f t="shared" si="9"/>
        <v>28.087430000000012</v>
      </c>
      <c r="R14" s="7">
        <f>'[12]Oct Prod'!C13</f>
        <v>9538000</v>
      </c>
      <c r="S14" s="8">
        <f t="shared" si="10"/>
        <v>9.5380000000000003</v>
      </c>
      <c r="T14" s="10">
        <f t="shared" si="11"/>
        <v>29.281659999999999</v>
      </c>
      <c r="U14" s="7">
        <f>'[12]Oct Prod'!D13</f>
        <v>0</v>
      </c>
      <c r="V14" s="8">
        <f t="shared" ref="V14:V16" si="18">U14/1000000</f>
        <v>0</v>
      </c>
      <c r="W14" s="10">
        <f t="shared" ref="W14:W16" si="19">V14*3.07</f>
        <v>0</v>
      </c>
      <c r="X14" s="7">
        <f>'[12]Oct Prod'!D268</f>
        <v>388999.99999999581</v>
      </c>
      <c r="Y14" s="8">
        <f t="shared" si="14"/>
        <v>0.38899999999999579</v>
      </c>
      <c r="Z14" s="10">
        <f t="shared" si="15"/>
        <v>1.194229999999987</v>
      </c>
      <c r="AA14" s="15"/>
      <c r="AB14" s="7">
        <f t="shared" si="16"/>
        <v>24449000.000000186</v>
      </c>
      <c r="AC14" s="8">
        <f t="shared" si="16"/>
        <v>24.449000000000186</v>
      </c>
      <c r="AD14" s="8">
        <f t="shared" si="16"/>
        <v>75.05843000000057</v>
      </c>
      <c r="AF14" s="8">
        <f t="shared" si="17"/>
        <v>0</v>
      </c>
    </row>
    <row r="15" spans="1:32" x14ac:dyDescent="0.25">
      <c r="A15" s="27">
        <v>38636</v>
      </c>
      <c r="B15" s="7">
        <f>'[12]Oct Prod'!I14</f>
        <v>10299999.999999955</v>
      </c>
      <c r="C15" s="8">
        <f t="shared" si="0"/>
        <v>10.299999999999955</v>
      </c>
      <c r="D15" s="10">
        <f t="shared" si="1"/>
        <v>31.62099999999986</v>
      </c>
      <c r="E15" s="7">
        <f>'[12]Oct Prod'!E14</f>
        <v>0</v>
      </c>
      <c r="F15" s="8">
        <f t="shared" si="2"/>
        <v>0</v>
      </c>
      <c r="G15" s="10">
        <f t="shared" si="3"/>
        <v>0</v>
      </c>
      <c r="H15" s="7">
        <f>'[12]Oct Prod'!F14</f>
        <v>11560000</v>
      </c>
      <c r="I15" s="8">
        <f t="shared" si="4"/>
        <v>11.56</v>
      </c>
      <c r="J15" s="10">
        <f t="shared" si="5"/>
        <v>35.489199999999997</v>
      </c>
      <c r="K15" s="7">
        <f>'[12]Oct Prod'!H269</f>
        <v>1098014</v>
      </c>
      <c r="L15" s="8">
        <f t="shared" si="6"/>
        <v>1.098014</v>
      </c>
      <c r="M15" s="10">
        <f t="shared" si="7"/>
        <v>3.3709029799999999</v>
      </c>
      <c r="N15" s="21"/>
      <c r="O15" s="7">
        <f>'[12]Oct Prod'!H14</f>
        <v>8108000</v>
      </c>
      <c r="P15" s="8">
        <f t="shared" si="8"/>
        <v>8.1080000000000005</v>
      </c>
      <c r="Q15" s="10">
        <f t="shared" si="9"/>
        <v>24.891560000000002</v>
      </c>
      <c r="R15" s="7">
        <f>'[12]Oct Prod'!C14</f>
        <v>8370000</v>
      </c>
      <c r="S15" s="8">
        <f t="shared" si="10"/>
        <v>8.3699999999999992</v>
      </c>
      <c r="T15" s="10">
        <f t="shared" si="11"/>
        <v>25.695899999999995</v>
      </c>
      <c r="U15" s="7">
        <f>'[12]Oct Prod'!D14</f>
        <v>0</v>
      </c>
      <c r="V15" s="8">
        <f t="shared" si="18"/>
        <v>0</v>
      </c>
      <c r="W15" s="10">
        <f t="shared" si="19"/>
        <v>0</v>
      </c>
      <c r="X15" s="7">
        <f>'[12]Oct Prod'!D269</f>
        <v>262000.00000000047</v>
      </c>
      <c r="Y15" s="8">
        <f t="shared" si="14"/>
        <v>0.26200000000000045</v>
      </c>
      <c r="Z15" s="10">
        <f t="shared" si="15"/>
        <v>0.80434000000000139</v>
      </c>
      <c r="AA15" s="15"/>
      <c r="AB15" s="7">
        <f t="shared" si="16"/>
        <v>18407999.999999955</v>
      </c>
      <c r="AC15" s="8">
        <f t="shared" si="16"/>
        <v>18.407999999999955</v>
      </c>
      <c r="AD15" s="8">
        <f t="shared" si="16"/>
        <v>56.512559999999866</v>
      </c>
      <c r="AF15" s="8">
        <f>T15-Q15-Z15</f>
        <v>-8.659739592076221E-15</v>
      </c>
    </row>
    <row r="16" spans="1:32" x14ac:dyDescent="0.25">
      <c r="A16" s="27">
        <v>38637</v>
      </c>
      <c r="B16" s="7">
        <f>'[12]Oct Prod'!I15</f>
        <v>10200000.000000045</v>
      </c>
      <c r="C16" s="8">
        <f t="shared" si="0"/>
        <v>10.200000000000045</v>
      </c>
      <c r="D16" s="10">
        <f t="shared" si="1"/>
        <v>31.314000000000139</v>
      </c>
      <c r="E16" s="7">
        <f>'[12]Oct Prod'!E15</f>
        <v>0</v>
      </c>
      <c r="F16" s="8">
        <f t="shared" si="2"/>
        <v>0</v>
      </c>
      <c r="G16" s="10">
        <f t="shared" si="3"/>
        <v>0</v>
      </c>
      <c r="H16" s="7">
        <f>'[12]Oct Prod'!F15</f>
        <v>11470000</v>
      </c>
      <c r="I16" s="8">
        <f t="shared" si="4"/>
        <v>11.47</v>
      </c>
      <c r="J16" s="10">
        <f t="shared" si="5"/>
        <v>35.212899999999998</v>
      </c>
      <c r="K16" s="7">
        <f>'[12]Oct Prod'!H270</f>
        <v>998596</v>
      </c>
      <c r="L16" s="8">
        <f t="shared" ref="L16:L20" si="20">K16/1000000</f>
        <v>0.99859600000000004</v>
      </c>
      <c r="M16" s="10">
        <f t="shared" ref="M16:M20" si="21">L16*3.07</f>
        <v>3.06568972</v>
      </c>
      <c r="N16" s="21"/>
      <c r="O16" s="7">
        <f>'[12]Oct Prod'!H15</f>
        <v>7853000.0000000019</v>
      </c>
      <c r="P16" s="8">
        <f t="shared" si="8"/>
        <v>7.8530000000000015</v>
      </c>
      <c r="Q16" s="10">
        <f t="shared" si="9"/>
        <v>24.108710000000002</v>
      </c>
      <c r="R16" s="7">
        <f>'[12]Oct Prod'!C15</f>
        <v>7918000</v>
      </c>
      <c r="S16" s="8">
        <f t="shared" si="10"/>
        <v>7.9180000000000001</v>
      </c>
      <c r="T16" s="10">
        <f t="shared" si="11"/>
        <v>24.308260000000001</v>
      </c>
      <c r="U16" s="7">
        <f>'[12]Oct Prod'!D15</f>
        <v>0</v>
      </c>
      <c r="V16" s="8">
        <f t="shared" si="18"/>
        <v>0</v>
      </c>
      <c r="W16" s="10">
        <f t="shared" si="19"/>
        <v>0</v>
      </c>
      <c r="X16" s="7">
        <f>'[12]Oct Prod'!D270</f>
        <v>64999.99999999773</v>
      </c>
      <c r="Y16" s="8">
        <f t="shared" si="14"/>
        <v>6.4999999999997726E-2</v>
      </c>
      <c r="Z16" s="10">
        <f t="shared" si="15"/>
        <v>0.19954999999999301</v>
      </c>
      <c r="AA16" s="15"/>
      <c r="AB16" s="7">
        <f t="shared" si="16"/>
        <v>18053000.000000045</v>
      </c>
      <c r="AC16" s="8">
        <f t="shared" si="16"/>
        <v>18.053000000000047</v>
      </c>
      <c r="AD16" s="8">
        <f t="shared" si="16"/>
        <v>55.422710000000137</v>
      </c>
      <c r="AF16" s="8">
        <f>T16-Q16-Z16</f>
        <v>5.5511151231257827E-15</v>
      </c>
    </row>
    <row r="17" spans="1:32" x14ac:dyDescent="0.25">
      <c r="A17" s="27">
        <v>38638</v>
      </c>
      <c r="B17" s="7">
        <f>'[12]Oct Prod'!I16</f>
        <v>7500000</v>
      </c>
      <c r="C17" s="8">
        <f t="shared" si="0"/>
        <v>7.5</v>
      </c>
      <c r="D17" s="10">
        <f t="shared" si="1"/>
        <v>23.024999999999999</v>
      </c>
      <c r="E17" s="7">
        <f>'[12]Oct Prod'!E16</f>
        <v>0</v>
      </c>
      <c r="F17" s="8">
        <f t="shared" si="2"/>
        <v>0</v>
      </c>
      <c r="G17" s="10">
        <f t="shared" si="3"/>
        <v>0</v>
      </c>
      <c r="H17" s="7">
        <f>'[12]Oct Prod'!F16</f>
        <v>8630000</v>
      </c>
      <c r="I17" s="8">
        <f t="shared" si="4"/>
        <v>8.6300000000000008</v>
      </c>
      <c r="J17" s="10">
        <f t="shared" si="5"/>
        <v>26.4941</v>
      </c>
      <c r="K17" s="7">
        <f>'[12]Oct Prod'!H271</f>
        <v>831769</v>
      </c>
      <c r="L17" s="8">
        <f t="shared" si="20"/>
        <v>0.83176899999999998</v>
      </c>
      <c r="M17" s="10">
        <f t="shared" si="21"/>
        <v>2.5535308299999997</v>
      </c>
      <c r="N17" s="21"/>
      <c r="O17" s="7">
        <f>'[12]Oct Prod'!H16</f>
        <v>7655999.9999999953</v>
      </c>
      <c r="P17" s="8">
        <f t="shared" si="8"/>
        <v>7.6559999999999953</v>
      </c>
      <c r="Q17" s="10">
        <f t="shared" si="9"/>
        <v>23.503919999999983</v>
      </c>
      <c r="R17" s="7">
        <f>'[12]Oct Prod'!C16</f>
        <v>7968000</v>
      </c>
      <c r="S17" s="8">
        <f t="shared" si="10"/>
        <v>7.968</v>
      </c>
      <c r="T17" s="10">
        <f t="shared" si="11"/>
        <v>24.461759999999998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312000.00000000471</v>
      </c>
      <c r="Y17" s="8">
        <f t="shared" si="14"/>
        <v>0.31200000000000472</v>
      </c>
      <c r="Z17" s="10">
        <f t="shared" si="15"/>
        <v>0.95784000000001446</v>
      </c>
      <c r="AA17" s="15"/>
      <c r="AB17" s="7">
        <f t="shared" si="16"/>
        <v>15155999.999999996</v>
      </c>
      <c r="AC17" s="8">
        <f t="shared" si="16"/>
        <v>15.155999999999995</v>
      </c>
      <c r="AD17" s="8">
        <f t="shared" si="16"/>
        <v>46.528919999999985</v>
      </c>
      <c r="AF17" s="8">
        <f>T17-Q17-Z17</f>
        <v>0</v>
      </c>
    </row>
    <row r="18" spans="1:32" x14ac:dyDescent="0.25">
      <c r="A18" s="27">
        <v>38639</v>
      </c>
      <c r="B18" s="7">
        <f>'[12]Oct Prod'!I17</f>
        <v>11399999.999999864</v>
      </c>
      <c r="C18" s="8">
        <f t="shared" si="0"/>
        <v>11.399999999999864</v>
      </c>
      <c r="D18" s="10">
        <f t="shared" si="1"/>
        <v>34.997999999999578</v>
      </c>
      <c r="E18" s="7">
        <f>'[12]Oct Prod'!E17</f>
        <v>0</v>
      </c>
      <c r="F18" s="8">
        <f t="shared" si="2"/>
        <v>0</v>
      </c>
      <c r="G18" s="10">
        <f t="shared" si="3"/>
        <v>0</v>
      </c>
      <c r="H18" s="7">
        <f>'[12]Oct Prod'!F17</f>
        <v>12860000</v>
      </c>
      <c r="I18" s="8">
        <f t="shared" si="4"/>
        <v>12.86</v>
      </c>
      <c r="J18" s="10">
        <f t="shared" si="5"/>
        <v>39.480199999999996</v>
      </c>
      <c r="K18" s="7">
        <f>'[12]Oct Prod'!H272</f>
        <v>1095131</v>
      </c>
      <c r="L18" s="8">
        <f t="shared" si="20"/>
        <v>1.0951310000000001</v>
      </c>
      <c r="M18" s="10">
        <f t="shared" si="21"/>
        <v>3.3620521700000001</v>
      </c>
      <c r="N18" s="21"/>
      <c r="O18" s="7">
        <f>'[12]Oct Prod'!H17</f>
        <v>8965000.0000000019</v>
      </c>
      <c r="P18" s="8">
        <f t="shared" si="8"/>
        <v>8.9650000000000016</v>
      </c>
      <c r="Q18" s="10">
        <f t="shared" si="9"/>
        <v>27.522550000000003</v>
      </c>
      <c r="R18" s="7">
        <f>'[12]Oct Prod'!C17</f>
        <v>9097000</v>
      </c>
      <c r="S18" s="8">
        <f t="shared" si="10"/>
        <v>9.0969999999999995</v>
      </c>
      <c r="T18" s="10">
        <f t="shared" si="11"/>
        <v>27.927789999999998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131999.9999999979</v>
      </c>
      <c r="Y18" s="8">
        <f t="shared" si="14"/>
        <v>0.1319999999999979</v>
      </c>
      <c r="Z18" s="10">
        <f t="shared" si="15"/>
        <v>0.40523999999999349</v>
      </c>
      <c r="AA18" s="15"/>
      <c r="AB18" s="7">
        <f t="shared" si="16"/>
        <v>20364999.999999866</v>
      </c>
      <c r="AC18" s="8">
        <f t="shared" si="16"/>
        <v>20.364999999999867</v>
      </c>
      <c r="AD18" s="8">
        <f t="shared" si="16"/>
        <v>62.520549999999581</v>
      </c>
      <c r="AF18" s="8">
        <f>T18-Q18-Z18</f>
        <v>2.1094237467877974E-15</v>
      </c>
    </row>
    <row r="19" spans="1:32" x14ac:dyDescent="0.25">
      <c r="A19" s="27">
        <v>38640</v>
      </c>
      <c r="B19" s="7">
        <f>'[12]Oct Prod'!I18</f>
        <v>14299999.999999955</v>
      </c>
      <c r="C19" s="8">
        <f t="shared" si="0"/>
        <v>14.299999999999955</v>
      </c>
      <c r="D19" s="10">
        <f t="shared" si="1"/>
        <v>43.900999999999861</v>
      </c>
      <c r="E19" s="7">
        <f>'[12]Oct Prod'!E18</f>
        <v>0</v>
      </c>
      <c r="F19" s="8">
        <f t="shared" si="2"/>
        <v>0</v>
      </c>
      <c r="G19" s="10">
        <f t="shared" si="3"/>
        <v>0</v>
      </c>
      <c r="H19" s="7">
        <f>'[12]Oct Prod'!F18</f>
        <v>16320000</v>
      </c>
      <c r="I19" s="8">
        <f t="shared" si="4"/>
        <v>16.32</v>
      </c>
      <c r="J19" s="10">
        <f t="shared" si="5"/>
        <v>50.102399999999996</v>
      </c>
      <c r="K19" s="7">
        <f>'[12]Oct Prod'!H273</f>
        <v>1450654</v>
      </c>
      <c r="L19" s="8">
        <f t="shared" si="20"/>
        <v>1.4506540000000001</v>
      </c>
      <c r="M19" s="10">
        <f t="shared" si="21"/>
        <v>4.4535077799999998</v>
      </c>
      <c r="N19" s="21"/>
      <c r="O19" s="7">
        <f>'[12]Oct Prod'!H18</f>
        <v>8898000.0000000019</v>
      </c>
      <c r="P19" s="8">
        <f t="shared" si="8"/>
        <v>8.8980000000000015</v>
      </c>
      <c r="Q19" s="10">
        <f t="shared" si="9"/>
        <v>27.316860000000002</v>
      </c>
      <c r="R19" s="7">
        <f>'[12]Oct Prod'!C18</f>
        <v>9097000</v>
      </c>
      <c r="S19" s="8">
        <f t="shared" si="10"/>
        <v>9.0969999999999995</v>
      </c>
      <c r="T19" s="10">
        <f t="shared" si="11"/>
        <v>27.927789999999998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198999.99999999808</v>
      </c>
      <c r="Y19" s="8">
        <f t="shared" si="14"/>
        <v>0.19899999999999807</v>
      </c>
      <c r="Z19" s="10">
        <f t="shared" si="15"/>
        <v>0.61092999999999409</v>
      </c>
      <c r="AA19" s="15"/>
      <c r="AB19" s="7">
        <f t="shared" si="16"/>
        <v>23197999.999999955</v>
      </c>
      <c r="AC19" s="8">
        <f t="shared" si="16"/>
        <v>23.197999999999958</v>
      </c>
      <c r="AD19" s="8">
        <f>D19+Q19</f>
        <v>71.21785999999986</v>
      </c>
      <c r="AF19" s="8">
        <f>T19-Q19-Z19</f>
        <v>2.1094237467877974E-15</v>
      </c>
    </row>
    <row r="20" spans="1:32" x14ac:dyDescent="0.25">
      <c r="A20" s="27">
        <v>38641</v>
      </c>
      <c r="B20" s="7">
        <f>'[12]Oct Prod'!I19</f>
        <v>11700000.000000045</v>
      </c>
      <c r="C20" s="8">
        <f t="shared" si="0"/>
        <v>11.700000000000045</v>
      </c>
      <c r="D20" s="10">
        <f t="shared" si="1"/>
        <v>35.919000000000139</v>
      </c>
      <c r="E20" s="7">
        <f>'[12]Oct Prod'!E19</f>
        <v>0</v>
      </c>
      <c r="F20" s="8">
        <f t="shared" si="2"/>
        <v>0</v>
      </c>
      <c r="G20" s="10">
        <f t="shared" si="3"/>
        <v>0</v>
      </c>
      <c r="H20" s="7">
        <f>'[12]Oct Prod'!F19</f>
        <v>12960000</v>
      </c>
      <c r="I20" s="8">
        <f t="shared" si="4"/>
        <v>12.96</v>
      </c>
      <c r="J20" s="10">
        <f t="shared" si="5"/>
        <v>39.787199999999999</v>
      </c>
      <c r="K20" s="7">
        <f>'[12]Oct Prod'!H274</f>
        <v>1127927</v>
      </c>
      <c r="L20" s="8">
        <f t="shared" si="20"/>
        <v>1.1279269999999999</v>
      </c>
      <c r="M20" s="10">
        <f t="shared" si="21"/>
        <v>3.4627358899999994</v>
      </c>
      <c r="N20" s="21"/>
      <c r="O20" s="7">
        <f>'[12]Oct Prod'!H19</f>
        <v>7665999.9999999972</v>
      </c>
      <c r="P20" s="8">
        <f t="shared" si="8"/>
        <v>7.6659999999999968</v>
      </c>
      <c r="Q20" s="10">
        <f t="shared" si="9"/>
        <v>23.53461999999999</v>
      </c>
      <c r="R20" s="7">
        <f>'[12]Oct Prod'!C19</f>
        <v>7927000</v>
      </c>
      <c r="S20" s="8">
        <f t="shared" si="10"/>
        <v>7.9269999999999996</v>
      </c>
      <c r="T20" s="10">
        <f t="shared" si="11"/>
        <v>24.335889999999999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261000.00000000279</v>
      </c>
      <c r="Y20" s="8">
        <f t="shared" si="14"/>
        <v>0.26100000000000279</v>
      </c>
      <c r="Z20" s="10">
        <f t="shared" si="15"/>
        <v>0.80127000000000848</v>
      </c>
      <c r="AA20" s="15"/>
      <c r="AB20" s="7">
        <f t="shared" si="16"/>
        <v>19366000.000000041</v>
      </c>
      <c r="AC20" s="8">
        <f t="shared" si="16"/>
        <v>19.366000000000042</v>
      </c>
      <c r="AD20" s="8">
        <f t="shared" si="16"/>
        <v>59.453620000000129</v>
      </c>
      <c r="AF20" s="8">
        <f t="shared" ref="AF20:AF35" si="22">T20-Q20-Z20</f>
        <v>9.9920072216264089E-16</v>
      </c>
    </row>
    <row r="21" spans="1:32" x14ac:dyDescent="0.25">
      <c r="A21" s="27">
        <v>38642</v>
      </c>
      <c r="B21" s="7">
        <f>'[12]Oct Prod'!I20</f>
        <v>10000000</v>
      </c>
      <c r="C21" s="8">
        <f t="shared" si="0"/>
        <v>10</v>
      </c>
      <c r="D21" s="10">
        <f t="shared" si="1"/>
        <v>30.7</v>
      </c>
      <c r="E21" s="7">
        <f>'[12]Oct Prod'!E20</f>
        <v>0</v>
      </c>
      <c r="F21" s="8">
        <f t="shared" si="2"/>
        <v>0</v>
      </c>
      <c r="G21" s="10">
        <f t="shared" si="3"/>
        <v>0</v>
      </c>
      <c r="H21" s="7">
        <f>'[12]Oct Prod'!F20</f>
        <v>11230000</v>
      </c>
      <c r="I21" s="8">
        <f t="shared" si="4"/>
        <v>11.23</v>
      </c>
      <c r="J21" s="10">
        <f t="shared" si="5"/>
        <v>34.476100000000002</v>
      </c>
      <c r="K21" s="7">
        <f>'[12]Oct Prod'!H275</f>
        <v>1061656</v>
      </c>
      <c r="L21" s="8">
        <f t="shared" si="6"/>
        <v>1.0616559999999999</v>
      </c>
      <c r="M21" s="10">
        <f t="shared" si="7"/>
        <v>3.2592839199999997</v>
      </c>
      <c r="N21" s="21"/>
      <c r="O21" s="7">
        <f>'[12]Oct Prod'!H20</f>
        <v>6533999.9999999972</v>
      </c>
      <c r="P21" s="8">
        <f t="shared" si="8"/>
        <v>6.5339999999999971</v>
      </c>
      <c r="Q21" s="10">
        <f t="shared" si="9"/>
        <v>20.05937999999999</v>
      </c>
      <c r="R21" s="7">
        <f>'[12]Oct Prod'!C20</f>
        <v>6731000</v>
      </c>
      <c r="S21" s="8">
        <f t="shared" si="10"/>
        <v>6.7309999999999999</v>
      </c>
      <c r="T21" s="10">
        <f t="shared" si="11"/>
        <v>20.664169999999999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197000.00000000274</v>
      </c>
      <c r="Y21" s="8">
        <f t="shared" si="14"/>
        <v>0.19700000000000273</v>
      </c>
      <c r="Z21" s="10">
        <f t="shared" si="15"/>
        <v>0.60479000000000838</v>
      </c>
      <c r="AA21" s="15"/>
      <c r="AB21" s="7">
        <f t="shared" si="16"/>
        <v>16533999.999999996</v>
      </c>
      <c r="AC21" s="8">
        <f t="shared" si="16"/>
        <v>16.533999999999999</v>
      </c>
      <c r="AD21" s="8">
        <f t="shared" si="16"/>
        <v>50.759379999999993</v>
      </c>
      <c r="AF21" s="8">
        <f t="shared" si="22"/>
        <v>0</v>
      </c>
    </row>
    <row r="22" spans="1:32" x14ac:dyDescent="0.25">
      <c r="A22" s="27">
        <v>38643</v>
      </c>
      <c r="B22" s="7">
        <f>'[12]Oct Prod'!I21</f>
        <v>9000000</v>
      </c>
      <c r="C22" s="8">
        <f t="shared" si="0"/>
        <v>9</v>
      </c>
      <c r="D22" s="10">
        <f t="shared" si="1"/>
        <v>27.63</v>
      </c>
      <c r="E22" s="7">
        <f>'[12]Oct Prod'!E21</f>
        <v>0</v>
      </c>
      <c r="F22" s="8">
        <f t="shared" si="2"/>
        <v>0</v>
      </c>
      <c r="G22" s="10">
        <f t="shared" si="3"/>
        <v>0</v>
      </c>
      <c r="H22" s="7">
        <f>'[12]Oct Prod'!F21</f>
        <v>9460000</v>
      </c>
      <c r="I22" s="8">
        <f t="shared" si="4"/>
        <v>9.4600000000000009</v>
      </c>
      <c r="J22" s="10">
        <f t="shared" si="5"/>
        <v>29.042200000000001</v>
      </c>
      <c r="K22" s="7">
        <f>'[12]Oct Prod'!H276</f>
        <v>948315</v>
      </c>
      <c r="L22" s="8">
        <f t="shared" si="6"/>
        <v>0.94831500000000002</v>
      </c>
      <c r="M22" s="10">
        <f t="shared" si="7"/>
        <v>2.9113270499999997</v>
      </c>
      <c r="N22" s="21"/>
      <c r="O22" s="7">
        <f>'[12]Oct Prod'!H21</f>
        <v>6326000.0000000065</v>
      </c>
      <c r="P22" s="8">
        <f t="shared" si="8"/>
        <v>6.3260000000000067</v>
      </c>
      <c r="Q22" s="10">
        <f t="shared" si="9"/>
        <v>19.42082000000002</v>
      </c>
      <c r="R22" s="7">
        <f>'[12]Oct Prod'!C21</f>
        <v>6527000</v>
      </c>
      <c r="S22" s="8">
        <f t="shared" si="10"/>
        <v>6.5270000000000001</v>
      </c>
      <c r="T22" s="10">
        <f t="shared" si="11"/>
        <v>20.037890000000001</v>
      </c>
      <c r="U22" s="7">
        <f>'[12]Oct Prod'!D21</f>
        <v>0</v>
      </c>
      <c r="V22" s="8">
        <f t="shared" si="12"/>
        <v>0</v>
      </c>
      <c r="W22" s="10">
        <f t="shared" si="13"/>
        <v>0</v>
      </c>
      <c r="X22" s="7">
        <f>'[12]Oct Prod'!D276</f>
        <v>200999.99999999339</v>
      </c>
      <c r="Y22" s="8">
        <f t="shared" si="14"/>
        <v>0.20099999999999341</v>
      </c>
      <c r="Z22" s="10">
        <f t="shared" si="15"/>
        <v>0.61706999999997969</v>
      </c>
      <c r="AA22" s="15"/>
      <c r="AB22" s="7">
        <f t="shared" si="16"/>
        <v>15326000.000000007</v>
      </c>
      <c r="AC22" s="8">
        <f t="shared" si="16"/>
        <v>15.326000000000008</v>
      </c>
      <c r="AD22" s="8">
        <f t="shared" si="16"/>
        <v>47.050820000000016</v>
      </c>
      <c r="AF22" s="8">
        <f t="shared" si="22"/>
        <v>0</v>
      </c>
    </row>
    <row r="23" spans="1:32" x14ac:dyDescent="0.25">
      <c r="A23" s="27">
        <v>38644</v>
      </c>
      <c r="B23" s="7">
        <f>'[12]Oct Prod'!I22</f>
        <v>12200000.000000045</v>
      </c>
      <c r="C23" s="8">
        <f t="shared" si="0"/>
        <v>12.200000000000045</v>
      </c>
      <c r="D23" s="10">
        <f t="shared" si="1"/>
        <v>37.454000000000136</v>
      </c>
      <c r="E23" s="7">
        <f>'[12]Oct Prod'!E22</f>
        <v>0</v>
      </c>
      <c r="F23" s="8">
        <f t="shared" si="2"/>
        <v>0</v>
      </c>
      <c r="G23" s="10">
        <f t="shared" si="3"/>
        <v>0</v>
      </c>
      <c r="H23" s="7">
        <f>'[12]Oct Prod'!F22</f>
        <v>14130000</v>
      </c>
      <c r="I23" s="8">
        <f t="shared" si="4"/>
        <v>14.13</v>
      </c>
      <c r="J23" s="10">
        <f t="shared" si="5"/>
        <v>43.379100000000001</v>
      </c>
      <c r="K23" s="7">
        <f>'[12]Oct Prod'!H277</f>
        <v>1241900</v>
      </c>
      <c r="L23" s="8">
        <f t="shared" si="6"/>
        <v>1.2419</v>
      </c>
      <c r="M23" s="10">
        <f t="shared" si="7"/>
        <v>3.8126329999999999</v>
      </c>
      <c r="N23" s="21"/>
      <c r="O23" s="7">
        <f>'[12]Oct Prod'!H22</f>
        <v>7385000</v>
      </c>
      <c r="P23" s="8">
        <f t="shared" si="8"/>
        <v>7.3849999999999998</v>
      </c>
      <c r="Q23" s="10">
        <f t="shared" si="9"/>
        <v>22.671949999999999</v>
      </c>
      <c r="R23" s="7">
        <f>'[12]Oct Prod'!C22</f>
        <v>7452000</v>
      </c>
      <c r="S23" s="8">
        <f t="shared" si="10"/>
        <v>7.452</v>
      </c>
      <c r="T23" s="10">
        <f t="shared" si="11"/>
        <v>22.87764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67000.000000000175</v>
      </c>
      <c r="Y23" s="8">
        <f t="shared" si="14"/>
        <v>6.7000000000000171E-2</v>
      </c>
      <c r="Z23" s="10">
        <f t="shared" si="15"/>
        <v>0.20569000000000051</v>
      </c>
      <c r="AA23" s="15"/>
      <c r="AB23" s="7">
        <f t="shared" si="16"/>
        <v>19585000.000000045</v>
      </c>
      <c r="AC23" s="8">
        <f t="shared" si="16"/>
        <v>19.585000000000043</v>
      </c>
      <c r="AD23" s="8">
        <f t="shared" si="16"/>
        <v>60.125950000000131</v>
      </c>
      <c r="AF23" s="8">
        <f t="shared" si="22"/>
        <v>0</v>
      </c>
    </row>
    <row r="24" spans="1:32" x14ac:dyDescent="0.25">
      <c r="A24" s="27">
        <v>38645</v>
      </c>
      <c r="B24" s="7">
        <f>'[12]Oct Prod'!I23</f>
        <v>11400000.000000091</v>
      </c>
      <c r="C24" s="8">
        <f t="shared" si="0"/>
        <v>11.400000000000091</v>
      </c>
      <c r="D24" s="10">
        <f t="shared" si="1"/>
        <v>34.998000000000275</v>
      </c>
      <c r="E24" s="7">
        <f>'[12]Oct Prod'!E23</f>
        <v>0</v>
      </c>
      <c r="F24" s="8">
        <f t="shared" si="2"/>
        <v>0</v>
      </c>
      <c r="G24" s="10">
        <f t="shared" si="3"/>
        <v>0</v>
      </c>
      <c r="H24" s="7">
        <f>'[12]Oct Prod'!F23</f>
        <v>12690000</v>
      </c>
      <c r="I24" s="8">
        <f t="shared" si="4"/>
        <v>12.69</v>
      </c>
      <c r="J24" s="10">
        <f t="shared" si="5"/>
        <v>38.958299999999994</v>
      </c>
      <c r="K24" s="7">
        <f>'[12]Oct Prod'!H278</f>
        <v>1090932</v>
      </c>
      <c r="L24" s="8">
        <f t="shared" si="6"/>
        <v>1.090932</v>
      </c>
      <c r="M24" s="10">
        <f t="shared" si="7"/>
        <v>3.3491612399999999</v>
      </c>
      <c r="N24" s="21"/>
      <c r="O24" s="7">
        <f>'[12]Oct Prod'!H23</f>
        <v>6768000</v>
      </c>
      <c r="P24" s="8">
        <f t="shared" si="8"/>
        <v>6.7679999999999998</v>
      </c>
      <c r="Q24" s="10">
        <f t="shared" si="9"/>
        <v>20.777759999999997</v>
      </c>
      <c r="R24" s="7">
        <f>'[12]Oct Prod'!C23</f>
        <v>6966000</v>
      </c>
      <c r="S24" s="8">
        <f t="shared" si="10"/>
        <v>6.9660000000000002</v>
      </c>
      <c r="T24" s="10">
        <f t="shared" si="11"/>
        <v>21.385619999999999</v>
      </c>
      <c r="U24" s="7">
        <f>'[12]Oct Prod'!D23</f>
        <v>0</v>
      </c>
      <c r="V24" s="8">
        <f t="shared" si="12"/>
        <v>0</v>
      </c>
      <c r="W24" s="10">
        <f t="shared" si="13"/>
        <v>0</v>
      </c>
      <c r="X24" s="7">
        <f>'[12]Oct Prod'!D278</f>
        <v>198000.00000000041</v>
      </c>
      <c r="Y24" s="8">
        <f t="shared" si="14"/>
        <v>0.1980000000000004</v>
      </c>
      <c r="Z24" s="10">
        <f t="shared" si="15"/>
        <v>0.60786000000000118</v>
      </c>
      <c r="AA24" s="15"/>
      <c r="AB24" s="7">
        <f t="shared" si="16"/>
        <v>18168000.000000089</v>
      </c>
      <c r="AC24" s="8">
        <f t="shared" si="16"/>
        <v>18.168000000000092</v>
      </c>
      <c r="AD24" s="8">
        <f>D24+Q24</f>
        <v>55.775760000000275</v>
      </c>
      <c r="AF24" s="8">
        <f t="shared" si="22"/>
        <v>1.1102230246251565E-15</v>
      </c>
    </row>
    <row r="25" spans="1:32" x14ac:dyDescent="0.25">
      <c r="A25" s="27">
        <v>38646</v>
      </c>
      <c r="B25" s="7">
        <f>'[12]Oct Prod'!I24</f>
        <v>9500000</v>
      </c>
      <c r="C25" s="8">
        <f t="shared" si="0"/>
        <v>9.5</v>
      </c>
      <c r="D25" s="10">
        <f t="shared" si="1"/>
        <v>29.164999999999999</v>
      </c>
      <c r="E25" s="7">
        <f>'[12]Oct Prod'!E24</f>
        <v>0</v>
      </c>
      <c r="F25" s="8">
        <f t="shared" si="2"/>
        <v>0</v>
      </c>
      <c r="G25" s="10">
        <f t="shared" si="3"/>
        <v>0</v>
      </c>
      <c r="H25" s="7">
        <f>'[12]Oct Prod'!F24</f>
        <v>10100000</v>
      </c>
      <c r="I25" s="8">
        <f t="shared" si="4"/>
        <v>10.1</v>
      </c>
      <c r="J25" s="10">
        <f t="shared" si="5"/>
        <v>31.006999999999998</v>
      </c>
      <c r="K25" s="7">
        <f>'[12]Oct Prod'!H279</f>
        <v>829686</v>
      </c>
      <c r="L25" s="8">
        <f t="shared" si="6"/>
        <v>0.82968600000000003</v>
      </c>
      <c r="M25" s="10">
        <f t="shared" si="7"/>
        <v>2.5471360199999999</v>
      </c>
      <c r="N25" s="21"/>
      <c r="O25" s="7">
        <f>'[12]Oct Prod'!H24</f>
        <v>6725999.9999999944</v>
      </c>
      <c r="P25" s="8">
        <f t="shared" si="8"/>
        <v>6.7259999999999946</v>
      </c>
      <c r="Q25" s="10">
        <f t="shared" si="9"/>
        <v>20.648819999999983</v>
      </c>
      <c r="R25" s="7">
        <f>'[12]Oct Prod'!C24</f>
        <v>6922000</v>
      </c>
      <c r="S25" s="8">
        <f t="shared" si="10"/>
        <v>6.9219999999999997</v>
      </c>
      <c r="T25" s="10">
        <f t="shared" si="11"/>
        <v>21.250539999999997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196000.00000000506</v>
      </c>
      <c r="Y25" s="8">
        <f t="shared" si="14"/>
        <v>0.19600000000000506</v>
      </c>
      <c r="Z25" s="10">
        <f t="shared" si="15"/>
        <v>0.60172000000001546</v>
      </c>
      <c r="AA25" s="15"/>
      <c r="AB25" s="7">
        <f t="shared" si="16"/>
        <v>16225999.999999994</v>
      </c>
      <c r="AC25" s="8">
        <f t="shared" si="16"/>
        <v>16.225999999999996</v>
      </c>
      <c r="AD25" s="8">
        <f t="shared" si="16"/>
        <v>49.813819999999978</v>
      </c>
      <c r="AF25" s="8">
        <f t="shared" si="22"/>
        <v>-9.9920072216264089E-16</v>
      </c>
    </row>
    <row r="26" spans="1:32" x14ac:dyDescent="0.25">
      <c r="A26" s="27">
        <v>38647</v>
      </c>
      <c r="B26" s="7">
        <f>'[12]Oct Prod'!I25</f>
        <v>9199999.9999998175</v>
      </c>
      <c r="C26" s="8">
        <f t="shared" si="0"/>
        <v>9.1999999999998181</v>
      </c>
      <c r="D26" s="10">
        <f t="shared" si="1"/>
        <v>28.243999999999438</v>
      </c>
      <c r="E26" s="7">
        <f>'[12]Oct Prod'!E25</f>
        <v>0</v>
      </c>
      <c r="F26" s="8">
        <f t="shared" si="2"/>
        <v>0</v>
      </c>
      <c r="G26" s="10">
        <f t="shared" si="3"/>
        <v>0</v>
      </c>
      <c r="H26" s="7">
        <f>'[12]Oct Prod'!F25</f>
        <v>10350000</v>
      </c>
      <c r="I26" s="8">
        <f t="shared" si="4"/>
        <v>10.35</v>
      </c>
      <c r="J26" s="10">
        <f t="shared" si="5"/>
        <v>31.774499999999996</v>
      </c>
      <c r="K26" s="7">
        <f>'[12]Oct Prod'!H280</f>
        <v>880805</v>
      </c>
      <c r="L26" s="8">
        <f t="shared" si="6"/>
        <v>0.88080499999999995</v>
      </c>
      <c r="M26" s="10">
        <f t="shared" si="7"/>
        <v>2.7040713499999995</v>
      </c>
      <c r="N26" s="21"/>
      <c r="O26" s="7">
        <f>'[12]Oct Prod'!H25</f>
        <v>6931000.0000000047</v>
      </c>
      <c r="P26" s="8">
        <f t="shared" si="8"/>
        <v>6.9310000000000045</v>
      </c>
      <c r="Q26" s="10">
        <f t="shared" si="9"/>
        <v>21.278170000000014</v>
      </c>
      <c r="R26" s="7">
        <f>'[12]Oct Prod'!C25</f>
        <v>7061000</v>
      </c>
      <c r="S26" s="8">
        <f t="shared" si="10"/>
        <v>7.0609999999999999</v>
      </c>
      <c r="T26" s="10">
        <f t="shared" si="11"/>
        <v>21.67727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129999.99999999546</v>
      </c>
      <c r="Y26" s="8">
        <f t="shared" si="14"/>
        <v>0.12999999999999545</v>
      </c>
      <c r="Z26" s="10">
        <f t="shared" si="15"/>
        <v>0.39909999999998602</v>
      </c>
      <c r="AA26" s="15"/>
      <c r="AB26" s="7">
        <f t="shared" si="16"/>
        <v>16130999.999999821</v>
      </c>
      <c r="AC26" s="8">
        <f t="shared" si="16"/>
        <v>16.130999999999823</v>
      </c>
      <c r="AD26" s="8">
        <f t="shared" si="16"/>
        <v>49.522169999999448</v>
      </c>
      <c r="AF26" s="8">
        <f t="shared" si="22"/>
        <v>4.4408920985006262E-16</v>
      </c>
    </row>
    <row r="27" spans="1:32" x14ac:dyDescent="0.25">
      <c r="A27" s="27">
        <v>38648</v>
      </c>
      <c r="B27" s="7">
        <f>'[12]Oct Prod'!I26</f>
        <v>11100000.000000136</v>
      </c>
      <c r="C27" s="8">
        <f t="shared" si="0"/>
        <v>11.100000000000136</v>
      </c>
      <c r="D27" s="10">
        <f t="shared" si="1"/>
        <v>34.077000000000417</v>
      </c>
      <c r="E27" s="7">
        <f>'[12]Oct Prod'!E26</f>
        <v>0</v>
      </c>
      <c r="F27" s="8">
        <f t="shared" si="2"/>
        <v>0</v>
      </c>
      <c r="G27" s="10">
        <f t="shared" si="3"/>
        <v>0</v>
      </c>
      <c r="H27" s="7">
        <f>'[12]Oct Prod'!F26</f>
        <v>12550000</v>
      </c>
      <c r="I27" s="8">
        <f t="shared" si="4"/>
        <v>12.55</v>
      </c>
      <c r="J27" s="10">
        <f t="shared" si="5"/>
        <v>38.528500000000001</v>
      </c>
      <c r="K27" s="7">
        <f>'[12]Oct Prod'!H281</f>
        <v>1137555</v>
      </c>
      <c r="L27" s="8">
        <f t="shared" si="6"/>
        <v>1.1375550000000001</v>
      </c>
      <c r="M27" s="10">
        <f t="shared" si="7"/>
        <v>3.4922938500000003</v>
      </c>
      <c r="N27" s="21"/>
      <c r="O27" s="7">
        <f>'[12]Oct Prod'!H26</f>
        <v>6820999.9999999972</v>
      </c>
      <c r="P27" s="8">
        <f t="shared" si="8"/>
        <v>6.8209999999999971</v>
      </c>
      <c r="Q27" s="10">
        <f t="shared" si="9"/>
        <v>20.940469999999991</v>
      </c>
      <c r="R27" s="7">
        <f>'[12]Oct Prod'!C26</f>
        <v>6954000</v>
      </c>
      <c r="S27" s="8">
        <f t="shared" si="10"/>
        <v>6.9539999999999997</v>
      </c>
      <c r="T27" s="10">
        <f t="shared" si="11"/>
        <v>21.348779999999998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133000.00000000268</v>
      </c>
      <c r="Y27" s="8">
        <f t="shared" si="14"/>
        <v>0.13300000000000267</v>
      </c>
      <c r="Z27" s="10">
        <f t="shared" si="15"/>
        <v>0.40831000000000817</v>
      </c>
      <c r="AA27" s="15"/>
      <c r="AB27" s="7">
        <f t="shared" si="16"/>
        <v>17921000.000000134</v>
      </c>
      <c r="AC27" s="8">
        <f t="shared" si="16"/>
        <v>17.921000000000134</v>
      </c>
      <c r="AD27" s="8">
        <f t="shared" si="16"/>
        <v>55.017470000000408</v>
      </c>
      <c r="AF27" s="8">
        <f t="shared" si="22"/>
        <v>-8.8817841970012523E-16</v>
      </c>
    </row>
    <row r="28" spans="1:32" x14ac:dyDescent="0.25">
      <c r="A28" s="27">
        <v>38649</v>
      </c>
      <c r="B28" s="7">
        <f>'[12]Oct Prod'!I27</f>
        <v>15000000</v>
      </c>
      <c r="C28" s="8">
        <f t="shared" si="0"/>
        <v>15</v>
      </c>
      <c r="D28" s="10">
        <f t="shared" si="1"/>
        <v>46.05</v>
      </c>
      <c r="E28" s="7">
        <f>'[12]Oct Prod'!E27</f>
        <v>0</v>
      </c>
      <c r="F28" s="8">
        <f t="shared" si="2"/>
        <v>0</v>
      </c>
      <c r="G28" s="10">
        <f t="shared" si="3"/>
        <v>0</v>
      </c>
      <c r="H28" s="7">
        <f>'[12]Oct Prod'!F27</f>
        <v>15970000</v>
      </c>
      <c r="I28" s="8">
        <f t="shared" si="4"/>
        <v>15.97</v>
      </c>
      <c r="J28" s="10">
        <f t="shared" si="5"/>
        <v>49.027900000000002</v>
      </c>
      <c r="K28" s="7">
        <f>'[12]Oct Prod'!H282</f>
        <v>1260800</v>
      </c>
      <c r="L28" s="8">
        <f t="shared" si="6"/>
        <v>1.2607999999999999</v>
      </c>
      <c r="M28" s="10">
        <f t="shared" si="7"/>
        <v>3.8706559999999994</v>
      </c>
      <c r="N28" s="21"/>
      <c r="O28" s="7">
        <f>'[12]Oct Prod'!H27</f>
        <v>1828000.0000000023</v>
      </c>
      <c r="P28" s="8">
        <f t="shared" si="8"/>
        <v>1.8280000000000023</v>
      </c>
      <c r="Q28" s="10">
        <f t="shared" si="9"/>
        <v>5.6119600000000069</v>
      </c>
      <c r="R28" s="7">
        <f>'[12]Oct Prod'!C27</f>
        <v>1893000</v>
      </c>
      <c r="S28" s="8">
        <f t="shared" si="10"/>
        <v>1.893</v>
      </c>
      <c r="T28" s="10">
        <f t="shared" si="11"/>
        <v>5.8115100000000002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64999.99999999773</v>
      </c>
      <c r="Y28" s="8">
        <f t="shared" si="14"/>
        <v>6.4999999999997726E-2</v>
      </c>
      <c r="Z28" s="10">
        <f t="shared" si="15"/>
        <v>0.19954999999999301</v>
      </c>
      <c r="AA28" s="15"/>
      <c r="AB28" s="7">
        <f t="shared" si="16"/>
        <v>16828000.000000004</v>
      </c>
      <c r="AC28" s="8">
        <f t="shared" si="16"/>
        <v>16.828000000000003</v>
      </c>
      <c r="AD28" s="8">
        <f t="shared" si="16"/>
        <v>51.661960000000008</v>
      </c>
      <c r="AF28" s="8">
        <f t="shared" si="22"/>
        <v>2.2204460492503131E-16</v>
      </c>
    </row>
    <row r="29" spans="1:32" x14ac:dyDescent="0.25">
      <c r="A29" s="27">
        <v>38650</v>
      </c>
      <c r="B29" s="7">
        <f>'[12]Oct Prod'!I28</f>
        <v>15500000</v>
      </c>
      <c r="C29" s="8">
        <f t="shared" si="0"/>
        <v>15.5</v>
      </c>
      <c r="D29" s="10">
        <f t="shared" si="1"/>
        <v>47.585000000000001</v>
      </c>
      <c r="E29" s="7">
        <f>'[12]Oct Prod'!E28</f>
        <v>0</v>
      </c>
      <c r="F29" s="8">
        <f t="shared" si="2"/>
        <v>0</v>
      </c>
      <c r="G29" s="10">
        <f t="shared" si="3"/>
        <v>0</v>
      </c>
      <c r="H29" s="7">
        <f>'[12]Oct Prod'!F28</f>
        <v>17450000</v>
      </c>
      <c r="I29" s="8">
        <f t="shared" si="4"/>
        <v>17.45</v>
      </c>
      <c r="J29" s="10">
        <f t="shared" si="5"/>
        <v>53.571499999999993</v>
      </c>
      <c r="K29" s="7">
        <f>'[12]Oct Prod'!H283</f>
        <v>1544688</v>
      </c>
      <c r="L29" s="8">
        <f t="shared" si="6"/>
        <v>1.5446880000000001</v>
      </c>
      <c r="M29" s="10">
        <f t="shared" si="7"/>
        <v>4.7421921600000001</v>
      </c>
      <c r="N29" s="21"/>
      <c r="O29" s="7">
        <f>'[12]Oct Prod'!H28</f>
        <v>18000</v>
      </c>
      <c r="P29" s="8">
        <f t="shared" si="8"/>
        <v>1.7999999999999999E-2</v>
      </c>
      <c r="Q29" s="10">
        <f t="shared" si="9"/>
        <v>5.525999999999999E-2</v>
      </c>
      <c r="R29" s="7">
        <f>'[12]Oct Prod'!C28</f>
        <v>18000</v>
      </c>
      <c r="S29" s="8">
        <f t="shared" si="10"/>
        <v>1.7999999999999999E-2</v>
      </c>
      <c r="T29" s="10">
        <f t="shared" si="11"/>
        <v>5.525999999999999E-2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15518000</v>
      </c>
      <c r="AC29" s="8">
        <f t="shared" si="16"/>
        <v>15.518000000000001</v>
      </c>
      <c r="AD29" s="8">
        <f t="shared" si="16"/>
        <v>47.640259999999998</v>
      </c>
      <c r="AF29" s="8">
        <f t="shared" si="22"/>
        <v>0</v>
      </c>
    </row>
    <row r="30" spans="1:32" x14ac:dyDescent="0.25">
      <c r="A30" s="27">
        <v>38651</v>
      </c>
      <c r="B30" s="7">
        <f>'[12]Oct Prod'!I29</f>
        <v>14899999.999999864</v>
      </c>
      <c r="C30" s="8">
        <f t="shared" si="0"/>
        <v>14.899999999999864</v>
      </c>
      <c r="D30" s="10">
        <f t="shared" si="1"/>
        <v>45.742999999999576</v>
      </c>
      <c r="E30" s="7">
        <f>'[12]Oct Prod'!E29</f>
        <v>0</v>
      </c>
      <c r="F30" s="8">
        <f t="shared" si="2"/>
        <v>0</v>
      </c>
      <c r="G30" s="10">
        <f t="shared" si="3"/>
        <v>0</v>
      </c>
      <c r="H30" s="7">
        <f>'[12]Oct Prod'!F29</f>
        <v>16900000</v>
      </c>
      <c r="I30" s="8">
        <f t="shared" si="4"/>
        <v>16.899999999999999</v>
      </c>
      <c r="J30" s="10">
        <f t="shared" si="5"/>
        <v>51.882999999999996</v>
      </c>
      <c r="K30" s="7">
        <f>'[12]Oct Prod'!H284</f>
        <v>1512218</v>
      </c>
      <c r="L30" s="8">
        <f t="shared" si="6"/>
        <v>1.5122180000000001</v>
      </c>
      <c r="M30" s="10">
        <f t="shared" si="7"/>
        <v>4.6425092599999997</v>
      </c>
      <c r="N30" s="21"/>
      <c r="O30" s="7">
        <f>'[12]Oct Prod'!H29</f>
        <v>0</v>
      </c>
      <c r="P30" s="8">
        <f t="shared" si="8"/>
        <v>0</v>
      </c>
      <c r="Q30" s="10">
        <f t="shared" si="9"/>
        <v>0</v>
      </c>
      <c r="R30" s="7">
        <f>'[12]Oct Prod'!C29</f>
        <v>0</v>
      </c>
      <c r="S30" s="8">
        <f t="shared" si="10"/>
        <v>0</v>
      </c>
      <c r="T30" s="10">
        <f t="shared" si="11"/>
        <v>0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87000.000000003303</v>
      </c>
      <c r="Y30" s="8">
        <f t="shared" si="14"/>
        <v>8.7000000000003297E-2</v>
      </c>
      <c r="Z30" s="10">
        <f t="shared" si="15"/>
        <v>0.2670900000000101</v>
      </c>
      <c r="AA30" s="15"/>
      <c r="AB30" s="7">
        <f t="shared" si="16"/>
        <v>14899999.999999864</v>
      </c>
      <c r="AC30" s="8">
        <f t="shared" si="16"/>
        <v>14.899999999999864</v>
      </c>
      <c r="AD30" s="8">
        <f>D30+Q30</f>
        <v>45.742999999999576</v>
      </c>
      <c r="AF30" s="8">
        <f t="shared" si="22"/>
        <v>-0.2670900000000101</v>
      </c>
    </row>
    <row r="31" spans="1:32" x14ac:dyDescent="0.25">
      <c r="A31" s="27">
        <v>38652</v>
      </c>
      <c r="B31" s="7">
        <f>'[12]Oct Prod'!I30</f>
        <v>15400000.000000091</v>
      </c>
      <c r="C31" s="8">
        <f t="shared" si="0"/>
        <v>15.400000000000091</v>
      </c>
      <c r="D31" s="10">
        <f t="shared" si="1"/>
        <v>47.278000000000276</v>
      </c>
      <c r="E31" s="7">
        <f>'[12]Oct Prod'!E30</f>
        <v>0</v>
      </c>
      <c r="F31" s="8">
        <f t="shared" si="2"/>
        <v>0</v>
      </c>
      <c r="G31" s="10">
        <f t="shared" si="3"/>
        <v>0</v>
      </c>
      <c r="H31" s="7">
        <f>'[12]Oct Prod'!F30</f>
        <v>16980000</v>
      </c>
      <c r="I31" s="8">
        <f t="shared" si="4"/>
        <v>16.98</v>
      </c>
      <c r="J31" s="10">
        <f t="shared" si="5"/>
        <v>52.128599999999999</v>
      </c>
      <c r="K31" s="7">
        <f>'[12]Oct Prod'!H285</f>
        <v>1533712</v>
      </c>
      <c r="L31" s="8">
        <f t="shared" si="6"/>
        <v>1.533712</v>
      </c>
      <c r="M31" s="10">
        <f t="shared" si="7"/>
        <v>4.7084958399999994</v>
      </c>
      <c r="N31" s="21"/>
      <c r="O31" s="7">
        <f>'[12]Oct Prod'!H30</f>
        <v>0</v>
      </c>
      <c r="P31" s="8">
        <f t="shared" si="8"/>
        <v>0</v>
      </c>
      <c r="Q31" s="10">
        <f t="shared" si="9"/>
        <v>0</v>
      </c>
      <c r="R31" s="7">
        <f>'[12]Oct Prod'!C30</f>
        <v>0</v>
      </c>
      <c r="S31" s="8">
        <f t="shared" si="10"/>
        <v>0</v>
      </c>
      <c r="T31" s="10">
        <f t="shared" si="11"/>
        <v>0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15400000.000000091</v>
      </c>
      <c r="AC31" s="8">
        <f t="shared" si="16"/>
        <v>15.400000000000091</v>
      </c>
      <c r="AD31" s="8">
        <f t="shared" si="16"/>
        <v>47.278000000000276</v>
      </c>
      <c r="AF31" s="8">
        <f>T31-Q31-Z31</f>
        <v>0</v>
      </c>
    </row>
    <row r="32" spans="1:32" x14ac:dyDescent="0.25">
      <c r="A32" s="27">
        <v>38653</v>
      </c>
      <c r="B32" s="7">
        <f>'[12]Oct Prod'!I31</f>
        <v>15400000.000000091</v>
      </c>
      <c r="C32" s="8">
        <f t="shared" si="0"/>
        <v>15.400000000000091</v>
      </c>
      <c r="D32" s="10">
        <f t="shared" si="1"/>
        <v>47.278000000000276</v>
      </c>
      <c r="E32" s="7">
        <f>'[12]Oct Prod'!E31</f>
        <v>0</v>
      </c>
      <c r="F32" s="8">
        <f t="shared" si="2"/>
        <v>0</v>
      </c>
      <c r="G32" s="10">
        <f t="shared" si="3"/>
        <v>0</v>
      </c>
      <c r="H32" s="7">
        <f>'[12]Oct Prod'!F31</f>
        <v>17040000</v>
      </c>
      <c r="I32" s="8">
        <f t="shared" si="4"/>
        <v>17.04</v>
      </c>
      <c r="J32" s="10">
        <f t="shared" si="5"/>
        <v>52.312799999999996</v>
      </c>
      <c r="K32" s="7">
        <f>'[12]Oct Prod'!H286</f>
        <v>1565494</v>
      </c>
      <c r="L32" s="8">
        <f t="shared" si="6"/>
        <v>1.5654939999999999</v>
      </c>
      <c r="M32" s="10">
        <f t="shared" si="7"/>
        <v>4.8060665799999995</v>
      </c>
      <c r="N32" s="21"/>
      <c r="O32" s="7">
        <f>'[12]Oct Prod'!H31</f>
        <v>0</v>
      </c>
      <c r="P32" s="8">
        <f t="shared" si="8"/>
        <v>0</v>
      </c>
      <c r="Q32" s="10">
        <f t="shared" si="9"/>
        <v>0</v>
      </c>
      <c r="R32" s="7">
        <f>'[12]Oct Prod'!C31</f>
        <v>0</v>
      </c>
      <c r="S32" s="8">
        <f t="shared" si="10"/>
        <v>0</v>
      </c>
      <c r="T32" s="10">
        <f t="shared" si="11"/>
        <v>0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15400000.000000091</v>
      </c>
      <c r="AC32" s="8">
        <f t="shared" si="16"/>
        <v>15.400000000000091</v>
      </c>
      <c r="AD32" s="8">
        <f t="shared" si="16"/>
        <v>47.278000000000276</v>
      </c>
      <c r="AF32" s="8">
        <f t="shared" si="22"/>
        <v>0</v>
      </c>
    </row>
    <row r="33" spans="1:32" x14ac:dyDescent="0.25">
      <c r="A33" s="27">
        <v>38654</v>
      </c>
      <c r="B33" s="7">
        <f>'[12]Oct Prod'!I32</f>
        <v>15500000</v>
      </c>
      <c r="C33" s="8">
        <f t="shared" si="0"/>
        <v>15.5</v>
      </c>
      <c r="D33" s="10">
        <f t="shared" si="1"/>
        <v>47.585000000000001</v>
      </c>
      <c r="E33" s="7">
        <f>'[12]Oct Prod'!E32</f>
        <v>0</v>
      </c>
      <c r="F33" s="8">
        <f t="shared" si="2"/>
        <v>0</v>
      </c>
      <c r="G33" s="10">
        <f t="shared" si="3"/>
        <v>0</v>
      </c>
      <c r="H33" s="7">
        <f>'[12]Oct Prod'!F32</f>
        <v>17110000</v>
      </c>
      <c r="I33" s="8">
        <f t="shared" si="4"/>
        <v>17.11</v>
      </c>
      <c r="J33" s="10">
        <f t="shared" si="5"/>
        <v>52.527699999999996</v>
      </c>
      <c r="K33" s="7">
        <f>'[12]Oct Prod'!H287</f>
        <v>1522156</v>
      </c>
      <c r="L33" s="8">
        <f t="shared" ref="L33:L35" si="23">K33/1000000</f>
        <v>1.5221560000000001</v>
      </c>
      <c r="M33" s="10">
        <f t="shared" ref="M33:M35" si="24">L33*3.07</f>
        <v>4.6730189199999996</v>
      </c>
      <c r="N33" s="21"/>
      <c r="O33" s="7">
        <f>'[12]Oct Prod'!H32</f>
        <v>0</v>
      </c>
      <c r="P33" s="8">
        <f t="shared" si="8"/>
        <v>0</v>
      </c>
      <c r="Q33" s="10">
        <f t="shared" si="9"/>
        <v>0</v>
      </c>
      <c r="R33" s="7">
        <f>'[12]Oct Prod'!C32</f>
        <v>0</v>
      </c>
      <c r="S33" s="8">
        <f t="shared" si="10"/>
        <v>0</v>
      </c>
      <c r="T33" s="10">
        <f t="shared" si="11"/>
        <v>0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15500000</v>
      </c>
      <c r="AC33" s="8">
        <f t="shared" si="16"/>
        <v>15.5</v>
      </c>
      <c r="AD33" s="8">
        <f t="shared" si="16"/>
        <v>47.585000000000001</v>
      </c>
      <c r="AF33" s="8">
        <f t="shared" si="22"/>
        <v>0</v>
      </c>
    </row>
    <row r="34" spans="1:32" x14ac:dyDescent="0.25">
      <c r="A34" s="27">
        <v>38655</v>
      </c>
      <c r="B34" s="7">
        <f>'[12]Oct Prod'!I33</f>
        <v>15899999.999999864</v>
      </c>
      <c r="C34" s="8">
        <f t="shared" si="0"/>
        <v>15.899999999999864</v>
      </c>
      <c r="D34" s="10">
        <f t="shared" si="1"/>
        <v>48.812999999999576</v>
      </c>
      <c r="E34" s="7">
        <f>'[12]Oct Prod'!E33</f>
        <v>0</v>
      </c>
      <c r="F34" s="8">
        <f t="shared" si="2"/>
        <v>0</v>
      </c>
      <c r="G34" s="10">
        <f t="shared" si="3"/>
        <v>0</v>
      </c>
      <c r="H34" s="7">
        <f>'[12]Oct Prod'!F33</f>
        <v>17680000</v>
      </c>
      <c r="I34" s="8">
        <f t="shared" si="4"/>
        <v>17.68</v>
      </c>
      <c r="J34" s="10">
        <f t="shared" si="5"/>
        <v>54.2776</v>
      </c>
      <c r="K34" s="7">
        <f>'[12]Oct Prod'!H288</f>
        <v>1554633</v>
      </c>
      <c r="L34" s="8">
        <f t="shared" si="23"/>
        <v>1.5546329999999999</v>
      </c>
      <c r="M34" s="10">
        <f t="shared" si="24"/>
        <v>4.7727233099999999</v>
      </c>
      <c r="N34" s="21"/>
      <c r="O34" s="7">
        <f>'[12]Oct Prod'!H33</f>
        <v>0</v>
      </c>
      <c r="P34" s="8">
        <f t="shared" si="8"/>
        <v>0</v>
      </c>
      <c r="Q34" s="10">
        <f t="shared" si="9"/>
        <v>0</v>
      </c>
      <c r="R34" s="7">
        <f>'[12]Oct Prod'!C33</f>
        <v>0</v>
      </c>
      <c r="S34" s="8">
        <f t="shared" si="10"/>
        <v>0</v>
      </c>
      <c r="T34" s="10">
        <f t="shared" si="11"/>
        <v>0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327999.99999999587</v>
      </c>
      <c r="Y34" s="8">
        <f t="shared" si="14"/>
        <v>0.32799999999999585</v>
      </c>
      <c r="Z34" s="10">
        <f t="shared" si="15"/>
        <v>1.0069599999999872</v>
      </c>
      <c r="AA34" s="15"/>
      <c r="AB34" s="7">
        <f t="shared" si="16"/>
        <v>15899999.999999864</v>
      </c>
      <c r="AC34" s="8">
        <f t="shared" si="16"/>
        <v>15.899999999999864</v>
      </c>
      <c r="AD34" s="8">
        <f t="shared" si="16"/>
        <v>48.812999999999576</v>
      </c>
      <c r="AF34" s="8">
        <f t="shared" si="22"/>
        <v>-1.0069599999999872</v>
      </c>
    </row>
    <row r="35" spans="1:32" ht="13.8" thickBot="1" x14ac:dyDescent="0.3">
      <c r="A35" s="27">
        <v>38656</v>
      </c>
      <c r="B35" s="29">
        <f>'[12]Oct Prod'!I34</f>
        <v>15000000</v>
      </c>
      <c r="C35" s="9">
        <f t="shared" si="0"/>
        <v>15</v>
      </c>
      <c r="D35" s="11">
        <f t="shared" si="1"/>
        <v>46.05</v>
      </c>
      <c r="E35" s="29">
        <f>'[12]Oct Prod'!E34</f>
        <v>0</v>
      </c>
      <c r="F35" s="9">
        <f t="shared" si="2"/>
        <v>0</v>
      </c>
      <c r="G35" s="11">
        <f t="shared" si="3"/>
        <v>0</v>
      </c>
      <c r="H35" s="29">
        <f>'[12]Oct Prod'!F34</f>
        <v>17450000</v>
      </c>
      <c r="I35" s="9">
        <f t="shared" si="4"/>
        <v>17.45</v>
      </c>
      <c r="J35" s="11">
        <f t="shared" si="5"/>
        <v>53.571499999999993</v>
      </c>
      <c r="K35" s="7">
        <f>'[12]Oct Prod'!H289</f>
        <v>1575149</v>
      </c>
      <c r="L35" s="8">
        <f t="shared" si="23"/>
        <v>1.5751489999999999</v>
      </c>
      <c r="M35" s="10">
        <f t="shared" si="24"/>
        <v>4.8357074299999994</v>
      </c>
      <c r="N35" s="21"/>
      <c r="O35" s="29">
        <f>'[12]Oct Prod'!H34</f>
        <v>0</v>
      </c>
      <c r="P35" s="9">
        <f t="shared" si="8"/>
        <v>0</v>
      </c>
      <c r="Q35" s="11">
        <f t="shared" si="9"/>
        <v>0</v>
      </c>
      <c r="R35" s="29">
        <f>'[12]Oct Prod'!C34</f>
        <v>0</v>
      </c>
      <c r="S35" s="9">
        <f t="shared" si="10"/>
        <v>0</v>
      </c>
      <c r="T35" s="11">
        <f t="shared" si="11"/>
        <v>0</v>
      </c>
      <c r="U35" s="29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0</v>
      </c>
      <c r="Y35" s="9">
        <f t="shared" si="14"/>
        <v>0</v>
      </c>
      <c r="Z35" s="11">
        <f t="shared" si="15"/>
        <v>0</v>
      </c>
      <c r="AA35" s="15"/>
      <c r="AB35" s="7">
        <f t="shared" si="16"/>
        <v>15000000</v>
      </c>
      <c r="AC35" s="8">
        <f t="shared" si="16"/>
        <v>15</v>
      </c>
      <c r="AD35" s="8">
        <f t="shared" si="16"/>
        <v>46.05</v>
      </c>
      <c r="AF35" s="8">
        <f t="shared" si="22"/>
        <v>0</v>
      </c>
    </row>
    <row r="36" spans="1:32" ht="13.8" thickBot="1" x14ac:dyDescent="0.3">
      <c r="A36" s="14"/>
      <c r="B36" s="38"/>
      <c r="C36" s="39">
        <f>SUM(C5:C35)</f>
        <v>396.79999999999995</v>
      </c>
      <c r="D36" s="39">
        <f>SUM(D5:D35)</f>
        <v>1218.1759999999999</v>
      </c>
      <c r="E36" s="38"/>
      <c r="F36" s="39">
        <f>SUM(F5:F35)</f>
        <v>23</v>
      </c>
      <c r="G36" s="39">
        <f>SUM(G5:G35)</f>
        <v>70.609999999999985</v>
      </c>
      <c r="H36" s="38"/>
      <c r="I36" s="39">
        <f>SUM(I5:I35)</f>
        <v>418.39000000000004</v>
      </c>
      <c r="J36" s="39">
        <f>SUM(J5:J35)</f>
        <v>1284.4572999999998</v>
      </c>
      <c r="K36" s="38"/>
      <c r="L36" s="39">
        <f>SUM(L5:L35)</f>
        <v>39.40815400000001</v>
      </c>
      <c r="M36" s="39">
        <f>SUM(M5:M35)</f>
        <v>120.98303277999999</v>
      </c>
      <c r="N36" s="14"/>
      <c r="O36" s="38"/>
      <c r="P36" s="39">
        <f>SUM(P5:P35)</f>
        <v>201.90299999999996</v>
      </c>
      <c r="Q36" s="39">
        <f>SUM(Q5:Q35)</f>
        <v>619.84221000000002</v>
      </c>
      <c r="R36" s="38"/>
      <c r="S36" s="39">
        <f>SUM(S5:S35)</f>
        <v>206.79200000000003</v>
      </c>
      <c r="T36" s="39">
        <f>SUM(T5:T35)</f>
        <v>634.85144000000014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5.3039999999999949</v>
      </c>
      <c r="Z36" s="39">
        <f>SUM(Z5:Z35)</f>
        <v>16.283279999999987</v>
      </c>
      <c r="AA36" s="14"/>
      <c r="AB36" s="38"/>
      <c r="AC36" s="39">
        <f>SUM(AC5:AC35)</f>
        <v>598.70299999999997</v>
      </c>
      <c r="AD36" s="39">
        <f>AC36*3.07</f>
        <v>1838.0182099999997</v>
      </c>
      <c r="AF36" s="39">
        <f>SUM(AF5:AF35)</f>
        <v>-1.274049999999991</v>
      </c>
    </row>
    <row r="37" spans="1:32" x14ac:dyDescent="0.2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7"/>
  <sheetViews>
    <sheetView tabSelected="1" workbookViewId="0">
      <selection activeCell="B17" sqref="B17"/>
    </sheetView>
  </sheetViews>
  <sheetFormatPr defaultColWidth="9.109375" defaultRowHeight="13.2" x14ac:dyDescent="0.25"/>
  <cols>
    <col min="1" max="1" width="9.109375" style="53"/>
    <col min="2" max="2" width="16" style="53" bestFit="1" customWidth="1"/>
    <col min="3" max="3" width="16.33203125" style="53" bestFit="1" customWidth="1"/>
    <col min="4" max="4" width="16.88671875" style="53" bestFit="1" customWidth="1"/>
    <col min="5" max="5" width="15.6640625" style="53" bestFit="1" customWidth="1"/>
    <col min="6" max="6" width="13.88671875" style="53" bestFit="1" customWidth="1"/>
    <col min="7" max="7" width="21.88671875" style="53" bestFit="1" customWidth="1"/>
    <col min="8" max="8" width="14.109375" style="53" bestFit="1" customWidth="1"/>
    <col min="9" max="9" width="13.5546875" style="53" bestFit="1" customWidth="1"/>
    <col min="10" max="16384" width="9.109375" style="53"/>
  </cols>
  <sheetData>
    <row r="1" spans="1:11" s="46" customFormat="1" x14ac:dyDescent="0.25">
      <c r="B1" s="47" t="s">
        <v>10</v>
      </c>
      <c r="C1" s="47" t="s">
        <v>11</v>
      </c>
      <c r="D1" s="47" t="s">
        <v>12</v>
      </c>
      <c r="E1" s="47" t="s">
        <v>13</v>
      </c>
      <c r="F1" s="47" t="s">
        <v>4</v>
      </c>
      <c r="G1" s="47" t="s">
        <v>3</v>
      </c>
      <c r="H1" s="47" t="s">
        <v>6</v>
      </c>
      <c r="I1" s="47" t="s">
        <v>7</v>
      </c>
      <c r="J1" s="47"/>
      <c r="K1" s="47"/>
    </row>
    <row r="2" spans="1:11" s="48" customFormat="1" x14ac:dyDescent="0.25">
      <c r="B2" s="49" t="s">
        <v>2</v>
      </c>
      <c r="C2" s="49" t="s">
        <v>2</v>
      </c>
      <c r="D2" s="49" t="s">
        <v>2</v>
      </c>
      <c r="E2" s="49" t="s">
        <v>2</v>
      </c>
      <c r="F2" s="49" t="s">
        <v>2</v>
      </c>
      <c r="G2" s="49" t="s">
        <v>2</v>
      </c>
      <c r="H2" s="49" t="s">
        <v>2</v>
      </c>
      <c r="I2" s="49" t="s">
        <v>2</v>
      </c>
      <c r="J2" s="50"/>
      <c r="K2" s="50"/>
    </row>
    <row r="3" spans="1:11" x14ac:dyDescent="0.25">
      <c r="A3" s="51">
        <v>42309</v>
      </c>
      <c r="B3" s="52">
        <f>November!D35</f>
        <v>561.19599999999787</v>
      </c>
      <c r="C3" s="52">
        <f>November!G35</f>
        <v>598.65000000000009</v>
      </c>
      <c r="D3" s="52">
        <f>November!J35</f>
        <v>52.988199999999992</v>
      </c>
      <c r="E3" s="52">
        <f>November!M35</f>
        <v>74.78560524000001</v>
      </c>
      <c r="F3" s="52">
        <f>November!Q35</f>
        <v>575.33949000000007</v>
      </c>
      <c r="G3" s="52">
        <f>November!T35</f>
        <v>585.25252</v>
      </c>
      <c r="H3" s="52">
        <f>November!W35</f>
        <v>0</v>
      </c>
      <c r="I3" s="52">
        <f>November!Z35</f>
        <v>9.9130299999999973</v>
      </c>
    </row>
    <row r="4" spans="1:11" x14ac:dyDescent="0.25">
      <c r="A4" s="51">
        <v>42339</v>
      </c>
      <c r="B4" s="52">
        <f>December!D36</f>
        <v>55.566999999995531</v>
      </c>
      <c r="C4" s="52">
        <f>December!G36</f>
        <v>58.33</v>
      </c>
      <c r="D4" s="52">
        <f>December!J36</f>
        <v>0</v>
      </c>
      <c r="E4" s="52">
        <f>December!M36</f>
        <v>12.545208089999999</v>
      </c>
      <c r="F4" s="52">
        <f>December!Q36</f>
        <v>1078.1379500000003</v>
      </c>
      <c r="G4" s="52">
        <f>December!T36</f>
        <v>1103.5391299999997</v>
      </c>
      <c r="H4" s="52">
        <f>December!W36</f>
        <v>0</v>
      </c>
      <c r="I4" s="52">
        <f>December!Z36</f>
        <v>25.401180000000032</v>
      </c>
    </row>
    <row r="5" spans="1:11" x14ac:dyDescent="0.25">
      <c r="A5" s="51">
        <v>42370</v>
      </c>
      <c r="B5" s="52">
        <f>January!D36</f>
        <v>0</v>
      </c>
      <c r="C5" s="52">
        <f>January!G36</f>
        <v>0</v>
      </c>
      <c r="D5" s="52">
        <f>January!J36</f>
        <v>0</v>
      </c>
      <c r="E5" s="52">
        <f>January!M36</f>
        <v>0</v>
      </c>
      <c r="F5" s="52">
        <f>January!Q36</f>
        <v>1121.5968700000001</v>
      </c>
      <c r="G5" s="52">
        <f>January!T36</f>
        <v>1159.6679400000003</v>
      </c>
      <c r="H5" s="52">
        <f>January!W36</f>
        <v>0</v>
      </c>
      <c r="I5" s="52">
        <f>January!Z36</f>
        <v>38.074139999999986</v>
      </c>
    </row>
    <row r="6" spans="1:11" x14ac:dyDescent="0.25">
      <c r="A6" s="51">
        <v>42401</v>
      </c>
      <c r="B6" s="52">
        <f>February!D34</f>
        <v>0</v>
      </c>
      <c r="C6" s="52">
        <f>February!G34</f>
        <v>0</v>
      </c>
      <c r="D6" s="52">
        <f>February!J34</f>
        <v>0</v>
      </c>
      <c r="E6" s="52">
        <f>February!M34</f>
        <v>0</v>
      </c>
      <c r="F6" s="52">
        <f>February!Q34</f>
        <v>1056.9242499999998</v>
      </c>
      <c r="G6" s="52">
        <f>February!T34</f>
        <v>1091.31746</v>
      </c>
      <c r="H6" s="52">
        <f>February!W34</f>
        <v>0</v>
      </c>
      <c r="I6" s="52">
        <f>February!Z34</f>
        <v>34.393210000000003</v>
      </c>
    </row>
    <row r="7" spans="1:11" x14ac:dyDescent="0.25">
      <c r="A7" s="51">
        <v>42430</v>
      </c>
      <c r="B7" s="52">
        <f>March!D36</f>
        <v>175.60400000000223</v>
      </c>
      <c r="C7" s="52">
        <f>March!G36</f>
        <v>248.67</v>
      </c>
      <c r="D7" s="52">
        <f>March!J36</f>
        <v>0</v>
      </c>
      <c r="E7" s="52">
        <f>March!M36</f>
        <v>34.004922539999995</v>
      </c>
      <c r="F7" s="52">
        <f>March!Q36</f>
        <v>980.85272000000009</v>
      </c>
      <c r="G7" s="52">
        <f>March!T36</f>
        <v>1004.9890599999999</v>
      </c>
      <c r="H7" s="52">
        <f>March!W36</f>
        <v>0</v>
      </c>
      <c r="I7" s="52">
        <f>March!Z36</f>
        <v>24.136340000000001</v>
      </c>
    </row>
    <row r="8" spans="1:11" x14ac:dyDescent="0.25">
      <c r="A8" s="51">
        <v>42461</v>
      </c>
      <c r="B8" s="52">
        <f>April!D35</f>
        <v>1148.18</v>
      </c>
      <c r="C8" s="52">
        <f>April!G35</f>
        <v>1231.07</v>
      </c>
      <c r="D8" s="52">
        <f>April!J35</f>
        <v>43.993099999999998</v>
      </c>
      <c r="E8" s="52">
        <f>April!M35</f>
        <v>118.53646689</v>
      </c>
      <c r="F8" s="52">
        <f>April!Q35</f>
        <v>0</v>
      </c>
      <c r="G8" s="52">
        <f>April!T35</f>
        <v>0</v>
      </c>
      <c r="H8" s="52">
        <f>April!W35</f>
        <v>0</v>
      </c>
      <c r="I8" s="52">
        <f>April!Z35</f>
        <v>2.6524799999999948</v>
      </c>
    </row>
    <row r="9" spans="1:11" x14ac:dyDescent="0.25">
      <c r="A9" s="51">
        <v>42491</v>
      </c>
      <c r="B9" s="52">
        <f>May!D36</f>
        <v>1040.1159999999977</v>
      </c>
      <c r="C9" s="52">
        <f>May!G36</f>
        <v>316.20999999999998</v>
      </c>
      <c r="D9" s="52">
        <f>May!J36</f>
        <v>708.67880000000002</v>
      </c>
      <c r="E9" s="52">
        <f>May!M36</f>
        <v>98.995705059999992</v>
      </c>
      <c r="F9" s="52">
        <f>May!Q36</f>
        <v>564.48704000000009</v>
      </c>
      <c r="G9" s="52">
        <f>May!T36</f>
        <v>587.14978000000008</v>
      </c>
      <c r="H9" s="52">
        <f>May!W36</f>
        <v>0</v>
      </c>
      <c r="I9" s="52">
        <f>May!Z36</f>
        <v>23.236829999999998</v>
      </c>
    </row>
    <row r="10" spans="1:11" x14ac:dyDescent="0.25">
      <c r="A10" s="51">
        <v>42522</v>
      </c>
      <c r="B10" s="52">
        <f>June!D35</f>
        <v>1938.0910000000088</v>
      </c>
      <c r="C10" s="52">
        <f>June!G35</f>
        <v>1200.3699999999999</v>
      </c>
      <c r="D10" s="52">
        <f>June!J35</f>
        <v>756.23310000000004</v>
      </c>
      <c r="E10" s="52">
        <f>June!M35</f>
        <v>182.15659878999998</v>
      </c>
      <c r="F10" s="52">
        <f>June!Q35</f>
        <v>1020.9100799999999</v>
      </c>
      <c r="G10" s="52">
        <f>June!T35</f>
        <v>1054.1152</v>
      </c>
      <c r="H10" s="52">
        <f>June!W35</f>
        <v>0</v>
      </c>
      <c r="I10" s="52">
        <f>June!Z35</f>
        <v>33.205120000000008</v>
      </c>
    </row>
    <row r="11" spans="1:11" x14ac:dyDescent="0.25">
      <c r="A11" s="51">
        <v>42552</v>
      </c>
      <c r="B11" s="52">
        <f>July!D36</f>
        <v>2466.4379999999996</v>
      </c>
      <c r="C11" s="52">
        <f>June!G35</f>
        <v>1200.3699999999999</v>
      </c>
      <c r="D11" s="52">
        <f>July!J36</f>
        <v>1087.0255999999999</v>
      </c>
      <c r="E11" s="52">
        <f>July!M36</f>
        <v>219.11323730000001</v>
      </c>
      <c r="F11" s="52">
        <f>July!Q36</f>
        <v>1170.7966900000004</v>
      </c>
      <c r="G11" s="52">
        <f>July!T36</f>
        <v>1208.7203999999999</v>
      </c>
      <c r="H11" s="52">
        <f>July!W36</f>
        <v>0</v>
      </c>
      <c r="I11" s="52">
        <f>July!Z36</f>
        <v>37.923709999999993</v>
      </c>
    </row>
    <row r="12" spans="1:11" x14ac:dyDescent="0.25">
      <c r="A12" s="51">
        <v>42583</v>
      </c>
      <c r="B12" s="52">
        <f>August!D36</f>
        <v>2109.7039999999997</v>
      </c>
      <c r="C12" s="52">
        <f>August!G36</f>
        <v>1185.02</v>
      </c>
      <c r="D12" s="52">
        <f>August!J36</f>
        <v>1244.3938000000001</v>
      </c>
      <c r="E12" s="52">
        <f>August!M36</f>
        <v>199.23962300000002</v>
      </c>
      <c r="F12" s="52">
        <f>August!Q36</f>
        <v>1289.5074499999998</v>
      </c>
      <c r="G12" s="52">
        <f>August!T36</f>
        <v>1317.64093</v>
      </c>
      <c r="H12" s="52">
        <f>August!W36</f>
        <v>0</v>
      </c>
      <c r="I12" s="52">
        <f>August!Z36</f>
        <v>28.133480000000002</v>
      </c>
    </row>
    <row r="13" spans="1:11" x14ac:dyDescent="0.25">
      <c r="A13" s="51">
        <v>42614</v>
      </c>
      <c r="B13" s="52">
        <f>September!D35</f>
        <v>1707.2270000000001</v>
      </c>
      <c r="C13" s="52">
        <f>September!G35</f>
        <v>466.63999999999965</v>
      </c>
      <c r="D13" s="52">
        <f>September!J35</f>
        <v>1439.2466999999999</v>
      </c>
      <c r="E13" s="52">
        <f>September!M35</f>
        <v>160.75098081000002</v>
      </c>
      <c r="F13" s="52">
        <f>September!Q35</f>
        <v>1160.9665500000001</v>
      </c>
      <c r="G13" s="52">
        <f>September!T35</f>
        <v>1188.5197999999998</v>
      </c>
      <c r="H13" s="52">
        <f>September!W35</f>
        <v>0</v>
      </c>
      <c r="I13" s="52">
        <f>September!Z35</f>
        <v>27.553250000000002</v>
      </c>
    </row>
    <row r="14" spans="1:11" x14ac:dyDescent="0.25">
      <c r="A14" s="51">
        <v>42644</v>
      </c>
      <c r="B14" s="52">
        <f>October!D36</f>
        <v>1218.1759999999999</v>
      </c>
      <c r="C14" s="52">
        <f>October!G36</f>
        <v>70.609999999999985</v>
      </c>
      <c r="D14" s="52">
        <f>October!J36</f>
        <v>1284.4572999999998</v>
      </c>
      <c r="E14" s="52">
        <f>October!M36</f>
        <v>120.98303277999999</v>
      </c>
      <c r="F14" s="52">
        <f>October!Q36</f>
        <v>619.84221000000002</v>
      </c>
      <c r="G14" s="52">
        <f>October!T36</f>
        <v>634.85144000000014</v>
      </c>
      <c r="H14" s="52">
        <f>October!W36</f>
        <v>0</v>
      </c>
      <c r="I14" s="52">
        <f>October!Z36</f>
        <v>16.283279999999987</v>
      </c>
    </row>
    <row r="15" spans="1:11" x14ac:dyDescent="0.25">
      <c r="A15" s="51">
        <v>42675</v>
      </c>
      <c r="B15" s="52">
        <f>[13]November!$D$35</f>
        <v>725.44099999999992</v>
      </c>
      <c r="C15" s="52">
        <f>[13]November!$G$35</f>
        <v>239.45999999999992</v>
      </c>
      <c r="D15" s="52">
        <f>[13]November!$J$35</f>
        <v>720.86669999999992</v>
      </c>
      <c r="E15" s="52">
        <f>[13]November!$M$35</f>
        <v>205.56684694999996</v>
      </c>
      <c r="F15" s="52">
        <f>[13]November!$Q$35</f>
        <v>478.26301999999998</v>
      </c>
      <c r="G15" s="52">
        <f>[13]November!$T$35</f>
        <v>489.60359999999991</v>
      </c>
      <c r="H15" s="52">
        <f>[13]November!$W$35</f>
        <v>0</v>
      </c>
      <c r="I15" s="52">
        <f>[13]November!$Z$35</f>
        <v>13.873330000000017</v>
      </c>
    </row>
    <row r="16" spans="1:11" x14ac:dyDescent="0.25">
      <c r="A16" s="51">
        <v>42705</v>
      </c>
      <c r="B16" s="52">
        <f>[13]December!$D$36</f>
        <v>0</v>
      </c>
      <c r="C16" s="52">
        <f>[13]December!$G$36</f>
        <v>9.2099999999999991</v>
      </c>
      <c r="D16" s="52">
        <f>[13]December!$J$36</f>
        <v>0</v>
      </c>
      <c r="E16" s="52">
        <f>[13]December!$M$36</f>
        <v>12.976874649999999</v>
      </c>
      <c r="F16" s="52">
        <f>[13]December!$Q$36</f>
        <v>1155.71378</v>
      </c>
      <c r="G16" s="52">
        <f>[13]December!$T$36</f>
        <v>1193.6344199999999</v>
      </c>
      <c r="H16" s="52">
        <f>[13]December!$W$36</f>
        <v>0</v>
      </c>
      <c r="I16" s="52">
        <f>[13]December!$Z$36</f>
        <v>38.058789999999995</v>
      </c>
    </row>
    <row r="17" spans="1:9" x14ac:dyDescent="0.25">
      <c r="A17" s="54" t="s">
        <v>15</v>
      </c>
      <c r="B17" s="52">
        <f>SUM(B5:B16)</f>
        <v>12528.97700000001</v>
      </c>
      <c r="C17" s="52">
        <f t="shared" ref="C17:I17" si="0">SUM(C5:C16)</f>
        <v>6167.6299999999983</v>
      </c>
      <c r="D17" s="52">
        <f t="shared" si="0"/>
        <v>7284.8950999999997</v>
      </c>
      <c r="E17" s="52">
        <f t="shared" si="0"/>
        <v>1352.3242887699998</v>
      </c>
      <c r="F17" s="52">
        <f t="shared" si="0"/>
        <v>10619.86066</v>
      </c>
      <c r="G17" s="52">
        <f t="shared" si="0"/>
        <v>10930.210030000002</v>
      </c>
      <c r="H17" s="52">
        <f t="shared" si="0"/>
        <v>0</v>
      </c>
      <c r="I17" s="52">
        <f t="shared" si="0"/>
        <v>317.52395999999993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E3EF81-69A7-4D93-8DA5-0C95C3B89175}"/>
</file>

<file path=customXml/itemProps2.xml><?xml version="1.0" encoding="utf-8"?>
<ds:datastoreItem xmlns:ds="http://schemas.openxmlformats.org/officeDocument/2006/customXml" ds:itemID="{D4AF7E69-D561-4A7B-91BA-CF18CFC73153}"/>
</file>

<file path=customXml/itemProps3.xml><?xml version="1.0" encoding="utf-8"?>
<ds:datastoreItem xmlns:ds="http://schemas.openxmlformats.org/officeDocument/2006/customXml" ds:itemID="{44A69E56-C6B2-4487-935B-26E9B580DD4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Thornton</cp:lastModifiedBy>
  <cp:lastPrinted>2012-07-11T20:09:08Z</cp:lastPrinted>
  <dcterms:created xsi:type="dcterms:W3CDTF">2004-01-27T20:05:57Z</dcterms:created>
  <dcterms:modified xsi:type="dcterms:W3CDTF">2018-04-24T19:22:30Z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