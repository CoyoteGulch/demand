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yotegulch/Documents/Demand Management /"/>
    </mc:Choice>
  </mc:AlternateContent>
  <xr:revisionPtr revIDLastSave="0" documentId="13_ncr:1_{9D844EC7-5133-D449-A1E5-161702159C82}" xr6:coauthVersionLast="45" xr6:coauthVersionMax="45" xr10:uidLastSave="{00000000-0000-0000-0000-000000000000}"/>
  <bookViews>
    <workbookView xWindow="28740" yWindow="2500" windowWidth="19120" windowHeight="14600" tabRatio="706" firstSheet="1" activeTab="3" xr2:uid="{00000000-000D-0000-FFFF-FFFF00000000}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0" r:id="rId9"/>
    <sheet name="August" sheetId="11" r:id="rId10"/>
    <sheet name="September" sheetId="12" r:id="rId11"/>
    <sheet name="October" sheetId="5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34" i="4" l="1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X35" i="5"/>
  <c r="U35" i="5"/>
  <c r="R35" i="5"/>
  <c r="O35" i="5"/>
  <c r="X34" i="5"/>
  <c r="U34" i="5"/>
  <c r="R34" i="5"/>
  <c r="O34" i="5"/>
  <c r="X33" i="5"/>
  <c r="U33" i="5"/>
  <c r="R33" i="5"/>
  <c r="O33" i="5"/>
  <c r="X32" i="5"/>
  <c r="U32" i="5"/>
  <c r="R32" i="5"/>
  <c r="O32" i="5"/>
  <c r="X31" i="5"/>
  <c r="U31" i="5"/>
  <c r="R31" i="5"/>
  <c r="O31" i="5"/>
  <c r="X30" i="5"/>
  <c r="U30" i="5"/>
  <c r="R30" i="5"/>
  <c r="O30" i="5"/>
  <c r="X29" i="5"/>
  <c r="U29" i="5"/>
  <c r="R29" i="5"/>
  <c r="O29" i="5"/>
  <c r="X28" i="5"/>
  <c r="U28" i="5"/>
  <c r="R28" i="5"/>
  <c r="O28" i="5"/>
  <c r="X27" i="5"/>
  <c r="U27" i="5"/>
  <c r="R27" i="5"/>
  <c r="O27" i="5"/>
  <c r="X26" i="5"/>
  <c r="U26" i="5"/>
  <c r="R26" i="5"/>
  <c r="O26" i="5"/>
  <c r="X25" i="5"/>
  <c r="U25" i="5"/>
  <c r="R25" i="5"/>
  <c r="O25" i="5"/>
  <c r="X24" i="5"/>
  <c r="U24" i="5"/>
  <c r="R24" i="5"/>
  <c r="O24" i="5"/>
  <c r="X23" i="5"/>
  <c r="U23" i="5"/>
  <c r="R23" i="5"/>
  <c r="O23" i="5"/>
  <c r="X22" i="5"/>
  <c r="U22" i="5"/>
  <c r="R22" i="5"/>
  <c r="O22" i="5"/>
  <c r="X21" i="5"/>
  <c r="U21" i="5"/>
  <c r="R21" i="5"/>
  <c r="O21" i="5"/>
  <c r="X20" i="5"/>
  <c r="U20" i="5"/>
  <c r="R20" i="5"/>
  <c r="O20" i="5"/>
  <c r="X19" i="5"/>
  <c r="U19" i="5"/>
  <c r="R19" i="5"/>
  <c r="O19" i="5"/>
  <c r="X18" i="5"/>
  <c r="U18" i="5"/>
  <c r="R18" i="5"/>
  <c r="O18" i="5"/>
  <c r="X17" i="5"/>
  <c r="U17" i="5"/>
  <c r="R17" i="5"/>
  <c r="O17" i="5"/>
  <c r="X16" i="5"/>
  <c r="U16" i="5"/>
  <c r="R16" i="5"/>
  <c r="O16" i="5"/>
  <c r="X15" i="5"/>
  <c r="U15" i="5"/>
  <c r="R15" i="5"/>
  <c r="O15" i="5"/>
  <c r="X14" i="5"/>
  <c r="U14" i="5"/>
  <c r="R14" i="5"/>
  <c r="O14" i="5"/>
  <c r="X13" i="5"/>
  <c r="U13" i="5"/>
  <c r="R13" i="5"/>
  <c r="O13" i="5"/>
  <c r="X12" i="5"/>
  <c r="U12" i="5"/>
  <c r="R12" i="5"/>
  <c r="O12" i="5"/>
  <c r="X11" i="5"/>
  <c r="U11" i="5"/>
  <c r="R11" i="5"/>
  <c r="O11" i="5"/>
  <c r="X10" i="5"/>
  <c r="U10" i="5"/>
  <c r="R10" i="5"/>
  <c r="O10" i="5"/>
  <c r="X9" i="5"/>
  <c r="U9" i="5"/>
  <c r="R9" i="5"/>
  <c r="O9" i="5"/>
  <c r="X8" i="5"/>
  <c r="U8" i="5"/>
  <c r="R8" i="5"/>
  <c r="O8" i="5"/>
  <c r="X7" i="5"/>
  <c r="U7" i="5"/>
  <c r="R7" i="5"/>
  <c r="O7" i="5"/>
  <c r="X6" i="5"/>
  <c r="U6" i="5"/>
  <c r="R6" i="5"/>
  <c r="O6" i="5"/>
  <c r="X5" i="5"/>
  <c r="U5" i="5"/>
  <c r="R5" i="5"/>
  <c r="O5" i="5"/>
  <c r="K35" i="5"/>
  <c r="H35" i="5"/>
  <c r="E35" i="5"/>
  <c r="B35" i="5"/>
  <c r="K34" i="5"/>
  <c r="H34" i="5"/>
  <c r="E34" i="5"/>
  <c r="B34" i="5"/>
  <c r="K33" i="5"/>
  <c r="H33" i="5"/>
  <c r="E33" i="5"/>
  <c r="B33" i="5"/>
  <c r="K32" i="5"/>
  <c r="H32" i="5"/>
  <c r="E32" i="5"/>
  <c r="B32" i="5"/>
  <c r="K31" i="5"/>
  <c r="H31" i="5"/>
  <c r="E31" i="5"/>
  <c r="B31" i="5"/>
  <c r="K30" i="5"/>
  <c r="H30" i="5"/>
  <c r="E30" i="5"/>
  <c r="B30" i="5"/>
  <c r="K29" i="5"/>
  <c r="H29" i="5"/>
  <c r="E29" i="5"/>
  <c r="B29" i="5"/>
  <c r="K28" i="5"/>
  <c r="H28" i="5"/>
  <c r="E28" i="5"/>
  <c r="B28" i="5"/>
  <c r="K27" i="5"/>
  <c r="H27" i="5"/>
  <c r="E27" i="5"/>
  <c r="B27" i="5"/>
  <c r="K26" i="5"/>
  <c r="H26" i="5"/>
  <c r="E26" i="5"/>
  <c r="B26" i="5"/>
  <c r="K25" i="5"/>
  <c r="H25" i="5"/>
  <c r="E25" i="5"/>
  <c r="B25" i="5"/>
  <c r="K24" i="5"/>
  <c r="H24" i="5"/>
  <c r="E24" i="5"/>
  <c r="B24" i="5"/>
  <c r="K23" i="5"/>
  <c r="H23" i="5"/>
  <c r="E23" i="5"/>
  <c r="B23" i="5"/>
  <c r="K22" i="5"/>
  <c r="H22" i="5"/>
  <c r="E22" i="5"/>
  <c r="B22" i="5"/>
  <c r="K21" i="5"/>
  <c r="H21" i="5"/>
  <c r="E21" i="5"/>
  <c r="B21" i="5"/>
  <c r="K20" i="5"/>
  <c r="H20" i="5"/>
  <c r="E20" i="5"/>
  <c r="B20" i="5"/>
  <c r="K19" i="5"/>
  <c r="H19" i="5"/>
  <c r="E19" i="5"/>
  <c r="B19" i="5"/>
  <c r="K18" i="5"/>
  <c r="H18" i="5"/>
  <c r="E18" i="5"/>
  <c r="B18" i="5"/>
  <c r="K17" i="5"/>
  <c r="H17" i="5"/>
  <c r="E17" i="5"/>
  <c r="B17" i="5"/>
  <c r="K16" i="5"/>
  <c r="H16" i="5"/>
  <c r="E16" i="5"/>
  <c r="B16" i="5"/>
  <c r="K15" i="5"/>
  <c r="H15" i="5"/>
  <c r="E15" i="5"/>
  <c r="B15" i="5"/>
  <c r="K14" i="5"/>
  <c r="H14" i="5"/>
  <c r="E14" i="5"/>
  <c r="B14" i="5"/>
  <c r="K13" i="5"/>
  <c r="H13" i="5"/>
  <c r="E13" i="5"/>
  <c r="B13" i="5"/>
  <c r="K12" i="5"/>
  <c r="H12" i="5"/>
  <c r="E12" i="5"/>
  <c r="B12" i="5"/>
  <c r="K11" i="5"/>
  <c r="H11" i="5"/>
  <c r="E11" i="5"/>
  <c r="B11" i="5"/>
  <c r="K10" i="5"/>
  <c r="H10" i="5"/>
  <c r="E10" i="5"/>
  <c r="B10" i="5"/>
  <c r="AL10" i="5" s="1"/>
  <c r="AM10" i="5" s="1"/>
  <c r="AN10" i="5" s="1"/>
  <c r="K9" i="5"/>
  <c r="H9" i="5"/>
  <c r="E9" i="5"/>
  <c r="B9" i="5"/>
  <c r="AL9" i="5" s="1"/>
  <c r="AM9" i="5" s="1"/>
  <c r="AN9" i="5" s="1"/>
  <c r="K8" i="5"/>
  <c r="H8" i="5"/>
  <c r="E8" i="5"/>
  <c r="B8" i="5"/>
  <c r="AL8" i="5" s="1"/>
  <c r="AM8" i="5" s="1"/>
  <c r="AN8" i="5" s="1"/>
  <c r="K7" i="5"/>
  <c r="H7" i="5"/>
  <c r="E7" i="5"/>
  <c r="B7" i="5"/>
  <c r="AL7" i="5" s="1"/>
  <c r="AM7" i="5" s="1"/>
  <c r="AN7" i="5" s="1"/>
  <c r="K6" i="5"/>
  <c r="H6" i="5"/>
  <c r="E6" i="5"/>
  <c r="B6" i="5"/>
  <c r="AL6" i="5" s="1"/>
  <c r="AM6" i="5" s="1"/>
  <c r="AN6" i="5" s="1"/>
  <c r="K5" i="5"/>
  <c r="H5" i="5"/>
  <c r="E5" i="5"/>
  <c r="B5" i="5"/>
  <c r="AL5" i="5" s="1"/>
  <c r="AM5" i="5" s="1"/>
  <c r="AB34" i="12"/>
  <c r="AB33" i="12"/>
  <c r="AB32" i="12"/>
  <c r="AB31" i="12"/>
  <c r="AB30" i="12"/>
  <c r="AB29" i="12"/>
  <c r="AB28" i="12"/>
  <c r="AB27" i="12"/>
  <c r="AB26" i="12"/>
  <c r="AB25" i="12"/>
  <c r="AB24" i="12"/>
  <c r="AB23" i="12"/>
  <c r="AB22" i="12"/>
  <c r="AB21" i="12"/>
  <c r="AB20" i="12"/>
  <c r="AB19" i="12"/>
  <c r="AB18" i="12"/>
  <c r="AB17" i="12"/>
  <c r="AB16" i="12"/>
  <c r="AB15" i="12"/>
  <c r="AB14" i="12"/>
  <c r="AB13" i="12"/>
  <c r="AB12" i="12"/>
  <c r="AB11" i="12"/>
  <c r="AB10" i="12"/>
  <c r="AB9" i="12"/>
  <c r="AB8" i="12"/>
  <c r="AB7" i="12"/>
  <c r="AB6" i="12"/>
  <c r="AB5" i="12"/>
  <c r="X34" i="12"/>
  <c r="U34" i="12"/>
  <c r="R34" i="12"/>
  <c r="O34" i="12"/>
  <c r="X33" i="12"/>
  <c r="U33" i="12"/>
  <c r="R33" i="12"/>
  <c r="O33" i="12"/>
  <c r="X32" i="12"/>
  <c r="U32" i="12"/>
  <c r="R32" i="12"/>
  <c r="O32" i="12"/>
  <c r="X31" i="12"/>
  <c r="U31" i="12"/>
  <c r="R31" i="12"/>
  <c r="O31" i="12"/>
  <c r="X30" i="12"/>
  <c r="U30" i="12"/>
  <c r="R30" i="12"/>
  <c r="O30" i="12"/>
  <c r="X29" i="12"/>
  <c r="U29" i="12"/>
  <c r="R29" i="12"/>
  <c r="O29" i="12"/>
  <c r="X28" i="12"/>
  <c r="U28" i="12"/>
  <c r="R28" i="12"/>
  <c r="O28" i="12"/>
  <c r="X27" i="12"/>
  <c r="U27" i="12"/>
  <c r="R27" i="12"/>
  <c r="O27" i="12"/>
  <c r="X26" i="12"/>
  <c r="U26" i="12"/>
  <c r="R26" i="12"/>
  <c r="O26" i="12"/>
  <c r="X25" i="12"/>
  <c r="U25" i="12"/>
  <c r="R25" i="12"/>
  <c r="O25" i="12"/>
  <c r="X24" i="12"/>
  <c r="U24" i="12"/>
  <c r="R24" i="12"/>
  <c r="O24" i="12"/>
  <c r="X23" i="12"/>
  <c r="U23" i="12"/>
  <c r="R23" i="12"/>
  <c r="O23" i="12"/>
  <c r="X22" i="12"/>
  <c r="U22" i="12"/>
  <c r="R22" i="12"/>
  <c r="O22" i="12"/>
  <c r="X21" i="12"/>
  <c r="U21" i="12"/>
  <c r="R21" i="12"/>
  <c r="O21" i="12"/>
  <c r="X20" i="12"/>
  <c r="U20" i="12"/>
  <c r="R20" i="12"/>
  <c r="O20" i="12"/>
  <c r="X19" i="12"/>
  <c r="U19" i="12"/>
  <c r="R19" i="12"/>
  <c r="O19" i="12"/>
  <c r="X18" i="12"/>
  <c r="U18" i="12"/>
  <c r="R18" i="12"/>
  <c r="O18" i="12"/>
  <c r="X17" i="12"/>
  <c r="U17" i="12"/>
  <c r="R17" i="12"/>
  <c r="O17" i="12"/>
  <c r="X16" i="12"/>
  <c r="U16" i="12"/>
  <c r="R16" i="12"/>
  <c r="O16" i="12"/>
  <c r="X15" i="12"/>
  <c r="U15" i="12"/>
  <c r="R15" i="12"/>
  <c r="O15" i="12"/>
  <c r="X14" i="12"/>
  <c r="U14" i="12"/>
  <c r="R14" i="12"/>
  <c r="O14" i="12"/>
  <c r="X13" i="12"/>
  <c r="U13" i="12"/>
  <c r="R13" i="12"/>
  <c r="O13" i="12"/>
  <c r="X12" i="12"/>
  <c r="U12" i="12"/>
  <c r="R12" i="12"/>
  <c r="O12" i="12"/>
  <c r="X11" i="12"/>
  <c r="U11" i="12"/>
  <c r="R11" i="12"/>
  <c r="O11" i="12"/>
  <c r="X10" i="12"/>
  <c r="U10" i="12"/>
  <c r="R10" i="12"/>
  <c r="O10" i="12"/>
  <c r="X9" i="12"/>
  <c r="U9" i="12"/>
  <c r="R9" i="12"/>
  <c r="O9" i="12"/>
  <c r="X8" i="12"/>
  <c r="U8" i="12"/>
  <c r="R8" i="12"/>
  <c r="O8" i="12"/>
  <c r="X7" i="12"/>
  <c r="U7" i="12"/>
  <c r="R7" i="12"/>
  <c r="O7" i="12"/>
  <c r="X6" i="12"/>
  <c r="U6" i="12"/>
  <c r="R6" i="12"/>
  <c r="O6" i="12"/>
  <c r="X5" i="12"/>
  <c r="U5" i="12"/>
  <c r="R5" i="12"/>
  <c r="O5" i="12"/>
  <c r="K34" i="12"/>
  <c r="H34" i="12"/>
  <c r="E34" i="12"/>
  <c r="B34" i="12"/>
  <c r="K33" i="12"/>
  <c r="H33" i="12"/>
  <c r="E33" i="12"/>
  <c r="B33" i="12"/>
  <c r="K32" i="12"/>
  <c r="H32" i="12"/>
  <c r="E32" i="12"/>
  <c r="B32" i="12"/>
  <c r="K31" i="12"/>
  <c r="H31" i="12"/>
  <c r="E31" i="12"/>
  <c r="B31" i="12"/>
  <c r="K30" i="12"/>
  <c r="H30" i="12"/>
  <c r="E30" i="12"/>
  <c r="B30" i="12"/>
  <c r="K29" i="12"/>
  <c r="H29" i="12"/>
  <c r="E29" i="12"/>
  <c r="B29" i="12"/>
  <c r="K28" i="12"/>
  <c r="H28" i="12"/>
  <c r="E28" i="12"/>
  <c r="B28" i="12"/>
  <c r="K27" i="12"/>
  <c r="H27" i="12"/>
  <c r="E27" i="12"/>
  <c r="B27" i="12"/>
  <c r="K26" i="12"/>
  <c r="H26" i="12"/>
  <c r="E26" i="12"/>
  <c r="B26" i="12"/>
  <c r="K25" i="12"/>
  <c r="H25" i="12"/>
  <c r="E25" i="12"/>
  <c r="B25" i="12"/>
  <c r="K24" i="12"/>
  <c r="H24" i="12"/>
  <c r="E24" i="12"/>
  <c r="B24" i="12"/>
  <c r="K23" i="12"/>
  <c r="H23" i="12"/>
  <c r="E23" i="12"/>
  <c r="B23" i="12"/>
  <c r="K22" i="12"/>
  <c r="H22" i="12"/>
  <c r="E22" i="12"/>
  <c r="B22" i="12"/>
  <c r="K21" i="12"/>
  <c r="H21" i="12"/>
  <c r="E21" i="12"/>
  <c r="B21" i="12"/>
  <c r="K20" i="12"/>
  <c r="H20" i="12"/>
  <c r="E20" i="12"/>
  <c r="B20" i="12"/>
  <c r="K19" i="12"/>
  <c r="H19" i="12"/>
  <c r="E19" i="12"/>
  <c r="B19" i="12"/>
  <c r="K18" i="12"/>
  <c r="H18" i="12"/>
  <c r="E18" i="12"/>
  <c r="B18" i="12"/>
  <c r="K17" i="12"/>
  <c r="H17" i="12"/>
  <c r="E17" i="12"/>
  <c r="B17" i="12"/>
  <c r="K16" i="12"/>
  <c r="H16" i="12"/>
  <c r="E16" i="12"/>
  <c r="B16" i="12"/>
  <c r="K15" i="12"/>
  <c r="H15" i="12"/>
  <c r="E15" i="12"/>
  <c r="B15" i="12"/>
  <c r="K14" i="12"/>
  <c r="H14" i="12"/>
  <c r="E14" i="12"/>
  <c r="B14" i="12"/>
  <c r="K13" i="12"/>
  <c r="H13" i="12"/>
  <c r="E13" i="12"/>
  <c r="B13" i="12"/>
  <c r="K12" i="12"/>
  <c r="H12" i="12"/>
  <c r="E12" i="12"/>
  <c r="B12" i="12"/>
  <c r="K11" i="12"/>
  <c r="H11" i="12"/>
  <c r="E11" i="12"/>
  <c r="B11" i="12"/>
  <c r="K10" i="12"/>
  <c r="H10" i="12"/>
  <c r="E10" i="12"/>
  <c r="B10" i="12"/>
  <c r="K9" i="12"/>
  <c r="H9" i="12"/>
  <c r="E9" i="12"/>
  <c r="B9" i="12"/>
  <c r="K8" i="12"/>
  <c r="H8" i="12"/>
  <c r="E8" i="12"/>
  <c r="B8" i="12"/>
  <c r="K7" i="12"/>
  <c r="H7" i="12"/>
  <c r="E7" i="12"/>
  <c r="B7" i="12"/>
  <c r="K6" i="12"/>
  <c r="H6" i="12"/>
  <c r="E6" i="12"/>
  <c r="B6" i="12"/>
  <c r="K5" i="12"/>
  <c r="H5" i="12"/>
  <c r="E5" i="12"/>
  <c r="B5" i="12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K35" i="11"/>
  <c r="H35" i="11"/>
  <c r="E35" i="11"/>
  <c r="B35" i="11"/>
  <c r="K34" i="11"/>
  <c r="H34" i="11"/>
  <c r="E34" i="11"/>
  <c r="B34" i="11"/>
  <c r="K33" i="11"/>
  <c r="H33" i="11"/>
  <c r="E33" i="11"/>
  <c r="B33" i="11"/>
  <c r="K32" i="11"/>
  <c r="H32" i="11"/>
  <c r="E32" i="11"/>
  <c r="B32" i="11"/>
  <c r="K31" i="11"/>
  <c r="H31" i="11"/>
  <c r="E31" i="11"/>
  <c r="B31" i="11"/>
  <c r="K30" i="11"/>
  <c r="H30" i="11"/>
  <c r="E30" i="11"/>
  <c r="B30" i="11"/>
  <c r="K29" i="11"/>
  <c r="H29" i="11"/>
  <c r="E29" i="11"/>
  <c r="B29" i="11"/>
  <c r="K28" i="11"/>
  <c r="H28" i="11"/>
  <c r="E28" i="11"/>
  <c r="B28" i="11"/>
  <c r="K27" i="11"/>
  <c r="H27" i="11"/>
  <c r="E27" i="11"/>
  <c r="B27" i="11"/>
  <c r="K26" i="11"/>
  <c r="H26" i="11"/>
  <c r="E26" i="11"/>
  <c r="B26" i="11"/>
  <c r="K25" i="11"/>
  <c r="H25" i="11"/>
  <c r="E25" i="11"/>
  <c r="B25" i="11"/>
  <c r="K24" i="11"/>
  <c r="H24" i="11"/>
  <c r="E24" i="11"/>
  <c r="B24" i="11"/>
  <c r="K23" i="11"/>
  <c r="H23" i="11"/>
  <c r="E23" i="11"/>
  <c r="B23" i="11"/>
  <c r="K22" i="11"/>
  <c r="H22" i="11"/>
  <c r="E22" i="11"/>
  <c r="B22" i="11"/>
  <c r="K21" i="11"/>
  <c r="H21" i="11"/>
  <c r="E21" i="11"/>
  <c r="B21" i="11"/>
  <c r="K20" i="11"/>
  <c r="H20" i="11"/>
  <c r="E20" i="11"/>
  <c r="B20" i="11"/>
  <c r="K19" i="11"/>
  <c r="H19" i="11"/>
  <c r="E19" i="11"/>
  <c r="B19" i="11"/>
  <c r="K18" i="11"/>
  <c r="H18" i="11"/>
  <c r="E18" i="11"/>
  <c r="B18" i="11"/>
  <c r="K17" i="11"/>
  <c r="H17" i="11"/>
  <c r="E17" i="11"/>
  <c r="B17" i="11"/>
  <c r="K16" i="11"/>
  <c r="H16" i="11"/>
  <c r="E16" i="11"/>
  <c r="B16" i="11"/>
  <c r="K15" i="11"/>
  <c r="H15" i="11"/>
  <c r="E15" i="11"/>
  <c r="B15" i="11"/>
  <c r="K14" i="11"/>
  <c r="H14" i="11"/>
  <c r="E14" i="11"/>
  <c r="B14" i="11"/>
  <c r="K13" i="11"/>
  <c r="H13" i="11"/>
  <c r="E13" i="11"/>
  <c r="B13" i="11"/>
  <c r="K12" i="11"/>
  <c r="H12" i="11"/>
  <c r="E12" i="11"/>
  <c r="B12" i="11"/>
  <c r="K11" i="11"/>
  <c r="H11" i="11"/>
  <c r="E11" i="11"/>
  <c r="B11" i="11"/>
  <c r="K10" i="11"/>
  <c r="H10" i="11"/>
  <c r="E10" i="11"/>
  <c r="B10" i="11"/>
  <c r="K9" i="11"/>
  <c r="H9" i="11"/>
  <c r="E9" i="11"/>
  <c r="B9" i="11"/>
  <c r="K8" i="11"/>
  <c r="H8" i="11"/>
  <c r="E8" i="11"/>
  <c r="B8" i="11"/>
  <c r="K7" i="11"/>
  <c r="H7" i="11"/>
  <c r="E7" i="11"/>
  <c r="B7" i="11"/>
  <c r="K6" i="11"/>
  <c r="H6" i="11"/>
  <c r="E6" i="11"/>
  <c r="B6" i="11"/>
  <c r="K5" i="11"/>
  <c r="H5" i="11"/>
  <c r="E5" i="11"/>
  <c r="B5" i="11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X35" i="10"/>
  <c r="U35" i="10"/>
  <c r="R35" i="10"/>
  <c r="O35" i="10"/>
  <c r="X34" i="10"/>
  <c r="U34" i="10"/>
  <c r="R34" i="10"/>
  <c r="O34" i="10"/>
  <c r="X33" i="10"/>
  <c r="U33" i="10"/>
  <c r="R33" i="10"/>
  <c r="O33" i="10"/>
  <c r="X32" i="10"/>
  <c r="U32" i="10"/>
  <c r="R32" i="10"/>
  <c r="O32" i="10"/>
  <c r="X31" i="10"/>
  <c r="U31" i="10"/>
  <c r="R31" i="10"/>
  <c r="O31" i="10"/>
  <c r="X30" i="10"/>
  <c r="U30" i="10"/>
  <c r="R30" i="10"/>
  <c r="O30" i="10"/>
  <c r="X29" i="10"/>
  <c r="U29" i="10"/>
  <c r="R29" i="10"/>
  <c r="O29" i="10"/>
  <c r="X28" i="10"/>
  <c r="U28" i="10"/>
  <c r="R28" i="10"/>
  <c r="O28" i="10"/>
  <c r="X27" i="10"/>
  <c r="U27" i="10"/>
  <c r="R27" i="10"/>
  <c r="O27" i="10"/>
  <c r="X26" i="10"/>
  <c r="U26" i="10"/>
  <c r="R26" i="10"/>
  <c r="O26" i="10"/>
  <c r="X25" i="10"/>
  <c r="U25" i="10"/>
  <c r="R25" i="10"/>
  <c r="O25" i="10"/>
  <c r="X24" i="10"/>
  <c r="U24" i="10"/>
  <c r="R24" i="10"/>
  <c r="O24" i="10"/>
  <c r="X23" i="10"/>
  <c r="U23" i="10"/>
  <c r="R23" i="10"/>
  <c r="O23" i="10"/>
  <c r="X22" i="10"/>
  <c r="U22" i="10"/>
  <c r="R22" i="10"/>
  <c r="O22" i="10"/>
  <c r="X21" i="10"/>
  <c r="U21" i="10"/>
  <c r="R21" i="10"/>
  <c r="O21" i="10"/>
  <c r="X20" i="10"/>
  <c r="U20" i="10"/>
  <c r="R20" i="10"/>
  <c r="O20" i="10"/>
  <c r="X19" i="10"/>
  <c r="U19" i="10"/>
  <c r="R19" i="10"/>
  <c r="O19" i="10"/>
  <c r="X18" i="10"/>
  <c r="U18" i="10"/>
  <c r="R18" i="10"/>
  <c r="O18" i="10"/>
  <c r="X17" i="10"/>
  <c r="U17" i="10"/>
  <c r="R17" i="10"/>
  <c r="O17" i="10"/>
  <c r="X16" i="10"/>
  <c r="U16" i="10"/>
  <c r="R16" i="10"/>
  <c r="O16" i="10"/>
  <c r="X15" i="10"/>
  <c r="U15" i="10"/>
  <c r="R15" i="10"/>
  <c r="O15" i="10"/>
  <c r="X14" i="10"/>
  <c r="U14" i="10"/>
  <c r="R14" i="10"/>
  <c r="O14" i="10"/>
  <c r="X13" i="10"/>
  <c r="U13" i="10"/>
  <c r="R13" i="10"/>
  <c r="O13" i="10"/>
  <c r="X12" i="10"/>
  <c r="U12" i="10"/>
  <c r="R12" i="10"/>
  <c r="O12" i="10"/>
  <c r="X11" i="10"/>
  <c r="U11" i="10"/>
  <c r="R11" i="10"/>
  <c r="O11" i="10"/>
  <c r="X10" i="10"/>
  <c r="U10" i="10"/>
  <c r="R10" i="10"/>
  <c r="O10" i="10"/>
  <c r="X9" i="10"/>
  <c r="U9" i="10"/>
  <c r="R9" i="10"/>
  <c r="O9" i="10"/>
  <c r="X8" i="10"/>
  <c r="U8" i="10"/>
  <c r="R8" i="10"/>
  <c r="O8" i="10"/>
  <c r="X7" i="10"/>
  <c r="U7" i="10"/>
  <c r="R7" i="10"/>
  <c r="O7" i="10"/>
  <c r="X6" i="10"/>
  <c r="U6" i="10"/>
  <c r="R6" i="10"/>
  <c r="O6" i="10"/>
  <c r="X5" i="10"/>
  <c r="U5" i="10"/>
  <c r="R5" i="10"/>
  <c r="O5" i="10"/>
  <c r="K35" i="10"/>
  <c r="H35" i="10"/>
  <c r="E35" i="10"/>
  <c r="B35" i="10"/>
  <c r="K34" i="10"/>
  <c r="H34" i="10"/>
  <c r="E34" i="10"/>
  <c r="B34" i="10"/>
  <c r="K33" i="10"/>
  <c r="H33" i="10"/>
  <c r="E33" i="10"/>
  <c r="B33" i="10"/>
  <c r="K32" i="10"/>
  <c r="H32" i="10"/>
  <c r="E32" i="10"/>
  <c r="B32" i="10"/>
  <c r="K31" i="10"/>
  <c r="H31" i="10"/>
  <c r="E31" i="10"/>
  <c r="B31" i="10"/>
  <c r="K30" i="10"/>
  <c r="H30" i="10"/>
  <c r="E30" i="10"/>
  <c r="B30" i="10"/>
  <c r="K29" i="10"/>
  <c r="H29" i="10"/>
  <c r="E29" i="10"/>
  <c r="B29" i="10"/>
  <c r="K28" i="10"/>
  <c r="H28" i="10"/>
  <c r="E28" i="10"/>
  <c r="B28" i="10"/>
  <c r="K27" i="10"/>
  <c r="H27" i="10"/>
  <c r="E27" i="10"/>
  <c r="B27" i="10"/>
  <c r="K26" i="10"/>
  <c r="H26" i="10"/>
  <c r="E26" i="10"/>
  <c r="B26" i="10"/>
  <c r="K25" i="10"/>
  <c r="H25" i="10"/>
  <c r="E25" i="10"/>
  <c r="B25" i="10"/>
  <c r="K24" i="10"/>
  <c r="H24" i="10"/>
  <c r="E24" i="10"/>
  <c r="B24" i="10"/>
  <c r="K23" i="10"/>
  <c r="H23" i="10"/>
  <c r="E23" i="10"/>
  <c r="B23" i="10"/>
  <c r="K22" i="10"/>
  <c r="H22" i="10"/>
  <c r="E22" i="10"/>
  <c r="B22" i="10"/>
  <c r="K21" i="10"/>
  <c r="H21" i="10"/>
  <c r="E21" i="10"/>
  <c r="B21" i="10"/>
  <c r="K20" i="10"/>
  <c r="H20" i="10"/>
  <c r="E20" i="10"/>
  <c r="B20" i="10"/>
  <c r="K19" i="10"/>
  <c r="H19" i="10"/>
  <c r="E19" i="10"/>
  <c r="B19" i="10"/>
  <c r="K18" i="10"/>
  <c r="H18" i="10"/>
  <c r="E18" i="10"/>
  <c r="B18" i="10"/>
  <c r="K17" i="10"/>
  <c r="H17" i="10"/>
  <c r="E17" i="10"/>
  <c r="B17" i="10"/>
  <c r="K16" i="10"/>
  <c r="H16" i="10"/>
  <c r="E16" i="10"/>
  <c r="B16" i="10"/>
  <c r="K15" i="10"/>
  <c r="H15" i="10"/>
  <c r="E15" i="10"/>
  <c r="B15" i="10"/>
  <c r="K14" i="10"/>
  <c r="H14" i="10"/>
  <c r="E14" i="10"/>
  <c r="B14" i="10"/>
  <c r="K13" i="10"/>
  <c r="H13" i="10"/>
  <c r="E13" i="10"/>
  <c r="B13" i="10"/>
  <c r="K12" i="10"/>
  <c r="H12" i="10"/>
  <c r="E12" i="10"/>
  <c r="B12" i="10"/>
  <c r="K11" i="10"/>
  <c r="H11" i="10"/>
  <c r="E11" i="10"/>
  <c r="B11" i="10"/>
  <c r="K10" i="10"/>
  <c r="H10" i="10"/>
  <c r="E10" i="10"/>
  <c r="B10" i="10"/>
  <c r="K9" i="10"/>
  <c r="H9" i="10"/>
  <c r="E9" i="10"/>
  <c r="B9" i="10"/>
  <c r="K8" i="10"/>
  <c r="H8" i="10"/>
  <c r="E8" i="10"/>
  <c r="B8" i="10"/>
  <c r="K7" i="10"/>
  <c r="H7" i="10"/>
  <c r="E7" i="10"/>
  <c r="B7" i="10"/>
  <c r="K6" i="10"/>
  <c r="H6" i="10"/>
  <c r="E6" i="10"/>
  <c r="B6" i="10"/>
  <c r="K5" i="10"/>
  <c r="H5" i="10"/>
  <c r="E5" i="10"/>
  <c r="B5" i="10"/>
  <c r="AB34" i="9"/>
  <c r="AB33" i="9"/>
  <c r="AB32" i="9"/>
  <c r="AB31" i="9"/>
  <c r="AB30" i="9"/>
  <c r="AB29" i="9"/>
  <c r="AB28" i="9"/>
  <c r="AB27" i="9"/>
  <c r="AB26" i="9"/>
  <c r="AB25" i="9"/>
  <c r="AB24" i="9"/>
  <c r="AB23" i="9"/>
  <c r="AB22" i="9"/>
  <c r="AB21" i="9"/>
  <c r="AB20" i="9"/>
  <c r="AB19" i="9"/>
  <c r="AB18" i="9"/>
  <c r="AB17" i="9"/>
  <c r="AB16" i="9"/>
  <c r="AB15" i="9"/>
  <c r="AB14" i="9"/>
  <c r="AB13" i="9"/>
  <c r="AB12" i="9"/>
  <c r="AB11" i="9"/>
  <c r="AB10" i="9"/>
  <c r="AB9" i="9"/>
  <c r="AB8" i="9"/>
  <c r="AB7" i="9"/>
  <c r="AB6" i="9"/>
  <c r="AB5" i="9"/>
  <c r="X34" i="9"/>
  <c r="U34" i="9"/>
  <c r="R34" i="9"/>
  <c r="O34" i="9"/>
  <c r="X33" i="9"/>
  <c r="U33" i="9"/>
  <c r="R33" i="9"/>
  <c r="O33" i="9"/>
  <c r="X32" i="9"/>
  <c r="U32" i="9"/>
  <c r="R32" i="9"/>
  <c r="O32" i="9"/>
  <c r="X31" i="9"/>
  <c r="U31" i="9"/>
  <c r="R31" i="9"/>
  <c r="O31" i="9"/>
  <c r="X30" i="9"/>
  <c r="U30" i="9"/>
  <c r="R30" i="9"/>
  <c r="O30" i="9"/>
  <c r="X29" i="9"/>
  <c r="U29" i="9"/>
  <c r="R29" i="9"/>
  <c r="O29" i="9"/>
  <c r="X28" i="9"/>
  <c r="U28" i="9"/>
  <c r="R28" i="9"/>
  <c r="O28" i="9"/>
  <c r="X27" i="9"/>
  <c r="U27" i="9"/>
  <c r="R27" i="9"/>
  <c r="O27" i="9"/>
  <c r="X26" i="9"/>
  <c r="U26" i="9"/>
  <c r="R26" i="9"/>
  <c r="O26" i="9"/>
  <c r="X25" i="9"/>
  <c r="U25" i="9"/>
  <c r="R25" i="9"/>
  <c r="O25" i="9"/>
  <c r="X24" i="9"/>
  <c r="U24" i="9"/>
  <c r="R24" i="9"/>
  <c r="O24" i="9"/>
  <c r="X23" i="9"/>
  <c r="U23" i="9"/>
  <c r="R23" i="9"/>
  <c r="O23" i="9"/>
  <c r="X22" i="9"/>
  <c r="U22" i="9"/>
  <c r="R22" i="9"/>
  <c r="O22" i="9"/>
  <c r="X21" i="9"/>
  <c r="U21" i="9"/>
  <c r="R21" i="9"/>
  <c r="O21" i="9"/>
  <c r="X20" i="9"/>
  <c r="U20" i="9"/>
  <c r="R20" i="9"/>
  <c r="O20" i="9"/>
  <c r="X19" i="9"/>
  <c r="U19" i="9"/>
  <c r="R19" i="9"/>
  <c r="O19" i="9"/>
  <c r="X18" i="9"/>
  <c r="U18" i="9"/>
  <c r="R18" i="9"/>
  <c r="O18" i="9"/>
  <c r="X17" i="9"/>
  <c r="U17" i="9"/>
  <c r="R17" i="9"/>
  <c r="O17" i="9"/>
  <c r="X16" i="9"/>
  <c r="U16" i="9"/>
  <c r="R16" i="9"/>
  <c r="O16" i="9"/>
  <c r="X15" i="9"/>
  <c r="U15" i="9"/>
  <c r="R15" i="9"/>
  <c r="O15" i="9"/>
  <c r="X14" i="9"/>
  <c r="U14" i="9"/>
  <c r="R14" i="9"/>
  <c r="O14" i="9"/>
  <c r="X13" i="9"/>
  <c r="U13" i="9"/>
  <c r="R13" i="9"/>
  <c r="O13" i="9"/>
  <c r="X12" i="9"/>
  <c r="U12" i="9"/>
  <c r="R12" i="9"/>
  <c r="O12" i="9"/>
  <c r="X11" i="9"/>
  <c r="U11" i="9"/>
  <c r="R11" i="9"/>
  <c r="O11" i="9"/>
  <c r="X10" i="9"/>
  <c r="U10" i="9"/>
  <c r="R10" i="9"/>
  <c r="O10" i="9"/>
  <c r="X9" i="9"/>
  <c r="U9" i="9"/>
  <c r="R9" i="9"/>
  <c r="O9" i="9"/>
  <c r="X8" i="9"/>
  <c r="U8" i="9"/>
  <c r="R8" i="9"/>
  <c r="O8" i="9"/>
  <c r="X7" i="9"/>
  <c r="U7" i="9"/>
  <c r="R7" i="9"/>
  <c r="O7" i="9"/>
  <c r="X6" i="9"/>
  <c r="U6" i="9"/>
  <c r="R6" i="9"/>
  <c r="O6" i="9"/>
  <c r="X5" i="9"/>
  <c r="U5" i="9"/>
  <c r="R5" i="9"/>
  <c r="O5" i="9"/>
  <c r="K34" i="9"/>
  <c r="H34" i="9"/>
  <c r="E34" i="9"/>
  <c r="B34" i="9"/>
  <c r="K33" i="9"/>
  <c r="H33" i="9"/>
  <c r="E33" i="9"/>
  <c r="B33" i="9"/>
  <c r="K32" i="9"/>
  <c r="H32" i="9"/>
  <c r="E32" i="9"/>
  <c r="B32" i="9"/>
  <c r="K31" i="9"/>
  <c r="H31" i="9"/>
  <c r="E31" i="9"/>
  <c r="B31" i="9"/>
  <c r="K30" i="9"/>
  <c r="H30" i="9"/>
  <c r="E30" i="9"/>
  <c r="B30" i="9"/>
  <c r="K29" i="9"/>
  <c r="H29" i="9"/>
  <c r="E29" i="9"/>
  <c r="B29" i="9"/>
  <c r="K28" i="9"/>
  <c r="H28" i="9"/>
  <c r="E28" i="9"/>
  <c r="B28" i="9"/>
  <c r="K27" i="9"/>
  <c r="H27" i="9"/>
  <c r="E27" i="9"/>
  <c r="B27" i="9"/>
  <c r="K26" i="9"/>
  <c r="H26" i="9"/>
  <c r="E26" i="9"/>
  <c r="B26" i="9"/>
  <c r="K25" i="9"/>
  <c r="H25" i="9"/>
  <c r="E25" i="9"/>
  <c r="B25" i="9"/>
  <c r="K24" i="9"/>
  <c r="H24" i="9"/>
  <c r="E24" i="9"/>
  <c r="B24" i="9"/>
  <c r="K23" i="9"/>
  <c r="H23" i="9"/>
  <c r="E23" i="9"/>
  <c r="B23" i="9"/>
  <c r="K22" i="9"/>
  <c r="H22" i="9"/>
  <c r="E22" i="9"/>
  <c r="B22" i="9"/>
  <c r="K21" i="9"/>
  <c r="H21" i="9"/>
  <c r="E21" i="9"/>
  <c r="B21" i="9"/>
  <c r="K20" i="9"/>
  <c r="H20" i="9"/>
  <c r="E20" i="9"/>
  <c r="B20" i="9"/>
  <c r="K19" i="9"/>
  <c r="H19" i="9"/>
  <c r="E19" i="9"/>
  <c r="B19" i="9"/>
  <c r="K18" i="9"/>
  <c r="H18" i="9"/>
  <c r="E18" i="9"/>
  <c r="B18" i="9"/>
  <c r="K17" i="9"/>
  <c r="H17" i="9"/>
  <c r="E17" i="9"/>
  <c r="B17" i="9"/>
  <c r="K16" i="9"/>
  <c r="H16" i="9"/>
  <c r="E16" i="9"/>
  <c r="B16" i="9"/>
  <c r="K15" i="9"/>
  <c r="H15" i="9"/>
  <c r="E15" i="9"/>
  <c r="B15" i="9"/>
  <c r="K14" i="9"/>
  <c r="H14" i="9"/>
  <c r="E14" i="9"/>
  <c r="B14" i="9"/>
  <c r="K13" i="9"/>
  <c r="H13" i="9"/>
  <c r="E13" i="9"/>
  <c r="B13" i="9"/>
  <c r="K12" i="9"/>
  <c r="H12" i="9"/>
  <c r="E12" i="9"/>
  <c r="B12" i="9"/>
  <c r="K11" i="9"/>
  <c r="H11" i="9"/>
  <c r="E11" i="9"/>
  <c r="B11" i="9"/>
  <c r="K10" i="9"/>
  <c r="H10" i="9"/>
  <c r="E10" i="9"/>
  <c r="B10" i="9"/>
  <c r="K9" i="9"/>
  <c r="H9" i="9"/>
  <c r="E9" i="9"/>
  <c r="B9" i="9"/>
  <c r="K8" i="9"/>
  <c r="H8" i="9"/>
  <c r="E8" i="9"/>
  <c r="B8" i="9"/>
  <c r="K7" i="9"/>
  <c r="H7" i="9"/>
  <c r="E7" i="9"/>
  <c r="B7" i="9"/>
  <c r="K6" i="9"/>
  <c r="H6" i="9"/>
  <c r="E6" i="9"/>
  <c r="B6" i="9"/>
  <c r="K5" i="9"/>
  <c r="H5" i="9"/>
  <c r="E5" i="9"/>
  <c r="B5" i="9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E35" i="8"/>
  <c r="B35" i="8"/>
  <c r="K34" i="8"/>
  <c r="H34" i="8"/>
  <c r="E34" i="8"/>
  <c r="B34" i="8"/>
  <c r="K33" i="8"/>
  <c r="H33" i="8"/>
  <c r="E33" i="8"/>
  <c r="B33" i="8"/>
  <c r="K32" i="8"/>
  <c r="H32" i="8"/>
  <c r="E32" i="8"/>
  <c r="B32" i="8"/>
  <c r="K31" i="8"/>
  <c r="H31" i="8"/>
  <c r="E31" i="8"/>
  <c r="B31" i="8"/>
  <c r="K30" i="8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E21" i="8"/>
  <c r="B21" i="8"/>
  <c r="K20" i="8"/>
  <c r="H20" i="8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K5" i="8"/>
  <c r="H5" i="8"/>
  <c r="E5" i="8"/>
  <c r="B5" i="8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AB13" i="7"/>
  <c r="AB12" i="7"/>
  <c r="AB11" i="7"/>
  <c r="AB10" i="7"/>
  <c r="AB9" i="7"/>
  <c r="AB8" i="7"/>
  <c r="AB7" i="7"/>
  <c r="AB6" i="7"/>
  <c r="AB5" i="7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K34" i="7"/>
  <c r="H34" i="7"/>
  <c r="E34" i="7"/>
  <c r="B34" i="7"/>
  <c r="AF34" i="7" s="1"/>
  <c r="K33" i="7"/>
  <c r="H33" i="7"/>
  <c r="E33" i="7"/>
  <c r="B33" i="7"/>
  <c r="AF33" i="7" s="1"/>
  <c r="K32" i="7"/>
  <c r="H32" i="7"/>
  <c r="E32" i="7"/>
  <c r="B32" i="7"/>
  <c r="AF32" i="7" s="1"/>
  <c r="K31" i="7"/>
  <c r="H31" i="7"/>
  <c r="E31" i="7"/>
  <c r="B31" i="7"/>
  <c r="AF31" i="7" s="1"/>
  <c r="K30" i="7"/>
  <c r="H30" i="7"/>
  <c r="E30" i="7"/>
  <c r="B30" i="7"/>
  <c r="AF30" i="7" s="1"/>
  <c r="K29" i="7"/>
  <c r="H29" i="7"/>
  <c r="E29" i="7"/>
  <c r="B29" i="7"/>
  <c r="AF29" i="7" s="1"/>
  <c r="K28" i="7"/>
  <c r="H28" i="7"/>
  <c r="E28" i="7"/>
  <c r="B28" i="7"/>
  <c r="AF28" i="7" s="1"/>
  <c r="K27" i="7"/>
  <c r="H27" i="7"/>
  <c r="E27" i="7"/>
  <c r="B27" i="7"/>
  <c r="AF27" i="7" s="1"/>
  <c r="K26" i="7"/>
  <c r="H26" i="7"/>
  <c r="E26" i="7"/>
  <c r="B26" i="7"/>
  <c r="AF26" i="7" s="1"/>
  <c r="K25" i="7"/>
  <c r="H25" i="7"/>
  <c r="E25" i="7"/>
  <c r="B25" i="7"/>
  <c r="AF25" i="7" s="1"/>
  <c r="K24" i="7"/>
  <c r="H24" i="7"/>
  <c r="E24" i="7"/>
  <c r="B24" i="7"/>
  <c r="AF24" i="7" s="1"/>
  <c r="K23" i="7"/>
  <c r="H23" i="7"/>
  <c r="E23" i="7"/>
  <c r="B23" i="7"/>
  <c r="AF23" i="7" s="1"/>
  <c r="K22" i="7"/>
  <c r="H22" i="7"/>
  <c r="E22" i="7"/>
  <c r="B22" i="7"/>
  <c r="AF22" i="7" s="1"/>
  <c r="K21" i="7"/>
  <c r="H21" i="7"/>
  <c r="E21" i="7"/>
  <c r="B21" i="7"/>
  <c r="AF21" i="7" s="1"/>
  <c r="K20" i="7"/>
  <c r="H20" i="7"/>
  <c r="E20" i="7"/>
  <c r="B20" i="7"/>
  <c r="AF20" i="7" s="1"/>
  <c r="K19" i="7"/>
  <c r="H19" i="7"/>
  <c r="E19" i="7"/>
  <c r="B19" i="7"/>
  <c r="AF19" i="7" s="1"/>
  <c r="K18" i="7"/>
  <c r="H18" i="7"/>
  <c r="E18" i="7"/>
  <c r="B18" i="7"/>
  <c r="AF18" i="7" s="1"/>
  <c r="K17" i="7"/>
  <c r="H17" i="7"/>
  <c r="E17" i="7"/>
  <c r="B17" i="7"/>
  <c r="AF17" i="7" s="1"/>
  <c r="K16" i="7"/>
  <c r="H16" i="7"/>
  <c r="E16" i="7"/>
  <c r="B16" i="7"/>
  <c r="AF16" i="7" s="1"/>
  <c r="K15" i="7"/>
  <c r="H15" i="7"/>
  <c r="E15" i="7"/>
  <c r="B15" i="7"/>
  <c r="AF15" i="7" s="1"/>
  <c r="K14" i="7"/>
  <c r="H14" i="7"/>
  <c r="E14" i="7"/>
  <c r="B14" i="7"/>
  <c r="AF14" i="7" s="1"/>
  <c r="K13" i="7"/>
  <c r="H13" i="7"/>
  <c r="E13" i="7"/>
  <c r="B13" i="7"/>
  <c r="AF13" i="7" s="1"/>
  <c r="K12" i="7"/>
  <c r="H12" i="7"/>
  <c r="E12" i="7"/>
  <c r="B12" i="7"/>
  <c r="AF12" i="7" s="1"/>
  <c r="K11" i="7"/>
  <c r="H11" i="7"/>
  <c r="E11" i="7"/>
  <c r="B11" i="7"/>
  <c r="AF11" i="7" s="1"/>
  <c r="K10" i="7"/>
  <c r="H10" i="7"/>
  <c r="E10" i="7"/>
  <c r="B10" i="7"/>
  <c r="AF10" i="7" s="1"/>
  <c r="K9" i="7"/>
  <c r="H9" i="7"/>
  <c r="E9" i="7"/>
  <c r="B9" i="7"/>
  <c r="AF9" i="7" s="1"/>
  <c r="K8" i="7"/>
  <c r="H8" i="7"/>
  <c r="E8" i="7"/>
  <c r="B8" i="7"/>
  <c r="AF8" i="7" s="1"/>
  <c r="K7" i="7"/>
  <c r="H7" i="7"/>
  <c r="E7" i="7"/>
  <c r="B7" i="7"/>
  <c r="AF7" i="7" s="1"/>
  <c r="K6" i="7"/>
  <c r="H6" i="7"/>
  <c r="E6" i="7"/>
  <c r="B6" i="7"/>
  <c r="AF6" i="7" s="1"/>
  <c r="K5" i="7"/>
  <c r="H5" i="7"/>
  <c r="E5" i="7"/>
  <c r="B5" i="7"/>
  <c r="AF5" i="7" s="1"/>
  <c r="AN5" i="5" l="1"/>
  <c r="AL11" i="5"/>
  <c r="AM11" i="5" s="1"/>
  <c r="AN11" i="5" s="1"/>
  <c r="AL12" i="5"/>
  <c r="AM12" i="5" s="1"/>
  <c r="AN12" i="5" s="1"/>
  <c r="AL13" i="5"/>
  <c r="AM13" i="5" s="1"/>
  <c r="AN13" i="5" s="1"/>
  <c r="AL14" i="5"/>
  <c r="AM14" i="5" s="1"/>
  <c r="AN14" i="5" s="1"/>
  <c r="AL15" i="5"/>
  <c r="AM15" i="5" s="1"/>
  <c r="AN15" i="5" s="1"/>
  <c r="AL16" i="5"/>
  <c r="AM16" i="5" s="1"/>
  <c r="AN16" i="5" s="1"/>
  <c r="AL17" i="5"/>
  <c r="AM17" i="5" s="1"/>
  <c r="AN17" i="5" s="1"/>
  <c r="AL18" i="5"/>
  <c r="AM18" i="5" s="1"/>
  <c r="AN18" i="5" s="1"/>
  <c r="AL19" i="5"/>
  <c r="AM19" i="5" s="1"/>
  <c r="AN19" i="5" s="1"/>
  <c r="AL20" i="5"/>
  <c r="AM20" i="5" s="1"/>
  <c r="AN20" i="5" s="1"/>
  <c r="AL21" i="5"/>
  <c r="AM21" i="5" s="1"/>
  <c r="AN21" i="5" s="1"/>
  <c r="AL22" i="5"/>
  <c r="AM22" i="5" s="1"/>
  <c r="AN22" i="5" s="1"/>
  <c r="AL23" i="5"/>
  <c r="AM23" i="5" s="1"/>
  <c r="AN23" i="5" s="1"/>
  <c r="AL24" i="5"/>
  <c r="AM24" i="5" s="1"/>
  <c r="AN24" i="5" s="1"/>
  <c r="AL25" i="5"/>
  <c r="AM25" i="5" s="1"/>
  <c r="AN25" i="5" s="1"/>
  <c r="AL26" i="5"/>
  <c r="AM26" i="5" s="1"/>
  <c r="AN26" i="5" s="1"/>
  <c r="AL27" i="5"/>
  <c r="AM27" i="5" s="1"/>
  <c r="AN27" i="5" s="1"/>
  <c r="AL28" i="5"/>
  <c r="AM28" i="5" s="1"/>
  <c r="AN28" i="5" s="1"/>
  <c r="AL29" i="5"/>
  <c r="AM29" i="5" s="1"/>
  <c r="AN29" i="5" s="1"/>
  <c r="AL30" i="5"/>
  <c r="AM30" i="5" s="1"/>
  <c r="AN30" i="5" s="1"/>
  <c r="AL31" i="5"/>
  <c r="AM31" i="5" s="1"/>
  <c r="AN31" i="5" s="1"/>
  <c r="AL32" i="5"/>
  <c r="AM32" i="5" s="1"/>
  <c r="AN32" i="5" s="1"/>
  <c r="AL33" i="5"/>
  <c r="AM33" i="5" s="1"/>
  <c r="AN33" i="5" s="1"/>
  <c r="AL34" i="5"/>
  <c r="AM34" i="5" s="1"/>
  <c r="AN34" i="5" s="1"/>
  <c r="AL35" i="5"/>
  <c r="AM35" i="5" s="1"/>
  <c r="AN35" i="5" s="1"/>
  <c r="AB35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AB13" i="6"/>
  <c r="AB12" i="6"/>
  <c r="AB11" i="6"/>
  <c r="AB10" i="6"/>
  <c r="AB9" i="6"/>
  <c r="AB8" i="6"/>
  <c r="AB7" i="6"/>
  <c r="AB6" i="6"/>
  <c r="AB5" i="6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C5" i="5"/>
  <c r="F5" i="5"/>
  <c r="G5" i="5" s="1"/>
  <c r="I5" i="5"/>
  <c r="J5" i="5" s="1"/>
  <c r="L5" i="5"/>
  <c r="M5" i="5" s="1"/>
  <c r="P5" i="5"/>
  <c r="Q5" i="5" s="1"/>
  <c r="S5" i="5"/>
  <c r="T5" i="5" s="1"/>
  <c r="V5" i="5"/>
  <c r="W5" i="5" s="1"/>
  <c r="Y5" i="5"/>
  <c r="Z5" i="5" s="1"/>
  <c r="AC5" i="5"/>
  <c r="AD5" i="5" s="1"/>
  <c r="C6" i="5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AC6" i="5"/>
  <c r="AD6" i="5" s="1"/>
  <c r="AF6" i="5"/>
  <c r="AG6" i="5"/>
  <c r="C7" i="5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AC7" i="5"/>
  <c r="AD7" i="5" s="1"/>
  <c r="AF7" i="5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AC8" i="5"/>
  <c r="AD8" i="5" s="1"/>
  <c r="AF8" i="5"/>
  <c r="C9" i="5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AC9" i="5"/>
  <c r="AD9" i="5" s="1"/>
  <c r="AF9" i="5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AC10" i="5"/>
  <c r="AD10" i="5" s="1"/>
  <c r="AF10" i="5"/>
  <c r="C11" i="5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AC11" i="5"/>
  <c r="AD11" i="5" s="1"/>
  <c r="AF11" i="5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AC12" i="5"/>
  <c r="AD12" i="5" s="1"/>
  <c r="AF12" i="5"/>
  <c r="C13" i="5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AC13" i="5"/>
  <c r="AD13" i="5" s="1"/>
  <c r="AF13" i="5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V14" i="5"/>
  <c r="W14" i="5" s="1"/>
  <c r="Y14" i="5"/>
  <c r="Z14" i="5" s="1"/>
  <c r="AC14" i="5"/>
  <c r="AD14" i="5" s="1"/>
  <c r="AF14" i="5"/>
  <c r="C15" i="5"/>
  <c r="F15" i="5"/>
  <c r="G15" i="5" s="1"/>
  <c r="I15" i="5"/>
  <c r="J15" i="5" s="1"/>
  <c r="L15" i="5"/>
  <c r="M15" i="5" s="1"/>
  <c r="P15" i="5"/>
  <c r="Q15" i="5" s="1"/>
  <c r="S15" i="5"/>
  <c r="T15" i="5" s="1"/>
  <c r="V15" i="5"/>
  <c r="W15" i="5" s="1"/>
  <c r="Y15" i="5"/>
  <c r="Z15" i="5" s="1"/>
  <c r="AC15" i="5"/>
  <c r="AD15" i="5" s="1"/>
  <c r="AF15" i="5"/>
  <c r="C16" i="5"/>
  <c r="D16" i="5" s="1"/>
  <c r="F16" i="5"/>
  <c r="G16" i="5" s="1"/>
  <c r="I16" i="5"/>
  <c r="J16" i="5" s="1"/>
  <c r="L16" i="5"/>
  <c r="M16" i="5" s="1"/>
  <c r="P16" i="5"/>
  <c r="Q16" i="5" s="1"/>
  <c r="S16" i="5"/>
  <c r="T16" i="5" s="1"/>
  <c r="V16" i="5"/>
  <c r="W16" i="5" s="1"/>
  <c r="Y16" i="5"/>
  <c r="Z16" i="5" s="1"/>
  <c r="AC16" i="5"/>
  <c r="AD16" i="5" s="1"/>
  <c r="AF16" i="5"/>
  <c r="AG16" i="5"/>
  <c r="C17" i="5"/>
  <c r="F17" i="5"/>
  <c r="G17" i="5" s="1"/>
  <c r="I17" i="5"/>
  <c r="J17" i="5" s="1"/>
  <c r="L17" i="5"/>
  <c r="M17" i="5" s="1"/>
  <c r="P17" i="5"/>
  <c r="Q17" i="5" s="1"/>
  <c r="S17" i="5"/>
  <c r="T17" i="5" s="1"/>
  <c r="V17" i="5"/>
  <c r="W17" i="5" s="1"/>
  <c r="Y17" i="5"/>
  <c r="Z17" i="5" s="1"/>
  <c r="AC17" i="5"/>
  <c r="AD17" i="5" s="1"/>
  <c r="AF17" i="5"/>
  <c r="C18" i="5"/>
  <c r="D18" i="5" s="1"/>
  <c r="F18" i="5"/>
  <c r="G18" i="5" s="1"/>
  <c r="I18" i="5"/>
  <c r="J18" i="5" s="1"/>
  <c r="L18" i="5"/>
  <c r="M18" i="5" s="1"/>
  <c r="P18" i="5"/>
  <c r="Q18" i="5" s="1"/>
  <c r="S18" i="5"/>
  <c r="T18" i="5" s="1"/>
  <c r="V18" i="5"/>
  <c r="W18" i="5" s="1"/>
  <c r="Y18" i="5"/>
  <c r="Z18" i="5" s="1"/>
  <c r="AC18" i="5"/>
  <c r="AD18" i="5" s="1"/>
  <c r="AF18" i="5"/>
  <c r="C19" i="5"/>
  <c r="F19" i="5"/>
  <c r="G19" i="5" s="1"/>
  <c r="I19" i="5"/>
  <c r="J19" i="5" s="1"/>
  <c r="L19" i="5"/>
  <c r="M19" i="5" s="1"/>
  <c r="P19" i="5"/>
  <c r="Q19" i="5" s="1"/>
  <c r="S19" i="5"/>
  <c r="T19" i="5" s="1"/>
  <c r="V19" i="5"/>
  <c r="W19" i="5" s="1"/>
  <c r="Y19" i="5"/>
  <c r="Z19" i="5" s="1"/>
  <c r="AC19" i="5"/>
  <c r="AD19" i="5" s="1"/>
  <c r="AF19" i="5"/>
  <c r="C20" i="5"/>
  <c r="D20" i="5" s="1"/>
  <c r="F20" i="5"/>
  <c r="G20" i="5" s="1"/>
  <c r="I20" i="5"/>
  <c r="J20" i="5" s="1"/>
  <c r="L20" i="5"/>
  <c r="M20" i="5" s="1"/>
  <c r="P20" i="5"/>
  <c r="Q20" i="5" s="1"/>
  <c r="S20" i="5"/>
  <c r="T20" i="5" s="1"/>
  <c r="V20" i="5"/>
  <c r="W20" i="5" s="1"/>
  <c r="Y20" i="5"/>
  <c r="Z20" i="5" s="1"/>
  <c r="AC20" i="5"/>
  <c r="AD20" i="5" s="1"/>
  <c r="AF20" i="5"/>
  <c r="AG20" i="5"/>
  <c r="C21" i="5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AC21" i="5"/>
  <c r="AD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AC22" i="5"/>
  <c r="AD22" i="5" s="1"/>
  <c r="AF22" i="5"/>
  <c r="C23" i="5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AC23" i="5"/>
  <c r="AD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AC24" i="5"/>
  <c r="AD24" i="5" s="1"/>
  <c r="AF24" i="5"/>
  <c r="C25" i="5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AC25" i="5"/>
  <c r="AD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AC26" i="5"/>
  <c r="AD26" i="5" s="1"/>
  <c r="AF26" i="5"/>
  <c r="C27" i="5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AC27" i="5"/>
  <c r="AD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AC28" i="5"/>
  <c r="AD28" i="5" s="1"/>
  <c r="AF28" i="5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AC29" i="5"/>
  <c r="AD29" i="5" s="1"/>
  <c r="AF29" i="5"/>
  <c r="C30" i="5"/>
  <c r="F30" i="5"/>
  <c r="G30" i="5" s="1"/>
  <c r="I30" i="5"/>
  <c r="L30" i="5"/>
  <c r="M30" i="5" s="1"/>
  <c r="P30" i="5"/>
  <c r="S30" i="5"/>
  <c r="T30" i="5" s="1"/>
  <c r="V30" i="5"/>
  <c r="Y30" i="5"/>
  <c r="Z30" i="5" s="1"/>
  <c r="AC30" i="5"/>
  <c r="AF30" i="5"/>
  <c r="C31" i="5"/>
  <c r="D31" i="5" s="1"/>
  <c r="F31" i="5"/>
  <c r="I31" i="5"/>
  <c r="J31" i="5" s="1"/>
  <c r="L31" i="5"/>
  <c r="P31" i="5"/>
  <c r="Q31" i="5" s="1"/>
  <c r="S31" i="5"/>
  <c r="V31" i="5"/>
  <c r="W31" i="5" s="1"/>
  <c r="Y31" i="5"/>
  <c r="Z31" i="5" s="1"/>
  <c r="AC31" i="5"/>
  <c r="AD31" i="5" s="1"/>
  <c r="AF31" i="5"/>
  <c r="AG31" i="5"/>
  <c r="C32" i="5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AC32" i="5"/>
  <c r="AD32" i="5" s="1"/>
  <c r="AF32" i="5"/>
  <c r="C33" i="5"/>
  <c r="D33" i="5" s="1"/>
  <c r="F33" i="5"/>
  <c r="G33" i="5" s="1"/>
  <c r="I33" i="5"/>
  <c r="J33" i="5" s="1"/>
  <c r="L33" i="5"/>
  <c r="M33" i="5" s="1"/>
  <c r="P33" i="5"/>
  <c r="Q33" i="5" s="1"/>
  <c r="S33" i="5"/>
  <c r="T33" i="5" s="1"/>
  <c r="V33" i="5"/>
  <c r="W33" i="5" s="1"/>
  <c r="Y33" i="5"/>
  <c r="Z33" i="5" s="1"/>
  <c r="AC33" i="5"/>
  <c r="AD33" i="5" s="1"/>
  <c r="AF33" i="5"/>
  <c r="AG33" i="5"/>
  <c r="C34" i="5"/>
  <c r="F34" i="5"/>
  <c r="G34" i="5" s="1"/>
  <c r="I34" i="5"/>
  <c r="J34" i="5" s="1"/>
  <c r="L34" i="5"/>
  <c r="M34" i="5" s="1"/>
  <c r="P34" i="5"/>
  <c r="Q34" i="5" s="1"/>
  <c r="S34" i="5"/>
  <c r="T34" i="5" s="1"/>
  <c r="V34" i="5"/>
  <c r="W34" i="5" s="1"/>
  <c r="Y34" i="5"/>
  <c r="Z34" i="5" s="1"/>
  <c r="AC34" i="5"/>
  <c r="AD34" i="5" s="1"/>
  <c r="AF34" i="5"/>
  <c r="C35" i="5"/>
  <c r="D35" i="5" s="1"/>
  <c r="F35" i="5"/>
  <c r="G35" i="5" s="1"/>
  <c r="I35" i="5"/>
  <c r="J35" i="5" s="1"/>
  <c r="L35" i="5"/>
  <c r="M35" i="5" s="1"/>
  <c r="P35" i="5"/>
  <c r="Q35" i="5" s="1"/>
  <c r="S35" i="5"/>
  <c r="T35" i="5" s="1"/>
  <c r="V35" i="5"/>
  <c r="W35" i="5" s="1"/>
  <c r="Y35" i="5"/>
  <c r="Z35" i="5" s="1"/>
  <c r="AC35" i="5"/>
  <c r="AD35" i="5" s="1"/>
  <c r="AF35" i="5"/>
  <c r="C5" i="12"/>
  <c r="F5" i="12"/>
  <c r="G5" i="12" s="1"/>
  <c r="I5" i="12"/>
  <c r="J5" i="12" s="1"/>
  <c r="L5" i="12"/>
  <c r="M5" i="12" s="1"/>
  <c r="P5" i="12"/>
  <c r="Q5" i="12" s="1"/>
  <c r="S5" i="12"/>
  <c r="T5" i="12" s="1"/>
  <c r="V5" i="12"/>
  <c r="W5" i="12" s="1"/>
  <c r="Y5" i="12"/>
  <c r="Z5" i="12" s="1"/>
  <c r="AC5" i="12"/>
  <c r="AD5" i="12" s="1"/>
  <c r="AF5" i="12"/>
  <c r="C6" i="12"/>
  <c r="F6" i="12"/>
  <c r="G6" i="12" s="1"/>
  <c r="I6" i="12"/>
  <c r="J6" i="12" s="1"/>
  <c r="L6" i="12"/>
  <c r="M6" i="12" s="1"/>
  <c r="P6" i="12"/>
  <c r="Q6" i="12" s="1"/>
  <c r="S6" i="12"/>
  <c r="T6" i="12" s="1"/>
  <c r="V6" i="12"/>
  <c r="W6" i="12" s="1"/>
  <c r="Y6" i="12"/>
  <c r="Z6" i="12" s="1"/>
  <c r="AC6" i="12"/>
  <c r="AD6" i="12" s="1"/>
  <c r="AF6" i="12"/>
  <c r="C7" i="12"/>
  <c r="F7" i="12"/>
  <c r="G7" i="12" s="1"/>
  <c r="I7" i="12"/>
  <c r="J7" i="12" s="1"/>
  <c r="L7" i="12"/>
  <c r="M7" i="12" s="1"/>
  <c r="P7" i="12"/>
  <c r="Q7" i="12" s="1"/>
  <c r="S7" i="12"/>
  <c r="T7" i="12" s="1"/>
  <c r="V7" i="12"/>
  <c r="W7" i="12" s="1"/>
  <c r="Y7" i="12"/>
  <c r="Z7" i="12" s="1"/>
  <c r="AC7" i="12"/>
  <c r="AD7" i="12" s="1"/>
  <c r="AF7" i="12"/>
  <c r="C8" i="12"/>
  <c r="F8" i="12"/>
  <c r="G8" i="12" s="1"/>
  <c r="I8" i="12"/>
  <c r="J8" i="12" s="1"/>
  <c r="L8" i="12"/>
  <c r="M8" i="12" s="1"/>
  <c r="P8" i="12"/>
  <c r="Q8" i="12" s="1"/>
  <c r="S8" i="12"/>
  <c r="T8" i="12" s="1"/>
  <c r="V8" i="12"/>
  <c r="W8" i="12" s="1"/>
  <c r="Y8" i="12"/>
  <c r="Z8" i="12" s="1"/>
  <c r="AC8" i="12"/>
  <c r="AD8" i="12" s="1"/>
  <c r="AF8" i="12"/>
  <c r="C9" i="12"/>
  <c r="F9" i="12"/>
  <c r="G9" i="12" s="1"/>
  <c r="I9" i="12"/>
  <c r="J9" i="12" s="1"/>
  <c r="L9" i="12"/>
  <c r="M9" i="12" s="1"/>
  <c r="P9" i="12"/>
  <c r="Q9" i="12" s="1"/>
  <c r="S9" i="12"/>
  <c r="T9" i="12" s="1"/>
  <c r="V9" i="12"/>
  <c r="W9" i="12" s="1"/>
  <c r="Y9" i="12"/>
  <c r="Z9" i="12" s="1"/>
  <c r="AC9" i="12"/>
  <c r="AD9" i="12" s="1"/>
  <c r="AF9" i="12"/>
  <c r="C10" i="12"/>
  <c r="F10" i="12"/>
  <c r="G10" i="12" s="1"/>
  <c r="I10" i="12"/>
  <c r="J10" i="12" s="1"/>
  <c r="L10" i="12"/>
  <c r="M10" i="12" s="1"/>
  <c r="P10" i="12"/>
  <c r="Q10" i="12" s="1"/>
  <c r="S10" i="12"/>
  <c r="T10" i="12" s="1"/>
  <c r="V10" i="12"/>
  <c r="W10" i="12" s="1"/>
  <c r="Y10" i="12"/>
  <c r="Z10" i="12" s="1"/>
  <c r="AC10" i="12"/>
  <c r="AD10" i="12" s="1"/>
  <c r="AF10" i="12"/>
  <c r="C11" i="12"/>
  <c r="F11" i="12"/>
  <c r="G11" i="12" s="1"/>
  <c r="I11" i="12"/>
  <c r="J11" i="12" s="1"/>
  <c r="L11" i="12"/>
  <c r="M11" i="12" s="1"/>
  <c r="P11" i="12"/>
  <c r="Q11" i="12" s="1"/>
  <c r="S11" i="12"/>
  <c r="T11" i="12" s="1"/>
  <c r="V11" i="12"/>
  <c r="W11" i="12" s="1"/>
  <c r="Y11" i="12"/>
  <c r="Z11" i="12" s="1"/>
  <c r="AC11" i="12"/>
  <c r="AD11" i="12" s="1"/>
  <c r="AF11" i="12"/>
  <c r="C12" i="12"/>
  <c r="F12" i="12"/>
  <c r="G12" i="12" s="1"/>
  <c r="I12" i="12"/>
  <c r="J12" i="12" s="1"/>
  <c r="L12" i="12"/>
  <c r="M12" i="12" s="1"/>
  <c r="P12" i="12"/>
  <c r="Q12" i="12" s="1"/>
  <c r="S12" i="12"/>
  <c r="T12" i="12" s="1"/>
  <c r="V12" i="12"/>
  <c r="W12" i="12" s="1"/>
  <c r="Y12" i="12"/>
  <c r="Z12" i="12" s="1"/>
  <c r="AC12" i="12"/>
  <c r="AD12" i="12" s="1"/>
  <c r="AF12" i="12"/>
  <c r="C13" i="12"/>
  <c r="F13" i="12"/>
  <c r="G13" i="12" s="1"/>
  <c r="I13" i="12"/>
  <c r="J13" i="12" s="1"/>
  <c r="L13" i="12"/>
  <c r="M13" i="12" s="1"/>
  <c r="P13" i="12"/>
  <c r="Q13" i="12" s="1"/>
  <c r="S13" i="12"/>
  <c r="T13" i="12" s="1"/>
  <c r="V13" i="12"/>
  <c r="W13" i="12" s="1"/>
  <c r="Y13" i="12"/>
  <c r="Z13" i="12" s="1"/>
  <c r="AC13" i="12"/>
  <c r="AD13" i="12" s="1"/>
  <c r="AF13" i="12"/>
  <c r="C14" i="12"/>
  <c r="F14" i="12"/>
  <c r="G14" i="12" s="1"/>
  <c r="I14" i="12"/>
  <c r="J14" i="12" s="1"/>
  <c r="L14" i="12"/>
  <c r="M14" i="12" s="1"/>
  <c r="P14" i="12"/>
  <c r="Q14" i="12" s="1"/>
  <c r="S14" i="12"/>
  <c r="T14" i="12" s="1"/>
  <c r="V14" i="12"/>
  <c r="W14" i="12" s="1"/>
  <c r="Y14" i="12"/>
  <c r="Z14" i="12" s="1"/>
  <c r="AC14" i="12"/>
  <c r="AD14" i="12" s="1"/>
  <c r="AF14" i="12"/>
  <c r="C15" i="12"/>
  <c r="F15" i="12"/>
  <c r="G15" i="12" s="1"/>
  <c r="I15" i="12"/>
  <c r="J15" i="12" s="1"/>
  <c r="L15" i="12"/>
  <c r="M15" i="12" s="1"/>
  <c r="P15" i="12"/>
  <c r="Q15" i="12" s="1"/>
  <c r="S15" i="12"/>
  <c r="T15" i="12" s="1"/>
  <c r="V15" i="12"/>
  <c r="W15" i="12" s="1"/>
  <c r="Y15" i="12"/>
  <c r="Z15" i="12" s="1"/>
  <c r="AC15" i="12"/>
  <c r="AD15" i="12" s="1"/>
  <c r="AF15" i="12"/>
  <c r="C16" i="12"/>
  <c r="F16" i="12"/>
  <c r="G16" i="12" s="1"/>
  <c r="I16" i="12"/>
  <c r="J16" i="12" s="1"/>
  <c r="L16" i="12"/>
  <c r="M16" i="12" s="1"/>
  <c r="P16" i="12"/>
  <c r="Q16" i="12" s="1"/>
  <c r="S16" i="12"/>
  <c r="T16" i="12" s="1"/>
  <c r="V16" i="12"/>
  <c r="W16" i="12" s="1"/>
  <c r="Y16" i="12"/>
  <c r="Z16" i="12" s="1"/>
  <c r="AC16" i="12"/>
  <c r="AD16" i="12" s="1"/>
  <c r="AF16" i="12"/>
  <c r="C17" i="12"/>
  <c r="F17" i="12"/>
  <c r="G17" i="12" s="1"/>
  <c r="I17" i="12"/>
  <c r="J17" i="12" s="1"/>
  <c r="L17" i="12"/>
  <c r="M17" i="12" s="1"/>
  <c r="P17" i="12"/>
  <c r="Q17" i="12" s="1"/>
  <c r="S17" i="12"/>
  <c r="T17" i="12" s="1"/>
  <c r="V17" i="12"/>
  <c r="W17" i="12" s="1"/>
  <c r="Y17" i="12"/>
  <c r="Z17" i="12" s="1"/>
  <c r="AC17" i="12"/>
  <c r="AD17" i="12" s="1"/>
  <c r="AF17" i="12"/>
  <c r="C18" i="12"/>
  <c r="F18" i="12"/>
  <c r="G18" i="12" s="1"/>
  <c r="I18" i="12"/>
  <c r="J18" i="12" s="1"/>
  <c r="L18" i="12"/>
  <c r="M18" i="12" s="1"/>
  <c r="P18" i="12"/>
  <c r="Q18" i="12" s="1"/>
  <c r="S18" i="12"/>
  <c r="T18" i="12" s="1"/>
  <c r="V18" i="12"/>
  <c r="W18" i="12" s="1"/>
  <c r="Y18" i="12"/>
  <c r="Z18" i="12" s="1"/>
  <c r="AC18" i="12"/>
  <c r="AD18" i="12" s="1"/>
  <c r="AF18" i="12"/>
  <c r="C19" i="12"/>
  <c r="F19" i="12"/>
  <c r="G19" i="12" s="1"/>
  <c r="I19" i="12"/>
  <c r="J19" i="12" s="1"/>
  <c r="L19" i="12"/>
  <c r="M19" i="12" s="1"/>
  <c r="P19" i="12"/>
  <c r="Q19" i="12" s="1"/>
  <c r="S19" i="12"/>
  <c r="T19" i="12" s="1"/>
  <c r="V19" i="12"/>
  <c r="W19" i="12" s="1"/>
  <c r="Y19" i="12"/>
  <c r="Z19" i="12" s="1"/>
  <c r="AC19" i="12"/>
  <c r="AD19" i="12" s="1"/>
  <c r="AF19" i="12"/>
  <c r="C20" i="12"/>
  <c r="F20" i="12"/>
  <c r="G20" i="12" s="1"/>
  <c r="I20" i="12"/>
  <c r="J20" i="12" s="1"/>
  <c r="L20" i="12"/>
  <c r="M20" i="12" s="1"/>
  <c r="P20" i="12"/>
  <c r="Q20" i="12" s="1"/>
  <c r="S20" i="12"/>
  <c r="T20" i="12" s="1"/>
  <c r="V20" i="12"/>
  <c r="W20" i="12" s="1"/>
  <c r="Y20" i="12"/>
  <c r="Z20" i="12" s="1"/>
  <c r="AC20" i="12"/>
  <c r="AD20" i="12" s="1"/>
  <c r="AF20" i="12"/>
  <c r="C21" i="12"/>
  <c r="F21" i="12"/>
  <c r="G21" i="12" s="1"/>
  <c r="I21" i="12"/>
  <c r="J21" i="12" s="1"/>
  <c r="L21" i="12"/>
  <c r="M21" i="12" s="1"/>
  <c r="P21" i="12"/>
  <c r="Q21" i="12" s="1"/>
  <c r="S21" i="12"/>
  <c r="V21" i="12"/>
  <c r="W21" i="12" s="1"/>
  <c r="Y21" i="12"/>
  <c r="AC21" i="12"/>
  <c r="AD21" i="12" s="1"/>
  <c r="AF21" i="12"/>
  <c r="C22" i="12"/>
  <c r="F22" i="12"/>
  <c r="G22" i="12" s="1"/>
  <c r="I22" i="12"/>
  <c r="L22" i="12"/>
  <c r="M22" i="12" s="1"/>
  <c r="P22" i="12"/>
  <c r="S22" i="12"/>
  <c r="T22" i="12" s="1"/>
  <c r="V22" i="12"/>
  <c r="Y22" i="12"/>
  <c r="Z22" i="12" s="1"/>
  <c r="AC22" i="12"/>
  <c r="AF22" i="12"/>
  <c r="C23" i="12"/>
  <c r="F23" i="12"/>
  <c r="G23" i="12" s="1"/>
  <c r="I23" i="12"/>
  <c r="J23" i="12" s="1"/>
  <c r="L23" i="12"/>
  <c r="M23" i="12" s="1"/>
  <c r="P23" i="12"/>
  <c r="Q23" i="12" s="1"/>
  <c r="S23" i="12"/>
  <c r="T23" i="12" s="1"/>
  <c r="V23" i="12"/>
  <c r="W23" i="12" s="1"/>
  <c r="Y23" i="12"/>
  <c r="Z23" i="12" s="1"/>
  <c r="AC23" i="12"/>
  <c r="AD23" i="12" s="1"/>
  <c r="AF23" i="12"/>
  <c r="C24" i="12"/>
  <c r="F24" i="12"/>
  <c r="G24" i="12" s="1"/>
  <c r="I24" i="12"/>
  <c r="J24" i="12" s="1"/>
  <c r="L24" i="12"/>
  <c r="P24" i="12"/>
  <c r="Q24" i="12" s="1"/>
  <c r="S24" i="12"/>
  <c r="T24" i="12" s="1"/>
  <c r="V24" i="12"/>
  <c r="W24" i="12" s="1"/>
  <c r="Y24" i="12"/>
  <c r="Z24" i="12" s="1"/>
  <c r="AC24" i="12"/>
  <c r="AD24" i="12" s="1"/>
  <c r="AF24" i="12"/>
  <c r="C25" i="12"/>
  <c r="F25" i="12"/>
  <c r="G25" i="12" s="1"/>
  <c r="I25" i="12"/>
  <c r="J25" i="12" s="1"/>
  <c r="L25" i="12"/>
  <c r="M25" i="12" s="1"/>
  <c r="P25" i="12"/>
  <c r="Q25" i="12" s="1"/>
  <c r="S25" i="12"/>
  <c r="T25" i="12" s="1"/>
  <c r="V25" i="12"/>
  <c r="W25" i="12" s="1"/>
  <c r="Y25" i="12"/>
  <c r="Z25" i="12" s="1"/>
  <c r="AC25" i="12"/>
  <c r="AD25" i="12" s="1"/>
  <c r="AF25" i="12"/>
  <c r="C26" i="12"/>
  <c r="F26" i="12"/>
  <c r="I26" i="12"/>
  <c r="J26" i="12" s="1"/>
  <c r="L26" i="12"/>
  <c r="M26" i="12" s="1"/>
  <c r="P26" i="12"/>
  <c r="Q26" i="12" s="1"/>
  <c r="S26" i="12"/>
  <c r="T26" i="12" s="1"/>
  <c r="V26" i="12"/>
  <c r="W26" i="12" s="1"/>
  <c r="Y26" i="12"/>
  <c r="Z26" i="12" s="1"/>
  <c r="AC26" i="12"/>
  <c r="AD26" i="12" s="1"/>
  <c r="AF26" i="12"/>
  <c r="C27" i="12"/>
  <c r="F27" i="12"/>
  <c r="G27" i="12" s="1"/>
  <c r="I27" i="12"/>
  <c r="J27" i="12" s="1"/>
  <c r="L27" i="12"/>
  <c r="M27" i="12" s="1"/>
  <c r="P27" i="12"/>
  <c r="Q27" i="12" s="1"/>
  <c r="S27" i="12"/>
  <c r="T27" i="12" s="1"/>
  <c r="V27" i="12"/>
  <c r="W27" i="12" s="1"/>
  <c r="Y27" i="12"/>
  <c r="Z27" i="12" s="1"/>
  <c r="AC27" i="12"/>
  <c r="AD27" i="12" s="1"/>
  <c r="C28" i="12"/>
  <c r="F28" i="12"/>
  <c r="G28" i="12" s="1"/>
  <c r="I28" i="12"/>
  <c r="J28" i="12" s="1"/>
  <c r="L28" i="12"/>
  <c r="M28" i="12" s="1"/>
  <c r="P28" i="12"/>
  <c r="Q28" i="12" s="1"/>
  <c r="S28" i="12"/>
  <c r="T28" i="12" s="1"/>
  <c r="V28" i="12"/>
  <c r="W28" i="12" s="1"/>
  <c r="Y28" i="12"/>
  <c r="Z28" i="12" s="1"/>
  <c r="AC28" i="12"/>
  <c r="AD28" i="12" s="1"/>
  <c r="AF28" i="12"/>
  <c r="C29" i="12"/>
  <c r="F29" i="12"/>
  <c r="G29" i="12" s="1"/>
  <c r="I29" i="12"/>
  <c r="J29" i="12" s="1"/>
  <c r="L29" i="12"/>
  <c r="M29" i="12" s="1"/>
  <c r="P29" i="12"/>
  <c r="Q29" i="12" s="1"/>
  <c r="S29" i="12"/>
  <c r="T29" i="12" s="1"/>
  <c r="V29" i="12"/>
  <c r="W29" i="12" s="1"/>
  <c r="Y29" i="12"/>
  <c r="Z29" i="12" s="1"/>
  <c r="AC29" i="12"/>
  <c r="AD29" i="12" s="1"/>
  <c r="C30" i="12"/>
  <c r="F30" i="12"/>
  <c r="G30" i="12" s="1"/>
  <c r="I30" i="12"/>
  <c r="J30" i="12" s="1"/>
  <c r="L30" i="12"/>
  <c r="M30" i="12" s="1"/>
  <c r="P30" i="12"/>
  <c r="Q30" i="12" s="1"/>
  <c r="S30" i="12"/>
  <c r="T30" i="12" s="1"/>
  <c r="V30" i="12"/>
  <c r="W30" i="12" s="1"/>
  <c r="Y30" i="12"/>
  <c r="Z30" i="12" s="1"/>
  <c r="AC30" i="12"/>
  <c r="AD30" i="12" s="1"/>
  <c r="AF30" i="12"/>
  <c r="C31" i="12"/>
  <c r="F31" i="12"/>
  <c r="G31" i="12" s="1"/>
  <c r="I31" i="12"/>
  <c r="J31" i="12" s="1"/>
  <c r="L31" i="12"/>
  <c r="M31" i="12" s="1"/>
  <c r="P31" i="12"/>
  <c r="Q31" i="12" s="1"/>
  <c r="S31" i="12"/>
  <c r="T31" i="12" s="1"/>
  <c r="V31" i="12"/>
  <c r="W31" i="12" s="1"/>
  <c r="Y31" i="12"/>
  <c r="Z31" i="12" s="1"/>
  <c r="AC31" i="12"/>
  <c r="AD31" i="12" s="1"/>
  <c r="C32" i="12"/>
  <c r="D32" i="12" s="1"/>
  <c r="F32" i="12"/>
  <c r="G32" i="12" s="1"/>
  <c r="I32" i="12"/>
  <c r="J32" i="12" s="1"/>
  <c r="L32" i="12"/>
  <c r="M32" i="12" s="1"/>
  <c r="P32" i="12"/>
  <c r="Q32" i="12" s="1"/>
  <c r="S32" i="12"/>
  <c r="T32" i="12" s="1"/>
  <c r="V32" i="12"/>
  <c r="W32" i="12" s="1"/>
  <c r="Y32" i="12"/>
  <c r="Z32" i="12" s="1"/>
  <c r="AC32" i="12"/>
  <c r="AD32" i="12" s="1"/>
  <c r="AF32" i="12"/>
  <c r="C33" i="12"/>
  <c r="F33" i="12"/>
  <c r="G33" i="12" s="1"/>
  <c r="I33" i="12"/>
  <c r="J33" i="12" s="1"/>
  <c r="L33" i="12"/>
  <c r="M33" i="12" s="1"/>
  <c r="P33" i="12"/>
  <c r="Q33" i="12" s="1"/>
  <c r="S33" i="12"/>
  <c r="T33" i="12" s="1"/>
  <c r="V33" i="12"/>
  <c r="W33" i="12" s="1"/>
  <c r="Y33" i="12"/>
  <c r="Z33" i="12" s="1"/>
  <c r="AC33" i="12"/>
  <c r="AD33" i="12" s="1"/>
  <c r="C34" i="12"/>
  <c r="D34" i="12" s="1"/>
  <c r="F34" i="12"/>
  <c r="G34" i="12" s="1"/>
  <c r="I34" i="12"/>
  <c r="J34" i="12" s="1"/>
  <c r="L34" i="12"/>
  <c r="M34" i="12" s="1"/>
  <c r="P34" i="12"/>
  <c r="Q34" i="12" s="1"/>
  <c r="S34" i="12"/>
  <c r="T34" i="12" s="1"/>
  <c r="V34" i="12"/>
  <c r="W34" i="12" s="1"/>
  <c r="Y34" i="12"/>
  <c r="Z34" i="12" s="1"/>
  <c r="AC34" i="12"/>
  <c r="AD34" i="12" s="1"/>
  <c r="AF34" i="12"/>
  <c r="B35" i="12"/>
  <c r="E35" i="12"/>
  <c r="H35" i="12"/>
  <c r="K35" i="12"/>
  <c r="O35" i="12"/>
  <c r="AF35" i="12" s="1"/>
  <c r="U35" i="12"/>
  <c r="AB35" i="12"/>
  <c r="C5" i="11"/>
  <c r="F5" i="11"/>
  <c r="G5" i="11" s="1"/>
  <c r="I5" i="11"/>
  <c r="J5" i="11" s="1"/>
  <c r="L5" i="11"/>
  <c r="M5" i="11" s="1"/>
  <c r="P5" i="11"/>
  <c r="Q5" i="11" s="1"/>
  <c r="S5" i="11"/>
  <c r="T5" i="11" s="1"/>
  <c r="V5" i="11"/>
  <c r="W5" i="11" s="1"/>
  <c r="Y5" i="11"/>
  <c r="Z5" i="11" s="1"/>
  <c r="AC5" i="11"/>
  <c r="AD5" i="11" s="1"/>
  <c r="AF5" i="11"/>
  <c r="C6" i="11"/>
  <c r="F6" i="11"/>
  <c r="G6" i="11" s="1"/>
  <c r="I6" i="11"/>
  <c r="J6" i="11" s="1"/>
  <c r="L6" i="11"/>
  <c r="P6" i="11"/>
  <c r="Q6" i="11" s="1"/>
  <c r="S6" i="11"/>
  <c r="T6" i="11" s="1"/>
  <c r="V6" i="11"/>
  <c r="W6" i="11" s="1"/>
  <c r="Y6" i="11"/>
  <c r="AC6" i="11"/>
  <c r="AD6" i="11" s="1"/>
  <c r="AF6" i="11"/>
  <c r="C7" i="11"/>
  <c r="F7" i="11"/>
  <c r="G7" i="11" s="1"/>
  <c r="I7" i="11"/>
  <c r="J7" i="11" s="1"/>
  <c r="L7" i="11"/>
  <c r="M7" i="11" s="1"/>
  <c r="P7" i="11"/>
  <c r="Q7" i="11" s="1"/>
  <c r="S7" i="11"/>
  <c r="T7" i="11" s="1"/>
  <c r="V7" i="11"/>
  <c r="W7" i="11" s="1"/>
  <c r="Y7" i="11"/>
  <c r="Z7" i="11" s="1"/>
  <c r="AC7" i="11"/>
  <c r="AD7" i="11" s="1"/>
  <c r="AF7" i="11"/>
  <c r="C8" i="11"/>
  <c r="F8" i="11"/>
  <c r="G8" i="11" s="1"/>
  <c r="I8" i="11"/>
  <c r="J8" i="11" s="1"/>
  <c r="L8" i="11"/>
  <c r="M8" i="11" s="1"/>
  <c r="P8" i="11"/>
  <c r="Q8" i="11" s="1"/>
  <c r="S8" i="11"/>
  <c r="T8" i="11" s="1"/>
  <c r="V8" i="11"/>
  <c r="W8" i="11" s="1"/>
  <c r="Y8" i="11"/>
  <c r="Z8" i="11" s="1"/>
  <c r="AC8" i="11"/>
  <c r="AD8" i="11" s="1"/>
  <c r="AF8" i="11"/>
  <c r="C9" i="11"/>
  <c r="D9" i="11" s="1"/>
  <c r="F9" i="11"/>
  <c r="G9" i="11" s="1"/>
  <c r="I9" i="11"/>
  <c r="J9" i="11" s="1"/>
  <c r="L9" i="11"/>
  <c r="M9" i="11" s="1"/>
  <c r="P9" i="11"/>
  <c r="Q9" i="11" s="1"/>
  <c r="S9" i="11"/>
  <c r="T9" i="11" s="1"/>
  <c r="V9" i="11"/>
  <c r="W9" i="11" s="1"/>
  <c r="Y9" i="11"/>
  <c r="Z9" i="11" s="1"/>
  <c r="AC9" i="11"/>
  <c r="AD9" i="11" s="1"/>
  <c r="AF9" i="11"/>
  <c r="C10" i="11"/>
  <c r="F10" i="11"/>
  <c r="I10" i="11"/>
  <c r="J10" i="11" s="1"/>
  <c r="L10" i="11"/>
  <c r="M10" i="11" s="1"/>
  <c r="P10" i="11"/>
  <c r="Q10" i="11" s="1"/>
  <c r="S10" i="11"/>
  <c r="V10" i="11"/>
  <c r="W10" i="11" s="1"/>
  <c r="Y10" i="11"/>
  <c r="Z10" i="11" s="1"/>
  <c r="AC10" i="11"/>
  <c r="AD10" i="11" s="1"/>
  <c r="C11" i="11"/>
  <c r="D11" i="11" s="1"/>
  <c r="F11" i="11"/>
  <c r="G11" i="11" s="1"/>
  <c r="I11" i="11"/>
  <c r="J11" i="11" s="1"/>
  <c r="L11" i="11"/>
  <c r="M11" i="11" s="1"/>
  <c r="P11" i="11"/>
  <c r="Q11" i="11" s="1"/>
  <c r="S11" i="11"/>
  <c r="T11" i="11" s="1"/>
  <c r="V11" i="11"/>
  <c r="W11" i="11" s="1"/>
  <c r="Y11" i="11"/>
  <c r="Z11" i="11" s="1"/>
  <c r="AC11" i="11"/>
  <c r="AD11" i="11" s="1"/>
  <c r="AF11" i="11"/>
  <c r="C12" i="11"/>
  <c r="F12" i="11"/>
  <c r="G12" i="11" s="1"/>
  <c r="I12" i="11"/>
  <c r="J12" i="11" s="1"/>
  <c r="L12" i="11"/>
  <c r="M12" i="11" s="1"/>
  <c r="P12" i="11"/>
  <c r="Q12" i="11" s="1"/>
  <c r="S12" i="11"/>
  <c r="T12" i="11" s="1"/>
  <c r="V12" i="11"/>
  <c r="W12" i="11" s="1"/>
  <c r="Y12" i="11"/>
  <c r="Z12" i="11" s="1"/>
  <c r="AC12" i="11"/>
  <c r="AD12" i="11" s="1"/>
  <c r="C13" i="11"/>
  <c r="D13" i="11" s="1"/>
  <c r="F13" i="11"/>
  <c r="G13" i="11" s="1"/>
  <c r="I13" i="11"/>
  <c r="L13" i="11"/>
  <c r="M13" i="11" s="1"/>
  <c r="P13" i="11"/>
  <c r="Q13" i="11" s="1"/>
  <c r="S13" i="11"/>
  <c r="T13" i="11" s="1"/>
  <c r="V13" i="11"/>
  <c r="W13" i="11" s="1"/>
  <c r="Y13" i="11"/>
  <c r="Z13" i="11" s="1"/>
  <c r="AC13" i="11"/>
  <c r="AD13" i="11" s="1"/>
  <c r="AF13" i="11"/>
  <c r="C14" i="11"/>
  <c r="F14" i="11"/>
  <c r="G14" i="11" s="1"/>
  <c r="I14" i="11"/>
  <c r="J14" i="11" s="1"/>
  <c r="L14" i="11"/>
  <c r="M14" i="11" s="1"/>
  <c r="P14" i="11"/>
  <c r="Q14" i="11" s="1"/>
  <c r="S14" i="11"/>
  <c r="T14" i="11" s="1"/>
  <c r="V14" i="11"/>
  <c r="W14" i="11" s="1"/>
  <c r="Y14" i="11"/>
  <c r="Z14" i="11" s="1"/>
  <c r="AC14" i="11"/>
  <c r="AD14" i="11" s="1"/>
  <c r="C15" i="11"/>
  <c r="D15" i="11" s="1"/>
  <c r="F15" i="11"/>
  <c r="G15" i="11" s="1"/>
  <c r="I15" i="11"/>
  <c r="J15" i="11" s="1"/>
  <c r="L15" i="11"/>
  <c r="M15" i="11" s="1"/>
  <c r="P15" i="11"/>
  <c r="Q15" i="11" s="1"/>
  <c r="S15" i="11"/>
  <c r="T15" i="11" s="1"/>
  <c r="V15" i="11"/>
  <c r="W15" i="11" s="1"/>
  <c r="Y15" i="11"/>
  <c r="Z15" i="11" s="1"/>
  <c r="AC15" i="11"/>
  <c r="AD15" i="11" s="1"/>
  <c r="AF15" i="11"/>
  <c r="C16" i="11"/>
  <c r="F16" i="11"/>
  <c r="G16" i="11" s="1"/>
  <c r="I16" i="11"/>
  <c r="J16" i="11" s="1"/>
  <c r="L16" i="11"/>
  <c r="M16" i="11" s="1"/>
  <c r="P16" i="11"/>
  <c r="Q16" i="11" s="1"/>
  <c r="S16" i="11"/>
  <c r="T16" i="11" s="1"/>
  <c r="V16" i="11"/>
  <c r="W16" i="11" s="1"/>
  <c r="Y16" i="11"/>
  <c r="Z16" i="11" s="1"/>
  <c r="AC16" i="11"/>
  <c r="AD16" i="11" s="1"/>
  <c r="C17" i="11"/>
  <c r="D17" i="11" s="1"/>
  <c r="F17" i="11"/>
  <c r="G17" i="11" s="1"/>
  <c r="I17" i="11"/>
  <c r="J17" i="11" s="1"/>
  <c r="L17" i="11"/>
  <c r="M17" i="11" s="1"/>
  <c r="P17" i="11"/>
  <c r="Q17" i="11" s="1"/>
  <c r="S17" i="11"/>
  <c r="T17" i="11" s="1"/>
  <c r="V17" i="11"/>
  <c r="W17" i="11" s="1"/>
  <c r="Y17" i="11"/>
  <c r="Z17" i="11" s="1"/>
  <c r="AC17" i="11"/>
  <c r="AD17" i="11" s="1"/>
  <c r="AF17" i="11"/>
  <c r="C18" i="11"/>
  <c r="F18" i="11"/>
  <c r="G18" i="11" s="1"/>
  <c r="I18" i="11"/>
  <c r="J18" i="11" s="1"/>
  <c r="L18" i="11"/>
  <c r="M18" i="11" s="1"/>
  <c r="P18" i="11"/>
  <c r="Q18" i="11" s="1"/>
  <c r="S18" i="11"/>
  <c r="T18" i="11" s="1"/>
  <c r="V18" i="11"/>
  <c r="W18" i="11" s="1"/>
  <c r="Y18" i="11"/>
  <c r="Z18" i="11" s="1"/>
  <c r="AC18" i="11"/>
  <c r="AD18" i="11" s="1"/>
  <c r="C19" i="11"/>
  <c r="D19" i="11" s="1"/>
  <c r="F19" i="11"/>
  <c r="G19" i="11" s="1"/>
  <c r="I19" i="11"/>
  <c r="J19" i="11" s="1"/>
  <c r="L19" i="11"/>
  <c r="M19" i="11" s="1"/>
  <c r="P19" i="11"/>
  <c r="Q19" i="11" s="1"/>
  <c r="S19" i="11"/>
  <c r="T19" i="11" s="1"/>
  <c r="V19" i="11"/>
  <c r="W19" i="11" s="1"/>
  <c r="Y19" i="11"/>
  <c r="Z19" i="11" s="1"/>
  <c r="AC19" i="11"/>
  <c r="AD19" i="11" s="1"/>
  <c r="AF19" i="11"/>
  <c r="C20" i="11"/>
  <c r="F20" i="11"/>
  <c r="G20" i="11" s="1"/>
  <c r="I20" i="11"/>
  <c r="J20" i="11" s="1"/>
  <c r="L20" i="11"/>
  <c r="M20" i="11" s="1"/>
  <c r="P20" i="11"/>
  <c r="Q20" i="11" s="1"/>
  <c r="S20" i="11"/>
  <c r="T20" i="11" s="1"/>
  <c r="V20" i="11"/>
  <c r="W20" i="11" s="1"/>
  <c r="Y20" i="11"/>
  <c r="Z20" i="11" s="1"/>
  <c r="AC20" i="11"/>
  <c r="AD20" i="11" s="1"/>
  <c r="C21" i="11"/>
  <c r="D21" i="11" s="1"/>
  <c r="F21" i="11"/>
  <c r="G21" i="11" s="1"/>
  <c r="I21" i="11"/>
  <c r="J21" i="11" s="1"/>
  <c r="L21" i="11"/>
  <c r="M21" i="11" s="1"/>
  <c r="P21" i="11"/>
  <c r="Q21" i="11" s="1"/>
  <c r="S21" i="11"/>
  <c r="T21" i="11" s="1"/>
  <c r="V21" i="11"/>
  <c r="W21" i="11" s="1"/>
  <c r="Y21" i="11"/>
  <c r="Z21" i="11" s="1"/>
  <c r="AC21" i="11"/>
  <c r="AD21" i="11" s="1"/>
  <c r="AF21" i="11"/>
  <c r="C22" i="11"/>
  <c r="F22" i="11"/>
  <c r="G22" i="11" s="1"/>
  <c r="I22" i="11"/>
  <c r="J22" i="11" s="1"/>
  <c r="L22" i="11"/>
  <c r="M22" i="11" s="1"/>
  <c r="P22" i="11"/>
  <c r="Q22" i="11" s="1"/>
  <c r="S22" i="11"/>
  <c r="T22" i="11" s="1"/>
  <c r="V22" i="11"/>
  <c r="W22" i="11" s="1"/>
  <c r="Y22" i="11"/>
  <c r="Z22" i="11" s="1"/>
  <c r="AC22" i="11"/>
  <c r="AD22" i="11" s="1"/>
  <c r="C23" i="11"/>
  <c r="D23" i="11" s="1"/>
  <c r="F23" i="11"/>
  <c r="G23" i="11" s="1"/>
  <c r="I23" i="11"/>
  <c r="J23" i="11" s="1"/>
  <c r="L23" i="11"/>
  <c r="M23" i="11" s="1"/>
  <c r="P23" i="11"/>
  <c r="Q23" i="11" s="1"/>
  <c r="S23" i="11"/>
  <c r="T23" i="11" s="1"/>
  <c r="V23" i="11"/>
  <c r="W23" i="11" s="1"/>
  <c r="Y23" i="11"/>
  <c r="Z23" i="11" s="1"/>
  <c r="AC23" i="11"/>
  <c r="AD23" i="11" s="1"/>
  <c r="AF23" i="11"/>
  <c r="C24" i="11"/>
  <c r="F24" i="11"/>
  <c r="G24" i="11" s="1"/>
  <c r="I24" i="11"/>
  <c r="J24" i="11" s="1"/>
  <c r="L24" i="11"/>
  <c r="M24" i="11" s="1"/>
  <c r="P24" i="11"/>
  <c r="Q24" i="11" s="1"/>
  <c r="S24" i="11"/>
  <c r="T24" i="11" s="1"/>
  <c r="V24" i="11"/>
  <c r="W24" i="11" s="1"/>
  <c r="Y24" i="11"/>
  <c r="Z24" i="11" s="1"/>
  <c r="AC24" i="11"/>
  <c r="AD24" i="11" s="1"/>
  <c r="C25" i="11"/>
  <c r="D25" i="11" s="1"/>
  <c r="F25" i="11"/>
  <c r="G25" i="11" s="1"/>
  <c r="I25" i="11"/>
  <c r="J25" i="11" s="1"/>
  <c r="L25" i="11"/>
  <c r="M25" i="11" s="1"/>
  <c r="P25" i="11"/>
  <c r="Q25" i="11" s="1"/>
  <c r="S25" i="11"/>
  <c r="T25" i="11" s="1"/>
  <c r="V25" i="11"/>
  <c r="W25" i="11" s="1"/>
  <c r="Y25" i="11"/>
  <c r="Z25" i="11" s="1"/>
  <c r="AC25" i="11"/>
  <c r="AD25" i="11" s="1"/>
  <c r="AF25" i="11"/>
  <c r="C26" i="11"/>
  <c r="F26" i="11"/>
  <c r="G26" i="11" s="1"/>
  <c r="I26" i="11"/>
  <c r="J26" i="11" s="1"/>
  <c r="L26" i="11"/>
  <c r="M26" i="11" s="1"/>
  <c r="P26" i="11"/>
  <c r="Q26" i="11" s="1"/>
  <c r="S26" i="11"/>
  <c r="T26" i="11" s="1"/>
  <c r="V26" i="11"/>
  <c r="W26" i="11" s="1"/>
  <c r="Y26" i="11"/>
  <c r="Z26" i="11" s="1"/>
  <c r="AC26" i="11"/>
  <c r="AD26" i="11" s="1"/>
  <c r="C27" i="11"/>
  <c r="D27" i="11" s="1"/>
  <c r="F27" i="11"/>
  <c r="G27" i="11" s="1"/>
  <c r="I27" i="11"/>
  <c r="J27" i="11" s="1"/>
  <c r="L27" i="11"/>
  <c r="M27" i="11" s="1"/>
  <c r="P27" i="11"/>
  <c r="Q27" i="11" s="1"/>
  <c r="S27" i="11"/>
  <c r="T27" i="11" s="1"/>
  <c r="V27" i="11"/>
  <c r="W27" i="11" s="1"/>
  <c r="Y27" i="11"/>
  <c r="Z27" i="11" s="1"/>
  <c r="AC27" i="11"/>
  <c r="AD27" i="11" s="1"/>
  <c r="AF27" i="11"/>
  <c r="C28" i="11"/>
  <c r="F28" i="11"/>
  <c r="G28" i="11" s="1"/>
  <c r="I28" i="11"/>
  <c r="J28" i="11" s="1"/>
  <c r="L28" i="11"/>
  <c r="M28" i="11" s="1"/>
  <c r="P28" i="11"/>
  <c r="Q28" i="11" s="1"/>
  <c r="S28" i="11"/>
  <c r="T28" i="11" s="1"/>
  <c r="V28" i="11"/>
  <c r="W28" i="11" s="1"/>
  <c r="Y28" i="11"/>
  <c r="Z28" i="11" s="1"/>
  <c r="AC28" i="11"/>
  <c r="AD28" i="11" s="1"/>
  <c r="C29" i="11"/>
  <c r="D29" i="11" s="1"/>
  <c r="F29" i="11"/>
  <c r="G29" i="11" s="1"/>
  <c r="I29" i="11"/>
  <c r="J29" i="11" s="1"/>
  <c r="L29" i="11"/>
  <c r="M29" i="11" s="1"/>
  <c r="P29" i="11"/>
  <c r="Q29" i="11" s="1"/>
  <c r="S29" i="11"/>
  <c r="T29" i="11" s="1"/>
  <c r="V29" i="11"/>
  <c r="W29" i="11" s="1"/>
  <c r="Y29" i="11"/>
  <c r="Z29" i="11" s="1"/>
  <c r="AC29" i="11"/>
  <c r="AD29" i="11" s="1"/>
  <c r="AF29" i="11"/>
  <c r="C30" i="11"/>
  <c r="F30" i="11"/>
  <c r="G30" i="11" s="1"/>
  <c r="I30" i="11"/>
  <c r="J30" i="11" s="1"/>
  <c r="L30" i="11"/>
  <c r="M30" i="11" s="1"/>
  <c r="P30" i="11"/>
  <c r="Q30" i="11" s="1"/>
  <c r="S30" i="11"/>
  <c r="T30" i="11" s="1"/>
  <c r="V30" i="11"/>
  <c r="W30" i="11" s="1"/>
  <c r="Y30" i="11"/>
  <c r="Z30" i="11" s="1"/>
  <c r="AC30" i="11"/>
  <c r="AD30" i="11" s="1"/>
  <c r="C31" i="11"/>
  <c r="D31" i="11" s="1"/>
  <c r="F31" i="11"/>
  <c r="G31" i="11" s="1"/>
  <c r="I31" i="11"/>
  <c r="J31" i="11" s="1"/>
  <c r="L31" i="11"/>
  <c r="M31" i="11" s="1"/>
  <c r="P31" i="11"/>
  <c r="Q31" i="11" s="1"/>
  <c r="S31" i="11"/>
  <c r="T31" i="11" s="1"/>
  <c r="V31" i="11"/>
  <c r="W31" i="11" s="1"/>
  <c r="Y31" i="11"/>
  <c r="Z31" i="11" s="1"/>
  <c r="AC31" i="11"/>
  <c r="AD31" i="11" s="1"/>
  <c r="AF31" i="11"/>
  <c r="C32" i="11"/>
  <c r="F32" i="11"/>
  <c r="G32" i="11" s="1"/>
  <c r="I32" i="11"/>
  <c r="J32" i="11" s="1"/>
  <c r="L32" i="11"/>
  <c r="M32" i="11" s="1"/>
  <c r="P32" i="11"/>
  <c r="Q32" i="11" s="1"/>
  <c r="S32" i="11"/>
  <c r="T32" i="11" s="1"/>
  <c r="V32" i="11"/>
  <c r="W32" i="11" s="1"/>
  <c r="Y32" i="11"/>
  <c r="Z32" i="11" s="1"/>
  <c r="AC32" i="11"/>
  <c r="AD32" i="11" s="1"/>
  <c r="C33" i="11"/>
  <c r="D33" i="11" s="1"/>
  <c r="F33" i="11"/>
  <c r="G33" i="11" s="1"/>
  <c r="I33" i="11"/>
  <c r="J33" i="11" s="1"/>
  <c r="L33" i="11"/>
  <c r="M33" i="11" s="1"/>
  <c r="P33" i="11"/>
  <c r="Q33" i="11" s="1"/>
  <c r="S33" i="11"/>
  <c r="T33" i="11" s="1"/>
  <c r="V33" i="11"/>
  <c r="W33" i="11" s="1"/>
  <c r="Y33" i="11"/>
  <c r="Z33" i="11" s="1"/>
  <c r="AC33" i="11"/>
  <c r="AD33" i="11" s="1"/>
  <c r="AF33" i="11"/>
  <c r="C34" i="11"/>
  <c r="F34" i="11"/>
  <c r="G34" i="11" s="1"/>
  <c r="I34" i="11"/>
  <c r="J34" i="11" s="1"/>
  <c r="L34" i="11"/>
  <c r="M34" i="11" s="1"/>
  <c r="P34" i="11"/>
  <c r="Q34" i="11" s="1"/>
  <c r="S34" i="11"/>
  <c r="T34" i="11" s="1"/>
  <c r="V34" i="11"/>
  <c r="W34" i="11" s="1"/>
  <c r="Y34" i="11"/>
  <c r="Z34" i="11" s="1"/>
  <c r="AC34" i="11"/>
  <c r="AD34" i="11" s="1"/>
  <c r="C35" i="11"/>
  <c r="D35" i="11" s="1"/>
  <c r="AH35" i="11" s="1"/>
  <c r="F35" i="11"/>
  <c r="G35" i="11" s="1"/>
  <c r="I35" i="11"/>
  <c r="J35" i="11" s="1"/>
  <c r="L35" i="11"/>
  <c r="M35" i="11" s="1"/>
  <c r="P35" i="11"/>
  <c r="Q35" i="11" s="1"/>
  <c r="S35" i="11"/>
  <c r="T35" i="11" s="1"/>
  <c r="V35" i="11"/>
  <c r="W35" i="11" s="1"/>
  <c r="Y35" i="11"/>
  <c r="Z35" i="11" s="1"/>
  <c r="AC35" i="11"/>
  <c r="AD35" i="11" s="1"/>
  <c r="AF35" i="11"/>
  <c r="C5" i="10"/>
  <c r="F5" i="10"/>
  <c r="G5" i="10" s="1"/>
  <c r="I5" i="10"/>
  <c r="J5" i="10" s="1"/>
  <c r="L5" i="10"/>
  <c r="M5" i="10" s="1"/>
  <c r="P5" i="10"/>
  <c r="Q5" i="10" s="1"/>
  <c r="S5" i="10"/>
  <c r="T5" i="10" s="1"/>
  <c r="V5" i="10"/>
  <c r="W5" i="10" s="1"/>
  <c r="Y5" i="10"/>
  <c r="Z5" i="10" s="1"/>
  <c r="AC5" i="10"/>
  <c r="AF5" i="10"/>
  <c r="C6" i="10"/>
  <c r="D6" i="10" s="1"/>
  <c r="F6" i="10"/>
  <c r="I6" i="10"/>
  <c r="J6" i="10" s="1"/>
  <c r="L6" i="10"/>
  <c r="P6" i="10"/>
  <c r="Q6" i="10" s="1"/>
  <c r="S6" i="10"/>
  <c r="V6" i="10"/>
  <c r="W6" i="10" s="1"/>
  <c r="Y6" i="10"/>
  <c r="AC6" i="10"/>
  <c r="AD6" i="10" s="1"/>
  <c r="AF6" i="10"/>
  <c r="C7" i="10"/>
  <c r="F7" i="10"/>
  <c r="G7" i="10" s="1"/>
  <c r="I7" i="10"/>
  <c r="L7" i="10"/>
  <c r="M7" i="10" s="1"/>
  <c r="P7" i="10"/>
  <c r="S7" i="10"/>
  <c r="T7" i="10" s="1"/>
  <c r="V7" i="10"/>
  <c r="Y7" i="10"/>
  <c r="Z7" i="10" s="1"/>
  <c r="AC7" i="10"/>
  <c r="AD7" i="10" s="1"/>
  <c r="C8" i="10"/>
  <c r="D8" i="10" s="1"/>
  <c r="F8" i="10"/>
  <c r="G8" i="10" s="1"/>
  <c r="I8" i="10"/>
  <c r="J8" i="10" s="1"/>
  <c r="L8" i="10"/>
  <c r="M8" i="10" s="1"/>
  <c r="P8" i="10"/>
  <c r="Q8" i="10" s="1"/>
  <c r="S8" i="10"/>
  <c r="T8" i="10" s="1"/>
  <c r="V8" i="10"/>
  <c r="W8" i="10" s="1"/>
  <c r="Y8" i="10"/>
  <c r="Z8" i="10" s="1"/>
  <c r="AC8" i="10"/>
  <c r="AD8" i="10" s="1"/>
  <c r="AF8" i="10"/>
  <c r="C9" i="10"/>
  <c r="F9" i="10"/>
  <c r="G9" i="10" s="1"/>
  <c r="I9" i="10"/>
  <c r="J9" i="10" s="1"/>
  <c r="L9" i="10"/>
  <c r="M9" i="10" s="1"/>
  <c r="P9" i="10"/>
  <c r="Q9" i="10" s="1"/>
  <c r="S9" i="10"/>
  <c r="T9" i="10" s="1"/>
  <c r="V9" i="10"/>
  <c r="W9" i="10" s="1"/>
  <c r="Y9" i="10"/>
  <c r="Z9" i="10" s="1"/>
  <c r="AC9" i="10"/>
  <c r="AD9" i="10" s="1"/>
  <c r="C10" i="10"/>
  <c r="D10" i="10" s="1"/>
  <c r="F10" i="10"/>
  <c r="G10" i="10" s="1"/>
  <c r="I10" i="10"/>
  <c r="J10" i="10" s="1"/>
  <c r="L10" i="10"/>
  <c r="M10" i="10" s="1"/>
  <c r="P10" i="10"/>
  <c r="Q10" i="10" s="1"/>
  <c r="S10" i="10"/>
  <c r="T10" i="10" s="1"/>
  <c r="V10" i="10"/>
  <c r="W10" i="10" s="1"/>
  <c r="Y10" i="10"/>
  <c r="Z10" i="10" s="1"/>
  <c r="AC10" i="10"/>
  <c r="AD10" i="10" s="1"/>
  <c r="AF10" i="10"/>
  <c r="C11" i="10"/>
  <c r="F11" i="10"/>
  <c r="G11" i="10" s="1"/>
  <c r="I11" i="10"/>
  <c r="J11" i="10" s="1"/>
  <c r="L11" i="10"/>
  <c r="M11" i="10" s="1"/>
  <c r="P11" i="10"/>
  <c r="Q11" i="10" s="1"/>
  <c r="S11" i="10"/>
  <c r="T11" i="10" s="1"/>
  <c r="V11" i="10"/>
  <c r="W11" i="10" s="1"/>
  <c r="Y11" i="10"/>
  <c r="Z11" i="10" s="1"/>
  <c r="AC11" i="10"/>
  <c r="AD11" i="10" s="1"/>
  <c r="C12" i="10"/>
  <c r="D12" i="10" s="1"/>
  <c r="F12" i="10"/>
  <c r="G12" i="10" s="1"/>
  <c r="I12" i="10"/>
  <c r="J12" i="10" s="1"/>
  <c r="L12" i="10"/>
  <c r="M12" i="10" s="1"/>
  <c r="P12" i="10"/>
  <c r="Q12" i="10" s="1"/>
  <c r="S12" i="10"/>
  <c r="T12" i="10" s="1"/>
  <c r="V12" i="10"/>
  <c r="W12" i="10" s="1"/>
  <c r="Y12" i="10"/>
  <c r="Z12" i="10" s="1"/>
  <c r="AC12" i="10"/>
  <c r="AD12" i="10" s="1"/>
  <c r="AF12" i="10"/>
  <c r="C13" i="10"/>
  <c r="F13" i="10"/>
  <c r="G13" i="10" s="1"/>
  <c r="I13" i="10"/>
  <c r="J13" i="10" s="1"/>
  <c r="L13" i="10"/>
  <c r="M13" i="10" s="1"/>
  <c r="P13" i="10"/>
  <c r="Q13" i="10" s="1"/>
  <c r="S13" i="10"/>
  <c r="T13" i="10" s="1"/>
  <c r="V13" i="10"/>
  <c r="W13" i="10" s="1"/>
  <c r="Y13" i="10"/>
  <c r="Z13" i="10" s="1"/>
  <c r="AC13" i="10"/>
  <c r="AD13" i="10" s="1"/>
  <c r="C14" i="10"/>
  <c r="D14" i="10" s="1"/>
  <c r="F14" i="10"/>
  <c r="G14" i="10" s="1"/>
  <c r="I14" i="10"/>
  <c r="J14" i="10" s="1"/>
  <c r="L14" i="10"/>
  <c r="M14" i="10" s="1"/>
  <c r="P14" i="10"/>
  <c r="Q14" i="10" s="1"/>
  <c r="S14" i="10"/>
  <c r="T14" i="10" s="1"/>
  <c r="V14" i="10"/>
  <c r="W14" i="10" s="1"/>
  <c r="Y14" i="10"/>
  <c r="Z14" i="10" s="1"/>
  <c r="AC14" i="10"/>
  <c r="AD14" i="10" s="1"/>
  <c r="AF14" i="10"/>
  <c r="C15" i="10"/>
  <c r="F15" i="10"/>
  <c r="G15" i="10" s="1"/>
  <c r="I15" i="10"/>
  <c r="J15" i="10" s="1"/>
  <c r="L15" i="10"/>
  <c r="M15" i="10" s="1"/>
  <c r="P15" i="10"/>
  <c r="Q15" i="10" s="1"/>
  <c r="S15" i="10"/>
  <c r="T15" i="10" s="1"/>
  <c r="V15" i="10"/>
  <c r="W15" i="10" s="1"/>
  <c r="Y15" i="10"/>
  <c r="Z15" i="10" s="1"/>
  <c r="AC15" i="10"/>
  <c r="AD15" i="10" s="1"/>
  <c r="C16" i="10"/>
  <c r="D16" i="10" s="1"/>
  <c r="F16" i="10"/>
  <c r="G16" i="10" s="1"/>
  <c r="I16" i="10"/>
  <c r="J16" i="10" s="1"/>
  <c r="L16" i="10"/>
  <c r="M16" i="10" s="1"/>
  <c r="P16" i="10"/>
  <c r="Q16" i="10" s="1"/>
  <c r="S16" i="10"/>
  <c r="T16" i="10" s="1"/>
  <c r="V16" i="10"/>
  <c r="W16" i="10" s="1"/>
  <c r="Y16" i="10"/>
  <c r="Z16" i="10" s="1"/>
  <c r="AC16" i="10"/>
  <c r="AD16" i="10" s="1"/>
  <c r="AF16" i="10"/>
  <c r="C17" i="10"/>
  <c r="F17" i="10"/>
  <c r="G17" i="10" s="1"/>
  <c r="I17" i="10"/>
  <c r="J17" i="10" s="1"/>
  <c r="L17" i="10"/>
  <c r="M17" i="10" s="1"/>
  <c r="P17" i="10"/>
  <c r="Q17" i="10" s="1"/>
  <c r="S17" i="10"/>
  <c r="T17" i="10" s="1"/>
  <c r="V17" i="10"/>
  <c r="W17" i="10" s="1"/>
  <c r="Y17" i="10"/>
  <c r="Z17" i="10" s="1"/>
  <c r="AC17" i="10"/>
  <c r="AD17" i="10" s="1"/>
  <c r="C18" i="10"/>
  <c r="D18" i="10" s="1"/>
  <c r="F18" i="10"/>
  <c r="G18" i="10" s="1"/>
  <c r="I18" i="10"/>
  <c r="J18" i="10" s="1"/>
  <c r="L18" i="10"/>
  <c r="M18" i="10" s="1"/>
  <c r="P18" i="10"/>
  <c r="Q18" i="10" s="1"/>
  <c r="S18" i="10"/>
  <c r="T18" i="10" s="1"/>
  <c r="V18" i="10"/>
  <c r="W18" i="10" s="1"/>
  <c r="Y18" i="10"/>
  <c r="Z18" i="10" s="1"/>
  <c r="AC18" i="10"/>
  <c r="AD18" i="10" s="1"/>
  <c r="AF18" i="10"/>
  <c r="C19" i="10"/>
  <c r="F19" i="10"/>
  <c r="G19" i="10" s="1"/>
  <c r="I19" i="10"/>
  <c r="J19" i="10" s="1"/>
  <c r="L19" i="10"/>
  <c r="M19" i="10" s="1"/>
  <c r="P19" i="10"/>
  <c r="Q19" i="10" s="1"/>
  <c r="S19" i="10"/>
  <c r="T19" i="10" s="1"/>
  <c r="V19" i="10"/>
  <c r="W19" i="10" s="1"/>
  <c r="Y19" i="10"/>
  <c r="Z19" i="10" s="1"/>
  <c r="AC19" i="10"/>
  <c r="AD19" i="10" s="1"/>
  <c r="C20" i="10"/>
  <c r="D20" i="10" s="1"/>
  <c r="F20" i="10"/>
  <c r="G20" i="10" s="1"/>
  <c r="I20" i="10"/>
  <c r="J20" i="10" s="1"/>
  <c r="L20" i="10"/>
  <c r="M20" i="10" s="1"/>
  <c r="P20" i="10"/>
  <c r="Q20" i="10" s="1"/>
  <c r="S20" i="10"/>
  <c r="T20" i="10" s="1"/>
  <c r="V20" i="10"/>
  <c r="W20" i="10" s="1"/>
  <c r="Y20" i="10"/>
  <c r="Z20" i="10" s="1"/>
  <c r="AC20" i="10"/>
  <c r="AD20" i="10" s="1"/>
  <c r="AF20" i="10"/>
  <c r="C21" i="10"/>
  <c r="F21" i="10"/>
  <c r="G21" i="10" s="1"/>
  <c r="I21" i="10"/>
  <c r="J21" i="10" s="1"/>
  <c r="L21" i="10"/>
  <c r="M21" i="10" s="1"/>
  <c r="P21" i="10"/>
  <c r="Q21" i="10" s="1"/>
  <c r="S21" i="10"/>
  <c r="T21" i="10" s="1"/>
  <c r="V21" i="10"/>
  <c r="W21" i="10" s="1"/>
  <c r="Y21" i="10"/>
  <c r="Z21" i="10" s="1"/>
  <c r="AC21" i="10"/>
  <c r="AD21" i="10" s="1"/>
  <c r="C22" i="10"/>
  <c r="D22" i="10" s="1"/>
  <c r="F22" i="10"/>
  <c r="G22" i="10" s="1"/>
  <c r="I22" i="10"/>
  <c r="J22" i="10" s="1"/>
  <c r="L22" i="10"/>
  <c r="M22" i="10" s="1"/>
  <c r="P22" i="10"/>
  <c r="Q22" i="10" s="1"/>
  <c r="S22" i="10"/>
  <c r="T22" i="10" s="1"/>
  <c r="V22" i="10"/>
  <c r="W22" i="10" s="1"/>
  <c r="Y22" i="10"/>
  <c r="Z22" i="10" s="1"/>
  <c r="AC22" i="10"/>
  <c r="AD22" i="10" s="1"/>
  <c r="AF22" i="10"/>
  <c r="C23" i="10"/>
  <c r="F23" i="10"/>
  <c r="G23" i="10" s="1"/>
  <c r="I23" i="10"/>
  <c r="J23" i="10" s="1"/>
  <c r="L23" i="10"/>
  <c r="M23" i="10" s="1"/>
  <c r="P23" i="10"/>
  <c r="Q23" i="10" s="1"/>
  <c r="S23" i="10"/>
  <c r="T23" i="10" s="1"/>
  <c r="V23" i="10"/>
  <c r="W23" i="10" s="1"/>
  <c r="Y23" i="10"/>
  <c r="Z23" i="10" s="1"/>
  <c r="AC23" i="10"/>
  <c r="AD23" i="10" s="1"/>
  <c r="C24" i="10"/>
  <c r="D24" i="10" s="1"/>
  <c r="F24" i="10"/>
  <c r="G24" i="10" s="1"/>
  <c r="I24" i="10"/>
  <c r="J24" i="10" s="1"/>
  <c r="L24" i="10"/>
  <c r="M24" i="10" s="1"/>
  <c r="P24" i="10"/>
  <c r="Q24" i="10" s="1"/>
  <c r="S24" i="10"/>
  <c r="T24" i="10" s="1"/>
  <c r="V24" i="10"/>
  <c r="W24" i="10" s="1"/>
  <c r="Y24" i="10"/>
  <c r="Z24" i="10" s="1"/>
  <c r="AC24" i="10"/>
  <c r="AD24" i="10" s="1"/>
  <c r="AF24" i="10"/>
  <c r="C25" i="10"/>
  <c r="F25" i="10"/>
  <c r="G25" i="10" s="1"/>
  <c r="I25" i="10"/>
  <c r="J25" i="10" s="1"/>
  <c r="L25" i="10"/>
  <c r="M25" i="10" s="1"/>
  <c r="P25" i="10"/>
  <c r="Q25" i="10" s="1"/>
  <c r="S25" i="10"/>
  <c r="T25" i="10" s="1"/>
  <c r="V25" i="10"/>
  <c r="W25" i="10" s="1"/>
  <c r="Y25" i="10"/>
  <c r="Z25" i="10" s="1"/>
  <c r="AC25" i="10"/>
  <c r="AD25" i="10" s="1"/>
  <c r="C26" i="10"/>
  <c r="D26" i="10" s="1"/>
  <c r="F26" i="10"/>
  <c r="G26" i="10" s="1"/>
  <c r="I26" i="10"/>
  <c r="J26" i="10" s="1"/>
  <c r="L26" i="10"/>
  <c r="M26" i="10" s="1"/>
  <c r="P26" i="10"/>
  <c r="Q26" i="10" s="1"/>
  <c r="S26" i="10"/>
  <c r="T26" i="10" s="1"/>
  <c r="V26" i="10"/>
  <c r="W26" i="10" s="1"/>
  <c r="Y26" i="10"/>
  <c r="Z26" i="10" s="1"/>
  <c r="AC26" i="10"/>
  <c r="AD26" i="10" s="1"/>
  <c r="AF26" i="10"/>
  <c r="C27" i="10"/>
  <c r="F27" i="10"/>
  <c r="G27" i="10" s="1"/>
  <c r="I27" i="10"/>
  <c r="J27" i="10" s="1"/>
  <c r="L27" i="10"/>
  <c r="M27" i="10" s="1"/>
  <c r="P27" i="10"/>
  <c r="Q27" i="10" s="1"/>
  <c r="S27" i="10"/>
  <c r="T27" i="10" s="1"/>
  <c r="V27" i="10"/>
  <c r="W27" i="10" s="1"/>
  <c r="Y27" i="10"/>
  <c r="Z27" i="10" s="1"/>
  <c r="AC27" i="10"/>
  <c r="AD27" i="10" s="1"/>
  <c r="C28" i="10"/>
  <c r="D28" i="10" s="1"/>
  <c r="F28" i="10"/>
  <c r="G28" i="10" s="1"/>
  <c r="I28" i="10"/>
  <c r="J28" i="10" s="1"/>
  <c r="L28" i="10"/>
  <c r="M28" i="10" s="1"/>
  <c r="P28" i="10"/>
  <c r="Q28" i="10" s="1"/>
  <c r="S28" i="10"/>
  <c r="T28" i="10" s="1"/>
  <c r="V28" i="10"/>
  <c r="W28" i="10" s="1"/>
  <c r="Y28" i="10"/>
  <c r="Z28" i="10" s="1"/>
  <c r="AC28" i="10"/>
  <c r="AD28" i="10" s="1"/>
  <c r="AF28" i="10"/>
  <c r="C29" i="10"/>
  <c r="F29" i="10"/>
  <c r="G29" i="10" s="1"/>
  <c r="I29" i="10"/>
  <c r="J29" i="10" s="1"/>
  <c r="L29" i="10"/>
  <c r="M29" i="10" s="1"/>
  <c r="P29" i="10"/>
  <c r="Q29" i="10" s="1"/>
  <c r="S29" i="10"/>
  <c r="T29" i="10" s="1"/>
  <c r="V29" i="10"/>
  <c r="W29" i="10" s="1"/>
  <c r="Y29" i="10"/>
  <c r="Z29" i="10" s="1"/>
  <c r="AC29" i="10"/>
  <c r="AD29" i="10" s="1"/>
  <c r="C30" i="10"/>
  <c r="D30" i="10" s="1"/>
  <c r="F30" i="10"/>
  <c r="G30" i="10" s="1"/>
  <c r="I30" i="10"/>
  <c r="J30" i="10" s="1"/>
  <c r="L30" i="10"/>
  <c r="M30" i="10" s="1"/>
  <c r="P30" i="10"/>
  <c r="Q30" i="10" s="1"/>
  <c r="S30" i="10"/>
  <c r="T30" i="10" s="1"/>
  <c r="V30" i="10"/>
  <c r="W30" i="10" s="1"/>
  <c r="Y30" i="10"/>
  <c r="Z30" i="10" s="1"/>
  <c r="AC30" i="10"/>
  <c r="AD30" i="10" s="1"/>
  <c r="AF30" i="10"/>
  <c r="AH30" i="10"/>
  <c r="F31" i="10"/>
  <c r="G31" i="10" s="1"/>
  <c r="I31" i="10"/>
  <c r="J31" i="10" s="1"/>
  <c r="L31" i="10"/>
  <c r="M31" i="10" s="1"/>
  <c r="P31" i="10"/>
  <c r="Q31" i="10" s="1"/>
  <c r="S31" i="10"/>
  <c r="T31" i="10" s="1"/>
  <c r="V31" i="10"/>
  <c r="W31" i="10" s="1"/>
  <c r="Y31" i="10"/>
  <c r="Z31" i="10" s="1"/>
  <c r="AC31" i="10"/>
  <c r="AD31" i="10" s="1"/>
  <c r="C32" i="10"/>
  <c r="F32" i="10"/>
  <c r="G32" i="10" s="1"/>
  <c r="I32" i="10"/>
  <c r="J32" i="10" s="1"/>
  <c r="L32" i="10"/>
  <c r="M32" i="10" s="1"/>
  <c r="P32" i="10"/>
  <c r="Q32" i="10" s="1"/>
  <c r="S32" i="10"/>
  <c r="T32" i="10" s="1"/>
  <c r="V32" i="10"/>
  <c r="W32" i="10" s="1"/>
  <c r="Y32" i="10"/>
  <c r="Z32" i="10" s="1"/>
  <c r="AC32" i="10"/>
  <c r="AD32" i="10" s="1"/>
  <c r="AF32" i="10"/>
  <c r="F33" i="10"/>
  <c r="G33" i="10" s="1"/>
  <c r="I33" i="10"/>
  <c r="J33" i="10" s="1"/>
  <c r="L33" i="10"/>
  <c r="M33" i="10" s="1"/>
  <c r="P33" i="10"/>
  <c r="Q33" i="10" s="1"/>
  <c r="S33" i="10"/>
  <c r="T33" i="10" s="1"/>
  <c r="V33" i="10"/>
  <c r="W33" i="10" s="1"/>
  <c r="Y33" i="10"/>
  <c r="Z33" i="10" s="1"/>
  <c r="AC33" i="10"/>
  <c r="AD33" i="10" s="1"/>
  <c r="C34" i="10"/>
  <c r="F34" i="10"/>
  <c r="G34" i="10" s="1"/>
  <c r="I34" i="10"/>
  <c r="J34" i="10" s="1"/>
  <c r="L34" i="10"/>
  <c r="M34" i="10" s="1"/>
  <c r="P34" i="10"/>
  <c r="Q34" i="10" s="1"/>
  <c r="S34" i="10"/>
  <c r="T34" i="10" s="1"/>
  <c r="V34" i="10"/>
  <c r="W34" i="10" s="1"/>
  <c r="Y34" i="10"/>
  <c r="Z34" i="10" s="1"/>
  <c r="AC34" i="10"/>
  <c r="AD34" i="10" s="1"/>
  <c r="AF34" i="10"/>
  <c r="F35" i="10"/>
  <c r="G35" i="10" s="1"/>
  <c r="I35" i="10"/>
  <c r="J35" i="10" s="1"/>
  <c r="L35" i="10"/>
  <c r="M35" i="10" s="1"/>
  <c r="P35" i="10"/>
  <c r="Q35" i="10" s="1"/>
  <c r="S35" i="10"/>
  <c r="T35" i="10" s="1"/>
  <c r="V35" i="10"/>
  <c r="W35" i="10" s="1"/>
  <c r="Y35" i="10"/>
  <c r="Z35" i="10" s="1"/>
  <c r="AC35" i="10"/>
  <c r="AD35" i="10" s="1"/>
  <c r="F5" i="9"/>
  <c r="G5" i="9" s="1"/>
  <c r="I5" i="9"/>
  <c r="J5" i="9" s="1"/>
  <c r="L5" i="9"/>
  <c r="M5" i="9" s="1"/>
  <c r="P5" i="9"/>
  <c r="Q5" i="9" s="1"/>
  <c r="S5" i="9"/>
  <c r="T5" i="9" s="1"/>
  <c r="V5" i="9"/>
  <c r="W5" i="9" s="1"/>
  <c r="Y5" i="9"/>
  <c r="Z5" i="9" s="1"/>
  <c r="AC5" i="9"/>
  <c r="AD5" i="9" s="1"/>
  <c r="C6" i="9"/>
  <c r="F6" i="9"/>
  <c r="G6" i="9" s="1"/>
  <c r="I6" i="9"/>
  <c r="J6" i="9" s="1"/>
  <c r="L6" i="9"/>
  <c r="M6" i="9" s="1"/>
  <c r="P6" i="9"/>
  <c r="Q6" i="9" s="1"/>
  <c r="S6" i="9"/>
  <c r="T6" i="9" s="1"/>
  <c r="V6" i="9"/>
  <c r="W6" i="9" s="1"/>
  <c r="Y6" i="9"/>
  <c r="Z6" i="9" s="1"/>
  <c r="AC6" i="9"/>
  <c r="AD6" i="9" s="1"/>
  <c r="AF6" i="9"/>
  <c r="F7" i="9"/>
  <c r="G7" i="9" s="1"/>
  <c r="I7" i="9"/>
  <c r="J7" i="9" s="1"/>
  <c r="L7" i="9"/>
  <c r="M7" i="9" s="1"/>
  <c r="P7" i="9"/>
  <c r="Q7" i="9" s="1"/>
  <c r="S7" i="9"/>
  <c r="T7" i="9" s="1"/>
  <c r="V7" i="9"/>
  <c r="W7" i="9" s="1"/>
  <c r="Y7" i="9"/>
  <c r="Z7" i="9" s="1"/>
  <c r="AC7" i="9"/>
  <c r="AD7" i="9" s="1"/>
  <c r="C8" i="9"/>
  <c r="F8" i="9"/>
  <c r="G8" i="9" s="1"/>
  <c r="I8" i="9"/>
  <c r="J8" i="9" s="1"/>
  <c r="L8" i="9"/>
  <c r="M8" i="9" s="1"/>
  <c r="P8" i="9"/>
  <c r="Q8" i="9" s="1"/>
  <c r="S8" i="9"/>
  <c r="T8" i="9" s="1"/>
  <c r="V8" i="9"/>
  <c r="W8" i="9" s="1"/>
  <c r="Y8" i="9"/>
  <c r="Z8" i="9" s="1"/>
  <c r="AC8" i="9"/>
  <c r="AD8" i="9" s="1"/>
  <c r="AF8" i="9"/>
  <c r="F9" i="9"/>
  <c r="G9" i="9" s="1"/>
  <c r="I9" i="9"/>
  <c r="J9" i="9" s="1"/>
  <c r="L9" i="9"/>
  <c r="M9" i="9" s="1"/>
  <c r="P9" i="9"/>
  <c r="Q9" i="9" s="1"/>
  <c r="S9" i="9"/>
  <c r="T9" i="9" s="1"/>
  <c r="V9" i="9"/>
  <c r="W9" i="9" s="1"/>
  <c r="Y9" i="9"/>
  <c r="Z9" i="9" s="1"/>
  <c r="AC9" i="9"/>
  <c r="AD9" i="9" s="1"/>
  <c r="C10" i="9"/>
  <c r="F10" i="9"/>
  <c r="G10" i="9" s="1"/>
  <c r="I10" i="9"/>
  <c r="J10" i="9" s="1"/>
  <c r="L10" i="9"/>
  <c r="M10" i="9" s="1"/>
  <c r="P10" i="9"/>
  <c r="Q10" i="9" s="1"/>
  <c r="S10" i="9"/>
  <c r="T10" i="9" s="1"/>
  <c r="V10" i="9"/>
  <c r="W10" i="9" s="1"/>
  <c r="Y10" i="9"/>
  <c r="Z10" i="9" s="1"/>
  <c r="AC10" i="9"/>
  <c r="AD10" i="9" s="1"/>
  <c r="AF10" i="9"/>
  <c r="F11" i="9"/>
  <c r="G11" i="9" s="1"/>
  <c r="I11" i="9"/>
  <c r="J11" i="9" s="1"/>
  <c r="L11" i="9"/>
  <c r="M11" i="9" s="1"/>
  <c r="P11" i="9"/>
  <c r="Q11" i="9" s="1"/>
  <c r="S11" i="9"/>
  <c r="T11" i="9" s="1"/>
  <c r="V11" i="9"/>
  <c r="W11" i="9" s="1"/>
  <c r="Y11" i="9"/>
  <c r="Z11" i="9" s="1"/>
  <c r="AC11" i="9"/>
  <c r="AD11" i="9" s="1"/>
  <c r="C12" i="9"/>
  <c r="F12" i="9"/>
  <c r="G12" i="9" s="1"/>
  <c r="I12" i="9"/>
  <c r="J12" i="9" s="1"/>
  <c r="L12" i="9"/>
  <c r="M12" i="9" s="1"/>
  <c r="P12" i="9"/>
  <c r="Q12" i="9" s="1"/>
  <c r="S12" i="9"/>
  <c r="T12" i="9" s="1"/>
  <c r="V12" i="9"/>
  <c r="W12" i="9" s="1"/>
  <c r="Y12" i="9"/>
  <c r="Z12" i="9" s="1"/>
  <c r="AC12" i="9"/>
  <c r="AD12" i="9" s="1"/>
  <c r="AF12" i="9"/>
  <c r="F13" i="9"/>
  <c r="G13" i="9" s="1"/>
  <c r="I13" i="9"/>
  <c r="J13" i="9" s="1"/>
  <c r="L13" i="9"/>
  <c r="M13" i="9" s="1"/>
  <c r="P13" i="9"/>
  <c r="Q13" i="9" s="1"/>
  <c r="S13" i="9"/>
  <c r="T13" i="9" s="1"/>
  <c r="V13" i="9"/>
  <c r="W13" i="9" s="1"/>
  <c r="Y13" i="9"/>
  <c r="Z13" i="9" s="1"/>
  <c r="AC13" i="9"/>
  <c r="AD13" i="9" s="1"/>
  <c r="C14" i="9"/>
  <c r="F14" i="9"/>
  <c r="G14" i="9" s="1"/>
  <c r="I14" i="9"/>
  <c r="J14" i="9" s="1"/>
  <c r="L14" i="9"/>
  <c r="M14" i="9" s="1"/>
  <c r="P14" i="9"/>
  <c r="Q14" i="9" s="1"/>
  <c r="S14" i="9"/>
  <c r="T14" i="9" s="1"/>
  <c r="V14" i="9"/>
  <c r="W14" i="9" s="1"/>
  <c r="Y14" i="9"/>
  <c r="Z14" i="9" s="1"/>
  <c r="AC14" i="9"/>
  <c r="AD14" i="9" s="1"/>
  <c r="AF14" i="9"/>
  <c r="F15" i="9"/>
  <c r="G15" i="9" s="1"/>
  <c r="I15" i="9"/>
  <c r="J15" i="9" s="1"/>
  <c r="L15" i="9"/>
  <c r="M15" i="9" s="1"/>
  <c r="P15" i="9"/>
  <c r="Q15" i="9" s="1"/>
  <c r="S15" i="9"/>
  <c r="T15" i="9" s="1"/>
  <c r="V15" i="9"/>
  <c r="W15" i="9" s="1"/>
  <c r="Y15" i="9"/>
  <c r="Z15" i="9" s="1"/>
  <c r="AC15" i="9"/>
  <c r="AD15" i="9" s="1"/>
  <c r="C16" i="9"/>
  <c r="F16" i="9"/>
  <c r="G16" i="9" s="1"/>
  <c r="I16" i="9"/>
  <c r="J16" i="9" s="1"/>
  <c r="L16" i="9"/>
  <c r="M16" i="9" s="1"/>
  <c r="P16" i="9"/>
  <c r="Q16" i="9" s="1"/>
  <c r="S16" i="9"/>
  <c r="T16" i="9" s="1"/>
  <c r="V16" i="9"/>
  <c r="W16" i="9" s="1"/>
  <c r="Y16" i="9"/>
  <c r="Z16" i="9" s="1"/>
  <c r="AC16" i="9"/>
  <c r="AD16" i="9" s="1"/>
  <c r="AF16" i="9"/>
  <c r="C17" i="9"/>
  <c r="D17" i="9" s="1"/>
  <c r="F17" i="9"/>
  <c r="G17" i="9" s="1"/>
  <c r="I17" i="9"/>
  <c r="J17" i="9" s="1"/>
  <c r="L17" i="9"/>
  <c r="M17" i="9" s="1"/>
  <c r="P17" i="9"/>
  <c r="Q17" i="9" s="1"/>
  <c r="S17" i="9"/>
  <c r="T17" i="9" s="1"/>
  <c r="V17" i="9"/>
  <c r="W17" i="9" s="1"/>
  <c r="Y17" i="9"/>
  <c r="AC17" i="9"/>
  <c r="AD17" i="9" s="1"/>
  <c r="AF17" i="9"/>
  <c r="AG17" i="9"/>
  <c r="C18" i="9"/>
  <c r="F18" i="9"/>
  <c r="G18" i="9" s="1"/>
  <c r="I18" i="9"/>
  <c r="L18" i="9"/>
  <c r="M18" i="9" s="1"/>
  <c r="P18" i="9"/>
  <c r="S18" i="9"/>
  <c r="T18" i="9" s="1"/>
  <c r="V18" i="9"/>
  <c r="Y18" i="9"/>
  <c r="Z18" i="9" s="1"/>
  <c r="AC18" i="9"/>
  <c r="C19" i="9"/>
  <c r="D19" i="9" s="1"/>
  <c r="F19" i="9"/>
  <c r="I19" i="9"/>
  <c r="J19" i="9" s="1"/>
  <c r="L19" i="9"/>
  <c r="P19" i="9"/>
  <c r="Q19" i="9" s="1"/>
  <c r="S19" i="9"/>
  <c r="V19" i="9"/>
  <c r="W19" i="9" s="1"/>
  <c r="Y19" i="9"/>
  <c r="Z19" i="9" s="1"/>
  <c r="AC19" i="9"/>
  <c r="AD19" i="9" s="1"/>
  <c r="AF19" i="9"/>
  <c r="C20" i="9"/>
  <c r="F20" i="9"/>
  <c r="G20" i="9" s="1"/>
  <c r="I20" i="9"/>
  <c r="J20" i="9" s="1"/>
  <c r="L20" i="9"/>
  <c r="M20" i="9" s="1"/>
  <c r="P20" i="9"/>
  <c r="Q20" i="9" s="1"/>
  <c r="S20" i="9"/>
  <c r="T20" i="9" s="1"/>
  <c r="V20" i="9"/>
  <c r="W20" i="9" s="1"/>
  <c r="Y20" i="9"/>
  <c r="Z20" i="9" s="1"/>
  <c r="AC20" i="9"/>
  <c r="AD20" i="9" s="1"/>
  <c r="C21" i="9"/>
  <c r="D21" i="9" s="1"/>
  <c r="F21" i="9"/>
  <c r="G21" i="9" s="1"/>
  <c r="I21" i="9"/>
  <c r="J21" i="9" s="1"/>
  <c r="L21" i="9"/>
  <c r="M21" i="9" s="1"/>
  <c r="P21" i="9"/>
  <c r="Q21" i="9" s="1"/>
  <c r="S21" i="9"/>
  <c r="T21" i="9" s="1"/>
  <c r="V21" i="9"/>
  <c r="W21" i="9" s="1"/>
  <c r="Y21" i="9"/>
  <c r="Z21" i="9" s="1"/>
  <c r="AC21" i="9"/>
  <c r="AD21" i="9" s="1"/>
  <c r="AF21" i="9"/>
  <c r="C22" i="9"/>
  <c r="F22" i="9"/>
  <c r="G22" i="9" s="1"/>
  <c r="I22" i="9"/>
  <c r="J22" i="9" s="1"/>
  <c r="L22" i="9"/>
  <c r="M22" i="9" s="1"/>
  <c r="P22" i="9"/>
  <c r="Q22" i="9" s="1"/>
  <c r="S22" i="9"/>
  <c r="T22" i="9" s="1"/>
  <c r="V22" i="9"/>
  <c r="W22" i="9" s="1"/>
  <c r="Y22" i="9"/>
  <c r="Z22" i="9" s="1"/>
  <c r="AC22" i="9"/>
  <c r="AD22" i="9" s="1"/>
  <c r="C23" i="9"/>
  <c r="D23" i="9" s="1"/>
  <c r="F23" i="9"/>
  <c r="G23" i="9" s="1"/>
  <c r="I23" i="9"/>
  <c r="J23" i="9" s="1"/>
  <c r="L23" i="9"/>
  <c r="M23" i="9" s="1"/>
  <c r="P23" i="9"/>
  <c r="Q23" i="9" s="1"/>
  <c r="S23" i="9"/>
  <c r="T23" i="9" s="1"/>
  <c r="V23" i="9"/>
  <c r="W23" i="9" s="1"/>
  <c r="Y23" i="9"/>
  <c r="Z23" i="9" s="1"/>
  <c r="AC23" i="9"/>
  <c r="AD23" i="9" s="1"/>
  <c r="AF23" i="9"/>
  <c r="C24" i="9"/>
  <c r="F24" i="9"/>
  <c r="G24" i="9" s="1"/>
  <c r="I24" i="9"/>
  <c r="J24" i="9" s="1"/>
  <c r="L24" i="9"/>
  <c r="M24" i="9" s="1"/>
  <c r="P24" i="9"/>
  <c r="Q24" i="9" s="1"/>
  <c r="S24" i="9"/>
  <c r="T24" i="9" s="1"/>
  <c r="V24" i="9"/>
  <c r="W24" i="9" s="1"/>
  <c r="Y24" i="9"/>
  <c r="Z24" i="9" s="1"/>
  <c r="AC24" i="9"/>
  <c r="AD24" i="9" s="1"/>
  <c r="C25" i="9"/>
  <c r="D25" i="9" s="1"/>
  <c r="F25" i="9"/>
  <c r="G25" i="9" s="1"/>
  <c r="I25" i="9"/>
  <c r="J25" i="9" s="1"/>
  <c r="L25" i="9"/>
  <c r="M25" i="9" s="1"/>
  <c r="P25" i="9"/>
  <c r="Q25" i="9" s="1"/>
  <c r="S25" i="9"/>
  <c r="T25" i="9" s="1"/>
  <c r="V25" i="9"/>
  <c r="W25" i="9" s="1"/>
  <c r="Y25" i="9"/>
  <c r="Z25" i="9" s="1"/>
  <c r="AC25" i="9"/>
  <c r="AD25" i="9" s="1"/>
  <c r="AF25" i="9"/>
  <c r="C26" i="9"/>
  <c r="F26" i="9"/>
  <c r="G26" i="9" s="1"/>
  <c r="I26" i="9"/>
  <c r="J26" i="9" s="1"/>
  <c r="L26" i="9"/>
  <c r="M26" i="9" s="1"/>
  <c r="P26" i="9"/>
  <c r="Q26" i="9" s="1"/>
  <c r="S26" i="9"/>
  <c r="T26" i="9" s="1"/>
  <c r="V26" i="9"/>
  <c r="W26" i="9" s="1"/>
  <c r="Y26" i="9"/>
  <c r="Z26" i="9" s="1"/>
  <c r="AC26" i="9"/>
  <c r="AD26" i="9" s="1"/>
  <c r="C27" i="9"/>
  <c r="D27" i="9" s="1"/>
  <c r="F27" i="9"/>
  <c r="G27" i="9" s="1"/>
  <c r="I27" i="9"/>
  <c r="J27" i="9" s="1"/>
  <c r="L27" i="9"/>
  <c r="M27" i="9" s="1"/>
  <c r="P27" i="9"/>
  <c r="Q27" i="9" s="1"/>
  <c r="S27" i="9"/>
  <c r="T27" i="9" s="1"/>
  <c r="V27" i="9"/>
  <c r="W27" i="9" s="1"/>
  <c r="Y27" i="9"/>
  <c r="Z27" i="9" s="1"/>
  <c r="AC27" i="9"/>
  <c r="AD27" i="9" s="1"/>
  <c r="AF27" i="9"/>
  <c r="C28" i="9"/>
  <c r="F28" i="9"/>
  <c r="G28" i="9" s="1"/>
  <c r="I28" i="9"/>
  <c r="J28" i="9" s="1"/>
  <c r="L28" i="9"/>
  <c r="M28" i="9" s="1"/>
  <c r="P28" i="9"/>
  <c r="Q28" i="9" s="1"/>
  <c r="S28" i="9"/>
  <c r="T28" i="9" s="1"/>
  <c r="V28" i="9"/>
  <c r="W28" i="9" s="1"/>
  <c r="Y28" i="9"/>
  <c r="Z28" i="9" s="1"/>
  <c r="AC28" i="9"/>
  <c r="AD28" i="9" s="1"/>
  <c r="C29" i="9"/>
  <c r="D29" i="9" s="1"/>
  <c r="F29" i="9"/>
  <c r="G29" i="9" s="1"/>
  <c r="I29" i="9"/>
  <c r="J29" i="9" s="1"/>
  <c r="L29" i="9"/>
  <c r="M29" i="9" s="1"/>
  <c r="P29" i="9"/>
  <c r="Q29" i="9" s="1"/>
  <c r="S29" i="9"/>
  <c r="T29" i="9" s="1"/>
  <c r="V29" i="9"/>
  <c r="W29" i="9" s="1"/>
  <c r="Y29" i="9"/>
  <c r="Z29" i="9" s="1"/>
  <c r="AC29" i="9"/>
  <c r="AD29" i="9" s="1"/>
  <c r="AF29" i="9"/>
  <c r="C30" i="9"/>
  <c r="F30" i="9"/>
  <c r="G30" i="9" s="1"/>
  <c r="I30" i="9"/>
  <c r="J30" i="9" s="1"/>
  <c r="L30" i="9"/>
  <c r="M30" i="9" s="1"/>
  <c r="P30" i="9"/>
  <c r="Q30" i="9" s="1"/>
  <c r="S30" i="9"/>
  <c r="T30" i="9" s="1"/>
  <c r="V30" i="9"/>
  <c r="W30" i="9" s="1"/>
  <c r="Y30" i="9"/>
  <c r="Z30" i="9" s="1"/>
  <c r="AC30" i="9"/>
  <c r="AD30" i="9" s="1"/>
  <c r="C31" i="9"/>
  <c r="D31" i="9" s="1"/>
  <c r="F31" i="9"/>
  <c r="G31" i="9" s="1"/>
  <c r="I31" i="9"/>
  <c r="J31" i="9" s="1"/>
  <c r="L31" i="9"/>
  <c r="M31" i="9" s="1"/>
  <c r="P31" i="9"/>
  <c r="Q31" i="9" s="1"/>
  <c r="S31" i="9"/>
  <c r="T31" i="9" s="1"/>
  <c r="V31" i="9"/>
  <c r="W31" i="9" s="1"/>
  <c r="Y31" i="9"/>
  <c r="Z31" i="9" s="1"/>
  <c r="AC31" i="9"/>
  <c r="AD31" i="9" s="1"/>
  <c r="AF31" i="9"/>
  <c r="C32" i="9"/>
  <c r="F32" i="9"/>
  <c r="G32" i="9" s="1"/>
  <c r="I32" i="9"/>
  <c r="J32" i="9" s="1"/>
  <c r="L32" i="9"/>
  <c r="M32" i="9" s="1"/>
  <c r="P32" i="9"/>
  <c r="Q32" i="9" s="1"/>
  <c r="S32" i="9"/>
  <c r="T32" i="9" s="1"/>
  <c r="V32" i="9"/>
  <c r="W32" i="9" s="1"/>
  <c r="Y32" i="9"/>
  <c r="Z32" i="9" s="1"/>
  <c r="AC32" i="9"/>
  <c r="AD32" i="9" s="1"/>
  <c r="C33" i="9"/>
  <c r="D33" i="9" s="1"/>
  <c r="F33" i="9"/>
  <c r="G33" i="9" s="1"/>
  <c r="I33" i="9"/>
  <c r="J33" i="9" s="1"/>
  <c r="L33" i="9"/>
  <c r="M33" i="9" s="1"/>
  <c r="P33" i="9"/>
  <c r="Q33" i="9" s="1"/>
  <c r="S33" i="9"/>
  <c r="T33" i="9" s="1"/>
  <c r="V33" i="9"/>
  <c r="W33" i="9" s="1"/>
  <c r="Y33" i="9"/>
  <c r="Z33" i="9" s="1"/>
  <c r="AC33" i="9"/>
  <c r="AD33" i="9" s="1"/>
  <c r="AF33" i="9"/>
  <c r="C34" i="9"/>
  <c r="F34" i="9"/>
  <c r="G34" i="9" s="1"/>
  <c r="I34" i="9"/>
  <c r="J34" i="9" s="1"/>
  <c r="L34" i="9"/>
  <c r="M34" i="9" s="1"/>
  <c r="P34" i="9"/>
  <c r="Q34" i="9" s="1"/>
  <c r="S34" i="9"/>
  <c r="T34" i="9" s="1"/>
  <c r="V34" i="9"/>
  <c r="W34" i="9" s="1"/>
  <c r="Y34" i="9"/>
  <c r="Z34" i="9" s="1"/>
  <c r="AC34" i="9"/>
  <c r="AD34" i="9" s="1"/>
  <c r="C5" i="8"/>
  <c r="F5" i="8"/>
  <c r="G5" i="8" s="1"/>
  <c r="I5" i="8"/>
  <c r="L5" i="8"/>
  <c r="M5" i="8" s="1"/>
  <c r="P5" i="8"/>
  <c r="S5" i="8"/>
  <c r="T5" i="8" s="1"/>
  <c r="V5" i="8"/>
  <c r="Y5" i="8"/>
  <c r="Z5" i="8" s="1"/>
  <c r="AC5" i="8"/>
  <c r="C6" i="8"/>
  <c r="F6" i="8"/>
  <c r="G6" i="8" s="1"/>
  <c r="I6" i="8"/>
  <c r="J6" i="8" s="1"/>
  <c r="L6" i="8"/>
  <c r="M6" i="8" s="1"/>
  <c r="P6" i="8"/>
  <c r="Q6" i="8" s="1"/>
  <c r="S6" i="8"/>
  <c r="T6" i="8" s="1"/>
  <c r="V6" i="8"/>
  <c r="W6" i="8" s="1"/>
  <c r="Y6" i="8"/>
  <c r="Z6" i="8" s="1"/>
  <c r="AC6" i="8"/>
  <c r="AD6" i="8" s="1"/>
  <c r="C7" i="8"/>
  <c r="F7" i="8"/>
  <c r="G7" i="8" s="1"/>
  <c r="I7" i="8"/>
  <c r="J7" i="8" s="1"/>
  <c r="L7" i="8"/>
  <c r="M7" i="8" s="1"/>
  <c r="P7" i="8"/>
  <c r="Q7" i="8" s="1"/>
  <c r="S7" i="8"/>
  <c r="T7" i="8" s="1"/>
  <c r="V7" i="8"/>
  <c r="W7" i="8" s="1"/>
  <c r="Y7" i="8"/>
  <c r="Z7" i="8" s="1"/>
  <c r="AC7" i="8"/>
  <c r="AD7" i="8" s="1"/>
  <c r="C8" i="8"/>
  <c r="F8" i="8"/>
  <c r="G8" i="8" s="1"/>
  <c r="I8" i="8"/>
  <c r="J8" i="8" s="1"/>
  <c r="L8" i="8"/>
  <c r="M8" i="8" s="1"/>
  <c r="P8" i="8"/>
  <c r="Q8" i="8" s="1"/>
  <c r="S8" i="8"/>
  <c r="T8" i="8" s="1"/>
  <c r="V8" i="8"/>
  <c r="W8" i="8" s="1"/>
  <c r="Y8" i="8"/>
  <c r="Z8" i="8" s="1"/>
  <c r="AC8" i="8"/>
  <c r="AD8" i="8" s="1"/>
  <c r="C9" i="8"/>
  <c r="F9" i="8"/>
  <c r="G9" i="8" s="1"/>
  <c r="I9" i="8"/>
  <c r="J9" i="8" s="1"/>
  <c r="L9" i="8"/>
  <c r="M9" i="8" s="1"/>
  <c r="P9" i="8"/>
  <c r="Q9" i="8" s="1"/>
  <c r="S9" i="8"/>
  <c r="T9" i="8" s="1"/>
  <c r="V9" i="8"/>
  <c r="W9" i="8" s="1"/>
  <c r="Y9" i="8"/>
  <c r="Z9" i="8" s="1"/>
  <c r="AC9" i="8"/>
  <c r="AD9" i="8" s="1"/>
  <c r="C10" i="8"/>
  <c r="F10" i="8"/>
  <c r="G10" i="8" s="1"/>
  <c r="I10" i="8"/>
  <c r="J10" i="8" s="1"/>
  <c r="L10" i="8"/>
  <c r="M10" i="8" s="1"/>
  <c r="P10" i="8"/>
  <c r="Q10" i="8" s="1"/>
  <c r="S10" i="8"/>
  <c r="T10" i="8" s="1"/>
  <c r="V10" i="8"/>
  <c r="W10" i="8" s="1"/>
  <c r="Y10" i="8"/>
  <c r="Z10" i="8" s="1"/>
  <c r="AC10" i="8"/>
  <c r="AD10" i="8" s="1"/>
  <c r="C11" i="8"/>
  <c r="F11" i="8"/>
  <c r="G11" i="8" s="1"/>
  <c r="I11" i="8"/>
  <c r="J11" i="8" s="1"/>
  <c r="L11" i="8"/>
  <c r="M11" i="8" s="1"/>
  <c r="P11" i="8"/>
  <c r="Q11" i="8" s="1"/>
  <c r="S11" i="8"/>
  <c r="T11" i="8" s="1"/>
  <c r="V11" i="8"/>
  <c r="W11" i="8" s="1"/>
  <c r="Y11" i="8"/>
  <c r="Z11" i="8" s="1"/>
  <c r="AC11" i="8"/>
  <c r="AD11" i="8" s="1"/>
  <c r="C12" i="8"/>
  <c r="F12" i="8"/>
  <c r="G12" i="8" s="1"/>
  <c r="I12" i="8"/>
  <c r="J12" i="8" s="1"/>
  <c r="L12" i="8"/>
  <c r="M12" i="8" s="1"/>
  <c r="P12" i="8"/>
  <c r="Q12" i="8" s="1"/>
  <c r="S12" i="8"/>
  <c r="T12" i="8" s="1"/>
  <c r="V12" i="8"/>
  <c r="W12" i="8" s="1"/>
  <c r="Y12" i="8"/>
  <c r="Z12" i="8" s="1"/>
  <c r="AC12" i="8"/>
  <c r="AD12" i="8" s="1"/>
  <c r="C13" i="8"/>
  <c r="F13" i="8"/>
  <c r="G13" i="8" s="1"/>
  <c r="I13" i="8"/>
  <c r="J13" i="8" s="1"/>
  <c r="L13" i="8"/>
  <c r="M13" i="8" s="1"/>
  <c r="P13" i="8"/>
  <c r="Q13" i="8" s="1"/>
  <c r="S13" i="8"/>
  <c r="T13" i="8" s="1"/>
  <c r="V13" i="8"/>
  <c r="W13" i="8" s="1"/>
  <c r="Y13" i="8"/>
  <c r="Z13" i="8" s="1"/>
  <c r="AC13" i="8"/>
  <c r="AD13" i="8" s="1"/>
  <c r="C14" i="8"/>
  <c r="F14" i="8"/>
  <c r="G14" i="8" s="1"/>
  <c r="I14" i="8"/>
  <c r="J14" i="8" s="1"/>
  <c r="L14" i="8"/>
  <c r="M14" i="8" s="1"/>
  <c r="P14" i="8"/>
  <c r="Q14" i="8" s="1"/>
  <c r="S14" i="8"/>
  <c r="T14" i="8" s="1"/>
  <c r="V14" i="8"/>
  <c r="W14" i="8" s="1"/>
  <c r="Y14" i="8"/>
  <c r="Z14" i="8" s="1"/>
  <c r="AC14" i="8"/>
  <c r="AD14" i="8" s="1"/>
  <c r="C15" i="8"/>
  <c r="F15" i="8"/>
  <c r="G15" i="8" s="1"/>
  <c r="I15" i="8"/>
  <c r="J15" i="8" s="1"/>
  <c r="L15" i="8"/>
  <c r="M15" i="8" s="1"/>
  <c r="P15" i="8"/>
  <c r="Q15" i="8" s="1"/>
  <c r="S15" i="8"/>
  <c r="T15" i="8" s="1"/>
  <c r="V15" i="8"/>
  <c r="W15" i="8" s="1"/>
  <c r="Y15" i="8"/>
  <c r="Z15" i="8" s="1"/>
  <c r="AC15" i="8"/>
  <c r="AD15" i="8" s="1"/>
  <c r="C16" i="8"/>
  <c r="F16" i="8"/>
  <c r="G16" i="8" s="1"/>
  <c r="I16" i="8"/>
  <c r="J16" i="8" s="1"/>
  <c r="L16" i="8"/>
  <c r="M16" i="8" s="1"/>
  <c r="P16" i="8"/>
  <c r="Q16" i="8" s="1"/>
  <c r="S16" i="8"/>
  <c r="T16" i="8" s="1"/>
  <c r="V16" i="8"/>
  <c r="W16" i="8" s="1"/>
  <c r="Y16" i="8"/>
  <c r="Z16" i="8" s="1"/>
  <c r="AC16" i="8"/>
  <c r="AD16" i="8" s="1"/>
  <c r="C17" i="8"/>
  <c r="F17" i="8"/>
  <c r="G17" i="8" s="1"/>
  <c r="I17" i="8"/>
  <c r="J17" i="8" s="1"/>
  <c r="L17" i="8"/>
  <c r="M17" i="8" s="1"/>
  <c r="P17" i="8"/>
  <c r="Q17" i="8" s="1"/>
  <c r="S17" i="8"/>
  <c r="T17" i="8" s="1"/>
  <c r="V17" i="8"/>
  <c r="W17" i="8" s="1"/>
  <c r="Y17" i="8"/>
  <c r="Z17" i="8" s="1"/>
  <c r="AC17" i="8"/>
  <c r="AD17" i="8" s="1"/>
  <c r="C18" i="8"/>
  <c r="F18" i="8"/>
  <c r="G18" i="8" s="1"/>
  <c r="I18" i="8"/>
  <c r="J18" i="8" s="1"/>
  <c r="L18" i="8"/>
  <c r="M18" i="8" s="1"/>
  <c r="P18" i="8"/>
  <c r="Q18" i="8" s="1"/>
  <c r="S18" i="8"/>
  <c r="T18" i="8" s="1"/>
  <c r="V18" i="8"/>
  <c r="W18" i="8" s="1"/>
  <c r="Y18" i="8"/>
  <c r="Z18" i="8" s="1"/>
  <c r="AC18" i="8"/>
  <c r="AD18" i="8" s="1"/>
  <c r="C19" i="8"/>
  <c r="F19" i="8"/>
  <c r="G19" i="8" s="1"/>
  <c r="I19" i="8"/>
  <c r="J19" i="8" s="1"/>
  <c r="L19" i="8"/>
  <c r="M19" i="8" s="1"/>
  <c r="P19" i="8"/>
  <c r="Q19" i="8" s="1"/>
  <c r="S19" i="8"/>
  <c r="T19" i="8" s="1"/>
  <c r="V19" i="8"/>
  <c r="W19" i="8" s="1"/>
  <c r="Y19" i="8"/>
  <c r="Z19" i="8" s="1"/>
  <c r="AC19" i="8"/>
  <c r="AD19" i="8" s="1"/>
  <c r="C20" i="8"/>
  <c r="F20" i="8"/>
  <c r="G20" i="8" s="1"/>
  <c r="I20" i="8"/>
  <c r="J20" i="8" s="1"/>
  <c r="L20" i="8"/>
  <c r="M20" i="8" s="1"/>
  <c r="P20" i="8"/>
  <c r="Q20" i="8" s="1"/>
  <c r="S20" i="8"/>
  <c r="T20" i="8" s="1"/>
  <c r="V20" i="8"/>
  <c r="W20" i="8" s="1"/>
  <c r="Y20" i="8"/>
  <c r="Z20" i="8" s="1"/>
  <c r="AC20" i="8"/>
  <c r="AD20" i="8" s="1"/>
  <c r="C21" i="8"/>
  <c r="F21" i="8"/>
  <c r="G21" i="8" s="1"/>
  <c r="I21" i="8"/>
  <c r="J21" i="8" s="1"/>
  <c r="L21" i="8"/>
  <c r="M21" i="8" s="1"/>
  <c r="P21" i="8"/>
  <c r="Q21" i="8" s="1"/>
  <c r="S21" i="8"/>
  <c r="T21" i="8" s="1"/>
  <c r="V21" i="8"/>
  <c r="W21" i="8" s="1"/>
  <c r="Y21" i="8"/>
  <c r="Z21" i="8" s="1"/>
  <c r="AC21" i="8"/>
  <c r="AD21" i="8" s="1"/>
  <c r="C22" i="8"/>
  <c r="F22" i="8"/>
  <c r="G22" i="8" s="1"/>
  <c r="I22" i="8"/>
  <c r="J22" i="8" s="1"/>
  <c r="L22" i="8"/>
  <c r="M22" i="8" s="1"/>
  <c r="P22" i="8"/>
  <c r="Q22" i="8" s="1"/>
  <c r="S22" i="8"/>
  <c r="T22" i="8" s="1"/>
  <c r="V22" i="8"/>
  <c r="W22" i="8" s="1"/>
  <c r="Y22" i="8"/>
  <c r="Z22" i="8" s="1"/>
  <c r="AC22" i="8"/>
  <c r="AD22" i="8" s="1"/>
  <c r="C23" i="8"/>
  <c r="F23" i="8"/>
  <c r="G23" i="8" s="1"/>
  <c r="I23" i="8"/>
  <c r="J23" i="8" s="1"/>
  <c r="L23" i="8"/>
  <c r="M23" i="8" s="1"/>
  <c r="P23" i="8"/>
  <c r="Q23" i="8" s="1"/>
  <c r="S23" i="8"/>
  <c r="T23" i="8" s="1"/>
  <c r="V23" i="8"/>
  <c r="W23" i="8" s="1"/>
  <c r="Y23" i="8"/>
  <c r="Z23" i="8" s="1"/>
  <c r="AC23" i="8"/>
  <c r="AD23" i="8" s="1"/>
  <c r="C24" i="8"/>
  <c r="F24" i="8"/>
  <c r="G24" i="8" s="1"/>
  <c r="I24" i="8"/>
  <c r="J24" i="8" s="1"/>
  <c r="L24" i="8"/>
  <c r="M24" i="8" s="1"/>
  <c r="P24" i="8"/>
  <c r="Q24" i="8" s="1"/>
  <c r="S24" i="8"/>
  <c r="T24" i="8" s="1"/>
  <c r="V24" i="8"/>
  <c r="W24" i="8" s="1"/>
  <c r="Y24" i="8"/>
  <c r="Z24" i="8" s="1"/>
  <c r="AC24" i="8"/>
  <c r="AD24" i="8" s="1"/>
  <c r="C25" i="8"/>
  <c r="F25" i="8"/>
  <c r="G25" i="8" s="1"/>
  <c r="I25" i="8"/>
  <c r="J25" i="8" s="1"/>
  <c r="L25" i="8"/>
  <c r="M25" i="8" s="1"/>
  <c r="P25" i="8"/>
  <c r="Q25" i="8" s="1"/>
  <c r="S25" i="8"/>
  <c r="T25" i="8" s="1"/>
  <c r="V25" i="8"/>
  <c r="W25" i="8" s="1"/>
  <c r="Y25" i="8"/>
  <c r="Z25" i="8" s="1"/>
  <c r="AC25" i="8"/>
  <c r="AD25" i="8" s="1"/>
  <c r="C26" i="8"/>
  <c r="F26" i="8"/>
  <c r="G26" i="8" s="1"/>
  <c r="I26" i="8"/>
  <c r="J26" i="8" s="1"/>
  <c r="L26" i="8"/>
  <c r="M26" i="8" s="1"/>
  <c r="P26" i="8"/>
  <c r="Q26" i="8" s="1"/>
  <c r="S26" i="8"/>
  <c r="T26" i="8" s="1"/>
  <c r="V26" i="8"/>
  <c r="W26" i="8" s="1"/>
  <c r="Y26" i="8"/>
  <c r="Z26" i="8" s="1"/>
  <c r="AC26" i="8"/>
  <c r="AD26" i="8" s="1"/>
  <c r="C27" i="8"/>
  <c r="F27" i="8"/>
  <c r="G27" i="8" s="1"/>
  <c r="I27" i="8"/>
  <c r="J27" i="8" s="1"/>
  <c r="L27" i="8"/>
  <c r="M27" i="8" s="1"/>
  <c r="P27" i="8"/>
  <c r="Q27" i="8" s="1"/>
  <c r="S27" i="8"/>
  <c r="T27" i="8" s="1"/>
  <c r="V27" i="8"/>
  <c r="W27" i="8" s="1"/>
  <c r="Y27" i="8"/>
  <c r="Z27" i="8" s="1"/>
  <c r="AC27" i="8"/>
  <c r="AD27" i="8" s="1"/>
  <c r="C28" i="8"/>
  <c r="F28" i="8"/>
  <c r="G28" i="8" s="1"/>
  <c r="I28" i="8"/>
  <c r="J28" i="8" s="1"/>
  <c r="L28" i="8"/>
  <c r="M28" i="8" s="1"/>
  <c r="P28" i="8"/>
  <c r="Q28" i="8" s="1"/>
  <c r="S28" i="8"/>
  <c r="T28" i="8" s="1"/>
  <c r="V28" i="8"/>
  <c r="W28" i="8" s="1"/>
  <c r="Y28" i="8"/>
  <c r="Z28" i="8" s="1"/>
  <c r="AC28" i="8"/>
  <c r="AD28" i="8" s="1"/>
  <c r="C29" i="8"/>
  <c r="F29" i="8"/>
  <c r="G29" i="8" s="1"/>
  <c r="I29" i="8"/>
  <c r="J29" i="8" s="1"/>
  <c r="L29" i="8"/>
  <c r="M29" i="8" s="1"/>
  <c r="P29" i="8"/>
  <c r="Q29" i="8" s="1"/>
  <c r="S29" i="8"/>
  <c r="T29" i="8" s="1"/>
  <c r="V29" i="8"/>
  <c r="W29" i="8" s="1"/>
  <c r="Y29" i="8"/>
  <c r="Z29" i="8" s="1"/>
  <c r="AC29" i="8"/>
  <c r="AD29" i="8" s="1"/>
  <c r="C30" i="8"/>
  <c r="F30" i="8"/>
  <c r="G30" i="8" s="1"/>
  <c r="I30" i="8"/>
  <c r="J30" i="8" s="1"/>
  <c r="L30" i="8"/>
  <c r="M30" i="8" s="1"/>
  <c r="P30" i="8"/>
  <c r="Q30" i="8" s="1"/>
  <c r="S30" i="8"/>
  <c r="T30" i="8" s="1"/>
  <c r="V30" i="8"/>
  <c r="W30" i="8" s="1"/>
  <c r="Y30" i="8"/>
  <c r="Z30" i="8" s="1"/>
  <c r="AC30" i="8"/>
  <c r="AD30" i="8" s="1"/>
  <c r="C31" i="8"/>
  <c r="F31" i="8"/>
  <c r="G31" i="8" s="1"/>
  <c r="I31" i="8"/>
  <c r="J31" i="8" s="1"/>
  <c r="L31" i="8"/>
  <c r="M31" i="8" s="1"/>
  <c r="P31" i="8"/>
  <c r="Q31" i="8" s="1"/>
  <c r="S31" i="8"/>
  <c r="T31" i="8" s="1"/>
  <c r="V31" i="8"/>
  <c r="W31" i="8" s="1"/>
  <c r="Y31" i="8"/>
  <c r="Z31" i="8" s="1"/>
  <c r="AC31" i="8"/>
  <c r="AD31" i="8" s="1"/>
  <c r="C32" i="8"/>
  <c r="F32" i="8"/>
  <c r="G32" i="8" s="1"/>
  <c r="I32" i="8"/>
  <c r="J32" i="8" s="1"/>
  <c r="L32" i="8"/>
  <c r="M32" i="8" s="1"/>
  <c r="P32" i="8"/>
  <c r="Q32" i="8" s="1"/>
  <c r="S32" i="8"/>
  <c r="T32" i="8" s="1"/>
  <c r="V32" i="8"/>
  <c r="W32" i="8" s="1"/>
  <c r="Y32" i="8"/>
  <c r="Z32" i="8" s="1"/>
  <c r="AC32" i="8"/>
  <c r="AD32" i="8" s="1"/>
  <c r="C33" i="8"/>
  <c r="F33" i="8"/>
  <c r="G33" i="8" s="1"/>
  <c r="I33" i="8"/>
  <c r="J33" i="8" s="1"/>
  <c r="L33" i="8"/>
  <c r="M33" i="8" s="1"/>
  <c r="P33" i="8"/>
  <c r="Q33" i="8" s="1"/>
  <c r="S33" i="8"/>
  <c r="T33" i="8" s="1"/>
  <c r="V33" i="8"/>
  <c r="W33" i="8" s="1"/>
  <c r="Y33" i="8"/>
  <c r="Z33" i="8" s="1"/>
  <c r="AC33" i="8"/>
  <c r="AD33" i="8" s="1"/>
  <c r="C34" i="8"/>
  <c r="F34" i="8"/>
  <c r="G34" i="8" s="1"/>
  <c r="I34" i="8"/>
  <c r="J34" i="8" s="1"/>
  <c r="L34" i="8"/>
  <c r="M34" i="8" s="1"/>
  <c r="P34" i="8"/>
  <c r="Q34" i="8" s="1"/>
  <c r="S34" i="8"/>
  <c r="T34" i="8" s="1"/>
  <c r="V34" i="8"/>
  <c r="W34" i="8" s="1"/>
  <c r="Y34" i="8"/>
  <c r="Z34" i="8" s="1"/>
  <c r="AC34" i="8"/>
  <c r="AD34" i="8" s="1"/>
  <c r="C35" i="8"/>
  <c r="F35" i="8"/>
  <c r="G35" i="8" s="1"/>
  <c r="I35" i="8"/>
  <c r="J35" i="8" s="1"/>
  <c r="L35" i="8"/>
  <c r="M35" i="8" s="1"/>
  <c r="P35" i="8"/>
  <c r="Q35" i="8" s="1"/>
  <c r="S35" i="8"/>
  <c r="T35" i="8" s="1"/>
  <c r="V35" i="8"/>
  <c r="W35" i="8" s="1"/>
  <c r="Y35" i="8"/>
  <c r="Z35" i="8" s="1"/>
  <c r="AC35" i="8"/>
  <c r="AD35" i="8" s="1"/>
  <c r="C5" i="7"/>
  <c r="F5" i="7"/>
  <c r="G5" i="7" s="1"/>
  <c r="I5" i="7"/>
  <c r="L5" i="7"/>
  <c r="M5" i="7" s="1"/>
  <c r="P5" i="7"/>
  <c r="S5" i="7"/>
  <c r="T5" i="7" s="1"/>
  <c r="V5" i="7"/>
  <c r="Y5" i="7"/>
  <c r="Z5" i="7" s="1"/>
  <c r="AC5" i="7"/>
  <c r="C6" i="7"/>
  <c r="F6" i="7"/>
  <c r="I6" i="7"/>
  <c r="J6" i="7" s="1"/>
  <c r="L6" i="7"/>
  <c r="P6" i="7"/>
  <c r="Q6" i="7" s="1"/>
  <c r="S6" i="7"/>
  <c r="V6" i="7"/>
  <c r="W6" i="7" s="1"/>
  <c r="Y6" i="7"/>
  <c r="AC6" i="7"/>
  <c r="AD6" i="7" s="1"/>
  <c r="C7" i="7"/>
  <c r="F7" i="7"/>
  <c r="G7" i="7" s="1"/>
  <c r="I7" i="7"/>
  <c r="J7" i="7" s="1"/>
  <c r="L7" i="7"/>
  <c r="M7" i="7" s="1"/>
  <c r="P7" i="7"/>
  <c r="Q7" i="7" s="1"/>
  <c r="S7" i="7"/>
  <c r="T7" i="7" s="1"/>
  <c r="V7" i="7"/>
  <c r="W7" i="7" s="1"/>
  <c r="Y7" i="7"/>
  <c r="Z7" i="7" s="1"/>
  <c r="AC7" i="7"/>
  <c r="AD7" i="7" s="1"/>
  <c r="C8" i="7"/>
  <c r="F8" i="7"/>
  <c r="G8" i="7" s="1"/>
  <c r="I8" i="7"/>
  <c r="J8" i="7" s="1"/>
  <c r="L8" i="7"/>
  <c r="M8" i="7" s="1"/>
  <c r="P8" i="7"/>
  <c r="Q8" i="7" s="1"/>
  <c r="S8" i="7"/>
  <c r="T8" i="7" s="1"/>
  <c r="V8" i="7"/>
  <c r="W8" i="7" s="1"/>
  <c r="Y8" i="7"/>
  <c r="Z8" i="7" s="1"/>
  <c r="AC8" i="7"/>
  <c r="AD8" i="7" s="1"/>
  <c r="C9" i="7"/>
  <c r="F9" i="7"/>
  <c r="G9" i="7" s="1"/>
  <c r="I9" i="7"/>
  <c r="J9" i="7" s="1"/>
  <c r="L9" i="7"/>
  <c r="M9" i="7" s="1"/>
  <c r="P9" i="7"/>
  <c r="Q9" i="7" s="1"/>
  <c r="S9" i="7"/>
  <c r="T9" i="7" s="1"/>
  <c r="V9" i="7"/>
  <c r="W9" i="7" s="1"/>
  <c r="Y9" i="7"/>
  <c r="Z9" i="7" s="1"/>
  <c r="AC9" i="7"/>
  <c r="AD9" i="7" s="1"/>
  <c r="C10" i="7"/>
  <c r="F10" i="7"/>
  <c r="G10" i="7" s="1"/>
  <c r="I10" i="7"/>
  <c r="J10" i="7" s="1"/>
  <c r="L10" i="7"/>
  <c r="M10" i="7" s="1"/>
  <c r="P10" i="7"/>
  <c r="Q10" i="7" s="1"/>
  <c r="S10" i="7"/>
  <c r="T10" i="7" s="1"/>
  <c r="V10" i="7"/>
  <c r="W10" i="7" s="1"/>
  <c r="Y10" i="7"/>
  <c r="Z10" i="7" s="1"/>
  <c r="AC10" i="7"/>
  <c r="AD10" i="7" s="1"/>
  <c r="C11" i="7"/>
  <c r="F11" i="7"/>
  <c r="G11" i="7" s="1"/>
  <c r="I11" i="7"/>
  <c r="J11" i="7" s="1"/>
  <c r="L11" i="7"/>
  <c r="M11" i="7" s="1"/>
  <c r="P11" i="7"/>
  <c r="Q11" i="7" s="1"/>
  <c r="S11" i="7"/>
  <c r="T11" i="7" s="1"/>
  <c r="V11" i="7"/>
  <c r="W11" i="7" s="1"/>
  <c r="Y11" i="7"/>
  <c r="Z11" i="7" s="1"/>
  <c r="AC11" i="7"/>
  <c r="AD11" i="7" s="1"/>
  <c r="C12" i="7"/>
  <c r="F12" i="7"/>
  <c r="G12" i="7" s="1"/>
  <c r="I12" i="7"/>
  <c r="J12" i="7" s="1"/>
  <c r="L12" i="7"/>
  <c r="M12" i="7" s="1"/>
  <c r="P12" i="7"/>
  <c r="Q12" i="7" s="1"/>
  <c r="S12" i="7"/>
  <c r="T12" i="7" s="1"/>
  <c r="V12" i="7"/>
  <c r="W12" i="7" s="1"/>
  <c r="Y12" i="7"/>
  <c r="Z12" i="7" s="1"/>
  <c r="AC12" i="7"/>
  <c r="AD12" i="7" s="1"/>
  <c r="C13" i="7"/>
  <c r="F13" i="7"/>
  <c r="G13" i="7" s="1"/>
  <c r="I13" i="7"/>
  <c r="J13" i="7" s="1"/>
  <c r="L13" i="7"/>
  <c r="M13" i="7" s="1"/>
  <c r="P13" i="7"/>
  <c r="Q13" i="7" s="1"/>
  <c r="S13" i="7"/>
  <c r="T13" i="7" s="1"/>
  <c r="V13" i="7"/>
  <c r="W13" i="7" s="1"/>
  <c r="Y13" i="7"/>
  <c r="Z13" i="7" s="1"/>
  <c r="AC13" i="7"/>
  <c r="AD13" i="7" s="1"/>
  <c r="C14" i="7"/>
  <c r="F14" i="7"/>
  <c r="G14" i="7" s="1"/>
  <c r="I14" i="7"/>
  <c r="J14" i="7" s="1"/>
  <c r="L14" i="7"/>
  <c r="M14" i="7" s="1"/>
  <c r="P14" i="7"/>
  <c r="Q14" i="7" s="1"/>
  <c r="S14" i="7"/>
  <c r="T14" i="7" s="1"/>
  <c r="V14" i="7"/>
  <c r="W14" i="7" s="1"/>
  <c r="Y14" i="7"/>
  <c r="Z14" i="7" s="1"/>
  <c r="AC14" i="7"/>
  <c r="AD14" i="7" s="1"/>
  <c r="C15" i="7"/>
  <c r="F15" i="7"/>
  <c r="G15" i="7" s="1"/>
  <c r="I15" i="7"/>
  <c r="J15" i="7" s="1"/>
  <c r="L15" i="7"/>
  <c r="M15" i="7" s="1"/>
  <c r="P15" i="7"/>
  <c r="Q15" i="7" s="1"/>
  <c r="S15" i="7"/>
  <c r="T15" i="7" s="1"/>
  <c r="V15" i="7"/>
  <c r="W15" i="7" s="1"/>
  <c r="Y15" i="7"/>
  <c r="Z15" i="7" s="1"/>
  <c r="AC15" i="7"/>
  <c r="AD15" i="7" s="1"/>
  <c r="C16" i="7"/>
  <c r="F16" i="7"/>
  <c r="G16" i="7" s="1"/>
  <c r="I16" i="7"/>
  <c r="J16" i="7" s="1"/>
  <c r="L16" i="7"/>
  <c r="M16" i="7" s="1"/>
  <c r="P16" i="7"/>
  <c r="Q16" i="7" s="1"/>
  <c r="S16" i="7"/>
  <c r="T16" i="7" s="1"/>
  <c r="V16" i="7"/>
  <c r="W16" i="7" s="1"/>
  <c r="Y16" i="7"/>
  <c r="Z16" i="7" s="1"/>
  <c r="AC16" i="7"/>
  <c r="AD16" i="7" s="1"/>
  <c r="C17" i="7"/>
  <c r="F17" i="7"/>
  <c r="G17" i="7" s="1"/>
  <c r="I17" i="7"/>
  <c r="J17" i="7" s="1"/>
  <c r="L17" i="7"/>
  <c r="M17" i="7" s="1"/>
  <c r="P17" i="7"/>
  <c r="Q17" i="7" s="1"/>
  <c r="S17" i="7"/>
  <c r="T17" i="7" s="1"/>
  <c r="V17" i="7"/>
  <c r="W17" i="7" s="1"/>
  <c r="Y17" i="7"/>
  <c r="Z17" i="7" s="1"/>
  <c r="AC17" i="7"/>
  <c r="AD17" i="7" s="1"/>
  <c r="C18" i="7"/>
  <c r="F18" i="7"/>
  <c r="G18" i="7" s="1"/>
  <c r="I18" i="7"/>
  <c r="J18" i="7" s="1"/>
  <c r="L18" i="7"/>
  <c r="M18" i="7" s="1"/>
  <c r="P18" i="7"/>
  <c r="Q18" i="7" s="1"/>
  <c r="S18" i="7"/>
  <c r="T18" i="7" s="1"/>
  <c r="V18" i="7"/>
  <c r="W18" i="7" s="1"/>
  <c r="Y18" i="7"/>
  <c r="Z18" i="7" s="1"/>
  <c r="AC18" i="7"/>
  <c r="AD18" i="7" s="1"/>
  <c r="C19" i="7"/>
  <c r="F19" i="7"/>
  <c r="G19" i="7" s="1"/>
  <c r="I19" i="7"/>
  <c r="J19" i="7" s="1"/>
  <c r="L19" i="7"/>
  <c r="M19" i="7" s="1"/>
  <c r="P19" i="7"/>
  <c r="Q19" i="7" s="1"/>
  <c r="S19" i="7"/>
  <c r="T19" i="7" s="1"/>
  <c r="V19" i="7"/>
  <c r="W19" i="7" s="1"/>
  <c r="Y19" i="7"/>
  <c r="Z19" i="7" s="1"/>
  <c r="AC19" i="7"/>
  <c r="AD19" i="7" s="1"/>
  <c r="C20" i="7"/>
  <c r="F20" i="7"/>
  <c r="G20" i="7" s="1"/>
  <c r="I20" i="7"/>
  <c r="J20" i="7" s="1"/>
  <c r="L20" i="7"/>
  <c r="M20" i="7" s="1"/>
  <c r="P20" i="7"/>
  <c r="Q20" i="7" s="1"/>
  <c r="S20" i="7"/>
  <c r="T20" i="7" s="1"/>
  <c r="V20" i="7"/>
  <c r="W20" i="7" s="1"/>
  <c r="Y20" i="7"/>
  <c r="Z20" i="7" s="1"/>
  <c r="AC20" i="7"/>
  <c r="AD20" i="7" s="1"/>
  <c r="C21" i="7"/>
  <c r="F21" i="7"/>
  <c r="G21" i="7" s="1"/>
  <c r="I21" i="7"/>
  <c r="J21" i="7" s="1"/>
  <c r="L21" i="7"/>
  <c r="M21" i="7" s="1"/>
  <c r="P21" i="7"/>
  <c r="Q21" i="7" s="1"/>
  <c r="S21" i="7"/>
  <c r="T21" i="7" s="1"/>
  <c r="V21" i="7"/>
  <c r="W21" i="7" s="1"/>
  <c r="Y21" i="7"/>
  <c r="Z21" i="7" s="1"/>
  <c r="AC21" i="7"/>
  <c r="AD21" i="7" s="1"/>
  <c r="C22" i="7"/>
  <c r="F22" i="7"/>
  <c r="G22" i="7" s="1"/>
  <c r="I22" i="7"/>
  <c r="J22" i="7" s="1"/>
  <c r="L22" i="7"/>
  <c r="M22" i="7" s="1"/>
  <c r="P22" i="7"/>
  <c r="Q22" i="7" s="1"/>
  <c r="S22" i="7"/>
  <c r="T22" i="7" s="1"/>
  <c r="V22" i="7"/>
  <c r="W22" i="7" s="1"/>
  <c r="Y22" i="7"/>
  <c r="Z22" i="7" s="1"/>
  <c r="AC22" i="7"/>
  <c r="AD22" i="7" s="1"/>
  <c r="C23" i="7"/>
  <c r="F23" i="7"/>
  <c r="G23" i="7" s="1"/>
  <c r="I23" i="7"/>
  <c r="J23" i="7" s="1"/>
  <c r="L23" i="7"/>
  <c r="M23" i="7" s="1"/>
  <c r="P23" i="7"/>
  <c r="Q23" i="7" s="1"/>
  <c r="S23" i="7"/>
  <c r="T23" i="7" s="1"/>
  <c r="V23" i="7"/>
  <c r="W23" i="7" s="1"/>
  <c r="Y23" i="7"/>
  <c r="Z23" i="7" s="1"/>
  <c r="AC23" i="7"/>
  <c r="AD23" i="7" s="1"/>
  <c r="C24" i="7"/>
  <c r="F24" i="7"/>
  <c r="G24" i="7" s="1"/>
  <c r="I24" i="7"/>
  <c r="J24" i="7" s="1"/>
  <c r="L24" i="7"/>
  <c r="M24" i="7" s="1"/>
  <c r="P24" i="7"/>
  <c r="Q24" i="7" s="1"/>
  <c r="S24" i="7"/>
  <c r="T24" i="7" s="1"/>
  <c r="V24" i="7"/>
  <c r="W24" i="7" s="1"/>
  <c r="Y24" i="7"/>
  <c r="Z24" i="7" s="1"/>
  <c r="AC24" i="7"/>
  <c r="AD24" i="7" s="1"/>
  <c r="C25" i="7"/>
  <c r="F25" i="7"/>
  <c r="G25" i="7" s="1"/>
  <c r="I25" i="7"/>
  <c r="J25" i="7" s="1"/>
  <c r="L25" i="7"/>
  <c r="M25" i="7" s="1"/>
  <c r="P25" i="7"/>
  <c r="Q25" i="7" s="1"/>
  <c r="S25" i="7"/>
  <c r="T25" i="7" s="1"/>
  <c r="V25" i="7"/>
  <c r="W25" i="7" s="1"/>
  <c r="Y25" i="7"/>
  <c r="Z25" i="7" s="1"/>
  <c r="AC25" i="7"/>
  <c r="AD25" i="7" s="1"/>
  <c r="C26" i="7"/>
  <c r="F26" i="7"/>
  <c r="G26" i="7" s="1"/>
  <c r="I26" i="7"/>
  <c r="J26" i="7" s="1"/>
  <c r="L26" i="7"/>
  <c r="M26" i="7" s="1"/>
  <c r="P26" i="7"/>
  <c r="Q26" i="7" s="1"/>
  <c r="S26" i="7"/>
  <c r="T26" i="7" s="1"/>
  <c r="V26" i="7"/>
  <c r="W26" i="7" s="1"/>
  <c r="Y26" i="7"/>
  <c r="Z26" i="7" s="1"/>
  <c r="AC26" i="7"/>
  <c r="AD26" i="7" s="1"/>
  <c r="C27" i="7"/>
  <c r="F27" i="7"/>
  <c r="G27" i="7" s="1"/>
  <c r="I27" i="7"/>
  <c r="J27" i="7" s="1"/>
  <c r="L27" i="7"/>
  <c r="M27" i="7" s="1"/>
  <c r="P27" i="7"/>
  <c r="Q27" i="7" s="1"/>
  <c r="S27" i="7"/>
  <c r="T27" i="7" s="1"/>
  <c r="V27" i="7"/>
  <c r="W27" i="7" s="1"/>
  <c r="Y27" i="7"/>
  <c r="Z27" i="7" s="1"/>
  <c r="AC27" i="7"/>
  <c r="AD27" i="7" s="1"/>
  <c r="C28" i="7"/>
  <c r="F28" i="7"/>
  <c r="G28" i="7" s="1"/>
  <c r="I28" i="7"/>
  <c r="J28" i="7" s="1"/>
  <c r="L28" i="7"/>
  <c r="M28" i="7" s="1"/>
  <c r="P28" i="7"/>
  <c r="Q28" i="7" s="1"/>
  <c r="S28" i="7"/>
  <c r="T28" i="7" s="1"/>
  <c r="V28" i="7"/>
  <c r="W28" i="7" s="1"/>
  <c r="Y28" i="7"/>
  <c r="Z28" i="7" s="1"/>
  <c r="AC28" i="7"/>
  <c r="AD28" i="7" s="1"/>
  <c r="C29" i="7"/>
  <c r="F29" i="7"/>
  <c r="G29" i="7" s="1"/>
  <c r="I29" i="7"/>
  <c r="J29" i="7" s="1"/>
  <c r="L29" i="7"/>
  <c r="M29" i="7" s="1"/>
  <c r="P29" i="7"/>
  <c r="Q29" i="7" s="1"/>
  <c r="S29" i="7"/>
  <c r="T29" i="7" s="1"/>
  <c r="V29" i="7"/>
  <c r="W29" i="7" s="1"/>
  <c r="Y29" i="7"/>
  <c r="Z29" i="7" s="1"/>
  <c r="AC29" i="7"/>
  <c r="AD29" i="7" s="1"/>
  <c r="C30" i="7"/>
  <c r="F30" i="7"/>
  <c r="G30" i="7" s="1"/>
  <c r="I30" i="7"/>
  <c r="J30" i="7" s="1"/>
  <c r="L30" i="7"/>
  <c r="M30" i="7" s="1"/>
  <c r="P30" i="7"/>
  <c r="Q30" i="7" s="1"/>
  <c r="S30" i="7"/>
  <c r="T30" i="7" s="1"/>
  <c r="V30" i="7"/>
  <c r="W30" i="7" s="1"/>
  <c r="Y30" i="7"/>
  <c r="Z30" i="7" s="1"/>
  <c r="AC30" i="7"/>
  <c r="AD30" i="7" s="1"/>
  <c r="C31" i="7"/>
  <c r="F31" i="7"/>
  <c r="G31" i="7" s="1"/>
  <c r="I31" i="7"/>
  <c r="J31" i="7" s="1"/>
  <c r="L31" i="7"/>
  <c r="M31" i="7" s="1"/>
  <c r="P31" i="7"/>
  <c r="Q31" i="7" s="1"/>
  <c r="S31" i="7"/>
  <c r="T31" i="7" s="1"/>
  <c r="V31" i="7"/>
  <c r="W31" i="7" s="1"/>
  <c r="Y31" i="7"/>
  <c r="Z31" i="7" s="1"/>
  <c r="AC31" i="7"/>
  <c r="AD31" i="7" s="1"/>
  <c r="C32" i="7"/>
  <c r="F32" i="7"/>
  <c r="G32" i="7" s="1"/>
  <c r="I32" i="7"/>
  <c r="J32" i="7" s="1"/>
  <c r="L32" i="7"/>
  <c r="M32" i="7" s="1"/>
  <c r="P32" i="7"/>
  <c r="Q32" i="7" s="1"/>
  <c r="S32" i="7"/>
  <c r="T32" i="7" s="1"/>
  <c r="V32" i="7"/>
  <c r="W32" i="7" s="1"/>
  <c r="Y32" i="7"/>
  <c r="Z32" i="7" s="1"/>
  <c r="AC32" i="7"/>
  <c r="AD32" i="7" s="1"/>
  <c r="C33" i="7"/>
  <c r="F33" i="7"/>
  <c r="G33" i="7" s="1"/>
  <c r="I33" i="7"/>
  <c r="J33" i="7" s="1"/>
  <c r="L33" i="7"/>
  <c r="M33" i="7" s="1"/>
  <c r="P33" i="7"/>
  <c r="Q33" i="7" s="1"/>
  <c r="S33" i="7"/>
  <c r="T33" i="7" s="1"/>
  <c r="V33" i="7"/>
  <c r="W33" i="7" s="1"/>
  <c r="Y33" i="7"/>
  <c r="Z33" i="7" s="1"/>
  <c r="AC33" i="7"/>
  <c r="AD33" i="7" s="1"/>
  <c r="C34" i="7"/>
  <c r="F34" i="7"/>
  <c r="G34" i="7" s="1"/>
  <c r="I34" i="7"/>
  <c r="J34" i="7" s="1"/>
  <c r="L34" i="7"/>
  <c r="M34" i="7" s="1"/>
  <c r="P34" i="7"/>
  <c r="Q34" i="7" s="1"/>
  <c r="S34" i="7"/>
  <c r="T34" i="7" s="1"/>
  <c r="V34" i="7"/>
  <c r="W34" i="7" s="1"/>
  <c r="Y34" i="7"/>
  <c r="Z34" i="7" s="1"/>
  <c r="AC34" i="7"/>
  <c r="AD34" i="7" s="1"/>
  <c r="C5" i="6"/>
  <c r="D5" i="6" s="1"/>
  <c r="F5" i="6"/>
  <c r="G5" i="6" s="1"/>
  <c r="I5" i="6"/>
  <c r="J5" i="6" s="1"/>
  <c r="L5" i="6"/>
  <c r="M5" i="6" s="1"/>
  <c r="P5" i="6"/>
  <c r="Q5" i="6" s="1"/>
  <c r="S5" i="6"/>
  <c r="T5" i="6" s="1"/>
  <c r="V5" i="6"/>
  <c r="W5" i="6" s="1"/>
  <c r="Y5" i="6"/>
  <c r="Z5" i="6" s="1"/>
  <c r="AC5" i="6"/>
  <c r="AD5" i="6" s="1"/>
  <c r="AF5" i="6"/>
  <c r="C6" i="6"/>
  <c r="F6" i="6"/>
  <c r="G6" i="6" s="1"/>
  <c r="I6" i="6"/>
  <c r="J6" i="6" s="1"/>
  <c r="L6" i="6"/>
  <c r="M6" i="6" s="1"/>
  <c r="P6" i="6"/>
  <c r="Q6" i="6" s="1"/>
  <c r="S6" i="6"/>
  <c r="T6" i="6" s="1"/>
  <c r="V6" i="6"/>
  <c r="W6" i="6" s="1"/>
  <c r="Y6" i="6"/>
  <c r="Z6" i="6" s="1"/>
  <c r="AC6" i="6"/>
  <c r="AD6" i="6" s="1"/>
  <c r="C7" i="6"/>
  <c r="D7" i="6" s="1"/>
  <c r="F7" i="6"/>
  <c r="G7" i="6" s="1"/>
  <c r="I7" i="6"/>
  <c r="J7" i="6" s="1"/>
  <c r="L7" i="6"/>
  <c r="M7" i="6" s="1"/>
  <c r="P7" i="6"/>
  <c r="Q7" i="6" s="1"/>
  <c r="S7" i="6"/>
  <c r="T7" i="6" s="1"/>
  <c r="V7" i="6"/>
  <c r="W7" i="6" s="1"/>
  <c r="Y7" i="6"/>
  <c r="Z7" i="6" s="1"/>
  <c r="AC7" i="6"/>
  <c r="AD7" i="6" s="1"/>
  <c r="AF7" i="6"/>
  <c r="C8" i="6"/>
  <c r="F8" i="6"/>
  <c r="G8" i="6" s="1"/>
  <c r="I8" i="6"/>
  <c r="J8" i="6" s="1"/>
  <c r="L8" i="6"/>
  <c r="M8" i="6" s="1"/>
  <c r="P8" i="6"/>
  <c r="Q8" i="6" s="1"/>
  <c r="S8" i="6"/>
  <c r="T8" i="6" s="1"/>
  <c r="V8" i="6"/>
  <c r="W8" i="6" s="1"/>
  <c r="Y8" i="6"/>
  <c r="Z8" i="6" s="1"/>
  <c r="AC8" i="6"/>
  <c r="AD8" i="6" s="1"/>
  <c r="C9" i="6"/>
  <c r="D9" i="6" s="1"/>
  <c r="F9" i="6"/>
  <c r="G9" i="6" s="1"/>
  <c r="I9" i="6"/>
  <c r="J9" i="6" s="1"/>
  <c r="L9" i="6"/>
  <c r="M9" i="6" s="1"/>
  <c r="P9" i="6"/>
  <c r="Q9" i="6" s="1"/>
  <c r="S9" i="6"/>
  <c r="T9" i="6" s="1"/>
  <c r="V9" i="6"/>
  <c r="W9" i="6" s="1"/>
  <c r="Y9" i="6"/>
  <c r="Z9" i="6" s="1"/>
  <c r="AC9" i="6"/>
  <c r="AD9" i="6" s="1"/>
  <c r="AF9" i="6"/>
  <c r="C10" i="6"/>
  <c r="F10" i="6"/>
  <c r="G10" i="6" s="1"/>
  <c r="I10" i="6"/>
  <c r="J10" i="6" s="1"/>
  <c r="L10" i="6"/>
  <c r="M10" i="6" s="1"/>
  <c r="P10" i="6"/>
  <c r="Q10" i="6" s="1"/>
  <c r="S10" i="6"/>
  <c r="T10" i="6" s="1"/>
  <c r="V10" i="6"/>
  <c r="W10" i="6" s="1"/>
  <c r="Y10" i="6"/>
  <c r="Z10" i="6" s="1"/>
  <c r="AC10" i="6"/>
  <c r="AD10" i="6" s="1"/>
  <c r="C11" i="6"/>
  <c r="D11" i="6" s="1"/>
  <c r="F11" i="6"/>
  <c r="G11" i="6" s="1"/>
  <c r="I11" i="6"/>
  <c r="J11" i="6" s="1"/>
  <c r="L11" i="6"/>
  <c r="M11" i="6" s="1"/>
  <c r="P11" i="6"/>
  <c r="Q11" i="6" s="1"/>
  <c r="S11" i="6"/>
  <c r="T11" i="6" s="1"/>
  <c r="V11" i="6"/>
  <c r="W11" i="6" s="1"/>
  <c r="Y11" i="6"/>
  <c r="Z11" i="6" s="1"/>
  <c r="AC11" i="6"/>
  <c r="AD11" i="6" s="1"/>
  <c r="AF11" i="6"/>
  <c r="C12" i="6"/>
  <c r="F12" i="6"/>
  <c r="G12" i="6" s="1"/>
  <c r="I12" i="6"/>
  <c r="J12" i="6" s="1"/>
  <c r="L12" i="6"/>
  <c r="M12" i="6" s="1"/>
  <c r="P12" i="6"/>
  <c r="Q12" i="6" s="1"/>
  <c r="S12" i="6"/>
  <c r="T12" i="6" s="1"/>
  <c r="V12" i="6"/>
  <c r="W12" i="6" s="1"/>
  <c r="Y12" i="6"/>
  <c r="Z12" i="6" s="1"/>
  <c r="AC12" i="6"/>
  <c r="AD12" i="6" s="1"/>
  <c r="C13" i="6"/>
  <c r="D13" i="6" s="1"/>
  <c r="F13" i="6"/>
  <c r="G13" i="6" s="1"/>
  <c r="I13" i="6"/>
  <c r="J13" i="6" s="1"/>
  <c r="L13" i="6"/>
  <c r="M13" i="6" s="1"/>
  <c r="P13" i="6"/>
  <c r="Q13" i="6" s="1"/>
  <c r="S13" i="6"/>
  <c r="T13" i="6" s="1"/>
  <c r="V13" i="6"/>
  <c r="W13" i="6" s="1"/>
  <c r="Y13" i="6"/>
  <c r="Z13" i="6" s="1"/>
  <c r="AC13" i="6"/>
  <c r="AD13" i="6" s="1"/>
  <c r="AF13" i="6"/>
  <c r="C14" i="6"/>
  <c r="F14" i="6"/>
  <c r="G14" i="6" s="1"/>
  <c r="I14" i="6"/>
  <c r="J14" i="6" s="1"/>
  <c r="L14" i="6"/>
  <c r="M14" i="6" s="1"/>
  <c r="P14" i="6"/>
  <c r="Q14" i="6" s="1"/>
  <c r="S14" i="6"/>
  <c r="T14" i="6" s="1"/>
  <c r="V14" i="6"/>
  <c r="W14" i="6" s="1"/>
  <c r="Y14" i="6"/>
  <c r="Z14" i="6" s="1"/>
  <c r="AC14" i="6"/>
  <c r="AD14" i="6" s="1"/>
  <c r="C15" i="6"/>
  <c r="D15" i="6" s="1"/>
  <c r="F15" i="6"/>
  <c r="G15" i="6" s="1"/>
  <c r="I15" i="6"/>
  <c r="J15" i="6" s="1"/>
  <c r="L15" i="6"/>
  <c r="M15" i="6" s="1"/>
  <c r="P15" i="6"/>
  <c r="Q15" i="6" s="1"/>
  <c r="S15" i="6"/>
  <c r="T15" i="6" s="1"/>
  <c r="V15" i="6"/>
  <c r="W15" i="6" s="1"/>
  <c r="Y15" i="6"/>
  <c r="Z15" i="6" s="1"/>
  <c r="AC15" i="6"/>
  <c r="AD15" i="6" s="1"/>
  <c r="AF15" i="6"/>
  <c r="C16" i="6"/>
  <c r="D16" i="6" s="1"/>
  <c r="F16" i="6"/>
  <c r="G16" i="6" s="1"/>
  <c r="I16" i="6"/>
  <c r="J16" i="6" s="1"/>
  <c r="L16" i="6"/>
  <c r="M16" i="6" s="1"/>
  <c r="P16" i="6"/>
  <c r="Q16" i="6" s="1"/>
  <c r="S16" i="6"/>
  <c r="T16" i="6" s="1"/>
  <c r="V16" i="6"/>
  <c r="W16" i="6" s="1"/>
  <c r="Y16" i="6"/>
  <c r="Z16" i="6" s="1"/>
  <c r="AC16" i="6"/>
  <c r="AD16" i="6" s="1"/>
  <c r="C17" i="6"/>
  <c r="F17" i="6"/>
  <c r="G17" i="6" s="1"/>
  <c r="I17" i="6"/>
  <c r="J17" i="6" s="1"/>
  <c r="L17" i="6"/>
  <c r="M17" i="6" s="1"/>
  <c r="P17" i="6"/>
  <c r="Q17" i="6" s="1"/>
  <c r="S17" i="6"/>
  <c r="T17" i="6" s="1"/>
  <c r="V17" i="6"/>
  <c r="W17" i="6" s="1"/>
  <c r="Y17" i="6"/>
  <c r="Z17" i="6" s="1"/>
  <c r="AC17" i="6"/>
  <c r="AD17" i="6" s="1"/>
  <c r="AF17" i="6"/>
  <c r="F18" i="6"/>
  <c r="G18" i="6" s="1"/>
  <c r="I18" i="6"/>
  <c r="J18" i="6" s="1"/>
  <c r="L18" i="6"/>
  <c r="M18" i="6" s="1"/>
  <c r="P18" i="6"/>
  <c r="Q18" i="6" s="1"/>
  <c r="S18" i="6"/>
  <c r="T18" i="6" s="1"/>
  <c r="V18" i="6"/>
  <c r="W18" i="6" s="1"/>
  <c r="Y18" i="6"/>
  <c r="Z18" i="6" s="1"/>
  <c r="AC18" i="6"/>
  <c r="AD18" i="6" s="1"/>
  <c r="C19" i="6"/>
  <c r="F19" i="6"/>
  <c r="G19" i="6" s="1"/>
  <c r="I19" i="6"/>
  <c r="J19" i="6" s="1"/>
  <c r="L19" i="6"/>
  <c r="M19" i="6" s="1"/>
  <c r="P19" i="6"/>
  <c r="Q19" i="6" s="1"/>
  <c r="S19" i="6"/>
  <c r="T19" i="6" s="1"/>
  <c r="V19" i="6"/>
  <c r="W19" i="6" s="1"/>
  <c r="Y19" i="6"/>
  <c r="Z19" i="6" s="1"/>
  <c r="AC19" i="6"/>
  <c r="AD19" i="6" s="1"/>
  <c r="AF19" i="6"/>
  <c r="C20" i="6"/>
  <c r="D20" i="6" s="1"/>
  <c r="F20" i="6"/>
  <c r="G20" i="6" s="1"/>
  <c r="I20" i="6"/>
  <c r="J20" i="6" s="1"/>
  <c r="L20" i="6"/>
  <c r="M20" i="6" s="1"/>
  <c r="P20" i="6"/>
  <c r="Q20" i="6" s="1"/>
  <c r="S20" i="6"/>
  <c r="T20" i="6" s="1"/>
  <c r="V20" i="6"/>
  <c r="W20" i="6" s="1"/>
  <c r="Y20" i="6"/>
  <c r="Z20" i="6" s="1"/>
  <c r="AC20" i="6"/>
  <c r="AD20" i="6" s="1"/>
  <c r="AF20" i="6"/>
  <c r="C21" i="6"/>
  <c r="F21" i="6"/>
  <c r="G21" i="6" s="1"/>
  <c r="I21" i="6"/>
  <c r="L21" i="6"/>
  <c r="M21" i="6" s="1"/>
  <c r="P21" i="6"/>
  <c r="S21" i="6"/>
  <c r="T21" i="6" s="1"/>
  <c r="V21" i="6"/>
  <c r="Y21" i="6"/>
  <c r="Z21" i="6" s="1"/>
  <c r="AC21" i="6"/>
  <c r="C22" i="6"/>
  <c r="D22" i="6" s="1"/>
  <c r="F22" i="6"/>
  <c r="I22" i="6"/>
  <c r="J22" i="6" s="1"/>
  <c r="L22" i="6"/>
  <c r="P22" i="6"/>
  <c r="Q22" i="6" s="1"/>
  <c r="S22" i="6"/>
  <c r="V22" i="6"/>
  <c r="W22" i="6" s="1"/>
  <c r="Y22" i="6"/>
  <c r="AC22" i="6"/>
  <c r="AD22" i="6" s="1"/>
  <c r="AF22" i="6"/>
  <c r="C23" i="6"/>
  <c r="F23" i="6"/>
  <c r="G23" i="6" s="1"/>
  <c r="I23" i="6"/>
  <c r="J23" i="6" s="1"/>
  <c r="L23" i="6"/>
  <c r="M23" i="6" s="1"/>
  <c r="P23" i="6"/>
  <c r="Q23" i="6" s="1"/>
  <c r="S23" i="6"/>
  <c r="T23" i="6" s="1"/>
  <c r="V23" i="6"/>
  <c r="W23" i="6" s="1"/>
  <c r="Y23" i="6"/>
  <c r="Z23" i="6" s="1"/>
  <c r="AC23" i="6"/>
  <c r="AD23" i="6" s="1"/>
  <c r="C24" i="6"/>
  <c r="D24" i="6" s="1"/>
  <c r="F24" i="6"/>
  <c r="G24" i="6" s="1"/>
  <c r="I24" i="6"/>
  <c r="J24" i="6" s="1"/>
  <c r="L24" i="6"/>
  <c r="M24" i="6" s="1"/>
  <c r="P24" i="6"/>
  <c r="Q24" i="6" s="1"/>
  <c r="S24" i="6"/>
  <c r="T24" i="6" s="1"/>
  <c r="V24" i="6"/>
  <c r="W24" i="6" s="1"/>
  <c r="Y24" i="6"/>
  <c r="Z24" i="6" s="1"/>
  <c r="AC24" i="6"/>
  <c r="AD24" i="6" s="1"/>
  <c r="AF24" i="6"/>
  <c r="C25" i="6"/>
  <c r="F25" i="6"/>
  <c r="G25" i="6" s="1"/>
  <c r="I25" i="6"/>
  <c r="J25" i="6" s="1"/>
  <c r="L25" i="6"/>
  <c r="M25" i="6" s="1"/>
  <c r="P25" i="6"/>
  <c r="Q25" i="6" s="1"/>
  <c r="S25" i="6"/>
  <c r="T25" i="6" s="1"/>
  <c r="V25" i="6"/>
  <c r="W25" i="6" s="1"/>
  <c r="Y25" i="6"/>
  <c r="Z25" i="6" s="1"/>
  <c r="AC25" i="6"/>
  <c r="AD25" i="6" s="1"/>
  <c r="C26" i="6"/>
  <c r="D26" i="6" s="1"/>
  <c r="F26" i="6"/>
  <c r="G26" i="6" s="1"/>
  <c r="I26" i="6"/>
  <c r="J26" i="6" s="1"/>
  <c r="L26" i="6"/>
  <c r="M26" i="6" s="1"/>
  <c r="P26" i="6"/>
  <c r="Q26" i="6" s="1"/>
  <c r="S26" i="6"/>
  <c r="T26" i="6" s="1"/>
  <c r="V26" i="6"/>
  <c r="W26" i="6" s="1"/>
  <c r="Y26" i="6"/>
  <c r="Z26" i="6" s="1"/>
  <c r="AC26" i="6"/>
  <c r="AD26" i="6" s="1"/>
  <c r="AF26" i="6"/>
  <c r="C27" i="6"/>
  <c r="F27" i="6"/>
  <c r="G27" i="6" s="1"/>
  <c r="I27" i="6"/>
  <c r="J27" i="6" s="1"/>
  <c r="L27" i="6"/>
  <c r="M27" i="6" s="1"/>
  <c r="P27" i="6"/>
  <c r="Q27" i="6" s="1"/>
  <c r="S27" i="6"/>
  <c r="T27" i="6" s="1"/>
  <c r="V27" i="6"/>
  <c r="W27" i="6" s="1"/>
  <c r="Y27" i="6"/>
  <c r="Z27" i="6" s="1"/>
  <c r="AC27" i="6"/>
  <c r="AD27" i="6" s="1"/>
  <c r="C28" i="6"/>
  <c r="D28" i="6" s="1"/>
  <c r="F28" i="6"/>
  <c r="G28" i="6" s="1"/>
  <c r="I28" i="6"/>
  <c r="J28" i="6" s="1"/>
  <c r="L28" i="6"/>
  <c r="M28" i="6" s="1"/>
  <c r="P28" i="6"/>
  <c r="Q28" i="6" s="1"/>
  <c r="S28" i="6"/>
  <c r="T28" i="6" s="1"/>
  <c r="V28" i="6"/>
  <c r="W28" i="6" s="1"/>
  <c r="Y28" i="6"/>
  <c r="Z28" i="6" s="1"/>
  <c r="AC28" i="6"/>
  <c r="AD28" i="6" s="1"/>
  <c r="AF28" i="6"/>
  <c r="C29" i="6"/>
  <c r="F29" i="6"/>
  <c r="G29" i="6" s="1"/>
  <c r="I29" i="6"/>
  <c r="J29" i="6" s="1"/>
  <c r="L29" i="6"/>
  <c r="M29" i="6" s="1"/>
  <c r="P29" i="6"/>
  <c r="Q29" i="6" s="1"/>
  <c r="S29" i="6"/>
  <c r="T29" i="6" s="1"/>
  <c r="V29" i="6"/>
  <c r="W29" i="6" s="1"/>
  <c r="Y29" i="6"/>
  <c r="Z29" i="6" s="1"/>
  <c r="AC29" i="6"/>
  <c r="AD29" i="6" s="1"/>
  <c r="C30" i="6"/>
  <c r="D30" i="6" s="1"/>
  <c r="F30" i="6"/>
  <c r="G30" i="6" s="1"/>
  <c r="I30" i="6"/>
  <c r="J30" i="6" s="1"/>
  <c r="L30" i="6"/>
  <c r="M30" i="6" s="1"/>
  <c r="P30" i="6"/>
  <c r="Q30" i="6" s="1"/>
  <c r="S30" i="6"/>
  <c r="T30" i="6" s="1"/>
  <c r="V30" i="6"/>
  <c r="W30" i="6" s="1"/>
  <c r="Y30" i="6"/>
  <c r="Z30" i="6" s="1"/>
  <c r="AC30" i="6"/>
  <c r="AD30" i="6" s="1"/>
  <c r="AF30" i="6"/>
  <c r="C31" i="6"/>
  <c r="F31" i="6"/>
  <c r="G31" i="6" s="1"/>
  <c r="I31" i="6"/>
  <c r="J31" i="6" s="1"/>
  <c r="L31" i="6"/>
  <c r="M31" i="6" s="1"/>
  <c r="P31" i="6"/>
  <c r="Q31" i="6" s="1"/>
  <c r="S31" i="6"/>
  <c r="T31" i="6" s="1"/>
  <c r="V31" i="6"/>
  <c r="W31" i="6" s="1"/>
  <c r="Y31" i="6"/>
  <c r="Z31" i="6" s="1"/>
  <c r="AC31" i="6"/>
  <c r="AD31" i="6" s="1"/>
  <c r="C32" i="6"/>
  <c r="D32" i="6" s="1"/>
  <c r="F32" i="6"/>
  <c r="G32" i="6" s="1"/>
  <c r="I32" i="6"/>
  <c r="J32" i="6" s="1"/>
  <c r="L32" i="6"/>
  <c r="M32" i="6" s="1"/>
  <c r="P32" i="6"/>
  <c r="Q32" i="6" s="1"/>
  <c r="S32" i="6"/>
  <c r="T32" i="6" s="1"/>
  <c r="V32" i="6"/>
  <c r="W32" i="6" s="1"/>
  <c r="Y32" i="6"/>
  <c r="Z32" i="6" s="1"/>
  <c r="AC32" i="6"/>
  <c r="AD32" i="6" s="1"/>
  <c r="AF32" i="6"/>
  <c r="C33" i="6"/>
  <c r="F33" i="6"/>
  <c r="G33" i="6" s="1"/>
  <c r="I33" i="6"/>
  <c r="J33" i="6" s="1"/>
  <c r="L33" i="6"/>
  <c r="M33" i="6" s="1"/>
  <c r="P33" i="6"/>
  <c r="Q33" i="6" s="1"/>
  <c r="S33" i="6"/>
  <c r="T33" i="6" s="1"/>
  <c r="V33" i="6"/>
  <c r="W33" i="6" s="1"/>
  <c r="Y33" i="6"/>
  <c r="Z33" i="6" s="1"/>
  <c r="AC33" i="6"/>
  <c r="AD33" i="6" s="1"/>
  <c r="C34" i="6"/>
  <c r="D34" i="6" s="1"/>
  <c r="F34" i="6"/>
  <c r="G34" i="6" s="1"/>
  <c r="I34" i="6"/>
  <c r="J34" i="6" s="1"/>
  <c r="L34" i="6"/>
  <c r="M34" i="6" s="1"/>
  <c r="P34" i="6"/>
  <c r="Q34" i="6" s="1"/>
  <c r="S34" i="6"/>
  <c r="T34" i="6" s="1"/>
  <c r="V34" i="6"/>
  <c r="W34" i="6" s="1"/>
  <c r="Y34" i="6"/>
  <c r="Z34" i="6" s="1"/>
  <c r="AC34" i="6"/>
  <c r="AD34" i="6" s="1"/>
  <c r="AF34" i="6"/>
  <c r="C35" i="6"/>
  <c r="F35" i="6"/>
  <c r="G35" i="6" s="1"/>
  <c r="I35" i="6"/>
  <c r="J35" i="6" s="1"/>
  <c r="L35" i="6"/>
  <c r="M35" i="6" s="1"/>
  <c r="P35" i="6"/>
  <c r="Q35" i="6" s="1"/>
  <c r="S35" i="6"/>
  <c r="T35" i="6" s="1"/>
  <c r="V35" i="6"/>
  <c r="W35" i="6" s="1"/>
  <c r="Y35" i="6"/>
  <c r="Z35" i="6" s="1"/>
  <c r="AC35" i="6"/>
  <c r="AD35" i="6" s="1"/>
  <c r="B5" i="4"/>
  <c r="E5" i="4"/>
  <c r="F5" i="4" s="1"/>
  <c r="H5" i="4"/>
  <c r="I5" i="4" s="1"/>
  <c r="J5" i="4" s="1"/>
  <c r="K5" i="4"/>
  <c r="L5" i="4" s="1"/>
  <c r="O5" i="4"/>
  <c r="P5" i="4" s="1"/>
  <c r="Q5" i="4" s="1"/>
  <c r="R5" i="4"/>
  <c r="S5" i="4" s="1"/>
  <c r="U5" i="4"/>
  <c r="V5" i="4" s="1"/>
  <c r="W5" i="4" s="1"/>
  <c r="X5" i="4"/>
  <c r="Y5" i="4" s="1"/>
  <c r="AB5" i="4"/>
  <c r="AC5" i="4" s="1"/>
  <c r="AD5" i="4" s="1"/>
  <c r="B6" i="4"/>
  <c r="E6" i="4"/>
  <c r="F6" i="4" s="1"/>
  <c r="G6" i="4" s="1"/>
  <c r="H6" i="4"/>
  <c r="I6" i="4" s="1"/>
  <c r="K6" i="4"/>
  <c r="L6" i="4" s="1"/>
  <c r="M6" i="4" s="1"/>
  <c r="O6" i="4"/>
  <c r="P6" i="4" s="1"/>
  <c r="R6" i="4"/>
  <c r="S6" i="4" s="1"/>
  <c r="T6" i="4" s="1"/>
  <c r="U6" i="4"/>
  <c r="V6" i="4" s="1"/>
  <c r="X6" i="4"/>
  <c r="Y6" i="4" s="1"/>
  <c r="Z6" i="4" s="1"/>
  <c r="AB6" i="4"/>
  <c r="AC6" i="4" s="1"/>
  <c r="B7" i="4"/>
  <c r="E7" i="4"/>
  <c r="F7" i="4" s="1"/>
  <c r="G7" i="4" s="1"/>
  <c r="H7" i="4"/>
  <c r="I7" i="4" s="1"/>
  <c r="J7" i="4" s="1"/>
  <c r="K7" i="4"/>
  <c r="L7" i="4" s="1"/>
  <c r="M7" i="4" s="1"/>
  <c r="O7" i="4"/>
  <c r="P7" i="4" s="1"/>
  <c r="Q7" i="4" s="1"/>
  <c r="R7" i="4"/>
  <c r="S7" i="4" s="1"/>
  <c r="T7" i="4" s="1"/>
  <c r="U7" i="4"/>
  <c r="V7" i="4" s="1"/>
  <c r="W7" i="4" s="1"/>
  <c r="X7" i="4"/>
  <c r="Y7" i="4" s="1"/>
  <c r="Z7" i="4" s="1"/>
  <c r="AB7" i="4"/>
  <c r="AC7" i="4" s="1"/>
  <c r="AD7" i="4" s="1"/>
  <c r="B8" i="4"/>
  <c r="E8" i="4"/>
  <c r="F8" i="4" s="1"/>
  <c r="G8" i="4" s="1"/>
  <c r="H8" i="4"/>
  <c r="I8" i="4" s="1"/>
  <c r="J8" i="4" s="1"/>
  <c r="K8" i="4"/>
  <c r="L8" i="4" s="1"/>
  <c r="M8" i="4" s="1"/>
  <c r="O8" i="4"/>
  <c r="P8" i="4" s="1"/>
  <c r="Q8" i="4" s="1"/>
  <c r="R8" i="4"/>
  <c r="S8" i="4" s="1"/>
  <c r="T8" i="4" s="1"/>
  <c r="U8" i="4"/>
  <c r="V8" i="4" s="1"/>
  <c r="W8" i="4" s="1"/>
  <c r="X8" i="4"/>
  <c r="Y8" i="4" s="1"/>
  <c r="Z8" i="4" s="1"/>
  <c r="AB8" i="4"/>
  <c r="AC8" i="4" s="1"/>
  <c r="AD8" i="4" s="1"/>
  <c r="B9" i="4"/>
  <c r="E9" i="4"/>
  <c r="F9" i="4" s="1"/>
  <c r="G9" i="4" s="1"/>
  <c r="H9" i="4"/>
  <c r="I9" i="4" s="1"/>
  <c r="J9" i="4" s="1"/>
  <c r="K9" i="4"/>
  <c r="L9" i="4" s="1"/>
  <c r="M9" i="4" s="1"/>
  <c r="O9" i="4"/>
  <c r="P9" i="4" s="1"/>
  <c r="Q9" i="4" s="1"/>
  <c r="R9" i="4"/>
  <c r="S9" i="4" s="1"/>
  <c r="T9" i="4" s="1"/>
  <c r="U9" i="4"/>
  <c r="V9" i="4" s="1"/>
  <c r="W9" i="4" s="1"/>
  <c r="X9" i="4"/>
  <c r="Y9" i="4" s="1"/>
  <c r="Z9" i="4" s="1"/>
  <c r="AB9" i="4"/>
  <c r="AC9" i="4" s="1"/>
  <c r="AD9" i="4" s="1"/>
  <c r="B10" i="4"/>
  <c r="E10" i="4"/>
  <c r="F10" i="4" s="1"/>
  <c r="G10" i="4" s="1"/>
  <c r="H10" i="4"/>
  <c r="I10" i="4" s="1"/>
  <c r="J10" i="4" s="1"/>
  <c r="K10" i="4"/>
  <c r="L10" i="4" s="1"/>
  <c r="M10" i="4" s="1"/>
  <c r="O10" i="4"/>
  <c r="P10" i="4" s="1"/>
  <c r="Q10" i="4" s="1"/>
  <c r="R10" i="4"/>
  <c r="S10" i="4" s="1"/>
  <c r="T10" i="4" s="1"/>
  <c r="U10" i="4"/>
  <c r="V10" i="4" s="1"/>
  <c r="W10" i="4" s="1"/>
  <c r="X10" i="4"/>
  <c r="Y10" i="4" s="1"/>
  <c r="Z10" i="4" s="1"/>
  <c r="AB10" i="4"/>
  <c r="AC10" i="4" s="1"/>
  <c r="AD10" i="4" s="1"/>
  <c r="B11" i="4"/>
  <c r="E11" i="4"/>
  <c r="F11" i="4" s="1"/>
  <c r="G11" i="4" s="1"/>
  <c r="H11" i="4"/>
  <c r="I11" i="4" s="1"/>
  <c r="J11" i="4" s="1"/>
  <c r="K11" i="4"/>
  <c r="L11" i="4" s="1"/>
  <c r="M11" i="4" s="1"/>
  <c r="O11" i="4"/>
  <c r="P11" i="4" s="1"/>
  <c r="Q11" i="4" s="1"/>
  <c r="R11" i="4"/>
  <c r="S11" i="4" s="1"/>
  <c r="T11" i="4" s="1"/>
  <c r="U11" i="4"/>
  <c r="V11" i="4" s="1"/>
  <c r="W11" i="4" s="1"/>
  <c r="X11" i="4"/>
  <c r="Y11" i="4" s="1"/>
  <c r="Z11" i="4" s="1"/>
  <c r="AB11" i="4"/>
  <c r="AC11" i="4" s="1"/>
  <c r="AD11" i="4" s="1"/>
  <c r="B12" i="4"/>
  <c r="E12" i="4"/>
  <c r="F12" i="4" s="1"/>
  <c r="G12" i="4" s="1"/>
  <c r="H12" i="4"/>
  <c r="I12" i="4" s="1"/>
  <c r="J12" i="4" s="1"/>
  <c r="K12" i="4"/>
  <c r="L12" i="4" s="1"/>
  <c r="M12" i="4" s="1"/>
  <c r="O12" i="4"/>
  <c r="P12" i="4" s="1"/>
  <c r="Q12" i="4" s="1"/>
  <c r="R12" i="4"/>
  <c r="S12" i="4" s="1"/>
  <c r="T12" i="4" s="1"/>
  <c r="U12" i="4"/>
  <c r="V12" i="4" s="1"/>
  <c r="W12" i="4" s="1"/>
  <c r="X12" i="4"/>
  <c r="Y12" i="4" s="1"/>
  <c r="Z12" i="4" s="1"/>
  <c r="AB12" i="4"/>
  <c r="AC12" i="4" s="1"/>
  <c r="AD12" i="4" s="1"/>
  <c r="B13" i="4"/>
  <c r="E13" i="4"/>
  <c r="F13" i="4" s="1"/>
  <c r="G13" i="4" s="1"/>
  <c r="H13" i="4"/>
  <c r="I13" i="4" s="1"/>
  <c r="J13" i="4" s="1"/>
  <c r="K13" i="4"/>
  <c r="L13" i="4" s="1"/>
  <c r="M13" i="4" s="1"/>
  <c r="O13" i="4"/>
  <c r="P13" i="4" s="1"/>
  <c r="Q13" i="4" s="1"/>
  <c r="R13" i="4"/>
  <c r="S13" i="4" s="1"/>
  <c r="T13" i="4" s="1"/>
  <c r="U13" i="4"/>
  <c r="V13" i="4" s="1"/>
  <c r="W13" i="4" s="1"/>
  <c r="X13" i="4"/>
  <c r="Y13" i="4" s="1"/>
  <c r="Z13" i="4" s="1"/>
  <c r="AB13" i="4"/>
  <c r="AC13" i="4" s="1"/>
  <c r="AD13" i="4" s="1"/>
  <c r="B14" i="4"/>
  <c r="E14" i="4"/>
  <c r="F14" i="4" s="1"/>
  <c r="G14" i="4" s="1"/>
  <c r="H14" i="4"/>
  <c r="I14" i="4" s="1"/>
  <c r="J14" i="4" s="1"/>
  <c r="K14" i="4"/>
  <c r="L14" i="4" s="1"/>
  <c r="M14" i="4" s="1"/>
  <c r="O14" i="4"/>
  <c r="P14" i="4" s="1"/>
  <c r="Q14" i="4" s="1"/>
  <c r="R14" i="4"/>
  <c r="S14" i="4" s="1"/>
  <c r="T14" i="4" s="1"/>
  <c r="U14" i="4"/>
  <c r="V14" i="4" s="1"/>
  <c r="W14" i="4" s="1"/>
  <c r="X14" i="4"/>
  <c r="Y14" i="4" s="1"/>
  <c r="Z14" i="4" s="1"/>
  <c r="AB14" i="4"/>
  <c r="AC14" i="4" s="1"/>
  <c r="AD14" i="4" s="1"/>
  <c r="B15" i="4"/>
  <c r="E15" i="4"/>
  <c r="F15" i="4" s="1"/>
  <c r="G15" i="4" s="1"/>
  <c r="H15" i="4"/>
  <c r="I15" i="4" s="1"/>
  <c r="J15" i="4" s="1"/>
  <c r="K15" i="4"/>
  <c r="L15" i="4" s="1"/>
  <c r="M15" i="4" s="1"/>
  <c r="O15" i="4"/>
  <c r="P15" i="4" s="1"/>
  <c r="Q15" i="4" s="1"/>
  <c r="R15" i="4"/>
  <c r="S15" i="4" s="1"/>
  <c r="T15" i="4" s="1"/>
  <c r="U15" i="4"/>
  <c r="V15" i="4" s="1"/>
  <c r="W15" i="4" s="1"/>
  <c r="X15" i="4"/>
  <c r="Y15" i="4" s="1"/>
  <c r="Z15" i="4" s="1"/>
  <c r="AB15" i="4"/>
  <c r="AC15" i="4" s="1"/>
  <c r="AD15" i="4" s="1"/>
  <c r="B16" i="4"/>
  <c r="E16" i="4"/>
  <c r="F16" i="4" s="1"/>
  <c r="G16" i="4" s="1"/>
  <c r="H16" i="4"/>
  <c r="I16" i="4" s="1"/>
  <c r="J16" i="4" s="1"/>
  <c r="K16" i="4"/>
  <c r="L16" i="4" s="1"/>
  <c r="M16" i="4" s="1"/>
  <c r="O16" i="4"/>
  <c r="P16" i="4" s="1"/>
  <c r="Q16" i="4" s="1"/>
  <c r="R16" i="4"/>
  <c r="S16" i="4" s="1"/>
  <c r="T16" i="4" s="1"/>
  <c r="U16" i="4"/>
  <c r="V16" i="4" s="1"/>
  <c r="W16" i="4" s="1"/>
  <c r="X16" i="4"/>
  <c r="Y16" i="4" s="1"/>
  <c r="Z16" i="4" s="1"/>
  <c r="AB16" i="4"/>
  <c r="AC16" i="4" s="1"/>
  <c r="AD16" i="4" s="1"/>
  <c r="B17" i="4"/>
  <c r="E17" i="4"/>
  <c r="F17" i="4" s="1"/>
  <c r="G17" i="4" s="1"/>
  <c r="H17" i="4"/>
  <c r="I17" i="4" s="1"/>
  <c r="J17" i="4" s="1"/>
  <c r="K17" i="4"/>
  <c r="L17" i="4" s="1"/>
  <c r="M17" i="4" s="1"/>
  <c r="O17" i="4"/>
  <c r="P17" i="4" s="1"/>
  <c r="Q17" i="4" s="1"/>
  <c r="R17" i="4"/>
  <c r="S17" i="4" s="1"/>
  <c r="T17" i="4" s="1"/>
  <c r="U17" i="4"/>
  <c r="V17" i="4" s="1"/>
  <c r="W17" i="4" s="1"/>
  <c r="X17" i="4"/>
  <c r="Y17" i="4" s="1"/>
  <c r="Z17" i="4" s="1"/>
  <c r="AB17" i="4"/>
  <c r="AC17" i="4" s="1"/>
  <c r="AD17" i="4" s="1"/>
  <c r="B18" i="4"/>
  <c r="E18" i="4"/>
  <c r="F18" i="4" s="1"/>
  <c r="G18" i="4" s="1"/>
  <c r="H18" i="4"/>
  <c r="I18" i="4" s="1"/>
  <c r="J18" i="4" s="1"/>
  <c r="K18" i="4"/>
  <c r="L18" i="4" s="1"/>
  <c r="M18" i="4" s="1"/>
  <c r="O18" i="4"/>
  <c r="P18" i="4" s="1"/>
  <c r="Q18" i="4" s="1"/>
  <c r="R18" i="4"/>
  <c r="S18" i="4" s="1"/>
  <c r="T18" i="4" s="1"/>
  <c r="U18" i="4"/>
  <c r="V18" i="4" s="1"/>
  <c r="W18" i="4" s="1"/>
  <c r="X18" i="4"/>
  <c r="Y18" i="4" s="1"/>
  <c r="Z18" i="4" s="1"/>
  <c r="AB18" i="4"/>
  <c r="AC18" i="4" s="1"/>
  <c r="AD18" i="4" s="1"/>
  <c r="B19" i="4"/>
  <c r="E19" i="4"/>
  <c r="F19" i="4" s="1"/>
  <c r="G19" i="4" s="1"/>
  <c r="H19" i="4"/>
  <c r="I19" i="4" s="1"/>
  <c r="J19" i="4" s="1"/>
  <c r="K19" i="4"/>
  <c r="L19" i="4" s="1"/>
  <c r="M19" i="4" s="1"/>
  <c r="O19" i="4"/>
  <c r="P19" i="4" s="1"/>
  <c r="Q19" i="4" s="1"/>
  <c r="R19" i="4"/>
  <c r="S19" i="4" s="1"/>
  <c r="T19" i="4" s="1"/>
  <c r="U19" i="4"/>
  <c r="V19" i="4" s="1"/>
  <c r="W19" i="4" s="1"/>
  <c r="X19" i="4"/>
  <c r="Y19" i="4" s="1"/>
  <c r="Z19" i="4" s="1"/>
  <c r="AB19" i="4"/>
  <c r="AC19" i="4" s="1"/>
  <c r="AD19" i="4" s="1"/>
  <c r="B20" i="4"/>
  <c r="E20" i="4"/>
  <c r="F20" i="4" s="1"/>
  <c r="G20" i="4" s="1"/>
  <c r="H20" i="4"/>
  <c r="I20" i="4" s="1"/>
  <c r="J20" i="4" s="1"/>
  <c r="K20" i="4"/>
  <c r="L20" i="4" s="1"/>
  <c r="M20" i="4" s="1"/>
  <c r="O20" i="4"/>
  <c r="P20" i="4" s="1"/>
  <c r="Q20" i="4" s="1"/>
  <c r="R20" i="4"/>
  <c r="S20" i="4" s="1"/>
  <c r="T20" i="4" s="1"/>
  <c r="U20" i="4"/>
  <c r="V20" i="4" s="1"/>
  <c r="W20" i="4" s="1"/>
  <c r="X20" i="4"/>
  <c r="Y20" i="4" s="1"/>
  <c r="Z20" i="4" s="1"/>
  <c r="AB20" i="4"/>
  <c r="AC20" i="4" s="1"/>
  <c r="AD20" i="4" s="1"/>
  <c r="B21" i="4"/>
  <c r="E21" i="4"/>
  <c r="F21" i="4" s="1"/>
  <c r="G21" i="4" s="1"/>
  <c r="H21" i="4"/>
  <c r="I21" i="4" s="1"/>
  <c r="J21" i="4" s="1"/>
  <c r="K21" i="4"/>
  <c r="L21" i="4" s="1"/>
  <c r="M21" i="4" s="1"/>
  <c r="O21" i="4"/>
  <c r="P21" i="4" s="1"/>
  <c r="Q21" i="4" s="1"/>
  <c r="R21" i="4"/>
  <c r="S21" i="4" s="1"/>
  <c r="T21" i="4" s="1"/>
  <c r="U21" i="4"/>
  <c r="V21" i="4" s="1"/>
  <c r="W21" i="4" s="1"/>
  <c r="X21" i="4"/>
  <c r="Y21" i="4" s="1"/>
  <c r="Z21" i="4" s="1"/>
  <c r="AB21" i="4"/>
  <c r="AC21" i="4" s="1"/>
  <c r="AD21" i="4" s="1"/>
  <c r="B22" i="4"/>
  <c r="E22" i="4"/>
  <c r="F22" i="4" s="1"/>
  <c r="G22" i="4" s="1"/>
  <c r="H22" i="4"/>
  <c r="I22" i="4" s="1"/>
  <c r="J22" i="4" s="1"/>
  <c r="K22" i="4"/>
  <c r="L22" i="4" s="1"/>
  <c r="M22" i="4" s="1"/>
  <c r="O22" i="4"/>
  <c r="P22" i="4" s="1"/>
  <c r="Q22" i="4" s="1"/>
  <c r="R22" i="4"/>
  <c r="S22" i="4" s="1"/>
  <c r="T22" i="4" s="1"/>
  <c r="U22" i="4"/>
  <c r="V22" i="4" s="1"/>
  <c r="W22" i="4" s="1"/>
  <c r="X22" i="4"/>
  <c r="Y22" i="4" s="1"/>
  <c r="Z22" i="4" s="1"/>
  <c r="AB22" i="4"/>
  <c r="AC22" i="4" s="1"/>
  <c r="AD22" i="4" s="1"/>
  <c r="B23" i="4"/>
  <c r="E23" i="4"/>
  <c r="F23" i="4" s="1"/>
  <c r="G23" i="4" s="1"/>
  <c r="H23" i="4"/>
  <c r="I23" i="4" s="1"/>
  <c r="J23" i="4" s="1"/>
  <c r="K23" i="4"/>
  <c r="L23" i="4" s="1"/>
  <c r="M23" i="4" s="1"/>
  <c r="O23" i="4"/>
  <c r="P23" i="4" s="1"/>
  <c r="Q23" i="4" s="1"/>
  <c r="R23" i="4"/>
  <c r="S23" i="4" s="1"/>
  <c r="T23" i="4" s="1"/>
  <c r="U23" i="4"/>
  <c r="V23" i="4" s="1"/>
  <c r="W23" i="4" s="1"/>
  <c r="X23" i="4"/>
  <c r="Y23" i="4" s="1"/>
  <c r="Z23" i="4" s="1"/>
  <c r="AB23" i="4"/>
  <c r="AC23" i="4" s="1"/>
  <c r="AD23" i="4" s="1"/>
  <c r="B24" i="4"/>
  <c r="E24" i="4"/>
  <c r="F24" i="4" s="1"/>
  <c r="G24" i="4" s="1"/>
  <c r="H24" i="4"/>
  <c r="I24" i="4" s="1"/>
  <c r="J24" i="4" s="1"/>
  <c r="K24" i="4"/>
  <c r="L24" i="4" s="1"/>
  <c r="M24" i="4" s="1"/>
  <c r="O24" i="4"/>
  <c r="P24" i="4" s="1"/>
  <c r="Q24" i="4" s="1"/>
  <c r="R24" i="4"/>
  <c r="S24" i="4" s="1"/>
  <c r="T24" i="4" s="1"/>
  <c r="U24" i="4"/>
  <c r="V24" i="4" s="1"/>
  <c r="W24" i="4" s="1"/>
  <c r="X24" i="4"/>
  <c r="Y24" i="4" s="1"/>
  <c r="Z24" i="4" s="1"/>
  <c r="AB24" i="4"/>
  <c r="AC24" i="4" s="1"/>
  <c r="AD24" i="4" s="1"/>
  <c r="B25" i="4"/>
  <c r="E25" i="4"/>
  <c r="F25" i="4" s="1"/>
  <c r="G25" i="4" s="1"/>
  <c r="H25" i="4"/>
  <c r="I25" i="4" s="1"/>
  <c r="J25" i="4" s="1"/>
  <c r="K25" i="4"/>
  <c r="L25" i="4" s="1"/>
  <c r="M25" i="4" s="1"/>
  <c r="O25" i="4"/>
  <c r="P25" i="4" s="1"/>
  <c r="Q25" i="4" s="1"/>
  <c r="R25" i="4"/>
  <c r="S25" i="4" s="1"/>
  <c r="T25" i="4" s="1"/>
  <c r="U25" i="4"/>
  <c r="V25" i="4" s="1"/>
  <c r="W25" i="4" s="1"/>
  <c r="X25" i="4"/>
  <c r="Y25" i="4" s="1"/>
  <c r="Z25" i="4" s="1"/>
  <c r="AB25" i="4"/>
  <c r="AC25" i="4" s="1"/>
  <c r="AD25" i="4" s="1"/>
  <c r="B26" i="4"/>
  <c r="E26" i="4"/>
  <c r="F26" i="4" s="1"/>
  <c r="G26" i="4" s="1"/>
  <c r="H26" i="4"/>
  <c r="I26" i="4" s="1"/>
  <c r="J26" i="4" s="1"/>
  <c r="K26" i="4"/>
  <c r="L26" i="4" s="1"/>
  <c r="M26" i="4" s="1"/>
  <c r="O26" i="4"/>
  <c r="P26" i="4" s="1"/>
  <c r="Q26" i="4" s="1"/>
  <c r="R26" i="4"/>
  <c r="S26" i="4" s="1"/>
  <c r="T26" i="4" s="1"/>
  <c r="U26" i="4"/>
  <c r="V26" i="4" s="1"/>
  <c r="W26" i="4" s="1"/>
  <c r="X26" i="4"/>
  <c r="Y26" i="4" s="1"/>
  <c r="Z26" i="4" s="1"/>
  <c r="AB26" i="4"/>
  <c r="AC26" i="4" s="1"/>
  <c r="AD26" i="4" s="1"/>
  <c r="B27" i="4"/>
  <c r="E27" i="4"/>
  <c r="F27" i="4" s="1"/>
  <c r="G27" i="4" s="1"/>
  <c r="H27" i="4"/>
  <c r="I27" i="4" s="1"/>
  <c r="J27" i="4" s="1"/>
  <c r="K27" i="4"/>
  <c r="L27" i="4" s="1"/>
  <c r="M27" i="4" s="1"/>
  <c r="O27" i="4"/>
  <c r="P27" i="4" s="1"/>
  <c r="Q27" i="4" s="1"/>
  <c r="R27" i="4"/>
  <c r="S27" i="4" s="1"/>
  <c r="T27" i="4" s="1"/>
  <c r="U27" i="4"/>
  <c r="V27" i="4" s="1"/>
  <c r="W27" i="4" s="1"/>
  <c r="X27" i="4"/>
  <c r="Y27" i="4" s="1"/>
  <c r="Z27" i="4" s="1"/>
  <c r="AB27" i="4"/>
  <c r="AC27" i="4" s="1"/>
  <c r="AD27" i="4" s="1"/>
  <c r="B28" i="4"/>
  <c r="E28" i="4"/>
  <c r="F28" i="4" s="1"/>
  <c r="G28" i="4" s="1"/>
  <c r="H28" i="4"/>
  <c r="I28" i="4" s="1"/>
  <c r="J28" i="4" s="1"/>
  <c r="K28" i="4"/>
  <c r="L28" i="4" s="1"/>
  <c r="M28" i="4" s="1"/>
  <c r="O28" i="4"/>
  <c r="P28" i="4" s="1"/>
  <c r="Q28" i="4" s="1"/>
  <c r="R28" i="4"/>
  <c r="S28" i="4" s="1"/>
  <c r="T28" i="4" s="1"/>
  <c r="U28" i="4"/>
  <c r="V28" i="4" s="1"/>
  <c r="W28" i="4" s="1"/>
  <c r="X28" i="4"/>
  <c r="Y28" i="4" s="1"/>
  <c r="Z28" i="4" s="1"/>
  <c r="AB28" i="4"/>
  <c r="AC28" i="4" s="1"/>
  <c r="AD28" i="4" s="1"/>
  <c r="B29" i="4"/>
  <c r="E29" i="4"/>
  <c r="F29" i="4" s="1"/>
  <c r="G29" i="4" s="1"/>
  <c r="H29" i="4"/>
  <c r="I29" i="4" s="1"/>
  <c r="J29" i="4" s="1"/>
  <c r="K29" i="4"/>
  <c r="L29" i="4" s="1"/>
  <c r="M29" i="4" s="1"/>
  <c r="O29" i="4"/>
  <c r="P29" i="4" s="1"/>
  <c r="Q29" i="4" s="1"/>
  <c r="R29" i="4"/>
  <c r="S29" i="4" s="1"/>
  <c r="T29" i="4" s="1"/>
  <c r="U29" i="4"/>
  <c r="V29" i="4" s="1"/>
  <c r="W29" i="4" s="1"/>
  <c r="X29" i="4"/>
  <c r="Y29" i="4" s="1"/>
  <c r="Z29" i="4" s="1"/>
  <c r="AB29" i="4"/>
  <c r="AC29" i="4" s="1"/>
  <c r="AD29" i="4" s="1"/>
  <c r="B30" i="4"/>
  <c r="E30" i="4"/>
  <c r="F30" i="4" s="1"/>
  <c r="G30" i="4" s="1"/>
  <c r="H30" i="4"/>
  <c r="I30" i="4" s="1"/>
  <c r="J30" i="4" s="1"/>
  <c r="K30" i="4"/>
  <c r="L30" i="4" s="1"/>
  <c r="M30" i="4" s="1"/>
  <c r="O30" i="4"/>
  <c r="P30" i="4" s="1"/>
  <c r="Q30" i="4" s="1"/>
  <c r="R30" i="4"/>
  <c r="S30" i="4" s="1"/>
  <c r="T30" i="4" s="1"/>
  <c r="U30" i="4"/>
  <c r="V30" i="4" s="1"/>
  <c r="W30" i="4" s="1"/>
  <c r="X30" i="4"/>
  <c r="Y30" i="4" s="1"/>
  <c r="Z30" i="4" s="1"/>
  <c r="AB30" i="4"/>
  <c r="AC30" i="4" s="1"/>
  <c r="AD30" i="4" s="1"/>
  <c r="B31" i="4"/>
  <c r="E31" i="4"/>
  <c r="F31" i="4" s="1"/>
  <c r="G31" i="4" s="1"/>
  <c r="H31" i="4"/>
  <c r="I31" i="4" s="1"/>
  <c r="J31" i="4" s="1"/>
  <c r="K31" i="4"/>
  <c r="L31" i="4" s="1"/>
  <c r="M31" i="4" s="1"/>
  <c r="O31" i="4"/>
  <c r="P31" i="4" s="1"/>
  <c r="Q31" i="4" s="1"/>
  <c r="R31" i="4"/>
  <c r="S31" i="4" s="1"/>
  <c r="T31" i="4" s="1"/>
  <c r="U31" i="4"/>
  <c r="V31" i="4" s="1"/>
  <c r="W31" i="4" s="1"/>
  <c r="X31" i="4"/>
  <c r="Y31" i="4" s="1"/>
  <c r="Z31" i="4" s="1"/>
  <c r="AB31" i="4"/>
  <c r="AC31" i="4" s="1"/>
  <c r="AD31" i="4" s="1"/>
  <c r="B32" i="4"/>
  <c r="E32" i="4"/>
  <c r="F32" i="4" s="1"/>
  <c r="G32" i="4" s="1"/>
  <c r="H32" i="4"/>
  <c r="I32" i="4" s="1"/>
  <c r="J32" i="4" s="1"/>
  <c r="K32" i="4"/>
  <c r="L32" i="4" s="1"/>
  <c r="M32" i="4" s="1"/>
  <c r="O32" i="4"/>
  <c r="P32" i="4" s="1"/>
  <c r="Q32" i="4" s="1"/>
  <c r="R32" i="4"/>
  <c r="S32" i="4" s="1"/>
  <c r="T32" i="4" s="1"/>
  <c r="U32" i="4"/>
  <c r="V32" i="4" s="1"/>
  <c r="W32" i="4" s="1"/>
  <c r="X32" i="4"/>
  <c r="Y32" i="4" s="1"/>
  <c r="Z32" i="4" s="1"/>
  <c r="AB32" i="4"/>
  <c r="AC32" i="4" s="1"/>
  <c r="AD32" i="4" s="1"/>
  <c r="C33" i="4"/>
  <c r="D33" i="4" s="1"/>
  <c r="F33" i="4"/>
  <c r="G33" i="4" s="1"/>
  <c r="I33" i="4"/>
  <c r="J33" i="4" s="1"/>
  <c r="L33" i="4"/>
  <c r="M33" i="4" s="1"/>
  <c r="P33" i="4"/>
  <c r="Q33" i="4" s="1"/>
  <c r="S33" i="4"/>
  <c r="T33" i="4" s="1"/>
  <c r="V33" i="4"/>
  <c r="W33" i="4" s="1"/>
  <c r="Y33" i="4"/>
  <c r="Z33" i="4" s="1"/>
  <c r="AC33" i="4"/>
  <c r="AD33" i="4" s="1"/>
  <c r="B5" i="1"/>
  <c r="E5" i="1"/>
  <c r="F5" i="1" s="1"/>
  <c r="H5" i="1"/>
  <c r="I5" i="1" s="1"/>
  <c r="J5" i="1" s="1"/>
  <c r="K5" i="1"/>
  <c r="L5" i="1" s="1"/>
  <c r="O5" i="1"/>
  <c r="P5" i="1" s="1"/>
  <c r="Q5" i="1" s="1"/>
  <c r="R5" i="1"/>
  <c r="S5" i="1" s="1"/>
  <c r="U5" i="1"/>
  <c r="V5" i="1" s="1"/>
  <c r="W5" i="1" s="1"/>
  <c r="X5" i="1"/>
  <c r="Y5" i="1" s="1"/>
  <c r="AB5" i="1"/>
  <c r="AC5" i="1" s="1"/>
  <c r="AD5" i="1" s="1"/>
  <c r="B6" i="1"/>
  <c r="E6" i="1"/>
  <c r="F6" i="1" s="1"/>
  <c r="G6" i="1" s="1"/>
  <c r="H6" i="1"/>
  <c r="I6" i="1" s="1"/>
  <c r="K6" i="1"/>
  <c r="L6" i="1" s="1"/>
  <c r="M6" i="1" s="1"/>
  <c r="O6" i="1"/>
  <c r="P6" i="1" s="1"/>
  <c r="R6" i="1"/>
  <c r="S6" i="1" s="1"/>
  <c r="T6" i="1" s="1"/>
  <c r="U6" i="1"/>
  <c r="V6" i="1" s="1"/>
  <c r="X6" i="1"/>
  <c r="Y6" i="1" s="1"/>
  <c r="Z6" i="1" s="1"/>
  <c r="AB6" i="1"/>
  <c r="AC6" i="1" s="1"/>
  <c r="B7" i="1"/>
  <c r="E7" i="1"/>
  <c r="F7" i="1" s="1"/>
  <c r="G7" i="1" s="1"/>
  <c r="H7" i="1"/>
  <c r="I7" i="1" s="1"/>
  <c r="J7" i="1" s="1"/>
  <c r="K7" i="1"/>
  <c r="L7" i="1" s="1"/>
  <c r="M7" i="1" s="1"/>
  <c r="O7" i="1"/>
  <c r="P7" i="1" s="1"/>
  <c r="Q7" i="1" s="1"/>
  <c r="R7" i="1"/>
  <c r="S7" i="1" s="1"/>
  <c r="T7" i="1" s="1"/>
  <c r="U7" i="1"/>
  <c r="V7" i="1" s="1"/>
  <c r="W7" i="1" s="1"/>
  <c r="X7" i="1"/>
  <c r="Y7" i="1" s="1"/>
  <c r="Z7" i="1" s="1"/>
  <c r="AB7" i="1"/>
  <c r="AC7" i="1" s="1"/>
  <c r="AD7" i="1" s="1"/>
  <c r="B8" i="1"/>
  <c r="E8" i="1"/>
  <c r="F8" i="1" s="1"/>
  <c r="G8" i="1" s="1"/>
  <c r="H8" i="1"/>
  <c r="I8" i="1" s="1"/>
  <c r="J8" i="1" s="1"/>
  <c r="K8" i="1"/>
  <c r="L8" i="1" s="1"/>
  <c r="M8" i="1" s="1"/>
  <c r="O8" i="1"/>
  <c r="P8" i="1" s="1"/>
  <c r="Q8" i="1" s="1"/>
  <c r="R8" i="1"/>
  <c r="S8" i="1" s="1"/>
  <c r="T8" i="1" s="1"/>
  <c r="U8" i="1"/>
  <c r="V8" i="1" s="1"/>
  <c r="W8" i="1" s="1"/>
  <c r="X8" i="1"/>
  <c r="Y8" i="1" s="1"/>
  <c r="Z8" i="1" s="1"/>
  <c r="AB8" i="1"/>
  <c r="AC8" i="1" s="1"/>
  <c r="AD8" i="1" s="1"/>
  <c r="B9" i="1"/>
  <c r="E9" i="1"/>
  <c r="F9" i="1" s="1"/>
  <c r="G9" i="1" s="1"/>
  <c r="H9" i="1"/>
  <c r="I9" i="1" s="1"/>
  <c r="J9" i="1" s="1"/>
  <c r="K9" i="1"/>
  <c r="L9" i="1" s="1"/>
  <c r="M9" i="1" s="1"/>
  <c r="O9" i="1"/>
  <c r="P9" i="1" s="1"/>
  <c r="Q9" i="1" s="1"/>
  <c r="R9" i="1"/>
  <c r="S9" i="1" s="1"/>
  <c r="T9" i="1" s="1"/>
  <c r="U9" i="1"/>
  <c r="V9" i="1" s="1"/>
  <c r="W9" i="1" s="1"/>
  <c r="X9" i="1"/>
  <c r="Y9" i="1" s="1"/>
  <c r="Z9" i="1" s="1"/>
  <c r="AB9" i="1"/>
  <c r="AC9" i="1" s="1"/>
  <c r="AD9" i="1" s="1"/>
  <c r="B10" i="1"/>
  <c r="E10" i="1"/>
  <c r="F10" i="1" s="1"/>
  <c r="G10" i="1" s="1"/>
  <c r="H10" i="1"/>
  <c r="I10" i="1" s="1"/>
  <c r="J10" i="1" s="1"/>
  <c r="K10" i="1"/>
  <c r="L10" i="1" s="1"/>
  <c r="M10" i="1" s="1"/>
  <c r="O10" i="1"/>
  <c r="P10" i="1" s="1"/>
  <c r="Q10" i="1" s="1"/>
  <c r="R10" i="1"/>
  <c r="S10" i="1" s="1"/>
  <c r="T10" i="1" s="1"/>
  <c r="U10" i="1"/>
  <c r="V10" i="1" s="1"/>
  <c r="W10" i="1" s="1"/>
  <c r="X10" i="1"/>
  <c r="Y10" i="1" s="1"/>
  <c r="Z10" i="1" s="1"/>
  <c r="AB10" i="1"/>
  <c r="AC10" i="1" s="1"/>
  <c r="AD10" i="1" s="1"/>
  <c r="B11" i="1"/>
  <c r="E11" i="1"/>
  <c r="F11" i="1" s="1"/>
  <c r="G11" i="1" s="1"/>
  <c r="H11" i="1"/>
  <c r="I11" i="1" s="1"/>
  <c r="J11" i="1" s="1"/>
  <c r="K11" i="1"/>
  <c r="L11" i="1" s="1"/>
  <c r="M11" i="1" s="1"/>
  <c r="O11" i="1"/>
  <c r="P11" i="1" s="1"/>
  <c r="Q11" i="1" s="1"/>
  <c r="R11" i="1"/>
  <c r="S11" i="1" s="1"/>
  <c r="T11" i="1" s="1"/>
  <c r="U11" i="1"/>
  <c r="V11" i="1" s="1"/>
  <c r="W11" i="1" s="1"/>
  <c r="X11" i="1"/>
  <c r="Y11" i="1" s="1"/>
  <c r="Z11" i="1" s="1"/>
  <c r="AB11" i="1"/>
  <c r="AC11" i="1" s="1"/>
  <c r="AD11" i="1" s="1"/>
  <c r="B12" i="1"/>
  <c r="E12" i="1"/>
  <c r="F12" i="1" s="1"/>
  <c r="G12" i="1" s="1"/>
  <c r="H12" i="1"/>
  <c r="I12" i="1" s="1"/>
  <c r="J12" i="1" s="1"/>
  <c r="K12" i="1"/>
  <c r="L12" i="1" s="1"/>
  <c r="M12" i="1" s="1"/>
  <c r="O12" i="1"/>
  <c r="P12" i="1" s="1"/>
  <c r="Q12" i="1" s="1"/>
  <c r="R12" i="1"/>
  <c r="S12" i="1" s="1"/>
  <c r="T12" i="1" s="1"/>
  <c r="U12" i="1"/>
  <c r="V12" i="1" s="1"/>
  <c r="W12" i="1" s="1"/>
  <c r="X12" i="1"/>
  <c r="Y12" i="1" s="1"/>
  <c r="Z12" i="1" s="1"/>
  <c r="AB12" i="1"/>
  <c r="AC12" i="1" s="1"/>
  <c r="AD12" i="1" s="1"/>
  <c r="B13" i="1"/>
  <c r="E13" i="1"/>
  <c r="F13" i="1" s="1"/>
  <c r="G13" i="1" s="1"/>
  <c r="H13" i="1"/>
  <c r="I13" i="1" s="1"/>
  <c r="J13" i="1" s="1"/>
  <c r="K13" i="1"/>
  <c r="L13" i="1" s="1"/>
  <c r="M13" i="1" s="1"/>
  <c r="O13" i="1"/>
  <c r="P13" i="1" s="1"/>
  <c r="Q13" i="1" s="1"/>
  <c r="R13" i="1"/>
  <c r="S13" i="1" s="1"/>
  <c r="T13" i="1" s="1"/>
  <c r="U13" i="1"/>
  <c r="V13" i="1" s="1"/>
  <c r="W13" i="1" s="1"/>
  <c r="X13" i="1"/>
  <c r="Y13" i="1" s="1"/>
  <c r="Z13" i="1" s="1"/>
  <c r="AB13" i="1"/>
  <c r="AC13" i="1" s="1"/>
  <c r="AD13" i="1" s="1"/>
  <c r="B14" i="1"/>
  <c r="E14" i="1"/>
  <c r="F14" i="1" s="1"/>
  <c r="G14" i="1" s="1"/>
  <c r="H14" i="1"/>
  <c r="I14" i="1" s="1"/>
  <c r="J14" i="1" s="1"/>
  <c r="K14" i="1"/>
  <c r="L14" i="1" s="1"/>
  <c r="M14" i="1" s="1"/>
  <c r="O14" i="1"/>
  <c r="P14" i="1" s="1"/>
  <c r="Q14" i="1" s="1"/>
  <c r="R14" i="1"/>
  <c r="S14" i="1" s="1"/>
  <c r="T14" i="1" s="1"/>
  <c r="U14" i="1"/>
  <c r="V14" i="1" s="1"/>
  <c r="W14" i="1" s="1"/>
  <c r="X14" i="1"/>
  <c r="Y14" i="1" s="1"/>
  <c r="Z14" i="1" s="1"/>
  <c r="AB14" i="1"/>
  <c r="AC14" i="1" s="1"/>
  <c r="AD14" i="1" s="1"/>
  <c r="B15" i="1"/>
  <c r="E15" i="1"/>
  <c r="F15" i="1" s="1"/>
  <c r="G15" i="1" s="1"/>
  <c r="H15" i="1"/>
  <c r="I15" i="1" s="1"/>
  <c r="J15" i="1" s="1"/>
  <c r="K15" i="1"/>
  <c r="L15" i="1" s="1"/>
  <c r="M15" i="1" s="1"/>
  <c r="O15" i="1"/>
  <c r="P15" i="1" s="1"/>
  <c r="Q15" i="1" s="1"/>
  <c r="R15" i="1"/>
  <c r="S15" i="1" s="1"/>
  <c r="T15" i="1" s="1"/>
  <c r="U15" i="1"/>
  <c r="V15" i="1" s="1"/>
  <c r="W15" i="1" s="1"/>
  <c r="X15" i="1"/>
  <c r="Y15" i="1" s="1"/>
  <c r="Z15" i="1" s="1"/>
  <c r="AB15" i="1"/>
  <c r="AC15" i="1" s="1"/>
  <c r="AD15" i="1" s="1"/>
  <c r="B16" i="1"/>
  <c r="E16" i="1"/>
  <c r="F16" i="1" s="1"/>
  <c r="G16" i="1" s="1"/>
  <c r="H16" i="1"/>
  <c r="I16" i="1" s="1"/>
  <c r="J16" i="1" s="1"/>
  <c r="K16" i="1"/>
  <c r="L16" i="1" s="1"/>
  <c r="M16" i="1" s="1"/>
  <c r="O16" i="1"/>
  <c r="P16" i="1" s="1"/>
  <c r="Q16" i="1" s="1"/>
  <c r="R16" i="1"/>
  <c r="S16" i="1" s="1"/>
  <c r="T16" i="1" s="1"/>
  <c r="U16" i="1"/>
  <c r="V16" i="1" s="1"/>
  <c r="W16" i="1" s="1"/>
  <c r="X16" i="1"/>
  <c r="Y16" i="1" s="1"/>
  <c r="Z16" i="1" s="1"/>
  <c r="AB16" i="1"/>
  <c r="AC16" i="1" s="1"/>
  <c r="AD16" i="1" s="1"/>
  <c r="B17" i="1"/>
  <c r="E17" i="1"/>
  <c r="F17" i="1" s="1"/>
  <c r="G17" i="1" s="1"/>
  <c r="H17" i="1"/>
  <c r="I17" i="1" s="1"/>
  <c r="J17" i="1" s="1"/>
  <c r="K17" i="1"/>
  <c r="L17" i="1" s="1"/>
  <c r="M17" i="1" s="1"/>
  <c r="O17" i="1"/>
  <c r="P17" i="1" s="1"/>
  <c r="Q17" i="1" s="1"/>
  <c r="R17" i="1"/>
  <c r="S17" i="1" s="1"/>
  <c r="T17" i="1" s="1"/>
  <c r="U17" i="1"/>
  <c r="V17" i="1" s="1"/>
  <c r="W17" i="1" s="1"/>
  <c r="X17" i="1"/>
  <c r="Y17" i="1" s="1"/>
  <c r="Z17" i="1" s="1"/>
  <c r="AB17" i="1"/>
  <c r="AC17" i="1" s="1"/>
  <c r="AD17" i="1" s="1"/>
  <c r="B18" i="1"/>
  <c r="E18" i="1"/>
  <c r="F18" i="1" s="1"/>
  <c r="G18" i="1" s="1"/>
  <c r="H18" i="1"/>
  <c r="I18" i="1" s="1"/>
  <c r="J18" i="1" s="1"/>
  <c r="K18" i="1"/>
  <c r="L18" i="1" s="1"/>
  <c r="M18" i="1" s="1"/>
  <c r="O18" i="1"/>
  <c r="P18" i="1" s="1"/>
  <c r="Q18" i="1" s="1"/>
  <c r="R18" i="1"/>
  <c r="S18" i="1" s="1"/>
  <c r="T18" i="1" s="1"/>
  <c r="U18" i="1"/>
  <c r="V18" i="1" s="1"/>
  <c r="W18" i="1" s="1"/>
  <c r="X18" i="1"/>
  <c r="Y18" i="1" s="1"/>
  <c r="Z18" i="1" s="1"/>
  <c r="AB18" i="1"/>
  <c r="AC18" i="1" s="1"/>
  <c r="AD18" i="1" s="1"/>
  <c r="B19" i="1"/>
  <c r="E19" i="1"/>
  <c r="F19" i="1" s="1"/>
  <c r="G19" i="1" s="1"/>
  <c r="H19" i="1"/>
  <c r="I19" i="1" s="1"/>
  <c r="J19" i="1" s="1"/>
  <c r="K19" i="1"/>
  <c r="L19" i="1" s="1"/>
  <c r="M19" i="1" s="1"/>
  <c r="O19" i="1"/>
  <c r="P19" i="1" s="1"/>
  <c r="Q19" i="1" s="1"/>
  <c r="R19" i="1"/>
  <c r="S19" i="1" s="1"/>
  <c r="T19" i="1" s="1"/>
  <c r="U19" i="1"/>
  <c r="V19" i="1" s="1"/>
  <c r="W19" i="1" s="1"/>
  <c r="X19" i="1"/>
  <c r="Y19" i="1" s="1"/>
  <c r="Z19" i="1" s="1"/>
  <c r="AB19" i="1"/>
  <c r="AC19" i="1" s="1"/>
  <c r="AD19" i="1" s="1"/>
  <c r="B20" i="1"/>
  <c r="E20" i="1"/>
  <c r="F20" i="1" s="1"/>
  <c r="G20" i="1" s="1"/>
  <c r="H20" i="1"/>
  <c r="I20" i="1" s="1"/>
  <c r="J20" i="1" s="1"/>
  <c r="K20" i="1"/>
  <c r="L20" i="1" s="1"/>
  <c r="M20" i="1" s="1"/>
  <c r="O20" i="1"/>
  <c r="P20" i="1" s="1"/>
  <c r="Q20" i="1" s="1"/>
  <c r="R20" i="1"/>
  <c r="S20" i="1" s="1"/>
  <c r="T20" i="1" s="1"/>
  <c r="U20" i="1"/>
  <c r="V20" i="1" s="1"/>
  <c r="W20" i="1" s="1"/>
  <c r="X20" i="1"/>
  <c r="Y20" i="1" s="1"/>
  <c r="Z20" i="1" s="1"/>
  <c r="AB20" i="1"/>
  <c r="AC20" i="1" s="1"/>
  <c r="AD20" i="1" s="1"/>
  <c r="B21" i="1"/>
  <c r="E21" i="1"/>
  <c r="F21" i="1" s="1"/>
  <c r="G21" i="1" s="1"/>
  <c r="H21" i="1"/>
  <c r="I21" i="1" s="1"/>
  <c r="J21" i="1" s="1"/>
  <c r="K21" i="1"/>
  <c r="L21" i="1" s="1"/>
  <c r="M21" i="1" s="1"/>
  <c r="O21" i="1"/>
  <c r="P21" i="1" s="1"/>
  <c r="Q21" i="1" s="1"/>
  <c r="R21" i="1"/>
  <c r="S21" i="1" s="1"/>
  <c r="T21" i="1" s="1"/>
  <c r="U21" i="1"/>
  <c r="V21" i="1" s="1"/>
  <c r="W21" i="1" s="1"/>
  <c r="X21" i="1"/>
  <c r="Y21" i="1" s="1"/>
  <c r="Z21" i="1" s="1"/>
  <c r="AB21" i="1"/>
  <c r="AC21" i="1" s="1"/>
  <c r="AD21" i="1" s="1"/>
  <c r="B22" i="1"/>
  <c r="E22" i="1"/>
  <c r="F22" i="1" s="1"/>
  <c r="G22" i="1" s="1"/>
  <c r="H22" i="1"/>
  <c r="I22" i="1" s="1"/>
  <c r="J22" i="1" s="1"/>
  <c r="K22" i="1"/>
  <c r="L22" i="1" s="1"/>
  <c r="M22" i="1" s="1"/>
  <c r="O22" i="1"/>
  <c r="P22" i="1" s="1"/>
  <c r="Q22" i="1" s="1"/>
  <c r="R22" i="1"/>
  <c r="S22" i="1" s="1"/>
  <c r="T22" i="1" s="1"/>
  <c r="U22" i="1"/>
  <c r="V22" i="1" s="1"/>
  <c r="W22" i="1" s="1"/>
  <c r="X22" i="1"/>
  <c r="Y22" i="1" s="1"/>
  <c r="Z22" i="1" s="1"/>
  <c r="AB22" i="1"/>
  <c r="AC22" i="1" s="1"/>
  <c r="AD22" i="1" s="1"/>
  <c r="B23" i="1"/>
  <c r="E23" i="1"/>
  <c r="F23" i="1" s="1"/>
  <c r="G23" i="1" s="1"/>
  <c r="H23" i="1"/>
  <c r="I23" i="1" s="1"/>
  <c r="J23" i="1" s="1"/>
  <c r="K23" i="1"/>
  <c r="L23" i="1" s="1"/>
  <c r="M23" i="1" s="1"/>
  <c r="O23" i="1"/>
  <c r="P23" i="1" s="1"/>
  <c r="Q23" i="1" s="1"/>
  <c r="R23" i="1"/>
  <c r="S23" i="1" s="1"/>
  <c r="T23" i="1" s="1"/>
  <c r="U23" i="1"/>
  <c r="V23" i="1" s="1"/>
  <c r="W23" i="1" s="1"/>
  <c r="X23" i="1"/>
  <c r="Y23" i="1" s="1"/>
  <c r="Z23" i="1" s="1"/>
  <c r="AB23" i="1"/>
  <c r="AC23" i="1" s="1"/>
  <c r="AD23" i="1" s="1"/>
  <c r="B24" i="1"/>
  <c r="E24" i="1"/>
  <c r="F24" i="1" s="1"/>
  <c r="G24" i="1" s="1"/>
  <c r="H24" i="1"/>
  <c r="I24" i="1" s="1"/>
  <c r="J24" i="1" s="1"/>
  <c r="K24" i="1"/>
  <c r="L24" i="1" s="1"/>
  <c r="M24" i="1" s="1"/>
  <c r="O24" i="1"/>
  <c r="P24" i="1" s="1"/>
  <c r="Q24" i="1" s="1"/>
  <c r="R24" i="1"/>
  <c r="S24" i="1" s="1"/>
  <c r="T24" i="1" s="1"/>
  <c r="U24" i="1"/>
  <c r="V24" i="1" s="1"/>
  <c r="W24" i="1" s="1"/>
  <c r="X24" i="1"/>
  <c r="Y24" i="1" s="1"/>
  <c r="Z24" i="1" s="1"/>
  <c r="AB24" i="1"/>
  <c r="AC24" i="1" s="1"/>
  <c r="AD24" i="1" s="1"/>
  <c r="B25" i="1"/>
  <c r="E25" i="1"/>
  <c r="F25" i="1" s="1"/>
  <c r="G25" i="1" s="1"/>
  <c r="H25" i="1"/>
  <c r="I25" i="1" s="1"/>
  <c r="J25" i="1" s="1"/>
  <c r="K25" i="1"/>
  <c r="L25" i="1" s="1"/>
  <c r="M25" i="1" s="1"/>
  <c r="O25" i="1"/>
  <c r="P25" i="1" s="1"/>
  <c r="Q25" i="1" s="1"/>
  <c r="R25" i="1"/>
  <c r="S25" i="1" s="1"/>
  <c r="T25" i="1" s="1"/>
  <c r="U25" i="1"/>
  <c r="V25" i="1" s="1"/>
  <c r="W25" i="1" s="1"/>
  <c r="X25" i="1"/>
  <c r="Y25" i="1" s="1"/>
  <c r="Z25" i="1" s="1"/>
  <c r="AB25" i="1"/>
  <c r="AC25" i="1" s="1"/>
  <c r="AD25" i="1" s="1"/>
  <c r="B26" i="1"/>
  <c r="E26" i="1"/>
  <c r="F26" i="1" s="1"/>
  <c r="G26" i="1" s="1"/>
  <c r="H26" i="1"/>
  <c r="I26" i="1" s="1"/>
  <c r="J26" i="1" s="1"/>
  <c r="K26" i="1"/>
  <c r="L26" i="1" s="1"/>
  <c r="M26" i="1" s="1"/>
  <c r="O26" i="1"/>
  <c r="P26" i="1" s="1"/>
  <c r="Q26" i="1" s="1"/>
  <c r="R26" i="1"/>
  <c r="S26" i="1" s="1"/>
  <c r="T26" i="1" s="1"/>
  <c r="U26" i="1"/>
  <c r="V26" i="1" s="1"/>
  <c r="W26" i="1" s="1"/>
  <c r="X26" i="1"/>
  <c r="Y26" i="1" s="1"/>
  <c r="Z26" i="1" s="1"/>
  <c r="AB26" i="1"/>
  <c r="AC26" i="1" s="1"/>
  <c r="AD26" i="1" s="1"/>
  <c r="B27" i="1"/>
  <c r="E27" i="1"/>
  <c r="F27" i="1" s="1"/>
  <c r="G27" i="1" s="1"/>
  <c r="H27" i="1"/>
  <c r="I27" i="1" s="1"/>
  <c r="J27" i="1" s="1"/>
  <c r="K27" i="1"/>
  <c r="L27" i="1" s="1"/>
  <c r="M27" i="1" s="1"/>
  <c r="O27" i="1"/>
  <c r="P27" i="1" s="1"/>
  <c r="Q27" i="1" s="1"/>
  <c r="R27" i="1"/>
  <c r="S27" i="1" s="1"/>
  <c r="T27" i="1" s="1"/>
  <c r="U27" i="1"/>
  <c r="V27" i="1" s="1"/>
  <c r="W27" i="1" s="1"/>
  <c r="X27" i="1"/>
  <c r="Y27" i="1" s="1"/>
  <c r="Z27" i="1" s="1"/>
  <c r="AB27" i="1"/>
  <c r="AC27" i="1" s="1"/>
  <c r="AD27" i="1" s="1"/>
  <c r="B28" i="1"/>
  <c r="E28" i="1"/>
  <c r="F28" i="1" s="1"/>
  <c r="G28" i="1" s="1"/>
  <c r="H28" i="1"/>
  <c r="I28" i="1" s="1"/>
  <c r="J28" i="1" s="1"/>
  <c r="K28" i="1"/>
  <c r="L28" i="1" s="1"/>
  <c r="M28" i="1" s="1"/>
  <c r="O28" i="1"/>
  <c r="P28" i="1" s="1"/>
  <c r="Q28" i="1" s="1"/>
  <c r="R28" i="1"/>
  <c r="S28" i="1" s="1"/>
  <c r="T28" i="1" s="1"/>
  <c r="U28" i="1"/>
  <c r="V28" i="1" s="1"/>
  <c r="W28" i="1" s="1"/>
  <c r="X28" i="1"/>
  <c r="Y28" i="1" s="1"/>
  <c r="Z28" i="1" s="1"/>
  <c r="AB28" i="1"/>
  <c r="AC28" i="1" s="1"/>
  <c r="AD28" i="1" s="1"/>
  <c r="B29" i="1"/>
  <c r="E29" i="1"/>
  <c r="F29" i="1" s="1"/>
  <c r="G29" i="1" s="1"/>
  <c r="H29" i="1"/>
  <c r="I29" i="1" s="1"/>
  <c r="J29" i="1" s="1"/>
  <c r="K29" i="1"/>
  <c r="L29" i="1" s="1"/>
  <c r="M29" i="1" s="1"/>
  <c r="O29" i="1"/>
  <c r="P29" i="1" s="1"/>
  <c r="Q29" i="1" s="1"/>
  <c r="R29" i="1"/>
  <c r="S29" i="1" s="1"/>
  <c r="T29" i="1" s="1"/>
  <c r="U29" i="1"/>
  <c r="V29" i="1" s="1"/>
  <c r="W29" i="1" s="1"/>
  <c r="X29" i="1"/>
  <c r="Y29" i="1" s="1"/>
  <c r="Z29" i="1" s="1"/>
  <c r="AB29" i="1"/>
  <c r="AC29" i="1" s="1"/>
  <c r="AD29" i="1" s="1"/>
  <c r="B30" i="1"/>
  <c r="E30" i="1"/>
  <c r="F30" i="1" s="1"/>
  <c r="G30" i="1" s="1"/>
  <c r="H30" i="1"/>
  <c r="I30" i="1" s="1"/>
  <c r="J30" i="1" s="1"/>
  <c r="K30" i="1"/>
  <c r="L30" i="1" s="1"/>
  <c r="M30" i="1" s="1"/>
  <c r="O30" i="1"/>
  <c r="P30" i="1" s="1"/>
  <c r="Q30" i="1" s="1"/>
  <c r="R30" i="1"/>
  <c r="S30" i="1" s="1"/>
  <c r="T30" i="1" s="1"/>
  <c r="U30" i="1"/>
  <c r="V30" i="1" s="1"/>
  <c r="W30" i="1" s="1"/>
  <c r="X30" i="1"/>
  <c r="Y30" i="1" s="1"/>
  <c r="Z30" i="1" s="1"/>
  <c r="AB30" i="1"/>
  <c r="AC30" i="1" s="1"/>
  <c r="AD30" i="1" s="1"/>
  <c r="B31" i="1"/>
  <c r="E31" i="1"/>
  <c r="F31" i="1" s="1"/>
  <c r="G31" i="1" s="1"/>
  <c r="H31" i="1"/>
  <c r="I31" i="1" s="1"/>
  <c r="J31" i="1" s="1"/>
  <c r="K31" i="1"/>
  <c r="L31" i="1" s="1"/>
  <c r="M31" i="1" s="1"/>
  <c r="O31" i="1"/>
  <c r="P31" i="1" s="1"/>
  <c r="Q31" i="1" s="1"/>
  <c r="R31" i="1"/>
  <c r="S31" i="1" s="1"/>
  <c r="T31" i="1" s="1"/>
  <c r="U31" i="1"/>
  <c r="V31" i="1" s="1"/>
  <c r="W31" i="1" s="1"/>
  <c r="X31" i="1"/>
  <c r="Y31" i="1" s="1"/>
  <c r="Z31" i="1" s="1"/>
  <c r="AB31" i="1"/>
  <c r="AC31" i="1" s="1"/>
  <c r="AD31" i="1" s="1"/>
  <c r="B32" i="1"/>
  <c r="E32" i="1"/>
  <c r="F32" i="1" s="1"/>
  <c r="G32" i="1" s="1"/>
  <c r="H32" i="1"/>
  <c r="I32" i="1" s="1"/>
  <c r="J32" i="1" s="1"/>
  <c r="K32" i="1"/>
  <c r="L32" i="1" s="1"/>
  <c r="M32" i="1" s="1"/>
  <c r="O32" i="1"/>
  <c r="P32" i="1" s="1"/>
  <c r="Q32" i="1" s="1"/>
  <c r="R32" i="1"/>
  <c r="S32" i="1" s="1"/>
  <c r="T32" i="1" s="1"/>
  <c r="U32" i="1"/>
  <c r="V32" i="1" s="1"/>
  <c r="W32" i="1" s="1"/>
  <c r="X32" i="1"/>
  <c r="Y32" i="1" s="1"/>
  <c r="Z32" i="1" s="1"/>
  <c r="AB32" i="1"/>
  <c r="AC32" i="1" s="1"/>
  <c r="AD32" i="1" s="1"/>
  <c r="B33" i="1"/>
  <c r="E33" i="1"/>
  <c r="F33" i="1" s="1"/>
  <c r="G33" i="1" s="1"/>
  <c r="H33" i="1"/>
  <c r="I33" i="1" s="1"/>
  <c r="J33" i="1" s="1"/>
  <c r="K33" i="1"/>
  <c r="L33" i="1" s="1"/>
  <c r="M33" i="1" s="1"/>
  <c r="O33" i="1"/>
  <c r="P33" i="1" s="1"/>
  <c r="Q33" i="1" s="1"/>
  <c r="R33" i="1"/>
  <c r="S33" i="1" s="1"/>
  <c r="T33" i="1" s="1"/>
  <c r="U33" i="1"/>
  <c r="V33" i="1" s="1"/>
  <c r="W33" i="1" s="1"/>
  <c r="X33" i="1"/>
  <c r="Y33" i="1" s="1"/>
  <c r="Z33" i="1" s="1"/>
  <c r="AB33" i="1"/>
  <c r="AC33" i="1" s="1"/>
  <c r="AD33" i="1" s="1"/>
  <c r="B34" i="1"/>
  <c r="E34" i="1"/>
  <c r="F34" i="1" s="1"/>
  <c r="G34" i="1" s="1"/>
  <c r="H34" i="1"/>
  <c r="I34" i="1" s="1"/>
  <c r="J34" i="1" s="1"/>
  <c r="K34" i="1"/>
  <c r="L34" i="1" s="1"/>
  <c r="M34" i="1" s="1"/>
  <c r="O34" i="1"/>
  <c r="P34" i="1" s="1"/>
  <c r="Q34" i="1" s="1"/>
  <c r="R34" i="1"/>
  <c r="S34" i="1" s="1"/>
  <c r="T34" i="1" s="1"/>
  <c r="U34" i="1"/>
  <c r="V34" i="1" s="1"/>
  <c r="W34" i="1" s="1"/>
  <c r="X34" i="1"/>
  <c r="Y34" i="1" s="1"/>
  <c r="Z34" i="1" s="1"/>
  <c r="AB34" i="1"/>
  <c r="AC34" i="1" s="1"/>
  <c r="AD34" i="1" s="1"/>
  <c r="B35" i="1"/>
  <c r="E35" i="1"/>
  <c r="F35" i="1" s="1"/>
  <c r="G35" i="1" s="1"/>
  <c r="H35" i="1"/>
  <c r="I35" i="1" s="1"/>
  <c r="J35" i="1" s="1"/>
  <c r="K35" i="1"/>
  <c r="L35" i="1" s="1"/>
  <c r="M35" i="1" s="1"/>
  <c r="O35" i="1"/>
  <c r="P35" i="1" s="1"/>
  <c r="Q35" i="1" s="1"/>
  <c r="R35" i="1"/>
  <c r="S35" i="1" s="1"/>
  <c r="T35" i="1" s="1"/>
  <c r="U35" i="1"/>
  <c r="V35" i="1" s="1"/>
  <c r="W35" i="1" s="1"/>
  <c r="X35" i="1"/>
  <c r="Y35" i="1" s="1"/>
  <c r="Z35" i="1" s="1"/>
  <c r="AB35" i="1"/>
  <c r="AC35" i="1" s="1"/>
  <c r="AD35" i="1" s="1"/>
  <c r="B5" i="13"/>
  <c r="E5" i="13"/>
  <c r="F5" i="13" s="1"/>
  <c r="G5" i="13" s="1"/>
  <c r="H5" i="13"/>
  <c r="I5" i="13" s="1"/>
  <c r="J5" i="13" s="1"/>
  <c r="K5" i="13"/>
  <c r="L5" i="13" s="1"/>
  <c r="O5" i="13"/>
  <c r="P5" i="13" s="1"/>
  <c r="Q5" i="13" s="1"/>
  <c r="R5" i="13"/>
  <c r="S5" i="13" s="1"/>
  <c r="T5" i="13" s="1"/>
  <c r="U5" i="13"/>
  <c r="V5" i="13" s="1"/>
  <c r="W5" i="13" s="1"/>
  <c r="X5" i="13"/>
  <c r="Y5" i="13" s="1"/>
  <c r="AB5" i="13"/>
  <c r="AC5" i="13" s="1"/>
  <c r="AD5" i="13" s="1"/>
  <c r="B6" i="13"/>
  <c r="E6" i="13"/>
  <c r="F6" i="13" s="1"/>
  <c r="G6" i="13" s="1"/>
  <c r="H6" i="13"/>
  <c r="I6" i="13" s="1"/>
  <c r="K6" i="13"/>
  <c r="L6" i="13" s="1"/>
  <c r="M6" i="13" s="1"/>
  <c r="O6" i="13"/>
  <c r="P6" i="13" s="1"/>
  <c r="Q6" i="13" s="1"/>
  <c r="R6" i="13"/>
  <c r="S6" i="13" s="1"/>
  <c r="T6" i="13" s="1"/>
  <c r="U6" i="13"/>
  <c r="V6" i="13" s="1"/>
  <c r="X6" i="13"/>
  <c r="Y6" i="13" s="1"/>
  <c r="Z6" i="13" s="1"/>
  <c r="AB6" i="13"/>
  <c r="AC6" i="13" s="1"/>
  <c r="AD6" i="13" s="1"/>
  <c r="B7" i="13"/>
  <c r="E7" i="13"/>
  <c r="F7" i="13" s="1"/>
  <c r="H7" i="13"/>
  <c r="I7" i="13" s="1"/>
  <c r="J7" i="13" s="1"/>
  <c r="K7" i="13"/>
  <c r="L7" i="13" s="1"/>
  <c r="M7" i="13" s="1"/>
  <c r="O7" i="13"/>
  <c r="P7" i="13" s="1"/>
  <c r="Q7" i="13" s="1"/>
  <c r="R7" i="13"/>
  <c r="S7" i="13" s="1"/>
  <c r="U7" i="13"/>
  <c r="V7" i="13" s="1"/>
  <c r="W7" i="13" s="1"/>
  <c r="X7" i="13"/>
  <c r="Y7" i="13" s="1"/>
  <c r="Z7" i="13" s="1"/>
  <c r="AB7" i="13"/>
  <c r="AC7" i="13" s="1"/>
  <c r="AD7" i="13" s="1"/>
  <c r="B8" i="13"/>
  <c r="E8" i="13"/>
  <c r="F8" i="13" s="1"/>
  <c r="G8" i="13" s="1"/>
  <c r="H8" i="13"/>
  <c r="I8" i="13" s="1"/>
  <c r="J8" i="13" s="1"/>
  <c r="K8" i="13"/>
  <c r="L8" i="13" s="1"/>
  <c r="M8" i="13" s="1"/>
  <c r="O8" i="13"/>
  <c r="P8" i="13" s="1"/>
  <c r="R8" i="13"/>
  <c r="S8" i="13" s="1"/>
  <c r="T8" i="13" s="1"/>
  <c r="U8" i="13"/>
  <c r="V8" i="13" s="1"/>
  <c r="W8" i="13" s="1"/>
  <c r="X8" i="13"/>
  <c r="Y8" i="13" s="1"/>
  <c r="Z8" i="13" s="1"/>
  <c r="AB8" i="13"/>
  <c r="AC8" i="13" s="1"/>
  <c r="B9" i="13"/>
  <c r="E9" i="13"/>
  <c r="F9" i="13" s="1"/>
  <c r="G9" i="13" s="1"/>
  <c r="H9" i="13"/>
  <c r="I9" i="13" s="1"/>
  <c r="J9" i="13" s="1"/>
  <c r="K9" i="13"/>
  <c r="L9" i="13" s="1"/>
  <c r="M9" i="13" s="1"/>
  <c r="O9" i="13"/>
  <c r="P9" i="13" s="1"/>
  <c r="Q9" i="13" s="1"/>
  <c r="R9" i="13"/>
  <c r="S9" i="13" s="1"/>
  <c r="T9" i="13" s="1"/>
  <c r="U9" i="13"/>
  <c r="V9" i="13" s="1"/>
  <c r="W9" i="13" s="1"/>
  <c r="X9" i="13"/>
  <c r="Y9" i="13" s="1"/>
  <c r="Z9" i="13" s="1"/>
  <c r="AB9" i="13"/>
  <c r="AC9" i="13" s="1"/>
  <c r="AD9" i="13" s="1"/>
  <c r="B10" i="13"/>
  <c r="E10" i="13"/>
  <c r="F10" i="13" s="1"/>
  <c r="G10" i="13" s="1"/>
  <c r="H10" i="13"/>
  <c r="I10" i="13" s="1"/>
  <c r="J10" i="13" s="1"/>
  <c r="K10" i="13"/>
  <c r="L10" i="13" s="1"/>
  <c r="M10" i="13" s="1"/>
  <c r="O10" i="13"/>
  <c r="P10" i="13" s="1"/>
  <c r="Q10" i="13" s="1"/>
  <c r="R10" i="13"/>
  <c r="S10" i="13" s="1"/>
  <c r="T10" i="13" s="1"/>
  <c r="U10" i="13"/>
  <c r="V10" i="13" s="1"/>
  <c r="W10" i="13" s="1"/>
  <c r="X10" i="13"/>
  <c r="Y10" i="13" s="1"/>
  <c r="Z10" i="13" s="1"/>
  <c r="AB10" i="13"/>
  <c r="AC10" i="13" s="1"/>
  <c r="AD10" i="13" s="1"/>
  <c r="B11" i="13"/>
  <c r="E11" i="13"/>
  <c r="F11" i="13" s="1"/>
  <c r="G11" i="13" s="1"/>
  <c r="H11" i="13"/>
  <c r="I11" i="13" s="1"/>
  <c r="J11" i="13" s="1"/>
  <c r="K11" i="13"/>
  <c r="L11" i="13" s="1"/>
  <c r="M11" i="13" s="1"/>
  <c r="O11" i="13"/>
  <c r="P11" i="13" s="1"/>
  <c r="Q11" i="13" s="1"/>
  <c r="R11" i="13"/>
  <c r="S11" i="13" s="1"/>
  <c r="T11" i="13" s="1"/>
  <c r="U11" i="13"/>
  <c r="V11" i="13" s="1"/>
  <c r="W11" i="13" s="1"/>
  <c r="X11" i="13"/>
  <c r="Y11" i="13" s="1"/>
  <c r="Z11" i="13" s="1"/>
  <c r="AB11" i="13"/>
  <c r="AC11" i="13" s="1"/>
  <c r="AD11" i="13" s="1"/>
  <c r="B12" i="13"/>
  <c r="E12" i="13"/>
  <c r="F12" i="13" s="1"/>
  <c r="G12" i="13" s="1"/>
  <c r="H12" i="13"/>
  <c r="I12" i="13" s="1"/>
  <c r="J12" i="13" s="1"/>
  <c r="K12" i="13"/>
  <c r="L12" i="13" s="1"/>
  <c r="M12" i="13" s="1"/>
  <c r="O12" i="13"/>
  <c r="P12" i="13" s="1"/>
  <c r="Q12" i="13" s="1"/>
  <c r="R12" i="13"/>
  <c r="S12" i="13" s="1"/>
  <c r="T12" i="13" s="1"/>
  <c r="U12" i="13"/>
  <c r="V12" i="13" s="1"/>
  <c r="W12" i="13" s="1"/>
  <c r="X12" i="13"/>
  <c r="Y12" i="13" s="1"/>
  <c r="Z12" i="13" s="1"/>
  <c r="AB12" i="13"/>
  <c r="AC12" i="13" s="1"/>
  <c r="AD12" i="13" s="1"/>
  <c r="B13" i="13"/>
  <c r="E13" i="13"/>
  <c r="F13" i="13" s="1"/>
  <c r="G13" i="13" s="1"/>
  <c r="H13" i="13"/>
  <c r="I13" i="13" s="1"/>
  <c r="J13" i="13" s="1"/>
  <c r="K13" i="13"/>
  <c r="L13" i="13" s="1"/>
  <c r="M13" i="13" s="1"/>
  <c r="O13" i="13"/>
  <c r="P13" i="13" s="1"/>
  <c r="Q13" i="13" s="1"/>
  <c r="R13" i="13"/>
  <c r="S13" i="13" s="1"/>
  <c r="T13" i="13" s="1"/>
  <c r="U13" i="13"/>
  <c r="V13" i="13" s="1"/>
  <c r="W13" i="13" s="1"/>
  <c r="X13" i="13"/>
  <c r="Y13" i="13" s="1"/>
  <c r="Z13" i="13" s="1"/>
  <c r="AB13" i="13"/>
  <c r="AC13" i="13" s="1"/>
  <c r="AD13" i="13" s="1"/>
  <c r="B14" i="13"/>
  <c r="E14" i="13"/>
  <c r="F14" i="13" s="1"/>
  <c r="G14" i="13" s="1"/>
  <c r="H14" i="13"/>
  <c r="I14" i="13" s="1"/>
  <c r="J14" i="13" s="1"/>
  <c r="K14" i="13"/>
  <c r="L14" i="13" s="1"/>
  <c r="M14" i="13" s="1"/>
  <c r="O14" i="13"/>
  <c r="P14" i="13" s="1"/>
  <c r="Q14" i="13" s="1"/>
  <c r="R14" i="13"/>
  <c r="S14" i="13" s="1"/>
  <c r="T14" i="13" s="1"/>
  <c r="U14" i="13"/>
  <c r="V14" i="13" s="1"/>
  <c r="W14" i="13" s="1"/>
  <c r="X14" i="13"/>
  <c r="Y14" i="13" s="1"/>
  <c r="Z14" i="13" s="1"/>
  <c r="AB14" i="13"/>
  <c r="AC14" i="13" s="1"/>
  <c r="AD14" i="13" s="1"/>
  <c r="B15" i="13"/>
  <c r="E15" i="13"/>
  <c r="F15" i="13" s="1"/>
  <c r="G15" i="13" s="1"/>
  <c r="H15" i="13"/>
  <c r="I15" i="13" s="1"/>
  <c r="J15" i="13" s="1"/>
  <c r="K15" i="13"/>
  <c r="L15" i="13" s="1"/>
  <c r="M15" i="13" s="1"/>
  <c r="O15" i="13"/>
  <c r="P15" i="13" s="1"/>
  <c r="Q15" i="13" s="1"/>
  <c r="R15" i="13"/>
  <c r="S15" i="13" s="1"/>
  <c r="T15" i="13" s="1"/>
  <c r="U15" i="13"/>
  <c r="V15" i="13" s="1"/>
  <c r="W15" i="13" s="1"/>
  <c r="X15" i="13"/>
  <c r="Y15" i="13" s="1"/>
  <c r="Z15" i="13" s="1"/>
  <c r="AB15" i="13"/>
  <c r="AC15" i="13" s="1"/>
  <c r="AD15" i="13" s="1"/>
  <c r="B16" i="13"/>
  <c r="E16" i="13"/>
  <c r="F16" i="13" s="1"/>
  <c r="G16" i="13" s="1"/>
  <c r="H16" i="13"/>
  <c r="I16" i="13" s="1"/>
  <c r="J16" i="13" s="1"/>
  <c r="K16" i="13"/>
  <c r="L16" i="13" s="1"/>
  <c r="M16" i="13" s="1"/>
  <c r="O16" i="13"/>
  <c r="P16" i="13" s="1"/>
  <c r="Q16" i="13" s="1"/>
  <c r="R16" i="13"/>
  <c r="S16" i="13" s="1"/>
  <c r="T16" i="13" s="1"/>
  <c r="U16" i="13"/>
  <c r="V16" i="13" s="1"/>
  <c r="W16" i="13" s="1"/>
  <c r="X16" i="13"/>
  <c r="Y16" i="13" s="1"/>
  <c r="Z16" i="13" s="1"/>
  <c r="AB16" i="13"/>
  <c r="AC16" i="13" s="1"/>
  <c r="AD16" i="13" s="1"/>
  <c r="B17" i="13"/>
  <c r="E17" i="13"/>
  <c r="F17" i="13" s="1"/>
  <c r="G17" i="13" s="1"/>
  <c r="H17" i="13"/>
  <c r="I17" i="13" s="1"/>
  <c r="J17" i="13" s="1"/>
  <c r="K17" i="13"/>
  <c r="L17" i="13" s="1"/>
  <c r="M17" i="13" s="1"/>
  <c r="O17" i="13"/>
  <c r="P17" i="13" s="1"/>
  <c r="Q17" i="13" s="1"/>
  <c r="R17" i="13"/>
  <c r="S17" i="13" s="1"/>
  <c r="T17" i="13" s="1"/>
  <c r="U17" i="13"/>
  <c r="V17" i="13" s="1"/>
  <c r="W17" i="13" s="1"/>
  <c r="X17" i="13"/>
  <c r="Y17" i="13" s="1"/>
  <c r="Z17" i="13" s="1"/>
  <c r="AB17" i="13"/>
  <c r="AC17" i="13" s="1"/>
  <c r="AD17" i="13" s="1"/>
  <c r="B18" i="13"/>
  <c r="E18" i="13"/>
  <c r="F18" i="13" s="1"/>
  <c r="G18" i="13" s="1"/>
  <c r="H18" i="13"/>
  <c r="I18" i="13" s="1"/>
  <c r="J18" i="13" s="1"/>
  <c r="K18" i="13"/>
  <c r="L18" i="13" s="1"/>
  <c r="M18" i="13" s="1"/>
  <c r="O18" i="13"/>
  <c r="P18" i="13" s="1"/>
  <c r="Q18" i="13" s="1"/>
  <c r="R18" i="13"/>
  <c r="S18" i="13" s="1"/>
  <c r="T18" i="13" s="1"/>
  <c r="U18" i="13"/>
  <c r="V18" i="13" s="1"/>
  <c r="W18" i="13" s="1"/>
  <c r="X18" i="13"/>
  <c r="Y18" i="13" s="1"/>
  <c r="Z18" i="13" s="1"/>
  <c r="AB18" i="13"/>
  <c r="AC18" i="13" s="1"/>
  <c r="AD18" i="13" s="1"/>
  <c r="B19" i="13"/>
  <c r="E19" i="13"/>
  <c r="F19" i="13" s="1"/>
  <c r="G19" i="13" s="1"/>
  <c r="H19" i="13"/>
  <c r="I19" i="13" s="1"/>
  <c r="J19" i="13" s="1"/>
  <c r="K19" i="13"/>
  <c r="L19" i="13" s="1"/>
  <c r="M19" i="13" s="1"/>
  <c r="O19" i="13"/>
  <c r="P19" i="13" s="1"/>
  <c r="Q19" i="13" s="1"/>
  <c r="R19" i="13"/>
  <c r="S19" i="13" s="1"/>
  <c r="T19" i="13" s="1"/>
  <c r="U19" i="13"/>
  <c r="V19" i="13" s="1"/>
  <c r="W19" i="13" s="1"/>
  <c r="X19" i="13"/>
  <c r="Y19" i="13" s="1"/>
  <c r="Z19" i="13" s="1"/>
  <c r="AB19" i="13"/>
  <c r="AC19" i="13" s="1"/>
  <c r="AD19" i="13" s="1"/>
  <c r="B20" i="13"/>
  <c r="E20" i="13"/>
  <c r="F20" i="13" s="1"/>
  <c r="G20" i="13" s="1"/>
  <c r="H20" i="13"/>
  <c r="I20" i="13" s="1"/>
  <c r="J20" i="13" s="1"/>
  <c r="K20" i="13"/>
  <c r="L20" i="13" s="1"/>
  <c r="M20" i="13" s="1"/>
  <c r="O20" i="13"/>
  <c r="P20" i="13" s="1"/>
  <c r="Q20" i="13" s="1"/>
  <c r="R20" i="13"/>
  <c r="S20" i="13" s="1"/>
  <c r="T20" i="13" s="1"/>
  <c r="U20" i="13"/>
  <c r="V20" i="13" s="1"/>
  <c r="W20" i="13" s="1"/>
  <c r="X20" i="13"/>
  <c r="Y20" i="13" s="1"/>
  <c r="Z20" i="13" s="1"/>
  <c r="AB20" i="13"/>
  <c r="AC20" i="13" s="1"/>
  <c r="AD20" i="13" s="1"/>
  <c r="B21" i="13"/>
  <c r="E21" i="13"/>
  <c r="F21" i="13" s="1"/>
  <c r="G21" i="13" s="1"/>
  <c r="H21" i="13"/>
  <c r="I21" i="13" s="1"/>
  <c r="J21" i="13" s="1"/>
  <c r="K21" i="13"/>
  <c r="L21" i="13" s="1"/>
  <c r="M21" i="13" s="1"/>
  <c r="O21" i="13"/>
  <c r="P21" i="13" s="1"/>
  <c r="Q21" i="13" s="1"/>
  <c r="R21" i="13"/>
  <c r="S21" i="13" s="1"/>
  <c r="T21" i="13" s="1"/>
  <c r="U21" i="13"/>
  <c r="V21" i="13" s="1"/>
  <c r="W21" i="13" s="1"/>
  <c r="X21" i="13"/>
  <c r="Y21" i="13" s="1"/>
  <c r="Z21" i="13" s="1"/>
  <c r="AB21" i="13"/>
  <c r="AC21" i="13" s="1"/>
  <c r="AD21" i="13" s="1"/>
  <c r="B22" i="13"/>
  <c r="E22" i="13"/>
  <c r="F22" i="13" s="1"/>
  <c r="G22" i="13" s="1"/>
  <c r="H22" i="13"/>
  <c r="I22" i="13" s="1"/>
  <c r="J22" i="13" s="1"/>
  <c r="K22" i="13"/>
  <c r="L22" i="13" s="1"/>
  <c r="M22" i="13" s="1"/>
  <c r="O22" i="13"/>
  <c r="P22" i="13" s="1"/>
  <c r="Q22" i="13" s="1"/>
  <c r="R22" i="13"/>
  <c r="S22" i="13" s="1"/>
  <c r="T22" i="13" s="1"/>
  <c r="U22" i="13"/>
  <c r="V22" i="13" s="1"/>
  <c r="W22" i="13" s="1"/>
  <c r="X22" i="13"/>
  <c r="Y22" i="13" s="1"/>
  <c r="Z22" i="13" s="1"/>
  <c r="AB22" i="13"/>
  <c r="AC22" i="13" s="1"/>
  <c r="AD22" i="13" s="1"/>
  <c r="B23" i="13"/>
  <c r="E23" i="13"/>
  <c r="F23" i="13" s="1"/>
  <c r="G23" i="13" s="1"/>
  <c r="H23" i="13"/>
  <c r="I23" i="13" s="1"/>
  <c r="J23" i="13" s="1"/>
  <c r="K23" i="13"/>
  <c r="L23" i="13" s="1"/>
  <c r="M23" i="13" s="1"/>
  <c r="O23" i="13"/>
  <c r="P23" i="13" s="1"/>
  <c r="Q23" i="13" s="1"/>
  <c r="R23" i="13"/>
  <c r="S23" i="13" s="1"/>
  <c r="T23" i="13" s="1"/>
  <c r="U23" i="13"/>
  <c r="V23" i="13" s="1"/>
  <c r="W23" i="13" s="1"/>
  <c r="X23" i="13"/>
  <c r="Y23" i="13" s="1"/>
  <c r="Z23" i="13" s="1"/>
  <c r="AB23" i="13"/>
  <c r="AC23" i="13" s="1"/>
  <c r="AD23" i="13" s="1"/>
  <c r="B24" i="13"/>
  <c r="E24" i="13"/>
  <c r="F24" i="13" s="1"/>
  <c r="G24" i="13" s="1"/>
  <c r="H24" i="13"/>
  <c r="I24" i="13" s="1"/>
  <c r="J24" i="13" s="1"/>
  <c r="K24" i="13"/>
  <c r="L24" i="13" s="1"/>
  <c r="M24" i="13" s="1"/>
  <c r="O24" i="13"/>
  <c r="P24" i="13" s="1"/>
  <c r="Q24" i="13" s="1"/>
  <c r="R24" i="13"/>
  <c r="S24" i="13" s="1"/>
  <c r="T24" i="13" s="1"/>
  <c r="U24" i="13"/>
  <c r="V24" i="13" s="1"/>
  <c r="W24" i="13" s="1"/>
  <c r="X24" i="13"/>
  <c r="Y24" i="13" s="1"/>
  <c r="Z24" i="13" s="1"/>
  <c r="AB24" i="13"/>
  <c r="AC24" i="13" s="1"/>
  <c r="AD24" i="13" s="1"/>
  <c r="B25" i="13"/>
  <c r="E25" i="13"/>
  <c r="F25" i="13" s="1"/>
  <c r="G25" i="13" s="1"/>
  <c r="H25" i="13"/>
  <c r="I25" i="13" s="1"/>
  <c r="J25" i="13" s="1"/>
  <c r="K25" i="13"/>
  <c r="L25" i="13" s="1"/>
  <c r="M25" i="13" s="1"/>
  <c r="O25" i="13"/>
  <c r="P25" i="13" s="1"/>
  <c r="Q25" i="13" s="1"/>
  <c r="R25" i="13"/>
  <c r="S25" i="13" s="1"/>
  <c r="T25" i="13" s="1"/>
  <c r="U25" i="13"/>
  <c r="V25" i="13" s="1"/>
  <c r="W25" i="13" s="1"/>
  <c r="X25" i="13"/>
  <c r="Y25" i="13" s="1"/>
  <c r="Z25" i="13" s="1"/>
  <c r="AB25" i="13"/>
  <c r="AC25" i="13" s="1"/>
  <c r="AD25" i="13" s="1"/>
  <c r="B26" i="13"/>
  <c r="E26" i="13"/>
  <c r="F26" i="13" s="1"/>
  <c r="G26" i="13" s="1"/>
  <c r="H26" i="13"/>
  <c r="I26" i="13" s="1"/>
  <c r="J26" i="13" s="1"/>
  <c r="K26" i="13"/>
  <c r="L26" i="13" s="1"/>
  <c r="M26" i="13" s="1"/>
  <c r="O26" i="13"/>
  <c r="P26" i="13" s="1"/>
  <c r="Q26" i="13" s="1"/>
  <c r="R26" i="13"/>
  <c r="S26" i="13" s="1"/>
  <c r="T26" i="13" s="1"/>
  <c r="U26" i="13"/>
  <c r="V26" i="13" s="1"/>
  <c r="W26" i="13" s="1"/>
  <c r="X26" i="13"/>
  <c r="Y26" i="13" s="1"/>
  <c r="Z26" i="13" s="1"/>
  <c r="AB26" i="13"/>
  <c r="AC26" i="13" s="1"/>
  <c r="AD26" i="13" s="1"/>
  <c r="B27" i="13"/>
  <c r="E27" i="13"/>
  <c r="F27" i="13" s="1"/>
  <c r="G27" i="13" s="1"/>
  <c r="H27" i="13"/>
  <c r="I27" i="13" s="1"/>
  <c r="J27" i="13" s="1"/>
  <c r="K27" i="13"/>
  <c r="L27" i="13" s="1"/>
  <c r="M27" i="13" s="1"/>
  <c r="O27" i="13"/>
  <c r="P27" i="13" s="1"/>
  <c r="Q27" i="13" s="1"/>
  <c r="R27" i="13"/>
  <c r="S27" i="13" s="1"/>
  <c r="T27" i="13" s="1"/>
  <c r="U27" i="13"/>
  <c r="V27" i="13" s="1"/>
  <c r="W27" i="13" s="1"/>
  <c r="X27" i="13"/>
  <c r="Y27" i="13" s="1"/>
  <c r="Z27" i="13" s="1"/>
  <c r="AB27" i="13"/>
  <c r="AC27" i="13" s="1"/>
  <c r="AD27" i="13" s="1"/>
  <c r="B28" i="13"/>
  <c r="E28" i="13"/>
  <c r="F28" i="13" s="1"/>
  <c r="G28" i="13" s="1"/>
  <c r="H28" i="13"/>
  <c r="I28" i="13" s="1"/>
  <c r="J28" i="13" s="1"/>
  <c r="K28" i="13"/>
  <c r="L28" i="13" s="1"/>
  <c r="M28" i="13" s="1"/>
  <c r="O28" i="13"/>
  <c r="P28" i="13" s="1"/>
  <c r="Q28" i="13" s="1"/>
  <c r="R28" i="13"/>
  <c r="S28" i="13" s="1"/>
  <c r="T28" i="13" s="1"/>
  <c r="U28" i="13"/>
  <c r="V28" i="13" s="1"/>
  <c r="W28" i="13" s="1"/>
  <c r="X28" i="13"/>
  <c r="Y28" i="13" s="1"/>
  <c r="Z28" i="13" s="1"/>
  <c r="AB28" i="13"/>
  <c r="AC28" i="13" s="1"/>
  <c r="AD28" i="13" s="1"/>
  <c r="B29" i="13"/>
  <c r="E29" i="13"/>
  <c r="F29" i="13" s="1"/>
  <c r="G29" i="13" s="1"/>
  <c r="H29" i="13"/>
  <c r="I29" i="13" s="1"/>
  <c r="J29" i="13" s="1"/>
  <c r="K29" i="13"/>
  <c r="L29" i="13" s="1"/>
  <c r="M29" i="13" s="1"/>
  <c r="O29" i="13"/>
  <c r="P29" i="13" s="1"/>
  <c r="Q29" i="13" s="1"/>
  <c r="R29" i="13"/>
  <c r="S29" i="13" s="1"/>
  <c r="T29" i="13" s="1"/>
  <c r="U29" i="13"/>
  <c r="V29" i="13" s="1"/>
  <c r="W29" i="13" s="1"/>
  <c r="X29" i="13"/>
  <c r="Y29" i="13" s="1"/>
  <c r="Z29" i="13" s="1"/>
  <c r="AB29" i="13"/>
  <c r="AC29" i="13" s="1"/>
  <c r="AD29" i="13" s="1"/>
  <c r="B30" i="13"/>
  <c r="E30" i="13"/>
  <c r="F30" i="13" s="1"/>
  <c r="G30" i="13" s="1"/>
  <c r="H30" i="13"/>
  <c r="I30" i="13" s="1"/>
  <c r="J30" i="13" s="1"/>
  <c r="K30" i="13"/>
  <c r="L30" i="13" s="1"/>
  <c r="M30" i="13" s="1"/>
  <c r="O30" i="13"/>
  <c r="P30" i="13" s="1"/>
  <c r="Q30" i="13" s="1"/>
  <c r="R30" i="13"/>
  <c r="S30" i="13" s="1"/>
  <c r="T30" i="13" s="1"/>
  <c r="U30" i="13"/>
  <c r="V30" i="13" s="1"/>
  <c r="W30" i="13" s="1"/>
  <c r="X30" i="13"/>
  <c r="Y30" i="13" s="1"/>
  <c r="Z30" i="13" s="1"/>
  <c r="AB30" i="13"/>
  <c r="AC30" i="13" s="1"/>
  <c r="AD30" i="13" s="1"/>
  <c r="B31" i="13"/>
  <c r="E31" i="13"/>
  <c r="F31" i="13" s="1"/>
  <c r="G31" i="13" s="1"/>
  <c r="H31" i="13"/>
  <c r="I31" i="13" s="1"/>
  <c r="J31" i="13" s="1"/>
  <c r="K31" i="13"/>
  <c r="L31" i="13" s="1"/>
  <c r="M31" i="13" s="1"/>
  <c r="O31" i="13"/>
  <c r="P31" i="13" s="1"/>
  <c r="Q31" i="13" s="1"/>
  <c r="R31" i="13"/>
  <c r="S31" i="13" s="1"/>
  <c r="T31" i="13" s="1"/>
  <c r="U31" i="13"/>
  <c r="V31" i="13" s="1"/>
  <c r="W31" i="13" s="1"/>
  <c r="X31" i="13"/>
  <c r="Y31" i="13" s="1"/>
  <c r="Z31" i="13" s="1"/>
  <c r="AB31" i="13"/>
  <c r="AC31" i="13" s="1"/>
  <c r="AD31" i="13" s="1"/>
  <c r="B32" i="13"/>
  <c r="E32" i="13"/>
  <c r="F32" i="13" s="1"/>
  <c r="G32" i="13" s="1"/>
  <c r="H32" i="13"/>
  <c r="I32" i="13" s="1"/>
  <c r="J32" i="13" s="1"/>
  <c r="K32" i="13"/>
  <c r="L32" i="13" s="1"/>
  <c r="M32" i="13" s="1"/>
  <c r="O32" i="13"/>
  <c r="P32" i="13" s="1"/>
  <c r="Q32" i="13" s="1"/>
  <c r="R32" i="13"/>
  <c r="S32" i="13" s="1"/>
  <c r="T32" i="13" s="1"/>
  <c r="U32" i="13"/>
  <c r="V32" i="13" s="1"/>
  <c r="W32" i="13" s="1"/>
  <c r="X32" i="13"/>
  <c r="Y32" i="13" s="1"/>
  <c r="Z32" i="13" s="1"/>
  <c r="AB32" i="13"/>
  <c r="AC32" i="13" s="1"/>
  <c r="AD32" i="13" s="1"/>
  <c r="B33" i="13"/>
  <c r="E33" i="13"/>
  <c r="F33" i="13" s="1"/>
  <c r="G33" i="13" s="1"/>
  <c r="H33" i="13"/>
  <c r="I33" i="13" s="1"/>
  <c r="J33" i="13" s="1"/>
  <c r="K33" i="13"/>
  <c r="L33" i="13" s="1"/>
  <c r="M33" i="13" s="1"/>
  <c r="O33" i="13"/>
  <c r="P33" i="13" s="1"/>
  <c r="Q33" i="13" s="1"/>
  <c r="R33" i="13"/>
  <c r="S33" i="13" s="1"/>
  <c r="T33" i="13" s="1"/>
  <c r="U33" i="13"/>
  <c r="V33" i="13" s="1"/>
  <c r="W33" i="13" s="1"/>
  <c r="X33" i="13"/>
  <c r="Y33" i="13" s="1"/>
  <c r="Z33" i="13" s="1"/>
  <c r="AB33" i="13"/>
  <c r="AC33" i="13" s="1"/>
  <c r="AD33" i="13" s="1"/>
  <c r="B34" i="13"/>
  <c r="E34" i="13"/>
  <c r="F34" i="13" s="1"/>
  <c r="G34" i="13" s="1"/>
  <c r="H34" i="13"/>
  <c r="I34" i="13" s="1"/>
  <c r="J34" i="13" s="1"/>
  <c r="K34" i="13"/>
  <c r="L34" i="13" s="1"/>
  <c r="M34" i="13" s="1"/>
  <c r="O34" i="13"/>
  <c r="P34" i="13" s="1"/>
  <c r="Q34" i="13" s="1"/>
  <c r="R34" i="13"/>
  <c r="S34" i="13" s="1"/>
  <c r="T34" i="13" s="1"/>
  <c r="U34" i="13"/>
  <c r="V34" i="13" s="1"/>
  <c r="W34" i="13" s="1"/>
  <c r="X34" i="13"/>
  <c r="Y34" i="13" s="1"/>
  <c r="Z34" i="13" s="1"/>
  <c r="AB34" i="13"/>
  <c r="AC34" i="13" s="1"/>
  <c r="AD34" i="13" s="1"/>
  <c r="B35" i="13"/>
  <c r="E35" i="13"/>
  <c r="F35" i="13" s="1"/>
  <c r="G35" i="13" s="1"/>
  <c r="H35" i="13"/>
  <c r="I35" i="13" s="1"/>
  <c r="J35" i="13" s="1"/>
  <c r="K35" i="13"/>
  <c r="L35" i="13" s="1"/>
  <c r="M35" i="13" s="1"/>
  <c r="O35" i="13"/>
  <c r="P35" i="13" s="1"/>
  <c r="Q35" i="13" s="1"/>
  <c r="R35" i="13"/>
  <c r="S35" i="13" s="1"/>
  <c r="T35" i="13" s="1"/>
  <c r="U35" i="13"/>
  <c r="V35" i="13" s="1"/>
  <c r="W35" i="13" s="1"/>
  <c r="X35" i="13"/>
  <c r="Y35" i="13" s="1"/>
  <c r="Z35" i="13" s="1"/>
  <c r="AB35" i="13"/>
  <c r="AC35" i="13" s="1"/>
  <c r="AD35" i="13" s="1"/>
  <c r="B5" i="14"/>
  <c r="E5" i="14"/>
  <c r="F5" i="14" s="1"/>
  <c r="G5" i="14" s="1"/>
  <c r="H5" i="14"/>
  <c r="I5" i="14" s="1"/>
  <c r="K5" i="14"/>
  <c r="L5" i="14" s="1"/>
  <c r="M5" i="14" s="1"/>
  <c r="O5" i="14"/>
  <c r="Q5" i="14"/>
  <c r="R5" i="14"/>
  <c r="T5" i="14"/>
  <c r="U5" i="14"/>
  <c r="V5" i="14" s="1"/>
  <c r="X5" i="14"/>
  <c r="Y5" i="14" s="1"/>
  <c r="Z5" i="14" s="1"/>
  <c r="AB5" i="14"/>
  <c r="AC5" i="14" s="1"/>
  <c r="B6" i="14"/>
  <c r="E6" i="14"/>
  <c r="F6" i="14" s="1"/>
  <c r="H6" i="14"/>
  <c r="I6" i="14" s="1"/>
  <c r="J6" i="14" s="1"/>
  <c r="K6" i="14"/>
  <c r="L6" i="14" s="1"/>
  <c r="O6" i="14"/>
  <c r="Q6" i="14"/>
  <c r="R6" i="14"/>
  <c r="T6" i="14"/>
  <c r="U6" i="14"/>
  <c r="V6" i="14" s="1"/>
  <c r="W6" i="14" s="1"/>
  <c r="X6" i="14"/>
  <c r="Y6" i="14" s="1"/>
  <c r="AB6" i="14"/>
  <c r="AC6" i="14" s="1"/>
  <c r="AD6" i="14" s="1"/>
  <c r="B7" i="14"/>
  <c r="E7" i="14"/>
  <c r="F7" i="14" s="1"/>
  <c r="G7" i="14" s="1"/>
  <c r="H7" i="14"/>
  <c r="I7" i="14" s="1"/>
  <c r="J7" i="14" s="1"/>
  <c r="K7" i="14"/>
  <c r="L7" i="14" s="1"/>
  <c r="M7" i="14" s="1"/>
  <c r="O7" i="14"/>
  <c r="Q7" i="14"/>
  <c r="R7" i="14"/>
  <c r="T7" i="14"/>
  <c r="U7" i="14"/>
  <c r="V7" i="14" s="1"/>
  <c r="W7" i="14" s="1"/>
  <c r="X7" i="14"/>
  <c r="Y7" i="14" s="1"/>
  <c r="Z7" i="14" s="1"/>
  <c r="AB7" i="14"/>
  <c r="AC7" i="14" s="1"/>
  <c r="AD7" i="14" s="1"/>
  <c r="B8" i="14"/>
  <c r="E8" i="14"/>
  <c r="F8" i="14" s="1"/>
  <c r="G8" i="14" s="1"/>
  <c r="H8" i="14"/>
  <c r="I8" i="14" s="1"/>
  <c r="J8" i="14" s="1"/>
  <c r="K8" i="14"/>
  <c r="L8" i="14" s="1"/>
  <c r="M8" i="14" s="1"/>
  <c r="O8" i="14"/>
  <c r="Q8" i="14"/>
  <c r="R8" i="14"/>
  <c r="T8" i="14"/>
  <c r="U8" i="14"/>
  <c r="V8" i="14" s="1"/>
  <c r="W8" i="14" s="1"/>
  <c r="X8" i="14"/>
  <c r="Y8" i="14" s="1"/>
  <c r="Z8" i="14" s="1"/>
  <c r="AB8" i="14"/>
  <c r="AC8" i="14" s="1"/>
  <c r="AD8" i="14" s="1"/>
  <c r="B9" i="14"/>
  <c r="E9" i="14"/>
  <c r="F9" i="14" s="1"/>
  <c r="G9" i="14" s="1"/>
  <c r="H9" i="14"/>
  <c r="I9" i="14" s="1"/>
  <c r="J9" i="14" s="1"/>
  <c r="K9" i="14"/>
  <c r="L9" i="14" s="1"/>
  <c r="M9" i="14" s="1"/>
  <c r="O9" i="14"/>
  <c r="Q9" i="14"/>
  <c r="R9" i="14"/>
  <c r="T9" i="14"/>
  <c r="U9" i="14"/>
  <c r="V9" i="14" s="1"/>
  <c r="W9" i="14" s="1"/>
  <c r="X9" i="14"/>
  <c r="Y9" i="14" s="1"/>
  <c r="Z9" i="14" s="1"/>
  <c r="AB9" i="14"/>
  <c r="AC9" i="14" s="1"/>
  <c r="AD9" i="14" s="1"/>
  <c r="B10" i="14"/>
  <c r="E10" i="14"/>
  <c r="F10" i="14" s="1"/>
  <c r="G10" i="14" s="1"/>
  <c r="H10" i="14"/>
  <c r="I10" i="14" s="1"/>
  <c r="J10" i="14" s="1"/>
  <c r="K10" i="14"/>
  <c r="L10" i="14" s="1"/>
  <c r="M10" i="14" s="1"/>
  <c r="O10" i="14"/>
  <c r="Q10" i="14"/>
  <c r="R10" i="14"/>
  <c r="T10" i="14"/>
  <c r="U10" i="14"/>
  <c r="V10" i="14" s="1"/>
  <c r="W10" i="14" s="1"/>
  <c r="X10" i="14"/>
  <c r="Y10" i="14" s="1"/>
  <c r="Z10" i="14" s="1"/>
  <c r="AB10" i="14"/>
  <c r="AC10" i="14" s="1"/>
  <c r="AD10" i="14" s="1"/>
  <c r="B11" i="14"/>
  <c r="E11" i="14"/>
  <c r="F11" i="14" s="1"/>
  <c r="G11" i="14" s="1"/>
  <c r="H11" i="14"/>
  <c r="I11" i="14" s="1"/>
  <c r="J11" i="14" s="1"/>
  <c r="K11" i="14"/>
  <c r="L11" i="14" s="1"/>
  <c r="M11" i="14" s="1"/>
  <c r="O11" i="14"/>
  <c r="Q11" i="14"/>
  <c r="R11" i="14"/>
  <c r="T11" i="14"/>
  <c r="U11" i="14"/>
  <c r="V11" i="14" s="1"/>
  <c r="W11" i="14" s="1"/>
  <c r="X11" i="14"/>
  <c r="Y11" i="14" s="1"/>
  <c r="Z11" i="14" s="1"/>
  <c r="AB11" i="14"/>
  <c r="AC11" i="14" s="1"/>
  <c r="AD11" i="14" s="1"/>
  <c r="B12" i="14"/>
  <c r="E12" i="14"/>
  <c r="F12" i="14" s="1"/>
  <c r="G12" i="14" s="1"/>
  <c r="H12" i="14"/>
  <c r="I12" i="14" s="1"/>
  <c r="J12" i="14" s="1"/>
  <c r="K12" i="14"/>
  <c r="L12" i="14" s="1"/>
  <c r="M12" i="14" s="1"/>
  <c r="O12" i="14"/>
  <c r="Q12" i="14"/>
  <c r="R12" i="14"/>
  <c r="T12" i="14"/>
  <c r="U12" i="14"/>
  <c r="V12" i="14" s="1"/>
  <c r="W12" i="14" s="1"/>
  <c r="X12" i="14"/>
  <c r="Y12" i="14" s="1"/>
  <c r="Z12" i="14" s="1"/>
  <c r="AB12" i="14"/>
  <c r="AC12" i="14" s="1"/>
  <c r="AD12" i="14" s="1"/>
  <c r="B13" i="14"/>
  <c r="E13" i="14"/>
  <c r="F13" i="14" s="1"/>
  <c r="G13" i="14" s="1"/>
  <c r="H13" i="14"/>
  <c r="I13" i="14" s="1"/>
  <c r="J13" i="14" s="1"/>
  <c r="K13" i="14"/>
  <c r="L13" i="14" s="1"/>
  <c r="M13" i="14" s="1"/>
  <c r="O13" i="14"/>
  <c r="Q13" i="14"/>
  <c r="R13" i="14"/>
  <c r="T13" i="14"/>
  <c r="U13" i="14"/>
  <c r="V13" i="14" s="1"/>
  <c r="W13" i="14" s="1"/>
  <c r="X13" i="14"/>
  <c r="Y13" i="14" s="1"/>
  <c r="Z13" i="14" s="1"/>
  <c r="AB13" i="14"/>
  <c r="AC13" i="14" s="1"/>
  <c r="AD13" i="14" s="1"/>
  <c r="B14" i="14"/>
  <c r="E14" i="14"/>
  <c r="F14" i="14" s="1"/>
  <c r="G14" i="14" s="1"/>
  <c r="H14" i="14"/>
  <c r="I14" i="14" s="1"/>
  <c r="J14" i="14" s="1"/>
  <c r="K14" i="14"/>
  <c r="L14" i="14" s="1"/>
  <c r="M14" i="14" s="1"/>
  <c r="O14" i="14"/>
  <c r="Q14" i="14"/>
  <c r="R14" i="14"/>
  <c r="T14" i="14"/>
  <c r="U14" i="14"/>
  <c r="V14" i="14" s="1"/>
  <c r="W14" i="14" s="1"/>
  <c r="X14" i="14"/>
  <c r="Y14" i="14" s="1"/>
  <c r="Z14" i="14" s="1"/>
  <c r="AB14" i="14"/>
  <c r="AC14" i="14" s="1"/>
  <c r="AD14" i="14" s="1"/>
  <c r="B15" i="14"/>
  <c r="E15" i="14"/>
  <c r="F15" i="14" s="1"/>
  <c r="G15" i="14" s="1"/>
  <c r="H15" i="14"/>
  <c r="I15" i="14" s="1"/>
  <c r="J15" i="14" s="1"/>
  <c r="K15" i="14"/>
  <c r="L15" i="14" s="1"/>
  <c r="M15" i="14" s="1"/>
  <c r="O15" i="14"/>
  <c r="Q15" i="14"/>
  <c r="R15" i="14"/>
  <c r="T15" i="14"/>
  <c r="U15" i="14"/>
  <c r="V15" i="14" s="1"/>
  <c r="W15" i="14" s="1"/>
  <c r="X15" i="14"/>
  <c r="Y15" i="14" s="1"/>
  <c r="Z15" i="14" s="1"/>
  <c r="AB15" i="14"/>
  <c r="AC15" i="14" s="1"/>
  <c r="AD15" i="14" s="1"/>
  <c r="B16" i="14"/>
  <c r="E16" i="14"/>
  <c r="F16" i="14" s="1"/>
  <c r="G16" i="14" s="1"/>
  <c r="H16" i="14"/>
  <c r="I16" i="14" s="1"/>
  <c r="J16" i="14" s="1"/>
  <c r="K16" i="14"/>
  <c r="L16" i="14" s="1"/>
  <c r="M16" i="14" s="1"/>
  <c r="O16" i="14"/>
  <c r="Q16" i="14"/>
  <c r="R16" i="14"/>
  <c r="T16" i="14"/>
  <c r="U16" i="14"/>
  <c r="V16" i="14" s="1"/>
  <c r="W16" i="14" s="1"/>
  <c r="X16" i="14"/>
  <c r="Y16" i="14" s="1"/>
  <c r="Z16" i="14" s="1"/>
  <c r="AB16" i="14"/>
  <c r="AC16" i="14" s="1"/>
  <c r="AD16" i="14" s="1"/>
  <c r="B17" i="14"/>
  <c r="E17" i="14"/>
  <c r="F17" i="14" s="1"/>
  <c r="G17" i="14" s="1"/>
  <c r="H17" i="14"/>
  <c r="I17" i="14" s="1"/>
  <c r="J17" i="14" s="1"/>
  <c r="K17" i="14"/>
  <c r="L17" i="14" s="1"/>
  <c r="M17" i="14" s="1"/>
  <c r="O17" i="14"/>
  <c r="P17" i="14" s="1"/>
  <c r="R17" i="14"/>
  <c r="S17" i="14" s="1"/>
  <c r="T17" i="14" s="1"/>
  <c r="U17" i="14"/>
  <c r="V17" i="14" s="1"/>
  <c r="W17" i="14" s="1"/>
  <c r="X17" i="14"/>
  <c r="Y17" i="14" s="1"/>
  <c r="Z17" i="14" s="1"/>
  <c r="AB17" i="14"/>
  <c r="AC17" i="14" s="1"/>
  <c r="AD17" i="14" s="1"/>
  <c r="B18" i="14"/>
  <c r="E18" i="14"/>
  <c r="F18" i="14" s="1"/>
  <c r="G18" i="14" s="1"/>
  <c r="H18" i="14"/>
  <c r="I18" i="14" s="1"/>
  <c r="J18" i="14" s="1"/>
  <c r="K18" i="14"/>
  <c r="L18" i="14" s="1"/>
  <c r="M18" i="14" s="1"/>
  <c r="O18" i="14"/>
  <c r="P18" i="14" s="1"/>
  <c r="Q18" i="14" s="1"/>
  <c r="R18" i="14"/>
  <c r="S18" i="14" s="1"/>
  <c r="U18" i="14"/>
  <c r="V18" i="14" s="1"/>
  <c r="W18" i="14" s="1"/>
  <c r="X18" i="14"/>
  <c r="Y18" i="14" s="1"/>
  <c r="Z18" i="14" s="1"/>
  <c r="AB18" i="14"/>
  <c r="AC18" i="14" s="1"/>
  <c r="AD18" i="14" s="1"/>
  <c r="B19" i="14"/>
  <c r="E19" i="14"/>
  <c r="F19" i="14" s="1"/>
  <c r="G19" i="14" s="1"/>
  <c r="H19" i="14"/>
  <c r="I19" i="14" s="1"/>
  <c r="J19" i="14" s="1"/>
  <c r="K19" i="14"/>
  <c r="L19" i="14" s="1"/>
  <c r="M19" i="14" s="1"/>
  <c r="O19" i="14"/>
  <c r="P19" i="14" s="1"/>
  <c r="Q19" i="14" s="1"/>
  <c r="R19" i="14"/>
  <c r="S19" i="14" s="1"/>
  <c r="T19" i="14" s="1"/>
  <c r="U19" i="14"/>
  <c r="V19" i="14" s="1"/>
  <c r="W19" i="14" s="1"/>
  <c r="X19" i="14"/>
  <c r="Y19" i="14" s="1"/>
  <c r="Z19" i="14" s="1"/>
  <c r="AB19" i="14"/>
  <c r="AC19" i="14" s="1"/>
  <c r="AD19" i="14" s="1"/>
  <c r="B20" i="14"/>
  <c r="E20" i="14"/>
  <c r="F20" i="14" s="1"/>
  <c r="G20" i="14" s="1"/>
  <c r="H20" i="14"/>
  <c r="I20" i="14" s="1"/>
  <c r="J20" i="14" s="1"/>
  <c r="K20" i="14"/>
  <c r="L20" i="14" s="1"/>
  <c r="M20" i="14" s="1"/>
  <c r="O20" i="14"/>
  <c r="P20" i="14" s="1"/>
  <c r="Q20" i="14" s="1"/>
  <c r="R20" i="14"/>
  <c r="S20" i="14" s="1"/>
  <c r="T20" i="14" s="1"/>
  <c r="U20" i="14"/>
  <c r="V20" i="14" s="1"/>
  <c r="W20" i="14" s="1"/>
  <c r="X20" i="14"/>
  <c r="Y20" i="14" s="1"/>
  <c r="Z20" i="14" s="1"/>
  <c r="AB20" i="14"/>
  <c r="AC20" i="14" s="1"/>
  <c r="AD20" i="14" s="1"/>
  <c r="B21" i="14"/>
  <c r="E21" i="14"/>
  <c r="F21" i="14" s="1"/>
  <c r="G21" i="14" s="1"/>
  <c r="H21" i="14"/>
  <c r="I21" i="14" s="1"/>
  <c r="J21" i="14" s="1"/>
  <c r="K21" i="14"/>
  <c r="L21" i="14" s="1"/>
  <c r="M21" i="14" s="1"/>
  <c r="O21" i="14"/>
  <c r="P21" i="14" s="1"/>
  <c r="Q21" i="14" s="1"/>
  <c r="R21" i="14"/>
  <c r="S21" i="14" s="1"/>
  <c r="T21" i="14" s="1"/>
  <c r="U21" i="14"/>
  <c r="V21" i="14" s="1"/>
  <c r="W21" i="14" s="1"/>
  <c r="X21" i="14"/>
  <c r="Y21" i="14" s="1"/>
  <c r="Z21" i="14" s="1"/>
  <c r="AB21" i="14"/>
  <c r="AC21" i="14" s="1"/>
  <c r="AD21" i="14" s="1"/>
  <c r="B22" i="14"/>
  <c r="E22" i="14"/>
  <c r="F22" i="14" s="1"/>
  <c r="G22" i="14" s="1"/>
  <c r="H22" i="14"/>
  <c r="I22" i="14" s="1"/>
  <c r="J22" i="14" s="1"/>
  <c r="K22" i="14"/>
  <c r="L22" i="14" s="1"/>
  <c r="M22" i="14" s="1"/>
  <c r="O22" i="14"/>
  <c r="P22" i="14" s="1"/>
  <c r="Q22" i="14" s="1"/>
  <c r="R22" i="14"/>
  <c r="S22" i="14" s="1"/>
  <c r="T22" i="14" s="1"/>
  <c r="U22" i="14"/>
  <c r="V22" i="14" s="1"/>
  <c r="W22" i="14" s="1"/>
  <c r="X22" i="14"/>
  <c r="Y22" i="14" s="1"/>
  <c r="Z22" i="14" s="1"/>
  <c r="AB22" i="14"/>
  <c r="AC22" i="14" s="1"/>
  <c r="AD22" i="14" s="1"/>
  <c r="B23" i="14"/>
  <c r="E23" i="14"/>
  <c r="F23" i="14" s="1"/>
  <c r="G23" i="14" s="1"/>
  <c r="H23" i="14"/>
  <c r="I23" i="14" s="1"/>
  <c r="J23" i="14" s="1"/>
  <c r="K23" i="14"/>
  <c r="L23" i="14" s="1"/>
  <c r="M23" i="14" s="1"/>
  <c r="O23" i="14"/>
  <c r="P23" i="14" s="1"/>
  <c r="Q23" i="14" s="1"/>
  <c r="R23" i="14"/>
  <c r="S23" i="14" s="1"/>
  <c r="T23" i="14" s="1"/>
  <c r="U23" i="14"/>
  <c r="V23" i="14" s="1"/>
  <c r="W23" i="14" s="1"/>
  <c r="X23" i="14"/>
  <c r="Y23" i="14" s="1"/>
  <c r="Z23" i="14" s="1"/>
  <c r="AB23" i="14"/>
  <c r="AC23" i="14" s="1"/>
  <c r="AD23" i="14" s="1"/>
  <c r="B24" i="14"/>
  <c r="E24" i="14"/>
  <c r="F24" i="14" s="1"/>
  <c r="G24" i="14" s="1"/>
  <c r="H24" i="14"/>
  <c r="I24" i="14" s="1"/>
  <c r="J24" i="14" s="1"/>
  <c r="K24" i="14"/>
  <c r="L24" i="14" s="1"/>
  <c r="M24" i="14" s="1"/>
  <c r="O24" i="14"/>
  <c r="P24" i="14" s="1"/>
  <c r="Q24" i="14" s="1"/>
  <c r="R24" i="14"/>
  <c r="S24" i="14" s="1"/>
  <c r="T24" i="14" s="1"/>
  <c r="U24" i="14"/>
  <c r="V24" i="14" s="1"/>
  <c r="W24" i="14" s="1"/>
  <c r="X24" i="14"/>
  <c r="Y24" i="14" s="1"/>
  <c r="Z24" i="14" s="1"/>
  <c r="AB24" i="14"/>
  <c r="AC24" i="14" s="1"/>
  <c r="AD24" i="14" s="1"/>
  <c r="B25" i="14"/>
  <c r="E25" i="14"/>
  <c r="F25" i="14" s="1"/>
  <c r="G25" i="14" s="1"/>
  <c r="H25" i="14"/>
  <c r="I25" i="14" s="1"/>
  <c r="J25" i="14" s="1"/>
  <c r="K25" i="14"/>
  <c r="L25" i="14" s="1"/>
  <c r="M25" i="14" s="1"/>
  <c r="O25" i="14"/>
  <c r="P25" i="14" s="1"/>
  <c r="Q25" i="14" s="1"/>
  <c r="R25" i="14"/>
  <c r="S25" i="14" s="1"/>
  <c r="T25" i="14" s="1"/>
  <c r="U25" i="14"/>
  <c r="V25" i="14" s="1"/>
  <c r="W25" i="14" s="1"/>
  <c r="X25" i="14"/>
  <c r="Y25" i="14" s="1"/>
  <c r="Z25" i="14" s="1"/>
  <c r="AB25" i="14"/>
  <c r="AC25" i="14" s="1"/>
  <c r="AD25" i="14" s="1"/>
  <c r="B26" i="14"/>
  <c r="E26" i="14"/>
  <c r="F26" i="14" s="1"/>
  <c r="G26" i="14" s="1"/>
  <c r="H26" i="14"/>
  <c r="I26" i="14" s="1"/>
  <c r="J26" i="14" s="1"/>
  <c r="K26" i="14"/>
  <c r="L26" i="14" s="1"/>
  <c r="M26" i="14" s="1"/>
  <c r="O26" i="14"/>
  <c r="P26" i="14" s="1"/>
  <c r="Q26" i="14" s="1"/>
  <c r="R26" i="14"/>
  <c r="S26" i="14" s="1"/>
  <c r="T26" i="14" s="1"/>
  <c r="U26" i="14"/>
  <c r="V26" i="14" s="1"/>
  <c r="W26" i="14" s="1"/>
  <c r="X26" i="14"/>
  <c r="Y26" i="14" s="1"/>
  <c r="Z26" i="14" s="1"/>
  <c r="AB26" i="14"/>
  <c r="AC26" i="14" s="1"/>
  <c r="AD26" i="14" s="1"/>
  <c r="B27" i="14"/>
  <c r="E27" i="14"/>
  <c r="F27" i="14" s="1"/>
  <c r="G27" i="14" s="1"/>
  <c r="H27" i="14"/>
  <c r="I27" i="14" s="1"/>
  <c r="J27" i="14" s="1"/>
  <c r="K27" i="14"/>
  <c r="L27" i="14" s="1"/>
  <c r="M27" i="14" s="1"/>
  <c r="O27" i="14"/>
  <c r="P27" i="14" s="1"/>
  <c r="Q27" i="14" s="1"/>
  <c r="R27" i="14"/>
  <c r="S27" i="14" s="1"/>
  <c r="T27" i="14" s="1"/>
  <c r="U27" i="14"/>
  <c r="V27" i="14" s="1"/>
  <c r="W27" i="14" s="1"/>
  <c r="X27" i="14"/>
  <c r="Y27" i="14" s="1"/>
  <c r="Z27" i="14" s="1"/>
  <c r="AB27" i="14"/>
  <c r="AC27" i="14" s="1"/>
  <c r="AD27" i="14" s="1"/>
  <c r="B28" i="14"/>
  <c r="E28" i="14"/>
  <c r="F28" i="14" s="1"/>
  <c r="G28" i="14" s="1"/>
  <c r="H28" i="14"/>
  <c r="I28" i="14" s="1"/>
  <c r="J28" i="14" s="1"/>
  <c r="K28" i="14"/>
  <c r="L28" i="14" s="1"/>
  <c r="M28" i="14" s="1"/>
  <c r="O28" i="14"/>
  <c r="P28" i="14" s="1"/>
  <c r="Q28" i="14" s="1"/>
  <c r="R28" i="14"/>
  <c r="S28" i="14" s="1"/>
  <c r="T28" i="14" s="1"/>
  <c r="U28" i="14"/>
  <c r="V28" i="14" s="1"/>
  <c r="W28" i="14" s="1"/>
  <c r="X28" i="14"/>
  <c r="Y28" i="14" s="1"/>
  <c r="Z28" i="14" s="1"/>
  <c r="AB28" i="14"/>
  <c r="AC28" i="14" s="1"/>
  <c r="AD28" i="14" s="1"/>
  <c r="B29" i="14"/>
  <c r="E29" i="14"/>
  <c r="F29" i="14" s="1"/>
  <c r="G29" i="14" s="1"/>
  <c r="H29" i="14"/>
  <c r="I29" i="14" s="1"/>
  <c r="J29" i="14" s="1"/>
  <c r="K29" i="14"/>
  <c r="L29" i="14" s="1"/>
  <c r="M29" i="14" s="1"/>
  <c r="O29" i="14"/>
  <c r="P29" i="14" s="1"/>
  <c r="Q29" i="14" s="1"/>
  <c r="R29" i="14"/>
  <c r="S29" i="14" s="1"/>
  <c r="T29" i="14" s="1"/>
  <c r="U29" i="14"/>
  <c r="V29" i="14" s="1"/>
  <c r="W29" i="14" s="1"/>
  <c r="X29" i="14"/>
  <c r="Y29" i="14" s="1"/>
  <c r="Z29" i="14" s="1"/>
  <c r="AB29" i="14"/>
  <c r="AC29" i="14" s="1"/>
  <c r="AD29" i="14" s="1"/>
  <c r="B30" i="14"/>
  <c r="E30" i="14"/>
  <c r="F30" i="14" s="1"/>
  <c r="G30" i="14" s="1"/>
  <c r="H30" i="14"/>
  <c r="I30" i="14" s="1"/>
  <c r="J30" i="14" s="1"/>
  <c r="K30" i="14"/>
  <c r="L30" i="14" s="1"/>
  <c r="M30" i="14" s="1"/>
  <c r="O30" i="14"/>
  <c r="P30" i="14" s="1"/>
  <c r="Q30" i="14" s="1"/>
  <c r="R30" i="14"/>
  <c r="S30" i="14" s="1"/>
  <c r="T30" i="14" s="1"/>
  <c r="U30" i="14"/>
  <c r="V30" i="14" s="1"/>
  <c r="W30" i="14" s="1"/>
  <c r="X30" i="14"/>
  <c r="Y30" i="14" s="1"/>
  <c r="Z30" i="14" s="1"/>
  <c r="AB30" i="14"/>
  <c r="AC30" i="14" s="1"/>
  <c r="AD30" i="14" s="1"/>
  <c r="B31" i="14"/>
  <c r="E31" i="14"/>
  <c r="F31" i="14" s="1"/>
  <c r="G31" i="14" s="1"/>
  <c r="H31" i="14"/>
  <c r="I31" i="14" s="1"/>
  <c r="J31" i="14" s="1"/>
  <c r="K31" i="14"/>
  <c r="L31" i="14" s="1"/>
  <c r="M31" i="14" s="1"/>
  <c r="O31" i="14"/>
  <c r="P31" i="14" s="1"/>
  <c r="Q31" i="14" s="1"/>
  <c r="R31" i="14"/>
  <c r="S31" i="14" s="1"/>
  <c r="T31" i="14" s="1"/>
  <c r="U31" i="14"/>
  <c r="V31" i="14" s="1"/>
  <c r="W31" i="14" s="1"/>
  <c r="X31" i="14"/>
  <c r="Y31" i="14" s="1"/>
  <c r="Z31" i="14" s="1"/>
  <c r="AB31" i="14"/>
  <c r="AC31" i="14" s="1"/>
  <c r="AD31" i="14" s="1"/>
  <c r="B32" i="14"/>
  <c r="E32" i="14"/>
  <c r="F32" i="14" s="1"/>
  <c r="G32" i="14" s="1"/>
  <c r="H32" i="14"/>
  <c r="I32" i="14" s="1"/>
  <c r="J32" i="14" s="1"/>
  <c r="K32" i="14"/>
  <c r="L32" i="14" s="1"/>
  <c r="M32" i="14" s="1"/>
  <c r="O32" i="14"/>
  <c r="P32" i="14" s="1"/>
  <c r="Q32" i="14" s="1"/>
  <c r="R32" i="14"/>
  <c r="S32" i="14" s="1"/>
  <c r="T32" i="14" s="1"/>
  <c r="U32" i="14"/>
  <c r="V32" i="14" s="1"/>
  <c r="W32" i="14" s="1"/>
  <c r="X32" i="14"/>
  <c r="Y32" i="14" s="1"/>
  <c r="Z32" i="14" s="1"/>
  <c r="AB32" i="14"/>
  <c r="AC32" i="14" s="1"/>
  <c r="AD32" i="14" s="1"/>
  <c r="B33" i="14"/>
  <c r="E33" i="14"/>
  <c r="F33" i="14" s="1"/>
  <c r="G33" i="14" s="1"/>
  <c r="H33" i="14"/>
  <c r="I33" i="14" s="1"/>
  <c r="J33" i="14" s="1"/>
  <c r="K33" i="14"/>
  <c r="L33" i="14" s="1"/>
  <c r="M33" i="14" s="1"/>
  <c r="O33" i="14"/>
  <c r="P33" i="14" s="1"/>
  <c r="Q33" i="14" s="1"/>
  <c r="R33" i="14"/>
  <c r="S33" i="14" s="1"/>
  <c r="T33" i="14" s="1"/>
  <c r="U33" i="14"/>
  <c r="V33" i="14" s="1"/>
  <c r="W33" i="14" s="1"/>
  <c r="X33" i="14"/>
  <c r="Y33" i="14" s="1"/>
  <c r="Z33" i="14" s="1"/>
  <c r="AB33" i="14"/>
  <c r="AC33" i="14" s="1"/>
  <c r="AD33" i="14" s="1"/>
  <c r="B34" i="14"/>
  <c r="E34" i="14"/>
  <c r="F34" i="14" s="1"/>
  <c r="G34" i="14" s="1"/>
  <c r="H34" i="14"/>
  <c r="I34" i="14" s="1"/>
  <c r="J34" i="14" s="1"/>
  <c r="K34" i="14"/>
  <c r="L34" i="14" s="1"/>
  <c r="M34" i="14" s="1"/>
  <c r="O34" i="14"/>
  <c r="P34" i="14" s="1"/>
  <c r="Q34" i="14" s="1"/>
  <c r="R34" i="14"/>
  <c r="S34" i="14" s="1"/>
  <c r="T34" i="14" s="1"/>
  <c r="U34" i="14"/>
  <c r="V34" i="14" s="1"/>
  <c r="W34" i="14" s="1"/>
  <c r="X34" i="14"/>
  <c r="Y34" i="14" s="1"/>
  <c r="Z34" i="14" s="1"/>
  <c r="AB34" i="14"/>
  <c r="AC34" i="14" s="1"/>
  <c r="AD34" i="14" s="1"/>
  <c r="N32" i="12" l="1"/>
  <c r="AG35" i="5"/>
  <c r="AG12" i="5"/>
  <c r="AG10" i="5"/>
  <c r="AG8" i="5"/>
  <c r="AG14" i="5"/>
  <c r="AM36" i="5"/>
  <c r="AN36" i="5" s="1"/>
  <c r="C34" i="13"/>
  <c r="AF34" i="13"/>
  <c r="C32" i="13"/>
  <c r="AF32" i="13"/>
  <c r="C30" i="13"/>
  <c r="AF30" i="13"/>
  <c r="C28" i="13"/>
  <c r="AF28" i="13"/>
  <c r="C26" i="13"/>
  <c r="AF26" i="13"/>
  <c r="C24" i="13"/>
  <c r="AF24" i="13"/>
  <c r="C22" i="13"/>
  <c r="AF22" i="13"/>
  <c r="C20" i="13"/>
  <c r="AF20" i="13"/>
  <c r="C18" i="13"/>
  <c r="AF18" i="13"/>
  <c r="C16" i="13"/>
  <c r="AF16" i="13"/>
  <c r="C14" i="13"/>
  <c r="AF14" i="13"/>
  <c r="C12" i="13"/>
  <c r="AF12" i="13"/>
  <c r="C10" i="13"/>
  <c r="AF10" i="13"/>
  <c r="C8" i="13"/>
  <c r="AG8" i="13" s="1"/>
  <c r="AF8" i="13"/>
  <c r="C6" i="13"/>
  <c r="AF6" i="13"/>
  <c r="C35" i="13"/>
  <c r="AF35" i="13"/>
  <c r="C33" i="13"/>
  <c r="AF33" i="13"/>
  <c r="C31" i="13"/>
  <c r="AF31" i="13"/>
  <c r="C29" i="13"/>
  <c r="AF29" i="13"/>
  <c r="C27" i="13"/>
  <c r="AF27" i="13"/>
  <c r="C25" i="13"/>
  <c r="AF25" i="13"/>
  <c r="C23" i="13"/>
  <c r="AF23" i="13"/>
  <c r="C21" i="13"/>
  <c r="AF21" i="13"/>
  <c r="C19" i="13"/>
  <c r="AF19" i="13"/>
  <c r="C17" i="13"/>
  <c r="AF17" i="13"/>
  <c r="C15" i="13"/>
  <c r="AF15" i="13"/>
  <c r="C13" i="13"/>
  <c r="AF13" i="13"/>
  <c r="C11" i="13"/>
  <c r="AF11" i="13"/>
  <c r="C9" i="13"/>
  <c r="AF9" i="13"/>
  <c r="C7" i="13"/>
  <c r="AF7" i="13"/>
  <c r="C5" i="13"/>
  <c r="AF5" i="13"/>
  <c r="C33" i="14"/>
  <c r="AF33" i="14"/>
  <c r="C31" i="14"/>
  <c r="AF31" i="14"/>
  <c r="C29" i="14"/>
  <c r="AF29" i="14"/>
  <c r="C27" i="14"/>
  <c r="AF27" i="14"/>
  <c r="C25" i="14"/>
  <c r="AF25" i="14"/>
  <c r="C23" i="14"/>
  <c r="AF23" i="14"/>
  <c r="C21" i="14"/>
  <c r="AF21" i="14"/>
  <c r="C19" i="14"/>
  <c r="AF19" i="14"/>
  <c r="C17" i="14"/>
  <c r="AF17" i="14"/>
  <c r="C15" i="14"/>
  <c r="AF15" i="14"/>
  <c r="C13" i="14"/>
  <c r="AF13" i="14"/>
  <c r="C11" i="14"/>
  <c r="AF11" i="14"/>
  <c r="C9" i="14"/>
  <c r="AF9" i="14"/>
  <c r="C7" i="14"/>
  <c r="AF7" i="14"/>
  <c r="C5" i="14"/>
  <c r="AG5" i="14" s="1"/>
  <c r="AF5" i="14"/>
  <c r="C34" i="14"/>
  <c r="AF34" i="14"/>
  <c r="C32" i="14"/>
  <c r="AF32" i="14"/>
  <c r="C30" i="14"/>
  <c r="AF30" i="14"/>
  <c r="C28" i="14"/>
  <c r="AF28" i="14"/>
  <c r="C26" i="14"/>
  <c r="AF26" i="14"/>
  <c r="C24" i="14"/>
  <c r="AF24" i="14"/>
  <c r="C22" i="14"/>
  <c r="AF22" i="14"/>
  <c r="C20" i="14"/>
  <c r="AF20" i="14"/>
  <c r="C18" i="14"/>
  <c r="AF18" i="14"/>
  <c r="C16" i="14"/>
  <c r="AF16" i="14"/>
  <c r="C14" i="14"/>
  <c r="AF14" i="14"/>
  <c r="C12" i="14"/>
  <c r="AF12" i="14"/>
  <c r="C10" i="14"/>
  <c r="AF10" i="14"/>
  <c r="C8" i="14"/>
  <c r="AF8" i="14"/>
  <c r="C6" i="14"/>
  <c r="AF6" i="14"/>
  <c r="D34" i="7"/>
  <c r="AH34" i="7" s="1"/>
  <c r="AG34" i="7"/>
  <c r="D32" i="7"/>
  <c r="AH32" i="7" s="1"/>
  <c r="AG32" i="7"/>
  <c r="D30" i="7"/>
  <c r="AH30" i="7" s="1"/>
  <c r="AG30" i="7"/>
  <c r="D28" i="7"/>
  <c r="AH28" i="7" s="1"/>
  <c r="AG28" i="7"/>
  <c r="D26" i="7"/>
  <c r="AH26" i="7" s="1"/>
  <c r="AG26" i="7"/>
  <c r="D24" i="7"/>
  <c r="AH24" i="7" s="1"/>
  <c r="AG24" i="7"/>
  <c r="D22" i="7"/>
  <c r="AH22" i="7" s="1"/>
  <c r="AG22" i="7"/>
  <c r="D20" i="7"/>
  <c r="AH20" i="7" s="1"/>
  <c r="AG20" i="7"/>
  <c r="D18" i="7"/>
  <c r="AH18" i="7" s="1"/>
  <c r="AG18" i="7"/>
  <c r="D16" i="7"/>
  <c r="AH16" i="7" s="1"/>
  <c r="AG16" i="7"/>
  <c r="D14" i="7"/>
  <c r="AH14" i="7" s="1"/>
  <c r="AG14" i="7"/>
  <c r="D12" i="7"/>
  <c r="AH12" i="7" s="1"/>
  <c r="AG12" i="7"/>
  <c r="D10" i="7"/>
  <c r="AH10" i="7" s="1"/>
  <c r="AG10" i="7"/>
  <c r="D8" i="7"/>
  <c r="AH8" i="7" s="1"/>
  <c r="AG8" i="7"/>
  <c r="D6" i="7"/>
  <c r="AH6" i="7" s="1"/>
  <c r="AG6" i="7"/>
  <c r="D33" i="7"/>
  <c r="AH33" i="7" s="1"/>
  <c r="AG33" i="7"/>
  <c r="D31" i="7"/>
  <c r="AH31" i="7" s="1"/>
  <c r="AG31" i="7"/>
  <c r="D29" i="7"/>
  <c r="AH29" i="7" s="1"/>
  <c r="AG29" i="7"/>
  <c r="D27" i="7"/>
  <c r="AH27" i="7" s="1"/>
  <c r="AG27" i="7"/>
  <c r="D25" i="7"/>
  <c r="AH25" i="7" s="1"/>
  <c r="AG25" i="7"/>
  <c r="D23" i="7"/>
  <c r="AH23" i="7" s="1"/>
  <c r="AG23" i="7"/>
  <c r="D21" i="7"/>
  <c r="AH21" i="7" s="1"/>
  <c r="AG21" i="7"/>
  <c r="D19" i="7"/>
  <c r="AH19" i="7" s="1"/>
  <c r="AG19" i="7"/>
  <c r="D17" i="7"/>
  <c r="AH17" i="7" s="1"/>
  <c r="AG17" i="7"/>
  <c r="D15" i="7"/>
  <c r="AH15" i="7" s="1"/>
  <c r="AG15" i="7"/>
  <c r="D13" i="7"/>
  <c r="AH13" i="7" s="1"/>
  <c r="AG13" i="7"/>
  <c r="D11" i="7"/>
  <c r="AH11" i="7" s="1"/>
  <c r="AG11" i="7"/>
  <c r="D9" i="7"/>
  <c r="AH9" i="7" s="1"/>
  <c r="AG9" i="7"/>
  <c r="D7" i="7"/>
  <c r="AH7" i="7" s="1"/>
  <c r="AG7" i="7"/>
  <c r="AG5" i="7"/>
  <c r="C32" i="4"/>
  <c r="AF32" i="4"/>
  <c r="C30" i="4"/>
  <c r="AF30" i="4"/>
  <c r="C28" i="4"/>
  <c r="AF28" i="4"/>
  <c r="C26" i="4"/>
  <c r="AF26" i="4"/>
  <c r="C24" i="4"/>
  <c r="AF24" i="4"/>
  <c r="C22" i="4"/>
  <c r="AF22" i="4"/>
  <c r="C20" i="4"/>
  <c r="AF20" i="4"/>
  <c r="C18" i="4"/>
  <c r="AF18" i="4"/>
  <c r="C16" i="4"/>
  <c r="AF16" i="4"/>
  <c r="C14" i="4"/>
  <c r="AF14" i="4"/>
  <c r="C12" i="4"/>
  <c r="AF12" i="4"/>
  <c r="C10" i="4"/>
  <c r="AF10" i="4"/>
  <c r="C8" i="4"/>
  <c r="AF8" i="4"/>
  <c r="C6" i="4"/>
  <c r="AG6" i="4" s="1"/>
  <c r="AF6" i="4"/>
  <c r="C31" i="4"/>
  <c r="AF31" i="4"/>
  <c r="C29" i="4"/>
  <c r="AF29" i="4"/>
  <c r="C27" i="4"/>
  <c r="AF27" i="4"/>
  <c r="C25" i="4"/>
  <c r="AF25" i="4"/>
  <c r="C23" i="4"/>
  <c r="AF23" i="4"/>
  <c r="C21" i="4"/>
  <c r="AF21" i="4"/>
  <c r="C19" i="4"/>
  <c r="AF19" i="4"/>
  <c r="C17" i="4"/>
  <c r="AF17" i="4"/>
  <c r="C15" i="4"/>
  <c r="AF15" i="4"/>
  <c r="C13" i="4"/>
  <c r="AF13" i="4"/>
  <c r="C11" i="4"/>
  <c r="AF11" i="4"/>
  <c r="C9" i="4"/>
  <c r="AF9" i="4"/>
  <c r="C7" i="4"/>
  <c r="AF7" i="4"/>
  <c r="C5" i="4"/>
  <c r="AF5" i="4"/>
  <c r="C34" i="1"/>
  <c r="AF34" i="1"/>
  <c r="C32" i="1"/>
  <c r="AF32" i="1"/>
  <c r="C30" i="1"/>
  <c r="AF30" i="1"/>
  <c r="C28" i="1"/>
  <c r="AF28" i="1"/>
  <c r="C26" i="1"/>
  <c r="AF26" i="1"/>
  <c r="C24" i="1"/>
  <c r="AF24" i="1"/>
  <c r="C22" i="1"/>
  <c r="AF22" i="1"/>
  <c r="C20" i="1"/>
  <c r="AF20" i="1"/>
  <c r="C18" i="1"/>
  <c r="AF18" i="1"/>
  <c r="C16" i="1"/>
  <c r="AF16" i="1"/>
  <c r="C14" i="1"/>
  <c r="AF14" i="1"/>
  <c r="C12" i="1"/>
  <c r="AF12" i="1"/>
  <c r="C10" i="1"/>
  <c r="AF10" i="1"/>
  <c r="C8" i="1"/>
  <c r="AF8" i="1"/>
  <c r="C6" i="1"/>
  <c r="AG6" i="1" s="1"/>
  <c r="AF6" i="1"/>
  <c r="C35" i="1"/>
  <c r="AF35" i="1"/>
  <c r="C33" i="1"/>
  <c r="AF33" i="1"/>
  <c r="C31" i="1"/>
  <c r="AF31" i="1"/>
  <c r="C29" i="1"/>
  <c r="AF29" i="1"/>
  <c r="C27" i="1"/>
  <c r="AF27" i="1"/>
  <c r="C25" i="1"/>
  <c r="AF25" i="1"/>
  <c r="C23" i="1"/>
  <c r="AF23" i="1"/>
  <c r="C21" i="1"/>
  <c r="AF21" i="1"/>
  <c r="C19" i="1"/>
  <c r="AF19" i="1"/>
  <c r="C17" i="1"/>
  <c r="AF17" i="1"/>
  <c r="C15" i="1"/>
  <c r="AF15" i="1"/>
  <c r="C13" i="1"/>
  <c r="AF13" i="1"/>
  <c r="C11" i="1"/>
  <c r="AF11" i="1"/>
  <c r="C9" i="1"/>
  <c r="AF9" i="1"/>
  <c r="C7" i="1"/>
  <c r="AF7" i="1"/>
  <c r="C5" i="1"/>
  <c r="AF5" i="1"/>
  <c r="N34" i="12"/>
  <c r="S36" i="8"/>
  <c r="T36" i="8" s="1"/>
  <c r="F36" i="8"/>
  <c r="G36" i="8" s="1"/>
  <c r="AJ7" i="9"/>
  <c r="AG20" i="6"/>
  <c r="AH20" i="6"/>
  <c r="AJ16" i="6"/>
  <c r="Y36" i="8"/>
  <c r="Z36" i="8" s="1"/>
  <c r="L36" i="8"/>
  <c r="M36" i="8" s="1"/>
  <c r="AJ15" i="9"/>
  <c r="AJ9" i="9"/>
  <c r="AH28" i="5"/>
  <c r="Q8" i="13"/>
  <c r="P36" i="13"/>
  <c r="T7" i="13"/>
  <c r="S36" i="13"/>
  <c r="W6" i="13"/>
  <c r="V36" i="13"/>
  <c r="Z5" i="13"/>
  <c r="Y36" i="13"/>
  <c r="AH29" i="5"/>
  <c r="AD8" i="13"/>
  <c r="AC36" i="13"/>
  <c r="D8" i="13"/>
  <c r="C36" i="13"/>
  <c r="G7" i="13"/>
  <c r="G36" i="13" s="1"/>
  <c r="F36" i="13"/>
  <c r="J6" i="13"/>
  <c r="I36" i="13"/>
  <c r="M5" i="13"/>
  <c r="M36" i="13" s="1"/>
  <c r="L36" i="13"/>
  <c r="AJ18" i="6"/>
  <c r="AH17" i="9"/>
  <c r="AJ13" i="9"/>
  <c r="AJ11" i="9"/>
  <c r="AJ5" i="9"/>
  <c r="AG29" i="5"/>
  <c r="AJ24" i="5"/>
  <c r="AJ16" i="5"/>
  <c r="AJ15" i="5"/>
  <c r="AJ12" i="5"/>
  <c r="AJ11" i="5"/>
  <c r="AJ8" i="5"/>
  <c r="AJ7" i="5"/>
  <c r="AJ26" i="5"/>
  <c r="AJ22" i="5"/>
  <c r="AJ18" i="5"/>
  <c r="AJ17" i="5"/>
  <c r="AJ14" i="5"/>
  <c r="AJ13" i="5"/>
  <c r="AJ10" i="5"/>
  <c r="AJ9" i="5"/>
  <c r="AJ23" i="12"/>
  <c r="AJ33" i="10"/>
  <c r="AJ34" i="9"/>
  <c r="AJ30" i="9"/>
  <c r="AJ26" i="9"/>
  <c r="AJ22" i="9"/>
  <c r="AJ32" i="9"/>
  <c r="AJ28" i="9"/>
  <c r="AJ24" i="9"/>
  <c r="AJ20" i="9"/>
  <c r="D5" i="10"/>
  <c r="AH5" i="10" s="1"/>
  <c r="AG5" i="10"/>
  <c r="AJ35" i="10"/>
  <c r="AJ31" i="10"/>
  <c r="AJ20" i="10"/>
  <c r="AJ18" i="10"/>
  <c r="AJ16" i="10"/>
  <c r="AJ14" i="10"/>
  <c r="AJ12" i="10"/>
  <c r="AJ10" i="10"/>
  <c r="AJ8" i="10"/>
  <c r="AJ5" i="10"/>
  <c r="AJ29" i="10"/>
  <c r="AJ27" i="10"/>
  <c r="AJ25" i="10"/>
  <c r="D30" i="12"/>
  <c r="N30" i="12" s="1"/>
  <c r="AG30" i="12"/>
  <c r="D26" i="12"/>
  <c r="N26" i="12" s="1"/>
  <c r="AG26" i="12"/>
  <c r="D28" i="12"/>
  <c r="N28" i="12" s="1"/>
  <c r="AG28" i="12"/>
  <c r="D21" i="12"/>
  <c r="AG21" i="12"/>
  <c r="D19" i="12"/>
  <c r="N19" i="12" s="1"/>
  <c r="AG19" i="12"/>
  <c r="D17" i="12"/>
  <c r="N17" i="12" s="1"/>
  <c r="AG17" i="12"/>
  <c r="D15" i="12"/>
  <c r="N15" i="12" s="1"/>
  <c r="AG15" i="12"/>
  <c r="D13" i="12"/>
  <c r="N13" i="12" s="1"/>
  <c r="AG13" i="12"/>
  <c r="D11" i="12"/>
  <c r="N11" i="12" s="1"/>
  <c r="AG11" i="12"/>
  <c r="D9" i="12"/>
  <c r="N9" i="12" s="1"/>
  <c r="AG9" i="12"/>
  <c r="D7" i="12"/>
  <c r="N7" i="12" s="1"/>
  <c r="AG7" i="12"/>
  <c r="D5" i="12"/>
  <c r="N5" i="12" s="1"/>
  <c r="AG5" i="12"/>
  <c r="AJ33" i="12"/>
  <c r="AJ31" i="12"/>
  <c r="AJ30" i="12"/>
  <c r="AJ29" i="12"/>
  <c r="AJ28" i="12"/>
  <c r="AJ27" i="12"/>
  <c r="AJ26" i="12"/>
  <c r="AJ25" i="12"/>
  <c r="AF29" i="12"/>
  <c r="AF27" i="12"/>
  <c r="J13" i="11"/>
  <c r="I36" i="11"/>
  <c r="J36" i="11" s="1"/>
  <c r="G10" i="11"/>
  <c r="F36" i="11"/>
  <c r="G36" i="11" s="1"/>
  <c r="Z6" i="11"/>
  <c r="Y36" i="11"/>
  <c r="Z36" i="11" s="1"/>
  <c r="T10" i="11"/>
  <c r="AJ10" i="11" s="1"/>
  <c r="S36" i="11"/>
  <c r="T36" i="11" s="1"/>
  <c r="D7" i="11"/>
  <c r="AG7" i="11"/>
  <c r="M6" i="11"/>
  <c r="L36" i="11"/>
  <c r="M36" i="11" s="1"/>
  <c r="D5" i="11"/>
  <c r="AG5" i="11"/>
  <c r="AJ34" i="11"/>
  <c r="AJ32" i="11"/>
  <c r="AJ30" i="11"/>
  <c r="AJ28" i="11"/>
  <c r="AJ26" i="11"/>
  <c r="C36" i="11"/>
  <c r="D36" i="11" s="1"/>
  <c r="AJ24" i="11"/>
  <c r="AJ22" i="11"/>
  <c r="AJ20" i="11"/>
  <c r="AJ18" i="11"/>
  <c r="AJ16" i="11"/>
  <c r="AJ14" i="11"/>
  <c r="AJ12" i="11"/>
  <c r="AJ33" i="6"/>
  <c r="AJ29" i="6"/>
  <c r="AJ14" i="6"/>
  <c r="AJ10" i="6"/>
  <c r="AJ6" i="6"/>
  <c r="AJ35" i="6"/>
  <c r="AJ31" i="6"/>
  <c r="AJ27" i="6"/>
  <c r="AJ20" i="6"/>
  <c r="AJ12" i="6"/>
  <c r="AJ8" i="6"/>
  <c r="T18" i="14"/>
  <c r="S35" i="14"/>
  <c r="M6" i="14"/>
  <c r="L35" i="14"/>
  <c r="AD5" i="14"/>
  <c r="AD35" i="14" s="1"/>
  <c r="AC35" i="14"/>
  <c r="J5" i="14"/>
  <c r="J35" i="14" s="1"/>
  <c r="I35" i="14"/>
  <c r="M35" i="14"/>
  <c r="AD36" i="13"/>
  <c r="Q36" i="13"/>
  <c r="T36" i="13"/>
  <c r="Q17" i="14"/>
  <c r="Q35" i="14" s="1"/>
  <c r="P35" i="14"/>
  <c r="Z6" i="14"/>
  <c r="Z35" i="14" s="1"/>
  <c r="Y35" i="14"/>
  <c r="G6" i="14"/>
  <c r="F35" i="14"/>
  <c r="W5" i="14"/>
  <c r="W35" i="14" s="1"/>
  <c r="V35" i="14"/>
  <c r="D5" i="14"/>
  <c r="C35" i="14"/>
  <c r="T35" i="14"/>
  <c r="G35" i="14"/>
  <c r="W36" i="13"/>
  <c r="J36" i="13"/>
  <c r="Z36" i="13"/>
  <c r="W6" i="1"/>
  <c r="V36" i="1"/>
  <c r="J6" i="1"/>
  <c r="I36" i="1"/>
  <c r="Z5" i="1"/>
  <c r="Z36" i="1" s="1"/>
  <c r="Y36" i="1"/>
  <c r="M5" i="1"/>
  <c r="M36" i="1" s="1"/>
  <c r="L36" i="1"/>
  <c r="W6" i="4"/>
  <c r="V34" i="4"/>
  <c r="J6" i="4"/>
  <c r="J34" i="4" s="1"/>
  <c r="I34" i="4"/>
  <c r="Z5" i="4"/>
  <c r="Z34" i="4" s="1"/>
  <c r="Y34" i="4"/>
  <c r="M5" i="4"/>
  <c r="M34" i="4" s="1"/>
  <c r="L34" i="4"/>
  <c r="D35" i="6"/>
  <c r="AH35" i="6" s="1"/>
  <c r="AG35" i="6"/>
  <c r="D33" i="6"/>
  <c r="AH33" i="6" s="1"/>
  <c r="AG33" i="6"/>
  <c r="D31" i="6"/>
  <c r="AH31" i="6" s="1"/>
  <c r="AG31" i="6"/>
  <c r="D29" i="6"/>
  <c r="AH29" i="6" s="1"/>
  <c r="AG29" i="6"/>
  <c r="D27" i="6"/>
  <c r="AH27" i="6" s="1"/>
  <c r="AG27" i="6"/>
  <c r="D25" i="6"/>
  <c r="AH25" i="6" s="1"/>
  <c r="AG25" i="6"/>
  <c r="D23" i="6"/>
  <c r="AH23" i="6" s="1"/>
  <c r="AG23" i="6"/>
  <c r="Z22" i="6"/>
  <c r="Y36" i="6"/>
  <c r="M22" i="6"/>
  <c r="L36" i="6"/>
  <c r="AD21" i="6"/>
  <c r="AD36" i="6" s="1"/>
  <c r="AC36" i="6"/>
  <c r="Q21" i="6"/>
  <c r="Q36" i="6" s="1"/>
  <c r="P36" i="6"/>
  <c r="D21" i="6"/>
  <c r="AH21" i="6" s="1"/>
  <c r="AG21" i="6"/>
  <c r="AH34" i="6"/>
  <c r="AH32" i="6"/>
  <c r="AH30" i="6"/>
  <c r="AH28" i="6"/>
  <c r="AH26" i="6"/>
  <c r="AJ25" i="6"/>
  <c r="AH24" i="6"/>
  <c r="AJ23" i="6"/>
  <c r="AH22" i="6"/>
  <c r="AD6" i="1"/>
  <c r="AD36" i="1" s="1"/>
  <c r="AC36" i="1"/>
  <c r="Q6" i="1"/>
  <c r="Q36" i="1" s="1"/>
  <c r="P36" i="1"/>
  <c r="D6" i="1"/>
  <c r="C36" i="1"/>
  <c r="T5" i="1"/>
  <c r="T36" i="1" s="1"/>
  <c r="S36" i="1"/>
  <c r="G5" i="1"/>
  <c r="G36" i="1" s="1"/>
  <c r="F36" i="1"/>
  <c r="AD6" i="4"/>
  <c r="AD34" i="4" s="1"/>
  <c r="AC34" i="4"/>
  <c r="Q6" i="4"/>
  <c r="Q34" i="4" s="1"/>
  <c r="P34" i="4"/>
  <c r="D6" i="4"/>
  <c r="C34" i="4"/>
  <c r="T5" i="4"/>
  <c r="T34" i="4" s="1"/>
  <c r="S34" i="4"/>
  <c r="G5" i="4"/>
  <c r="G34" i="4" s="1"/>
  <c r="F34" i="4"/>
  <c r="T22" i="6"/>
  <c r="S36" i="6"/>
  <c r="G22" i="6"/>
  <c r="G36" i="6" s="1"/>
  <c r="F36" i="6"/>
  <c r="W21" i="6"/>
  <c r="W36" i="6" s="1"/>
  <c r="V36" i="6"/>
  <c r="J21" i="6"/>
  <c r="J36" i="6" s="1"/>
  <c r="I36" i="6"/>
  <c r="W36" i="1"/>
  <c r="J36" i="1"/>
  <c r="W34" i="4"/>
  <c r="AJ34" i="6"/>
  <c r="AJ32" i="6"/>
  <c r="AJ30" i="6"/>
  <c r="AJ28" i="6"/>
  <c r="AJ26" i="6"/>
  <c r="AJ24" i="6"/>
  <c r="Z36" i="6"/>
  <c r="M36" i="6"/>
  <c r="C18" i="6"/>
  <c r="AF18" i="6"/>
  <c r="T6" i="7"/>
  <c r="S35" i="7"/>
  <c r="G6" i="7"/>
  <c r="F35" i="7"/>
  <c r="W5" i="7"/>
  <c r="W35" i="7" s="1"/>
  <c r="V35" i="7"/>
  <c r="J5" i="7"/>
  <c r="J35" i="7" s="1"/>
  <c r="I35" i="7"/>
  <c r="D35" i="8"/>
  <c r="AH35" i="8" s="1"/>
  <c r="AG35" i="8"/>
  <c r="D33" i="8"/>
  <c r="AH33" i="8" s="1"/>
  <c r="AG33" i="8"/>
  <c r="D31" i="8"/>
  <c r="AH31" i="8" s="1"/>
  <c r="AG31" i="8"/>
  <c r="D29" i="8"/>
  <c r="AH29" i="8" s="1"/>
  <c r="AG29" i="8"/>
  <c r="D27" i="8"/>
  <c r="AH27" i="8" s="1"/>
  <c r="AG27" i="8"/>
  <c r="D25" i="8"/>
  <c r="AH25" i="8" s="1"/>
  <c r="AG25" i="8"/>
  <c r="D23" i="8"/>
  <c r="AH23" i="8" s="1"/>
  <c r="AG23" i="8"/>
  <c r="D21" i="8"/>
  <c r="AH21" i="8" s="1"/>
  <c r="AG21" i="8"/>
  <c r="D19" i="8"/>
  <c r="AH19" i="8" s="1"/>
  <c r="AG19" i="8"/>
  <c r="D17" i="8"/>
  <c r="AH17" i="8" s="1"/>
  <c r="AG17" i="8"/>
  <c r="D15" i="8"/>
  <c r="AH15" i="8" s="1"/>
  <c r="AG15" i="8"/>
  <c r="D13" i="8"/>
  <c r="AH13" i="8" s="1"/>
  <c r="AG13" i="8"/>
  <c r="D11" i="8"/>
  <c r="AH11" i="8" s="1"/>
  <c r="AG11" i="8"/>
  <c r="D9" i="8"/>
  <c r="AH9" i="8" s="1"/>
  <c r="AG9" i="8"/>
  <c r="D7" i="8"/>
  <c r="AH7" i="8" s="1"/>
  <c r="AG7" i="8"/>
  <c r="AD5" i="8"/>
  <c r="AC36" i="8"/>
  <c r="AD36" i="8" s="1"/>
  <c r="Q5" i="8"/>
  <c r="P36" i="8"/>
  <c r="Q36" i="8" s="1"/>
  <c r="D5" i="8"/>
  <c r="AG5" i="8"/>
  <c r="C36" i="8"/>
  <c r="D36" i="8" s="1"/>
  <c r="S35" i="9"/>
  <c r="T35" i="9" s="1"/>
  <c r="T19" i="9"/>
  <c r="AJ19" i="9" s="1"/>
  <c r="F35" i="9"/>
  <c r="G35" i="9" s="1"/>
  <c r="G19" i="9"/>
  <c r="V35" i="9"/>
  <c r="W35" i="9" s="1"/>
  <c r="W18" i="9"/>
  <c r="I35" i="9"/>
  <c r="J35" i="9" s="1"/>
  <c r="J18" i="9"/>
  <c r="AF35" i="6"/>
  <c r="AG34" i="6"/>
  <c r="AF33" i="6"/>
  <c r="AG32" i="6"/>
  <c r="AF31" i="6"/>
  <c r="AG30" i="6"/>
  <c r="AF29" i="6"/>
  <c r="AG28" i="6"/>
  <c r="AF27" i="6"/>
  <c r="AG26" i="6"/>
  <c r="AF25" i="6"/>
  <c r="AG24" i="6"/>
  <c r="AF23" i="6"/>
  <c r="AG22" i="6"/>
  <c r="AF21" i="6"/>
  <c r="AG16" i="6"/>
  <c r="AJ15" i="6"/>
  <c r="AJ13" i="6"/>
  <c r="AJ11" i="6"/>
  <c r="AJ9" i="6"/>
  <c r="AJ7" i="6"/>
  <c r="AJ5" i="6"/>
  <c r="AJ33" i="9"/>
  <c r="AJ31" i="9"/>
  <c r="AJ29" i="9"/>
  <c r="AJ27" i="9"/>
  <c r="AJ25" i="9"/>
  <c r="AJ23" i="9"/>
  <c r="AJ21" i="9"/>
  <c r="D19" i="6"/>
  <c r="AH19" i="6" s="1"/>
  <c r="AG19" i="6"/>
  <c r="D17" i="6"/>
  <c r="AH17" i="6" s="1"/>
  <c r="AG17" i="6"/>
  <c r="D14" i="6"/>
  <c r="AH14" i="6" s="1"/>
  <c r="AG14" i="6"/>
  <c r="D12" i="6"/>
  <c r="AH12" i="6" s="1"/>
  <c r="AG12" i="6"/>
  <c r="D10" i="6"/>
  <c r="AH10" i="6" s="1"/>
  <c r="AG10" i="6"/>
  <c r="D8" i="6"/>
  <c r="AH8" i="6" s="1"/>
  <c r="AG8" i="6"/>
  <c r="D6" i="6"/>
  <c r="AG6" i="6"/>
  <c r="Z6" i="7"/>
  <c r="Z35" i="7" s="1"/>
  <c r="Y35" i="7"/>
  <c r="M6" i="7"/>
  <c r="M35" i="7" s="1"/>
  <c r="L35" i="7"/>
  <c r="AD5" i="7"/>
  <c r="AD35" i="7" s="1"/>
  <c r="AC35" i="7"/>
  <c r="Q5" i="7"/>
  <c r="Q35" i="7" s="1"/>
  <c r="P35" i="7"/>
  <c r="D5" i="7"/>
  <c r="C35" i="7"/>
  <c r="D34" i="8"/>
  <c r="AH34" i="8" s="1"/>
  <c r="AG34" i="8"/>
  <c r="D32" i="8"/>
  <c r="AH32" i="8" s="1"/>
  <c r="AG32" i="8"/>
  <c r="D30" i="8"/>
  <c r="AH30" i="8" s="1"/>
  <c r="AG30" i="8"/>
  <c r="D28" i="8"/>
  <c r="AH28" i="8" s="1"/>
  <c r="AG28" i="8"/>
  <c r="D26" i="8"/>
  <c r="AH26" i="8" s="1"/>
  <c r="AG26" i="8"/>
  <c r="D24" i="8"/>
  <c r="AH24" i="8" s="1"/>
  <c r="AG24" i="8"/>
  <c r="D22" i="8"/>
  <c r="AH22" i="8" s="1"/>
  <c r="AG22" i="8"/>
  <c r="D20" i="8"/>
  <c r="AH20" i="8" s="1"/>
  <c r="AG20" i="8"/>
  <c r="D18" i="8"/>
  <c r="AH18" i="8" s="1"/>
  <c r="AG18" i="8"/>
  <c r="D16" i="8"/>
  <c r="AH16" i="8" s="1"/>
  <c r="AG16" i="8"/>
  <c r="D14" i="8"/>
  <c r="AH14" i="8" s="1"/>
  <c r="AG14" i="8"/>
  <c r="D12" i="8"/>
  <c r="AH12" i="8" s="1"/>
  <c r="AG12" i="8"/>
  <c r="D10" i="8"/>
  <c r="AH10" i="8" s="1"/>
  <c r="AG10" i="8"/>
  <c r="D8" i="8"/>
  <c r="AH8" i="8" s="1"/>
  <c r="AG8" i="8"/>
  <c r="D6" i="8"/>
  <c r="AH6" i="8" s="1"/>
  <c r="AG6" i="8"/>
  <c r="W5" i="8"/>
  <c r="V36" i="8"/>
  <c r="W36" i="8" s="1"/>
  <c r="J5" i="8"/>
  <c r="I36" i="8"/>
  <c r="J36" i="8" s="1"/>
  <c r="D34" i="9"/>
  <c r="AH34" i="9" s="1"/>
  <c r="AG34" i="9"/>
  <c r="D32" i="9"/>
  <c r="AH32" i="9" s="1"/>
  <c r="AG32" i="9"/>
  <c r="D30" i="9"/>
  <c r="AH30" i="9" s="1"/>
  <c r="AG30" i="9"/>
  <c r="D28" i="9"/>
  <c r="AH28" i="9" s="1"/>
  <c r="AG28" i="9"/>
  <c r="D26" i="9"/>
  <c r="AH26" i="9" s="1"/>
  <c r="AG26" i="9"/>
  <c r="D24" i="9"/>
  <c r="AH24" i="9" s="1"/>
  <c r="AG24" i="9"/>
  <c r="D22" i="9"/>
  <c r="AH22" i="9" s="1"/>
  <c r="AG22" i="9"/>
  <c r="D20" i="9"/>
  <c r="AH20" i="9" s="1"/>
  <c r="AG20" i="9"/>
  <c r="L35" i="9"/>
  <c r="M35" i="9" s="1"/>
  <c r="M19" i="9"/>
  <c r="AC35" i="9"/>
  <c r="AD35" i="9" s="1"/>
  <c r="AD18" i="9"/>
  <c r="P35" i="9"/>
  <c r="Q35" i="9" s="1"/>
  <c r="Q18" i="9"/>
  <c r="D18" i="9"/>
  <c r="AG18" i="9"/>
  <c r="Y35" i="9"/>
  <c r="Z35" i="9" s="1"/>
  <c r="Z17" i="9"/>
  <c r="AJ17" i="9" s="1"/>
  <c r="AJ19" i="6"/>
  <c r="AJ17" i="6"/>
  <c r="AH16" i="6"/>
  <c r="AH15" i="6"/>
  <c r="AH13" i="6"/>
  <c r="AH11" i="6"/>
  <c r="AH9" i="6"/>
  <c r="AH7" i="6"/>
  <c r="AH5" i="6"/>
  <c r="T35" i="7"/>
  <c r="G35" i="7"/>
  <c r="AH33" i="9"/>
  <c r="AH31" i="9"/>
  <c r="AH29" i="9"/>
  <c r="AH27" i="9"/>
  <c r="AH25" i="9"/>
  <c r="AH23" i="9"/>
  <c r="AH21" i="9"/>
  <c r="AH19" i="9"/>
  <c r="AJ18" i="9"/>
  <c r="D16" i="9"/>
  <c r="AH16" i="9" s="1"/>
  <c r="AG16" i="9"/>
  <c r="D14" i="9"/>
  <c r="AH14" i="9" s="1"/>
  <c r="AG14" i="9"/>
  <c r="D12" i="9"/>
  <c r="AH12" i="9" s="1"/>
  <c r="AG12" i="9"/>
  <c r="D10" i="9"/>
  <c r="AH10" i="9" s="1"/>
  <c r="AG10" i="9"/>
  <c r="D8" i="9"/>
  <c r="AH8" i="9" s="1"/>
  <c r="AG8" i="9"/>
  <c r="D6" i="9"/>
  <c r="AH6" i="9" s="1"/>
  <c r="AG6" i="9"/>
  <c r="D34" i="10"/>
  <c r="AH34" i="10" s="1"/>
  <c r="AG34" i="10"/>
  <c r="D32" i="10"/>
  <c r="AH32" i="10" s="1"/>
  <c r="AG32" i="10"/>
  <c r="D29" i="10"/>
  <c r="AH29" i="10" s="1"/>
  <c r="AG29" i="10"/>
  <c r="D27" i="10"/>
  <c r="AH27" i="10" s="1"/>
  <c r="AG27" i="10"/>
  <c r="D25" i="10"/>
  <c r="AH25" i="10" s="1"/>
  <c r="AG25" i="10"/>
  <c r="D23" i="10"/>
  <c r="AH23" i="10" s="1"/>
  <c r="AG23" i="10"/>
  <c r="D21" i="10"/>
  <c r="AH21" i="10" s="1"/>
  <c r="AG21" i="10"/>
  <c r="D19" i="10"/>
  <c r="AH19" i="10" s="1"/>
  <c r="AG19" i="10"/>
  <c r="D17" i="10"/>
  <c r="AH17" i="10" s="1"/>
  <c r="AG17" i="10"/>
  <c r="D15" i="10"/>
  <c r="AH15" i="10" s="1"/>
  <c r="AG15" i="10"/>
  <c r="D13" i="10"/>
  <c r="AH13" i="10" s="1"/>
  <c r="AG13" i="10"/>
  <c r="D11" i="10"/>
  <c r="AH11" i="10" s="1"/>
  <c r="AG11" i="10"/>
  <c r="D9" i="10"/>
  <c r="AH9" i="10" s="1"/>
  <c r="AG9" i="10"/>
  <c r="Q7" i="10"/>
  <c r="AJ7" i="10" s="1"/>
  <c r="P36" i="10"/>
  <c r="Q36" i="10" s="1"/>
  <c r="D7" i="10"/>
  <c r="AG7" i="10"/>
  <c r="Z6" i="10"/>
  <c r="Y36" i="10"/>
  <c r="Z36" i="10" s="1"/>
  <c r="M6" i="10"/>
  <c r="L36" i="10"/>
  <c r="M36" i="10" s="1"/>
  <c r="AJ16" i="9"/>
  <c r="AJ14" i="9"/>
  <c r="AJ12" i="9"/>
  <c r="AJ10" i="9"/>
  <c r="AJ8" i="9"/>
  <c r="AJ6" i="9"/>
  <c r="AJ34" i="10"/>
  <c r="AJ32" i="10"/>
  <c r="AJ30" i="10"/>
  <c r="AH28" i="10"/>
  <c r="AH26" i="10"/>
  <c r="AH24" i="10"/>
  <c r="AJ23" i="10"/>
  <c r="AH22" i="10"/>
  <c r="AJ21" i="10"/>
  <c r="AH20" i="10"/>
  <c r="AJ19" i="10"/>
  <c r="AH18" i="10"/>
  <c r="AJ17" i="10"/>
  <c r="AH16" i="10"/>
  <c r="AJ15" i="10"/>
  <c r="AH14" i="10"/>
  <c r="AJ13" i="10"/>
  <c r="AH12" i="10"/>
  <c r="AJ11" i="10"/>
  <c r="AH10" i="10"/>
  <c r="AJ9" i="10"/>
  <c r="AH8" i="10"/>
  <c r="AH6" i="10"/>
  <c r="C15" i="9"/>
  <c r="AF15" i="9"/>
  <c r="C13" i="9"/>
  <c r="AF13" i="9"/>
  <c r="C11" i="9"/>
  <c r="AF11" i="9"/>
  <c r="C9" i="9"/>
  <c r="AF9" i="9"/>
  <c r="C7" i="9"/>
  <c r="AF7" i="9"/>
  <c r="C5" i="9"/>
  <c r="AF5" i="9"/>
  <c r="C35" i="10"/>
  <c r="AF35" i="10"/>
  <c r="C33" i="10"/>
  <c r="AF33" i="10"/>
  <c r="C31" i="10"/>
  <c r="AF31" i="10"/>
  <c r="W7" i="10"/>
  <c r="V36" i="10"/>
  <c r="W36" i="10" s="1"/>
  <c r="J7" i="10"/>
  <c r="I36" i="10"/>
  <c r="J36" i="10" s="1"/>
  <c r="T6" i="10"/>
  <c r="S36" i="10"/>
  <c r="T36" i="10" s="1"/>
  <c r="G6" i="10"/>
  <c r="F36" i="10"/>
  <c r="G36" i="10" s="1"/>
  <c r="AD5" i="10"/>
  <c r="AC36" i="10"/>
  <c r="AD36" i="10" s="1"/>
  <c r="AF16" i="6"/>
  <c r="AG15" i="6"/>
  <c r="AF14" i="6"/>
  <c r="AG13" i="6"/>
  <c r="AF12" i="6"/>
  <c r="AG11" i="6"/>
  <c r="AF10" i="6"/>
  <c r="AG9" i="6"/>
  <c r="AF8" i="6"/>
  <c r="AG7" i="6"/>
  <c r="AF6" i="6"/>
  <c r="AG5" i="6"/>
  <c r="AF35" i="8"/>
  <c r="AF34" i="8"/>
  <c r="AF33" i="8"/>
  <c r="AF32" i="8"/>
  <c r="AF31" i="8"/>
  <c r="AF30" i="8"/>
  <c r="AF29" i="8"/>
  <c r="AF28" i="8"/>
  <c r="AF27" i="8"/>
  <c r="AF26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F34" i="9"/>
  <c r="AG33" i="9"/>
  <c r="AF32" i="9"/>
  <c r="AG31" i="9"/>
  <c r="AF30" i="9"/>
  <c r="AG29" i="9"/>
  <c r="AF28" i="9"/>
  <c r="AG27" i="9"/>
  <c r="AF26" i="9"/>
  <c r="AG25" i="9"/>
  <c r="AF24" i="9"/>
  <c r="AG23" i="9"/>
  <c r="AF22" i="9"/>
  <c r="AG21" i="9"/>
  <c r="AF20" i="9"/>
  <c r="AG19" i="9"/>
  <c r="AF18" i="9"/>
  <c r="AJ28" i="10"/>
  <c r="AJ26" i="10"/>
  <c r="AJ24" i="10"/>
  <c r="AJ22" i="10"/>
  <c r="D8" i="11"/>
  <c r="AH8" i="11" s="1"/>
  <c r="AG8" i="11"/>
  <c r="D6" i="11"/>
  <c r="AH6" i="11" s="1"/>
  <c r="AG6" i="11"/>
  <c r="W22" i="12"/>
  <c r="V35" i="12"/>
  <c r="W35" i="12" s="1"/>
  <c r="J22" i="12"/>
  <c r="I35" i="12"/>
  <c r="J35" i="12" s="1"/>
  <c r="T21" i="12"/>
  <c r="S35" i="12"/>
  <c r="T35" i="12" s="1"/>
  <c r="AG30" i="10"/>
  <c r="AF29" i="10"/>
  <c r="AG28" i="10"/>
  <c r="AF27" i="10"/>
  <c r="AG26" i="10"/>
  <c r="AF25" i="10"/>
  <c r="AG24" i="10"/>
  <c r="AF23" i="10"/>
  <c r="AG22" i="10"/>
  <c r="AF21" i="10"/>
  <c r="AG20" i="10"/>
  <c r="AF19" i="10"/>
  <c r="AG18" i="10"/>
  <c r="AF17" i="10"/>
  <c r="AG16" i="10"/>
  <c r="AF15" i="10"/>
  <c r="AG14" i="10"/>
  <c r="AF13" i="10"/>
  <c r="AG12" i="10"/>
  <c r="AF11" i="10"/>
  <c r="AG10" i="10"/>
  <c r="AF9" i="10"/>
  <c r="AG8" i="10"/>
  <c r="AF7" i="10"/>
  <c r="AG6" i="10"/>
  <c r="AC36" i="11"/>
  <c r="AD36" i="11" s="1"/>
  <c r="V36" i="11"/>
  <c r="W36" i="11" s="1"/>
  <c r="P36" i="11"/>
  <c r="Q36" i="11" s="1"/>
  <c r="AJ33" i="11"/>
  <c r="AJ31" i="11"/>
  <c r="AJ29" i="11"/>
  <c r="AJ27" i="11"/>
  <c r="AJ25" i="11"/>
  <c r="AJ23" i="11"/>
  <c r="AJ21" i="11"/>
  <c r="AJ19" i="11"/>
  <c r="AJ17" i="11"/>
  <c r="AJ15" i="11"/>
  <c r="AJ13" i="11"/>
  <c r="AJ11" i="11"/>
  <c r="AJ9" i="11"/>
  <c r="AJ8" i="11"/>
  <c r="AJ7" i="11"/>
  <c r="AJ6" i="11"/>
  <c r="AJ5" i="11"/>
  <c r="AJ34" i="12"/>
  <c r="AJ32" i="12"/>
  <c r="AH30" i="12"/>
  <c r="AH28" i="12"/>
  <c r="AH26" i="12"/>
  <c r="AJ24" i="12"/>
  <c r="D34" i="11"/>
  <c r="AH34" i="11" s="1"/>
  <c r="AG34" i="11"/>
  <c r="D32" i="11"/>
  <c r="AH32" i="11" s="1"/>
  <c r="AG32" i="11"/>
  <c r="D30" i="11"/>
  <c r="AH30" i="11" s="1"/>
  <c r="AG30" i="11"/>
  <c r="D28" i="11"/>
  <c r="AH28" i="11" s="1"/>
  <c r="AG28" i="11"/>
  <c r="D26" i="11"/>
  <c r="AH26" i="11" s="1"/>
  <c r="AG26" i="11"/>
  <c r="D24" i="11"/>
  <c r="AH24" i="11" s="1"/>
  <c r="AG24" i="11"/>
  <c r="D22" i="11"/>
  <c r="AH22" i="11" s="1"/>
  <c r="AG22" i="11"/>
  <c r="D20" i="11"/>
  <c r="AH20" i="11" s="1"/>
  <c r="AG20" i="11"/>
  <c r="D18" i="11"/>
  <c r="AH18" i="11" s="1"/>
  <c r="AG18" i="11"/>
  <c r="D16" i="11"/>
  <c r="AH16" i="11" s="1"/>
  <c r="AG16" i="11"/>
  <c r="D14" i="11"/>
  <c r="AH14" i="11" s="1"/>
  <c r="AG14" i="11"/>
  <c r="D12" i="11"/>
  <c r="AH12" i="11" s="1"/>
  <c r="AG12" i="11"/>
  <c r="D10" i="11"/>
  <c r="AH10" i="11" s="1"/>
  <c r="AG10" i="11"/>
  <c r="D33" i="12"/>
  <c r="AG33" i="12"/>
  <c r="D31" i="12"/>
  <c r="AG31" i="12"/>
  <c r="D29" i="12"/>
  <c r="AG29" i="12"/>
  <c r="D27" i="12"/>
  <c r="AG27" i="12"/>
  <c r="G26" i="12"/>
  <c r="G35" i="12" s="1"/>
  <c r="F35" i="12"/>
  <c r="D25" i="12"/>
  <c r="AG25" i="12"/>
  <c r="M24" i="12"/>
  <c r="L35" i="12"/>
  <c r="M35" i="12" s="1"/>
  <c r="D24" i="12"/>
  <c r="AG24" i="12"/>
  <c r="D23" i="12"/>
  <c r="AG23" i="12"/>
  <c r="AD22" i="12"/>
  <c r="AC35" i="12"/>
  <c r="AD35" i="12" s="1"/>
  <c r="Q22" i="12"/>
  <c r="AJ22" i="12" s="1"/>
  <c r="P35" i="12"/>
  <c r="Q35" i="12" s="1"/>
  <c r="D22" i="12"/>
  <c r="AG22" i="12"/>
  <c r="C35" i="12"/>
  <c r="Z21" i="12"/>
  <c r="Y35" i="12"/>
  <c r="Z35" i="12" s="1"/>
  <c r="AJ35" i="11"/>
  <c r="AH33" i="11"/>
  <c r="AH31" i="11"/>
  <c r="AH29" i="11"/>
  <c r="AH27" i="11"/>
  <c r="AH25" i="11"/>
  <c r="AH23" i="11"/>
  <c r="AH21" i="11"/>
  <c r="AH19" i="11"/>
  <c r="AH17" i="11"/>
  <c r="AH15" i="11"/>
  <c r="AH13" i="11"/>
  <c r="AH11" i="11"/>
  <c r="AH9" i="11"/>
  <c r="AH7" i="11"/>
  <c r="AH5" i="11"/>
  <c r="AH34" i="12"/>
  <c r="AH32" i="12"/>
  <c r="D20" i="12"/>
  <c r="AG20" i="12"/>
  <c r="D18" i="12"/>
  <c r="AG18" i="12"/>
  <c r="D16" i="12"/>
  <c r="AG16" i="12"/>
  <c r="D14" i="12"/>
  <c r="AG14" i="12"/>
  <c r="D12" i="12"/>
  <c r="AG12" i="12"/>
  <c r="D10" i="12"/>
  <c r="AG10" i="12"/>
  <c r="D8" i="12"/>
  <c r="AG8" i="12"/>
  <c r="D6" i="12"/>
  <c r="N6" i="12" s="1"/>
  <c r="AG6" i="12"/>
  <c r="D34" i="5"/>
  <c r="AH34" i="5" s="1"/>
  <c r="AG34" i="5"/>
  <c r="D32" i="5"/>
  <c r="AH32" i="5" s="1"/>
  <c r="AG32" i="5"/>
  <c r="T31" i="5"/>
  <c r="AJ31" i="5" s="1"/>
  <c r="S36" i="5"/>
  <c r="G31" i="5"/>
  <c r="G36" i="5" s="1"/>
  <c r="F36" i="5"/>
  <c r="AD30" i="5"/>
  <c r="AD36" i="5" s="1"/>
  <c r="AC36" i="5"/>
  <c r="Q30" i="5"/>
  <c r="Q36" i="5" s="1"/>
  <c r="P36" i="5"/>
  <c r="D30" i="5"/>
  <c r="AG30" i="5"/>
  <c r="C36" i="5"/>
  <c r="Z29" i="5"/>
  <c r="Y36" i="5"/>
  <c r="AJ20" i="12"/>
  <c r="AJ19" i="12"/>
  <c r="AJ18" i="12"/>
  <c r="AJ17" i="12"/>
  <c r="AJ16" i="12"/>
  <c r="AJ15" i="12"/>
  <c r="AJ14" i="12"/>
  <c r="AJ13" i="12"/>
  <c r="AJ12" i="12"/>
  <c r="AJ11" i="12"/>
  <c r="AJ10" i="12"/>
  <c r="AJ9" i="12"/>
  <c r="AJ8" i="12"/>
  <c r="AJ7" i="12"/>
  <c r="AJ6" i="12"/>
  <c r="AJ5" i="12"/>
  <c r="AJ35" i="5"/>
  <c r="AJ34" i="5"/>
  <c r="AJ33" i="5"/>
  <c r="AJ32" i="5"/>
  <c r="M31" i="5"/>
  <c r="L36" i="5"/>
  <c r="W30" i="5"/>
  <c r="W36" i="5" s="1"/>
  <c r="V36" i="5"/>
  <c r="J30" i="5"/>
  <c r="J36" i="5" s="1"/>
  <c r="I36" i="5"/>
  <c r="AG35" i="11"/>
  <c r="AF34" i="11"/>
  <c r="AG33" i="11"/>
  <c r="AF32" i="11"/>
  <c r="AG31" i="11"/>
  <c r="AF30" i="11"/>
  <c r="AG29" i="11"/>
  <c r="AF28" i="11"/>
  <c r="AG27" i="11"/>
  <c r="AF26" i="11"/>
  <c r="AG25" i="11"/>
  <c r="AF24" i="11"/>
  <c r="AG23" i="11"/>
  <c r="AF22" i="11"/>
  <c r="AG21" i="11"/>
  <c r="AF20" i="11"/>
  <c r="AG19" i="11"/>
  <c r="AF18" i="11"/>
  <c r="AG17" i="11"/>
  <c r="AF16" i="11"/>
  <c r="AG15" i="11"/>
  <c r="AF14" i="11"/>
  <c r="AG13" i="11"/>
  <c r="AF12" i="11"/>
  <c r="AG11" i="11"/>
  <c r="AF10" i="11"/>
  <c r="AG9" i="11"/>
  <c r="AG34" i="12"/>
  <c r="AF33" i="12"/>
  <c r="AG32" i="12"/>
  <c r="AF31" i="12"/>
  <c r="AH19" i="12"/>
  <c r="AH17" i="12"/>
  <c r="AH15" i="12"/>
  <c r="AH13" i="12"/>
  <c r="AH11" i="12"/>
  <c r="AH9" i="12"/>
  <c r="AH7" i="12"/>
  <c r="AH5" i="12"/>
  <c r="AH35" i="5"/>
  <c r="AH33" i="5"/>
  <c r="AH31" i="5"/>
  <c r="M36" i="5"/>
  <c r="D27" i="5"/>
  <c r="AH27" i="5" s="1"/>
  <c r="AG27" i="5"/>
  <c r="D25" i="5"/>
  <c r="AH25" i="5" s="1"/>
  <c r="AG25" i="5"/>
  <c r="D23" i="5"/>
  <c r="AH23" i="5" s="1"/>
  <c r="AG23" i="5"/>
  <c r="D21" i="5"/>
  <c r="AH21" i="5" s="1"/>
  <c r="AG21" i="5"/>
  <c r="D19" i="5"/>
  <c r="AH19" i="5" s="1"/>
  <c r="AG19" i="5"/>
  <c r="D5" i="5"/>
  <c r="AG5" i="5"/>
  <c r="AJ27" i="5"/>
  <c r="AH26" i="5"/>
  <c r="AJ25" i="5"/>
  <c r="AH24" i="5"/>
  <c r="AJ23" i="5"/>
  <c r="AH22" i="5"/>
  <c r="AJ21" i="5"/>
  <c r="AJ20" i="5"/>
  <c r="AJ19" i="5"/>
  <c r="AH18" i="5"/>
  <c r="AH16" i="5"/>
  <c r="AH14" i="5"/>
  <c r="AH12" i="5"/>
  <c r="AH10" i="5"/>
  <c r="AH8" i="5"/>
  <c r="AH6" i="5"/>
  <c r="AJ5" i="5"/>
  <c r="D17" i="5"/>
  <c r="AH17" i="5" s="1"/>
  <c r="AG17" i="5"/>
  <c r="D15" i="5"/>
  <c r="AH15" i="5" s="1"/>
  <c r="AG15" i="5"/>
  <c r="D13" i="5"/>
  <c r="AH13" i="5" s="1"/>
  <c r="AG13" i="5"/>
  <c r="D11" i="5"/>
  <c r="AH11" i="5" s="1"/>
  <c r="AG11" i="5"/>
  <c r="D9" i="5"/>
  <c r="AH9" i="5" s="1"/>
  <c r="AG9" i="5"/>
  <c r="D7" i="5"/>
  <c r="AH7" i="5" s="1"/>
  <c r="AG7" i="5"/>
  <c r="AJ28" i="5"/>
  <c r="AH20" i="5"/>
  <c r="AJ6" i="5"/>
  <c r="AG28" i="5"/>
  <c r="AF27" i="5"/>
  <c r="AG26" i="5"/>
  <c r="AF25" i="5"/>
  <c r="AG24" i="5"/>
  <c r="AF23" i="5"/>
  <c r="AG22" i="5"/>
  <c r="AF21" i="5"/>
  <c r="AG18" i="5"/>
  <c r="AF5" i="5"/>
  <c r="AH7" i="10" l="1"/>
  <c r="AH5" i="8"/>
  <c r="AJ22" i="6"/>
  <c r="AH8" i="13"/>
  <c r="AH30" i="5"/>
  <c r="C36" i="10"/>
  <c r="D36" i="10" s="1"/>
  <c r="D5" i="13"/>
  <c r="AG5" i="13"/>
  <c r="D7" i="13"/>
  <c r="AH7" i="13" s="1"/>
  <c r="AG7" i="13"/>
  <c r="D9" i="13"/>
  <c r="AH9" i="13" s="1"/>
  <c r="AG9" i="13"/>
  <c r="D11" i="13"/>
  <c r="AH11" i="13" s="1"/>
  <c r="AG11" i="13"/>
  <c r="D13" i="13"/>
  <c r="AH13" i="13" s="1"/>
  <c r="AG13" i="13"/>
  <c r="D15" i="13"/>
  <c r="AH15" i="13" s="1"/>
  <c r="AG15" i="13"/>
  <c r="D17" i="13"/>
  <c r="AH17" i="13" s="1"/>
  <c r="AG17" i="13"/>
  <c r="D19" i="13"/>
  <c r="AH19" i="13" s="1"/>
  <c r="AG19" i="13"/>
  <c r="D21" i="13"/>
  <c r="AH21" i="13" s="1"/>
  <c r="AG21" i="13"/>
  <c r="D23" i="13"/>
  <c r="AH23" i="13" s="1"/>
  <c r="AG23" i="13"/>
  <c r="D25" i="13"/>
  <c r="AH25" i="13" s="1"/>
  <c r="AG25" i="13"/>
  <c r="D27" i="13"/>
  <c r="AH27" i="13" s="1"/>
  <c r="AG27" i="13"/>
  <c r="D29" i="13"/>
  <c r="AH29" i="13" s="1"/>
  <c r="AG29" i="13"/>
  <c r="D31" i="13"/>
  <c r="AH31" i="13" s="1"/>
  <c r="AG31" i="13"/>
  <c r="D33" i="13"/>
  <c r="AH33" i="13" s="1"/>
  <c r="AG33" i="13"/>
  <c r="D35" i="13"/>
  <c r="AH35" i="13" s="1"/>
  <c r="AG35" i="13"/>
  <c r="D6" i="13"/>
  <c r="AH6" i="13" s="1"/>
  <c r="AG6" i="13"/>
  <c r="D10" i="13"/>
  <c r="AH10" i="13" s="1"/>
  <c r="AG10" i="13"/>
  <c r="D12" i="13"/>
  <c r="AH12" i="13" s="1"/>
  <c r="AG12" i="13"/>
  <c r="D14" i="13"/>
  <c r="AH14" i="13" s="1"/>
  <c r="AG14" i="13"/>
  <c r="D16" i="13"/>
  <c r="AH16" i="13" s="1"/>
  <c r="AG16" i="13"/>
  <c r="D18" i="13"/>
  <c r="AH18" i="13" s="1"/>
  <c r="AG18" i="13"/>
  <c r="D20" i="13"/>
  <c r="AH20" i="13" s="1"/>
  <c r="AG20" i="13"/>
  <c r="D22" i="13"/>
  <c r="AH22" i="13" s="1"/>
  <c r="AG22" i="13"/>
  <c r="D24" i="13"/>
  <c r="AH24" i="13" s="1"/>
  <c r="AG24" i="13"/>
  <c r="D26" i="13"/>
  <c r="AH26" i="13" s="1"/>
  <c r="AG26" i="13"/>
  <c r="D28" i="13"/>
  <c r="AH28" i="13" s="1"/>
  <c r="AG28" i="13"/>
  <c r="D30" i="13"/>
  <c r="AH30" i="13" s="1"/>
  <c r="AG30" i="13"/>
  <c r="D32" i="13"/>
  <c r="AH32" i="13" s="1"/>
  <c r="AG32" i="13"/>
  <c r="D34" i="13"/>
  <c r="AH34" i="13" s="1"/>
  <c r="AG34" i="13"/>
  <c r="AH5" i="14"/>
  <c r="D6" i="14"/>
  <c r="AH6" i="14" s="1"/>
  <c r="AG6" i="14"/>
  <c r="D8" i="14"/>
  <c r="AH8" i="14" s="1"/>
  <c r="AG8" i="14"/>
  <c r="D10" i="14"/>
  <c r="AH10" i="14" s="1"/>
  <c r="AG10" i="14"/>
  <c r="D12" i="14"/>
  <c r="AH12" i="14" s="1"/>
  <c r="AG12" i="14"/>
  <c r="D14" i="14"/>
  <c r="AH14" i="14" s="1"/>
  <c r="AG14" i="14"/>
  <c r="D16" i="14"/>
  <c r="AH16" i="14" s="1"/>
  <c r="AG16" i="14"/>
  <c r="D18" i="14"/>
  <c r="AH18" i="14" s="1"/>
  <c r="AG18" i="14"/>
  <c r="D20" i="14"/>
  <c r="AH20" i="14" s="1"/>
  <c r="AG20" i="14"/>
  <c r="D22" i="14"/>
  <c r="AH22" i="14" s="1"/>
  <c r="AG22" i="14"/>
  <c r="D24" i="14"/>
  <c r="AH24" i="14" s="1"/>
  <c r="AG24" i="14"/>
  <c r="D26" i="14"/>
  <c r="AH26" i="14" s="1"/>
  <c r="AG26" i="14"/>
  <c r="D28" i="14"/>
  <c r="AH28" i="14" s="1"/>
  <c r="AG28" i="14"/>
  <c r="D30" i="14"/>
  <c r="AH30" i="14" s="1"/>
  <c r="AG30" i="14"/>
  <c r="D32" i="14"/>
  <c r="AH32" i="14" s="1"/>
  <c r="AG32" i="14"/>
  <c r="D34" i="14"/>
  <c r="AH34" i="14" s="1"/>
  <c r="AG34" i="14"/>
  <c r="D7" i="14"/>
  <c r="AH7" i="14" s="1"/>
  <c r="AG7" i="14"/>
  <c r="D9" i="14"/>
  <c r="AH9" i="14" s="1"/>
  <c r="AG9" i="14"/>
  <c r="D11" i="14"/>
  <c r="AH11" i="14" s="1"/>
  <c r="AG11" i="14"/>
  <c r="D13" i="14"/>
  <c r="AH13" i="14" s="1"/>
  <c r="AG13" i="14"/>
  <c r="D15" i="14"/>
  <c r="AH15" i="14" s="1"/>
  <c r="AG15" i="14"/>
  <c r="D17" i="14"/>
  <c r="AH17" i="14" s="1"/>
  <c r="AG17" i="14"/>
  <c r="D19" i="14"/>
  <c r="AH19" i="14" s="1"/>
  <c r="AG19" i="14"/>
  <c r="D21" i="14"/>
  <c r="AH21" i="14" s="1"/>
  <c r="AG21" i="14"/>
  <c r="D23" i="14"/>
  <c r="AH23" i="14" s="1"/>
  <c r="AG23" i="14"/>
  <c r="D25" i="14"/>
  <c r="AH25" i="14" s="1"/>
  <c r="AG25" i="14"/>
  <c r="D27" i="14"/>
  <c r="AH27" i="14" s="1"/>
  <c r="AG27" i="14"/>
  <c r="D29" i="14"/>
  <c r="AH29" i="14" s="1"/>
  <c r="AG29" i="14"/>
  <c r="D31" i="14"/>
  <c r="AH31" i="14" s="1"/>
  <c r="AG31" i="14"/>
  <c r="D33" i="14"/>
  <c r="AH33" i="14" s="1"/>
  <c r="AG33" i="14"/>
  <c r="AG35" i="7"/>
  <c r="AH35" i="7" s="1"/>
  <c r="D35" i="7"/>
  <c r="AH5" i="7"/>
  <c r="D5" i="4"/>
  <c r="AH5" i="4" s="1"/>
  <c r="AG5" i="4"/>
  <c r="D7" i="4"/>
  <c r="AH7" i="4" s="1"/>
  <c r="AG7" i="4"/>
  <c r="D9" i="4"/>
  <c r="AH9" i="4" s="1"/>
  <c r="AG9" i="4"/>
  <c r="D11" i="4"/>
  <c r="AH11" i="4" s="1"/>
  <c r="AG11" i="4"/>
  <c r="D13" i="4"/>
  <c r="AH13" i="4" s="1"/>
  <c r="AG13" i="4"/>
  <c r="D15" i="4"/>
  <c r="AH15" i="4" s="1"/>
  <c r="AG15" i="4"/>
  <c r="D17" i="4"/>
  <c r="AH17" i="4" s="1"/>
  <c r="AG17" i="4"/>
  <c r="D19" i="4"/>
  <c r="AH19" i="4" s="1"/>
  <c r="AG19" i="4"/>
  <c r="D21" i="4"/>
  <c r="AH21" i="4" s="1"/>
  <c r="AG21" i="4"/>
  <c r="D23" i="4"/>
  <c r="AH23" i="4" s="1"/>
  <c r="AG23" i="4"/>
  <c r="D25" i="4"/>
  <c r="AH25" i="4" s="1"/>
  <c r="AG25" i="4"/>
  <c r="D27" i="4"/>
  <c r="AH27" i="4" s="1"/>
  <c r="AG27" i="4"/>
  <c r="D29" i="4"/>
  <c r="AH29" i="4" s="1"/>
  <c r="AG29" i="4"/>
  <c r="D31" i="4"/>
  <c r="AH31" i="4" s="1"/>
  <c r="AG31" i="4"/>
  <c r="D8" i="4"/>
  <c r="AH8" i="4" s="1"/>
  <c r="AG8" i="4"/>
  <c r="D10" i="4"/>
  <c r="AH10" i="4" s="1"/>
  <c r="AG10" i="4"/>
  <c r="D12" i="4"/>
  <c r="AH12" i="4" s="1"/>
  <c r="AG12" i="4"/>
  <c r="D14" i="4"/>
  <c r="AH14" i="4" s="1"/>
  <c r="AG14" i="4"/>
  <c r="D16" i="4"/>
  <c r="AH16" i="4" s="1"/>
  <c r="AG16" i="4"/>
  <c r="D18" i="4"/>
  <c r="AH18" i="4" s="1"/>
  <c r="AG18" i="4"/>
  <c r="D20" i="4"/>
  <c r="AH20" i="4" s="1"/>
  <c r="AG20" i="4"/>
  <c r="D22" i="4"/>
  <c r="AH22" i="4" s="1"/>
  <c r="AG22" i="4"/>
  <c r="D24" i="4"/>
  <c r="AH24" i="4" s="1"/>
  <c r="AG24" i="4"/>
  <c r="D26" i="4"/>
  <c r="AH26" i="4" s="1"/>
  <c r="AG26" i="4"/>
  <c r="D28" i="4"/>
  <c r="AH28" i="4" s="1"/>
  <c r="AG28" i="4"/>
  <c r="D30" i="4"/>
  <c r="AH30" i="4" s="1"/>
  <c r="AG30" i="4"/>
  <c r="D32" i="4"/>
  <c r="AH32" i="4" s="1"/>
  <c r="AG32" i="4"/>
  <c r="AH6" i="4"/>
  <c r="D5" i="1"/>
  <c r="AH5" i="1" s="1"/>
  <c r="AG5" i="1"/>
  <c r="D7" i="1"/>
  <c r="AH7" i="1" s="1"/>
  <c r="AG7" i="1"/>
  <c r="D9" i="1"/>
  <c r="AH9" i="1" s="1"/>
  <c r="AG9" i="1"/>
  <c r="D11" i="1"/>
  <c r="AH11" i="1" s="1"/>
  <c r="AG11" i="1"/>
  <c r="D13" i="1"/>
  <c r="AH13" i="1" s="1"/>
  <c r="AG13" i="1"/>
  <c r="D15" i="1"/>
  <c r="AH15" i="1" s="1"/>
  <c r="AG15" i="1"/>
  <c r="D17" i="1"/>
  <c r="AH17" i="1" s="1"/>
  <c r="AG17" i="1"/>
  <c r="D19" i="1"/>
  <c r="AH19" i="1" s="1"/>
  <c r="AG19" i="1"/>
  <c r="D21" i="1"/>
  <c r="AH21" i="1" s="1"/>
  <c r="AG21" i="1"/>
  <c r="D23" i="1"/>
  <c r="AH23" i="1" s="1"/>
  <c r="AG23" i="1"/>
  <c r="D25" i="1"/>
  <c r="AH25" i="1" s="1"/>
  <c r="AG25" i="1"/>
  <c r="D27" i="1"/>
  <c r="AH27" i="1" s="1"/>
  <c r="AG27" i="1"/>
  <c r="D29" i="1"/>
  <c r="AH29" i="1" s="1"/>
  <c r="AG29" i="1"/>
  <c r="D31" i="1"/>
  <c r="AH31" i="1" s="1"/>
  <c r="AG31" i="1"/>
  <c r="D33" i="1"/>
  <c r="AH33" i="1" s="1"/>
  <c r="AG33" i="1"/>
  <c r="D35" i="1"/>
  <c r="AH35" i="1" s="1"/>
  <c r="AG35" i="1"/>
  <c r="D8" i="1"/>
  <c r="AH8" i="1" s="1"/>
  <c r="AG8" i="1"/>
  <c r="D10" i="1"/>
  <c r="AH10" i="1" s="1"/>
  <c r="AG10" i="1"/>
  <c r="D12" i="1"/>
  <c r="AH12" i="1" s="1"/>
  <c r="AG12" i="1"/>
  <c r="D14" i="1"/>
  <c r="AH14" i="1" s="1"/>
  <c r="AG14" i="1"/>
  <c r="D16" i="1"/>
  <c r="AH16" i="1" s="1"/>
  <c r="AG16" i="1"/>
  <c r="D18" i="1"/>
  <c r="AH18" i="1" s="1"/>
  <c r="AG18" i="1"/>
  <c r="D20" i="1"/>
  <c r="AH20" i="1" s="1"/>
  <c r="AG20" i="1"/>
  <c r="D22" i="1"/>
  <c r="AH22" i="1" s="1"/>
  <c r="AG22" i="1"/>
  <c r="D24" i="1"/>
  <c r="AH24" i="1" s="1"/>
  <c r="AG24" i="1"/>
  <c r="D26" i="1"/>
  <c r="AH26" i="1" s="1"/>
  <c r="AG26" i="1"/>
  <c r="D28" i="1"/>
  <c r="AH28" i="1" s="1"/>
  <c r="AG28" i="1"/>
  <c r="D30" i="1"/>
  <c r="AH30" i="1" s="1"/>
  <c r="AG30" i="1"/>
  <c r="D32" i="1"/>
  <c r="AH32" i="1" s="1"/>
  <c r="AG32" i="1"/>
  <c r="D34" i="1"/>
  <c r="AH34" i="1" s="1"/>
  <c r="AG34" i="1"/>
  <c r="AH6" i="1"/>
  <c r="AH8" i="12"/>
  <c r="N8" i="12"/>
  <c r="AH10" i="12"/>
  <c r="N10" i="12"/>
  <c r="AH12" i="12"/>
  <c r="N12" i="12"/>
  <c r="AH14" i="12"/>
  <c r="N14" i="12"/>
  <c r="AH16" i="12"/>
  <c r="N16" i="12"/>
  <c r="AH18" i="12"/>
  <c r="N18" i="12"/>
  <c r="AH20" i="12"/>
  <c r="N20" i="12"/>
  <c r="AH22" i="12"/>
  <c r="N22" i="12"/>
  <c r="AH23" i="12"/>
  <c r="N23" i="12"/>
  <c r="AH24" i="12"/>
  <c r="N24" i="12"/>
  <c r="AH25" i="12"/>
  <c r="N25" i="12"/>
  <c r="AH27" i="12"/>
  <c r="N27" i="12"/>
  <c r="AH29" i="12"/>
  <c r="N29" i="12"/>
  <c r="AH31" i="12"/>
  <c r="N31" i="12"/>
  <c r="AH33" i="12"/>
  <c r="N33" i="12"/>
  <c r="AH21" i="12"/>
  <c r="N21" i="12"/>
  <c r="AJ6" i="10"/>
  <c r="AJ36" i="10" s="1"/>
  <c r="AG36" i="5"/>
  <c r="AH36" i="5" s="1"/>
  <c r="AH18" i="9"/>
  <c r="AH5" i="5"/>
  <c r="D36" i="5"/>
  <c r="AJ29" i="5"/>
  <c r="Z36" i="5"/>
  <c r="AG31" i="10"/>
  <c r="D31" i="10"/>
  <c r="AH31" i="10" s="1"/>
  <c r="AG33" i="10"/>
  <c r="D33" i="10"/>
  <c r="AH33" i="10" s="1"/>
  <c r="AG35" i="10"/>
  <c r="D35" i="10"/>
  <c r="AH35" i="10" s="1"/>
  <c r="AG5" i="9"/>
  <c r="C35" i="9"/>
  <c r="D35" i="9" s="1"/>
  <c r="D5" i="9"/>
  <c r="AH5" i="9" s="1"/>
  <c r="AG7" i="9"/>
  <c r="D7" i="9"/>
  <c r="AH7" i="9" s="1"/>
  <c r="AG9" i="9"/>
  <c r="D9" i="9"/>
  <c r="AH9" i="9" s="1"/>
  <c r="AG11" i="9"/>
  <c r="D11" i="9"/>
  <c r="AH11" i="9" s="1"/>
  <c r="AG13" i="9"/>
  <c r="D13" i="9"/>
  <c r="AH13" i="9" s="1"/>
  <c r="AG15" i="9"/>
  <c r="D15" i="9"/>
  <c r="AH15" i="9" s="1"/>
  <c r="D18" i="6"/>
  <c r="AH18" i="6" s="1"/>
  <c r="AG18" i="6"/>
  <c r="C36" i="6"/>
  <c r="T36" i="5"/>
  <c r="AG35" i="12"/>
  <c r="AJ35" i="12"/>
  <c r="AG36" i="11"/>
  <c r="AH36" i="11" s="1"/>
  <c r="J36" i="7"/>
  <c r="T36" i="6"/>
  <c r="AH6" i="12"/>
  <c r="D35" i="12"/>
  <c r="AH35" i="12" s="1"/>
  <c r="AH6" i="6"/>
  <c r="D36" i="6"/>
  <c r="J37" i="6" s="1"/>
  <c r="AJ30" i="5"/>
  <c r="AJ36" i="11"/>
  <c r="AG36" i="10"/>
  <c r="AH36" i="10" s="1"/>
  <c r="AJ21" i="12"/>
  <c r="AG36" i="6"/>
  <c r="AH36" i="6" s="1"/>
  <c r="AJ35" i="9"/>
  <c r="AG36" i="8"/>
  <c r="AH36" i="8" s="1"/>
  <c r="AJ21" i="6"/>
  <c r="D34" i="4" l="1"/>
  <c r="AJ36" i="5"/>
  <c r="AJ36" i="6"/>
  <c r="D36" i="1"/>
  <c r="AG35" i="14"/>
  <c r="AH35" i="14" s="1"/>
  <c r="AH5" i="13"/>
  <c r="D36" i="13"/>
  <c r="AG36" i="13"/>
  <c r="AH36" i="13" s="1"/>
  <c r="D35" i="14"/>
  <c r="AH34" i="4"/>
  <c r="AG36" i="1"/>
  <c r="AH36" i="1" s="1"/>
  <c r="AG35" i="9"/>
  <c r="AH3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Mary Hull</author>
  </authors>
  <commentList>
    <comment ref="P5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Mary Hull:</t>
        </r>
        <r>
          <rPr>
            <sz val="8"/>
            <color indexed="81"/>
            <rFont val="Tahoma"/>
            <family val="2"/>
          </rPr>
          <t xml:space="preserve">
Zeroed out SLPL off meter problem, 12/9/09</t>
        </r>
      </text>
    </comment>
    <comment ref="S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Mary Hull:</t>
        </r>
        <r>
          <rPr>
            <sz val="8"/>
            <color indexed="81"/>
            <rFont val="Tahoma"/>
            <family val="2"/>
          </rPr>
          <t xml:space="preserve">
Zeroed out SLPL off meter problem, 12/9/09</t>
        </r>
      </text>
    </comment>
  </commentList>
</comments>
</file>

<file path=xl/sharedStrings.xml><?xml version="1.0" encoding="utf-8"?>
<sst xmlns="http://schemas.openxmlformats.org/spreadsheetml/2006/main" count="496" uniqueCount="15">
  <si>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</si>
  <si>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</si>
  <si>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</si>
  <si>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</si>
  <si>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</si>
  <si>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</si>
  <si>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</si>
  <si>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</si>
  <si>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</si>
  <si>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</si>
  <si>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</si>
  <si>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</si>
  <si>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</si>
  <si>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</si>
  <si>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CHECK WBWTP (Positive number = Production higher than inflow)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</si>
</sst>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5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Border="1"/>
    <xf numFmtId="2" fontId="0" fillId="0" borderId="6" xfId="0" applyNumberFormat="1" applyBorder="1"/>
    <xf numFmtId="0" fontId="0" fillId="0" borderId="6" xfId="0" applyFill="1" applyBorder="1"/>
    <xf numFmtId="2" fontId="0" fillId="0" borderId="0" xfId="0" applyNumberFormat="1" applyFill="1"/>
    <xf numFmtId="0" fontId="2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2" fontId="0" fillId="0" borderId="8" xfId="0" applyNumberFormat="1" applyFill="1" applyBorder="1"/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Border="1" applyAlignment="1">
      <alignment horizontal="center" wrapText="1"/>
    </xf>
    <xf numFmtId="2" fontId="0" fillId="2" borderId="2" xfId="0" applyNumberFormat="1" applyFill="1" applyBorder="1"/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 wrapText="1"/>
    </xf>
    <xf numFmtId="0" fontId="0" fillId="0" borderId="17" xfId="0" applyFill="1" applyBorder="1" applyAlignment="1">
      <alignment horizontal="center" wrapText="1"/>
    </xf>
    <xf numFmtId="0" fontId="0" fillId="0" borderId="18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09/November%202009%20Shift%20Shee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09/December%202009%20Shift%20Shee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January%202010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February%202010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March%202010%20Shift%20Shee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April%202010%20Shift%20Shee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May%202010%20Shift%20Shee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June%202010%20Shift%20Shee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July%202010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August%202010%20Shift%20Sheet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September%202010%20Shift%20Sheet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0/October%202010%20Shift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20000</v>
          </cell>
          <cell r="D4">
            <v>0</v>
          </cell>
          <cell r="E4">
            <v>10000000</v>
          </cell>
          <cell r="F4">
            <v>0</v>
          </cell>
          <cell r="G4">
            <v>0</v>
          </cell>
          <cell r="H4">
            <v>20000</v>
          </cell>
          <cell r="I4">
            <v>10000000</v>
          </cell>
        </row>
        <row r="5">
          <cell r="C5">
            <v>18000</v>
          </cell>
          <cell r="D5">
            <v>0</v>
          </cell>
          <cell r="E5">
            <v>9000000</v>
          </cell>
          <cell r="F5">
            <v>0</v>
          </cell>
          <cell r="G5">
            <v>0</v>
          </cell>
          <cell r="H5">
            <v>18000</v>
          </cell>
          <cell r="I5">
            <v>9500000</v>
          </cell>
        </row>
        <row r="6">
          <cell r="C6">
            <v>18000</v>
          </cell>
          <cell r="D6">
            <v>0</v>
          </cell>
          <cell r="E6">
            <v>10000000</v>
          </cell>
          <cell r="F6">
            <v>0</v>
          </cell>
          <cell r="G6">
            <v>0</v>
          </cell>
          <cell r="H6">
            <v>18000</v>
          </cell>
          <cell r="I6">
            <v>9799999.9999992717</v>
          </cell>
        </row>
        <row r="7">
          <cell r="C7">
            <v>0</v>
          </cell>
          <cell r="D7">
            <v>0</v>
          </cell>
          <cell r="E7">
            <v>9000000</v>
          </cell>
          <cell r="F7">
            <v>0</v>
          </cell>
          <cell r="G7">
            <v>0</v>
          </cell>
          <cell r="H7">
            <v>-31999.999999996475</v>
          </cell>
          <cell r="I7">
            <v>8900000.0000005458</v>
          </cell>
        </row>
        <row r="8">
          <cell r="C8">
            <v>18000</v>
          </cell>
          <cell r="D8">
            <v>0</v>
          </cell>
          <cell r="E8">
            <v>9000000</v>
          </cell>
          <cell r="F8">
            <v>0</v>
          </cell>
          <cell r="G8">
            <v>0</v>
          </cell>
          <cell r="H8">
            <v>18000</v>
          </cell>
          <cell r="I8">
            <v>8500000</v>
          </cell>
        </row>
        <row r="9">
          <cell r="C9">
            <v>18000</v>
          </cell>
          <cell r="D9">
            <v>0</v>
          </cell>
          <cell r="E9">
            <v>9000000</v>
          </cell>
          <cell r="F9">
            <v>0</v>
          </cell>
          <cell r="G9">
            <v>0</v>
          </cell>
          <cell r="H9">
            <v>18000</v>
          </cell>
          <cell r="I9">
            <v>8699999.9999998175</v>
          </cell>
        </row>
        <row r="10">
          <cell r="C10">
            <v>18000</v>
          </cell>
          <cell r="D10">
            <v>0</v>
          </cell>
          <cell r="E10">
            <v>10000000</v>
          </cell>
          <cell r="F10">
            <v>0</v>
          </cell>
          <cell r="G10">
            <v>0</v>
          </cell>
          <cell r="H10">
            <v>18000</v>
          </cell>
          <cell r="I10">
            <v>10199999.999999817</v>
          </cell>
        </row>
        <row r="11">
          <cell r="C11">
            <v>19000</v>
          </cell>
          <cell r="D11">
            <v>0</v>
          </cell>
          <cell r="E11">
            <v>10000000</v>
          </cell>
          <cell r="F11">
            <v>0</v>
          </cell>
          <cell r="G11">
            <v>0</v>
          </cell>
          <cell r="H11">
            <v>19000</v>
          </cell>
          <cell r="I11">
            <v>9800000.0000001825</v>
          </cell>
        </row>
        <row r="12">
          <cell r="C12">
            <v>19000</v>
          </cell>
          <cell r="D12">
            <v>4000</v>
          </cell>
          <cell r="E12">
            <v>10000000</v>
          </cell>
          <cell r="F12">
            <v>0</v>
          </cell>
          <cell r="G12">
            <v>0</v>
          </cell>
          <cell r="H12">
            <v>23000</v>
          </cell>
          <cell r="I12">
            <v>9000000</v>
          </cell>
        </row>
        <row r="13">
          <cell r="C13">
            <v>8000</v>
          </cell>
          <cell r="D13">
            <v>0</v>
          </cell>
          <cell r="E13">
            <v>9000000</v>
          </cell>
          <cell r="F13">
            <v>0</v>
          </cell>
          <cell r="G13">
            <v>0</v>
          </cell>
          <cell r="H13">
            <v>8000</v>
          </cell>
          <cell r="I13">
            <v>9399999.9999996368</v>
          </cell>
        </row>
        <row r="14">
          <cell r="C14">
            <v>0</v>
          </cell>
          <cell r="D14">
            <v>0</v>
          </cell>
          <cell r="E14">
            <v>9000000</v>
          </cell>
          <cell r="F14">
            <v>0</v>
          </cell>
          <cell r="G14">
            <v>0</v>
          </cell>
          <cell r="H14">
            <v>0</v>
          </cell>
          <cell r="I14">
            <v>9500000</v>
          </cell>
        </row>
        <row r="15">
          <cell r="C15">
            <v>0</v>
          </cell>
          <cell r="D15">
            <v>0</v>
          </cell>
          <cell r="E15">
            <v>9000000</v>
          </cell>
          <cell r="F15">
            <v>0</v>
          </cell>
          <cell r="G15">
            <v>0</v>
          </cell>
          <cell r="H15">
            <v>-320000</v>
          </cell>
          <cell r="I15">
            <v>8600000.0000003632</v>
          </cell>
        </row>
        <row r="16">
          <cell r="C16">
            <v>3652000</v>
          </cell>
          <cell r="D16">
            <v>0</v>
          </cell>
          <cell r="E16">
            <v>5000000</v>
          </cell>
          <cell r="F16">
            <v>0</v>
          </cell>
          <cell r="G16">
            <v>0</v>
          </cell>
          <cell r="H16">
            <v>3583000</v>
          </cell>
          <cell r="I16">
            <v>5000000</v>
          </cell>
        </row>
        <row r="17">
          <cell r="C17">
            <v>8811000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8431000</v>
          </cell>
          <cell r="I17">
            <v>0</v>
          </cell>
        </row>
        <row r="18">
          <cell r="C18">
            <v>9263000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9034000</v>
          </cell>
          <cell r="I18">
            <v>300000.0000001819</v>
          </cell>
        </row>
        <row r="19">
          <cell r="C19">
            <v>10891000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10669000</v>
          </cell>
          <cell r="I19">
            <v>0</v>
          </cell>
        </row>
        <row r="20">
          <cell r="C20">
            <v>10834000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10447000</v>
          </cell>
          <cell r="I20">
            <v>0</v>
          </cell>
        </row>
        <row r="21">
          <cell r="C21">
            <v>12431000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11975000</v>
          </cell>
          <cell r="I21">
            <v>0</v>
          </cell>
        </row>
        <row r="22">
          <cell r="C22">
            <v>10558000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10177000</v>
          </cell>
          <cell r="I22">
            <v>0</v>
          </cell>
        </row>
        <row r="23">
          <cell r="C23">
            <v>11210000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10982000</v>
          </cell>
          <cell r="I23">
            <v>0</v>
          </cell>
        </row>
        <row r="24">
          <cell r="C24">
            <v>11930000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11625000</v>
          </cell>
          <cell r="I24">
            <v>0</v>
          </cell>
        </row>
        <row r="25">
          <cell r="C25">
            <v>11765000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11309000</v>
          </cell>
          <cell r="I25">
            <v>0</v>
          </cell>
        </row>
        <row r="26">
          <cell r="C26">
            <v>11731000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11276000</v>
          </cell>
          <cell r="I26">
            <v>0</v>
          </cell>
        </row>
        <row r="27">
          <cell r="C27">
            <v>11475000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11175000</v>
          </cell>
          <cell r="I27">
            <v>0</v>
          </cell>
        </row>
        <row r="28">
          <cell r="C28">
            <v>11007000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10778000</v>
          </cell>
          <cell r="I28">
            <v>0</v>
          </cell>
        </row>
        <row r="29">
          <cell r="C29">
            <v>12035000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11656000</v>
          </cell>
          <cell r="I29">
            <v>99999.999999454303</v>
          </cell>
        </row>
        <row r="30">
          <cell r="C30">
            <v>10965000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10512000</v>
          </cell>
          <cell r="I30">
            <v>0</v>
          </cell>
        </row>
        <row r="31">
          <cell r="C31">
            <v>11416000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11038000</v>
          </cell>
          <cell r="I31">
            <v>0</v>
          </cell>
        </row>
        <row r="32">
          <cell r="C32">
            <v>11414000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11262000</v>
          </cell>
          <cell r="I32">
            <v>0</v>
          </cell>
        </row>
        <row r="33">
          <cell r="C33">
            <v>11705000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11325000</v>
          </cell>
          <cell r="I33">
            <v>0</v>
          </cell>
        </row>
        <row r="252">
          <cell r="D252">
            <v>0</v>
          </cell>
          <cell r="H252">
            <v>4299</v>
          </cell>
        </row>
        <row r="253">
          <cell r="D253">
            <v>0</v>
          </cell>
          <cell r="H253">
            <v>2211</v>
          </cell>
        </row>
        <row r="254">
          <cell r="D254">
            <v>0</v>
          </cell>
          <cell r="H254">
            <v>4223</v>
          </cell>
        </row>
        <row r="255">
          <cell r="D255">
            <v>31999.999999996475</v>
          </cell>
          <cell r="H255">
            <v>288</v>
          </cell>
        </row>
        <row r="256">
          <cell r="D256">
            <v>0</v>
          </cell>
          <cell r="H256">
            <v>0</v>
          </cell>
        </row>
        <row r="257">
          <cell r="D257">
            <v>0</v>
          </cell>
          <cell r="H257">
            <v>134599.30000000005</v>
          </cell>
        </row>
        <row r="258">
          <cell r="D258">
            <v>0</v>
          </cell>
          <cell r="H258">
            <v>228130.5</v>
          </cell>
        </row>
        <row r="259">
          <cell r="D259">
            <v>0</v>
          </cell>
          <cell r="H259">
            <v>191326.80000000005</v>
          </cell>
        </row>
        <row r="260">
          <cell r="D260">
            <v>0</v>
          </cell>
          <cell r="H260">
            <v>4487</v>
          </cell>
        </row>
        <row r="261">
          <cell r="D261">
            <v>0</v>
          </cell>
          <cell r="H261">
            <v>50398</v>
          </cell>
        </row>
        <row r="262">
          <cell r="D262">
            <v>0</v>
          </cell>
          <cell r="H262">
            <v>188458</v>
          </cell>
        </row>
        <row r="263">
          <cell r="D263">
            <v>320000</v>
          </cell>
          <cell r="H263">
            <v>230986</v>
          </cell>
        </row>
        <row r="264">
          <cell r="D264">
            <v>69000</v>
          </cell>
          <cell r="H264">
            <v>21112.399999999907</v>
          </cell>
        </row>
        <row r="265">
          <cell r="D265">
            <v>380000</v>
          </cell>
          <cell r="H265">
            <v>21113</v>
          </cell>
        </row>
        <row r="266">
          <cell r="D266">
            <v>228999.99999999997</v>
          </cell>
          <cell r="H266">
            <v>0</v>
          </cell>
        </row>
        <row r="267">
          <cell r="D267">
            <v>221999.99999999997</v>
          </cell>
          <cell r="H267">
            <v>0</v>
          </cell>
        </row>
        <row r="268">
          <cell r="D268">
            <v>387000</v>
          </cell>
          <cell r="H268">
            <v>0</v>
          </cell>
        </row>
        <row r="269">
          <cell r="D269">
            <v>456000.00000000017</v>
          </cell>
          <cell r="H269">
            <v>0</v>
          </cell>
        </row>
        <row r="270">
          <cell r="D270">
            <v>380999.99999999977</v>
          </cell>
          <cell r="H270">
            <v>0</v>
          </cell>
        </row>
        <row r="271">
          <cell r="D271">
            <v>228000.0000000002</v>
          </cell>
          <cell r="H271">
            <v>0</v>
          </cell>
        </row>
        <row r="272">
          <cell r="D272">
            <v>304999.99999999971</v>
          </cell>
          <cell r="H272">
            <v>0</v>
          </cell>
        </row>
        <row r="273">
          <cell r="D273">
            <v>455999.99999999994</v>
          </cell>
          <cell r="H273">
            <v>0</v>
          </cell>
        </row>
        <row r="274">
          <cell r="D274">
            <v>455000.00000000006</v>
          </cell>
          <cell r="H274">
            <v>0</v>
          </cell>
        </row>
        <row r="275">
          <cell r="D275">
            <v>299999.99999999983</v>
          </cell>
          <cell r="H275">
            <v>0</v>
          </cell>
        </row>
        <row r="276">
          <cell r="D276">
            <v>229000.00000000009</v>
          </cell>
          <cell r="H276">
            <v>0</v>
          </cell>
        </row>
        <row r="277">
          <cell r="D277">
            <v>379000.00000000047</v>
          </cell>
          <cell r="H277">
            <v>0</v>
          </cell>
        </row>
        <row r="278">
          <cell r="D278">
            <v>452999.99999999942</v>
          </cell>
          <cell r="H278">
            <v>0</v>
          </cell>
        </row>
        <row r="279">
          <cell r="D279">
            <v>378000.00000000012</v>
          </cell>
          <cell r="H279">
            <v>0</v>
          </cell>
        </row>
        <row r="280">
          <cell r="D280">
            <v>152000.00000000015</v>
          </cell>
          <cell r="H280">
            <v>0</v>
          </cell>
        </row>
        <row r="281">
          <cell r="D281">
            <v>379999.99999999988</v>
          </cell>
          <cell r="H28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7">
          <cell r="E17">
            <v>123269.9</v>
          </cell>
        </row>
      </sheetData>
      <sheetData sheetId="31">
        <row r="4">
          <cell r="C4">
            <v>11140000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10687000</v>
          </cell>
          <cell r="I4">
            <v>0</v>
          </cell>
        </row>
        <row r="5">
          <cell r="C5">
            <v>11192000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10739000</v>
          </cell>
          <cell r="I5">
            <v>0</v>
          </cell>
        </row>
        <row r="6">
          <cell r="C6">
            <v>10704000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10478000</v>
          </cell>
          <cell r="I6">
            <v>0</v>
          </cell>
        </row>
        <row r="7">
          <cell r="C7">
            <v>10929000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10625000</v>
          </cell>
          <cell r="I7">
            <v>0</v>
          </cell>
        </row>
        <row r="8">
          <cell r="C8">
            <v>11173000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10794000</v>
          </cell>
          <cell r="I8">
            <v>0</v>
          </cell>
        </row>
        <row r="9">
          <cell r="C9">
            <v>11719000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11252000</v>
          </cell>
          <cell r="I9">
            <v>0</v>
          </cell>
        </row>
        <row r="10">
          <cell r="C10">
            <v>12869000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12478000</v>
          </cell>
          <cell r="I10">
            <v>0</v>
          </cell>
        </row>
        <row r="11">
          <cell r="C11">
            <v>10574000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10339000</v>
          </cell>
          <cell r="I11">
            <v>0</v>
          </cell>
        </row>
        <row r="12">
          <cell r="C12">
            <v>11313000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10922000</v>
          </cell>
          <cell r="I12">
            <v>0</v>
          </cell>
        </row>
        <row r="13">
          <cell r="C13">
            <v>12168000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11779000</v>
          </cell>
          <cell r="I13">
            <v>0</v>
          </cell>
        </row>
        <row r="14">
          <cell r="C14">
            <v>11272000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10815000</v>
          </cell>
          <cell r="I14">
            <v>0</v>
          </cell>
        </row>
        <row r="15">
          <cell r="C15">
            <v>11725000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11422000.000000002</v>
          </cell>
          <cell r="I15">
            <v>0</v>
          </cell>
        </row>
        <row r="16">
          <cell r="C16">
            <v>12566000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12260999.999999998</v>
          </cell>
          <cell r="I16">
            <v>0</v>
          </cell>
        </row>
        <row r="17">
          <cell r="C17">
            <v>12289000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11908000.000000002</v>
          </cell>
          <cell r="I17">
            <v>0</v>
          </cell>
        </row>
        <row r="18">
          <cell r="C18">
            <v>12095000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11712999.999999998</v>
          </cell>
          <cell r="I18">
            <v>0</v>
          </cell>
        </row>
        <row r="19">
          <cell r="C19">
            <v>10707000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10326000.000000002</v>
          </cell>
          <cell r="I19">
            <v>0</v>
          </cell>
        </row>
        <row r="20">
          <cell r="C20">
            <v>11067000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10761999.999999998</v>
          </cell>
          <cell r="I20">
            <v>0</v>
          </cell>
        </row>
        <row r="21">
          <cell r="C21">
            <v>11488000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11183000</v>
          </cell>
          <cell r="I21">
            <v>100000.0000003638</v>
          </cell>
        </row>
        <row r="22">
          <cell r="C22">
            <v>12259000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11844000</v>
          </cell>
          <cell r="I22">
            <v>0</v>
          </cell>
        </row>
        <row r="23">
          <cell r="C23">
            <v>11396000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10979000</v>
          </cell>
          <cell r="I23">
            <v>0</v>
          </cell>
        </row>
        <row r="24">
          <cell r="C24">
            <v>11337000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11034000</v>
          </cell>
          <cell r="I24">
            <v>0</v>
          </cell>
        </row>
        <row r="25">
          <cell r="C25">
            <v>11494000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11113000</v>
          </cell>
          <cell r="I25">
            <v>0</v>
          </cell>
        </row>
        <row r="26">
          <cell r="C26">
            <v>10854000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10550000</v>
          </cell>
          <cell r="I26">
            <v>0</v>
          </cell>
        </row>
        <row r="27">
          <cell r="C27">
            <v>11574000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11198000</v>
          </cell>
          <cell r="I27">
            <v>0</v>
          </cell>
        </row>
        <row r="28">
          <cell r="C28">
            <v>11546000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11099000</v>
          </cell>
          <cell r="I28">
            <v>0</v>
          </cell>
        </row>
        <row r="29">
          <cell r="C29">
            <v>11058000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10829999.999999998</v>
          </cell>
          <cell r="I29">
            <v>0</v>
          </cell>
        </row>
        <row r="30">
          <cell r="C30">
            <v>11302000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10923000</v>
          </cell>
          <cell r="I30">
            <v>0</v>
          </cell>
        </row>
        <row r="31">
          <cell r="C31">
            <v>11226000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10880000</v>
          </cell>
          <cell r="I31">
            <v>0</v>
          </cell>
        </row>
        <row r="32">
          <cell r="C32">
            <v>11964000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11629000</v>
          </cell>
          <cell r="I32">
            <v>0</v>
          </cell>
        </row>
        <row r="33">
          <cell r="C33">
            <v>11357000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11089000.000000004</v>
          </cell>
          <cell r="I33">
            <v>0</v>
          </cell>
        </row>
        <row r="34">
          <cell r="C34">
            <v>11129000</v>
          </cell>
          <cell r="D34">
            <v>4000</v>
          </cell>
          <cell r="E34">
            <v>0</v>
          </cell>
          <cell r="F34">
            <v>0</v>
          </cell>
          <cell r="G34">
            <v>0</v>
          </cell>
          <cell r="H34">
            <v>10798000</v>
          </cell>
          <cell r="I34">
            <v>0</v>
          </cell>
        </row>
        <row r="259">
          <cell r="D259">
            <v>453000.00000000029</v>
          </cell>
          <cell r="H259">
            <v>0</v>
          </cell>
        </row>
        <row r="260">
          <cell r="D260">
            <v>453000.00000000029</v>
          </cell>
          <cell r="H260">
            <v>0</v>
          </cell>
        </row>
        <row r="261">
          <cell r="D261">
            <v>225999.99999999997</v>
          </cell>
          <cell r="H261">
            <v>0</v>
          </cell>
        </row>
        <row r="262">
          <cell r="D262">
            <v>303999.99999999936</v>
          </cell>
          <cell r="H262">
            <v>0</v>
          </cell>
        </row>
        <row r="263">
          <cell r="D263">
            <v>379000.00000000047</v>
          </cell>
          <cell r="H263">
            <v>0</v>
          </cell>
        </row>
        <row r="264">
          <cell r="D264">
            <v>467000.00000000052</v>
          </cell>
          <cell r="H264">
            <v>0</v>
          </cell>
        </row>
        <row r="265">
          <cell r="D265">
            <v>391000</v>
          </cell>
          <cell r="H265">
            <v>0</v>
          </cell>
        </row>
        <row r="266">
          <cell r="D266">
            <v>234999.99999999942</v>
          </cell>
          <cell r="H266">
            <v>0</v>
          </cell>
        </row>
        <row r="267">
          <cell r="D267">
            <v>391000</v>
          </cell>
          <cell r="H267">
            <v>0</v>
          </cell>
        </row>
        <row r="268">
          <cell r="D268">
            <v>388999.99999999936</v>
          </cell>
          <cell r="H268">
            <v>0</v>
          </cell>
        </row>
        <row r="269">
          <cell r="D269">
            <v>457000.00000000076</v>
          </cell>
          <cell r="H269">
            <v>0</v>
          </cell>
        </row>
        <row r="270">
          <cell r="D270">
            <v>302999.99999999907</v>
          </cell>
          <cell r="H270">
            <v>0</v>
          </cell>
        </row>
        <row r="271">
          <cell r="D271">
            <v>305000.00000000151</v>
          </cell>
          <cell r="H271">
            <v>0</v>
          </cell>
        </row>
        <row r="272">
          <cell r="D272">
            <v>380999.99999999843</v>
          </cell>
          <cell r="H272">
            <v>0</v>
          </cell>
        </row>
        <row r="273">
          <cell r="D273">
            <v>382000.00000000146</v>
          </cell>
          <cell r="H273">
            <v>0</v>
          </cell>
        </row>
        <row r="274">
          <cell r="D274">
            <v>380999.99999999843</v>
          </cell>
          <cell r="H274">
            <v>0</v>
          </cell>
        </row>
        <row r="275">
          <cell r="D275">
            <v>305000.00000000151</v>
          </cell>
          <cell r="H275">
            <v>0</v>
          </cell>
        </row>
        <row r="276">
          <cell r="D276">
            <v>304999.99999999971</v>
          </cell>
          <cell r="H276">
            <v>0</v>
          </cell>
        </row>
        <row r="277">
          <cell r="D277">
            <v>414999.99999999913</v>
          </cell>
          <cell r="H277">
            <v>0</v>
          </cell>
        </row>
        <row r="278">
          <cell r="D278">
            <v>416999.99999999983</v>
          </cell>
          <cell r="H278">
            <v>-2340000</v>
          </cell>
        </row>
        <row r="279">
          <cell r="D279">
            <v>303000.00000000081</v>
          </cell>
          <cell r="H279">
            <v>0</v>
          </cell>
        </row>
        <row r="280">
          <cell r="D280">
            <v>381000.00000000023</v>
          </cell>
          <cell r="H280">
            <v>0</v>
          </cell>
        </row>
        <row r="281">
          <cell r="D281">
            <v>304000.00000000029</v>
          </cell>
          <cell r="H281">
            <v>0</v>
          </cell>
        </row>
        <row r="282">
          <cell r="D282">
            <v>375999.99999999942</v>
          </cell>
          <cell r="H282">
            <v>0</v>
          </cell>
        </row>
        <row r="283">
          <cell r="D283">
            <v>446999.99999999919</v>
          </cell>
          <cell r="H283">
            <v>0</v>
          </cell>
        </row>
        <row r="284">
          <cell r="D284">
            <v>228000.00000000154</v>
          </cell>
          <cell r="H284">
            <v>0</v>
          </cell>
        </row>
        <row r="285">
          <cell r="D285">
            <v>378999.99999999953</v>
          </cell>
          <cell r="H285">
            <v>0</v>
          </cell>
        </row>
        <row r="286">
          <cell r="D286">
            <v>346000.00000000006</v>
          </cell>
          <cell r="H286">
            <v>0</v>
          </cell>
        </row>
        <row r="287">
          <cell r="D287">
            <v>335000.00000000087</v>
          </cell>
          <cell r="H287">
            <v>0</v>
          </cell>
        </row>
        <row r="288">
          <cell r="D288">
            <v>267999.99999999715</v>
          </cell>
          <cell r="H288">
            <v>0</v>
          </cell>
        </row>
        <row r="289">
          <cell r="D289">
            <v>335000.00000000087</v>
          </cell>
          <cell r="H2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11760000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11426000</v>
          </cell>
          <cell r="I4">
            <v>0</v>
          </cell>
        </row>
        <row r="5">
          <cell r="C5">
            <v>11170000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10836000</v>
          </cell>
          <cell r="I5">
            <v>0</v>
          </cell>
        </row>
        <row r="6">
          <cell r="C6">
            <v>11474000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11139000</v>
          </cell>
          <cell r="I6">
            <v>0</v>
          </cell>
        </row>
        <row r="7">
          <cell r="C7">
            <v>11584000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11316000</v>
          </cell>
          <cell r="I7">
            <v>0</v>
          </cell>
        </row>
        <row r="8">
          <cell r="C8">
            <v>11332000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11065000</v>
          </cell>
          <cell r="I8">
            <v>0</v>
          </cell>
        </row>
        <row r="9">
          <cell r="C9">
            <v>10610000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10275000</v>
          </cell>
          <cell r="I9">
            <v>0</v>
          </cell>
        </row>
        <row r="10">
          <cell r="C10">
            <v>10596000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10254999.999999998</v>
          </cell>
          <cell r="I10">
            <v>0</v>
          </cell>
        </row>
        <row r="11">
          <cell r="C11">
            <v>11322000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11058000</v>
          </cell>
          <cell r="I11">
            <v>0</v>
          </cell>
        </row>
        <row r="12">
          <cell r="C12">
            <v>11804000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11463000.000000002</v>
          </cell>
          <cell r="I12">
            <v>0</v>
          </cell>
        </row>
        <row r="13">
          <cell r="C13">
            <v>11983000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11652999.999999998</v>
          </cell>
          <cell r="I13">
            <v>0</v>
          </cell>
        </row>
        <row r="14">
          <cell r="C14">
            <v>11977000</v>
          </cell>
          <cell r="D14">
            <v>0</v>
          </cell>
          <cell r="E14">
            <v>0</v>
          </cell>
          <cell r="F14">
            <v>39000000</v>
          </cell>
          <cell r="G14">
            <v>0</v>
          </cell>
          <cell r="H14">
            <v>11641000.000000002</v>
          </cell>
          <cell r="I14">
            <v>0</v>
          </cell>
        </row>
        <row r="15">
          <cell r="C15">
            <v>11047000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10669999.999999998</v>
          </cell>
          <cell r="I15">
            <v>0</v>
          </cell>
        </row>
        <row r="16">
          <cell r="C16">
            <v>11953000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11628000</v>
          </cell>
          <cell r="I16">
            <v>100000.0000003638</v>
          </cell>
        </row>
        <row r="17">
          <cell r="C17">
            <v>11020000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10609000.000000002</v>
          </cell>
          <cell r="I17">
            <v>0</v>
          </cell>
        </row>
        <row r="18">
          <cell r="C18">
            <v>10398000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10072000</v>
          </cell>
          <cell r="I18">
            <v>0</v>
          </cell>
        </row>
        <row r="19">
          <cell r="C19">
            <v>11119000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10712000</v>
          </cell>
          <cell r="I19">
            <v>0</v>
          </cell>
        </row>
        <row r="20">
          <cell r="C20">
            <v>12333000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12007999.999999996</v>
          </cell>
          <cell r="I20">
            <v>0</v>
          </cell>
        </row>
        <row r="21">
          <cell r="C21">
            <v>11951000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11540000.000000002</v>
          </cell>
          <cell r="I21">
            <v>0</v>
          </cell>
        </row>
        <row r="22">
          <cell r="C22">
            <v>11402000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10998999.999999998</v>
          </cell>
          <cell r="I22">
            <v>0</v>
          </cell>
        </row>
        <row r="23">
          <cell r="C23">
            <v>11201000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10737000.000000002</v>
          </cell>
          <cell r="I23">
            <v>0</v>
          </cell>
        </row>
        <row r="24">
          <cell r="C24">
            <v>11027000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10650000.000000002</v>
          </cell>
          <cell r="I24">
            <v>0</v>
          </cell>
        </row>
        <row r="25">
          <cell r="C25">
            <v>11607000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11136999.999999998</v>
          </cell>
          <cell r="I25">
            <v>0</v>
          </cell>
        </row>
        <row r="26">
          <cell r="C26">
            <v>11630000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11161000.000000002</v>
          </cell>
          <cell r="I26">
            <v>0</v>
          </cell>
        </row>
        <row r="27">
          <cell r="C27">
            <v>12023000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11646999.999999998</v>
          </cell>
          <cell r="I27">
            <v>0</v>
          </cell>
        </row>
        <row r="28">
          <cell r="C28">
            <v>11714000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11149000.000000002</v>
          </cell>
          <cell r="I28">
            <v>0</v>
          </cell>
        </row>
        <row r="29">
          <cell r="C29">
            <v>11132000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10850000</v>
          </cell>
          <cell r="I29">
            <v>0</v>
          </cell>
        </row>
        <row r="30">
          <cell r="C30">
            <v>11800000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11312999.999999998</v>
          </cell>
          <cell r="I30">
            <v>0</v>
          </cell>
        </row>
        <row r="31">
          <cell r="C31">
            <v>12242000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11792000</v>
          </cell>
          <cell r="I31">
            <v>0</v>
          </cell>
        </row>
        <row r="32">
          <cell r="C32">
            <v>9762000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9452999.9999999981</v>
          </cell>
          <cell r="I32">
            <v>0</v>
          </cell>
        </row>
        <row r="33">
          <cell r="C33">
            <v>12044000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11582000</v>
          </cell>
          <cell r="I33">
            <v>0</v>
          </cell>
        </row>
        <row r="34">
          <cell r="C34">
            <v>11942000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11477000</v>
          </cell>
          <cell r="I34">
            <v>0</v>
          </cell>
        </row>
        <row r="259">
          <cell r="D259">
            <v>333999.99999999965</v>
          </cell>
          <cell r="H259">
            <v>0</v>
          </cell>
        </row>
        <row r="260">
          <cell r="D260">
            <v>333999.99999999965</v>
          </cell>
          <cell r="H260">
            <v>0</v>
          </cell>
        </row>
        <row r="261">
          <cell r="D261">
            <v>335000.00000000087</v>
          </cell>
          <cell r="H261">
            <v>-30000</v>
          </cell>
        </row>
        <row r="262">
          <cell r="D262">
            <v>268000.0000000007</v>
          </cell>
          <cell r="H262">
            <v>0</v>
          </cell>
        </row>
        <row r="263">
          <cell r="D263">
            <v>266999.99999999948</v>
          </cell>
          <cell r="H263">
            <v>0</v>
          </cell>
        </row>
        <row r="264">
          <cell r="D264">
            <v>335000.00000000087</v>
          </cell>
          <cell r="H264">
            <v>0</v>
          </cell>
        </row>
        <row r="265">
          <cell r="D265">
            <v>341000.00000000111</v>
          </cell>
          <cell r="H265">
            <v>0</v>
          </cell>
        </row>
        <row r="266">
          <cell r="D266">
            <v>263999.99999999936</v>
          </cell>
          <cell r="H266">
            <v>0</v>
          </cell>
        </row>
        <row r="267">
          <cell r="D267">
            <v>340999.99999999756</v>
          </cell>
          <cell r="H267">
            <v>0</v>
          </cell>
        </row>
        <row r="268">
          <cell r="D268">
            <v>330000.00000000186</v>
          </cell>
          <cell r="H268">
            <v>0</v>
          </cell>
        </row>
        <row r="269">
          <cell r="D269">
            <v>335999.99999999854</v>
          </cell>
          <cell r="H269">
            <v>0</v>
          </cell>
        </row>
        <row r="270">
          <cell r="D270">
            <v>377000.00000000244</v>
          </cell>
          <cell r="H270">
            <v>0</v>
          </cell>
        </row>
        <row r="271">
          <cell r="D271">
            <v>324999.9999999993</v>
          </cell>
          <cell r="H271">
            <v>0</v>
          </cell>
        </row>
        <row r="272">
          <cell r="D272">
            <v>410999.99999999779</v>
          </cell>
          <cell r="H272">
            <v>0</v>
          </cell>
        </row>
        <row r="273">
          <cell r="D273">
            <v>326000.00000000052</v>
          </cell>
          <cell r="H273">
            <v>0</v>
          </cell>
        </row>
        <row r="274">
          <cell r="D274">
            <v>407000</v>
          </cell>
          <cell r="H274">
            <v>0</v>
          </cell>
        </row>
        <row r="275">
          <cell r="D275">
            <v>325000.00000000285</v>
          </cell>
          <cell r="H275">
            <v>0</v>
          </cell>
        </row>
        <row r="276">
          <cell r="D276">
            <v>410999.99999999779</v>
          </cell>
          <cell r="H276">
            <v>0</v>
          </cell>
        </row>
        <row r="277">
          <cell r="D277">
            <v>403000.00000000227</v>
          </cell>
          <cell r="H277">
            <v>0</v>
          </cell>
        </row>
        <row r="278">
          <cell r="D278">
            <v>463999.99999999866</v>
          </cell>
          <cell r="H278">
            <v>0</v>
          </cell>
        </row>
        <row r="279">
          <cell r="D279">
            <v>376999.99999999889</v>
          </cell>
          <cell r="H279">
            <v>0</v>
          </cell>
        </row>
        <row r="280">
          <cell r="D280">
            <v>470000.00000000244</v>
          </cell>
          <cell r="H280">
            <v>0</v>
          </cell>
        </row>
        <row r="281">
          <cell r="D281">
            <v>468999.99999999761</v>
          </cell>
          <cell r="H281">
            <v>0</v>
          </cell>
        </row>
        <row r="282">
          <cell r="D282">
            <v>376000.00000000122</v>
          </cell>
          <cell r="H282">
            <v>0</v>
          </cell>
        </row>
        <row r="283">
          <cell r="D283">
            <v>564999.99999999767</v>
          </cell>
          <cell r="H283">
            <v>0</v>
          </cell>
        </row>
        <row r="284">
          <cell r="D284">
            <v>282000</v>
          </cell>
          <cell r="H284">
            <v>0</v>
          </cell>
        </row>
        <row r="285">
          <cell r="D285">
            <v>487000.00000000186</v>
          </cell>
          <cell r="H285">
            <v>0</v>
          </cell>
        </row>
        <row r="286">
          <cell r="D286">
            <v>449999.9999999993</v>
          </cell>
          <cell r="H286">
            <v>0</v>
          </cell>
        </row>
        <row r="287">
          <cell r="D287">
            <v>309000.00000000105</v>
          </cell>
          <cell r="H287">
            <v>0</v>
          </cell>
        </row>
        <row r="288">
          <cell r="D288">
            <v>462000</v>
          </cell>
          <cell r="H288">
            <v>0</v>
          </cell>
        </row>
        <row r="289">
          <cell r="D289">
            <v>465000.00000000006</v>
          </cell>
          <cell r="H289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Feb Pr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4">
          <cell r="C4">
            <v>11445000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10994000</v>
          </cell>
          <cell r="I4">
            <v>0</v>
          </cell>
        </row>
        <row r="5">
          <cell r="C5">
            <v>11996000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11621000</v>
          </cell>
          <cell r="I5">
            <v>0</v>
          </cell>
        </row>
        <row r="6">
          <cell r="C6">
            <v>10941000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10571000</v>
          </cell>
          <cell r="I6">
            <v>0</v>
          </cell>
        </row>
        <row r="7">
          <cell r="C7">
            <v>10769000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10304000</v>
          </cell>
          <cell r="I7">
            <v>0</v>
          </cell>
        </row>
        <row r="8">
          <cell r="C8">
            <v>11246000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10687000</v>
          </cell>
          <cell r="I8">
            <v>0</v>
          </cell>
        </row>
        <row r="9">
          <cell r="C9">
            <v>12273000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11906000</v>
          </cell>
          <cell r="I9">
            <v>0</v>
          </cell>
        </row>
        <row r="10">
          <cell r="C10">
            <v>12222000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11757000</v>
          </cell>
          <cell r="I10">
            <v>0</v>
          </cell>
        </row>
        <row r="11">
          <cell r="C11">
            <v>11110000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10738000</v>
          </cell>
          <cell r="I11">
            <v>0</v>
          </cell>
        </row>
        <row r="12">
          <cell r="C12">
            <v>10961000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10501000</v>
          </cell>
          <cell r="I12">
            <v>0</v>
          </cell>
        </row>
        <row r="13">
          <cell r="C13">
            <v>11314000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10845000</v>
          </cell>
          <cell r="I13">
            <v>0</v>
          </cell>
        </row>
        <row r="14">
          <cell r="C14">
            <v>11303000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10844000</v>
          </cell>
          <cell r="I14">
            <v>0</v>
          </cell>
        </row>
        <row r="15">
          <cell r="C15">
            <v>11313000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10942000</v>
          </cell>
          <cell r="I15">
            <v>0</v>
          </cell>
        </row>
        <row r="16">
          <cell r="C16">
            <v>11760000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11390000</v>
          </cell>
          <cell r="I16">
            <v>0</v>
          </cell>
        </row>
        <row r="17">
          <cell r="C17">
            <v>12324000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11766000</v>
          </cell>
          <cell r="I17">
            <v>0</v>
          </cell>
        </row>
        <row r="18">
          <cell r="C18">
            <v>11713000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11335000</v>
          </cell>
          <cell r="I18">
            <v>0</v>
          </cell>
        </row>
        <row r="19">
          <cell r="C19">
            <v>12076000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11619000.000000002</v>
          </cell>
          <cell r="I19">
            <v>0</v>
          </cell>
        </row>
        <row r="20">
          <cell r="C20">
            <v>11784000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11407000</v>
          </cell>
          <cell r="I20">
            <v>0</v>
          </cell>
        </row>
        <row r="21">
          <cell r="C21">
            <v>10655000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10176000</v>
          </cell>
          <cell r="I21">
            <v>0</v>
          </cell>
        </row>
        <row r="22">
          <cell r="C22">
            <v>11013000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10539000</v>
          </cell>
          <cell r="I22">
            <v>0</v>
          </cell>
        </row>
        <row r="23">
          <cell r="C23">
            <v>11778000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11300000</v>
          </cell>
          <cell r="I23">
            <v>0</v>
          </cell>
        </row>
        <row r="24">
          <cell r="C24">
            <v>12260000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11886000</v>
          </cell>
          <cell r="I24">
            <v>0</v>
          </cell>
        </row>
        <row r="25">
          <cell r="C25">
            <v>11368000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10988000</v>
          </cell>
          <cell r="I25">
            <v>0</v>
          </cell>
        </row>
        <row r="26">
          <cell r="C26">
            <v>11498000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10922000.000000002</v>
          </cell>
          <cell r="I26">
            <v>0</v>
          </cell>
        </row>
        <row r="27">
          <cell r="C27">
            <v>11756000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11375000</v>
          </cell>
          <cell r="I27">
            <v>0</v>
          </cell>
        </row>
        <row r="28">
          <cell r="C28">
            <v>11029000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10572999.999999998</v>
          </cell>
          <cell r="I28">
            <v>0</v>
          </cell>
        </row>
        <row r="29">
          <cell r="C29">
            <v>11184000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10756000.000000002</v>
          </cell>
          <cell r="I29">
            <v>0</v>
          </cell>
        </row>
        <row r="30">
          <cell r="C30">
            <v>11387000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10959000</v>
          </cell>
          <cell r="I30">
            <v>0</v>
          </cell>
        </row>
        <row r="31">
          <cell r="C31">
            <v>12166000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11687000</v>
          </cell>
          <cell r="I31">
            <v>0</v>
          </cell>
        </row>
        <row r="245">
          <cell r="D245">
            <v>450999.99999999983</v>
          </cell>
          <cell r="H245">
            <v>0</v>
          </cell>
        </row>
        <row r="246">
          <cell r="D246">
            <v>375000</v>
          </cell>
          <cell r="H246">
            <v>0</v>
          </cell>
        </row>
        <row r="247">
          <cell r="D247">
            <v>369999.99999999988</v>
          </cell>
          <cell r="H247">
            <v>0</v>
          </cell>
        </row>
        <row r="248">
          <cell r="D248">
            <v>465000.00000000029</v>
          </cell>
          <cell r="H248">
            <v>0</v>
          </cell>
        </row>
        <row r="249">
          <cell r="D249">
            <v>558999.99999999977</v>
          </cell>
          <cell r="H249">
            <v>0</v>
          </cell>
        </row>
        <row r="250">
          <cell r="D250">
            <v>367000</v>
          </cell>
          <cell r="H250">
            <v>0</v>
          </cell>
        </row>
        <row r="251">
          <cell r="D251">
            <v>465000.00000000029</v>
          </cell>
          <cell r="H251">
            <v>0</v>
          </cell>
        </row>
        <row r="252">
          <cell r="D252">
            <v>371999.99999999988</v>
          </cell>
          <cell r="H252">
            <v>0</v>
          </cell>
        </row>
        <row r="253">
          <cell r="D253">
            <v>459999.99999999994</v>
          </cell>
          <cell r="H253">
            <v>0</v>
          </cell>
        </row>
        <row r="254">
          <cell r="D254">
            <v>469000.00000000029</v>
          </cell>
          <cell r="H254">
            <v>0</v>
          </cell>
        </row>
        <row r="255">
          <cell r="D255">
            <v>458999.99999999965</v>
          </cell>
          <cell r="H255">
            <v>0</v>
          </cell>
        </row>
        <row r="256">
          <cell r="D256">
            <v>371000.00000000047</v>
          </cell>
          <cell r="H256">
            <v>0</v>
          </cell>
        </row>
        <row r="257">
          <cell r="D257">
            <v>369999.99999999924</v>
          </cell>
          <cell r="H257">
            <v>0</v>
          </cell>
        </row>
        <row r="258">
          <cell r="D258">
            <v>558000.0000000007</v>
          </cell>
          <cell r="H258">
            <v>0</v>
          </cell>
        </row>
        <row r="259">
          <cell r="D259">
            <v>378000.00000000012</v>
          </cell>
          <cell r="H259">
            <v>0</v>
          </cell>
        </row>
        <row r="260">
          <cell r="D260">
            <v>456999.99999999895</v>
          </cell>
          <cell r="H260">
            <v>0</v>
          </cell>
        </row>
        <row r="261">
          <cell r="D261">
            <v>377000.00000000064</v>
          </cell>
          <cell r="H261">
            <v>0</v>
          </cell>
        </row>
        <row r="262">
          <cell r="D262">
            <v>478999.99999999919</v>
          </cell>
          <cell r="H262">
            <v>0</v>
          </cell>
        </row>
        <row r="263">
          <cell r="D263">
            <v>474000.00000000017</v>
          </cell>
          <cell r="H263">
            <v>0</v>
          </cell>
        </row>
        <row r="264">
          <cell r="D264">
            <v>477999.99999999977</v>
          </cell>
          <cell r="H264">
            <v>0</v>
          </cell>
        </row>
        <row r="265">
          <cell r="D265">
            <v>374000.00000000058</v>
          </cell>
          <cell r="H265">
            <v>0</v>
          </cell>
        </row>
        <row r="266">
          <cell r="D266">
            <v>380000.00000000076</v>
          </cell>
          <cell r="H266">
            <v>0</v>
          </cell>
        </row>
        <row r="267">
          <cell r="D267">
            <v>575999.99999999872</v>
          </cell>
          <cell r="H267">
            <v>0</v>
          </cell>
        </row>
        <row r="268">
          <cell r="D268">
            <v>381000.00000000023</v>
          </cell>
          <cell r="H268">
            <v>0</v>
          </cell>
        </row>
        <row r="269">
          <cell r="D269">
            <v>456000.00000000128</v>
          </cell>
          <cell r="H269">
            <v>0</v>
          </cell>
        </row>
        <row r="270">
          <cell r="D270">
            <v>427999.99999999907</v>
          </cell>
          <cell r="H270">
            <v>0</v>
          </cell>
        </row>
        <row r="271">
          <cell r="D271">
            <v>428000.00000000081</v>
          </cell>
          <cell r="H271">
            <v>0</v>
          </cell>
        </row>
        <row r="272">
          <cell r="D272">
            <v>478999.99999999919</v>
          </cell>
          <cell r="H272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11317000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10837999.999999998</v>
          </cell>
          <cell r="I4">
            <v>0</v>
          </cell>
        </row>
        <row r="5">
          <cell r="C5">
            <v>10288000</v>
          </cell>
          <cell r="D5">
            <v>0</v>
          </cell>
          <cell r="E5">
            <v>0</v>
          </cell>
          <cell r="F5">
            <v>1000000</v>
          </cell>
          <cell r="G5">
            <v>0</v>
          </cell>
          <cell r="H5">
            <v>9914000.0000000019</v>
          </cell>
          <cell r="I5">
            <v>0</v>
          </cell>
        </row>
        <row r="6">
          <cell r="C6">
            <v>9267000</v>
          </cell>
          <cell r="D6">
            <v>0</v>
          </cell>
          <cell r="E6">
            <v>0</v>
          </cell>
          <cell r="F6">
            <v>3000000</v>
          </cell>
          <cell r="G6">
            <v>0</v>
          </cell>
          <cell r="H6">
            <v>8884000</v>
          </cell>
          <cell r="I6">
            <v>0</v>
          </cell>
        </row>
        <row r="7">
          <cell r="C7">
            <v>8961000</v>
          </cell>
          <cell r="D7">
            <v>0</v>
          </cell>
          <cell r="E7">
            <v>0</v>
          </cell>
          <cell r="F7">
            <v>2000000</v>
          </cell>
          <cell r="G7">
            <v>0</v>
          </cell>
          <cell r="H7">
            <v>8391000</v>
          </cell>
          <cell r="I7">
            <v>0</v>
          </cell>
        </row>
        <row r="8">
          <cell r="C8">
            <v>7181000</v>
          </cell>
          <cell r="D8">
            <v>0</v>
          </cell>
          <cell r="E8">
            <v>0</v>
          </cell>
          <cell r="F8">
            <v>1000000</v>
          </cell>
          <cell r="G8">
            <v>0</v>
          </cell>
          <cell r="H8">
            <v>6769000.0000000009</v>
          </cell>
          <cell r="I8">
            <v>2000000</v>
          </cell>
        </row>
        <row r="9">
          <cell r="C9">
            <v>6328000</v>
          </cell>
          <cell r="D9">
            <v>0</v>
          </cell>
          <cell r="E9">
            <v>0</v>
          </cell>
          <cell r="F9">
            <v>3000000</v>
          </cell>
          <cell r="G9">
            <v>0</v>
          </cell>
          <cell r="H9">
            <v>5881999.9999999981</v>
          </cell>
          <cell r="I9">
            <v>4900000.0000005458</v>
          </cell>
        </row>
        <row r="10">
          <cell r="C10">
            <v>5122000</v>
          </cell>
          <cell r="D10">
            <v>0</v>
          </cell>
          <cell r="E10">
            <v>0</v>
          </cell>
          <cell r="F10">
            <v>5000000</v>
          </cell>
          <cell r="G10">
            <v>0</v>
          </cell>
          <cell r="H10">
            <v>4718000</v>
          </cell>
          <cell r="I10">
            <v>5099999.9999994542</v>
          </cell>
        </row>
        <row r="11">
          <cell r="C11">
            <v>4999000</v>
          </cell>
          <cell r="D11">
            <v>0</v>
          </cell>
          <cell r="E11">
            <v>0</v>
          </cell>
          <cell r="F11">
            <v>5000000</v>
          </cell>
          <cell r="G11">
            <v>0</v>
          </cell>
          <cell r="H11">
            <v>4455000</v>
          </cell>
          <cell r="I11">
            <v>4199999.9999998184</v>
          </cell>
        </row>
        <row r="12">
          <cell r="C12">
            <v>4975000</v>
          </cell>
          <cell r="D12">
            <v>0</v>
          </cell>
          <cell r="E12">
            <v>0</v>
          </cell>
          <cell r="F12">
            <v>5000000</v>
          </cell>
          <cell r="G12">
            <v>0</v>
          </cell>
          <cell r="H12">
            <v>4485000.0000000019</v>
          </cell>
          <cell r="I12">
            <v>4600000.0000003641</v>
          </cell>
        </row>
        <row r="13">
          <cell r="C13">
            <v>5273000</v>
          </cell>
          <cell r="D13">
            <v>0</v>
          </cell>
          <cell r="E13">
            <v>0</v>
          </cell>
          <cell r="F13">
            <v>5000000</v>
          </cell>
          <cell r="G13">
            <v>0</v>
          </cell>
          <cell r="H13">
            <v>4928999.9999999991</v>
          </cell>
          <cell r="I13">
            <v>4100000.0000003637</v>
          </cell>
        </row>
        <row r="14">
          <cell r="C14">
            <v>1636000</v>
          </cell>
          <cell r="D14">
            <v>0</v>
          </cell>
          <cell r="E14">
            <v>0</v>
          </cell>
          <cell r="F14">
            <v>6000000</v>
          </cell>
          <cell r="G14">
            <v>0</v>
          </cell>
          <cell r="H14">
            <v>1389000</v>
          </cell>
          <cell r="I14">
            <v>6099999.9999994542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9000000</v>
          </cell>
          <cell r="G15">
            <v>0</v>
          </cell>
          <cell r="H15">
            <v>-64000.000000000058</v>
          </cell>
          <cell r="I15">
            <v>8199999.9999998184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10000000</v>
          </cell>
          <cell r="G16">
            <v>0</v>
          </cell>
          <cell r="H16">
            <v>0</v>
          </cell>
          <cell r="I16">
            <v>9200000.0000007283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9000000</v>
          </cell>
          <cell r="G17">
            <v>0</v>
          </cell>
          <cell r="H17">
            <v>-134000.00000000035</v>
          </cell>
          <cell r="I17">
            <v>9399999.9999996368</v>
          </cell>
        </row>
        <row r="18">
          <cell r="C18">
            <v>1572000</v>
          </cell>
          <cell r="D18">
            <v>0</v>
          </cell>
          <cell r="E18">
            <v>0</v>
          </cell>
          <cell r="F18">
            <v>9000000</v>
          </cell>
          <cell r="G18">
            <v>0</v>
          </cell>
          <cell r="H18">
            <v>1406000.0000000033</v>
          </cell>
          <cell r="I18">
            <v>9000000</v>
          </cell>
        </row>
        <row r="19">
          <cell r="C19">
            <v>7693000</v>
          </cell>
          <cell r="D19">
            <v>0</v>
          </cell>
          <cell r="E19">
            <v>1000000</v>
          </cell>
          <cell r="F19">
            <v>5000000</v>
          </cell>
          <cell r="G19">
            <v>0</v>
          </cell>
          <cell r="H19">
            <v>7315000</v>
          </cell>
          <cell r="I19">
            <v>4899999.9999996359</v>
          </cell>
        </row>
        <row r="20">
          <cell r="C20">
            <v>2127000</v>
          </cell>
          <cell r="D20">
            <v>0</v>
          </cell>
          <cell r="E20">
            <v>4000000</v>
          </cell>
          <cell r="F20">
            <v>5000000</v>
          </cell>
          <cell r="G20">
            <v>0</v>
          </cell>
          <cell r="H20">
            <v>1842999.9999999974</v>
          </cell>
          <cell r="I20">
            <v>7000000</v>
          </cell>
        </row>
        <row r="21">
          <cell r="C21">
            <v>0</v>
          </cell>
          <cell r="D21">
            <v>0</v>
          </cell>
          <cell r="E21">
            <v>6000000</v>
          </cell>
          <cell r="F21">
            <v>1000000</v>
          </cell>
          <cell r="G21">
            <v>0</v>
          </cell>
          <cell r="H21">
            <v>-108999.99999999821</v>
          </cell>
          <cell r="I21">
            <v>8300000.0000001816</v>
          </cell>
        </row>
        <row r="22">
          <cell r="C22">
            <v>0</v>
          </cell>
          <cell r="D22">
            <v>0</v>
          </cell>
          <cell r="E22">
            <v>10000000</v>
          </cell>
          <cell r="F22">
            <v>0</v>
          </cell>
          <cell r="G22">
            <v>0</v>
          </cell>
          <cell r="H22">
            <v>0</v>
          </cell>
          <cell r="I22">
            <v>8900000.0000005458</v>
          </cell>
        </row>
        <row r="23">
          <cell r="C23">
            <v>0</v>
          </cell>
          <cell r="D23">
            <v>0</v>
          </cell>
          <cell r="E23">
            <v>9000000</v>
          </cell>
          <cell r="F23">
            <v>0</v>
          </cell>
          <cell r="G23">
            <v>0</v>
          </cell>
          <cell r="H23">
            <v>0</v>
          </cell>
          <cell r="I23">
            <v>8500000</v>
          </cell>
        </row>
        <row r="24">
          <cell r="C24">
            <v>0</v>
          </cell>
          <cell r="D24">
            <v>0</v>
          </cell>
          <cell r="E24">
            <v>11000000</v>
          </cell>
          <cell r="F24">
            <v>0</v>
          </cell>
          <cell r="G24">
            <v>0</v>
          </cell>
          <cell r="H24">
            <v>0</v>
          </cell>
          <cell r="I24">
            <v>10599999.999999454</v>
          </cell>
        </row>
        <row r="25">
          <cell r="C25">
            <v>0</v>
          </cell>
          <cell r="D25">
            <v>0</v>
          </cell>
          <cell r="E25">
            <v>8000000</v>
          </cell>
          <cell r="F25">
            <v>0</v>
          </cell>
          <cell r="G25">
            <v>0</v>
          </cell>
          <cell r="H25">
            <v>0</v>
          </cell>
          <cell r="I25">
            <v>8000000</v>
          </cell>
        </row>
        <row r="26">
          <cell r="C26">
            <v>0</v>
          </cell>
          <cell r="D26">
            <v>0</v>
          </cell>
          <cell r="E26">
            <v>9000000</v>
          </cell>
          <cell r="F26">
            <v>0</v>
          </cell>
          <cell r="G26">
            <v>0</v>
          </cell>
          <cell r="H26">
            <v>-220000.00000000242</v>
          </cell>
          <cell r="I26">
            <v>9000000</v>
          </cell>
        </row>
        <row r="27">
          <cell r="C27">
            <v>17000</v>
          </cell>
          <cell r="D27">
            <v>0</v>
          </cell>
          <cell r="E27">
            <v>10000000</v>
          </cell>
          <cell r="F27">
            <v>0</v>
          </cell>
          <cell r="G27">
            <v>0</v>
          </cell>
          <cell r="H27">
            <v>17000</v>
          </cell>
          <cell r="I27">
            <v>10199999.999999817</v>
          </cell>
        </row>
        <row r="28">
          <cell r="C28">
            <v>0</v>
          </cell>
          <cell r="D28">
            <v>0</v>
          </cell>
          <cell r="E28">
            <v>9000000</v>
          </cell>
          <cell r="F28">
            <v>0</v>
          </cell>
          <cell r="G28">
            <v>0</v>
          </cell>
          <cell r="H28">
            <v>-134999.99999999802</v>
          </cell>
          <cell r="I28">
            <v>8600000.0000003632</v>
          </cell>
        </row>
        <row r="29">
          <cell r="C29">
            <v>-10000</v>
          </cell>
          <cell r="D29">
            <v>0</v>
          </cell>
          <cell r="E29">
            <v>8000000</v>
          </cell>
          <cell r="F29">
            <v>0</v>
          </cell>
          <cell r="G29">
            <v>0</v>
          </cell>
          <cell r="H29">
            <v>-72999.999999998836</v>
          </cell>
          <cell r="I29">
            <v>7899999.9999996359</v>
          </cell>
        </row>
        <row r="30">
          <cell r="C30">
            <v>10000</v>
          </cell>
          <cell r="D30">
            <v>0</v>
          </cell>
          <cell r="E30">
            <v>10000000</v>
          </cell>
          <cell r="F30">
            <v>0</v>
          </cell>
          <cell r="G30">
            <v>0</v>
          </cell>
          <cell r="H30">
            <v>10000</v>
          </cell>
          <cell r="I30">
            <v>9200000.0000007283</v>
          </cell>
        </row>
        <row r="31">
          <cell r="C31">
            <v>0</v>
          </cell>
          <cell r="D31">
            <v>0</v>
          </cell>
          <cell r="E31">
            <v>11000000</v>
          </cell>
          <cell r="F31">
            <v>0</v>
          </cell>
          <cell r="G31">
            <v>0</v>
          </cell>
          <cell r="H31">
            <v>0</v>
          </cell>
          <cell r="I31">
            <v>10099999.999999454</v>
          </cell>
        </row>
        <row r="32">
          <cell r="C32">
            <v>0</v>
          </cell>
          <cell r="D32">
            <v>0</v>
          </cell>
          <cell r="E32">
            <v>11000000</v>
          </cell>
          <cell r="F32">
            <v>0</v>
          </cell>
          <cell r="G32">
            <v>0</v>
          </cell>
          <cell r="H32">
            <v>-357000.00000000285</v>
          </cell>
          <cell r="I32">
            <v>10199999.999999817</v>
          </cell>
        </row>
        <row r="33">
          <cell r="C33">
            <v>0</v>
          </cell>
          <cell r="D33">
            <v>0</v>
          </cell>
          <cell r="E33">
            <v>9000000</v>
          </cell>
          <cell r="F33">
            <v>0</v>
          </cell>
          <cell r="G33">
            <v>0</v>
          </cell>
          <cell r="H33">
            <v>-136999.99999999691</v>
          </cell>
          <cell r="I33">
            <v>9300000.0000001825</v>
          </cell>
        </row>
        <row r="34">
          <cell r="C34">
            <v>0</v>
          </cell>
          <cell r="D34">
            <v>0</v>
          </cell>
          <cell r="E34">
            <v>9000000</v>
          </cell>
          <cell r="F34">
            <v>0</v>
          </cell>
          <cell r="G34">
            <v>0</v>
          </cell>
          <cell r="H34">
            <v>0</v>
          </cell>
          <cell r="I34">
            <v>9400000.0000005458</v>
          </cell>
        </row>
        <row r="259">
          <cell r="D259">
            <v>479000.00000000099</v>
          </cell>
          <cell r="H259">
            <v>0</v>
          </cell>
        </row>
        <row r="260">
          <cell r="D260">
            <v>373999.99999999878</v>
          </cell>
          <cell r="H260">
            <v>0</v>
          </cell>
        </row>
        <row r="261">
          <cell r="D261">
            <v>383000.00000000087</v>
          </cell>
          <cell r="H261">
            <v>0</v>
          </cell>
        </row>
        <row r="262">
          <cell r="D262">
            <v>570000.00000000023</v>
          </cell>
          <cell r="H262">
            <v>0</v>
          </cell>
        </row>
        <row r="263">
          <cell r="D263">
            <v>411999.99999999901</v>
          </cell>
          <cell r="H263">
            <v>0</v>
          </cell>
        </row>
        <row r="264">
          <cell r="D264">
            <v>446000.00000000151</v>
          </cell>
          <cell r="H264">
            <v>0</v>
          </cell>
        </row>
        <row r="265">
          <cell r="D265">
            <v>403999.99999999994</v>
          </cell>
          <cell r="H265">
            <v>0</v>
          </cell>
        </row>
        <row r="266">
          <cell r="D266">
            <v>544000.00000000047</v>
          </cell>
          <cell r="H266">
            <v>0</v>
          </cell>
        </row>
        <row r="267">
          <cell r="D267">
            <v>489999.99999999843</v>
          </cell>
          <cell r="H267">
            <v>0</v>
          </cell>
        </row>
        <row r="268">
          <cell r="D268">
            <v>344000.00000000122</v>
          </cell>
          <cell r="H268">
            <v>0</v>
          </cell>
        </row>
        <row r="269">
          <cell r="D269">
            <v>246999.99999999988</v>
          </cell>
          <cell r="H269">
            <v>0</v>
          </cell>
        </row>
        <row r="270">
          <cell r="D270">
            <v>64000.000000000058</v>
          </cell>
          <cell r="H270">
            <v>0</v>
          </cell>
        </row>
        <row r="271">
          <cell r="D271">
            <v>0</v>
          </cell>
          <cell r="H271">
            <v>0</v>
          </cell>
        </row>
        <row r="272">
          <cell r="D272">
            <v>134000.00000000035</v>
          </cell>
          <cell r="H272">
            <v>0</v>
          </cell>
        </row>
        <row r="273">
          <cell r="D273">
            <v>165999.99999999683</v>
          </cell>
          <cell r="H273">
            <v>311789</v>
          </cell>
        </row>
        <row r="274">
          <cell r="D274">
            <v>378000.00000000012</v>
          </cell>
          <cell r="H274">
            <v>329528</v>
          </cell>
        </row>
        <row r="275">
          <cell r="D275">
            <v>284000.00000000244</v>
          </cell>
          <cell r="H275">
            <v>333900</v>
          </cell>
        </row>
        <row r="276">
          <cell r="D276">
            <v>108999.99999999821</v>
          </cell>
          <cell r="H276">
            <v>527507</v>
          </cell>
        </row>
        <row r="277">
          <cell r="D277">
            <v>0</v>
          </cell>
          <cell r="H277">
            <v>576993</v>
          </cell>
        </row>
        <row r="278">
          <cell r="D278">
            <v>0</v>
          </cell>
          <cell r="H278">
            <v>307710</v>
          </cell>
        </row>
        <row r="279">
          <cell r="D279">
            <v>0</v>
          </cell>
          <cell r="H279">
            <v>359160</v>
          </cell>
        </row>
        <row r="280">
          <cell r="D280">
            <v>0</v>
          </cell>
          <cell r="H280">
            <v>328665</v>
          </cell>
        </row>
        <row r="281">
          <cell r="D281">
            <v>220000.00000000242</v>
          </cell>
          <cell r="H281">
            <v>479110</v>
          </cell>
        </row>
        <row r="282">
          <cell r="D282">
            <v>0</v>
          </cell>
          <cell r="H282">
            <v>310952</v>
          </cell>
        </row>
        <row r="283">
          <cell r="D283">
            <v>134999.99999999802</v>
          </cell>
          <cell r="H283">
            <v>370604</v>
          </cell>
        </row>
        <row r="284">
          <cell r="D284">
            <v>62999.999999998836</v>
          </cell>
          <cell r="H284">
            <v>440589</v>
          </cell>
        </row>
        <row r="285">
          <cell r="D285">
            <v>0</v>
          </cell>
          <cell r="H285">
            <v>67831</v>
          </cell>
        </row>
        <row r="286">
          <cell r="D286">
            <v>0</v>
          </cell>
          <cell r="H286">
            <v>430332</v>
          </cell>
        </row>
        <row r="287">
          <cell r="D287">
            <v>357000.00000000285</v>
          </cell>
          <cell r="H287">
            <v>300939</v>
          </cell>
        </row>
        <row r="288">
          <cell r="D288">
            <v>136999.99999999691</v>
          </cell>
          <cell r="H288">
            <v>77828</v>
          </cell>
        </row>
        <row r="289">
          <cell r="D289">
            <v>0</v>
          </cell>
          <cell r="H289">
            <v>403659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Ap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10000000</v>
          </cell>
          <cell r="F4">
            <v>0</v>
          </cell>
          <cell r="G4">
            <v>0</v>
          </cell>
          <cell r="H4">
            <v>0</v>
          </cell>
          <cell r="I4">
            <v>9299999.9999992717</v>
          </cell>
        </row>
        <row r="5">
          <cell r="C5">
            <v>0</v>
          </cell>
          <cell r="D5">
            <v>0</v>
          </cell>
          <cell r="E5">
            <v>10000000</v>
          </cell>
          <cell r="F5">
            <v>0</v>
          </cell>
          <cell r="G5">
            <v>0</v>
          </cell>
          <cell r="H5">
            <v>0</v>
          </cell>
          <cell r="I5">
            <v>9500000</v>
          </cell>
        </row>
        <row r="6">
          <cell r="C6">
            <v>0</v>
          </cell>
          <cell r="D6">
            <v>0</v>
          </cell>
          <cell r="E6">
            <v>9000000</v>
          </cell>
          <cell r="F6">
            <v>0</v>
          </cell>
          <cell r="G6">
            <v>0</v>
          </cell>
          <cell r="H6">
            <v>0</v>
          </cell>
          <cell r="I6">
            <v>9500000</v>
          </cell>
        </row>
        <row r="7">
          <cell r="C7">
            <v>0</v>
          </cell>
          <cell r="D7">
            <v>0</v>
          </cell>
          <cell r="E7">
            <v>11000000</v>
          </cell>
          <cell r="F7">
            <v>0</v>
          </cell>
          <cell r="G7">
            <v>0</v>
          </cell>
          <cell r="H7">
            <v>0</v>
          </cell>
          <cell r="I7">
            <v>10200000.000000728</v>
          </cell>
        </row>
        <row r="8">
          <cell r="C8">
            <v>0</v>
          </cell>
          <cell r="D8">
            <v>0</v>
          </cell>
          <cell r="E8">
            <v>10000000</v>
          </cell>
          <cell r="F8">
            <v>0</v>
          </cell>
          <cell r="G8">
            <v>0</v>
          </cell>
          <cell r="H8">
            <v>0</v>
          </cell>
          <cell r="I8">
            <v>10199999.999999817</v>
          </cell>
        </row>
        <row r="9">
          <cell r="C9">
            <v>0</v>
          </cell>
          <cell r="D9">
            <v>0</v>
          </cell>
          <cell r="E9">
            <v>12000000</v>
          </cell>
          <cell r="F9">
            <v>0</v>
          </cell>
          <cell r="G9">
            <v>0</v>
          </cell>
          <cell r="H9">
            <v>0</v>
          </cell>
          <cell r="I9">
            <v>10000000</v>
          </cell>
        </row>
        <row r="10">
          <cell r="C10">
            <v>0</v>
          </cell>
          <cell r="D10">
            <v>16000</v>
          </cell>
          <cell r="E10">
            <v>9000000</v>
          </cell>
          <cell r="F10">
            <v>0</v>
          </cell>
          <cell r="G10">
            <v>0</v>
          </cell>
          <cell r="H10">
            <v>16000</v>
          </cell>
          <cell r="I10">
            <v>8899999.9999996368</v>
          </cell>
        </row>
        <row r="11">
          <cell r="C11">
            <v>0</v>
          </cell>
          <cell r="D11">
            <v>16000</v>
          </cell>
          <cell r="E11">
            <v>9000000</v>
          </cell>
          <cell r="F11">
            <v>0</v>
          </cell>
          <cell r="G11">
            <v>0</v>
          </cell>
          <cell r="H11">
            <v>16000</v>
          </cell>
          <cell r="I11">
            <v>9300000.0000001825</v>
          </cell>
        </row>
        <row r="12">
          <cell r="C12">
            <v>0</v>
          </cell>
          <cell r="D12">
            <v>0</v>
          </cell>
          <cell r="E12">
            <v>12000000</v>
          </cell>
          <cell r="F12">
            <v>0</v>
          </cell>
          <cell r="G12">
            <v>0</v>
          </cell>
          <cell r="H12">
            <v>0</v>
          </cell>
          <cell r="I12">
            <v>9899999.9999996368</v>
          </cell>
        </row>
        <row r="13">
          <cell r="C13">
            <v>0</v>
          </cell>
          <cell r="D13">
            <v>0</v>
          </cell>
          <cell r="E13">
            <v>10000000</v>
          </cell>
          <cell r="F13">
            <v>0</v>
          </cell>
          <cell r="G13">
            <v>0</v>
          </cell>
          <cell r="H13">
            <v>0</v>
          </cell>
          <cell r="I13">
            <v>10700000.000000728</v>
          </cell>
        </row>
        <row r="14">
          <cell r="C14">
            <v>0</v>
          </cell>
          <cell r="D14">
            <v>0</v>
          </cell>
          <cell r="E14">
            <v>13000000</v>
          </cell>
          <cell r="F14">
            <v>0</v>
          </cell>
          <cell r="G14">
            <v>0</v>
          </cell>
          <cell r="H14">
            <v>0</v>
          </cell>
          <cell r="I14">
            <v>11799999.999999272</v>
          </cell>
        </row>
        <row r="15">
          <cell r="C15">
            <v>0</v>
          </cell>
          <cell r="D15">
            <v>0</v>
          </cell>
          <cell r="E15">
            <v>12000000</v>
          </cell>
          <cell r="F15">
            <v>0</v>
          </cell>
          <cell r="G15">
            <v>0</v>
          </cell>
          <cell r="H15">
            <v>0</v>
          </cell>
          <cell r="I15">
            <v>11700000.000000728</v>
          </cell>
        </row>
        <row r="16">
          <cell r="C16">
            <v>0</v>
          </cell>
          <cell r="D16">
            <v>0</v>
          </cell>
          <cell r="E16">
            <v>9000000</v>
          </cell>
          <cell r="F16">
            <v>2000000</v>
          </cell>
          <cell r="G16">
            <v>0</v>
          </cell>
          <cell r="H16">
            <v>0</v>
          </cell>
          <cell r="I16">
            <v>11399999.999999637</v>
          </cell>
        </row>
        <row r="17">
          <cell r="C17">
            <v>0</v>
          </cell>
          <cell r="D17">
            <v>0</v>
          </cell>
          <cell r="E17">
            <v>7000000</v>
          </cell>
          <cell r="F17">
            <v>5000000</v>
          </cell>
          <cell r="G17">
            <v>0</v>
          </cell>
          <cell r="H17">
            <v>0</v>
          </cell>
          <cell r="I17">
            <v>11300000.000000183</v>
          </cell>
        </row>
        <row r="18">
          <cell r="C18">
            <v>0</v>
          </cell>
          <cell r="D18">
            <v>0</v>
          </cell>
          <cell r="E18">
            <v>8000000</v>
          </cell>
          <cell r="F18">
            <v>5000000</v>
          </cell>
          <cell r="G18">
            <v>0</v>
          </cell>
          <cell r="H18">
            <v>0</v>
          </cell>
          <cell r="I18">
            <v>12500000</v>
          </cell>
        </row>
        <row r="19">
          <cell r="C19">
            <v>0</v>
          </cell>
          <cell r="D19">
            <v>0</v>
          </cell>
          <cell r="E19">
            <v>8000000</v>
          </cell>
          <cell r="F19">
            <v>5000000</v>
          </cell>
          <cell r="G19">
            <v>0</v>
          </cell>
          <cell r="H19">
            <v>0</v>
          </cell>
          <cell r="I19">
            <v>12300000.000000183</v>
          </cell>
        </row>
        <row r="20">
          <cell r="C20">
            <v>0</v>
          </cell>
          <cell r="D20">
            <v>0</v>
          </cell>
          <cell r="E20">
            <v>7000000</v>
          </cell>
          <cell r="F20">
            <v>5000000</v>
          </cell>
          <cell r="G20">
            <v>0</v>
          </cell>
          <cell r="H20">
            <v>0</v>
          </cell>
          <cell r="I20">
            <v>11500000</v>
          </cell>
        </row>
        <row r="21">
          <cell r="C21">
            <v>0</v>
          </cell>
          <cell r="D21">
            <v>0</v>
          </cell>
          <cell r="E21">
            <v>8000000</v>
          </cell>
          <cell r="F21">
            <v>5000000</v>
          </cell>
          <cell r="G21">
            <v>0</v>
          </cell>
          <cell r="H21">
            <v>0</v>
          </cell>
          <cell r="I21">
            <v>12699999.999999817</v>
          </cell>
        </row>
        <row r="22">
          <cell r="C22">
            <v>0</v>
          </cell>
          <cell r="D22">
            <v>0</v>
          </cell>
          <cell r="E22">
            <v>10000000</v>
          </cell>
          <cell r="F22">
            <v>5000000</v>
          </cell>
          <cell r="G22">
            <v>0</v>
          </cell>
          <cell r="H22">
            <v>0</v>
          </cell>
          <cell r="I22">
            <v>14899999.999999637</v>
          </cell>
        </row>
        <row r="23">
          <cell r="C23">
            <v>0</v>
          </cell>
          <cell r="D23">
            <v>0</v>
          </cell>
          <cell r="E23">
            <v>9000000</v>
          </cell>
          <cell r="F23">
            <v>5000000</v>
          </cell>
          <cell r="G23">
            <v>0</v>
          </cell>
          <cell r="H23">
            <v>0</v>
          </cell>
          <cell r="I23">
            <v>13699999.999999817</v>
          </cell>
        </row>
        <row r="24">
          <cell r="C24">
            <v>0</v>
          </cell>
          <cell r="D24">
            <v>0</v>
          </cell>
          <cell r="E24">
            <v>8000000</v>
          </cell>
          <cell r="F24">
            <v>5000000</v>
          </cell>
          <cell r="G24">
            <v>0</v>
          </cell>
          <cell r="H24">
            <v>0</v>
          </cell>
          <cell r="I24">
            <v>12000000</v>
          </cell>
        </row>
        <row r="25">
          <cell r="C25">
            <v>0</v>
          </cell>
          <cell r="D25">
            <v>0</v>
          </cell>
          <cell r="E25">
            <v>8000000</v>
          </cell>
          <cell r="F25">
            <v>5000000</v>
          </cell>
          <cell r="G25">
            <v>0</v>
          </cell>
          <cell r="H25">
            <v>-10000</v>
          </cell>
          <cell r="I25">
            <v>12700000.000000728</v>
          </cell>
        </row>
        <row r="26">
          <cell r="C26">
            <v>0</v>
          </cell>
          <cell r="D26">
            <v>0</v>
          </cell>
          <cell r="E26">
            <v>6000000</v>
          </cell>
          <cell r="F26">
            <v>5000000</v>
          </cell>
          <cell r="G26">
            <v>0</v>
          </cell>
          <cell r="H26">
            <v>0</v>
          </cell>
          <cell r="I26">
            <v>10399999.999999637</v>
          </cell>
        </row>
        <row r="27">
          <cell r="C27">
            <v>0</v>
          </cell>
          <cell r="D27">
            <v>0</v>
          </cell>
          <cell r="E27">
            <v>7000000</v>
          </cell>
          <cell r="F27">
            <v>5000000</v>
          </cell>
          <cell r="G27">
            <v>0</v>
          </cell>
          <cell r="H27">
            <v>0</v>
          </cell>
          <cell r="I27">
            <v>10500000</v>
          </cell>
        </row>
        <row r="28">
          <cell r="C28">
            <v>0</v>
          </cell>
          <cell r="D28">
            <v>0</v>
          </cell>
          <cell r="E28">
            <v>6000000</v>
          </cell>
          <cell r="F28">
            <v>5000000</v>
          </cell>
          <cell r="G28">
            <v>0</v>
          </cell>
          <cell r="H28">
            <v>0</v>
          </cell>
          <cell r="I28">
            <v>11600000.000000363</v>
          </cell>
        </row>
        <row r="29">
          <cell r="C29">
            <v>11000</v>
          </cell>
          <cell r="D29">
            <v>0</v>
          </cell>
          <cell r="E29">
            <v>7000000</v>
          </cell>
          <cell r="F29">
            <v>5000000</v>
          </cell>
          <cell r="G29">
            <v>0</v>
          </cell>
          <cell r="H29">
            <v>11000</v>
          </cell>
          <cell r="I29">
            <v>11099999.999999454</v>
          </cell>
        </row>
        <row r="30">
          <cell r="C30">
            <v>0</v>
          </cell>
          <cell r="D30">
            <v>0</v>
          </cell>
          <cell r="E30">
            <v>6000000</v>
          </cell>
          <cell r="F30">
            <v>5000000</v>
          </cell>
          <cell r="G30">
            <v>0</v>
          </cell>
          <cell r="H30">
            <v>0</v>
          </cell>
          <cell r="I30">
            <v>10699999.999999817</v>
          </cell>
        </row>
        <row r="31">
          <cell r="C31">
            <v>0</v>
          </cell>
          <cell r="D31">
            <v>0</v>
          </cell>
          <cell r="E31">
            <v>8000000</v>
          </cell>
          <cell r="F31">
            <v>5000000</v>
          </cell>
          <cell r="G31">
            <v>0</v>
          </cell>
          <cell r="H31">
            <v>0</v>
          </cell>
          <cell r="I31">
            <v>12100000.000000363</v>
          </cell>
        </row>
        <row r="32">
          <cell r="C32">
            <v>0</v>
          </cell>
          <cell r="D32">
            <v>0</v>
          </cell>
          <cell r="E32">
            <v>7000000</v>
          </cell>
          <cell r="F32">
            <v>4000000</v>
          </cell>
          <cell r="G32">
            <v>0</v>
          </cell>
          <cell r="H32">
            <v>0</v>
          </cell>
          <cell r="I32">
            <v>10800000.000000183</v>
          </cell>
        </row>
        <row r="33">
          <cell r="C33">
            <v>8000</v>
          </cell>
          <cell r="D33">
            <v>0</v>
          </cell>
          <cell r="E33">
            <v>6000000</v>
          </cell>
          <cell r="F33">
            <v>5000000</v>
          </cell>
          <cell r="G33">
            <v>0</v>
          </cell>
          <cell r="H33">
            <v>8000</v>
          </cell>
          <cell r="I33">
            <v>11599999.999999454</v>
          </cell>
        </row>
        <row r="252">
          <cell r="D252">
            <v>0</v>
          </cell>
          <cell r="H252">
            <v>386079</v>
          </cell>
        </row>
        <row r="253">
          <cell r="D253">
            <v>0</v>
          </cell>
          <cell r="H253">
            <v>330952</v>
          </cell>
        </row>
        <row r="254">
          <cell r="D254">
            <v>0</v>
          </cell>
          <cell r="H254">
            <v>327493</v>
          </cell>
        </row>
        <row r="255">
          <cell r="D255">
            <v>0</v>
          </cell>
          <cell r="H255">
            <v>310927</v>
          </cell>
        </row>
        <row r="256">
          <cell r="D256">
            <v>-11999.999999996902</v>
          </cell>
          <cell r="H256">
            <v>433115</v>
          </cell>
        </row>
        <row r="257">
          <cell r="D257">
            <v>0</v>
          </cell>
          <cell r="H257">
            <v>429378</v>
          </cell>
        </row>
        <row r="258">
          <cell r="D258">
            <v>0</v>
          </cell>
          <cell r="H258">
            <v>55220</v>
          </cell>
        </row>
        <row r="259">
          <cell r="D259">
            <v>0</v>
          </cell>
          <cell r="H259">
            <v>55761</v>
          </cell>
        </row>
        <row r="260">
          <cell r="D260">
            <v>0</v>
          </cell>
          <cell r="H260">
            <v>476527</v>
          </cell>
        </row>
        <row r="261">
          <cell r="D261">
            <v>0</v>
          </cell>
          <cell r="H261">
            <v>475880</v>
          </cell>
        </row>
        <row r="262">
          <cell r="D262">
            <v>0</v>
          </cell>
          <cell r="H262">
            <v>476314</v>
          </cell>
        </row>
        <row r="263">
          <cell r="D263">
            <v>0</v>
          </cell>
          <cell r="H263">
            <v>105702</v>
          </cell>
        </row>
        <row r="264">
          <cell r="D264">
            <v>0</v>
          </cell>
          <cell r="H264">
            <v>105369</v>
          </cell>
        </row>
        <row r="265">
          <cell r="D265">
            <v>0</v>
          </cell>
          <cell r="H265">
            <v>432616</v>
          </cell>
        </row>
        <row r="266">
          <cell r="D266">
            <v>0</v>
          </cell>
          <cell r="H266">
            <v>477136</v>
          </cell>
        </row>
        <row r="267">
          <cell r="D267">
            <v>0</v>
          </cell>
          <cell r="H267">
            <v>133282</v>
          </cell>
        </row>
        <row r="268">
          <cell r="D268">
            <v>0</v>
          </cell>
          <cell r="H268">
            <v>90020</v>
          </cell>
        </row>
        <row r="269">
          <cell r="D269">
            <v>0</v>
          </cell>
          <cell r="H269">
            <v>119135</v>
          </cell>
        </row>
        <row r="270">
          <cell r="D270">
            <v>0</v>
          </cell>
          <cell r="H270">
            <v>931086</v>
          </cell>
        </row>
        <row r="271">
          <cell r="D271">
            <v>0</v>
          </cell>
          <cell r="H271">
            <v>554680</v>
          </cell>
        </row>
        <row r="272">
          <cell r="D272">
            <v>0</v>
          </cell>
          <cell r="H272">
            <v>100841</v>
          </cell>
        </row>
        <row r="273">
          <cell r="D273">
            <v>10000</v>
          </cell>
          <cell r="H273">
            <v>113602</v>
          </cell>
        </row>
        <row r="274">
          <cell r="D274">
            <v>0</v>
          </cell>
          <cell r="H274">
            <v>359394</v>
          </cell>
        </row>
        <row r="275">
          <cell r="D275">
            <v>0</v>
          </cell>
          <cell r="H275">
            <v>358808</v>
          </cell>
        </row>
        <row r="276">
          <cell r="D276">
            <v>0</v>
          </cell>
          <cell r="H276">
            <v>443943</v>
          </cell>
        </row>
        <row r="277">
          <cell r="D277">
            <v>0</v>
          </cell>
          <cell r="H277">
            <v>91524</v>
          </cell>
        </row>
        <row r="278">
          <cell r="D278">
            <v>0</v>
          </cell>
          <cell r="H278">
            <v>59174</v>
          </cell>
        </row>
        <row r="279">
          <cell r="D279">
            <v>0</v>
          </cell>
          <cell r="H279">
            <v>712850</v>
          </cell>
        </row>
        <row r="280">
          <cell r="D280">
            <v>0</v>
          </cell>
          <cell r="H280">
            <v>487402</v>
          </cell>
        </row>
        <row r="281">
          <cell r="D281">
            <v>0</v>
          </cell>
          <cell r="H281">
            <v>83509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y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11000</v>
          </cell>
          <cell r="D4">
            <v>0</v>
          </cell>
          <cell r="E4">
            <v>7000000</v>
          </cell>
          <cell r="F4">
            <v>5000000</v>
          </cell>
          <cell r="G4">
            <v>0</v>
          </cell>
          <cell r="H4">
            <v>10000</v>
          </cell>
          <cell r="I4">
            <v>11500000</v>
          </cell>
        </row>
        <row r="5">
          <cell r="C5">
            <v>0</v>
          </cell>
          <cell r="D5">
            <v>0</v>
          </cell>
          <cell r="E5">
            <v>9000000</v>
          </cell>
          <cell r="F5">
            <v>6000000</v>
          </cell>
          <cell r="G5">
            <v>0</v>
          </cell>
          <cell r="H5">
            <v>0</v>
          </cell>
          <cell r="I5">
            <v>14400000.000000546</v>
          </cell>
        </row>
        <row r="6">
          <cell r="C6">
            <v>0</v>
          </cell>
          <cell r="D6">
            <v>0</v>
          </cell>
          <cell r="E6">
            <v>9000000</v>
          </cell>
          <cell r="F6">
            <v>4000000</v>
          </cell>
          <cell r="G6">
            <v>0</v>
          </cell>
          <cell r="H6">
            <v>0</v>
          </cell>
          <cell r="I6">
            <v>12300000.000000183</v>
          </cell>
        </row>
        <row r="7">
          <cell r="C7">
            <v>20000</v>
          </cell>
          <cell r="D7">
            <v>0</v>
          </cell>
          <cell r="E7">
            <v>8000000</v>
          </cell>
          <cell r="F7">
            <v>6000000</v>
          </cell>
          <cell r="G7">
            <v>0</v>
          </cell>
          <cell r="H7">
            <v>20000</v>
          </cell>
          <cell r="I7">
            <v>14099999.999999454</v>
          </cell>
        </row>
        <row r="8">
          <cell r="C8">
            <v>0</v>
          </cell>
          <cell r="D8">
            <v>0</v>
          </cell>
          <cell r="E8">
            <v>8000000</v>
          </cell>
          <cell r="F8">
            <v>9000000</v>
          </cell>
          <cell r="G8">
            <v>0</v>
          </cell>
          <cell r="H8">
            <v>0</v>
          </cell>
          <cell r="I8">
            <v>15900000.000000546</v>
          </cell>
        </row>
        <row r="9">
          <cell r="C9">
            <v>0</v>
          </cell>
          <cell r="D9">
            <v>0</v>
          </cell>
          <cell r="E9">
            <v>8000000</v>
          </cell>
          <cell r="F9">
            <v>8000000</v>
          </cell>
          <cell r="G9">
            <v>0</v>
          </cell>
          <cell r="H9">
            <v>0</v>
          </cell>
          <cell r="I9">
            <v>15599999.999999454</v>
          </cell>
        </row>
        <row r="10">
          <cell r="C10">
            <v>0</v>
          </cell>
          <cell r="D10">
            <v>0</v>
          </cell>
          <cell r="E10">
            <v>8000000</v>
          </cell>
          <cell r="F10">
            <v>6000000</v>
          </cell>
          <cell r="G10">
            <v>0</v>
          </cell>
          <cell r="H10">
            <v>0</v>
          </cell>
          <cell r="I10">
            <v>13400000.000000546</v>
          </cell>
        </row>
        <row r="11">
          <cell r="C11">
            <v>0</v>
          </cell>
          <cell r="D11">
            <v>0</v>
          </cell>
          <cell r="E11">
            <v>10000000</v>
          </cell>
          <cell r="F11">
            <v>5000000</v>
          </cell>
          <cell r="G11">
            <v>0</v>
          </cell>
          <cell r="H11">
            <v>0</v>
          </cell>
          <cell r="I11">
            <v>15000000</v>
          </cell>
        </row>
        <row r="12">
          <cell r="C12">
            <v>0</v>
          </cell>
          <cell r="D12">
            <v>0</v>
          </cell>
          <cell r="E12">
            <v>12000000</v>
          </cell>
          <cell r="F12">
            <v>5000000</v>
          </cell>
          <cell r="G12">
            <v>0</v>
          </cell>
          <cell r="H12">
            <v>0</v>
          </cell>
          <cell r="I12">
            <v>16299999.999999272</v>
          </cell>
        </row>
        <row r="13">
          <cell r="C13">
            <v>0</v>
          </cell>
          <cell r="D13">
            <v>0</v>
          </cell>
          <cell r="E13">
            <v>13000000</v>
          </cell>
          <cell r="F13">
            <v>5000000</v>
          </cell>
          <cell r="G13">
            <v>0</v>
          </cell>
          <cell r="H13">
            <v>11000</v>
          </cell>
          <cell r="I13">
            <v>17900000.000000544</v>
          </cell>
        </row>
        <row r="14">
          <cell r="C14">
            <v>0</v>
          </cell>
          <cell r="D14">
            <v>0</v>
          </cell>
          <cell r="E14">
            <v>13000000</v>
          </cell>
          <cell r="F14">
            <v>5000000</v>
          </cell>
          <cell r="G14">
            <v>0</v>
          </cell>
          <cell r="H14">
            <v>0</v>
          </cell>
          <cell r="I14">
            <v>15300000.000000183</v>
          </cell>
        </row>
        <row r="15">
          <cell r="C15">
            <v>0</v>
          </cell>
          <cell r="D15">
            <v>0</v>
          </cell>
          <cell r="E15">
            <v>5000000</v>
          </cell>
          <cell r="F15">
            <v>5000000</v>
          </cell>
          <cell r="G15">
            <v>0</v>
          </cell>
          <cell r="H15">
            <v>-150000</v>
          </cell>
          <cell r="I15">
            <v>10799999.999999272</v>
          </cell>
        </row>
        <row r="16">
          <cell r="C16">
            <v>0</v>
          </cell>
          <cell r="D16">
            <v>0</v>
          </cell>
          <cell r="E16">
            <v>6000000</v>
          </cell>
          <cell r="F16">
            <v>5000000</v>
          </cell>
          <cell r="G16">
            <v>0</v>
          </cell>
          <cell r="H16">
            <v>-143000</v>
          </cell>
          <cell r="I16">
            <v>11000000</v>
          </cell>
        </row>
        <row r="17">
          <cell r="C17">
            <v>0</v>
          </cell>
          <cell r="D17">
            <v>0</v>
          </cell>
          <cell r="E17">
            <v>7000000</v>
          </cell>
          <cell r="F17">
            <v>5000000</v>
          </cell>
          <cell r="G17">
            <v>0</v>
          </cell>
          <cell r="H17">
            <v>-7000.0000000000064</v>
          </cell>
          <cell r="I17">
            <v>11600000.000000363</v>
          </cell>
        </row>
        <row r="18">
          <cell r="C18">
            <v>0</v>
          </cell>
          <cell r="D18">
            <v>0</v>
          </cell>
          <cell r="E18">
            <v>7000000</v>
          </cell>
          <cell r="F18">
            <v>5000000</v>
          </cell>
          <cell r="G18">
            <v>0</v>
          </cell>
          <cell r="H18">
            <v>0</v>
          </cell>
          <cell r="I18">
            <v>11500000</v>
          </cell>
        </row>
        <row r="19">
          <cell r="C19">
            <v>0</v>
          </cell>
          <cell r="D19">
            <v>0</v>
          </cell>
          <cell r="E19">
            <v>8000000</v>
          </cell>
          <cell r="F19">
            <v>5000000</v>
          </cell>
          <cell r="G19">
            <v>0</v>
          </cell>
          <cell r="H19">
            <v>0</v>
          </cell>
          <cell r="I19">
            <v>13399999.999999637</v>
          </cell>
        </row>
        <row r="20">
          <cell r="C20">
            <v>97000</v>
          </cell>
          <cell r="D20">
            <v>0</v>
          </cell>
          <cell r="E20">
            <v>11000000</v>
          </cell>
          <cell r="F20">
            <v>5000000</v>
          </cell>
          <cell r="G20">
            <v>0</v>
          </cell>
          <cell r="H20">
            <v>104000</v>
          </cell>
          <cell r="I20">
            <v>14700000.000000728</v>
          </cell>
        </row>
        <row r="21">
          <cell r="C21">
            <v>60000</v>
          </cell>
          <cell r="D21">
            <v>0</v>
          </cell>
          <cell r="E21">
            <v>12000000</v>
          </cell>
          <cell r="F21">
            <v>5000000</v>
          </cell>
          <cell r="G21">
            <v>0</v>
          </cell>
          <cell r="H21">
            <v>44999.999999999985</v>
          </cell>
          <cell r="I21">
            <v>16799999.999999274</v>
          </cell>
        </row>
        <row r="22">
          <cell r="C22">
            <v>898000</v>
          </cell>
          <cell r="D22">
            <v>0</v>
          </cell>
          <cell r="E22">
            <v>9000000</v>
          </cell>
          <cell r="F22">
            <v>5000000</v>
          </cell>
          <cell r="G22">
            <v>0</v>
          </cell>
          <cell r="H22">
            <v>636000</v>
          </cell>
          <cell r="I22">
            <v>13600000.000000363</v>
          </cell>
        </row>
        <row r="23">
          <cell r="C23">
            <v>1483000</v>
          </cell>
          <cell r="D23">
            <v>0</v>
          </cell>
          <cell r="E23">
            <v>10000000</v>
          </cell>
          <cell r="F23">
            <v>5000000</v>
          </cell>
          <cell r="G23">
            <v>0</v>
          </cell>
          <cell r="H23">
            <v>1379000</v>
          </cell>
          <cell r="I23">
            <v>14399999.999999637</v>
          </cell>
        </row>
        <row r="24">
          <cell r="C24">
            <v>2564000</v>
          </cell>
          <cell r="D24">
            <v>0</v>
          </cell>
          <cell r="E24">
            <v>12000000</v>
          </cell>
          <cell r="F24">
            <v>3000000</v>
          </cell>
          <cell r="G24">
            <v>0</v>
          </cell>
          <cell r="H24">
            <v>2515000</v>
          </cell>
          <cell r="I24">
            <v>14300000.000000183</v>
          </cell>
        </row>
        <row r="25">
          <cell r="C25">
            <v>5049000</v>
          </cell>
          <cell r="D25">
            <v>0</v>
          </cell>
          <cell r="E25">
            <v>15000000</v>
          </cell>
          <cell r="F25">
            <v>0</v>
          </cell>
          <cell r="G25">
            <v>0</v>
          </cell>
          <cell r="H25">
            <v>4671000</v>
          </cell>
          <cell r="I25">
            <v>15000000</v>
          </cell>
        </row>
        <row r="26">
          <cell r="C26">
            <v>5015000</v>
          </cell>
          <cell r="D26">
            <v>0</v>
          </cell>
          <cell r="E26">
            <v>16000000</v>
          </cell>
          <cell r="F26">
            <v>0</v>
          </cell>
          <cell r="G26">
            <v>0</v>
          </cell>
          <cell r="H26">
            <v>4730000</v>
          </cell>
          <cell r="I26">
            <v>15000000</v>
          </cell>
        </row>
        <row r="27">
          <cell r="C27">
            <v>4953000</v>
          </cell>
          <cell r="D27">
            <v>0</v>
          </cell>
          <cell r="E27">
            <v>16000000</v>
          </cell>
          <cell r="F27">
            <v>0</v>
          </cell>
          <cell r="G27">
            <v>0</v>
          </cell>
          <cell r="H27">
            <v>4668000</v>
          </cell>
          <cell r="I27">
            <v>15000000</v>
          </cell>
        </row>
        <row r="28">
          <cell r="C28">
            <v>5008000</v>
          </cell>
          <cell r="D28">
            <v>0</v>
          </cell>
          <cell r="E28">
            <v>14000000</v>
          </cell>
          <cell r="F28">
            <v>0</v>
          </cell>
          <cell r="G28">
            <v>0</v>
          </cell>
          <cell r="H28">
            <v>4696000</v>
          </cell>
          <cell r="I28">
            <v>14900000.000000546</v>
          </cell>
        </row>
        <row r="29">
          <cell r="C29">
            <v>5017000</v>
          </cell>
          <cell r="D29">
            <v>0</v>
          </cell>
          <cell r="E29">
            <v>18000000</v>
          </cell>
          <cell r="F29">
            <v>0</v>
          </cell>
          <cell r="G29">
            <v>0</v>
          </cell>
          <cell r="H29">
            <v>4636000</v>
          </cell>
          <cell r="I29">
            <v>16500000</v>
          </cell>
        </row>
        <row r="30">
          <cell r="C30">
            <v>6334000</v>
          </cell>
          <cell r="D30">
            <v>0</v>
          </cell>
          <cell r="E30">
            <v>15000000</v>
          </cell>
          <cell r="F30">
            <v>0</v>
          </cell>
          <cell r="G30">
            <v>0</v>
          </cell>
          <cell r="H30">
            <v>5865000</v>
          </cell>
          <cell r="I30">
            <v>15299999.999999272</v>
          </cell>
        </row>
        <row r="31">
          <cell r="C31">
            <v>8881000</v>
          </cell>
          <cell r="D31">
            <v>0</v>
          </cell>
          <cell r="E31">
            <v>19000000</v>
          </cell>
          <cell r="F31">
            <v>0</v>
          </cell>
          <cell r="G31">
            <v>0</v>
          </cell>
          <cell r="H31">
            <v>8607000</v>
          </cell>
          <cell r="I31">
            <v>18300000.000000183</v>
          </cell>
        </row>
        <row r="32">
          <cell r="C32">
            <v>7655000</v>
          </cell>
          <cell r="D32">
            <v>0</v>
          </cell>
          <cell r="E32">
            <v>18000000</v>
          </cell>
          <cell r="F32">
            <v>0</v>
          </cell>
          <cell r="G32">
            <v>0</v>
          </cell>
          <cell r="H32">
            <v>7281000</v>
          </cell>
          <cell r="I32">
            <v>17300000.000000183</v>
          </cell>
        </row>
        <row r="33">
          <cell r="C33">
            <v>6997000</v>
          </cell>
          <cell r="D33">
            <v>0</v>
          </cell>
          <cell r="E33">
            <v>15000000</v>
          </cell>
          <cell r="F33">
            <v>0</v>
          </cell>
          <cell r="G33">
            <v>0</v>
          </cell>
          <cell r="H33">
            <v>6435000</v>
          </cell>
          <cell r="I33">
            <v>14699999.999999817</v>
          </cell>
        </row>
        <row r="34">
          <cell r="C34">
            <v>8598000</v>
          </cell>
          <cell r="D34">
            <v>0</v>
          </cell>
          <cell r="E34">
            <v>19000000</v>
          </cell>
          <cell r="F34">
            <v>0</v>
          </cell>
          <cell r="G34">
            <v>0</v>
          </cell>
          <cell r="H34">
            <v>8126000</v>
          </cell>
          <cell r="I34">
            <v>18699999.999999817</v>
          </cell>
        </row>
        <row r="259">
          <cell r="D259">
            <v>999.9999999999992</v>
          </cell>
          <cell r="H259">
            <v>100967</v>
          </cell>
        </row>
        <row r="260">
          <cell r="D260">
            <v>0</v>
          </cell>
          <cell r="H260">
            <v>116289</v>
          </cell>
        </row>
        <row r="261">
          <cell r="D261">
            <v>0</v>
          </cell>
          <cell r="H261">
            <v>427050</v>
          </cell>
        </row>
        <row r="262">
          <cell r="D262">
            <v>0</v>
          </cell>
          <cell r="H262">
            <v>464952</v>
          </cell>
        </row>
        <row r="263">
          <cell r="D263">
            <v>0</v>
          </cell>
          <cell r="H263">
            <v>464044</v>
          </cell>
        </row>
        <row r="264">
          <cell r="D264">
            <v>0</v>
          </cell>
          <cell r="H264">
            <v>463098</v>
          </cell>
        </row>
        <row r="265">
          <cell r="D265">
            <v>0</v>
          </cell>
          <cell r="H265">
            <v>488387</v>
          </cell>
        </row>
        <row r="266">
          <cell r="D266">
            <v>0</v>
          </cell>
          <cell r="H266">
            <v>510110</v>
          </cell>
        </row>
        <row r="267">
          <cell r="D267">
            <v>0</v>
          </cell>
          <cell r="H267">
            <v>580398</v>
          </cell>
        </row>
        <row r="268">
          <cell r="D268">
            <v>-11000</v>
          </cell>
          <cell r="H268">
            <v>372901</v>
          </cell>
        </row>
        <row r="269">
          <cell r="D269">
            <v>0</v>
          </cell>
          <cell r="H269">
            <v>436426</v>
          </cell>
        </row>
        <row r="270">
          <cell r="D270">
            <v>150000</v>
          </cell>
          <cell r="H270">
            <v>302732</v>
          </cell>
        </row>
        <row r="271">
          <cell r="D271">
            <v>143000</v>
          </cell>
          <cell r="H271">
            <v>391206</v>
          </cell>
        </row>
        <row r="272">
          <cell r="D272">
            <v>7000.0000000000064</v>
          </cell>
          <cell r="H272">
            <v>343775</v>
          </cell>
        </row>
        <row r="273">
          <cell r="D273">
            <v>0</v>
          </cell>
          <cell r="H273">
            <v>394499</v>
          </cell>
        </row>
        <row r="274">
          <cell r="D274">
            <v>0</v>
          </cell>
          <cell r="H274">
            <v>385082</v>
          </cell>
        </row>
        <row r="275">
          <cell r="D275">
            <v>-7000.0000000000064</v>
          </cell>
          <cell r="H275">
            <v>456815</v>
          </cell>
        </row>
        <row r="276">
          <cell r="D276">
            <v>15000.000000000013</v>
          </cell>
          <cell r="H276">
            <v>510786</v>
          </cell>
        </row>
        <row r="277">
          <cell r="D277">
            <v>261999.99999999994</v>
          </cell>
          <cell r="H277">
            <v>465469</v>
          </cell>
        </row>
        <row r="278">
          <cell r="D278">
            <v>104000.00000000009</v>
          </cell>
          <cell r="H278">
            <v>498829</v>
          </cell>
        </row>
        <row r="279">
          <cell r="D279">
            <v>48999.999999999935</v>
          </cell>
          <cell r="H279">
            <v>390805</v>
          </cell>
        </row>
        <row r="280">
          <cell r="D280">
            <v>378000</v>
          </cell>
          <cell r="H280">
            <v>482376</v>
          </cell>
        </row>
        <row r="281">
          <cell r="D281">
            <v>284999.99999999994</v>
          </cell>
          <cell r="H281">
            <v>454213</v>
          </cell>
        </row>
        <row r="282">
          <cell r="D282">
            <v>285000.00000000012</v>
          </cell>
          <cell r="H282">
            <v>414440</v>
          </cell>
        </row>
        <row r="283">
          <cell r="D283">
            <v>312000.00000000006</v>
          </cell>
          <cell r="H283">
            <v>316982</v>
          </cell>
        </row>
        <row r="284">
          <cell r="D284">
            <v>380999.99999999977</v>
          </cell>
          <cell r="H284">
            <v>406680</v>
          </cell>
        </row>
        <row r="285">
          <cell r="D285">
            <v>469000.00000000029</v>
          </cell>
          <cell r="H285">
            <v>406298</v>
          </cell>
        </row>
        <row r="286">
          <cell r="D286">
            <v>274000</v>
          </cell>
          <cell r="H286">
            <v>404354</v>
          </cell>
        </row>
        <row r="287">
          <cell r="D287">
            <v>373999.99999999965</v>
          </cell>
          <cell r="H287">
            <v>489187</v>
          </cell>
        </row>
        <row r="288">
          <cell r="D288">
            <v>562000.00000000023</v>
          </cell>
          <cell r="H288">
            <v>389924</v>
          </cell>
        </row>
        <row r="289">
          <cell r="D289">
            <v>471999.99999999953</v>
          </cell>
          <cell r="H289">
            <v>501221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Ju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9222000</v>
          </cell>
          <cell r="D4">
            <v>0</v>
          </cell>
          <cell r="E4">
            <v>22000000</v>
          </cell>
          <cell r="F4">
            <v>0</v>
          </cell>
          <cell r="G4">
            <v>0</v>
          </cell>
          <cell r="H4">
            <v>8659000</v>
          </cell>
          <cell r="I4">
            <v>21600000.000000365</v>
          </cell>
        </row>
        <row r="5">
          <cell r="C5">
            <v>8022000</v>
          </cell>
          <cell r="D5">
            <v>0</v>
          </cell>
          <cell r="E5">
            <v>19000000</v>
          </cell>
          <cell r="F5">
            <v>0</v>
          </cell>
          <cell r="G5">
            <v>0</v>
          </cell>
          <cell r="H5">
            <v>7552000</v>
          </cell>
          <cell r="I5">
            <v>18500000</v>
          </cell>
        </row>
        <row r="6">
          <cell r="C6">
            <v>6711000</v>
          </cell>
          <cell r="D6">
            <v>0</v>
          </cell>
          <cell r="E6">
            <v>20000000</v>
          </cell>
          <cell r="F6">
            <v>0</v>
          </cell>
          <cell r="G6">
            <v>0</v>
          </cell>
          <cell r="H6">
            <v>6241000</v>
          </cell>
          <cell r="I6">
            <v>19000000</v>
          </cell>
        </row>
        <row r="7">
          <cell r="C7">
            <v>5024000</v>
          </cell>
          <cell r="D7">
            <v>0</v>
          </cell>
          <cell r="E7">
            <v>24000000</v>
          </cell>
          <cell r="F7">
            <v>0</v>
          </cell>
          <cell r="G7">
            <v>0</v>
          </cell>
          <cell r="H7">
            <v>4649000</v>
          </cell>
          <cell r="I7">
            <v>23699999.999999817</v>
          </cell>
        </row>
        <row r="8">
          <cell r="C8">
            <v>7050000</v>
          </cell>
          <cell r="D8">
            <v>0</v>
          </cell>
          <cell r="E8">
            <v>23000000</v>
          </cell>
          <cell r="F8">
            <v>0</v>
          </cell>
          <cell r="G8">
            <v>0</v>
          </cell>
          <cell r="H8">
            <v>6579999.9999999991</v>
          </cell>
          <cell r="I8">
            <v>22600000.000000365</v>
          </cell>
        </row>
        <row r="9">
          <cell r="C9">
            <v>8025000</v>
          </cell>
          <cell r="D9">
            <v>0</v>
          </cell>
          <cell r="E9">
            <v>24000000</v>
          </cell>
          <cell r="F9">
            <v>0</v>
          </cell>
          <cell r="G9">
            <v>0</v>
          </cell>
          <cell r="H9">
            <v>7556000.0000000009</v>
          </cell>
          <cell r="I9">
            <v>23500000</v>
          </cell>
        </row>
        <row r="10">
          <cell r="C10">
            <v>7949000</v>
          </cell>
          <cell r="D10">
            <v>0</v>
          </cell>
          <cell r="E10">
            <v>24000000</v>
          </cell>
          <cell r="F10">
            <v>0</v>
          </cell>
          <cell r="G10">
            <v>0</v>
          </cell>
          <cell r="H10">
            <v>7480000</v>
          </cell>
          <cell r="I10">
            <v>23599999.999999456</v>
          </cell>
        </row>
        <row r="11">
          <cell r="C11">
            <v>8062000</v>
          </cell>
          <cell r="D11">
            <v>0</v>
          </cell>
          <cell r="E11">
            <v>25000000</v>
          </cell>
          <cell r="F11">
            <v>0</v>
          </cell>
          <cell r="G11">
            <v>0</v>
          </cell>
          <cell r="H11">
            <v>7689000.0000000009</v>
          </cell>
          <cell r="I11">
            <v>24500000</v>
          </cell>
        </row>
        <row r="12">
          <cell r="C12">
            <v>9222000</v>
          </cell>
          <cell r="D12">
            <v>0</v>
          </cell>
          <cell r="E12">
            <v>20000000</v>
          </cell>
          <cell r="F12">
            <v>0</v>
          </cell>
          <cell r="G12">
            <v>0</v>
          </cell>
          <cell r="H12">
            <v>8601999.9999999981</v>
          </cell>
          <cell r="I12">
            <v>20400000.000000544</v>
          </cell>
        </row>
        <row r="13">
          <cell r="C13">
            <v>12254000</v>
          </cell>
          <cell r="D13">
            <v>0</v>
          </cell>
          <cell r="E13">
            <v>19000000</v>
          </cell>
          <cell r="F13">
            <v>0</v>
          </cell>
          <cell r="G13">
            <v>0</v>
          </cell>
          <cell r="H13">
            <v>11347000</v>
          </cell>
          <cell r="I13">
            <v>17800000.000000183</v>
          </cell>
        </row>
        <row r="14">
          <cell r="C14">
            <v>11741000</v>
          </cell>
          <cell r="D14">
            <v>0</v>
          </cell>
          <cell r="E14">
            <v>13000000</v>
          </cell>
          <cell r="F14">
            <v>0</v>
          </cell>
          <cell r="G14">
            <v>0</v>
          </cell>
          <cell r="H14">
            <v>11176000</v>
          </cell>
          <cell r="I14">
            <v>13099999.999999454</v>
          </cell>
        </row>
        <row r="15">
          <cell r="C15">
            <v>6879000</v>
          </cell>
          <cell r="D15">
            <v>0</v>
          </cell>
          <cell r="E15">
            <v>10000000</v>
          </cell>
          <cell r="F15">
            <v>0</v>
          </cell>
          <cell r="G15">
            <v>0</v>
          </cell>
          <cell r="H15">
            <v>6411000</v>
          </cell>
          <cell r="I15">
            <v>10600000.000000363</v>
          </cell>
        </row>
        <row r="16">
          <cell r="C16">
            <v>5821000</v>
          </cell>
          <cell r="D16">
            <v>0</v>
          </cell>
          <cell r="E16">
            <v>9000000</v>
          </cell>
          <cell r="F16">
            <v>0</v>
          </cell>
          <cell r="G16">
            <v>0</v>
          </cell>
          <cell r="H16">
            <v>5352000.0000000009</v>
          </cell>
          <cell r="I16">
            <v>9099999.9999994542</v>
          </cell>
        </row>
        <row r="17">
          <cell r="C17">
            <v>7803000</v>
          </cell>
          <cell r="D17">
            <v>0</v>
          </cell>
          <cell r="E17">
            <v>11000000</v>
          </cell>
          <cell r="F17">
            <v>0</v>
          </cell>
          <cell r="G17">
            <v>0</v>
          </cell>
          <cell r="H17">
            <v>7434000</v>
          </cell>
          <cell r="I17">
            <v>9700000.0000007283</v>
          </cell>
        </row>
        <row r="18">
          <cell r="C18">
            <v>6955000</v>
          </cell>
          <cell r="D18">
            <v>0</v>
          </cell>
          <cell r="E18">
            <v>10000000</v>
          </cell>
          <cell r="F18">
            <v>0</v>
          </cell>
          <cell r="G18">
            <v>0</v>
          </cell>
          <cell r="H18">
            <v>6388999.9999999991</v>
          </cell>
          <cell r="I18">
            <v>10500000</v>
          </cell>
        </row>
        <row r="19">
          <cell r="C19">
            <v>11308000</v>
          </cell>
          <cell r="D19">
            <v>0</v>
          </cell>
          <cell r="E19">
            <v>12000000</v>
          </cell>
          <cell r="F19">
            <v>0</v>
          </cell>
          <cell r="G19">
            <v>0</v>
          </cell>
          <cell r="H19">
            <v>10740000</v>
          </cell>
          <cell r="I19">
            <v>11599999.999999454</v>
          </cell>
        </row>
        <row r="20">
          <cell r="C20">
            <v>13386000</v>
          </cell>
          <cell r="D20">
            <v>0</v>
          </cell>
          <cell r="E20">
            <v>12000000</v>
          </cell>
          <cell r="F20">
            <v>0</v>
          </cell>
          <cell r="G20">
            <v>0</v>
          </cell>
          <cell r="H20">
            <v>12720000</v>
          </cell>
          <cell r="I20">
            <v>11900000.000000546</v>
          </cell>
        </row>
        <row r="21">
          <cell r="C21">
            <v>13576000</v>
          </cell>
          <cell r="D21">
            <v>0</v>
          </cell>
          <cell r="E21">
            <v>16000000</v>
          </cell>
          <cell r="F21">
            <v>0</v>
          </cell>
          <cell r="G21">
            <v>0</v>
          </cell>
          <cell r="H21">
            <v>12427000</v>
          </cell>
          <cell r="I21">
            <v>16799999.999999274</v>
          </cell>
        </row>
        <row r="22">
          <cell r="C22">
            <v>11974000</v>
          </cell>
          <cell r="D22">
            <v>0</v>
          </cell>
          <cell r="E22">
            <v>19000000</v>
          </cell>
          <cell r="F22">
            <v>0</v>
          </cell>
          <cell r="G22">
            <v>0</v>
          </cell>
          <cell r="H22">
            <v>11354000</v>
          </cell>
          <cell r="I22">
            <v>18000000</v>
          </cell>
        </row>
        <row r="23">
          <cell r="C23">
            <v>11773000</v>
          </cell>
          <cell r="D23">
            <v>0</v>
          </cell>
          <cell r="E23">
            <v>18000000</v>
          </cell>
          <cell r="F23">
            <v>0</v>
          </cell>
          <cell r="G23">
            <v>0</v>
          </cell>
          <cell r="H23">
            <v>11152999.999999998</v>
          </cell>
          <cell r="I23">
            <v>18000000</v>
          </cell>
        </row>
        <row r="24">
          <cell r="C24">
            <v>11587000</v>
          </cell>
          <cell r="D24">
            <v>0</v>
          </cell>
          <cell r="E24">
            <v>17000000</v>
          </cell>
          <cell r="F24">
            <v>0</v>
          </cell>
          <cell r="G24">
            <v>0</v>
          </cell>
          <cell r="H24">
            <v>11021000.000000002</v>
          </cell>
          <cell r="I24">
            <v>15800000.000000183</v>
          </cell>
        </row>
        <row r="25">
          <cell r="C25">
            <v>10448000</v>
          </cell>
          <cell r="D25">
            <v>0</v>
          </cell>
          <cell r="E25">
            <v>20000000</v>
          </cell>
          <cell r="F25">
            <v>0</v>
          </cell>
          <cell r="G25">
            <v>0</v>
          </cell>
          <cell r="H25">
            <v>9671000</v>
          </cell>
          <cell r="I25">
            <v>20400000.000000544</v>
          </cell>
        </row>
        <row r="26">
          <cell r="C26">
            <v>11548000</v>
          </cell>
          <cell r="D26">
            <v>0</v>
          </cell>
          <cell r="E26">
            <v>19000000</v>
          </cell>
          <cell r="F26">
            <v>0</v>
          </cell>
          <cell r="G26">
            <v>0</v>
          </cell>
          <cell r="H26">
            <v>11063999.999999998</v>
          </cell>
          <cell r="I26">
            <v>18699999.999999817</v>
          </cell>
        </row>
        <row r="27">
          <cell r="C27">
            <v>11494000</v>
          </cell>
          <cell r="D27">
            <v>0</v>
          </cell>
          <cell r="E27">
            <v>17000000</v>
          </cell>
          <cell r="F27">
            <v>0</v>
          </cell>
          <cell r="G27">
            <v>0</v>
          </cell>
          <cell r="H27">
            <v>10920000.000000002</v>
          </cell>
          <cell r="I27">
            <v>16599999.999999454</v>
          </cell>
        </row>
        <row r="28">
          <cell r="C28">
            <v>12459000</v>
          </cell>
          <cell r="D28">
            <v>0</v>
          </cell>
          <cell r="E28">
            <v>22000000</v>
          </cell>
          <cell r="F28">
            <v>0</v>
          </cell>
          <cell r="G28">
            <v>0</v>
          </cell>
          <cell r="H28">
            <v>11634999.999999998</v>
          </cell>
          <cell r="I28">
            <v>21300000.000000183</v>
          </cell>
        </row>
        <row r="29">
          <cell r="C29">
            <v>8356000</v>
          </cell>
          <cell r="D29">
            <v>0</v>
          </cell>
          <cell r="E29">
            <v>22000000</v>
          </cell>
          <cell r="F29">
            <v>0</v>
          </cell>
          <cell r="G29">
            <v>0</v>
          </cell>
          <cell r="H29">
            <v>7682000</v>
          </cell>
          <cell r="I29">
            <v>22600000.000000365</v>
          </cell>
        </row>
        <row r="30">
          <cell r="C30">
            <v>7504000</v>
          </cell>
          <cell r="D30">
            <v>0</v>
          </cell>
          <cell r="E30">
            <v>20000000</v>
          </cell>
          <cell r="F30">
            <v>0</v>
          </cell>
          <cell r="G30">
            <v>0</v>
          </cell>
          <cell r="H30">
            <v>7124000.0000000009</v>
          </cell>
          <cell r="I30">
            <v>19699999.999999817</v>
          </cell>
        </row>
        <row r="31">
          <cell r="C31">
            <v>11293000</v>
          </cell>
          <cell r="D31">
            <v>0</v>
          </cell>
          <cell r="E31">
            <v>22000000</v>
          </cell>
          <cell r="F31">
            <v>0</v>
          </cell>
          <cell r="G31">
            <v>0</v>
          </cell>
          <cell r="H31">
            <v>10823999.999999998</v>
          </cell>
          <cell r="I31">
            <v>20800000.000000183</v>
          </cell>
        </row>
        <row r="32">
          <cell r="C32">
            <v>11483000</v>
          </cell>
          <cell r="D32">
            <v>0</v>
          </cell>
          <cell r="E32">
            <v>20000000</v>
          </cell>
          <cell r="F32">
            <v>2000000</v>
          </cell>
          <cell r="G32">
            <v>0</v>
          </cell>
          <cell r="H32">
            <v>10830000.000000002</v>
          </cell>
          <cell r="I32">
            <v>22099999.999999456</v>
          </cell>
        </row>
        <row r="33">
          <cell r="C33">
            <v>12716000</v>
          </cell>
          <cell r="D33">
            <v>0</v>
          </cell>
          <cell r="E33">
            <v>19000000</v>
          </cell>
          <cell r="F33">
            <v>5000000</v>
          </cell>
          <cell r="G33">
            <v>0</v>
          </cell>
          <cell r="H33">
            <v>12225999.999999998</v>
          </cell>
          <cell r="I33">
            <v>22400000.000000544</v>
          </cell>
        </row>
        <row r="252">
          <cell r="D252">
            <v>563000.00000000058</v>
          </cell>
          <cell r="H252">
            <v>220774</v>
          </cell>
        </row>
        <row r="253">
          <cell r="D253">
            <v>469999.99999999977</v>
          </cell>
          <cell r="H253">
            <v>167968</v>
          </cell>
        </row>
        <row r="254">
          <cell r="D254">
            <v>469999.99999999977</v>
          </cell>
          <cell r="H254">
            <v>160971</v>
          </cell>
        </row>
        <row r="255">
          <cell r="D255">
            <v>375000</v>
          </cell>
          <cell r="H255">
            <v>393470</v>
          </cell>
        </row>
        <row r="256">
          <cell r="D256">
            <v>470000.00000000064</v>
          </cell>
          <cell r="H256">
            <v>547870</v>
          </cell>
        </row>
        <row r="257">
          <cell r="D257">
            <v>468999.99999999942</v>
          </cell>
          <cell r="H257">
            <v>428508</v>
          </cell>
        </row>
        <row r="258">
          <cell r="D258">
            <v>469000.00000000029</v>
          </cell>
          <cell r="H258">
            <v>167446</v>
          </cell>
        </row>
        <row r="259">
          <cell r="D259">
            <v>372999.99999999936</v>
          </cell>
          <cell r="H259">
            <v>198381</v>
          </cell>
        </row>
        <row r="260">
          <cell r="D260">
            <v>620000.00000000105</v>
          </cell>
          <cell r="H260">
            <v>336514</v>
          </cell>
        </row>
        <row r="261">
          <cell r="D261">
            <v>907000</v>
          </cell>
          <cell r="H261">
            <v>295458</v>
          </cell>
        </row>
        <row r="262">
          <cell r="D262">
            <v>564999.99999999953</v>
          </cell>
          <cell r="H262">
            <v>548860</v>
          </cell>
        </row>
        <row r="263">
          <cell r="D263">
            <v>468000</v>
          </cell>
          <cell r="H263">
            <v>140594</v>
          </cell>
        </row>
        <row r="264">
          <cell r="D264">
            <v>468999.99999999942</v>
          </cell>
          <cell r="H264">
            <v>127987</v>
          </cell>
        </row>
        <row r="265">
          <cell r="D265">
            <v>368999.99999999977</v>
          </cell>
          <cell r="H265">
            <v>164514</v>
          </cell>
        </row>
        <row r="266">
          <cell r="D266">
            <v>566000.0000000007</v>
          </cell>
          <cell r="H266">
            <v>252698</v>
          </cell>
        </row>
        <row r="267">
          <cell r="D267">
            <v>567999.99999999965</v>
          </cell>
          <cell r="H267">
            <v>111589</v>
          </cell>
        </row>
        <row r="268">
          <cell r="D268">
            <v>666000.00000000035</v>
          </cell>
          <cell r="H268">
            <v>99773</v>
          </cell>
        </row>
        <row r="269">
          <cell r="D269">
            <v>1149000.0000000009</v>
          </cell>
          <cell r="H269">
            <v>449870</v>
          </cell>
        </row>
        <row r="270">
          <cell r="D270">
            <v>619999.99999999919</v>
          </cell>
          <cell r="H270">
            <v>321705</v>
          </cell>
        </row>
        <row r="271">
          <cell r="D271">
            <v>620000.00000000105</v>
          </cell>
          <cell r="H271">
            <v>302104</v>
          </cell>
        </row>
        <row r="272">
          <cell r="D272">
            <v>565999.99999999895</v>
          </cell>
          <cell r="H272">
            <v>145057</v>
          </cell>
        </row>
        <row r="273">
          <cell r="D273">
            <v>776999.9999999993</v>
          </cell>
          <cell r="H273">
            <v>312256</v>
          </cell>
        </row>
        <row r="274">
          <cell r="D274">
            <v>484000.00000000175</v>
          </cell>
          <cell r="H274">
            <v>314244</v>
          </cell>
        </row>
        <row r="275">
          <cell r="D275">
            <v>573999.99999999802</v>
          </cell>
          <cell r="H275">
            <v>250370</v>
          </cell>
        </row>
        <row r="276">
          <cell r="D276">
            <v>824000.00000000163</v>
          </cell>
          <cell r="H276">
            <v>160559</v>
          </cell>
        </row>
        <row r="277">
          <cell r="D277">
            <v>673999.99999999953</v>
          </cell>
          <cell r="H277">
            <v>172000</v>
          </cell>
        </row>
        <row r="278">
          <cell r="D278">
            <v>379999.99999999901</v>
          </cell>
          <cell r="H278">
            <v>152592</v>
          </cell>
        </row>
        <row r="279">
          <cell r="D279">
            <v>469000.00000000122</v>
          </cell>
          <cell r="H279">
            <v>647320</v>
          </cell>
        </row>
        <row r="280">
          <cell r="D280">
            <v>652999.99999999872</v>
          </cell>
          <cell r="H280">
            <v>1468807</v>
          </cell>
        </row>
        <row r="281">
          <cell r="D281">
            <v>490000.00000000198</v>
          </cell>
          <cell r="H281">
            <v>2244509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12370000</v>
          </cell>
          <cell r="D4">
            <v>0</v>
          </cell>
          <cell r="E4">
            <v>18000000</v>
          </cell>
          <cell r="F4">
            <v>5000000</v>
          </cell>
          <cell r="G4">
            <v>0</v>
          </cell>
          <cell r="H4">
            <v>11705000</v>
          </cell>
          <cell r="I4">
            <v>22399999.999999635</v>
          </cell>
        </row>
        <row r="5">
          <cell r="C5">
            <v>12904000</v>
          </cell>
          <cell r="D5">
            <v>0</v>
          </cell>
          <cell r="E5">
            <v>20000000</v>
          </cell>
          <cell r="F5">
            <v>5000000</v>
          </cell>
          <cell r="G5">
            <v>0</v>
          </cell>
          <cell r="H5">
            <v>12215000</v>
          </cell>
          <cell r="I5">
            <v>23800000.000000183</v>
          </cell>
        </row>
        <row r="6">
          <cell r="C6">
            <v>12596000</v>
          </cell>
          <cell r="D6">
            <v>0</v>
          </cell>
          <cell r="E6">
            <v>17000000</v>
          </cell>
          <cell r="F6">
            <v>5000000</v>
          </cell>
          <cell r="G6">
            <v>0</v>
          </cell>
          <cell r="H6">
            <v>12119000</v>
          </cell>
          <cell r="I6">
            <v>22000000</v>
          </cell>
        </row>
        <row r="7">
          <cell r="C7">
            <v>11326000</v>
          </cell>
          <cell r="D7">
            <v>0</v>
          </cell>
          <cell r="E7">
            <v>16000000</v>
          </cell>
          <cell r="F7">
            <v>5000000</v>
          </cell>
          <cell r="G7">
            <v>0</v>
          </cell>
          <cell r="H7">
            <v>10661000</v>
          </cell>
          <cell r="I7">
            <v>20000000</v>
          </cell>
        </row>
        <row r="8">
          <cell r="C8">
            <v>8159000</v>
          </cell>
          <cell r="D8">
            <v>0</v>
          </cell>
          <cell r="E8">
            <v>12000000</v>
          </cell>
          <cell r="F8">
            <v>5000000</v>
          </cell>
          <cell r="G8">
            <v>0</v>
          </cell>
          <cell r="H8">
            <v>7689999.9999999991</v>
          </cell>
          <cell r="I8">
            <v>16899999.999999635</v>
          </cell>
        </row>
        <row r="9">
          <cell r="C9">
            <v>7630000</v>
          </cell>
          <cell r="D9">
            <v>0</v>
          </cell>
          <cell r="E9">
            <v>13000000</v>
          </cell>
          <cell r="F9">
            <v>5000000</v>
          </cell>
          <cell r="G9">
            <v>0</v>
          </cell>
          <cell r="H9">
            <v>7066000</v>
          </cell>
          <cell r="I9">
            <v>17600000.000000365</v>
          </cell>
        </row>
        <row r="10">
          <cell r="C10">
            <v>7667000</v>
          </cell>
          <cell r="D10">
            <v>0</v>
          </cell>
          <cell r="E10">
            <v>12000000</v>
          </cell>
          <cell r="F10">
            <v>5000000</v>
          </cell>
          <cell r="G10">
            <v>0</v>
          </cell>
          <cell r="H10">
            <v>7269000</v>
          </cell>
          <cell r="I10">
            <v>16100000.000000363</v>
          </cell>
        </row>
        <row r="11">
          <cell r="C11">
            <v>6703000</v>
          </cell>
          <cell r="D11">
            <v>0</v>
          </cell>
          <cell r="E11">
            <v>11000000</v>
          </cell>
          <cell r="F11">
            <v>3000000</v>
          </cell>
          <cell r="G11">
            <v>0</v>
          </cell>
          <cell r="H11">
            <v>6282000.0000000009</v>
          </cell>
          <cell r="I11">
            <v>13799999.999999272</v>
          </cell>
        </row>
        <row r="12">
          <cell r="C12">
            <v>8952000</v>
          </cell>
          <cell r="D12">
            <v>0</v>
          </cell>
          <cell r="E12">
            <v>16000000</v>
          </cell>
          <cell r="F12">
            <v>0</v>
          </cell>
          <cell r="G12">
            <v>0</v>
          </cell>
          <cell r="H12">
            <v>8458000</v>
          </cell>
          <cell r="I12">
            <v>15500000</v>
          </cell>
        </row>
        <row r="13">
          <cell r="C13">
            <v>10314000</v>
          </cell>
          <cell r="D13">
            <v>0</v>
          </cell>
          <cell r="E13">
            <v>18000000</v>
          </cell>
          <cell r="F13">
            <v>0</v>
          </cell>
          <cell r="G13">
            <v>0</v>
          </cell>
          <cell r="H13">
            <v>9939000</v>
          </cell>
          <cell r="I13">
            <v>18000000</v>
          </cell>
        </row>
        <row r="14">
          <cell r="C14">
            <v>11234000</v>
          </cell>
          <cell r="D14">
            <v>0</v>
          </cell>
          <cell r="E14">
            <v>20000000</v>
          </cell>
          <cell r="F14">
            <v>0</v>
          </cell>
          <cell r="G14">
            <v>0</v>
          </cell>
          <cell r="H14">
            <v>10764999.999999998</v>
          </cell>
          <cell r="I14">
            <v>19600000.000000365</v>
          </cell>
        </row>
        <row r="15">
          <cell r="C15">
            <v>10821000</v>
          </cell>
          <cell r="D15">
            <v>0</v>
          </cell>
          <cell r="E15">
            <v>20000000</v>
          </cell>
          <cell r="F15">
            <v>0</v>
          </cell>
          <cell r="G15">
            <v>0</v>
          </cell>
          <cell r="H15">
            <v>10322000.000000002</v>
          </cell>
          <cell r="I15">
            <v>19500000</v>
          </cell>
        </row>
        <row r="16">
          <cell r="C16">
            <v>11332000</v>
          </cell>
          <cell r="D16">
            <v>0</v>
          </cell>
          <cell r="E16">
            <v>23000000</v>
          </cell>
          <cell r="F16">
            <v>0</v>
          </cell>
          <cell r="G16">
            <v>0</v>
          </cell>
          <cell r="H16">
            <v>10780999.999999998</v>
          </cell>
          <cell r="I16">
            <v>23000000</v>
          </cell>
        </row>
        <row r="17">
          <cell r="C17">
            <v>10420000</v>
          </cell>
          <cell r="D17">
            <v>0</v>
          </cell>
          <cell r="E17">
            <v>25000000</v>
          </cell>
          <cell r="F17">
            <v>0</v>
          </cell>
          <cell r="G17">
            <v>0</v>
          </cell>
          <cell r="H17">
            <v>9848000</v>
          </cell>
          <cell r="I17">
            <v>24899999.999999635</v>
          </cell>
        </row>
        <row r="18">
          <cell r="C18">
            <v>9273000</v>
          </cell>
          <cell r="D18">
            <v>0</v>
          </cell>
          <cell r="E18">
            <v>22000000</v>
          </cell>
          <cell r="F18">
            <v>0</v>
          </cell>
          <cell r="G18">
            <v>0</v>
          </cell>
          <cell r="H18">
            <v>8702000.0000000019</v>
          </cell>
          <cell r="I18">
            <v>21200000.000000726</v>
          </cell>
        </row>
        <row r="19">
          <cell r="C19">
            <v>11095000</v>
          </cell>
          <cell r="D19">
            <v>0</v>
          </cell>
          <cell r="E19">
            <v>24000000</v>
          </cell>
          <cell r="F19">
            <v>0</v>
          </cell>
          <cell r="G19">
            <v>0</v>
          </cell>
          <cell r="H19">
            <v>10523999.999999998</v>
          </cell>
          <cell r="I19">
            <v>23599999.999999456</v>
          </cell>
        </row>
        <row r="20">
          <cell r="C20">
            <v>11502000</v>
          </cell>
          <cell r="D20">
            <v>0</v>
          </cell>
          <cell r="E20">
            <v>27000000</v>
          </cell>
          <cell r="F20">
            <v>0</v>
          </cell>
          <cell r="G20">
            <v>0</v>
          </cell>
          <cell r="H20">
            <v>11023000</v>
          </cell>
          <cell r="I20">
            <v>26600000.000000365</v>
          </cell>
        </row>
        <row r="21">
          <cell r="C21">
            <v>9643000</v>
          </cell>
          <cell r="D21">
            <v>0</v>
          </cell>
          <cell r="E21">
            <v>27000000</v>
          </cell>
          <cell r="F21">
            <v>0</v>
          </cell>
          <cell r="G21">
            <v>0</v>
          </cell>
          <cell r="H21">
            <v>9164999.9999999981</v>
          </cell>
          <cell r="I21">
            <v>26599999.999999456</v>
          </cell>
        </row>
        <row r="22">
          <cell r="C22">
            <v>9790000</v>
          </cell>
          <cell r="D22">
            <v>0</v>
          </cell>
          <cell r="E22">
            <v>26000000</v>
          </cell>
          <cell r="F22">
            <v>0</v>
          </cell>
          <cell r="G22">
            <v>0</v>
          </cell>
          <cell r="H22">
            <v>9219000.0000000019</v>
          </cell>
          <cell r="I22">
            <v>25500000</v>
          </cell>
        </row>
        <row r="23">
          <cell r="C23">
            <v>11430000</v>
          </cell>
          <cell r="D23">
            <v>0</v>
          </cell>
          <cell r="E23">
            <v>19000000</v>
          </cell>
          <cell r="F23">
            <v>0</v>
          </cell>
          <cell r="G23">
            <v>0</v>
          </cell>
          <cell r="H23">
            <v>10671000</v>
          </cell>
          <cell r="I23">
            <v>19400000.000000544</v>
          </cell>
        </row>
        <row r="24">
          <cell r="C24">
            <v>9490000</v>
          </cell>
          <cell r="D24">
            <v>0</v>
          </cell>
          <cell r="E24">
            <v>22000000</v>
          </cell>
          <cell r="F24">
            <v>0</v>
          </cell>
          <cell r="G24">
            <v>0</v>
          </cell>
          <cell r="H24">
            <v>9026999.9999999981</v>
          </cell>
          <cell r="I24">
            <v>21199999.999999817</v>
          </cell>
        </row>
        <row r="25">
          <cell r="C25">
            <v>8950000</v>
          </cell>
          <cell r="D25">
            <v>0</v>
          </cell>
          <cell r="E25">
            <v>21000000</v>
          </cell>
          <cell r="F25">
            <v>0</v>
          </cell>
          <cell r="G25">
            <v>0</v>
          </cell>
          <cell r="H25">
            <v>8535999.9999999981</v>
          </cell>
          <cell r="I25">
            <v>21300000.000000183</v>
          </cell>
        </row>
        <row r="26">
          <cell r="C26">
            <v>10533000</v>
          </cell>
          <cell r="D26">
            <v>1000</v>
          </cell>
          <cell r="E26">
            <v>25000000</v>
          </cell>
          <cell r="F26">
            <v>0</v>
          </cell>
          <cell r="G26">
            <v>0</v>
          </cell>
          <cell r="H26">
            <v>10209000.000000004</v>
          </cell>
          <cell r="I26">
            <v>24099999.999999456</v>
          </cell>
        </row>
        <row r="27">
          <cell r="C27">
            <v>10852000</v>
          </cell>
          <cell r="D27">
            <v>0</v>
          </cell>
          <cell r="E27">
            <v>26000000</v>
          </cell>
          <cell r="F27">
            <v>0</v>
          </cell>
          <cell r="G27">
            <v>0</v>
          </cell>
          <cell r="H27">
            <v>10255999.999999996</v>
          </cell>
          <cell r="I27">
            <v>26400000.000000544</v>
          </cell>
        </row>
        <row r="28">
          <cell r="C28">
            <v>11073000</v>
          </cell>
          <cell r="D28">
            <v>0</v>
          </cell>
          <cell r="E28">
            <v>29000000</v>
          </cell>
          <cell r="F28">
            <v>0</v>
          </cell>
          <cell r="G28">
            <v>0</v>
          </cell>
          <cell r="H28">
            <v>10429000.000000002</v>
          </cell>
          <cell r="I28">
            <v>27099999.999999456</v>
          </cell>
        </row>
        <row r="29">
          <cell r="C29">
            <v>11025000</v>
          </cell>
          <cell r="D29">
            <v>0</v>
          </cell>
          <cell r="E29">
            <v>28000000</v>
          </cell>
          <cell r="F29">
            <v>0</v>
          </cell>
          <cell r="G29">
            <v>0</v>
          </cell>
          <cell r="H29">
            <v>10650000</v>
          </cell>
          <cell r="I29">
            <v>28000000</v>
          </cell>
        </row>
        <row r="30">
          <cell r="C30">
            <v>10750000</v>
          </cell>
          <cell r="D30">
            <v>0</v>
          </cell>
          <cell r="E30">
            <v>28000000</v>
          </cell>
          <cell r="F30">
            <v>0</v>
          </cell>
          <cell r="G30">
            <v>0</v>
          </cell>
          <cell r="H30">
            <v>10286999.999999998</v>
          </cell>
          <cell r="I30">
            <v>26200000.000000726</v>
          </cell>
        </row>
        <row r="31">
          <cell r="C31">
            <v>10776000</v>
          </cell>
          <cell r="D31">
            <v>0</v>
          </cell>
          <cell r="E31">
            <v>26000000</v>
          </cell>
          <cell r="F31">
            <v>0</v>
          </cell>
          <cell r="G31">
            <v>0</v>
          </cell>
          <cell r="H31">
            <v>10133000</v>
          </cell>
          <cell r="I31">
            <v>25599999.999999456</v>
          </cell>
        </row>
        <row r="32">
          <cell r="C32">
            <v>12025000</v>
          </cell>
          <cell r="D32">
            <v>0</v>
          </cell>
          <cell r="E32">
            <v>22000000</v>
          </cell>
          <cell r="F32">
            <v>0</v>
          </cell>
          <cell r="G32">
            <v>0</v>
          </cell>
          <cell r="H32">
            <v>11470999.999999998</v>
          </cell>
          <cell r="I32">
            <v>21699999.999999817</v>
          </cell>
        </row>
        <row r="33">
          <cell r="C33">
            <v>12373000</v>
          </cell>
          <cell r="D33">
            <v>0</v>
          </cell>
          <cell r="E33">
            <v>25000000</v>
          </cell>
          <cell r="F33">
            <v>0</v>
          </cell>
          <cell r="G33">
            <v>0</v>
          </cell>
          <cell r="H33">
            <v>11876000</v>
          </cell>
          <cell r="I33">
            <v>24400000.000000544</v>
          </cell>
        </row>
        <row r="34">
          <cell r="C34">
            <v>11558000</v>
          </cell>
          <cell r="D34">
            <v>0</v>
          </cell>
          <cell r="E34">
            <v>26000000</v>
          </cell>
          <cell r="F34">
            <v>0</v>
          </cell>
          <cell r="G34">
            <v>0</v>
          </cell>
          <cell r="H34">
            <v>11102000.000000004</v>
          </cell>
          <cell r="I34">
            <v>26500000</v>
          </cell>
        </row>
        <row r="259">
          <cell r="D259">
            <v>664999.99999999919</v>
          </cell>
          <cell r="H259">
            <v>3029167</v>
          </cell>
        </row>
        <row r="260">
          <cell r="D260">
            <v>689000</v>
          </cell>
          <cell r="H260">
            <v>3777105</v>
          </cell>
        </row>
        <row r="261">
          <cell r="D261">
            <v>477000.00000000029</v>
          </cell>
          <cell r="H261">
            <v>4563441</v>
          </cell>
        </row>
        <row r="262">
          <cell r="D262">
            <v>664999.99999999919</v>
          </cell>
          <cell r="H262">
            <v>5165318</v>
          </cell>
        </row>
        <row r="263">
          <cell r="D263">
            <v>469000.00000000122</v>
          </cell>
          <cell r="H263">
            <v>680866</v>
          </cell>
        </row>
        <row r="264">
          <cell r="D264">
            <v>564000</v>
          </cell>
          <cell r="H264">
            <v>759076</v>
          </cell>
        </row>
        <row r="265">
          <cell r="D265">
            <v>397999.99999999971</v>
          </cell>
          <cell r="H265">
            <v>6919408</v>
          </cell>
        </row>
        <row r="266">
          <cell r="D266">
            <v>420999.99999999936</v>
          </cell>
          <cell r="H266">
            <v>7251464</v>
          </cell>
        </row>
        <row r="267">
          <cell r="D267">
            <v>493999.99999999977</v>
          </cell>
          <cell r="H267">
            <v>948909</v>
          </cell>
        </row>
        <row r="268">
          <cell r="D268">
            <v>375000</v>
          </cell>
          <cell r="H268">
            <v>1063272</v>
          </cell>
        </row>
        <row r="269">
          <cell r="D269">
            <v>469000.00000000122</v>
          </cell>
          <cell r="H269">
            <v>1151059</v>
          </cell>
        </row>
        <row r="270">
          <cell r="D270">
            <v>498999.99999999878</v>
          </cell>
          <cell r="H270">
            <v>9517053</v>
          </cell>
        </row>
        <row r="271">
          <cell r="D271">
            <v>551000.00000000198</v>
          </cell>
          <cell r="H271">
            <v>10285024</v>
          </cell>
        </row>
        <row r="272">
          <cell r="D272">
            <v>571999.99999999919</v>
          </cell>
          <cell r="H272">
            <v>9466619</v>
          </cell>
        </row>
        <row r="273">
          <cell r="D273">
            <v>570999.9999999979</v>
          </cell>
          <cell r="H273">
            <v>1570214</v>
          </cell>
        </row>
        <row r="274">
          <cell r="D274">
            <v>571000.00000000151</v>
          </cell>
          <cell r="H274">
            <v>12415325</v>
          </cell>
        </row>
        <row r="275">
          <cell r="D275">
            <v>478999.99999999919</v>
          </cell>
          <cell r="H275">
            <v>13398114</v>
          </cell>
        </row>
        <row r="276">
          <cell r="D276">
            <v>478000.00000000151</v>
          </cell>
          <cell r="H276">
            <v>14257736</v>
          </cell>
        </row>
        <row r="277">
          <cell r="D277">
            <v>570999.9999999979</v>
          </cell>
          <cell r="H277">
            <v>1893858</v>
          </cell>
        </row>
        <row r="278">
          <cell r="D278">
            <v>759000.00000000035</v>
          </cell>
          <cell r="H278">
            <v>1981817</v>
          </cell>
        </row>
        <row r="279">
          <cell r="D279">
            <v>463000.00000000099</v>
          </cell>
          <cell r="H279">
            <v>258874</v>
          </cell>
        </row>
        <row r="280">
          <cell r="D280">
            <v>414000.00000000146</v>
          </cell>
          <cell r="H280">
            <v>657440</v>
          </cell>
        </row>
        <row r="281">
          <cell r="D281">
            <v>324999.99999999575</v>
          </cell>
          <cell r="H281">
            <v>63693</v>
          </cell>
        </row>
        <row r="282">
          <cell r="D282">
            <v>596000.00000000361</v>
          </cell>
          <cell r="H282">
            <v>83926</v>
          </cell>
        </row>
        <row r="283">
          <cell r="D283">
            <v>643999.99999999837</v>
          </cell>
          <cell r="H283">
            <v>91686</v>
          </cell>
        </row>
        <row r="284">
          <cell r="D284">
            <v>375000</v>
          </cell>
          <cell r="H284">
            <v>1241236</v>
          </cell>
        </row>
        <row r="285">
          <cell r="D285">
            <v>463000.00000000099</v>
          </cell>
          <cell r="H285">
            <v>1331610</v>
          </cell>
        </row>
        <row r="286">
          <cell r="D286">
            <v>643000.0000000007</v>
          </cell>
          <cell r="H286">
            <v>65468</v>
          </cell>
        </row>
        <row r="287">
          <cell r="D287">
            <v>554000.0000000021</v>
          </cell>
          <cell r="H287">
            <v>101900</v>
          </cell>
        </row>
        <row r="288">
          <cell r="D288">
            <v>496999.99999999988</v>
          </cell>
          <cell r="H288">
            <v>799026</v>
          </cell>
        </row>
        <row r="289">
          <cell r="D289">
            <v>455999.99999999598</v>
          </cell>
          <cell r="H289">
            <v>931861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11601000</v>
          </cell>
          <cell r="D4">
            <v>0</v>
          </cell>
          <cell r="E4">
            <v>28000000</v>
          </cell>
          <cell r="F4">
            <v>0</v>
          </cell>
          <cell r="G4">
            <v>0</v>
          </cell>
          <cell r="H4">
            <v>11180999.999999998</v>
          </cell>
          <cell r="I4">
            <v>26199999.999999817</v>
          </cell>
        </row>
        <row r="5">
          <cell r="C5">
            <v>10357000</v>
          </cell>
          <cell r="D5">
            <v>0</v>
          </cell>
          <cell r="E5">
            <v>26000000</v>
          </cell>
          <cell r="F5">
            <v>0</v>
          </cell>
          <cell r="G5">
            <v>0</v>
          </cell>
          <cell r="H5">
            <v>9761000.0000000037</v>
          </cell>
          <cell r="I5">
            <v>25699999.999999817</v>
          </cell>
        </row>
        <row r="6">
          <cell r="C6">
            <v>10243000</v>
          </cell>
          <cell r="D6">
            <v>0</v>
          </cell>
          <cell r="E6">
            <v>23000000</v>
          </cell>
          <cell r="F6">
            <v>0</v>
          </cell>
          <cell r="G6">
            <v>0</v>
          </cell>
          <cell r="H6">
            <v>9749000</v>
          </cell>
          <cell r="I6">
            <v>21600000.000000365</v>
          </cell>
        </row>
        <row r="7">
          <cell r="C7">
            <v>11648000</v>
          </cell>
          <cell r="D7">
            <v>0</v>
          </cell>
          <cell r="E7">
            <v>26000000</v>
          </cell>
          <cell r="F7">
            <v>0</v>
          </cell>
          <cell r="G7">
            <v>0</v>
          </cell>
          <cell r="H7">
            <v>11102999.999999998</v>
          </cell>
          <cell r="I7">
            <v>25800000.000000183</v>
          </cell>
        </row>
        <row r="8">
          <cell r="C8">
            <v>8862000</v>
          </cell>
          <cell r="D8">
            <v>0</v>
          </cell>
          <cell r="E8">
            <v>21000000</v>
          </cell>
          <cell r="F8">
            <v>0</v>
          </cell>
          <cell r="G8">
            <v>0</v>
          </cell>
          <cell r="H8">
            <v>8572999.9999999981</v>
          </cell>
          <cell r="I8">
            <v>20799999.999999274</v>
          </cell>
        </row>
        <row r="9">
          <cell r="C9">
            <v>10166000</v>
          </cell>
          <cell r="D9">
            <v>0</v>
          </cell>
          <cell r="E9">
            <v>28000000</v>
          </cell>
          <cell r="F9">
            <v>0</v>
          </cell>
          <cell r="G9">
            <v>0</v>
          </cell>
          <cell r="H9">
            <v>9659000.0000000019</v>
          </cell>
          <cell r="I9">
            <v>27100000.000000365</v>
          </cell>
        </row>
        <row r="10">
          <cell r="C10">
            <v>8012000</v>
          </cell>
          <cell r="D10">
            <v>0</v>
          </cell>
          <cell r="E10">
            <v>26000000</v>
          </cell>
          <cell r="F10">
            <v>0</v>
          </cell>
          <cell r="G10">
            <v>0</v>
          </cell>
          <cell r="H10">
            <v>7359000.0000000019</v>
          </cell>
          <cell r="I10">
            <v>24500000</v>
          </cell>
        </row>
        <row r="11">
          <cell r="C11">
            <v>9922000</v>
          </cell>
          <cell r="D11">
            <v>0</v>
          </cell>
          <cell r="E11">
            <v>27000000</v>
          </cell>
          <cell r="F11">
            <v>0</v>
          </cell>
          <cell r="G11">
            <v>0</v>
          </cell>
          <cell r="H11">
            <v>9417999.9999999944</v>
          </cell>
          <cell r="I11">
            <v>26500000</v>
          </cell>
        </row>
        <row r="12">
          <cell r="C12">
            <v>11265000</v>
          </cell>
          <cell r="D12">
            <v>0</v>
          </cell>
          <cell r="E12">
            <v>24000000</v>
          </cell>
          <cell r="F12">
            <v>0</v>
          </cell>
          <cell r="G12">
            <v>0</v>
          </cell>
          <cell r="H12">
            <v>10798000.000000002</v>
          </cell>
          <cell r="I12">
            <v>23199999.999999817</v>
          </cell>
        </row>
        <row r="13">
          <cell r="C13">
            <v>8782000</v>
          </cell>
          <cell r="D13">
            <v>0</v>
          </cell>
          <cell r="E13">
            <v>19000000</v>
          </cell>
          <cell r="F13">
            <v>0</v>
          </cell>
          <cell r="G13">
            <v>0</v>
          </cell>
          <cell r="H13">
            <v>8419999.9999999981</v>
          </cell>
          <cell r="I13">
            <v>19300000.000000183</v>
          </cell>
        </row>
        <row r="14">
          <cell r="C14">
            <v>10685000</v>
          </cell>
          <cell r="D14">
            <v>0</v>
          </cell>
          <cell r="E14">
            <v>24000000</v>
          </cell>
          <cell r="F14">
            <v>0</v>
          </cell>
          <cell r="G14">
            <v>0</v>
          </cell>
          <cell r="H14">
            <v>10175000.000000002</v>
          </cell>
          <cell r="I14">
            <v>23000000</v>
          </cell>
        </row>
        <row r="15">
          <cell r="C15">
            <v>11342000</v>
          </cell>
          <cell r="D15">
            <v>0</v>
          </cell>
          <cell r="E15">
            <v>24000000</v>
          </cell>
          <cell r="F15">
            <v>0</v>
          </cell>
          <cell r="G15">
            <v>0</v>
          </cell>
          <cell r="H15">
            <v>10833999.999999998</v>
          </cell>
          <cell r="I15">
            <v>21899999.999999635</v>
          </cell>
        </row>
        <row r="16">
          <cell r="C16">
            <v>11324000</v>
          </cell>
          <cell r="D16">
            <v>0</v>
          </cell>
          <cell r="E16">
            <v>21000000</v>
          </cell>
          <cell r="F16">
            <v>0</v>
          </cell>
          <cell r="G16">
            <v>0</v>
          </cell>
          <cell r="H16">
            <v>10679000.000000004</v>
          </cell>
          <cell r="I16">
            <v>22000000</v>
          </cell>
        </row>
        <row r="17">
          <cell r="C17">
            <v>12174000</v>
          </cell>
          <cell r="D17">
            <v>0</v>
          </cell>
          <cell r="E17">
            <v>26000000</v>
          </cell>
          <cell r="F17">
            <v>0</v>
          </cell>
          <cell r="G17">
            <v>0</v>
          </cell>
          <cell r="H17">
            <v>11803999.999999996</v>
          </cell>
          <cell r="I17">
            <v>25000000</v>
          </cell>
        </row>
        <row r="18">
          <cell r="C18">
            <v>11468000</v>
          </cell>
          <cell r="D18">
            <v>0</v>
          </cell>
          <cell r="E18">
            <v>25000000</v>
          </cell>
          <cell r="F18">
            <v>0</v>
          </cell>
          <cell r="G18">
            <v>0</v>
          </cell>
          <cell r="H18">
            <v>10909000.000000002</v>
          </cell>
          <cell r="I18">
            <v>23700000.000000726</v>
          </cell>
        </row>
        <row r="19">
          <cell r="C19">
            <v>11035000</v>
          </cell>
          <cell r="D19">
            <v>0</v>
          </cell>
          <cell r="E19">
            <v>23000000</v>
          </cell>
          <cell r="F19">
            <v>0</v>
          </cell>
          <cell r="G19">
            <v>0</v>
          </cell>
          <cell r="H19">
            <v>10580000.000000002</v>
          </cell>
          <cell r="I19">
            <v>21199999.999999817</v>
          </cell>
        </row>
        <row r="20">
          <cell r="C20">
            <v>8852000</v>
          </cell>
          <cell r="D20">
            <v>0</v>
          </cell>
          <cell r="E20">
            <v>19000000</v>
          </cell>
          <cell r="F20">
            <v>0</v>
          </cell>
          <cell r="G20">
            <v>0</v>
          </cell>
          <cell r="H20">
            <v>8383999.9999999963</v>
          </cell>
          <cell r="I20">
            <v>19500000</v>
          </cell>
        </row>
        <row r="21">
          <cell r="C21">
            <v>14174000</v>
          </cell>
          <cell r="D21">
            <v>0</v>
          </cell>
          <cell r="E21">
            <v>23000000</v>
          </cell>
          <cell r="F21">
            <v>0</v>
          </cell>
          <cell r="G21">
            <v>0</v>
          </cell>
          <cell r="H21">
            <v>13705000.000000006</v>
          </cell>
          <cell r="I21">
            <v>21699999.999999817</v>
          </cell>
        </row>
        <row r="22">
          <cell r="C22">
            <v>7984000</v>
          </cell>
          <cell r="D22">
            <v>0</v>
          </cell>
          <cell r="E22">
            <v>20000000</v>
          </cell>
          <cell r="F22">
            <v>0</v>
          </cell>
          <cell r="G22">
            <v>0</v>
          </cell>
          <cell r="H22">
            <v>7609999.9999999972</v>
          </cell>
          <cell r="I22">
            <v>20000000</v>
          </cell>
        </row>
        <row r="23">
          <cell r="C23">
            <v>11970000</v>
          </cell>
          <cell r="D23">
            <v>0</v>
          </cell>
          <cell r="E23">
            <v>19000000</v>
          </cell>
          <cell r="F23">
            <v>0</v>
          </cell>
          <cell r="G23">
            <v>0</v>
          </cell>
          <cell r="H23">
            <v>11574999.999999996</v>
          </cell>
          <cell r="I23">
            <v>19199999.999999817</v>
          </cell>
        </row>
        <row r="24">
          <cell r="C24">
            <v>12343000</v>
          </cell>
          <cell r="D24">
            <v>0</v>
          </cell>
          <cell r="E24">
            <v>23000000</v>
          </cell>
          <cell r="F24">
            <v>0</v>
          </cell>
          <cell r="G24">
            <v>0</v>
          </cell>
          <cell r="H24">
            <v>11914000</v>
          </cell>
          <cell r="I24">
            <v>22600000.000000365</v>
          </cell>
        </row>
        <row r="25">
          <cell r="C25">
            <v>12019000</v>
          </cell>
          <cell r="D25">
            <v>0</v>
          </cell>
          <cell r="E25">
            <v>24000000</v>
          </cell>
          <cell r="F25">
            <v>0</v>
          </cell>
          <cell r="G25">
            <v>0</v>
          </cell>
          <cell r="H25">
            <v>11419000.000000006</v>
          </cell>
          <cell r="I25">
            <v>23800000.000000183</v>
          </cell>
        </row>
        <row r="26">
          <cell r="C26">
            <v>11358000</v>
          </cell>
          <cell r="D26">
            <v>0</v>
          </cell>
          <cell r="E26">
            <v>26000000</v>
          </cell>
          <cell r="F26">
            <v>0</v>
          </cell>
          <cell r="G26">
            <v>0</v>
          </cell>
          <cell r="H26">
            <v>11065999.999999998</v>
          </cell>
          <cell r="I26">
            <v>25500000</v>
          </cell>
        </row>
        <row r="27">
          <cell r="C27">
            <v>9171000</v>
          </cell>
          <cell r="D27">
            <v>0</v>
          </cell>
          <cell r="E27">
            <v>20000000</v>
          </cell>
          <cell r="F27">
            <v>0</v>
          </cell>
          <cell r="G27">
            <v>0</v>
          </cell>
          <cell r="H27">
            <v>8790000</v>
          </cell>
          <cell r="I27">
            <v>19899999.999999635</v>
          </cell>
        </row>
        <row r="28">
          <cell r="C28">
            <v>10322000</v>
          </cell>
          <cell r="D28">
            <v>0</v>
          </cell>
          <cell r="E28">
            <v>25000000</v>
          </cell>
          <cell r="F28">
            <v>0</v>
          </cell>
          <cell r="G28">
            <v>0</v>
          </cell>
          <cell r="H28">
            <v>9670999.9999999963</v>
          </cell>
          <cell r="I28">
            <v>23899999.999999635</v>
          </cell>
        </row>
        <row r="29">
          <cell r="C29">
            <v>11032000</v>
          </cell>
          <cell r="D29">
            <v>0</v>
          </cell>
          <cell r="E29">
            <v>22000000</v>
          </cell>
          <cell r="F29">
            <v>0</v>
          </cell>
          <cell r="G29">
            <v>0</v>
          </cell>
          <cell r="H29">
            <v>10483000</v>
          </cell>
          <cell r="I29">
            <v>22100000.000000365</v>
          </cell>
        </row>
        <row r="30">
          <cell r="C30">
            <v>12159000</v>
          </cell>
          <cell r="D30">
            <v>0</v>
          </cell>
          <cell r="E30">
            <v>25000000</v>
          </cell>
          <cell r="F30">
            <v>0</v>
          </cell>
          <cell r="G30">
            <v>0</v>
          </cell>
          <cell r="H30">
            <v>11699000</v>
          </cell>
          <cell r="I30">
            <v>24199999.999999817</v>
          </cell>
        </row>
        <row r="31">
          <cell r="C31">
            <v>12135000</v>
          </cell>
          <cell r="D31">
            <v>0</v>
          </cell>
          <cell r="E31">
            <v>26000000</v>
          </cell>
          <cell r="F31">
            <v>0</v>
          </cell>
          <cell r="G31">
            <v>0</v>
          </cell>
          <cell r="H31">
            <v>11678000</v>
          </cell>
          <cell r="I31">
            <v>24600000.000000365</v>
          </cell>
        </row>
        <row r="32">
          <cell r="C32">
            <v>10992000</v>
          </cell>
          <cell r="D32">
            <v>0</v>
          </cell>
          <cell r="E32">
            <v>27000000</v>
          </cell>
          <cell r="F32">
            <v>0</v>
          </cell>
          <cell r="G32">
            <v>0</v>
          </cell>
          <cell r="H32">
            <v>10536000.000000004</v>
          </cell>
          <cell r="I32">
            <v>26500000</v>
          </cell>
        </row>
        <row r="33">
          <cell r="C33">
            <v>10133000</v>
          </cell>
          <cell r="D33">
            <v>0</v>
          </cell>
          <cell r="E33">
            <v>23000000</v>
          </cell>
          <cell r="F33">
            <v>0</v>
          </cell>
          <cell r="G33">
            <v>0</v>
          </cell>
          <cell r="H33">
            <v>9624000</v>
          </cell>
          <cell r="I33">
            <v>22599999.999999456</v>
          </cell>
        </row>
        <row r="34">
          <cell r="C34">
            <v>9187000</v>
          </cell>
          <cell r="D34">
            <v>0</v>
          </cell>
          <cell r="E34">
            <v>28000000</v>
          </cell>
          <cell r="F34">
            <v>0</v>
          </cell>
          <cell r="G34">
            <v>0</v>
          </cell>
          <cell r="H34">
            <v>8674000.0000000019</v>
          </cell>
          <cell r="I34">
            <v>27200000.000000726</v>
          </cell>
        </row>
        <row r="259">
          <cell r="D259">
            <v>420000.00000000169</v>
          </cell>
          <cell r="H259">
            <v>8862602</v>
          </cell>
        </row>
        <row r="260">
          <cell r="D260">
            <v>595999.99999999651</v>
          </cell>
          <cell r="H260">
            <v>74464</v>
          </cell>
        </row>
        <row r="261">
          <cell r="D261">
            <v>493999.99999999977</v>
          </cell>
          <cell r="H261">
            <v>79500</v>
          </cell>
        </row>
        <row r="262">
          <cell r="D262">
            <v>545000.00000000175</v>
          </cell>
          <cell r="H262">
            <v>78395</v>
          </cell>
        </row>
        <row r="263">
          <cell r="D263">
            <v>289000.00000000146</v>
          </cell>
          <cell r="H263">
            <v>769325</v>
          </cell>
        </row>
        <row r="264">
          <cell r="D264">
            <v>506999.9999999979</v>
          </cell>
          <cell r="H264">
            <v>111429</v>
          </cell>
        </row>
        <row r="265">
          <cell r="D265">
            <v>652999.99999999872</v>
          </cell>
          <cell r="H265">
            <v>124097</v>
          </cell>
        </row>
        <row r="266">
          <cell r="D266">
            <v>504000.00000000489</v>
          </cell>
          <cell r="H266">
            <v>129886</v>
          </cell>
        </row>
        <row r="267">
          <cell r="D267">
            <v>466999.99999999878</v>
          </cell>
          <cell r="H267">
            <v>800636</v>
          </cell>
        </row>
        <row r="268">
          <cell r="D268">
            <v>362000.00000000186</v>
          </cell>
          <cell r="H268">
            <v>702089</v>
          </cell>
        </row>
        <row r="269">
          <cell r="D269">
            <v>509999.99999999802</v>
          </cell>
          <cell r="H269">
            <v>738746</v>
          </cell>
        </row>
        <row r="270">
          <cell r="D270">
            <v>508000.00000000268</v>
          </cell>
          <cell r="H270">
            <v>738730</v>
          </cell>
        </row>
        <row r="271">
          <cell r="D271">
            <v>644999.99999999604</v>
          </cell>
          <cell r="H271">
            <v>683071</v>
          </cell>
        </row>
        <row r="272">
          <cell r="D272">
            <v>370000.00000000454</v>
          </cell>
          <cell r="H272">
            <v>870952</v>
          </cell>
        </row>
        <row r="273">
          <cell r="D273">
            <v>558999.99999999756</v>
          </cell>
          <cell r="H273">
            <v>975763</v>
          </cell>
        </row>
        <row r="274">
          <cell r="D274">
            <v>454999.99999999831</v>
          </cell>
          <cell r="H274">
            <v>90737</v>
          </cell>
        </row>
        <row r="275">
          <cell r="D275">
            <v>468000.00000000355</v>
          </cell>
          <cell r="H275">
            <v>87000</v>
          </cell>
        </row>
        <row r="276">
          <cell r="D276">
            <v>468999.99999999406</v>
          </cell>
          <cell r="H276">
            <v>665845</v>
          </cell>
        </row>
        <row r="277">
          <cell r="D277">
            <v>374000.00000000233</v>
          </cell>
          <cell r="H277">
            <v>670224</v>
          </cell>
        </row>
        <row r="278">
          <cell r="D278">
            <v>395000.00000000314</v>
          </cell>
          <cell r="H278">
            <v>109769</v>
          </cell>
        </row>
        <row r="279">
          <cell r="D279">
            <v>457000.00000000076</v>
          </cell>
          <cell r="H279">
            <v>755195</v>
          </cell>
        </row>
        <row r="280">
          <cell r="D280">
            <v>599999.9999999943</v>
          </cell>
          <cell r="H280">
            <v>797721</v>
          </cell>
        </row>
        <row r="281">
          <cell r="D281">
            <v>292000.00000000157</v>
          </cell>
          <cell r="H281">
            <v>770030</v>
          </cell>
        </row>
        <row r="282">
          <cell r="D282">
            <v>381000.00000000023</v>
          </cell>
          <cell r="H282">
            <v>635185</v>
          </cell>
        </row>
        <row r="283">
          <cell r="D283">
            <v>651000.00000000338</v>
          </cell>
          <cell r="H283">
            <v>97479</v>
          </cell>
        </row>
        <row r="284">
          <cell r="D284">
            <v>548999.99999999953</v>
          </cell>
          <cell r="H284">
            <v>80150</v>
          </cell>
        </row>
        <row r="285">
          <cell r="D285">
            <v>460000.00000000087</v>
          </cell>
          <cell r="H285">
            <v>855473</v>
          </cell>
        </row>
        <row r="286">
          <cell r="D286">
            <v>457000.00000000076</v>
          </cell>
          <cell r="H286">
            <v>1161726</v>
          </cell>
        </row>
        <row r="287">
          <cell r="D287">
            <v>455999.99999999598</v>
          </cell>
          <cell r="H287">
            <v>1017195</v>
          </cell>
        </row>
        <row r="288">
          <cell r="D288">
            <v>509000.00000000035</v>
          </cell>
          <cell r="H288">
            <v>65098</v>
          </cell>
        </row>
        <row r="289">
          <cell r="D289">
            <v>512999.99999999814</v>
          </cell>
          <cell r="H289">
            <v>30121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Sep Prod"/>
      <sheetName val="Sheet1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9458000</v>
          </cell>
          <cell r="D4">
            <v>0</v>
          </cell>
          <cell r="E4">
            <v>24000000</v>
          </cell>
          <cell r="F4">
            <v>0</v>
          </cell>
          <cell r="G4">
            <v>0</v>
          </cell>
          <cell r="H4">
            <v>9084999.9999999944</v>
          </cell>
          <cell r="I4">
            <v>24500000</v>
          </cell>
        </row>
        <row r="5">
          <cell r="C5">
            <v>9573000</v>
          </cell>
          <cell r="D5">
            <v>0</v>
          </cell>
          <cell r="E5">
            <v>22000000</v>
          </cell>
          <cell r="F5">
            <v>0</v>
          </cell>
          <cell r="G5">
            <v>0</v>
          </cell>
          <cell r="H5">
            <v>8979000.0000000056</v>
          </cell>
          <cell r="I5">
            <v>22599999.999999456</v>
          </cell>
        </row>
        <row r="6">
          <cell r="C6">
            <v>9666000</v>
          </cell>
          <cell r="D6">
            <v>0</v>
          </cell>
          <cell r="E6">
            <v>24000000</v>
          </cell>
          <cell r="F6">
            <v>0</v>
          </cell>
          <cell r="G6">
            <v>0</v>
          </cell>
          <cell r="H6">
            <v>9250999.9999999944</v>
          </cell>
          <cell r="I6">
            <v>24600000.000000365</v>
          </cell>
        </row>
        <row r="7">
          <cell r="C7">
            <v>9953000</v>
          </cell>
          <cell r="D7">
            <v>0</v>
          </cell>
          <cell r="E7">
            <v>25000000</v>
          </cell>
          <cell r="F7">
            <v>0</v>
          </cell>
          <cell r="G7">
            <v>0</v>
          </cell>
          <cell r="H7">
            <v>9401000</v>
          </cell>
          <cell r="I7">
            <v>24699999.999999817</v>
          </cell>
        </row>
        <row r="8">
          <cell r="C8">
            <v>10032000</v>
          </cell>
          <cell r="D8">
            <v>0</v>
          </cell>
          <cell r="E8">
            <v>27000000</v>
          </cell>
          <cell r="F8">
            <v>0</v>
          </cell>
          <cell r="G8">
            <v>0</v>
          </cell>
          <cell r="H8">
            <v>9480000</v>
          </cell>
          <cell r="I8">
            <v>26199999.999999817</v>
          </cell>
        </row>
        <row r="9">
          <cell r="C9">
            <v>11136000</v>
          </cell>
          <cell r="D9">
            <v>0</v>
          </cell>
          <cell r="E9">
            <v>24000000</v>
          </cell>
          <cell r="F9">
            <v>0</v>
          </cell>
          <cell r="G9">
            <v>0</v>
          </cell>
          <cell r="H9">
            <v>10590000</v>
          </cell>
          <cell r="I9">
            <v>25300000.000000183</v>
          </cell>
        </row>
        <row r="10">
          <cell r="C10">
            <v>10087000</v>
          </cell>
          <cell r="D10">
            <v>0</v>
          </cell>
          <cell r="E10">
            <v>24000000</v>
          </cell>
          <cell r="F10">
            <v>0</v>
          </cell>
          <cell r="G10">
            <v>0</v>
          </cell>
          <cell r="H10">
            <v>9614999.9999999981</v>
          </cell>
          <cell r="I10">
            <v>24000000</v>
          </cell>
        </row>
        <row r="11">
          <cell r="C11">
            <v>9744000</v>
          </cell>
          <cell r="D11">
            <v>0</v>
          </cell>
          <cell r="E11">
            <v>23000000</v>
          </cell>
          <cell r="F11">
            <v>0</v>
          </cell>
          <cell r="G11">
            <v>0</v>
          </cell>
          <cell r="H11">
            <v>9164000.0000000019</v>
          </cell>
          <cell r="I11">
            <v>23100000.000000365</v>
          </cell>
        </row>
        <row r="12">
          <cell r="C12">
            <v>10068000</v>
          </cell>
          <cell r="D12">
            <v>0</v>
          </cell>
          <cell r="E12">
            <v>22000000</v>
          </cell>
          <cell r="F12">
            <v>0</v>
          </cell>
          <cell r="G12">
            <v>0</v>
          </cell>
          <cell r="H12">
            <v>9577999.9999999981</v>
          </cell>
          <cell r="I12">
            <v>22599999.999999456</v>
          </cell>
        </row>
        <row r="13">
          <cell r="C13">
            <v>11621000</v>
          </cell>
          <cell r="D13">
            <v>0</v>
          </cell>
          <cell r="E13">
            <v>23000000</v>
          </cell>
          <cell r="F13">
            <v>0</v>
          </cell>
          <cell r="G13">
            <v>0</v>
          </cell>
          <cell r="H13">
            <v>11089000.000000004</v>
          </cell>
          <cell r="I13">
            <v>22500000</v>
          </cell>
        </row>
        <row r="14">
          <cell r="C14">
            <v>11035000</v>
          </cell>
          <cell r="D14">
            <v>0</v>
          </cell>
          <cell r="E14">
            <v>24000000</v>
          </cell>
          <cell r="F14">
            <v>0</v>
          </cell>
          <cell r="G14">
            <v>0</v>
          </cell>
          <cell r="H14">
            <v>10569999.999999996</v>
          </cell>
          <cell r="I14">
            <v>24500000</v>
          </cell>
        </row>
        <row r="15">
          <cell r="C15">
            <v>9617000</v>
          </cell>
          <cell r="D15">
            <v>0</v>
          </cell>
          <cell r="E15">
            <v>25000000</v>
          </cell>
          <cell r="F15">
            <v>0</v>
          </cell>
          <cell r="G15">
            <v>0</v>
          </cell>
          <cell r="H15">
            <v>8981000.0000000037</v>
          </cell>
          <cell r="I15">
            <v>24300000.000000183</v>
          </cell>
        </row>
        <row r="16">
          <cell r="C16">
            <v>11446000</v>
          </cell>
          <cell r="D16">
            <v>0</v>
          </cell>
          <cell r="E16">
            <v>23000000</v>
          </cell>
          <cell r="F16">
            <v>0</v>
          </cell>
          <cell r="G16">
            <v>0</v>
          </cell>
          <cell r="H16">
            <v>10897999.999999998</v>
          </cell>
          <cell r="I16">
            <v>23600000.000000365</v>
          </cell>
        </row>
        <row r="17">
          <cell r="C17">
            <v>10186000</v>
          </cell>
          <cell r="D17">
            <v>0</v>
          </cell>
          <cell r="E17">
            <v>23000000</v>
          </cell>
          <cell r="F17">
            <v>0</v>
          </cell>
          <cell r="G17">
            <v>0</v>
          </cell>
          <cell r="H17">
            <v>9674999.9999999963</v>
          </cell>
          <cell r="I17">
            <v>23699999.999999817</v>
          </cell>
        </row>
        <row r="18">
          <cell r="C18">
            <v>9825000</v>
          </cell>
          <cell r="D18">
            <v>0</v>
          </cell>
          <cell r="E18">
            <v>25000000</v>
          </cell>
          <cell r="F18">
            <v>0</v>
          </cell>
          <cell r="G18">
            <v>0</v>
          </cell>
          <cell r="H18">
            <v>9461000.0000000037</v>
          </cell>
          <cell r="I18">
            <v>24399999.999999635</v>
          </cell>
        </row>
        <row r="19">
          <cell r="C19">
            <v>9490000</v>
          </cell>
          <cell r="D19">
            <v>0</v>
          </cell>
          <cell r="E19">
            <v>23000000</v>
          </cell>
          <cell r="F19">
            <v>0</v>
          </cell>
          <cell r="G19">
            <v>0</v>
          </cell>
          <cell r="H19">
            <v>8986000.0000000019</v>
          </cell>
          <cell r="I19">
            <v>23300000.000000183</v>
          </cell>
        </row>
        <row r="20">
          <cell r="C20">
            <v>10302000</v>
          </cell>
          <cell r="D20">
            <v>0</v>
          </cell>
          <cell r="E20">
            <v>23000000</v>
          </cell>
          <cell r="F20">
            <v>0</v>
          </cell>
          <cell r="G20">
            <v>0</v>
          </cell>
          <cell r="H20">
            <v>9653999.9999999963</v>
          </cell>
          <cell r="I20">
            <v>23800000.000000183</v>
          </cell>
        </row>
        <row r="21">
          <cell r="C21">
            <v>10015000</v>
          </cell>
          <cell r="D21">
            <v>0</v>
          </cell>
          <cell r="E21">
            <v>21000000</v>
          </cell>
          <cell r="F21">
            <v>0</v>
          </cell>
          <cell r="G21">
            <v>0</v>
          </cell>
          <cell r="H21">
            <v>9641000.0000000056</v>
          </cell>
          <cell r="I21">
            <v>21399999.999999635</v>
          </cell>
        </row>
        <row r="22">
          <cell r="C22">
            <v>10019000</v>
          </cell>
          <cell r="D22">
            <v>0</v>
          </cell>
          <cell r="E22">
            <v>24000000</v>
          </cell>
          <cell r="F22">
            <v>0</v>
          </cell>
          <cell r="G22">
            <v>0</v>
          </cell>
          <cell r="H22">
            <v>9644999.9999999981</v>
          </cell>
          <cell r="I22">
            <v>23500000</v>
          </cell>
        </row>
        <row r="23">
          <cell r="C23">
            <v>10420000</v>
          </cell>
          <cell r="D23">
            <v>0</v>
          </cell>
          <cell r="E23">
            <v>23000000</v>
          </cell>
          <cell r="F23">
            <v>0</v>
          </cell>
          <cell r="G23">
            <v>0</v>
          </cell>
          <cell r="H23">
            <v>9953000.0000000019</v>
          </cell>
          <cell r="I23">
            <v>24300000.000000183</v>
          </cell>
        </row>
        <row r="24">
          <cell r="C24">
            <v>9898000</v>
          </cell>
          <cell r="D24">
            <v>0</v>
          </cell>
          <cell r="E24">
            <v>22000000</v>
          </cell>
          <cell r="F24">
            <v>0</v>
          </cell>
          <cell r="G24">
            <v>0</v>
          </cell>
          <cell r="H24">
            <v>9340000</v>
          </cell>
          <cell r="I24">
            <v>22300000.000000183</v>
          </cell>
        </row>
        <row r="25">
          <cell r="C25">
            <v>9845000</v>
          </cell>
          <cell r="D25">
            <v>0</v>
          </cell>
          <cell r="E25">
            <v>20000000</v>
          </cell>
          <cell r="F25">
            <v>0</v>
          </cell>
          <cell r="G25">
            <v>0</v>
          </cell>
          <cell r="H25">
            <v>9431999.9999999963</v>
          </cell>
          <cell r="I25">
            <v>19300000.000000183</v>
          </cell>
        </row>
        <row r="26">
          <cell r="C26">
            <v>9586000</v>
          </cell>
          <cell r="D26">
            <v>0</v>
          </cell>
          <cell r="E26">
            <v>16000000</v>
          </cell>
          <cell r="F26">
            <v>0</v>
          </cell>
          <cell r="G26">
            <v>0</v>
          </cell>
          <cell r="H26">
            <v>9171999.9999999981</v>
          </cell>
          <cell r="I26">
            <v>16199999.999999817</v>
          </cell>
        </row>
        <row r="27">
          <cell r="C27">
            <v>10424000</v>
          </cell>
          <cell r="D27">
            <v>0</v>
          </cell>
          <cell r="E27">
            <v>19000000</v>
          </cell>
          <cell r="F27">
            <v>0</v>
          </cell>
          <cell r="G27">
            <v>0</v>
          </cell>
          <cell r="H27">
            <v>10107000</v>
          </cell>
          <cell r="I27">
            <v>20199999.999999817</v>
          </cell>
        </row>
        <row r="28">
          <cell r="C28">
            <v>9919000</v>
          </cell>
          <cell r="D28">
            <v>0</v>
          </cell>
          <cell r="E28">
            <v>22000000</v>
          </cell>
          <cell r="F28">
            <v>0</v>
          </cell>
          <cell r="G28">
            <v>0</v>
          </cell>
          <cell r="H28">
            <v>9573000.0000000037</v>
          </cell>
          <cell r="I28">
            <v>22300000.000000183</v>
          </cell>
        </row>
        <row r="29">
          <cell r="C29">
            <v>9740000</v>
          </cell>
          <cell r="D29">
            <v>0</v>
          </cell>
          <cell r="E29">
            <v>22000000</v>
          </cell>
          <cell r="F29">
            <v>0</v>
          </cell>
          <cell r="G29">
            <v>0</v>
          </cell>
          <cell r="H29">
            <v>9452999.9999999944</v>
          </cell>
          <cell r="I29">
            <v>21399999.999999635</v>
          </cell>
        </row>
        <row r="30">
          <cell r="C30">
            <v>11453000</v>
          </cell>
          <cell r="D30">
            <v>0</v>
          </cell>
          <cell r="E30">
            <v>22000000</v>
          </cell>
          <cell r="F30">
            <v>0</v>
          </cell>
          <cell r="G30">
            <v>0</v>
          </cell>
          <cell r="H30">
            <v>11227000</v>
          </cell>
          <cell r="I30">
            <v>22900000.000000544</v>
          </cell>
        </row>
        <row r="31">
          <cell r="C31">
            <v>9357000</v>
          </cell>
          <cell r="D31">
            <v>0</v>
          </cell>
          <cell r="E31">
            <v>22000000</v>
          </cell>
          <cell r="F31">
            <v>0</v>
          </cell>
          <cell r="G31">
            <v>0</v>
          </cell>
          <cell r="H31">
            <v>9213000.0000000093</v>
          </cell>
          <cell r="I31">
            <v>22199999.999999817</v>
          </cell>
        </row>
        <row r="32">
          <cell r="C32">
            <v>8815000</v>
          </cell>
          <cell r="D32">
            <v>0</v>
          </cell>
          <cell r="E32">
            <v>21000000</v>
          </cell>
          <cell r="F32">
            <v>0</v>
          </cell>
          <cell r="G32">
            <v>0</v>
          </cell>
          <cell r="H32">
            <v>8616999.9999999925</v>
          </cell>
          <cell r="I32">
            <v>21300000.000000183</v>
          </cell>
        </row>
        <row r="33">
          <cell r="C33">
            <v>8724000</v>
          </cell>
          <cell r="D33">
            <v>0</v>
          </cell>
          <cell r="E33">
            <v>21000000</v>
          </cell>
          <cell r="F33">
            <v>0</v>
          </cell>
          <cell r="G33">
            <v>0</v>
          </cell>
          <cell r="H33">
            <v>8437999.9999999981</v>
          </cell>
          <cell r="I33">
            <v>20899999.999999635</v>
          </cell>
        </row>
        <row r="252">
          <cell r="D252">
            <v>373000.00000000466</v>
          </cell>
          <cell r="H252">
            <v>203797</v>
          </cell>
        </row>
        <row r="253">
          <cell r="D253">
            <v>593999.99999999406</v>
          </cell>
          <cell r="H253">
            <v>181956</v>
          </cell>
        </row>
        <row r="254">
          <cell r="D254">
            <v>415000.00000000623</v>
          </cell>
          <cell r="H254">
            <v>49643</v>
          </cell>
        </row>
        <row r="255">
          <cell r="D255">
            <v>551999.99999999965</v>
          </cell>
          <cell r="H255">
            <v>73026</v>
          </cell>
        </row>
        <row r="256">
          <cell r="D256">
            <v>551999.99999999965</v>
          </cell>
          <cell r="H256">
            <v>53223</v>
          </cell>
        </row>
        <row r="257">
          <cell r="D257">
            <v>545999.99999999942</v>
          </cell>
          <cell r="H257">
            <v>225120</v>
          </cell>
        </row>
        <row r="258">
          <cell r="D258">
            <v>472000.00000000128</v>
          </cell>
          <cell r="H258">
            <v>269920</v>
          </cell>
        </row>
        <row r="259">
          <cell r="D259">
            <v>579999.99999999825</v>
          </cell>
          <cell r="H259">
            <v>43799</v>
          </cell>
        </row>
        <row r="260">
          <cell r="D260">
            <v>490000.00000000198</v>
          </cell>
          <cell r="H260">
            <v>65170</v>
          </cell>
        </row>
        <row r="261">
          <cell r="D261">
            <v>531999.99999999651</v>
          </cell>
          <cell r="H261">
            <v>238786</v>
          </cell>
        </row>
        <row r="262">
          <cell r="D262">
            <v>465000.00000000343</v>
          </cell>
          <cell r="H262">
            <v>219308</v>
          </cell>
        </row>
        <row r="263">
          <cell r="D263">
            <v>635999.99999999569</v>
          </cell>
          <cell r="H263">
            <v>224753</v>
          </cell>
        </row>
        <row r="264">
          <cell r="D264">
            <v>548000.00000000186</v>
          </cell>
          <cell r="H264">
            <v>61257</v>
          </cell>
        </row>
        <row r="265">
          <cell r="D265">
            <v>511000.00000000279</v>
          </cell>
          <cell r="H265">
            <v>49523</v>
          </cell>
        </row>
        <row r="266">
          <cell r="D266">
            <v>363999.99999999721</v>
          </cell>
          <cell r="H266">
            <v>222126</v>
          </cell>
        </row>
        <row r="267">
          <cell r="D267">
            <v>503999.99999999779</v>
          </cell>
          <cell r="H267">
            <v>142128</v>
          </cell>
        </row>
        <row r="268">
          <cell r="D268">
            <v>648000.00000000326</v>
          </cell>
          <cell r="H268">
            <v>51779</v>
          </cell>
        </row>
        <row r="269">
          <cell r="D269">
            <v>373999.99999999523</v>
          </cell>
          <cell r="H269">
            <v>45945</v>
          </cell>
        </row>
        <row r="270">
          <cell r="D270">
            <v>374000.00000000233</v>
          </cell>
          <cell r="H270">
            <v>52339</v>
          </cell>
        </row>
        <row r="271">
          <cell r="D271">
            <v>466999.99999999878</v>
          </cell>
          <cell r="H271">
            <v>217953</v>
          </cell>
        </row>
        <row r="272">
          <cell r="D272">
            <v>557999.99999999988</v>
          </cell>
          <cell r="H272">
            <v>156858</v>
          </cell>
        </row>
        <row r="273">
          <cell r="D273">
            <v>413000.00000000378</v>
          </cell>
          <cell r="H273">
            <v>56246</v>
          </cell>
        </row>
        <row r="274">
          <cell r="D274">
            <v>414000.00000000146</v>
          </cell>
          <cell r="H274">
            <v>51514</v>
          </cell>
        </row>
        <row r="275">
          <cell r="D275">
            <v>317000.00000000017</v>
          </cell>
          <cell r="H275">
            <v>124013</v>
          </cell>
        </row>
        <row r="276">
          <cell r="D276">
            <v>345999.99999999651</v>
          </cell>
          <cell r="H276">
            <v>171954</v>
          </cell>
        </row>
        <row r="277">
          <cell r="D277">
            <v>287000.00000000611</v>
          </cell>
          <cell r="H277">
            <v>164662</v>
          </cell>
        </row>
        <row r="278">
          <cell r="D278">
            <v>225999.9999999991</v>
          </cell>
          <cell r="H278">
            <v>58144</v>
          </cell>
        </row>
        <row r="279">
          <cell r="D279">
            <v>143999.99999999124</v>
          </cell>
          <cell r="H279">
            <v>27316</v>
          </cell>
        </row>
        <row r="280">
          <cell r="D280">
            <v>198000.00000000751</v>
          </cell>
          <cell r="H280">
            <v>421567</v>
          </cell>
        </row>
        <row r="281">
          <cell r="D281">
            <v>286000.00000000134</v>
          </cell>
          <cell r="H281">
            <v>117846</v>
          </cell>
        </row>
      </sheetData>
      <sheetData sheetId="31"/>
      <sheetData sheetId="3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Oct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10650000</v>
          </cell>
          <cell r="D4">
            <v>0</v>
          </cell>
          <cell r="E4">
            <v>21000000</v>
          </cell>
          <cell r="F4">
            <v>0</v>
          </cell>
          <cell r="G4">
            <v>0</v>
          </cell>
          <cell r="H4">
            <v>10365000.000000004</v>
          </cell>
          <cell r="I4">
            <v>21300000.000000183</v>
          </cell>
        </row>
        <row r="5">
          <cell r="C5">
            <v>9796000</v>
          </cell>
          <cell r="D5">
            <v>0</v>
          </cell>
          <cell r="E5">
            <v>20000000</v>
          </cell>
          <cell r="F5">
            <v>0</v>
          </cell>
          <cell r="G5">
            <v>0</v>
          </cell>
          <cell r="H5">
            <v>9634999.9999999981</v>
          </cell>
          <cell r="I5">
            <v>20500000</v>
          </cell>
        </row>
        <row r="6">
          <cell r="C6">
            <v>10134000</v>
          </cell>
          <cell r="D6">
            <v>0</v>
          </cell>
          <cell r="E6">
            <v>20000000</v>
          </cell>
          <cell r="F6">
            <v>0</v>
          </cell>
          <cell r="G6">
            <v>0</v>
          </cell>
          <cell r="H6">
            <v>10010000.000000006</v>
          </cell>
          <cell r="I6">
            <v>19800000.000000183</v>
          </cell>
        </row>
        <row r="7">
          <cell r="C7">
            <v>10013000</v>
          </cell>
          <cell r="D7">
            <v>0</v>
          </cell>
          <cell r="E7">
            <v>20000000</v>
          </cell>
          <cell r="F7">
            <v>0</v>
          </cell>
          <cell r="G7">
            <v>0</v>
          </cell>
          <cell r="H7">
            <v>9729999.9999999981</v>
          </cell>
          <cell r="I7">
            <v>20000000</v>
          </cell>
        </row>
        <row r="8">
          <cell r="C8">
            <v>9475000</v>
          </cell>
          <cell r="D8">
            <v>0</v>
          </cell>
          <cell r="E8">
            <v>17000000</v>
          </cell>
          <cell r="F8">
            <v>0</v>
          </cell>
          <cell r="G8">
            <v>0</v>
          </cell>
          <cell r="H8">
            <v>9197999.9999999981</v>
          </cell>
          <cell r="I8">
            <v>16599999.999999454</v>
          </cell>
        </row>
        <row r="9">
          <cell r="C9">
            <v>10115000</v>
          </cell>
          <cell r="D9">
            <v>0</v>
          </cell>
          <cell r="E9">
            <v>19000000</v>
          </cell>
          <cell r="F9">
            <v>0</v>
          </cell>
          <cell r="G9">
            <v>0</v>
          </cell>
          <cell r="H9">
            <v>9899000.0000000056</v>
          </cell>
          <cell r="I9">
            <v>19500000</v>
          </cell>
        </row>
        <row r="10">
          <cell r="C10">
            <v>7960000</v>
          </cell>
          <cell r="D10">
            <v>0</v>
          </cell>
          <cell r="E10">
            <v>18000000</v>
          </cell>
          <cell r="F10">
            <v>0</v>
          </cell>
          <cell r="G10">
            <v>0</v>
          </cell>
          <cell r="H10">
            <v>7859999.9999999916</v>
          </cell>
          <cell r="I10">
            <v>16800000.000000183</v>
          </cell>
        </row>
        <row r="11">
          <cell r="C11">
            <v>7719000</v>
          </cell>
          <cell r="D11">
            <v>0</v>
          </cell>
          <cell r="E11">
            <v>12000000</v>
          </cell>
          <cell r="F11">
            <v>3000000</v>
          </cell>
          <cell r="G11">
            <v>0</v>
          </cell>
          <cell r="H11">
            <v>7480000.0000000102</v>
          </cell>
          <cell r="I11">
            <v>15899999.999999637</v>
          </cell>
        </row>
        <row r="12">
          <cell r="C12">
            <v>5207000</v>
          </cell>
          <cell r="D12">
            <v>0</v>
          </cell>
          <cell r="E12">
            <v>11000000</v>
          </cell>
          <cell r="F12">
            <v>5000000</v>
          </cell>
          <cell r="G12">
            <v>0</v>
          </cell>
          <cell r="H12">
            <v>4921999.9999999888</v>
          </cell>
          <cell r="I12">
            <v>16800000.000001092</v>
          </cell>
        </row>
        <row r="13">
          <cell r="C13">
            <v>5099000</v>
          </cell>
          <cell r="D13">
            <v>0</v>
          </cell>
          <cell r="E13">
            <v>13000000</v>
          </cell>
          <cell r="F13">
            <v>5000000</v>
          </cell>
          <cell r="G13">
            <v>0</v>
          </cell>
          <cell r="H13">
            <v>4872000.0000000056</v>
          </cell>
          <cell r="I13">
            <v>16799999.999999274</v>
          </cell>
        </row>
        <row r="14">
          <cell r="C14">
            <v>1844000</v>
          </cell>
          <cell r="D14">
            <v>0</v>
          </cell>
          <cell r="E14">
            <v>15000000</v>
          </cell>
          <cell r="F14">
            <v>3000000</v>
          </cell>
          <cell r="G14">
            <v>0</v>
          </cell>
          <cell r="H14">
            <v>1844000</v>
          </cell>
          <cell r="I14">
            <v>17200000.000000726</v>
          </cell>
        </row>
        <row r="15">
          <cell r="C15">
            <v>0</v>
          </cell>
          <cell r="D15">
            <v>0</v>
          </cell>
          <cell r="E15">
            <v>17000000</v>
          </cell>
          <cell r="F15">
            <v>0</v>
          </cell>
          <cell r="G15">
            <v>0</v>
          </cell>
          <cell r="H15">
            <v>0</v>
          </cell>
          <cell r="I15">
            <v>17699999.999998908</v>
          </cell>
        </row>
        <row r="16">
          <cell r="C16">
            <v>0</v>
          </cell>
          <cell r="D16">
            <v>0</v>
          </cell>
          <cell r="E16">
            <v>15000000</v>
          </cell>
          <cell r="F16">
            <v>0</v>
          </cell>
          <cell r="G16">
            <v>0</v>
          </cell>
          <cell r="H16">
            <v>0</v>
          </cell>
          <cell r="I16">
            <v>14700000.000000728</v>
          </cell>
        </row>
        <row r="17">
          <cell r="C17">
            <v>0</v>
          </cell>
          <cell r="D17">
            <v>0</v>
          </cell>
          <cell r="E17">
            <v>17000000</v>
          </cell>
          <cell r="F17">
            <v>0</v>
          </cell>
          <cell r="G17">
            <v>0</v>
          </cell>
          <cell r="H17">
            <v>0</v>
          </cell>
          <cell r="I17">
            <v>16799999.999999274</v>
          </cell>
        </row>
        <row r="18">
          <cell r="C18">
            <v>602000</v>
          </cell>
          <cell r="D18">
            <v>0</v>
          </cell>
          <cell r="E18">
            <v>13000000</v>
          </cell>
          <cell r="F18">
            <v>3000000</v>
          </cell>
          <cell r="G18">
            <v>0</v>
          </cell>
          <cell r="H18">
            <v>602000</v>
          </cell>
          <cell r="I18">
            <v>16200000.000000728</v>
          </cell>
        </row>
        <row r="19">
          <cell r="C19">
            <v>718000</v>
          </cell>
          <cell r="D19">
            <v>0</v>
          </cell>
          <cell r="E19">
            <v>15000000</v>
          </cell>
          <cell r="F19">
            <v>4000000</v>
          </cell>
          <cell r="G19">
            <v>0</v>
          </cell>
          <cell r="H19">
            <v>718000</v>
          </cell>
          <cell r="I19">
            <v>19000000</v>
          </cell>
        </row>
        <row r="20">
          <cell r="C20">
            <v>11000</v>
          </cell>
          <cell r="D20">
            <v>0</v>
          </cell>
          <cell r="E20">
            <v>14000000</v>
          </cell>
          <cell r="F20">
            <v>5000000</v>
          </cell>
          <cell r="G20">
            <v>0</v>
          </cell>
          <cell r="H20">
            <v>9999.9999999952252</v>
          </cell>
          <cell r="I20">
            <v>17600000.000000365</v>
          </cell>
        </row>
        <row r="21">
          <cell r="C21">
            <v>379000</v>
          </cell>
          <cell r="D21">
            <v>1237000</v>
          </cell>
          <cell r="E21">
            <v>14000000</v>
          </cell>
          <cell r="F21">
            <v>4000000</v>
          </cell>
          <cell r="G21">
            <v>0</v>
          </cell>
          <cell r="H21">
            <v>1616000</v>
          </cell>
          <cell r="I21">
            <v>17099999.999998543</v>
          </cell>
        </row>
        <row r="22">
          <cell r="C22">
            <v>0</v>
          </cell>
          <cell r="D22">
            <v>0</v>
          </cell>
          <cell r="E22">
            <v>10000000</v>
          </cell>
          <cell r="F22">
            <v>5000000</v>
          </cell>
          <cell r="G22">
            <v>0</v>
          </cell>
          <cell r="H22">
            <v>0</v>
          </cell>
          <cell r="I22">
            <v>14000000</v>
          </cell>
        </row>
        <row r="23">
          <cell r="C23">
            <v>600000</v>
          </cell>
          <cell r="D23">
            <v>569000</v>
          </cell>
          <cell r="E23">
            <v>12000000</v>
          </cell>
          <cell r="F23">
            <v>4000000</v>
          </cell>
          <cell r="G23">
            <v>0</v>
          </cell>
          <cell r="H23">
            <v>1169000</v>
          </cell>
          <cell r="I23">
            <v>15300000.000001092</v>
          </cell>
        </row>
        <row r="24">
          <cell r="C24">
            <v>-10000</v>
          </cell>
          <cell r="D24">
            <v>0</v>
          </cell>
          <cell r="E24">
            <v>12000000</v>
          </cell>
          <cell r="F24">
            <v>4000000</v>
          </cell>
          <cell r="G24">
            <v>0</v>
          </cell>
          <cell r="H24">
            <v>-10000</v>
          </cell>
          <cell r="I24">
            <v>15799999.999999272</v>
          </cell>
        </row>
        <row r="25">
          <cell r="C25">
            <v>0</v>
          </cell>
          <cell r="D25">
            <v>0</v>
          </cell>
          <cell r="E25">
            <v>11000000</v>
          </cell>
          <cell r="F25">
            <v>4000000</v>
          </cell>
          <cell r="G25">
            <v>0</v>
          </cell>
          <cell r="H25">
            <v>-141999.9999999959</v>
          </cell>
          <cell r="I25">
            <v>15100000.000000363</v>
          </cell>
        </row>
        <row r="26">
          <cell r="C26">
            <v>0</v>
          </cell>
          <cell r="D26">
            <v>0</v>
          </cell>
          <cell r="E26">
            <v>10000000</v>
          </cell>
          <cell r="F26">
            <v>4000000</v>
          </cell>
          <cell r="G26">
            <v>0</v>
          </cell>
          <cell r="H26">
            <v>0</v>
          </cell>
          <cell r="I26">
            <v>13399999.999999637</v>
          </cell>
        </row>
        <row r="27">
          <cell r="C27">
            <v>0</v>
          </cell>
          <cell r="D27">
            <v>0</v>
          </cell>
          <cell r="E27">
            <v>11000000</v>
          </cell>
          <cell r="F27">
            <v>4000000</v>
          </cell>
          <cell r="G27">
            <v>0</v>
          </cell>
          <cell r="H27">
            <v>0</v>
          </cell>
          <cell r="I27">
            <v>13899999.999999637</v>
          </cell>
        </row>
        <row r="28">
          <cell r="C28">
            <v>676000</v>
          </cell>
          <cell r="D28">
            <v>0</v>
          </cell>
          <cell r="E28">
            <v>13000000</v>
          </cell>
          <cell r="F28">
            <v>4000000</v>
          </cell>
          <cell r="G28">
            <v>0</v>
          </cell>
          <cell r="H28">
            <v>676000</v>
          </cell>
          <cell r="I28">
            <v>16400000.000001455</v>
          </cell>
        </row>
        <row r="29">
          <cell r="C29">
            <v>818000</v>
          </cell>
          <cell r="D29">
            <v>0</v>
          </cell>
          <cell r="E29">
            <v>8000000</v>
          </cell>
          <cell r="F29">
            <v>4000000</v>
          </cell>
          <cell r="G29">
            <v>0</v>
          </cell>
          <cell r="H29">
            <v>818000</v>
          </cell>
          <cell r="I29">
            <v>11399999.999999637</v>
          </cell>
        </row>
        <row r="30">
          <cell r="C30">
            <v>2305000</v>
          </cell>
          <cell r="D30">
            <v>0</v>
          </cell>
          <cell r="E30">
            <v>8000000</v>
          </cell>
          <cell r="F30">
            <v>2000000</v>
          </cell>
          <cell r="G30">
            <v>0</v>
          </cell>
          <cell r="H30">
            <v>2255999.9999999935</v>
          </cell>
          <cell r="I30">
            <v>10100000.000000363</v>
          </cell>
        </row>
        <row r="31">
          <cell r="C31">
            <v>5280000</v>
          </cell>
          <cell r="D31">
            <v>0</v>
          </cell>
          <cell r="E31">
            <v>7000000</v>
          </cell>
          <cell r="F31">
            <v>0</v>
          </cell>
          <cell r="G31">
            <v>0</v>
          </cell>
          <cell r="H31">
            <v>4913000.0000000102</v>
          </cell>
          <cell r="I31">
            <v>6699999.9999989085</v>
          </cell>
        </row>
        <row r="32">
          <cell r="C32">
            <v>8647000</v>
          </cell>
          <cell r="D32">
            <v>0</v>
          </cell>
          <cell r="E32">
            <v>4000000</v>
          </cell>
          <cell r="F32">
            <v>0</v>
          </cell>
          <cell r="G32">
            <v>0</v>
          </cell>
          <cell r="H32">
            <v>8422999.9999999963</v>
          </cell>
          <cell r="I32">
            <v>4600000.0000003641</v>
          </cell>
        </row>
        <row r="33">
          <cell r="C33">
            <v>11366000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11082999.999999998</v>
          </cell>
          <cell r="I33">
            <v>700000.0000007276</v>
          </cell>
        </row>
        <row r="34">
          <cell r="C34">
            <v>12838000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12556000.000000004</v>
          </cell>
          <cell r="I34">
            <v>0</v>
          </cell>
        </row>
        <row r="259">
          <cell r="D259">
            <v>284999.99999999657</v>
          </cell>
          <cell r="H259">
            <v>22155</v>
          </cell>
        </row>
        <row r="260">
          <cell r="D260">
            <v>161000.00000000137</v>
          </cell>
          <cell r="H260">
            <v>0</v>
          </cell>
        </row>
        <row r="261">
          <cell r="D261">
            <v>123999.99999999523</v>
          </cell>
          <cell r="H261">
            <v>0</v>
          </cell>
        </row>
        <row r="262">
          <cell r="D262">
            <v>283000.00000000122</v>
          </cell>
          <cell r="H262">
            <v>414099</v>
          </cell>
        </row>
        <row r="263">
          <cell r="D263">
            <v>277000.00000000105</v>
          </cell>
          <cell r="H263">
            <v>380197</v>
          </cell>
        </row>
        <row r="264">
          <cell r="D264">
            <v>215999.99999999398</v>
          </cell>
          <cell r="H264">
            <v>287740</v>
          </cell>
        </row>
        <row r="265">
          <cell r="D265">
            <v>100000.00000000853</v>
          </cell>
          <cell r="H265">
            <v>415297</v>
          </cell>
        </row>
        <row r="266">
          <cell r="D266">
            <v>238999.9999999901</v>
          </cell>
          <cell r="H266">
            <v>165578</v>
          </cell>
        </row>
        <row r="267">
          <cell r="D267">
            <v>285000.00000001083</v>
          </cell>
          <cell r="H267">
            <v>331311</v>
          </cell>
        </row>
        <row r="268">
          <cell r="D268">
            <v>227999.99999999444</v>
          </cell>
          <cell r="H268">
            <v>372502</v>
          </cell>
        </row>
        <row r="269">
          <cell r="D269">
            <v>0</v>
          </cell>
          <cell r="H269">
            <v>0</v>
          </cell>
        </row>
        <row r="270">
          <cell r="D270">
            <v>0</v>
          </cell>
          <cell r="H270">
            <v>0</v>
          </cell>
        </row>
        <row r="271">
          <cell r="D271">
            <v>0</v>
          </cell>
          <cell r="H271">
            <v>375718</v>
          </cell>
        </row>
        <row r="272">
          <cell r="D272">
            <v>0</v>
          </cell>
          <cell r="H272">
            <v>448916</v>
          </cell>
        </row>
        <row r="273">
          <cell r="D273">
            <v>0</v>
          </cell>
          <cell r="H273">
            <v>0</v>
          </cell>
        </row>
        <row r="274">
          <cell r="D274">
            <v>0</v>
          </cell>
          <cell r="H274">
            <v>0</v>
          </cell>
        </row>
        <row r="275">
          <cell r="D275">
            <v>1000.0000000047748</v>
          </cell>
          <cell r="H275">
            <v>0</v>
          </cell>
        </row>
        <row r="276">
          <cell r="D276">
            <v>0</v>
          </cell>
          <cell r="H276">
            <v>873387</v>
          </cell>
        </row>
        <row r="277">
          <cell r="D277">
            <v>0</v>
          </cell>
          <cell r="H277">
            <v>852176</v>
          </cell>
        </row>
        <row r="278">
          <cell r="D278">
            <v>0</v>
          </cell>
          <cell r="H278">
            <v>787941</v>
          </cell>
        </row>
        <row r="279">
          <cell r="D279">
            <v>0</v>
          </cell>
          <cell r="H279">
            <v>860000</v>
          </cell>
        </row>
        <row r="280">
          <cell r="D280">
            <v>141999.9999999959</v>
          </cell>
          <cell r="H280">
            <v>746523</v>
          </cell>
        </row>
        <row r="281">
          <cell r="D281">
            <v>0</v>
          </cell>
          <cell r="H281">
            <v>623275</v>
          </cell>
        </row>
        <row r="282">
          <cell r="D282">
            <v>0</v>
          </cell>
          <cell r="H282">
            <v>717825</v>
          </cell>
        </row>
        <row r="283">
          <cell r="D283">
            <v>0</v>
          </cell>
          <cell r="H283">
            <v>873292</v>
          </cell>
        </row>
        <row r="284">
          <cell r="D284">
            <v>0</v>
          </cell>
          <cell r="H284">
            <v>666112</v>
          </cell>
        </row>
        <row r="285">
          <cell r="D285">
            <v>49000.000000006592</v>
          </cell>
          <cell r="H285">
            <v>540164</v>
          </cell>
        </row>
        <row r="286">
          <cell r="D286">
            <v>366999.99999999022</v>
          </cell>
          <cell r="H286">
            <v>373868</v>
          </cell>
        </row>
        <row r="287">
          <cell r="D287">
            <v>224000.00000000375</v>
          </cell>
          <cell r="H287">
            <v>209251</v>
          </cell>
        </row>
        <row r="288">
          <cell r="D288">
            <v>283000.00000000122</v>
          </cell>
          <cell r="H288">
            <v>0</v>
          </cell>
        </row>
        <row r="289">
          <cell r="D289">
            <v>281999.99999999645</v>
          </cell>
          <cell r="H28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36"/>
  <sheetViews>
    <sheetView workbookViewId="0">
      <pane xSplit="1" ySplit="4" topLeftCell="V11" activePane="bottomRight" state="frozen"/>
      <selection pane="topRight" activeCell="B1" sqref="B1"/>
      <selection pane="bottomLeft" activeCell="A5" sqref="A5"/>
      <selection pane="bottomRight" activeCell="AH35" sqref="AH35"/>
    </sheetView>
  </sheetViews>
  <sheetFormatPr baseColWidth="10" defaultColWidth="8.83203125" defaultRowHeight="13" x14ac:dyDescent="0.15"/>
  <cols>
    <col min="2" max="2" width="12" customWidth="1"/>
    <col min="5" max="5" width="11.33203125" customWidth="1"/>
    <col min="8" max="8" width="11.6640625" customWidth="1"/>
    <col min="11" max="11" width="10.1640625" bestFit="1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32" max="32" width="10.83203125" customWidth="1"/>
  </cols>
  <sheetData>
    <row r="1" spans="1:34" x14ac:dyDescent="0.15">
      <c r="B1" s="29"/>
      <c r="C1" s="29"/>
      <c r="D1" s="29"/>
      <c r="E1" s="29"/>
      <c r="F1" s="29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</row>
    <row r="2" spans="1:34" x14ac:dyDescent="0.15">
      <c r="C2" s="25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</row>
    <row r="3" spans="1:34" x14ac:dyDescent="0.15"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3" t="s">
        <v>5</v>
      </c>
      <c r="AC3" s="54"/>
      <c r="AD3" s="55"/>
      <c r="AF3" s="50" t="s">
        <v>8</v>
      </c>
      <c r="AG3" s="51"/>
      <c r="AH3" s="52"/>
    </row>
    <row r="4" spans="1:34" x14ac:dyDescent="0.15">
      <c r="A4" s="2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12" t="s">
        <v>0</v>
      </c>
      <c r="AC4" s="13" t="s">
        <v>1</v>
      </c>
      <c r="AD4" s="14" t="s">
        <v>2</v>
      </c>
      <c r="AF4" s="4" t="s">
        <v>0</v>
      </c>
      <c r="AG4" s="5" t="s">
        <v>1</v>
      </c>
      <c r="AH4" s="6" t="s">
        <v>2</v>
      </c>
    </row>
    <row r="5" spans="1:34" x14ac:dyDescent="0.15">
      <c r="A5" s="1">
        <v>38292</v>
      </c>
      <c r="B5" s="7">
        <f>'[1]Nov Prod'!I4</f>
        <v>10000000</v>
      </c>
      <c r="C5" s="8">
        <f t="shared" ref="C5:C34" si="0">B5/1000000</f>
        <v>10</v>
      </c>
      <c r="D5" s="10">
        <f t="shared" ref="D5:D34" si="1">C5*3.07</f>
        <v>30.7</v>
      </c>
      <c r="E5" s="7">
        <f>'[1]Nov Prod'!E4</f>
        <v>10000000</v>
      </c>
      <c r="F5" s="8">
        <f t="shared" ref="F5:F34" si="2">E5/1000000</f>
        <v>10</v>
      </c>
      <c r="G5" s="10">
        <f t="shared" ref="G5:G34" si="3">F5*3.07</f>
        <v>30.7</v>
      </c>
      <c r="H5" s="7">
        <f>'[1]Nov Prod'!F4</f>
        <v>0</v>
      </c>
      <c r="I5" s="8">
        <f t="shared" ref="I5:I34" si="4">H5/1000000</f>
        <v>0</v>
      </c>
      <c r="J5" s="10">
        <f t="shared" ref="J5:J34" si="5">I5*3.07</f>
        <v>0</v>
      </c>
      <c r="K5" s="7">
        <f>'[1]Nov Prod'!$H252*10</f>
        <v>42990</v>
      </c>
      <c r="L5" s="8">
        <f t="shared" ref="L5:L34" si="6">K5/1000000</f>
        <v>4.299E-2</v>
      </c>
      <c r="M5" s="10">
        <f t="shared" ref="M5:M34" si="7">L5*3.07</f>
        <v>0.13197929999999999</v>
      </c>
      <c r="N5" s="28"/>
      <c r="O5" s="7">
        <f>'[1]Nov Prod'!H4</f>
        <v>20000</v>
      </c>
      <c r="P5" s="46">
        <v>0</v>
      </c>
      <c r="Q5" s="10">
        <f t="shared" ref="Q5:Q34" si="8">P5*3.07</f>
        <v>0</v>
      </c>
      <c r="R5" s="7">
        <f>'[1]Nov Prod'!C4</f>
        <v>20000</v>
      </c>
      <c r="S5" s="46">
        <v>0</v>
      </c>
      <c r="T5" s="10">
        <f t="shared" ref="T5:T34" si="9">S5*3.07</f>
        <v>0</v>
      </c>
      <c r="U5" s="7">
        <f>'[1]Nov Prod'!D4</f>
        <v>0</v>
      </c>
      <c r="V5" s="8">
        <f t="shared" ref="V5:V34" si="10">U5/1000000</f>
        <v>0</v>
      </c>
      <c r="W5" s="10">
        <f t="shared" ref="W5:W34" si="11">V5*3.07</f>
        <v>0</v>
      </c>
      <c r="X5" s="7">
        <f>'[1]Nov Prod'!$D252</f>
        <v>0</v>
      </c>
      <c r="Y5" s="8">
        <f t="shared" ref="Y5:Y34" si="12">X5/1000000</f>
        <v>0</v>
      </c>
      <c r="Z5" s="10">
        <f t="shared" ref="Z5:Z34" si="13">Y5*3.07</f>
        <v>0</v>
      </c>
      <c r="AA5" s="22"/>
      <c r="AB5" s="7">
        <f>'[1]Nov Prod'!G4</f>
        <v>0</v>
      </c>
      <c r="AC5" s="15">
        <f t="shared" ref="AC5:AC34" si="14">AB5/1000000</f>
        <v>0</v>
      </c>
      <c r="AD5" s="16">
        <f t="shared" ref="AD5:AD34" si="15">AC5*3.07</f>
        <v>0</v>
      </c>
      <c r="AF5" s="7">
        <f>B5+O5</f>
        <v>10020000</v>
      </c>
      <c r="AG5" s="8">
        <f>C5+P5</f>
        <v>10</v>
      </c>
      <c r="AH5" s="8">
        <f>D5+Q5</f>
        <v>30.7</v>
      </c>
    </row>
    <row r="6" spans="1:34" x14ac:dyDescent="0.15">
      <c r="A6" s="1">
        <v>38293</v>
      </c>
      <c r="B6" s="7">
        <f>'[1]Nov Prod'!I5</f>
        <v>9500000</v>
      </c>
      <c r="C6" s="8">
        <f t="shared" si="0"/>
        <v>9.5</v>
      </c>
      <c r="D6" s="10">
        <f t="shared" si="1"/>
        <v>29.164999999999999</v>
      </c>
      <c r="E6" s="7">
        <f>'[1]Nov Prod'!E5</f>
        <v>9000000</v>
      </c>
      <c r="F6" s="8">
        <f t="shared" si="2"/>
        <v>9</v>
      </c>
      <c r="G6" s="10">
        <f t="shared" si="3"/>
        <v>27.63</v>
      </c>
      <c r="H6" s="7">
        <f>'[1]Nov Prod'!F5</f>
        <v>0</v>
      </c>
      <c r="I6" s="8">
        <f t="shared" si="4"/>
        <v>0</v>
      </c>
      <c r="J6" s="10">
        <f t="shared" si="5"/>
        <v>0</v>
      </c>
      <c r="K6" s="7">
        <f>'[1]Nov Prod'!$H253*10</f>
        <v>22110</v>
      </c>
      <c r="L6" s="8">
        <f t="shared" si="6"/>
        <v>2.2110000000000001E-2</v>
      </c>
      <c r="M6" s="10">
        <f t="shared" si="7"/>
        <v>6.7877699999999999E-2</v>
      </c>
      <c r="N6" s="28"/>
      <c r="O6" s="7">
        <f>'[1]Nov Prod'!H5</f>
        <v>18000</v>
      </c>
      <c r="P6" s="46">
        <v>0</v>
      </c>
      <c r="Q6" s="10">
        <f t="shared" si="8"/>
        <v>0</v>
      </c>
      <c r="R6" s="7">
        <f>'[1]Nov Prod'!C5</f>
        <v>18000</v>
      </c>
      <c r="S6" s="46">
        <v>0</v>
      </c>
      <c r="T6" s="10">
        <f t="shared" si="9"/>
        <v>0</v>
      </c>
      <c r="U6" s="7">
        <f>'[1]Nov Prod'!D5</f>
        <v>0</v>
      </c>
      <c r="V6" s="8">
        <f t="shared" si="10"/>
        <v>0</v>
      </c>
      <c r="W6" s="10">
        <f t="shared" si="11"/>
        <v>0</v>
      </c>
      <c r="X6" s="7">
        <f>'[1]Nov Prod'!$D253</f>
        <v>0</v>
      </c>
      <c r="Y6" s="8">
        <f t="shared" si="12"/>
        <v>0</v>
      </c>
      <c r="Z6" s="10">
        <f t="shared" si="13"/>
        <v>0</v>
      </c>
      <c r="AA6" s="22"/>
      <c r="AB6" s="7">
        <f>'[1]Nov Prod'!G5</f>
        <v>0</v>
      </c>
      <c r="AC6" s="15">
        <f t="shared" si="14"/>
        <v>0</v>
      </c>
      <c r="AD6" s="16">
        <f t="shared" si="15"/>
        <v>0</v>
      </c>
      <c r="AF6" s="7">
        <f t="shared" ref="AF6:AH34" si="16">B6+O6</f>
        <v>9518000</v>
      </c>
      <c r="AG6" s="8">
        <f t="shared" si="16"/>
        <v>9.5</v>
      </c>
      <c r="AH6" s="8">
        <f t="shared" si="16"/>
        <v>29.164999999999999</v>
      </c>
    </row>
    <row r="7" spans="1:34" x14ac:dyDescent="0.15">
      <c r="A7" s="1">
        <v>38294</v>
      </c>
      <c r="B7" s="7">
        <f>'[1]Nov Prod'!I6</f>
        <v>9799999.9999992717</v>
      </c>
      <c r="C7" s="8">
        <f t="shared" si="0"/>
        <v>9.7999999999992724</v>
      </c>
      <c r="D7" s="10">
        <f t="shared" si="1"/>
        <v>30.085999999997764</v>
      </c>
      <c r="E7" s="7">
        <f>'[1]Nov Prod'!E6</f>
        <v>10000000</v>
      </c>
      <c r="F7" s="8">
        <f t="shared" si="2"/>
        <v>10</v>
      </c>
      <c r="G7" s="10">
        <f t="shared" si="3"/>
        <v>30.7</v>
      </c>
      <c r="H7" s="7">
        <f>'[1]Nov Prod'!F6</f>
        <v>0</v>
      </c>
      <c r="I7" s="8">
        <f t="shared" si="4"/>
        <v>0</v>
      </c>
      <c r="J7" s="10">
        <f t="shared" si="5"/>
        <v>0</v>
      </c>
      <c r="K7" s="7">
        <f>'[1]Nov Prod'!$H254*10</f>
        <v>42230</v>
      </c>
      <c r="L7" s="8">
        <f t="shared" si="6"/>
        <v>4.2229999999999997E-2</v>
      </c>
      <c r="M7" s="10">
        <f t="shared" si="7"/>
        <v>0.12964609999999999</v>
      </c>
      <c r="N7" s="28"/>
      <c r="O7" s="7">
        <f>'[1]Nov Prod'!H6</f>
        <v>18000</v>
      </c>
      <c r="P7" s="46">
        <v>0</v>
      </c>
      <c r="Q7" s="10">
        <f t="shared" si="8"/>
        <v>0</v>
      </c>
      <c r="R7" s="7">
        <f>'[1]Nov Prod'!C6</f>
        <v>18000</v>
      </c>
      <c r="S7" s="46">
        <v>0</v>
      </c>
      <c r="T7" s="10">
        <f t="shared" si="9"/>
        <v>0</v>
      </c>
      <c r="U7" s="7">
        <f>'[1]Nov Prod'!D6</f>
        <v>0</v>
      </c>
      <c r="V7" s="8">
        <f t="shared" si="10"/>
        <v>0</v>
      </c>
      <c r="W7" s="10">
        <f t="shared" si="11"/>
        <v>0</v>
      </c>
      <c r="X7" s="7">
        <f>'[1]Nov Prod'!$D254</f>
        <v>0</v>
      </c>
      <c r="Y7" s="8">
        <f t="shared" si="12"/>
        <v>0</v>
      </c>
      <c r="Z7" s="10">
        <f t="shared" si="13"/>
        <v>0</v>
      </c>
      <c r="AA7" s="22"/>
      <c r="AB7" s="7">
        <f>'[1]Nov Prod'!G6</f>
        <v>0</v>
      </c>
      <c r="AC7" s="15">
        <f t="shared" si="14"/>
        <v>0</v>
      </c>
      <c r="AD7" s="16">
        <f t="shared" si="15"/>
        <v>0</v>
      </c>
      <c r="AF7" s="7">
        <f t="shared" si="16"/>
        <v>9817999.9999992717</v>
      </c>
      <c r="AG7" s="8">
        <f t="shared" si="16"/>
        <v>9.7999999999992724</v>
      </c>
      <c r="AH7" s="8">
        <f t="shared" si="16"/>
        <v>30.085999999997764</v>
      </c>
    </row>
    <row r="8" spans="1:34" x14ac:dyDescent="0.15">
      <c r="A8" s="1">
        <v>38295</v>
      </c>
      <c r="B8" s="7">
        <f>'[1]Nov Prod'!I7</f>
        <v>8900000.0000005458</v>
      </c>
      <c r="C8" s="8">
        <f t="shared" si="0"/>
        <v>8.9000000000005457</v>
      </c>
      <c r="D8" s="10">
        <f t="shared" si="1"/>
        <v>27.323000000001674</v>
      </c>
      <c r="E8" s="7">
        <f>'[1]Nov Prod'!E7</f>
        <v>9000000</v>
      </c>
      <c r="F8" s="8">
        <f t="shared" si="2"/>
        <v>9</v>
      </c>
      <c r="G8" s="10">
        <f t="shared" si="3"/>
        <v>27.63</v>
      </c>
      <c r="H8" s="7">
        <f>'[1]Nov Prod'!F7</f>
        <v>0</v>
      </c>
      <c r="I8" s="8">
        <f t="shared" si="4"/>
        <v>0</v>
      </c>
      <c r="J8" s="10">
        <f t="shared" si="5"/>
        <v>0</v>
      </c>
      <c r="K8" s="7">
        <f>'[1]Nov Prod'!$H255*10</f>
        <v>2880</v>
      </c>
      <c r="L8" s="8">
        <f t="shared" si="6"/>
        <v>2.8800000000000002E-3</v>
      </c>
      <c r="M8" s="10">
        <f t="shared" si="7"/>
        <v>8.8415999999999998E-3</v>
      </c>
      <c r="N8" s="28"/>
      <c r="O8" s="7">
        <f>'[1]Nov Prod'!H7</f>
        <v>-31999.999999996475</v>
      </c>
      <c r="P8" s="46">
        <v>0</v>
      </c>
      <c r="Q8" s="10">
        <f t="shared" si="8"/>
        <v>0</v>
      </c>
      <c r="R8" s="7">
        <f>'[1]Nov Prod'!C7</f>
        <v>0</v>
      </c>
      <c r="S8" s="46">
        <v>0</v>
      </c>
      <c r="T8" s="10">
        <f t="shared" si="9"/>
        <v>0</v>
      </c>
      <c r="U8" s="7">
        <f>'[1]Nov Prod'!D7</f>
        <v>0</v>
      </c>
      <c r="V8" s="8">
        <f t="shared" si="10"/>
        <v>0</v>
      </c>
      <c r="W8" s="10">
        <f t="shared" si="11"/>
        <v>0</v>
      </c>
      <c r="X8" s="7">
        <f>'[1]Nov Prod'!$D255</f>
        <v>31999.999999996475</v>
      </c>
      <c r="Y8" s="8">
        <f t="shared" si="12"/>
        <v>3.1999999999996476E-2</v>
      </c>
      <c r="Z8" s="10">
        <f t="shared" si="13"/>
        <v>9.8239999999989169E-2</v>
      </c>
      <c r="AA8" s="22"/>
      <c r="AB8" s="7">
        <f>'[1]Nov Prod'!G7</f>
        <v>0</v>
      </c>
      <c r="AC8" s="15">
        <f t="shared" si="14"/>
        <v>0</v>
      </c>
      <c r="AD8" s="16">
        <f t="shared" si="15"/>
        <v>0</v>
      </c>
      <c r="AF8" s="7">
        <f t="shared" si="16"/>
        <v>8868000.0000005495</v>
      </c>
      <c r="AG8" s="8">
        <f t="shared" si="16"/>
        <v>8.9000000000005457</v>
      </c>
      <c r="AH8" s="8">
        <f t="shared" si="16"/>
        <v>27.323000000001674</v>
      </c>
    </row>
    <row r="9" spans="1:34" x14ac:dyDescent="0.15">
      <c r="A9" s="1">
        <v>38296</v>
      </c>
      <c r="B9" s="7">
        <f>'[1]Nov Prod'!I8</f>
        <v>8500000</v>
      </c>
      <c r="C9" s="8">
        <f t="shared" si="0"/>
        <v>8.5</v>
      </c>
      <c r="D9" s="10">
        <f t="shared" si="1"/>
        <v>26.094999999999999</v>
      </c>
      <c r="E9" s="7">
        <f>'[1]Nov Prod'!E8</f>
        <v>9000000</v>
      </c>
      <c r="F9" s="8">
        <f t="shared" si="2"/>
        <v>9</v>
      </c>
      <c r="G9" s="10">
        <f t="shared" si="3"/>
        <v>27.63</v>
      </c>
      <c r="H9" s="7">
        <f>'[1]Nov Prod'!F8</f>
        <v>0</v>
      </c>
      <c r="I9" s="8">
        <f t="shared" si="4"/>
        <v>0</v>
      </c>
      <c r="J9" s="10">
        <f t="shared" si="5"/>
        <v>0</v>
      </c>
      <c r="K9" s="7">
        <f>'[1]Nov Prod'!$H256*10</f>
        <v>0</v>
      </c>
      <c r="L9" s="8">
        <f t="shared" si="6"/>
        <v>0</v>
      </c>
      <c r="M9" s="10">
        <f t="shared" si="7"/>
        <v>0</v>
      </c>
      <c r="N9" s="28"/>
      <c r="O9" s="7">
        <f>'[1]Nov Prod'!H8</f>
        <v>18000</v>
      </c>
      <c r="P9" s="46">
        <v>0</v>
      </c>
      <c r="Q9" s="10">
        <f t="shared" si="8"/>
        <v>0</v>
      </c>
      <c r="R9" s="7">
        <f>'[1]Nov Prod'!C8</f>
        <v>18000</v>
      </c>
      <c r="S9" s="46">
        <v>0</v>
      </c>
      <c r="T9" s="10">
        <f t="shared" si="9"/>
        <v>0</v>
      </c>
      <c r="U9" s="7">
        <f>'[1]Nov Prod'!D8</f>
        <v>0</v>
      </c>
      <c r="V9" s="8">
        <f t="shared" si="10"/>
        <v>0</v>
      </c>
      <c r="W9" s="10">
        <f t="shared" si="11"/>
        <v>0</v>
      </c>
      <c r="X9" s="7">
        <f>'[1]Nov Prod'!$D256</f>
        <v>0</v>
      </c>
      <c r="Y9" s="8">
        <f t="shared" si="12"/>
        <v>0</v>
      </c>
      <c r="Z9" s="10">
        <f t="shared" si="13"/>
        <v>0</v>
      </c>
      <c r="AA9" s="22"/>
      <c r="AB9" s="7">
        <f>'[1]Nov Prod'!G8</f>
        <v>0</v>
      </c>
      <c r="AC9" s="15">
        <f t="shared" si="14"/>
        <v>0</v>
      </c>
      <c r="AD9" s="16">
        <f t="shared" si="15"/>
        <v>0</v>
      </c>
      <c r="AF9" s="7">
        <f t="shared" si="16"/>
        <v>8518000</v>
      </c>
      <c r="AG9" s="8">
        <f t="shared" si="16"/>
        <v>8.5</v>
      </c>
      <c r="AH9" s="8">
        <f t="shared" si="16"/>
        <v>26.094999999999999</v>
      </c>
    </row>
    <row r="10" spans="1:34" x14ac:dyDescent="0.15">
      <c r="A10" s="1">
        <v>38297</v>
      </c>
      <c r="B10" s="7">
        <f>'[1]Nov Prod'!I9</f>
        <v>8699999.9999998175</v>
      </c>
      <c r="C10" s="8">
        <f t="shared" si="0"/>
        <v>8.6999999999998181</v>
      </c>
      <c r="D10" s="10">
        <f t="shared" si="1"/>
        <v>26.708999999999442</v>
      </c>
      <c r="E10" s="7">
        <f>'[1]Nov Prod'!E9</f>
        <v>9000000</v>
      </c>
      <c r="F10" s="8">
        <f t="shared" si="2"/>
        <v>9</v>
      </c>
      <c r="G10" s="10">
        <f t="shared" si="3"/>
        <v>27.63</v>
      </c>
      <c r="H10" s="7">
        <f>'[1]Nov Prod'!F9</f>
        <v>0</v>
      </c>
      <c r="I10" s="8">
        <f t="shared" si="4"/>
        <v>0</v>
      </c>
      <c r="J10" s="10">
        <f t="shared" si="5"/>
        <v>0</v>
      </c>
      <c r="K10" s="7">
        <f>'[1]Nov Prod'!$H257*10</f>
        <v>1345993.0000000005</v>
      </c>
      <c r="L10" s="8">
        <f t="shared" si="6"/>
        <v>1.3459930000000004</v>
      </c>
      <c r="M10" s="10">
        <f t="shared" si="7"/>
        <v>4.1321985100000012</v>
      </c>
      <c r="N10" s="28"/>
      <c r="O10" s="7">
        <f>'[1]Nov Prod'!H9</f>
        <v>18000</v>
      </c>
      <c r="P10" s="46">
        <v>0</v>
      </c>
      <c r="Q10" s="10">
        <f t="shared" si="8"/>
        <v>0</v>
      </c>
      <c r="R10" s="7">
        <f>'[1]Nov Prod'!C9</f>
        <v>18000</v>
      </c>
      <c r="S10" s="46">
        <v>0</v>
      </c>
      <c r="T10" s="10">
        <f t="shared" si="9"/>
        <v>0</v>
      </c>
      <c r="U10" s="7">
        <f>'[1]Nov Prod'!D9</f>
        <v>0</v>
      </c>
      <c r="V10" s="8">
        <f t="shared" si="10"/>
        <v>0</v>
      </c>
      <c r="W10" s="10">
        <f t="shared" si="11"/>
        <v>0</v>
      </c>
      <c r="X10" s="7">
        <f>'[1]Nov Prod'!$D257</f>
        <v>0</v>
      </c>
      <c r="Y10" s="8">
        <f t="shared" si="12"/>
        <v>0</v>
      </c>
      <c r="Z10" s="10">
        <f t="shared" si="13"/>
        <v>0</v>
      </c>
      <c r="AA10" s="22"/>
      <c r="AB10" s="7">
        <f>'[1]Nov Prod'!G9</f>
        <v>0</v>
      </c>
      <c r="AC10" s="15">
        <f t="shared" si="14"/>
        <v>0</v>
      </c>
      <c r="AD10" s="16">
        <f t="shared" si="15"/>
        <v>0</v>
      </c>
      <c r="AF10" s="7">
        <f t="shared" si="16"/>
        <v>8717999.9999998175</v>
      </c>
      <c r="AG10" s="8">
        <f t="shared" si="16"/>
        <v>8.6999999999998181</v>
      </c>
      <c r="AH10" s="8">
        <f t="shared" si="16"/>
        <v>26.708999999999442</v>
      </c>
    </row>
    <row r="11" spans="1:34" x14ac:dyDescent="0.15">
      <c r="A11" s="1">
        <v>38298</v>
      </c>
      <c r="B11" s="7">
        <f>'[1]Nov Prod'!I10</f>
        <v>10199999.999999817</v>
      </c>
      <c r="C11" s="8">
        <f t="shared" si="0"/>
        <v>10.199999999999818</v>
      </c>
      <c r="D11" s="10">
        <f t="shared" si="1"/>
        <v>31.313999999999439</v>
      </c>
      <c r="E11" s="7">
        <f>'[1]Nov Prod'!E10</f>
        <v>10000000</v>
      </c>
      <c r="F11" s="8">
        <f t="shared" si="2"/>
        <v>10</v>
      </c>
      <c r="G11" s="10">
        <f t="shared" si="3"/>
        <v>30.7</v>
      </c>
      <c r="H11" s="7">
        <f>'[1]Nov Prod'!F10</f>
        <v>0</v>
      </c>
      <c r="I11" s="8">
        <f t="shared" si="4"/>
        <v>0</v>
      </c>
      <c r="J11" s="10">
        <f t="shared" si="5"/>
        <v>0</v>
      </c>
      <c r="K11" s="7">
        <f>'[1]Nov Prod'!$H258*10</f>
        <v>2281305</v>
      </c>
      <c r="L11" s="8">
        <f>K11/1000000</f>
        <v>2.2813050000000001</v>
      </c>
      <c r="M11" s="10">
        <f t="shared" si="7"/>
        <v>7.0036063500000001</v>
      </c>
      <c r="N11" s="28"/>
      <c r="O11" s="7">
        <f>'[1]Nov Prod'!H10</f>
        <v>18000</v>
      </c>
      <c r="P11" s="46">
        <v>0</v>
      </c>
      <c r="Q11" s="10">
        <f t="shared" si="8"/>
        <v>0</v>
      </c>
      <c r="R11" s="7">
        <f>'[1]Nov Prod'!C10</f>
        <v>18000</v>
      </c>
      <c r="S11" s="46">
        <v>0</v>
      </c>
      <c r="T11" s="10">
        <f t="shared" si="9"/>
        <v>0</v>
      </c>
      <c r="U11" s="7">
        <f>'[1]Nov Prod'!D10</f>
        <v>0</v>
      </c>
      <c r="V11" s="8">
        <f t="shared" si="10"/>
        <v>0</v>
      </c>
      <c r="W11" s="10">
        <f t="shared" si="11"/>
        <v>0</v>
      </c>
      <c r="X11" s="7">
        <f>'[1]Nov Prod'!$D258</f>
        <v>0</v>
      </c>
      <c r="Y11" s="8">
        <f t="shared" si="12"/>
        <v>0</v>
      </c>
      <c r="Z11" s="10">
        <f t="shared" si="13"/>
        <v>0</v>
      </c>
      <c r="AA11" s="22"/>
      <c r="AB11" s="7">
        <f>'[1]Nov Prod'!G10</f>
        <v>0</v>
      </c>
      <c r="AC11" s="15">
        <f t="shared" si="14"/>
        <v>0</v>
      </c>
      <c r="AD11" s="16">
        <f t="shared" si="15"/>
        <v>0</v>
      </c>
      <c r="AF11" s="7">
        <f t="shared" si="16"/>
        <v>10217999.999999817</v>
      </c>
      <c r="AG11" s="8">
        <f t="shared" si="16"/>
        <v>10.199999999999818</v>
      </c>
      <c r="AH11" s="8">
        <f t="shared" si="16"/>
        <v>31.313999999999439</v>
      </c>
    </row>
    <row r="12" spans="1:34" x14ac:dyDescent="0.15">
      <c r="A12" s="1">
        <v>38299</v>
      </c>
      <c r="B12" s="7">
        <f>'[1]Nov Prod'!I11</f>
        <v>9800000.0000001825</v>
      </c>
      <c r="C12" s="8">
        <f t="shared" si="0"/>
        <v>9.8000000000001819</v>
      </c>
      <c r="D12" s="10">
        <f t="shared" si="1"/>
        <v>30.086000000000556</v>
      </c>
      <c r="E12" s="7">
        <f>'[1]Nov Prod'!E11</f>
        <v>10000000</v>
      </c>
      <c r="F12" s="8">
        <f t="shared" si="2"/>
        <v>10</v>
      </c>
      <c r="G12" s="10">
        <f t="shared" si="3"/>
        <v>30.7</v>
      </c>
      <c r="H12" s="7">
        <f>'[1]Nov Prod'!F11</f>
        <v>0</v>
      </c>
      <c r="I12" s="8">
        <f t="shared" si="4"/>
        <v>0</v>
      </c>
      <c r="J12" s="10">
        <f t="shared" si="5"/>
        <v>0</v>
      </c>
      <c r="K12" s="7">
        <f>'[1]Nov Prod'!$H259*10</f>
        <v>1913268.0000000005</v>
      </c>
      <c r="L12" s="8">
        <f t="shared" si="6"/>
        <v>1.9132680000000004</v>
      </c>
      <c r="M12" s="10">
        <f t="shared" si="7"/>
        <v>5.8737327600000011</v>
      </c>
      <c r="N12" s="28"/>
      <c r="O12" s="7">
        <f>'[1]Nov Prod'!H11</f>
        <v>19000</v>
      </c>
      <c r="P12" s="46">
        <v>0</v>
      </c>
      <c r="Q12" s="10">
        <f t="shared" si="8"/>
        <v>0</v>
      </c>
      <c r="R12" s="7">
        <f>'[1]Nov Prod'!C11</f>
        <v>19000</v>
      </c>
      <c r="S12" s="46">
        <v>0</v>
      </c>
      <c r="T12" s="10">
        <f t="shared" si="9"/>
        <v>0</v>
      </c>
      <c r="U12" s="7">
        <f>'[1]Nov Prod'!D11</f>
        <v>0</v>
      </c>
      <c r="V12" s="8">
        <f t="shared" si="10"/>
        <v>0</v>
      </c>
      <c r="W12" s="10">
        <f t="shared" si="11"/>
        <v>0</v>
      </c>
      <c r="X12" s="7">
        <f>'[1]Nov Prod'!$D259</f>
        <v>0</v>
      </c>
      <c r="Y12" s="8">
        <f t="shared" si="12"/>
        <v>0</v>
      </c>
      <c r="Z12" s="10">
        <f t="shared" si="13"/>
        <v>0</v>
      </c>
      <c r="AA12" s="22"/>
      <c r="AB12" s="7">
        <f>'[1]Nov Prod'!G11</f>
        <v>0</v>
      </c>
      <c r="AC12" s="15">
        <f t="shared" si="14"/>
        <v>0</v>
      </c>
      <c r="AD12" s="16">
        <f t="shared" si="15"/>
        <v>0</v>
      </c>
      <c r="AF12" s="7">
        <f t="shared" si="16"/>
        <v>9819000.0000001825</v>
      </c>
      <c r="AG12" s="8">
        <f t="shared" si="16"/>
        <v>9.8000000000001819</v>
      </c>
      <c r="AH12" s="8">
        <f t="shared" si="16"/>
        <v>30.086000000000556</v>
      </c>
    </row>
    <row r="13" spans="1:34" x14ac:dyDescent="0.15">
      <c r="A13" s="1">
        <v>38300</v>
      </c>
      <c r="B13" s="7">
        <f>'[1]Nov Prod'!I12</f>
        <v>9000000</v>
      </c>
      <c r="C13" s="8">
        <f t="shared" si="0"/>
        <v>9</v>
      </c>
      <c r="D13" s="10">
        <f t="shared" si="1"/>
        <v>27.63</v>
      </c>
      <c r="E13" s="7">
        <f>'[1]Nov Prod'!E12</f>
        <v>10000000</v>
      </c>
      <c r="F13" s="8">
        <f t="shared" si="2"/>
        <v>10</v>
      </c>
      <c r="G13" s="10">
        <f t="shared" si="3"/>
        <v>30.7</v>
      </c>
      <c r="H13" s="7">
        <f>'[1]Nov Prod'!F12</f>
        <v>0</v>
      </c>
      <c r="I13" s="8">
        <f t="shared" si="4"/>
        <v>0</v>
      </c>
      <c r="J13" s="10">
        <f t="shared" si="5"/>
        <v>0</v>
      </c>
      <c r="K13" s="7">
        <f>'[1]Nov Prod'!$H260*10</f>
        <v>44870</v>
      </c>
      <c r="L13" s="8">
        <f t="shared" si="6"/>
        <v>4.487E-2</v>
      </c>
      <c r="M13" s="10">
        <f t="shared" si="7"/>
        <v>0.13775089999999998</v>
      </c>
      <c r="N13" s="28"/>
      <c r="O13" s="7">
        <f>'[1]Nov Prod'!H12</f>
        <v>23000</v>
      </c>
      <c r="P13" s="46">
        <v>0</v>
      </c>
      <c r="Q13" s="10">
        <f t="shared" si="8"/>
        <v>0</v>
      </c>
      <c r="R13" s="7">
        <f>'[1]Nov Prod'!C12</f>
        <v>19000</v>
      </c>
      <c r="S13" s="46">
        <v>0</v>
      </c>
      <c r="T13" s="10">
        <f t="shared" si="9"/>
        <v>0</v>
      </c>
      <c r="U13" s="7">
        <f>'[1]Nov Prod'!D12</f>
        <v>4000</v>
      </c>
      <c r="V13" s="8">
        <f t="shared" si="10"/>
        <v>4.0000000000000001E-3</v>
      </c>
      <c r="W13" s="10">
        <f t="shared" si="11"/>
        <v>1.2279999999999999E-2</v>
      </c>
      <c r="X13" s="7">
        <f>'[1]Nov Prod'!$D260</f>
        <v>0</v>
      </c>
      <c r="Y13" s="8">
        <f t="shared" si="12"/>
        <v>0</v>
      </c>
      <c r="Z13" s="10">
        <f t="shared" si="13"/>
        <v>0</v>
      </c>
      <c r="AA13" s="22"/>
      <c r="AB13" s="7">
        <f>'[1]Nov Prod'!G12</f>
        <v>0</v>
      </c>
      <c r="AC13" s="15">
        <f t="shared" si="14"/>
        <v>0</v>
      </c>
      <c r="AD13" s="16">
        <f t="shared" si="15"/>
        <v>0</v>
      </c>
      <c r="AF13" s="7">
        <f t="shared" si="16"/>
        <v>9023000</v>
      </c>
      <c r="AG13" s="8">
        <f t="shared" si="16"/>
        <v>9</v>
      </c>
      <c r="AH13" s="8">
        <f t="shared" si="16"/>
        <v>27.63</v>
      </c>
    </row>
    <row r="14" spans="1:34" x14ac:dyDescent="0.15">
      <c r="A14" s="1">
        <v>38301</v>
      </c>
      <c r="B14" s="7">
        <f>'[1]Nov Prod'!I13</f>
        <v>9399999.9999996368</v>
      </c>
      <c r="C14" s="8">
        <f t="shared" si="0"/>
        <v>9.3999999999996362</v>
      </c>
      <c r="D14" s="10">
        <f t="shared" si="1"/>
        <v>28.857999999998881</v>
      </c>
      <c r="E14" s="7">
        <f>'[1]Nov Prod'!E13</f>
        <v>9000000</v>
      </c>
      <c r="F14" s="8">
        <f t="shared" si="2"/>
        <v>9</v>
      </c>
      <c r="G14" s="10">
        <f t="shared" si="3"/>
        <v>27.63</v>
      </c>
      <c r="H14" s="7">
        <f>'[1]Nov Prod'!F13</f>
        <v>0</v>
      </c>
      <c r="I14" s="8">
        <f t="shared" si="4"/>
        <v>0</v>
      </c>
      <c r="J14" s="10">
        <f t="shared" si="5"/>
        <v>0</v>
      </c>
      <c r="K14" s="7">
        <f>'[1]Nov Prod'!$H261*10</f>
        <v>503980</v>
      </c>
      <c r="L14" s="8">
        <f t="shared" si="6"/>
        <v>0.50397999999999998</v>
      </c>
      <c r="M14" s="10">
        <f t="shared" si="7"/>
        <v>1.5472185999999999</v>
      </c>
      <c r="N14" s="28"/>
      <c r="O14" s="7">
        <f>'[1]Nov Prod'!H13</f>
        <v>8000</v>
      </c>
      <c r="P14" s="46">
        <v>0</v>
      </c>
      <c r="Q14" s="10">
        <f t="shared" si="8"/>
        <v>0</v>
      </c>
      <c r="R14" s="7">
        <f>'[1]Nov Prod'!C13</f>
        <v>8000</v>
      </c>
      <c r="S14" s="46">
        <v>0</v>
      </c>
      <c r="T14" s="10">
        <f t="shared" si="9"/>
        <v>0</v>
      </c>
      <c r="U14" s="7">
        <f>'[1]Nov Prod'!D13</f>
        <v>0</v>
      </c>
      <c r="V14" s="8">
        <f t="shared" si="10"/>
        <v>0</v>
      </c>
      <c r="W14" s="10">
        <f t="shared" si="11"/>
        <v>0</v>
      </c>
      <c r="X14" s="7">
        <f>'[1]Nov Prod'!$D261</f>
        <v>0</v>
      </c>
      <c r="Y14" s="8">
        <f t="shared" si="12"/>
        <v>0</v>
      </c>
      <c r="Z14" s="10">
        <f t="shared" si="13"/>
        <v>0</v>
      </c>
      <c r="AA14" s="22"/>
      <c r="AB14" s="7">
        <f>'[1]Nov Prod'!G13</f>
        <v>0</v>
      </c>
      <c r="AC14" s="15">
        <f t="shared" si="14"/>
        <v>0</v>
      </c>
      <c r="AD14" s="16">
        <f t="shared" si="15"/>
        <v>0</v>
      </c>
      <c r="AF14" s="7">
        <f t="shared" si="16"/>
        <v>9407999.9999996368</v>
      </c>
      <c r="AG14" s="8">
        <f t="shared" si="16"/>
        <v>9.3999999999996362</v>
      </c>
      <c r="AH14" s="8">
        <f t="shared" si="16"/>
        <v>28.857999999998881</v>
      </c>
    </row>
    <row r="15" spans="1:34" x14ac:dyDescent="0.15">
      <c r="A15" s="1">
        <v>38302</v>
      </c>
      <c r="B15" s="7">
        <f>'[1]Nov Prod'!I14</f>
        <v>9500000</v>
      </c>
      <c r="C15" s="8">
        <f t="shared" si="0"/>
        <v>9.5</v>
      </c>
      <c r="D15" s="10">
        <f t="shared" si="1"/>
        <v>29.164999999999999</v>
      </c>
      <c r="E15" s="7">
        <f>'[1]Nov Prod'!E14</f>
        <v>9000000</v>
      </c>
      <c r="F15" s="8">
        <f t="shared" si="2"/>
        <v>9</v>
      </c>
      <c r="G15" s="10">
        <f t="shared" si="3"/>
        <v>27.63</v>
      </c>
      <c r="H15" s="7">
        <f>'[1]Nov Prod'!F14</f>
        <v>0</v>
      </c>
      <c r="I15" s="8">
        <f t="shared" si="4"/>
        <v>0</v>
      </c>
      <c r="J15" s="10">
        <f t="shared" si="5"/>
        <v>0</v>
      </c>
      <c r="K15" s="7">
        <f>'[1]Nov Prod'!$H262*10</f>
        <v>1884580</v>
      </c>
      <c r="L15" s="8">
        <f t="shared" si="6"/>
        <v>1.8845799999999999</v>
      </c>
      <c r="M15" s="10">
        <f t="shared" si="7"/>
        <v>5.785660599999999</v>
      </c>
      <c r="N15" s="28"/>
      <c r="O15" s="7">
        <f>'[1]Nov Prod'!H14</f>
        <v>0</v>
      </c>
      <c r="P15" s="46">
        <v>0</v>
      </c>
      <c r="Q15" s="10">
        <f t="shared" si="8"/>
        <v>0</v>
      </c>
      <c r="R15" s="7">
        <f>'[1]Nov Prod'!C14</f>
        <v>0</v>
      </c>
      <c r="S15" s="46">
        <v>0</v>
      </c>
      <c r="T15" s="10">
        <f t="shared" si="9"/>
        <v>0</v>
      </c>
      <c r="U15" s="7">
        <f>'[1]Nov Prod'!D14</f>
        <v>0</v>
      </c>
      <c r="V15" s="8">
        <f t="shared" si="10"/>
        <v>0</v>
      </c>
      <c r="W15" s="10">
        <f t="shared" si="11"/>
        <v>0</v>
      </c>
      <c r="X15" s="7">
        <f>'[1]Nov Prod'!$D262</f>
        <v>0</v>
      </c>
      <c r="Y15" s="8">
        <f t="shared" si="12"/>
        <v>0</v>
      </c>
      <c r="Z15" s="10">
        <f t="shared" si="13"/>
        <v>0</v>
      </c>
      <c r="AA15" s="22"/>
      <c r="AB15" s="7">
        <f>'[1]Nov Prod'!G14</f>
        <v>0</v>
      </c>
      <c r="AC15" s="15">
        <f t="shared" si="14"/>
        <v>0</v>
      </c>
      <c r="AD15" s="16">
        <f t="shared" si="15"/>
        <v>0</v>
      </c>
      <c r="AF15" s="7">
        <f t="shared" si="16"/>
        <v>9500000</v>
      </c>
      <c r="AG15" s="8">
        <f t="shared" si="16"/>
        <v>9.5</v>
      </c>
      <c r="AH15" s="8">
        <f t="shared" si="16"/>
        <v>29.164999999999999</v>
      </c>
    </row>
    <row r="16" spans="1:34" x14ac:dyDescent="0.15">
      <c r="A16" s="1">
        <v>38303</v>
      </c>
      <c r="B16" s="7">
        <f>'[1]Nov Prod'!I15</f>
        <v>8600000.0000003632</v>
      </c>
      <c r="C16" s="8">
        <f t="shared" si="0"/>
        <v>8.6000000000003638</v>
      </c>
      <c r="D16" s="10">
        <f t="shared" si="1"/>
        <v>26.402000000001117</v>
      </c>
      <c r="E16" s="7">
        <f>'[1]Nov Prod'!E15</f>
        <v>9000000</v>
      </c>
      <c r="F16" s="8">
        <f t="shared" si="2"/>
        <v>9</v>
      </c>
      <c r="G16" s="10">
        <f t="shared" si="3"/>
        <v>27.63</v>
      </c>
      <c r="H16" s="7">
        <f>'[1]Nov Prod'!F15</f>
        <v>0</v>
      </c>
      <c r="I16" s="8">
        <f t="shared" si="4"/>
        <v>0</v>
      </c>
      <c r="J16" s="10">
        <f t="shared" si="5"/>
        <v>0</v>
      </c>
      <c r="K16" s="7">
        <f>'[1]Nov Prod'!$H263*10</f>
        <v>2309860</v>
      </c>
      <c r="L16" s="8">
        <f t="shared" si="6"/>
        <v>2.30986</v>
      </c>
      <c r="M16" s="10">
        <f t="shared" si="7"/>
        <v>7.0912701999999994</v>
      </c>
      <c r="N16" s="28"/>
      <c r="O16" s="7">
        <f>'[1]Nov Prod'!H15</f>
        <v>-320000</v>
      </c>
      <c r="P16" s="46">
        <v>0</v>
      </c>
      <c r="Q16" s="10">
        <f t="shared" si="8"/>
        <v>0</v>
      </c>
      <c r="R16" s="7">
        <f>'[1]Nov Prod'!C15</f>
        <v>0</v>
      </c>
      <c r="S16" s="46">
        <v>0</v>
      </c>
      <c r="T16" s="10">
        <f t="shared" si="9"/>
        <v>0</v>
      </c>
      <c r="U16" s="7">
        <f>'[1]Nov Prod'!D15</f>
        <v>0</v>
      </c>
      <c r="V16" s="8">
        <f t="shared" si="10"/>
        <v>0</v>
      </c>
      <c r="W16" s="10">
        <f t="shared" si="11"/>
        <v>0</v>
      </c>
      <c r="X16" s="7">
        <f>'[1]Nov Prod'!$D263</f>
        <v>320000</v>
      </c>
      <c r="Y16" s="8">
        <f t="shared" si="12"/>
        <v>0.32</v>
      </c>
      <c r="Z16" s="10">
        <f t="shared" si="13"/>
        <v>0.98239999999999994</v>
      </c>
      <c r="AA16" s="22"/>
      <c r="AB16" s="7">
        <f>'[1]Nov Prod'!G15</f>
        <v>0</v>
      </c>
      <c r="AC16" s="15">
        <f t="shared" si="14"/>
        <v>0</v>
      </c>
      <c r="AD16" s="16">
        <f t="shared" si="15"/>
        <v>0</v>
      </c>
      <c r="AF16" s="7">
        <f t="shared" si="16"/>
        <v>8280000.0000003632</v>
      </c>
      <c r="AG16" s="8">
        <f t="shared" si="16"/>
        <v>8.6000000000003638</v>
      </c>
      <c r="AH16" s="8">
        <f t="shared" si="16"/>
        <v>26.402000000001117</v>
      </c>
    </row>
    <row r="17" spans="1:34" x14ac:dyDescent="0.15">
      <c r="A17" s="1">
        <v>38304</v>
      </c>
      <c r="B17" s="7">
        <f>'[1]Nov Prod'!I16</f>
        <v>5000000</v>
      </c>
      <c r="C17" s="8">
        <f t="shared" si="0"/>
        <v>5</v>
      </c>
      <c r="D17" s="10">
        <f t="shared" si="1"/>
        <v>15.35</v>
      </c>
      <c r="E17" s="7">
        <f>'[1]Nov Prod'!E16</f>
        <v>5000000</v>
      </c>
      <c r="F17" s="8">
        <f t="shared" si="2"/>
        <v>5</v>
      </c>
      <c r="G17" s="10">
        <f t="shared" si="3"/>
        <v>15.35</v>
      </c>
      <c r="H17" s="7">
        <f>'[1]Nov Prod'!F16</f>
        <v>0</v>
      </c>
      <c r="I17" s="8">
        <f t="shared" si="4"/>
        <v>0</v>
      </c>
      <c r="J17" s="10">
        <f t="shared" si="5"/>
        <v>0</v>
      </c>
      <c r="K17" s="7">
        <f>'[1]Nov Prod'!$H264*10</f>
        <v>211123.99999999907</v>
      </c>
      <c r="L17" s="8">
        <f t="shared" si="6"/>
        <v>0.21112399999999906</v>
      </c>
      <c r="M17" s="10">
        <f t="shared" si="7"/>
        <v>0.64815067999999709</v>
      </c>
      <c r="N17" s="28"/>
      <c r="O17" s="7">
        <f>'[1]Nov Prod'!H16</f>
        <v>3583000</v>
      </c>
      <c r="P17" s="8">
        <f t="shared" ref="P17:P34" si="17">O17/1000000</f>
        <v>3.5830000000000002</v>
      </c>
      <c r="Q17" s="10">
        <f t="shared" si="8"/>
        <v>10.99981</v>
      </c>
      <c r="R17" s="7">
        <f>'[1]Nov Prod'!C16</f>
        <v>3652000</v>
      </c>
      <c r="S17" s="8">
        <f t="shared" ref="S17:S34" si="18">R17/1000000</f>
        <v>3.6520000000000001</v>
      </c>
      <c r="T17" s="10">
        <f t="shared" si="9"/>
        <v>11.211639999999999</v>
      </c>
      <c r="U17" s="7">
        <f>'[1]Nov Prod'!D16</f>
        <v>0</v>
      </c>
      <c r="V17" s="8">
        <f t="shared" si="10"/>
        <v>0</v>
      </c>
      <c r="W17" s="10">
        <f t="shared" si="11"/>
        <v>0</v>
      </c>
      <c r="X17" s="7">
        <f>'[1]Nov Prod'!$D264</f>
        <v>69000</v>
      </c>
      <c r="Y17" s="8">
        <f t="shared" si="12"/>
        <v>6.9000000000000006E-2</v>
      </c>
      <c r="Z17" s="10">
        <f t="shared" si="13"/>
        <v>0.21183000000000002</v>
      </c>
      <c r="AA17" s="22"/>
      <c r="AB17" s="7">
        <f>'[1]Nov Prod'!G16</f>
        <v>0</v>
      </c>
      <c r="AC17" s="15">
        <f t="shared" si="14"/>
        <v>0</v>
      </c>
      <c r="AD17" s="16">
        <f t="shared" si="15"/>
        <v>0</v>
      </c>
      <c r="AF17" s="7">
        <f t="shared" si="16"/>
        <v>8583000</v>
      </c>
      <c r="AG17" s="8">
        <f t="shared" si="16"/>
        <v>8.5830000000000002</v>
      </c>
      <c r="AH17" s="8">
        <f t="shared" si="16"/>
        <v>26.349809999999998</v>
      </c>
    </row>
    <row r="18" spans="1:34" x14ac:dyDescent="0.15">
      <c r="A18" s="1">
        <v>38305</v>
      </c>
      <c r="B18" s="7">
        <f>'[1]Nov Prod'!I17</f>
        <v>0</v>
      </c>
      <c r="C18" s="8">
        <f t="shared" si="0"/>
        <v>0</v>
      </c>
      <c r="D18" s="10">
        <f t="shared" si="1"/>
        <v>0</v>
      </c>
      <c r="E18" s="7">
        <f>'[1]Nov Prod'!E17</f>
        <v>0</v>
      </c>
      <c r="F18" s="8">
        <f t="shared" si="2"/>
        <v>0</v>
      </c>
      <c r="G18" s="10">
        <f t="shared" si="3"/>
        <v>0</v>
      </c>
      <c r="H18" s="7">
        <f>'[1]Nov Prod'!F17</f>
        <v>0</v>
      </c>
      <c r="I18" s="8">
        <f t="shared" si="4"/>
        <v>0</v>
      </c>
      <c r="J18" s="10">
        <f t="shared" si="5"/>
        <v>0</v>
      </c>
      <c r="K18" s="7">
        <f>'[1]Nov Prod'!$H265*10</f>
        <v>211130</v>
      </c>
      <c r="L18" s="8">
        <f t="shared" si="6"/>
        <v>0.21113000000000001</v>
      </c>
      <c r="M18" s="10">
        <f t="shared" si="7"/>
        <v>0.64816910000000005</v>
      </c>
      <c r="N18" s="28"/>
      <c r="O18" s="7">
        <f>'[1]Nov Prod'!H17</f>
        <v>8431000</v>
      </c>
      <c r="P18" s="8">
        <f t="shared" si="17"/>
        <v>8.4309999999999992</v>
      </c>
      <c r="Q18" s="10">
        <f t="shared" si="8"/>
        <v>25.883169999999996</v>
      </c>
      <c r="R18" s="7">
        <f>'[1]Nov Prod'!C17</f>
        <v>8811000</v>
      </c>
      <c r="S18" s="8">
        <f t="shared" si="18"/>
        <v>8.8109999999999999</v>
      </c>
      <c r="T18" s="10">
        <f t="shared" si="9"/>
        <v>27.049769999999999</v>
      </c>
      <c r="U18" s="7">
        <f>'[1]Nov Prod'!D17</f>
        <v>0</v>
      </c>
      <c r="V18" s="8">
        <f t="shared" si="10"/>
        <v>0</v>
      </c>
      <c r="W18" s="10">
        <f t="shared" si="11"/>
        <v>0</v>
      </c>
      <c r="X18" s="7">
        <f>'[1]Nov Prod'!$D265</f>
        <v>380000</v>
      </c>
      <c r="Y18" s="8">
        <f t="shared" si="12"/>
        <v>0.38</v>
      </c>
      <c r="Z18" s="10">
        <f t="shared" si="13"/>
        <v>1.1665999999999999</v>
      </c>
      <c r="AA18" s="22"/>
      <c r="AB18" s="7">
        <f>'[1]Nov Prod'!G17</f>
        <v>0</v>
      </c>
      <c r="AC18" s="15">
        <f t="shared" si="14"/>
        <v>0</v>
      </c>
      <c r="AD18" s="16">
        <f t="shared" si="15"/>
        <v>0</v>
      </c>
      <c r="AF18" s="7">
        <f t="shared" si="16"/>
        <v>8431000</v>
      </c>
      <c r="AG18" s="8">
        <f t="shared" si="16"/>
        <v>8.4309999999999992</v>
      </c>
      <c r="AH18" s="8">
        <f t="shared" si="16"/>
        <v>25.883169999999996</v>
      </c>
    </row>
    <row r="19" spans="1:34" x14ac:dyDescent="0.15">
      <c r="A19" s="1">
        <v>38306</v>
      </c>
      <c r="B19" s="7">
        <f>'[1]Nov Prod'!I18</f>
        <v>300000.0000001819</v>
      </c>
      <c r="C19" s="8">
        <f t="shared" si="0"/>
        <v>0.3000000000001819</v>
      </c>
      <c r="D19" s="10">
        <f t="shared" si="1"/>
        <v>0.92100000000055837</v>
      </c>
      <c r="E19" s="7">
        <f>'[1]Nov Prod'!E18</f>
        <v>0</v>
      </c>
      <c r="F19" s="8">
        <f t="shared" si="2"/>
        <v>0</v>
      </c>
      <c r="G19" s="10">
        <f t="shared" si="3"/>
        <v>0</v>
      </c>
      <c r="H19" s="7">
        <f>'[1]Nov Prod'!F18</f>
        <v>0</v>
      </c>
      <c r="I19" s="8">
        <f t="shared" si="4"/>
        <v>0</v>
      </c>
      <c r="J19" s="10">
        <f t="shared" si="5"/>
        <v>0</v>
      </c>
      <c r="K19" s="7">
        <f>'[1]Nov Prod'!$H266*10</f>
        <v>0</v>
      </c>
      <c r="L19" s="8">
        <f t="shared" si="6"/>
        <v>0</v>
      </c>
      <c r="M19" s="10">
        <f t="shared" si="7"/>
        <v>0</v>
      </c>
      <c r="N19" s="28"/>
      <c r="O19" s="7">
        <f>'[1]Nov Prod'!H18</f>
        <v>9034000</v>
      </c>
      <c r="P19" s="8">
        <f t="shared" si="17"/>
        <v>9.0340000000000007</v>
      </c>
      <c r="Q19" s="10">
        <f t="shared" si="8"/>
        <v>27.734380000000002</v>
      </c>
      <c r="R19" s="7">
        <f>'[1]Nov Prod'!C18</f>
        <v>9263000</v>
      </c>
      <c r="S19" s="8">
        <f t="shared" si="18"/>
        <v>9.2629999999999999</v>
      </c>
      <c r="T19" s="10">
        <f t="shared" si="9"/>
        <v>28.43741</v>
      </c>
      <c r="U19" s="7">
        <f>'[1]Nov Prod'!D18</f>
        <v>0</v>
      </c>
      <c r="V19" s="8">
        <f t="shared" si="10"/>
        <v>0</v>
      </c>
      <c r="W19" s="10">
        <f t="shared" si="11"/>
        <v>0</v>
      </c>
      <c r="X19" s="7">
        <f>'[1]Nov Prod'!$D266</f>
        <v>228999.99999999997</v>
      </c>
      <c r="Y19" s="8">
        <f t="shared" si="12"/>
        <v>0.22899999999999998</v>
      </c>
      <c r="Z19" s="10">
        <f t="shared" si="13"/>
        <v>0.70302999999999993</v>
      </c>
      <c r="AA19" s="22"/>
      <c r="AB19" s="7">
        <f>'[1]Nov Prod'!G18</f>
        <v>0</v>
      </c>
      <c r="AC19" s="15">
        <f t="shared" si="14"/>
        <v>0</v>
      </c>
      <c r="AD19" s="16">
        <f t="shared" si="15"/>
        <v>0</v>
      </c>
      <c r="AF19" s="7">
        <f t="shared" si="16"/>
        <v>9334000.0000001825</v>
      </c>
      <c r="AG19" s="8">
        <f t="shared" si="16"/>
        <v>9.3340000000001826</v>
      </c>
      <c r="AH19" s="8">
        <f t="shared" si="16"/>
        <v>28.655380000000559</v>
      </c>
    </row>
    <row r="20" spans="1:34" x14ac:dyDescent="0.15">
      <c r="A20" s="1">
        <v>38307</v>
      </c>
      <c r="B20" s="7">
        <f>'[1]Nov Prod'!I19</f>
        <v>0</v>
      </c>
      <c r="C20" s="8">
        <f t="shared" si="0"/>
        <v>0</v>
      </c>
      <c r="D20" s="10">
        <f t="shared" si="1"/>
        <v>0</v>
      </c>
      <c r="E20" s="7">
        <f>'[1]Nov Prod'!E19</f>
        <v>0</v>
      </c>
      <c r="F20" s="8">
        <f t="shared" si="2"/>
        <v>0</v>
      </c>
      <c r="G20" s="10">
        <f t="shared" si="3"/>
        <v>0</v>
      </c>
      <c r="H20" s="7">
        <f>'[1]Nov Prod'!F19</f>
        <v>0</v>
      </c>
      <c r="I20" s="8">
        <f t="shared" si="4"/>
        <v>0</v>
      </c>
      <c r="J20" s="10">
        <f t="shared" si="5"/>
        <v>0</v>
      </c>
      <c r="K20" s="7">
        <f>'[1]Nov Prod'!$H267*10</f>
        <v>0</v>
      </c>
      <c r="L20" s="8">
        <f t="shared" si="6"/>
        <v>0</v>
      </c>
      <c r="M20" s="10">
        <f t="shared" si="7"/>
        <v>0</v>
      </c>
      <c r="N20" s="28"/>
      <c r="O20" s="7">
        <f>'[1]Nov Prod'!H19</f>
        <v>10669000</v>
      </c>
      <c r="P20" s="8">
        <f t="shared" si="17"/>
        <v>10.669</v>
      </c>
      <c r="Q20" s="10">
        <f t="shared" si="8"/>
        <v>32.753830000000001</v>
      </c>
      <c r="R20" s="7">
        <f>'[1]Nov Prod'!C19</f>
        <v>10891000</v>
      </c>
      <c r="S20" s="8">
        <f t="shared" si="18"/>
        <v>10.891</v>
      </c>
      <c r="T20" s="10">
        <f t="shared" si="9"/>
        <v>33.435369999999999</v>
      </c>
      <c r="U20" s="7">
        <f>'[1]Nov Prod'!D19</f>
        <v>0</v>
      </c>
      <c r="V20" s="8">
        <f t="shared" si="10"/>
        <v>0</v>
      </c>
      <c r="W20" s="10">
        <f t="shared" si="11"/>
        <v>0</v>
      </c>
      <c r="X20" s="7">
        <f>'[1]Nov Prod'!$D267</f>
        <v>221999.99999999997</v>
      </c>
      <c r="Y20" s="8">
        <f t="shared" si="12"/>
        <v>0.22199999999999998</v>
      </c>
      <c r="Z20" s="10">
        <f t="shared" si="13"/>
        <v>0.68153999999999992</v>
      </c>
      <c r="AA20" s="22"/>
      <c r="AB20" s="7">
        <f>'[1]Nov Prod'!G19</f>
        <v>0</v>
      </c>
      <c r="AC20" s="15">
        <f t="shared" si="14"/>
        <v>0</v>
      </c>
      <c r="AD20" s="16">
        <f t="shared" si="15"/>
        <v>0</v>
      </c>
      <c r="AF20" s="7">
        <f t="shared" si="16"/>
        <v>10669000</v>
      </c>
      <c r="AG20" s="8">
        <f t="shared" si="16"/>
        <v>10.669</v>
      </c>
      <c r="AH20" s="8">
        <f t="shared" si="16"/>
        <v>32.753830000000001</v>
      </c>
    </row>
    <row r="21" spans="1:34" x14ac:dyDescent="0.15">
      <c r="A21" s="1">
        <v>38308</v>
      </c>
      <c r="B21" s="7">
        <f>'[1]Nov Prod'!I20</f>
        <v>0</v>
      </c>
      <c r="C21" s="8">
        <f t="shared" si="0"/>
        <v>0</v>
      </c>
      <c r="D21" s="10">
        <f t="shared" si="1"/>
        <v>0</v>
      </c>
      <c r="E21" s="7">
        <f>'[1]Nov Prod'!E20</f>
        <v>0</v>
      </c>
      <c r="F21" s="8">
        <f t="shared" si="2"/>
        <v>0</v>
      </c>
      <c r="G21" s="10">
        <f t="shared" si="3"/>
        <v>0</v>
      </c>
      <c r="H21" s="7">
        <f>'[1]Nov Prod'!F20</f>
        <v>0</v>
      </c>
      <c r="I21" s="8">
        <f t="shared" si="4"/>
        <v>0</v>
      </c>
      <c r="J21" s="10">
        <f t="shared" si="5"/>
        <v>0</v>
      </c>
      <c r="K21" s="7">
        <f>'[1]Nov Prod'!$H268*10</f>
        <v>0</v>
      </c>
      <c r="L21" s="8">
        <f t="shared" si="6"/>
        <v>0</v>
      </c>
      <c r="M21" s="10">
        <f t="shared" si="7"/>
        <v>0</v>
      </c>
      <c r="N21" s="28"/>
      <c r="O21" s="7">
        <f>'[1]Nov Prod'!H20</f>
        <v>10447000</v>
      </c>
      <c r="P21" s="8">
        <f t="shared" si="17"/>
        <v>10.446999999999999</v>
      </c>
      <c r="Q21" s="10">
        <f t="shared" si="8"/>
        <v>32.072289999999995</v>
      </c>
      <c r="R21" s="7">
        <f>'[1]Nov Prod'!C20</f>
        <v>10834000</v>
      </c>
      <c r="S21" s="8">
        <f t="shared" si="18"/>
        <v>10.834</v>
      </c>
      <c r="T21" s="10">
        <f t="shared" si="9"/>
        <v>33.260379999999998</v>
      </c>
      <c r="U21" s="7">
        <f>'[1]Nov Prod'!D20</f>
        <v>0</v>
      </c>
      <c r="V21" s="8">
        <f t="shared" si="10"/>
        <v>0</v>
      </c>
      <c r="W21" s="10">
        <f t="shared" si="11"/>
        <v>0</v>
      </c>
      <c r="X21" s="7">
        <f>'[1]Nov Prod'!$D268</f>
        <v>387000</v>
      </c>
      <c r="Y21" s="8">
        <f t="shared" si="12"/>
        <v>0.38700000000000001</v>
      </c>
      <c r="Z21" s="10">
        <f t="shared" si="13"/>
        <v>1.1880899999999999</v>
      </c>
      <c r="AA21" s="22"/>
      <c r="AB21" s="7">
        <f>'[1]Nov Prod'!G20</f>
        <v>0</v>
      </c>
      <c r="AC21" s="15">
        <f t="shared" si="14"/>
        <v>0</v>
      </c>
      <c r="AD21" s="16">
        <f t="shared" si="15"/>
        <v>0</v>
      </c>
      <c r="AF21" s="7">
        <f t="shared" si="16"/>
        <v>10447000</v>
      </c>
      <c r="AG21" s="8">
        <f t="shared" si="16"/>
        <v>10.446999999999999</v>
      </c>
      <c r="AH21" s="8">
        <f t="shared" si="16"/>
        <v>32.072289999999995</v>
      </c>
    </row>
    <row r="22" spans="1:34" x14ac:dyDescent="0.15">
      <c r="A22" s="1">
        <v>38309</v>
      </c>
      <c r="B22" s="7">
        <f>'[1]Nov Prod'!I21</f>
        <v>0</v>
      </c>
      <c r="C22" s="8">
        <f t="shared" si="0"/>
        <v>0</v>
      </c>
      <c r="D22" s="10">
        <f t="shared" si="1"/>
        <v>0</v>
      </c>
      <c r="E22" s="7">
        <f>'[1]Nov Prod'!E21</f>
        <v>0</v>
      </c>
      <c r="F22" s="8">
        <f t="shared" si="2"/>
        <v>0</v>
      </c>
      <c r="G22" s="10">
        <f t="shared" si="3"/>
        <v>0</v>
      </c>
      <c r="H22" s="7">
        <f>'[1]Nov Prod'!F21</f>
        <v>0</v>
      </c>
      <c r="I22" s="8">
        <f t="shared" si="4"/>
        <v>0</v>
      </c>
      <c r="J22" s="10">
        <f t="shared" si="5"/>
        <v>0</v>
      </c>
      <c r="K22" s="7">
        <f>'[1]Nov Prod'!$H269*10</f>
        <v>0</v>
      </c>
      <c r="L22" s="8">
        <f t="shared" si="6"/>
        <v>0</v>
      </c>
      <c r="M22" s="10">
        <f t="shared" si="7"/>
        <v>0</v>
      </c>
      <c r="N22" s="28"/>
      <c r="O22" s="7">
        <f>'[1]Nov Prod'!H21</f>
        <v>11975000</v>
      </c>
      <c r="P22" s="8">
        <f t="shared" si="17"/>
        <v>11.975</v>
      </c>
      <c r="Q22" s="10">
        <f t="shared" si="8"/>
        <v>36.763249999999999</v>
      </c>
      <c r="R22" s="7">
        <f>'[1]Nov Prod'!C21</f>
        <v>12431000</v>
      </c>
      <c r="S22" s="8">
        <f t="shared" si="18"/>
        <v>12.430999999999999</v>
      </c>
      <c r="T22" s="10">
        <f t="shared" si="9"/>
        <v>38.163169999999994</v>
      </c>
      <c r="U22" s="7">
        <f>'[1]Nov Prod'!D21</f>
        <v>0</v>
      </c>
      <c r="V22" s="8">
        <f t="shared" si="10"/>
        <v>0</v>
      </c>
      <c r="W22" s="10">
        <f t="shared" si="11"/>
        <v>0</v>
      </c>
      <c r="X22" s="7">
        <f>'[1]Nov Prod'!$D269</f>
        <v>456000.00000000017</v>
      </c>
      <c r="Y22" s="8">
        <f t="shared" si="12"/>
        <v>0.45600000000000018</v>
      </c>
      <c r="Z22" s="10">
        <f t="shared" si="13"/>
        <v>1.3999200000000005</v>
      </c>
      <c r="AA22" s="22"/>
      <c r="AB22" s="7">
        <f>'[1]Nov Prod'!G21</f>
        <v>0</v>
      </c>
      <c r="AC22" s="15">
        <f t="shared" si="14"/>
        <v>0</v>
      </c>
      <c r="AD22" s="16">
        <f t="shared" si="15"/>
        <v>0</v>
      </c>
      <c r="AF22" s="7">
        <f t="shared" si="16"/>
        <v>11975000</v>
      </c>
      <c r="AG22" s="8">
        <f t="shared" si="16"/>
        <v>11.975</v>
      </c>
      <c r="AH22" s="8">
        <f t="shared" si="16"/>
        <v>36.763249999999999</v>
      </c>
    </row>
    <row r="23" spans="1:34" x14ac:dyDescent="0.15">
      <c r="A23" s="1">
        <v>38310</v>
      </c>
      <c r="B23" s="7">
        <f>'[1]Nov Prod'!I22</f>
        <v>0</v>
      </c>
      <c r="C23" s="8">
        <f t="shared" si="0"/>
        <v>0</v>
      </c>
      <c r="D23" s="10">
        <f t="shared" si="1"/>
        <v>0</v>
      </c>
      <c r="E23" s="7">
        <f>'[1]Nov Prod'!E22</f>
        <v>0</v>
      </c>
      <c r="F23" s="8">
        <f t="shared" si="2"/>
        <v>0</v>
      </c>
      <c r="G23" s="10">
        <f t="shared" si="3"/>
        <v>0</v>
      </c>
      <c r="H23" s="7">
        <f>'[1]Nov Prod'!F22</f>
        <v>0</v>
      </c>
      <c r="I23" s="8">
        <f t="shared" si="4"/>
        <v>0</v>
      </c>
      <c r="J23" s="10">
        <f t="shared" si="5"/>
        <v>0</v>
      </c>
      <c r="K23" s="7">
        <f>'[1]Nov Prod'!$H270*10</f>
        <v>0</v>
      </c>
      <c r="L23" s="8">
        <f t="shared" si="6"/>
        <v>0</v>
      </c>
      <c r="M23" s="10">
        <f t="shared" si="7"/>
        <v>0</v>
      </c>
      <c r="N23" s="28"/>
      <c r="O23" s="7">
        <f>'[1]Nov Prod'!H22</f>
        <v>10177000</v>
      </c>
      <c r="P23" s="8">
        <f t="shared" si="17"/>
        <v>10.177</v>
      </c>
      <c r="Q23" s="10">
        <f t="shared" si="8"/>
        <v>31.243389999999998</v>
      </c>
      <c r="R23" s="7">
        <f>'[1]Nov Prod'!C22</f>
        <v>10558000</v>
      </c>
      <c r="S23" s="8">
        <f t="shared" si="18"/>
        <v>10.558</v>
      </c>
      <c r="T23" s="10">
        <f t="shared" si="9"/>
        <v>32.413059999999994</v>
      </c>
      <c r="U23" s="7">
        <f>'[1]Nov Prod'!D22</f>
        <v>0</v>
      </c>
      <c r="V23" s="8">
        <f t="shared" si="10"/>
        <v>0</v>
      </c>
      <c r="W23" s="10">
        <f t="shared" si="11"/>
        <v>0</v>
      </c>
      <c r="X23" s="7">
        <f>'[1]Nov Prod'!$D270</f>
        <v>380999.99999999977</v>
      </c>
      <c r="Y23" s="8">
        <f t="shared" si="12"/>
        <v>0.38099999999999978</v>
      </c>
      <c r="Z23" s="10">
        <f t="shared" si="13"/>
        <v>1.1696699999999993</v>
      </c>
      <c r="AA23" s="22"/>
      <c r="AB23" s="7">
        <f>'[1]Nov Prod'!G22</f>
        <v>0</v>
      </c>
      <c r="AC23" s="15">
        <f t="shared" si="14"/>
        <v>0</v>
      </c>
      <c r="AD23" s="16">
        <f t="shared" si="15"/>
        <v>0</v>
      </c>
      <c r="AF23" s="7">
        <f t="shared" si="16"/>
        <v>10177000</v>
      </c>
      <c r="AG23" s="8">
        <f t="shared" si="16"/>
        <v>10.177</v>
      </c>
      <c r="AH23" s="8">
        <f t="shared" si="16"/>
        <v>31.243389999999998</v>
      </c>
    </row>
    <row r="24" spans="1:34" x14ac:dyDescent="0.15">
      <c r="A24" s="1">
        <v>38311</v>
      </c>
      <c r="B24" s="7">
        <f>'[1]Nov Prod'!I23</f>
        <v>0</v>
      </c>
      <c r="C24" s="8">
        <f t="shared" si="0"/>
        <v>0</v>
      </c>
      <c r="D24" s="10">
        <f t="shared" si="1"/>
        <v>0</v>
      </c>
      <c r="E24" s="7">
        <f>'[1]Nov Prod'!E23</f>
        <v>0</v>
      </c>
      <c r="F24" s="8">
        <f t="shared" si="2"/>
        <v>0</v>
      </c>
      <c r="G24" s="10">
        <f t="shared" si="3"/>
        <v>0</v>
      </c>
      <c r="H24" s="7">
        <f>'[1]Nov Prod'!F23</f>
        <v>0</v>
      </c>
      <c r="I24" s="8">
        <f t="shared" si="4"/>
        <v>0</v>
      </c>
      <c r="J24" s="10">
        <f t="shared" si="5"/>
        <v>0</v>
      </c>
      <c r="K24" s="7">
        <f>'[1]Nov Prod'!$H271*10</f>
        <v>0</v>
      </c>
      <c r="L24" s="8">
        <f t="shared" si="6"/>
        <v>0</v>
      </c>
      <c r="M24" s="10">
        <f t="shared" si="7"/>
        <v>0</v>
      </c>
      <c r="N24" s="28"/>
      <c r="O24" s="7">
        <f>'[1]Nov Prod'!H23</f>
        <v>10982000</v>
      </c>
      <c r="P24" s="8">
        <f t="shared" si="17"/>
        <v>10.981999999999999</v>
      </c>
      <c r="Q24" s="10">
        <f t="shared" si="8"/>
        <v>33.714739999999999</v>
      </c>
      <c r="R24" s="7">
        <f>'[1]Nov Prod'!C23</f>
        <v>11210000</v>
      </c>
      <c r="S24" s="8">
        <f t="shared" si="18"/>
        <v>11.21</v>
      </c>
      <c r="T24" s="10">
        <f t="shared" si="9"/>
        <v>34.414700000000003</v>
      </c>
      <c r="U24" s="7">
        <f>'[1]Nov Prod'!D23</f>
        <v>0</v>
      </c>
      <c r="V24" s="8">
        <f t="shared" si="10"/>
        <v>0</v>
      </c>
      <c r="W24" s="10">
        <f t="shared" si="11"/>
        <v>0</v>
      </c>
      <c r="X24" s="7">
        <f>'[1]Nov Prod'!$D271</f>
        <v>228000.0000000002</v>
      </c>
      <c r="Y24" s="8">
        <f t="shared" si="12"/>
        <v>0.2280000000000002</v>
      </c>
      <c r="Z24" s="10">
        <f t="shared" si="13"/>
        <v>0.69996000000000058</v>
      </c>
      <c r="AA24" s="22"/>
      <c r="AB24" s="7">
        <f>'[1]Nov Prod'!G23</f>
        <v>0</v>
      </c>
      <c r="AC24" s="15">
        <f t="shared" si="14"/>
        <v>0</v>
      </c>
      <c r="AD24" s="16">
        <f t="shared" si="15"/>
        <v>0</v>
      </c>
      <c r="AF24" s="7">
        <f t="shared" si="16"/>
        <v>10982000</v>
      </c>
      <c r="AG24" s="8">
        <f t="shared" si="16"/>
        <v>10.981999999999999</v>
      </c>
      <c r="AH24" s="8">
        <f t="shared" si="16"/>
        <v>33.714739999999999</v>
      </c>
    </row>
    <row r="25" spans="1:34" x14ac:dyDescent="0.15">
      <c r="A25" s="1">
        <v>38312</v>
      </c>
      <c r="B25" s="7">
        <f>'[1]Nov Prod'!I24</f>
        <v>0</v>
      </c>
      <c r="C25" s="8">
        <f t="shared" si="0"/>
        <v>0</v>
      </c>
      <c r="D25" s="10">
        <f t="shared" si="1"/>
        <v>0</v>
      </c>
      <c r="E25" s="7">
        <f>'[1]Nov Prod'!E24</f>
        <v>0</v>
      </c>
      <c r="F25" s="8">
        <f t="shared" si="2"/>
        <v>0</v>
      </c>
      <c r="G25" s="10">
        <f t="shared" si="3"/>
        <v>0</v>
      </c>
      <c r="H25" s="7">
        <f>'[1]Nov Prod'!F24</f>
        <v>0</v>
      </c>
      <c r="I25" s="8">
        <f t="shared" si="4"/>
        <v>0</v>
      </c>
      <c r="J25" s="10">
        <f t="shared" si="5"/>
        <v>0</v>
      </c>
      <c r="K25" s="7">
        <f>'[1]Nov Prod'!$H272*10</f>
        <v>0</v>
      </c>
      <c r="L25" s="8">
        <f t="shared" si="6"/>
        <v>0</v>
      </c>
      <c r="M25" s="10">
        <f t="shared" si="7"/>
        <v>0</v>
      </c>
      <c r="N25" s="28"/>
      <c r="O25" s="7">
        <f>'[1]Nov Prod'!H24</f>
        <v>11625000</v>
      </c>
      <c r="P25" s="8">
        <f t="shared" si="17"/>
        <v>11.625</v>
      </c>
      <c r="Q25" s="10">
        <f t="shared" si="8"/>
        <v>35.688749999999999</v>
      </c>
      <c r="R25" s="7">
        <f>'[1]Nov Prod'!C24</f>
        <v>11930000</v>
      </c>
      <c r="S25" s="8">
        <f t="shared" si="18"/>
        <v>11.93</v>
      </c>
      <c r="T25" s="10">
        <f t="shared" si="9"/>
        <v>36.625099999999996</v>
      </c>
      <c r="U25" s="7">
        <f>'[1]Nov Prod'!D24</f>
        <v>0</v>
      </c>
      <c r="V25" s="8">
        <f t="shared" si="10"/>
        <v>0</v>
      </c>
      <c r="W25" s="10">
        <f t="shared" si="11"/>
        <v>0</v>
      </c>
      <c r="X25" s="7">
        <f>'[1]Nov Prod'!$D272</f>
        <v>304999.99999999971</v>
      </c>
      <c r="Y25" s="8">
        <f t="shared" si="12"/>
        <v>0.30499999999999972</v>
      </c>
      <c r="Z25" s="10">
        <f t="shared" si="13"/>
        <v>0.93634999999999913</v>
      </c>
      <c r="AA25" s="22"/>
      <c r="AB25" s="7">
        <f>'[1]Nov Prod'!G24</f>
        <v>0</v>
      </c>
      <c r="AC25" s="15">
        <f t="shared" si="14"/>
        <v>0</v>
      </c>
      <c r="AD25" s="16">
        <f t="shared" si="15"/>
        <v>0</v>
      </c>
      <c r="AF25" s="7">
        <f t="shared" si="16"/>
        <v>11625000</v>
      </c>
      <c r="AG25" s="8">
        <f t="shared" si="16"/>
        <v>11.625</v>
      </c>
      <c r="AH25" s="8">
        <f t="shared" si="16"/>
        <v>35.688749999999999</v>
      </c>
    </row>
    <row r="26" spans="1:34" x14ac:dyDescent="0.15">
      <c r="A26" s="1">
        <v>38313</v>
      </c>
      <c r="B26" s="7">
        <f>'[1]Nov Prod'!I25</f>
        <v>0</v>
      </c>
      <c r="C26" s="8">
        <f t="shared" si="0"/>
        <v>0</v>
      </c>
      <c r="D26" s="10">
        <f t="shared" si="1"/>
        <v>0</v>
      </c>
      <c r="E26" s="7">
        <f>'[1]Nov Prod'!E25</f>
        <v>0</v>
      </c>
      <c r="F26" s="8">
        <f t="shared" si="2"/>
        <v>0</v>
      </c>
      <c r="G26" s="10">
        <f t="shared" si="3"/>
        <v>0</v>
      </c>
      <c r="H26" s="7">
        <f>'[1]Nov Prod'!F25</f>
        <v>0</v>
      </c>
      <c r="I26" s="8">
        <f t="shared" si="4"/>
        <v>0</v>
      </c>
      <c r="J26" s="10">
        <f t="shared" si="5"/>
        <v>0</v>
      </c>
      <c r="K26" s="7">
        <f>'[1]Nov Prod'!$H273*10</f>
        <v>0</v>
      </c>
      <c r="L26" s="8">
        <f t="shared" si="6"/>
        <v>0</v>
      </c>
      <c r="M26" s="10">
        <f t="shared" si="7"/>
        <v>0</v>
      </c>
      <c r="N26" s="28"/>
      <c r="O26" s="7">
        <f>'[1]Nov Prod'!H25</f>
        <v>11309000</v>
      </c>
      <c r="P26" s="8">
        <f t="shared" si="17"/>
        <v>11.308999999999999</v>
      </c>
      <c r="Q26" s="10">
        <f t="shared" si="8"/>
        <v>34.718629999999997</v>
      </c>
      <c r="R26" s="7">
        <f>'[1]Nov Prod'!C25</f>
        <v>11765000</v>
      </c>
      <c r="S26" s="8">
        <f t="shared" si="18"/>
        <v>11.765000000000001</v>
      </c>
      <c r="T26" s="10">
        <f t="shared" si="9"/>
        <v>36.118549999999999</v>
      </c>
      <c r="U26" s="7">
        <f>'[1]Nov Prod'!D25</f>
        <v>0</v>
      </c>
      <c r="V26" s="8">
        <f t="shared" si="10"/>
        <v>0</v>
      </c>
      <c r="W26" s="10">
        <f t="shared" si="11"/>
        <v>0</v>
      </c>
      <c r="X26" s="7">
        <f>'[1]Nov Prod'!$D273</f>
        <v>455999.99999999994</v>
      </c>
      <c r="Y26" s="8">
        <f t="shared" si="12"/>
        <v>0.45599999999999996</v>
      </c>
      <c r="Z26" s="10">
        <f t="shared" si="13"/>
        <v>1.3999199999999998</v>
      </c>
      <c r="AA26" s="22"/>
      <c r="AB26" s="7">
        <f>'[1]Nov Prod'!G25</f>
        <v>0</v>
      </c>
      <c r="AC26" s="15">
        <f t="shared" si="14"/>
        <v>0</v>
      </c>
      <c r="AD26" s="16">
        <f t="shared" si="15"/>
        <v>0</v>
      </c>
      <c r="AF26" s="7">
        <f t="shared" si="16"/>
        <v>11309000</v>
      </c>
      <c r="AG26" s="8">
        <f t="shared" si="16"/>
        <v>11.308999999999999</v>
      </c>
      <c r="AH26" s="8">
        <f t="shared" si="16"/>
        <v>34.718629999999997</v>
      </c>
    </row>
    <row r="27" spans="1:34" x14ac:dyDescent="0.15">
      <c r="A27" s="1">
        <v>38314</v>
      </c>
      <c r="B27" s="7">
        <f>'[1]Nov Prod'!I26</f>
        <v>0</v>
      </c>
      <c r="C27" s="8">
        <f t="shared" si="0"/>
        <v>0</v>
      </c>
      <c r="D27" s="10">
        <f t="shared" si="1"/>
        <v>0</v>
      </c>
      <c r="E27" s="7">
        <f>'[1]Nov Prod'!E26</f>
        <v>0</v>
      </c>
      <c r="F27" s="8">
        <f t="shared" si="2"/>
        <v>0</v>
      </c>
      <c r="G27" s="10">
        <f t="shared" si="3"/>
        <v>0</v>
      </c>
      <c r="H27" s="7">
        <f>'[1]Nov Prod'!F26</f>
        <v>0</v>
      </c>
      <c r="I27" s="8">
        <f t="shared" si="4"/>
        <v>0</v>
      </c>
      <c r="J27" s="10">
        <f t="shared" si="5"/>
        <v>0</v>
      </c>
      <c r="K27" s="7">
        <f>'[1]Nov Prod'!$H274*10</f>
        <v>0</v>
      </c>
      <c r="L27" s="8">
        <f t="shared" si="6"/>
        <v>0</v>
      </c>
      <c r="M27" s="10">
        <f t="shared" si="7"/>
        <v>0</v>
      </c>
      <c r="N27" s="28"/>
      <c r="O27" s="7">
        <f>'[1]Nov Prod'!H26</f>
        <v>11276000</v>
      </c>
      <c r="P27" s="8">
        <f t="shared" si="17"/>
        <v>11.276</v>
      </c>
      <c r="Q27" s="10">
        <f t="shared" si="8"/>
        <v>34.617319999999999</v>
      </c>
      <c r="R27" s="7">
        <f>'[1]Nov Prod'!C26</f>
        <v>11731000</v>
      </c>
      <c r="S27" s="8">
        <f t="shared" si="18"/>
        <v>11.731</v>
      </c>
      <c r="T27" s="10">
        <f t="shared" si="9"/>
        <v>36.01417</v>
      </c>
      <c r="U27" s="7">
        <f>'[1]Nov Prod'!D26</f>
        <v>0</v>
      </c>
      <c r="V27" s="8">
        <f t="shared" si="10"/>
        <v>0</v>
      </c>
      <c r="W27" s="10">
        <f t="shared" si="11"/>
        <v>0</v>
      </c>
      <c r="X27" s="7">
        <f>'[1]Nov Prod'!$D274</f>
        <v>455000.00000000006</v>
      </c>
      <c r="Y27" s="8">
        <f t="shared" si="12"/>
        <v>0.45500000000000007</v>
      </c>
      <c r="Z27" s="10">
        <f t="shared" si="13"/>
        <v>1.3968500000000001</v>
      </c>
      <c r="AA27" s="22"/>
      <c r="AB27" s="7">
        <f>'[1]Nov Prod'!G26</f>
        <v>0</v>
      </c>
      <c r="AC27" s="15">
        <f t="shared" si="14"/>
        <v>0</v>
      </c>
      <c r="AD27" s="16">
        <f t="shared" si="15"/>
        <v>0</v>
      </c>
      <c r="AF27" s="7">
        <f t="shared" si="16"/>
        <v>11276000</v>
      </c>
      <c r="AG27" s="8">
        <f t="shared" si="16"/>
        <v>11.276</v>
      </c>
      <c r="AH27" s="8">
        <f t="shared" si="16"/>
        <v>34.617319999999999</v>
      </c>
    </row>
    <row r="28" spans="1:34" x14ac:dyDescent="0.15">
      <c r="A28" s="1">
        <v>38315</v>
      </c>
      <c r="B28" s="7">
        <f>'[1]Nov Prod'!I27</f>
        <v>0</v>
      </c>
      <c r="C28" s="8">
        <f t="shared" si="0"/>
        <v>0</v>
      </c>
      <c r="D28" s="10">
        <f t="shared" si="1"/>
        <v>0</v>
      </c>
      <c r="E28" s="7">
        <f>'[1]Nov Prod'!E27</f>
        <v>0</v>
      </c>
      <c r="F28" s="8">
        <f t="shared" si="2"/>
        <v>0</v>
      </c>
      <c r="G28" s="10">
        <f t="shared" si="3"/>
        <v>0</v>
      </c>
      <c r="H28" s="7">
        <f>'[1]Nov Prod'!F27</f>
        <v>0</v>
      </c>
      <c r="I28" s="8">
        <f t="shared" si="4"/>
        <v>0</v>
      </c>
      <c r="J28" s="10">
        <f t="shared" si="5"/>
        <v>0</v>
      </c>
      <c r="K28" s="7">
        <f>'[1]Nov Prod'!$H275*10</f>
        <v>0</v>
      </c>
      <c r="L28" s="8">
        <f t="shared" si="6"/>
        <v>0</v>
      </c>
      <c r="M28" s="10">
        <f t="shared" si="7"/>
        <v>0</v>
      </c>
      <c r="N28" s="28"/>
      <c r="O28" s="7">
        <f>'[1]Nov Prod'!H27</f>
        <v>11175000</v>
      </c>
      <c r="P28" s="8">
        <f t="shared" si="17"/>
        <v>11.175000000000001</v>
      </c>
      <c r="Q28" s="10">
        <f t="shared" si="8"/>
        <v>34.307250000000003</v>
      </c>
      <c r="R28" s="7">
        <f>'[1]Nov Prod'!C27</f>
        <v>11475000</v>
      </c>
      <c r="S28" s="8">
        <f t="shared" si="18"/>
        <v>11.475</v>
      </c>
      <c r="T28" s="10">
        <f t="shared" si="9"/>
        <v>35.228249999999996</v>
      </c>
      <c r="U28" s="7">
        <f>'[1]Nov Prod'!D27</f>
        <v>0</v>
      </c>
      <c r="V28" s="8">
        <f t="shared" si="10"/>
        <v>0</v>
      </c>
      <c r="W28" s="10">
        <f t="shared" si="11"/>
        <v>0</v>
      </c>
      <c r="X28" s="7">
        <f>'[1]Nov Prod'!$D275</f>
        <v>299999.99999999983</v>
      </c>
      <c r="Y28" s="8">
        <f t="shared" si="12"/>
        <v>0.29999999999999982</v>
      </c>
      <c r="Z28" s="10">
        <f t="shared" si="13"/>
        <v>0.92099999999999937</v>
      </c>
      <c r="AA28" s="22"/>
      <c r="AB28" s="7">
        <f>'[1]Nov Prod'!G27</f>
        <v>0</v>
      </c>
      <c r="AC28" s="15">
        <f t="shared" si="14"/>
        <v>0</v>
      </c>
      <c r="AD28" s="16">
        <f t="shared" si="15"/>
        <v>0</v>
      </c>
      <c r="AF28" s="7">
        <f t="shared" si="16"/>
        <v>11175000</v>
      </c>
      <c r="AG28" s="8">
        <f t="shared" si="16"/>
        <v>11.175000000000001</v>
      </c>
      <c r="AH28" s="8">
        <f t="shared" si="16"/>
        <v>34.307250000000003</v>
      </c>
    </row>
    <row r="29" spans="1:34" x14ac:dyDescent="0.15">
      <c r="A29" s="1">
        <v>38316</v>
      </c>
      <c r="B29" s="7">
        <f>'[1]Nov Prod'!I28</f>
        <v>0</v>
      </c>
      <c r="C29" s="8">
        <f t="shared" si="0"/>
        <v>0</v>
      </c>
      <c r="D29" s="10">
        <f t="shared" si="1"/>
        <v>0</v>
      </c>
      <c r="E29" s="7">
        <f>'[1]Nov Prod'!E28</f>
        <v>0</v>
      </c>
      <c r="F29" s="8">
        <f t="shared" si="2"/>
        <v>0</v>
      </c>
      <c r="G29" s="10">
        <f t="shared" si="3"/>
        <v>0</v>
      </c>
      <c r="H29" s="7">
        <f>'[1]Nov Prod'!F28</f>
        <v>0</v>
      </c>
      <c r="I29" s="8">
        <f t="shared" si="4"/>
        <v>0</v>
      </c>
      <c r="J29" s="10">
        <f t="shared" si="5"/>
        <v>0</v>
      </c>
      <c r="K29" s="7">
        <f>'[1]Nov Prod'!$H276*10</f>
        <v>0</v>
      </c>
      <c r="L29" s="8">
        <f t="shared" si="6"/>
        <v>0</v>
      </c>
      <c r="M29" s="10">
        <f t="shared" si="7"/>
        <v>0</v>
      </c>
      <c r="N29" s="28"/>
      <c r="O29" s="7">
        <f>'[1]Nov Prod'!H28</f>
        <v>10778000</v>
      </c>
      <c r="P29" s="8">
        <f t="shared" si="17"/>
        <v>10.778</v>
      </c>
      <c r="Q29" s="10">
        <f t="shared" si="8"/>
        <v>33.088459999999998</v>
      </c>
      <c r="R29" s="7">
        <f>'[1]Nov Prod'!C28</f>
        <v>11007000</v>
      </c>
      <c r="S29" s="8">
        <f t="shared" si="18"/>
        <v>11.007</v>
      </c>
      <c r="T29" s="10">
        <f t="shared" si="9"/>
        <v>33.791489999999996</v>
      </c>
      <c r="U29" s="7">
        <f>'[1]Nov Prod'!D28</f>
        <v>0</v>
      </c>
      <c r="V29" s="8">
        <f t="shared" si="10"/>
        <v>0</v>
      </c>
      <c r="W29" s="10">
        <f t="shared" si="11"/>
        <v>0</v>
      </c>
      <c r="X29" s="7">
        <f>'[1]Nov Prod'!$D276</f>
        <v>229000.00000000009</v>
      </c>
      <c r="Y29" s="8">
        <f t="shared" si="12"/>
        <v>0.22900000000000009</v>
      </c>
      <c r="Z29" s="10">
        <f t="shared" si="13"/>
        <v>0.70303000000000027</v>
      </c>
      <c r="AA29" s="22"/>
      <c r="AB29" s="7">
        <f>'[1]Nov Prod'!G28</f>
        <v>0</v>
      </c>
      <c r="AC29" s="15">
        <f t="shared" si="14"/>
        <v>0</v>
      </c>
      <c r="AD29" s="16">
        <f t="shared" si="15"/>
        <v>0</v>
      </c>
      <c r="AF29" s="7">
        <f t="shared" si="16"/>
        <v>10778000</v>
      </c>
      <c r="AG29" s="8">
        <f t="shared" si="16"/>
        <v>10.778</v>
      </c>
      <c r="AH29" s="8">
        <f t="shared" si="16"/>
        <v>33.088459999999998</v>
      </c>
    </row>
    <row r="30" spans="1:34" x14ac:dyDescent="0.15">
      <c r="A30" s="1">
        <v>38317</v>
      </c>
      <c r="B30" s="7">
        <f>'[1]Nov Prod'!I29</f>
        <v>99999.999999454303</v>
      </c>
      <c r="C30" s="8">
        <f t="shared" si="0"/>
        <v>9.9999999999454303E-2</v>
      </c>
      <c r="D30" s="10">
        <f t="shared" si="1"/>
        <v>0.30699999999832467</v>
      </c>
      <c r="E30" s="7">
        <f>'[1]Nov Prod'!E29</f>
        <v>0</v>
      </c>
      <c r="F30" s="8">
        <f t="shared" si="2"/>
        <v>0</v>
      </c>
      <c r="G30" s="10">
        <f t="shared" si="3"/>
        <v>0</v>
      </c>
      <c r="H30" s="7">
        <f>'[1]Nov Prod'!F29</f>
        <v>0</v>
      </c>
      <c r="I30" s="8">
        <f t="shared" si="4"/>
        <v>0</v>
      </c>
      <c r="J30" s="10">
        <f t="shared" si="5"/>
        <v>0</v>
      </c>
      <c r="K30" s="7">
        <f>'[1]Nov Prod'!$H277*10</f>
        <v>0</v>
      </c>
      <c r="L30" s="8">
        <f t="shared" si="6"/>
        <v>0</v>
      </c>
      <c r="M30" s="10">
        <f t="shared" si="7"/>
        <v>0</v>
      </c>
      <c r="N30" s="28"/>
      <c r="O30" s="7">
        <f>'[1]Nov Prod'!H29</f>
        <v>11656000</v>
      </c>
      <c r="P30" s="8">
        <f t="shared" si="17"/>
        <v>11.656000000000001</v>
      </c>
      <c r="Q30" s="10">
        <f t="shared" si="8"/>
        <v>35.783920000000002</v>
      </c>
      <c r="R30" s="7">
        <f>'[1]Nov Prod'!C29</f>
        <v>12035000</v>
      </c>
      <c r="S30" s="8">
        <f t="shared" si="18"/>
        <v>12.035</v>
      </c>
      <c r="T30" s="10">
        <f t="shared" si="9"/>
        <v>36.947449999999996</v>
      </c>
      <c r="U30" s="7">
        <f>'[1]Nov Prod'!D29</f>
        <v>0</v>
      </c>
      <c r="V30" s="8">
        <f t="shared" si="10"/>
        <v>0</v>
      </c>
      <c r="W30" s="10">
        <f t="shared" si="11"/>
        <v>0</v>
      </c>
      <c r="X30" s="7">
        <f>'[1]Nov Prod'!$D277</f>
        <v>379000.00000000047</v>
      </c>
      <c r="Y30" s="8">
        <f t="shared" si="12"/>
        <v>0.37900000000000045</v>
      </c>
      <c r="Z30" s="10">
        <f t="shared" si="13"/>
        <v>1.1635300000000013</v>
      </c>
      <c r="AA30" s="22"/>
      <c r="AB30" s="7">
        <f>'[1]Nov Prod'!G29</f>
        <v>0</v>
      </c>
      <c r="AC30" s="15">
        <f t="shared" si="14"/>
        <v>0</v>
      </c>
      <c r="AD30" s="16">
        <f t="shared" si="15"/>
        <v>0</v>
      </c>
      <c r="AF30" s="7">
        <f t="shared" si="16"/>
        <v>11755999.999999454</v>
      </c>
      <c r="AG30" s="8">
        <f t="shared" si="16"/>
        <v>11.755999999999455</v>
      </c>
      <c r="AH30" s="8">
        <f t="shared" si="16"/>
        <v>36.090919999998327</v>
      </c>
    </row>
    <row r="31" spans="1:34" x14ac:dyDescent="0.15">
      <c r="A31" s="1">
        <v>38318</v>
      </c>
      <c r="B31" s="7">
        <f>'[1]Nov Prod'!I30</f>
        <v>0</v>
      </c>
      <c r="C31" s="8">
        <f t="shared" si="0"/>
        <v>0</v>
      </c>
      <c r="D31" s="10">
        <f t="shared" si="1"/>
        <v>0</v>
      </c>
      <c r="E31" s="7">
        <f>'[1]Nov Prod'!E30</f>
        <v>0</v>
      </c>
      <c r="F31" s="8">
        <f t="shared" si="2"/>
        <v>0</v>
      </c>
      <c r="G31" s="10">
        <f t="shared" si="3"/>
        <v>0</v>
      </c>
      <c r="H31" s="7">
        <f>'[1]Nov Prod'!F30</f>
        <v>0</v>
      </c>
      <c r="I31" s="8">
        <f t="shared" si="4"/>
        <v>0</v>
      </c>
      <c r="J31" s="10">
        <f t="shared" si="5"/>
        <v>0</v>
      </c>
      <c r="K31" s="7">
        <f>'[1]Nov Prod'!$H278*10</f>
        <v>0</v>
      </c>
      <c r="L31" s="8">
        <f t="shared" si="6"/>
        <v>0</v>
      </c>
      <c r="M31" s="10">
        <f t="shared" si="7"/>
        <v>0</v>
      </c>
      <c r="N31" s="28"/>
      <c r="O31" s="7">
        <f>'[1]Nov Prod'!H30</f>
        <v>10512000</v>
      </c>
      <c r="P31" s="8">
        <f t="shared" si="17"/>
        <v>10.512</v>
      </c>
      <c r="Q31" s="10">
        <f t="shared" si="8"/>
        <v>32.271839999999997</v>
      </c>
      <c r="R31" s="7">
        <f>'[1]Nov Prod'!C30</f>
        <v>10965000</v>
      </c>
      <c r="S31" s="8">
        <f t="shared" si="18"/>
        <v>10.965</v>
      </c>
      <c r="T31" s="10">
        <f t="shared" si="9"/>
        <v>33.662549999999996</v>
      </c>
      <c r="U31" s="7">
        <f>'[1]Nov Prod'!D30</f>
        <v>0</v>
      </c>
      <c r="V31" s="8">
        <f t="shared" si="10"/>
        <v>0</v>
      </c>
      <c r="W31" s="10">
        <f t="shared" si="11"/>
        <v>0</v>
      </c>
      <c r="X31" s="7">
        <f>'[1]Nov Prod'!$D278</f>
        <v>452999.99999999942</v>
      </c>
      <c r="Y31" s="8">
        <f t="shared" si="12"/>
        <v>0.4529999999999994</v>
      </c>
      <c r="Z31" s="10">
        <f t="shared" si="13"/>
        <v>1.3907099999999981</v>
      </c>
      <c r="AA31" s="22"/>
      <c r="AB31" s="7">
        <f>'[1]Nov Prod'!G30</f>
        <v>0</v>
      </c>
      <c r="AC31" s="15">
        <f t="shared" si="14"/>
        <v>0</v>
      </c>
      <c r="AD31" s="16">
        <f t="shared" si="15"/>
        <v>0</v>
      </c>
      <c r="AF31" s="7">
        <f t="shared" si="16"/>
        <v>10512000</v>
      </c>
      <c r="AG31" s="8">
        <f t="shared" si="16"/>
        <v>10.512</v>
      </c>
      <c r="AH31" s="8">
        <f t="shared" si="16"/>
        <v>32.271839999999997</v>
      </c>
    </row>
    <row r="32" spans="1:34" x14ac:dyDescent="0.15">
      <c r="A32" s="1">
        <v>38319</v>
      </c>
      <c r="B32" s="7">
        <f>'[1]Nov Prod'!I31</f>
        <v>0</v>
      </c>
      <c r="C32" s="8">
        <f t="shared" si="0"/>
        <v>0</v>
      </c>
      <c r="D32" s="10">
        <f t="shared" si="1"/>
        <v>0</v>
      </c>
      <c r="E32" s="7">
        <f>'[1]Nov Prod'!E31</f>
        <v>0</v>
      </c>
      <c r="F32" s="8">
        <f t="shared" si="2"/>
        <v>0</v>
      </c>
      <c r="G32" s="10">
        <f t="shared" si="3"/>
        <v>0</v>
      </c>
      <c r="H32" s="7">
        <f>'[1]Nov Prod'!F31</f>
        <v>0</v>
      </c>
      <c r="I32" s="8">
        <f t="shared" si="4"/>
        <v>0</v>
      </c>
      <c r="J32" s="10">
        <f t="shared" si="5"/>
        <v>0</v>
      </c>
      <c r="K32" s="7">
        <f>'[1]Nov Prod'!$H279*10</f>
        <v>0</v>
      </c>
      <c r="L32" s="8">
        <f t="shared" si="6"/>
        <v>0</v>
      </c>
      <c r="M32" s="10">
        <f t="shared" si="7"/>
        <v>0</v>
      </c>
      <c r="N32" s="28"/>
      <c r="O32" s="7">
        <f>'[1]Nov Prod'!H31</f>
        <v>11038000</v>
      </c>
      <c r="P32" s="8">
        <f t="shared" si="17"/>
        <v>11.038</v>
      </c>
      <c r="Q32" s="10">
        <f t="shared" si="8"/>
        <v>33.886659999999999</v>
      </c>
      <c r="R32" s="7">
        <f>'[1]Nov Prod'!C31</f>
        <v>11416000</v>
      </c>
      <c r="S32" s="8">
        <f t="shared" si="18"/>
        <v>11.416</v>
      </c>
      <c r="T32" s="10">
        <f t="shared" si="9"/>
        <v>35.04712</v>
      </c>
      <c r="U32" s="7">
        <f>'[1]Nov Prod'!D31</f>
        <v>0</v>
      </c>
      <c r="V32" s="8">
        <f t="shared" si="10"/>
        <v>0</v>
      </c>
      <c r="W32" s="10">
        <f t="shared" si="11"/>
        <v>0</v>
      </c>
      <c r="X32" s="7">
        <f>'[1]Nov Prod'!$D279</f>
        <v>378000.00000000012</v>
      </c>
      <c r="Y32" s="8">
        <f t="shared" si="12"/>
        <v>0.37800000000000011</v>
      </c>
      <c r="Z32" s="10">
        <f t="shared" si="13"/>
        <v>1.1604600000000003</v>
      </c>
      <c r="AA32" s="22"/>
      <c r="AB32" s="7">
        <f>'[1]Nov Prod'!G31</f>
        <v>0</v>
      </c>
      <c r="AC32" s="15">
        <f t="shared" si="14"/>
        <v>0</v>
      </c>
      <c r="AD32" s="16">
        <f t="shared" si="15"/>
        <v>0</v>
      </c>
      <c r="AF32" s="7">
        <f t="shared" si="16"/>
        <v>11038000</v>
      </c>
      <c r="AG32" s="8">
        <f t="shared" si="16"/>
        <v>11.038</v>
      </c>
      <c r="AH32" s="8">
        <f t="shared" si="16"/>
        <v>33.886659999999999</v>
      </c>
    </row>
    <row r="33" spans="1:34" x14ac:dyDescent="0.15">
      <c r="A33" s="1">
        <v>38320</v>
      </c>
      <c r="B33" s="7">
        <f>'[1]Nov Prod'!I32</f>
        <v>0</v>
      </c>
      <c r="C33" s="8">
        <f t="shared" si="0"/>
        <v>0</v>
      </c>
      <c r="D33" s="10">
        <f t="shared" si="1"/>
        <v>0</v>
      </c>
      <c r="E33" s="7">
        <f>'[1]Nov Prod'!E32</f>
        <v>0</v>
      </c>
      <c r="F33" s="8">
        <f t="shared" si="2"/>
        <v>0</v>
      </c>
      <c r="G33" s="10">
        <f t="shared" si="3"/>
        <v>0</v>
      </c>
      <c r="H33" s="7">
        <f>'[1]Nov Prod'!F32</f>
        <v>0</v>
      </c>
      <c r="I33" s="8">
        <f t="shared" si="4"/>
        <v>0</v>
      </c>
      <c r="J33" s="10">
        <f t="shared" si="5"/>
        <v>0</v>
      </c>
      <c r="K33" s="7">
        <f>'[1]Nov Prod'!$H280*10</f>
        <v>0</v>
      </c>
      <c r="L33" s="8">
        <f t="shared" si="6"/>
        <v>0</v>
      </c>
      <c r="M33" s="10">
        <f t="shared" si="7"/>
        <v>0</v>
      </c>
      <c r="N33" s="28"/>
      <c r="O33" s="7">
        <f>'[1]Nov Prod'!H32</f>
        <v>11262000</v>
      </c>
      <c r="P33" s="8">
        <f t="shared" si="17"/>
        <v>11.262</v>
      </c>
      <c r="Q33" s="10">
        <f t="shared" si="8"/>
        <v>34.574339999999999</v>
      </c>
      <c r="R33" s="7">
        <f>'[1]Nov Prod'!C32</f>
        <v>11414000</v>
      </c>
      <c r="S33" s="8">
        <f t="shared" si="18"/>
        <v>11.414</v>
      </c>
      <c r="T33" s="10">
        <f t="shared" si="9"/>
        <v>35.040979999999998</v>
      </c>
      <c r="U33" s="7">
        <f>'[1]Nov Prod'!D32</f>
        <v>0</v>
      </c>
      <c r="V33" s="8">
        <f t="shared" si="10"/>
        <v>0</v>
      </c>
      <c r="W33" s="10">
        <f t="shared" si="11"/>
        <v>0</v>
      </c>
      <c r="X33" s="7">
        <f>'[1]Nov Prod'!$D280</f>
        <v>152000.00000000015</v>
      </c>
      <c r="Y33" s="8">
        <f t="shared" si="12"/>
        <v>0.15200000000000014</v>
      </c>
      <c r="Z33" s="10">
        <f t="shared" si="13"/>
        <v>0.46664000000000039</v>
      </c>
      <c r="AA33" s="22"/>
      <c r="AB33" s="7">
        <f>'[1]Nov Prod'!G32</f>
        <v>0</v>
      </c>
      <c r="AC33" s="15">
        <f t="shared" si="14"/>
        <v>0</v>
      </c>
      <c r="AD33" s="16">
        <f t="shared" si="15"/>
        <v>0</v>
      </c>
      <c r="AF33" s="7">
        <f t="shared" si="16"/>
        <v>11262000</v>
      </c>
      <c r="AG33" s="8">
        <f t="shared" si="16"/>
        <v>11.262</v>
      </c>
      <c r="AH33" s="8">
        <f t="shared" si="16"/>
        <v>34.574339999999999</v>
      </c>
    </row>
    <row r="34" spans="1:34" x14ac:dyDescent="0.15">
      <c r="A34" s="1">
        <v>38321</v>
      </c>
      <c r="B34" s="7">
        <f>'[1]Nov Prod'!I33</f>
        <v>0</v>
      </c>
      <c r="C34" s="8">
        <f t="shared" si="0"/>
        <v>0</v>
      </c>
      <c r="D34" s="10">
        <f t="shared" si="1"/>
        <v>0</v>
      </c>
      <c r="E34" s="7">
        <f>'[1]Nov Prod'!E33</f>
        <v>0</v>
      </c>
      <c r="F34" s="8">
        <f t="shared" si="2"/>
        <v>0</v>
      </c>
      <c r="G34" s="10">
        <f t="shared" si="3"/>
        <v>0</v>
      </c>
      <c r="H34" s="7">
        <f>'[1]Nov Prod'!F33</f>
        <v>0</v>
      </c>
      <c r="I34" s="8">
        <f t="shared" si="4"/>
        <v>0</v>
      </c>
      <c r="J34" s="10">
        <f t="shared" si="5"/>
        <v>0</v>
      </c>
      <c r="K34" s="7">
        <f>'[1]Nov Prod'!$H281*10</f>
        <v>0</v>
      </c>
      <c r="L34" s="8">
        <f t="shared" si="6"/>
        <v>0</v>
      </c>
      <c r="M34" s="10">
        <f t="shared" si="7"/>
        <v>0</v>
      </c>
      <c r="N34" s="28"/>
      <c r="O34" s="7">
        <f>'[1]Nov Prod'!H33</f>
        <v>11325000</v>
      </c>
      <c r="P34" s="8">
        <f t="shared" si="17"/>
        <v>11.324999999999999</v>
      </c>
      <c r="Q34" s="10">
        <f t="shared" si="8"/>
        <v>34.767749999999999</v>
      </c>
      <c r="R34" s="7">
        <f>'[1]Nov Prod'!C33</f>
        <v>11705000</v>
      </c>
      <c r="S34" s="8">
        <f t="shared" si="18"/>
        <v>11.705</v>
      </c>
      <c r="T34" s="10">
        <f t="shared" si="9"/>
        <v>35.934349999999995</v>
      </c>
      <c r="U34" s="7">
        <f>'[1]Nov Prod'!D33</f>
        <v>0</v>
      </c>
      <c r="V34" s="8">
        <f t="shared" si="10"/>
        <v>0</v>
      </c>
      <c r="W34" s="10">
        <f t="shared" si="11"/>
        <v>0</v>
      </c>
      <c r="X34" s="7">
        <f>'[1]Nov Prod'!$D281</f>
        <v>379999.99999999988</v>
      </c>
      <c r="Y34" s="8">
        <f t="shared" si="12"/>
        <v>0.37999999999999989</v>
      </c>
      <c r="Z34" s="10">
        <f t="shared" si="13"/>
        <v>1.1665999999999996</v>
      </c>
      <c r="AA34" s="22"/>
      <c r="AB34" s="7">
        <f>'[1]Nov Prod'!G33</f>
        <v>0</v>
      </c>
      <c r="AC34" s="15">
        <f t="shared" si="14"/>
        <v>0</v>
      </c>
      <c r="AD34" s="16">
        <f t="shared" si="15"/>
        <v>0</v>
      </c>
      <c r="AF34" s="7">
        <f t="shared" si="16"/>
        <v>11325000</v>
      </c>
      <c r="AG34" s="8">
        <f t="shared" si="16"/>
        <v>11.324999999999999</v>
      </c>
      <c r="AH34" s="8">
        <f t="shared" si="16"/>
        <v>34.767749999999999</v>
      </c>
    </row>
    <row r="35" spans="1:34" x14ac:dyDescent="0.15">
      <c r="A35" s="27"/>
      <c r="B35" s="30"/>
      <c r="C35" s="31">
        <f>SUM(C5:C34)</f>
        <v>117.29999999999927</v>
      </c>
      <c r="D35" s="31">
        <f>SUM(D5:D34)</f>
        <v>360.11099999999777</v>
      </c>
      <c r="E35" s="32"/>
      <c r="F35" s="31">
        <f>SUM(F5:F34)</f>
        <v>118</v>
      </c>
      <c r="G35" s="31">
        <f>SUM(G5:G34)</f>
        <v>362.26</v>
      </c>
      <c r="H35" s="32"/>
      <c r="I35" s="31">
        <f>SUM(I5:I34)</f>
        <v>0</v>
      </c>
      <c r="J35" s="31">
        <f>SUM(J5:J34)</f>
        <v>0</v>
      </c>
      <c r="K35" s="32"/>
      <c r="L35" s="31">
        <f>SUM(L5:L34)</f>
        <v>10.816320000000003</v>
      </c>
      <c r="M35" s="31">
        <f>SUM(M5:M34)</f>
        <v>33.206102399999999</v>
      </c>
      <c r="N35" s="21"/>
      <c r="O35" s="32"/>
      <c r="P35" s="31">
        <f>SUM(P5:P34)</f>
        <v>187.25399999999999</v>
      </c>
      <c r="Q35" s="31">
        <f>SUM(Q5:Q34)</f>
        <v>574.86977999999999</v>
      </c>
      <c r="R35" s="32"/>
      <c r="S35" s="31">
        <f>SUM(S5:S34)</f>
        <v>193.09299999999999</v>
      </c>
      <c r="T35" s="31">
        <f>SUM(T5:T34)</f>
        <v>592.79550999999992</v>
      </c>
      <c r="U35" s="32"/>
      <c r="V35" s="31">
        <f>SUM(V5:V34)</f>
        <v>4.0000000000000001E-3</v>
      </c>
      <c r="W35" s="31">
        <f>SUM(W5:W34)</f>
        <v>1.2279999999999999E-2</v>
      </c>
      <c r="X35" s="32"/>
      <c r="Y35" s="31">
        <f>SUM(Y5:Y34)</f>
        <v>6.1909999999999963</v>
      </c>
      <c r="Z35" s="31">
        <f>SUM(Z5:Z34)</f>
        <v>19.00636999999999</v>
      </c>
      <c r="AA35" s="21"/>
      <c r="AB35" s="30"/>
      <c r="AC35" s="31">
        <f>SUM(AC5:AC34)</f>
        <v>0</v>
      </c>
      <c r="AD35" s="31">
        <f>SUM(AD5:AD34)</f>
        <v>0</v>
      </c>
      <c r="AF35" s="32"/>
      <c r="AG35" s="40">
        <f>SUM(AG5:AG34)</f>
        <v>304.55399999999929</v>
      </c>
      <c r="AH35" s="32">
        <f>AG35*3.07</f>
        <v>934.98077999999782</v>
      </c>
    </row>
    <row r="36" spans="1:34" x14ac:dyDescent="0.15">
      <c r="C36" s="25"/>
      <c r="E36" s="3"/>
      <c r="F36" s="3"/>
      <c r="G36" s="3"/>
      <c r="H36" s="3"/>
      <c r="I36" s="3"/>
      <c r="J36" s="3"/>
      <c r="K36" s="21"/>
      <c r="L36" s="3"/>
      <c r="M36" s="3"/>
      <c r="N36" s="3"/>
      <c r="O36" s="3"/>
      <c r="P36" s="3"/>
      <c r="Q36" s="3"/>
      <c r="R36" s="3"/>
      <c r="S36" s="3"/>
      <c r="T36" s="3"/>
      <c r="U36" s="21"/>
    </row>
  </sheetData>
  <mergeCells count="10">
    <mergeCell ref="AF3:AH3"/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37"/>
  <sheetViews>
    <sheetView workbookViewId="0">
      <pane xSplit="1" ySplit="4" topLeftCell="V20" activePane="bottomRight" state="frozen"/>
      <selection pane="topRight" activeCell="B1" sqref="B1"/>
      <selection pane="bottomLeft" activeCell="A5" sqref="A5"/>
      <selection pane="bottomRight" activeCell="AF3" sqref="AF3:AH36"/>
    </sheetView>
  </sheetViews>
  <sheetFormatPr baseColWidth="10" defaultColWidth="8.83203125" defaultRowHeight="13" x14ac:dyDescent="0.15"/>
  <cols>
    <col min="2" max="2" width="11" customWidth="1"/>
    <col min="5" max="5" width="11.33203125" customWidth="1"/>
    <col min="8" max="8" width="11.6640625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32" max="32" width="11.5" customWidth="1"/>
  </cols>
  <sheetData>
    <row r="1" spans="1:34" x14ac:dyDescent="0.15">
      <c r="B1" s="29"/>
      <c r="C1" s="29"/>
      <c r="D1" s="29"/>
      <c r="E1" s="29"/>
      <c r="F1" s="29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</row>
    <row r="2" spans="1:34" x14ac:dyDescent="0.15">
      <c r="C2" s="25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</row>
    <row r="3" spans="1:34" x14ac:dyDescent="0.15"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3" t="s">
        <v>5</v>
      </c>
      <c r="AC3" s="54"/>
      <c r="AD3" s="55"/>
      <c r="AF3" s="50" t="s">
        <v>8</v>
      </c>
      <c r="AG3" s="51"/>
      <c r="AH3" s="52"/>
    </row>
    <row r="4" spans="1:34" x14ac:dyDescent="0.15">
      <c r="A4" s="2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12" t="s">
        <v>0</v>
      </c>
      <c r="AC4" s="13" t="s">
        <v>1</v>
      </c>
      <c r="AD4" s="14" t="s">
        <v>2</v>
      </c>
      <c r="AF4" s="4" t="s">
        <v>0</v>
      </c>
      <c r="AG4" s="5" t="s">
        <v>1</v>
      </c>
      <c r="AH4" s="6" t="s">
        <v>2</v>
      </c>
    </row>
    <row r="5" spans="1:34" x14ac:dyDescent="0.15">
      <c r="A5" s="1">
        <v>38322</v>
      </c>
      <c r="B5" s="7">
        <f>'[2]Dec Prod'!I4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'[2]Dec Prod'!E4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'[2]Dec Prod'!F4</f>
        <v>0</v>
      </c>
      <c r="I5" s="8">
        <f t="shared" ref="I5:I35" si="4">H5/1000000</f>
        <v>0</v>
      </c>
      <c r="J5" s="10">
        <f t="shared" ref="J5:J35" si="5">I5*3.07</f>
        <v>0</v>
      </c>
      <c r="K5" s="7">
        <f>'[2]Dec Prod'!H259</f>
        <v>0</v>
      </c>
      <c r="L5" s="8">
        <f t="shared" ref="L5:L35" si="6">K5/1000000</f>
        <v>0</v>
      </c>
      <c r="M5" s="10">
        <f t="shared" ref="M5:M35" si="7">L5*3.07</f>
        <v>0</v>
      </c>
      <c r="N5" s="28"/>
      <c r="O5" s="7">
        <f>'[2]Dec Prod'!H4</f>
        <v>10687000</v>
      </c>
      <c r="P5" s="8">
        <f t="shared" ref="P5:P35" si="8">O5/1000000</f>
        <v>10.686999999999999</v>
      </c>
      <c r="Q5" s="10">
        <f t="shared" ref="Q5:Q35" si="9">P5*3.07</f>
        <v>32.809089999999998</v>
      </c>
      <c r="R5" s="7">
        <f>'[2]Dec Prod'!C4</f>
        <v>11140000</v>
      </c>
      <c r="S5" s="8">
        <f t="shared" ref="S5:S35" si="10">R5/1000000</f>
        <v>11.14</v>
      </c>
      <c r="T5" s="10">
        <f t="shared" ref="T5:T35" si="11">S5*3.07</f>
        <v>34.199800000000003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453000.00000000029</v>
      </c>
      <c r="Y5" s="8">
        <f t="shared" ref="Y5:Y35" si="14">X5/1000000</f>
        <v>0.45300000000000029</v>
      </c>
      <c r="Z5" s="10">
        <f t="shared" ref="Z5:Z35" si="15">Y5*3.07</f>
        <v>1.3907100000000008</v>
      </c>
      <c r="AA5" s="22"/>
      <c r="AB5" s="7">
        <f>'[2]Dec Prod'!G4</f>
        <v>0</v>
      </c>
      <c r="AC5" s="15">
        <f t="shared" ref="AC5:AC35" si="16">AB5/1000000</f>
        <v>0</v>
      </c>
      <c r="AD5" s="16">
        <f t="shared" ref="AD5:AD35" si="17">AC5*3.07</f>
        <v>0</v>
      </c>
      <c r="AF5" s="7">
        <f>B5+O5</f>
        <v>10687000</v>
      </c>
      <c r="AG5" s="8">
        <f>C5+P5</f>
        <v>10.686999999999999</v>
      </c>
      <c r="AH5" s="8">
        <f>D5+Q5</f>
        <v>32.809089999999998</v>
      </c>
    </row>
    <row r="6" spans="1:34" x14ac:dyDescent="0.15">
      <c r="A6" s="1">
        <v>38323</v>
      </c>
      <c r="B6" s="7">
        <f>'[2]Dec Prod'!I5</f>
        <v>0</v>
      </c>
      <c r="C6" s="8">
        <f t="shared" si="0"/>
        <v>0</v>
      </c>
      <c r="D6" s="10">
        <f t="shared" si="1"/>
        <v>0</v>
      </c>
      <c r="E6" s="7">
        <f>'[2]Dec Prod'!E5</f>
        <v>0</v>
      </c>
      <c r="F6" s="8">
        <f t="shared" si="2"/>
        <v>0</v>
      </c>
      <c r="G6" s="10">
        <f t="shared" si="3"/>
        <v>0</v>
      </c>
      <c r="H6" s="7">
        <f>'[2]Dec Prod'!F5</f>
        <v>0</v>
      </c>
      <c r="I6" s="8">
        <f t="shared" si="4"/>
        <v>0</v>
      </c>
      <c r="J6" s="10">
        <f t="shared" si="5"/>
        <v>0</v>
      </c>
      <c r="K6" s="7">
        <f>'[2]Dec Prod'!H260</f>
        <v>0</v>
      </c>
      <c r="L6" s="8">
        <f t="shared" si="6"/>
        <v>0</v>
      </c>
      <c r="M6" s="10">
        <f t="shared" si="7"/>
        <v>0</v>
      </c>
      <c r="N6" s="28"/>
      <c r="O6" s="7">
        <f>'[2]Dec Prod'!H5</f>
        <v>10739000</v>
      </c>
      <c r="P6" s="8">
        <f t="shared" si="8"/>
        <v>10.739000000000001</v>
      </c>
      <c r="Q6" s="10">
        <f t="shared" si="9"/>
        <v>32.968730000000001</v>
      </c>
      <c r="R6" s="7">
        <f>'[2]Dec Prod'!C5</f>
        <v>11192000</v>
      </c>
      <c r="S6" s="8">
        <f t="shared" si="10"/>
        <v>11.192</v>
      </c>
      <c r="T6" s="10">
        <f t="shared" si="11"/>
        <v>34.359439999999999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453000.00000000029</v>
      </c>
      <c r="Y6" s="8">
        <f t="shared" si="14"/>
        <v>0.45300000000000029</v>
      </c>
      <c r="Z6" s="10">
        <f t="shared" si="15"/>
        <v>1.3907100000000008</v>
      </c>
      <c r="AA6" s="22"/>
      <c r="AB6" s="7">
        <f>'[2]Dec Prod'!G5</f>
        <v>0</v>
      </c>
      <c r="AC6" s="15">
        <f t="shared" si="16"/>
        <v>0</v>
      </c>
      <c r="AD6" s="16">
        <f t="shared" si="17"/>
        <v>0</v>
      </c>
      <c r="AF6" s="7">
        <f t="shared" ref="AF6:AH35" si="18">B6+O6</f>
        <v>10739000</v>
      </c>
      <c r="AG6" s="8">
        <f t="shared" si="18"/>
        <v>10.739000000000001</v>
      </c>
      <c r="AH6" s="8">
        <f t="shared" si="18"/>
        <v>32.968730000000001</v>
      </c>
    </row>
    <row r="7" spans="1:34" x14ac:dyDescent="0.15">
      <c r="A7" s="1">
        <v>38324</v>
      </c>
      <c r="B7" s="7">
        <f>'[2]Dec Prod'!I6</f>
        <v>0</v>
      </c>
      <c r="C7" s="8">
        <f t="shared" si="0"/>
        <v>0</v>
      </c>
      <c r="D7" s="10">
        <f t="shared" si="1"/>
        <v>0</v>
      </c>
      <c r="E7" s="7">
        <f>'[2]Dec Prod'!E6</f>
        <v>0</v>
      </c>
      <c r="F7" s="8">
        <f t="shared" si="2"/>
        <v>0</v>
      </c>
      <c r="G7" s="10">
        <f t="shared" si="3"/>
        <v>0</v>
      </c>
      <c r="H7" s="7">
        <f>'[2]Dec Prod'!F6</f>
        <v>0</v>
      </c>
      <c r="I7" s="8">
        <f t="shared" si="4"/>
        <v>0</v>
      </c>
      <c r="J7" s="10">
        <f t="shared" si="5"/>
        <v>0</v>
      </c>
      <c r="K7" s="7">
        <f>'[2]Dec Prod'!H261</f>
        <v>0</v>
      </c>
      <c r="L7" s="8">
        <f t="shared" si="6"/>
        <v>0</v>
      </c>
      <c r="M7" s="10">
        <f t="shared" si="7"/>
        <v>0</v>
      </c>
      <c r="N7" s="28"/>
      <c r="O7" s="7">
        <f>'[2]Dec Prod'!H6</f>
        <v>10478000</v>
      </c>
      <c r="P7" s="8">
        <f t="shared" si="8"/>
        <v>10.478</v>
      </c>
      <c r="Q7" s="10">
        <f t="shared" si="9"/>
        <v>32.167459999999998</v>
      </c>
      <c r="R7" s="7">
        <f>'[2]Dec Prod'!C6</f>
        <v>10704000</v>
      </c>
      <c r="S7" s="8">
        <f t="shared" si="10"/>
        <v>10.704000000000001</v>
      </c>
      <c r="T7" s="10">
        <f t="shared" si="11"/>
        <v>32.861280000000001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225999.99999999997</v>
      </c>
      <c r="Y7" s="8">
        <f t="shared" si="14"/>
        <v>0.22599999999999998</v>
      </c>
      <c r="Z7" s="10">
        <f t="shared" si="15"/>
        <v>0.69381999999999988</v>
      </c>
      <c r="AA7" s="22"/>
      <c r="AB7" s="7">
        <f>'[2]Dec Prod'!G6</f>
        <v>0</v>
      </c>
      <c r="AC7" s="15">
        <f t="shared" si="16"/>
        <v>0</v>
      </c>
      <c r="AD7" s="16">
        <f t="shared" si="17"/>
        <v>0</v>
      </c>
      <c r="AF7" s="7">
        <f t="shared" si="18"/>
        <v>10478000</v>
      </c>
      <c r="AG7" s="8">
        <f t="shared" si="18"/>
        <v>10.478</v>
      </c>
      <c r="AH7" s="8">
        <f t="shared" si="18"/>
        <v>32.167459999999998</v>
      </c>
    </row>
    <row r="8" spans="1:34" x14ac:dyDescent="0.15">
      <c r="A8" s="1">
        <v>38325</v>
      </c>
      <c r="B8" s="7">
        <f>'[2]Dec Prod'!I7</f>
        <v>0</v>
      </c>
      <c r="C8" s="8">
        <f t="shared" si="0"/>
        <v>0</v>
      </c>
      <c r="D8" s="10">
        <f t="shared" si="1"/>
        <v>0</v>
      </c>
      <c r="E8" s="7">
        <f>'[2]Dec Prod'!E7</f>
        <v>0</v>
      </c>
      <c r="F8" s="8">
        <f t="shared" si="2"/>
        <v>0</v>
      </c>
      <c r="G8" s="10">
        <f t="shared" si="3"/>
        <v>0</v>
      </c>
      <c r="H8" s="7">
        <f>'[2]Dec Prod'!F7</f>
        <v>0</v>
      </c>
      <c r="I8" s="8">
        <f t="shared" si="4"/>
        <v>0</v>
      </c>
      <c r="J8" s="10">
        <f t="shared" si="5"/>
        <v>0</v>
      </c>
      <c r="K8" s="7">
        <f>'[2]Dec Prod'!H262</f>
        <v>0</v>
      </c>
      <c r="L8" s="8">
        <f t="shared" si="6"/>
        <v>0</v>
      </c>
      <c r="M8" s="10">
        <f t="shared" si="7"/>
        <v>0</v>
      </c>
      <c r="N8" s="28"/>
      <c r="O8" s="7">
        <f>'[2]Dec Prod'!H7</f>
        <v>10625000</v>
      </c>
      <c r="P8" s="8">
        <f t="shared" si="8"/>
        <v>10.625</v>
      </c>
      <c r="Q8" s="10">
        <f t="shared" si="9"/>
        <v>32.618749999999999</v>
      </c>
      <c r="R8" s="7">
        <f>'[2]Dec Prod'!C7</f>
        <v>10929000</v>
      </c>
      <c r="S8" s="8">
        <f t="shared" si="10"/>
        <v>10.929</v>
      </c>
      <c r="T8" s="10">
        <f t="shared" si="11"/>
        <v>33.552030000000002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303999.99999999936</v>
      </c>
      <c r="Y8" s="8">
        <f t="shared" si="14"/>
        <v>0.30399999999999938</v>
      </c>
      <c r="Z8" s="10">
        <f t="shared" si="15"/>
        <v>0.933279999999998</v>
      </c>
      <c r="AA8" s="22"/>
      <c r="AB8" s="7">
        <f>'[2]Dec Prod'!G7</f>
        <v>0</v>
      </c>
      <c r="AC8" s="15">
        <f t="shared" si="16"/>
        <v>0</v>
      </c>
      <c r="AD8" s="16">
        <f t="shared" si="17"/>
        <v>0</v>
      </c>
      <c r="AF8" s="7">
        <f t="shared" si="18"/>
        <v>10625000</v>
      </c>
      <c r="AG8" s="8">
        <f t="shared" si="18"/>
        <v>10.625</v>
      </c>
      <c r="AH8" s="8">
        <f t="shared" si="18"/>
        <v>32.618749999999999</v>
      </c>
    </row>
    <row r="9" spans="1:34" x14ac:dyDescent="0.15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0</v>
      </c>
      <c r="I9" s="8">
        <f t="shared" si="4"/>
        <v>0</v>
      </c>
      <c r="J9" s="10">
        <f t="shared" si="5"/>
        <v>0</v>
      </c>
      <c r="K9" s="7">
        <f>'[2]Dec Prod'!H263</f>
        <v>0</v>
      </c>
      <c r="L9" s="8">
        <f t="shared" si="6"/>
        <v>0</v>
      </c>
      <c r="M9" s="10">
        <f t="shared" si="7"/>
        <v>0</v>
      </c>
      <c r="N9" s="28"/>
      <c r="O9" s="7">
        <f>'[2]Dec Prod'!H8</f>
        <v>10794000</v>
      </c>
      <c r="P9" s="8">
        <f t="shared" si="8"/>
        <v>10.794</v>
      </c>
      <c r="Q9" s="10">
        <f t="shared" si="9"/>
        <v>33.13758</v>
      </c>
      <c r="R9" s="7">
        <f>'[2]Dec Prod'!C8</f>
        <v>11173000</v>
      </c>
      <c r="S9" s="8">
        <f t="shared" si="10"/>
        <v>11.173</v>
      </c>
      <c r="T9" s="10">
        <f t="shared" si="11"/>
        <v>34.301110000000001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379000.00000000047</v>
      </c>
      <c r="Y9" s="8">
        <f t="shared" si="14"/>
        <v>0.37900000000000045</v>
      </c>
      <c r="Z9" s="10">
        <f t="shared" si="15"/>
        <v>1.1635300000000013</v>
      </c>
      <c r="AA9" s="22"/>
      <c r="AB9" s="7">
        <f>'[2]Dec Prod'!G8</f>
        <v>0</v>
      </c>
      <c r="AC9" s="15">
        <f t="shared" si="16"/>
        <v>0</v>
      </c>
      <c r="AD9" s="16">
        <f t="shared" si="17"/>
        <v>0</v>
      </c>
      <c r="AF9" s="7">
        <f t="shared" si="18"/>
        <v>10794000</v>
      </c>
      <c r="AG9" s="8">
        <f t="shared" si="18"/>
        <v>10.794</v>
      </c>
      <c r="AH9" s="8">
        <f t="shared" si="18"/>
        <v>33.13758</v>
      </c>
    </row>
    <row r="10" spans="1:34" x14ac:dyDescent="0.15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0</v>
      </c>
      <c r="I10" s="8">
        <f t="shared" si="4"/>
        <v>0</v>
      </c>
      <c r="J10" s="10">
        <f t="shared" si="5"/>
        <v>0</v>
      </c>
      <c r="K10" s="7">
        <f>'[2]Dec Prod'!H264</f>
        <v>0</v>
      </c>
      <c r="L10" s="8">
        <f t="shared" si="6"/>
        <v>0</v>
      </c>
      <c r="M10" s="10">
        <f t="shared" si="7"/>
        <v>0</v>
      </c>
      <c r="N10" s="28"/>
      <c r="O10" s="7">
        <f>'[2]Dec Prod'!H9</f>
        <v>11252000</v>
      </c>
      <c r="P10" s="8">
        <f t="shared" si="8"/>
        <v>11.252000000000001</v>
      </c>
      <c r="Q10" s="10">
        <f t="shared" si="9"/>
        <v>34.543640000000003</v>
      </c>
      <c r="R10" s="7">
        <f>'[2]Dec Prod'!C9</f>
        <v>11719000</v>
      </c>
      <c r="S10" s="8">
        <f t="shared" si="10"/>
        <v>11.718999999999999</v>
      </c>
      <c r="T10" s="10">
        <f t="shared" si="11"/>
        <v>35.977329999999995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467000.00000000052</v>
      </c>
      <c r="Y10" s="8">
        <f t="shared" si="14"/>
        <v>0.46700000000000053</v>
      </c>
      <c r="Z10" s="10">
        <f t="shared" si="15"/>
        <v>1.4336900000000015</v>
      </c>
      <c r="AA10" s="22"/>
      <c r="AB10" s="7">
        <f>'[2]Dec Prod'!G9</f>
        <v>0</v>
      </c>
      <c r="AC10" s="15">
        <f t="shared" si="16"/>
        <v>0</v>
      </c>
      <c r="AD10" s="16">
        <f t="shared" si="17"/>
        <v>0</v>
      </c>
      <c r="AF10" s="7">
        <f t="shared" si="18"/>
        <v>11252000</v>
      </c>
      <c r="AG10" s="8">
        <f t="shared" si="18"/>
        <v>11.252000000000001</v>
      </c>
      <c r="AH10" s="8">
        <f t="shared" si="18"/>
        <v>34.543640000000003</v>
      </c>
    </row>
    <row r="11" spans="1:34" x14ac:dyDescent="0.15">
      <c r="A11" s="1">
        <v>38328</v>
      </c>
      <c r="B11" s="7">
        <f>'[2]Dec Prod'!I10</f>
        <v>0</v>
      </c>
      <c r="C11" s="8">
        <f t="shared" si="0"/>
        <v>0</v>
      </c>
      <c r="D11" s="10">
        <f t="shared" si="1"/>
        <v>0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0</v>
      </c>
      <c r="I11" s="8">
        <f t="shared" si="4"/>
        <v>0</v>
      </c>
      <c r="J11" s="10">
        <f t="shared" si="5"/>
        <v>0</v>
      </c>
      <c r="K11" s="7">
        <f>'[2]Dec Prod'!H265</f>
        <v>0</v>
      </c>
      <c r="L11" s="8">
        <f t="shared" si="6"/>
        <v>0</v>
      </c>
      <c r="M11" s="10">
        <f t="shared" si="7"/>
        <v>0</v>
      </c>
      <c r="N11" s="28"/>
      <c r="O11" s="7">
        <f>'[2]Dec Prod'!H10</f>
        <v>12478000</v>
      </c>
      <c r="P11" s="8">
        <f t="shared" si="8"/>
        <v>12.478</v>
      </c>
      <c r="Q11" s="10">
        <f t="shared" si="9"/>
        <v>38.307459999999999</v>
      </c>
      <c r="R11" s="7">
        <f>'[2]Dec Prod'!C10</f>
        <v>12869000</v>
      </c>
      <c r="S11" s="8">
        <f t="shared" si="10"/>
        <v>12.869</v>
      </c>
      <c r="T11" s="10">
        <f t="shared" si="11"/>
        <v>39.507829999999998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391000</v>
      </c>
      <c r="Y11" s="8">
        <f t="shared" si="14"/>
        <v>0.39100000000000001</v>
      </c>
      <c r="Z11" s="10">
        <f t="shared" si="15"/>
        <v>1.2003699999999999</v>
      </c>
      <c r="AA11" s="22"/>
      <c r="AB11" s="7">
        <f>'[2]Dec Prod'!G10</f>
        <v>0</v>
      </c>
      <c r="AC11" s="15">
        <f t="shared" si="16"/>
        <v>0</v>
      </c>
      <c r="AD11" s="16">
        <f t="shared" si="17"/>
        <v>0</v>
      </c>
      <c r="AF11" s="7">
        <f t="shared" si="18"/>
        <v>12478000</v>
      </c>
      <c r="AG11" s="8">
        <f t="shared" si="18"/>
        <v>12.478</v>
      </c>
      <c r="AH11" s="8">
        <f t="shared" si="18"/>
        <v>38.307459999999999</v>
      </c>
    </row>
    <row r="12" spans="1:34" x14ac:dyDescent="0.15">
      <c r="A12" s="1">
        <v>38329</v>
      </c>
      <c r="B12" s="7">
        <f>'[2]Dec Prod'!I11</f>
        <v>0</v>
      </c>
      <c r="C12" s="8">
        <f t="shared" si="0"/>
        <v>0</v>
      </c>
      <c r="D12" s="10">
        <f t="shared" si="1"/>
        <v>0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0</v>
      </c>
      <c r="I12" s="8">
        <f t="shared" si="4"/>
        <v>0</v>
      </c>
      <c r="J12" s="10">
        <f t="shared" si="5"/>
        <v>0</v>
      </c>
      <c r="K12" s="7">
        <f>'[2]Dec Prod'!H266</f>
        <v>0</v>
      </c>
      <c r="L12" s="8">
        <f t="shared" si="6"/>
        <v>0</v>
      </c>
      <c r="M12" s="10">
        <f t="shared" si="7"/>
        <v>0</v>
      </c>
      <c r="N12" s="28"/>
      <c r="O12" s="7">
        <f>'[2]Dec Prod'!H11</f>
        <v>10339000</v>
      </c>
      <c r="P12" s="8">
        <f t="shared" si="8"/>
        <v>10.339</v>
      </c>
      <c r="Q12" s="10">
        <f t="shared" si="9"/>
        <v>31.740729999999999</v>
      </c>
      <c r="R12" s="7">
        <f>'[2]Dec Prod'!C11</f>
        <v>10574000</v>
      </c>
      <c r="S12" s="8">
        <f t="shared" si="10"/>
        <v>10.574</v>
      </c>
      <c r="T12" s="10">
        <f t="shared" si="11"/>
        <v>32.462179999999996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234999.99999999942</v>
      </c>
      <c r="Y12" s="8">
        <f t="shared" si="14"/>
        <v>0.23499999999999943</v>
      </c>
      <c r="Z12" s="10">
        <f t="shared" si="15"/>
        <v>0.72144999999999826</v>
      </c>
      <c r="AA12" s="22"/>
      <c r="AB12" s="7">
        <f>'[2]Dec Prod'!G11</f>
        <v>0</v>
      </c>
      <c r="AC12" s="15">
        <f t="shared" si="16"/>
        <v>0</v>
      </c>
      <c r="AD12" s="16">
        <f t="shared" si="17"/>
        <v>0</v>
      </c>
      <c r="AF12" s="7">
        <f t="shared" si="18"/>
        <v>10339000</v>
      </c>
      <c r="AG12" s="8">
        <f t="shared" si="18"/>
        <v>10.339</v>
      </c>
      <c r="AH12" s="8">
        <f t="shared" si="18"/>
        <v>31.740729999999999</v>
      </c>
    </row>
    <row r="13" spans="1:34" x14ac:dyDescent="0.15">
      <c r="A13" s="1">
        <v>38330</v>
      </c>
      <c r="B13" s="7">
        <f>'[2]Dec Prod'!I12</f>
        <v>0</v>
      </c>
      <c r="C13" s="8">
        <f t="shared" si="0"/>
        <v>0</v>
      </c>
      <c r="D13" s="10">
        <f t="shared" si="1"/>
        <v>0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0</v>
      </c>
      <c r="I13" s="8">
        <f t="shared" si="4"/>
        <v>0</v>
      </c>
      <c r="J13" s="10">
        <f t="shared" si="5"/>
        <v>0</v>
      </c>
      <c r="K13" s="7">
        <f>'[2]Dec Prod'!H267</f>
        <v>0</v>
      </c>
      <c r="L13" s="8">
        <f t="shared" si="6"/>
        <v>0</v>
      </c>
      <c r="M13" s="10">
        <f t="shared" si="7"/>
        <v>0</v>
      </c>
      <c r="N13" s="28"/>
      <c r="O13" s="7">
        <f>'[2]Dec Prod'!H12</f>
        <v>10922000</v>
      </c>
      <c r="P13" s="8">
        <f t="shared" si="8"/>
        <v>10.922000000000001</v>
      </c>
      <c r="Q13" s="10">
        <f t="shared" si="9"/>
        <v>33.530540000000002</v>
      </c>
      <c r="R13" s="7">
        <f>'[2]Dec Prod'!C12</f>
        <v>11313000</v>
      </c>
      <c r="S13" s="8">
        <f t="shared" si="10"/>
        <v>11.313000000000001</v>
      </c>
      <c r="T13" s="10">
        <f t="shared" si="11"/>
        <v>34.730910000000002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7">
        <f>'[2]Dec Prod'!D267</f>
        <v>391000</v>
      </c>
      <c r="Y13" s="8">
        <f t="shared" si="14"/>
        <v>0.39100000000000001</v>
      </c>
      <c r="Z13" s="10">
        <f t="shared" si="15"/>
        <v>1.2003699999999999</v>
      </c>
      <c r="AA13" s="22"/>
      <c r="AB13" s="7">
        <f>'[2]Dec Prod'!G12</f>
        <v>0</v>
      </c>
      <c r="AC13" s="15">
        <f t="shared" si="16"/>
        <v>0</v>
      </c>
      <c r="AD13" s="16">
        <f t="shared" si="17"/>
        <v>0</v>
      </c>
      <c r="AF13" s="7">
        <f t="shared" si="18"/>
        <v>10922000</v>
      </c>
      <c r="AG13" s="8">
        <f t="shared" si="18"/>
        <v>10.922000000000001</v>
      </c>
      <c r="AH13" s="8">
        <f t="shared" si="18"/>
        <v>33.530540000000002</v>
      </c>
    </row>
    <row r="14" spans="1:34" x14ac:dyDescent="0.15">
      <c r="A14" s="1">
        <v>38331</v>
      </c>
      <c r="B14" s="7">
        <f>'[2]Dec Prod'!I13</f>
        <v>0</v>
      </c>
      <c r="C14" s="8">
        <f t="shared" si="0"/>
        <v>0</v>
      </c>
      <c r="D14" s="10">
        <f t="shared" si="1"/>
        <v>0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0</v>
      </c>
      <c r="I14" s="8">
        <f t="shared" si="4"/>
        <v>0</v>
      </c>
      <c r="J14" s="10">
        <f t="shared" si="5"/>
        <v>0</v>
      </c>
      <c r="K14" s="7">
        <f>'[2]Dec Prod'!H268</f>
        <v>0</v>
      </c>
      <c r="L14" s="8">
        <f t="shared" si="6"/>
        <v>0</v>
      </c>
      <c r="M14" s="10">
        <f t="shared" si="7"/>
        <v>0</v>
      </c>
      <c r="N14" s="28"/>
      <c r="O14" s="7">
        <f>'[2]Dec Prod'!H13</f>
        <v>11779000</v>
      </c>
      <c r="P14" s="8">
        <f t="shared" si="8"/>
        <v>11.779</v>
      </c>
      <c r="Q14" s="10">
        <f t="shared" si="9"/>
        <v>36.161529999999999</v>
      </c>
      <c r="R14" s="7">
        <f>'[2]Dec Prod'!C13</f>
        <v>12168000</v>
      </c>
      <c r="S14" s="8">
        <f t="shared" si="10"/>
        <v>12.167999999999999</v>
      </c>
      <c r="T14" s="10">
        <f t="shared" si="11"/>
        <v>37.355759999999997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7">
        <f>'[2]Dec Prod'!D268</f>
        <v>388999.99999999936</v>
      </c>
      <c r="Y14" s="8">
        <f t="shared" si="14"/>
        <v>0.38899999999999935</v>
      </c>
      <c r="Z14" s="10">
        <f t="shared" si="15"/>
        <v>1.1942299999999979</v>
      </c>
      <c r="AA14" s="22"/>
      <c r="AB14" s="7">
        <f>'[2]Dec Prod'!G13</f>
        <v>0</v>
      </c>
      <c r="AC14" s="15">
        <f t="shared" si="16"/>
        <v>0</v>
      </c>
      <c r="AD14" s="16">
        <f t="shared" si="17"/>
        <v>0</v>
      </c>
      <c r="AF14" s="7">
        <f t="shared" si="18"/>
        <v>11779000</v>
      </c>
      <c r="AG14" s="8">
        <f t="shared" si="18"/>
        <v>11.779</v>
      </c>
      <c r="AH14" s="8">
        <f t="shared" si="18"/>
        <v>36.161529999999999</v>
      </c>
    </row>
    <row r="15" spans="1:34" x14ac:dyDescent="0.15">
      <c r="A15" s="1">
        <v>38332</v>
      </c>
      <c r="B15" s="7">
        <f>'[2]Dec Prod'!I14</f>
        <v>0</v>
      </c>
      <c r="C15" s="8">
        <f t="shared" si="0"/>
        <v>0</v>
      </c>
      <c r="D15" s="10">
        <f t="shared" si="1"/>
        <v>0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0</v>
      </c>
      <c r="I15" s="8">
        <f t="shared" si="4"/>
        <v>0</v>
      </c>
      <c r="J15" s="10">
        <f t="shared" si="5"/>
        <v>0</v>
      </c>
      <c r="K15" s="7">
        <f>'[2]Dec Prod'!H269</f>
        <v>0</v>
      </c>
      <c r="L15" s="8">
        <f t="shared" si="6"/>
        <v>0</v>
      </c>
      <c r="M15" s="10">
        <f t="shared" si="7"/>
        <v>0</v>
      </c>
      <c r="N15" s="28"/>
      <c r="O15" s="7">
        <f>'[2]Dec Prod'!H14</f>
        <v>10815000</v>
      </c>
      <c r="P15" s="8">
        <f t="shared" si="8"/>
        <v>10.815</v>
      </c>
      <c r="Q15" s="10">
        <f t="shared" si="9"/>
        <v>33.20205</v>
      </c>
      <c r="R15" s="7">
        <f>'[2]Dec Prod'!C14</f>
        <v>11272000</v>
      </c>
      <c r="S15" s="8">
        <f t="shared" si="10"/>
        <v>11.272</v>
      </c>
      <c r="T15" s="10">
        <f t="shared" si="11"/>
        <v>34.605040000000002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457000.00000000076</v>
      </c>
      <c r="Y15" s="8">
        <f t="shared" si="14"/>
        <v>0.45700000000000074</v>
      </c>
      <c r="Z15" s="10">
        <f t="shared" si="15"/>
        <v>1.4029900000000022</v>
      </c>
      <c r="AA15" s="22"/>
      <c r="AB15" s="7">
        <f>'[2]Dec Prod'!G14</f>
        <v>0</v>
      </c>
      <c r="AC15" s="15">
        <f t="shared" si="16"/>
        <v>0</v>
      </c>
      <c r="AD15" s="16">
        <f t="shared" si="17"/>
        <v>0</v>
      </c>
      <c r="AF15" s="7">
        <f t="shared" si="18"/>
        <v>10815000</v>
      </c>
      <c r="AG15" s="8">
        <f t="shared" si="18"/>
        <v>10.815</v>
      </c>
      <c r="AH15" s="8">
        <f t="shared" si="18"/>
        <v>33.20205</v>
      </c>
    </row>
    <row r="16" spans="1:34" x14ac:dyDescent="0.15">
      <c r="A16" s="1">
        <v>38333</v>
      </c>
      <c r="B16" s="7">
        <f>'[2]Dec Prod'!I15</f>
        <v>0</v>
      </c>
      <c r="C16" s="8">
        <f t="shared" si="0"/>
        <v>0</v>
      </c>
      <c r="D16" s="10">
        <f t="shared" si="1"/>
        <v>0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0</v>
      </c>
      <c r="I16" s="8">
        <f t="shared" si="4"/>
        <v>0</v>
      </c>
      <c r="J16" s="10">
        <f t="shared" si="5"/>
        <v>0</v>
      </c>
      <c r="K16" s="7">
        <f>'[2]Dec Prod'!H270</f>
        <v>0</v>
      </c>
      <c r="L16" s="8">
        <f t="shared" si="6"/>
        <v>0</v>
      </c>
      <c r="M16" s="10">
        <f t="shared" si="7"/>
        <v>0</v>
      </c>
      <c r="N16" s="28"/>
      <c r="O16" s="7">
        <f>'[2]Dec Prod'!H15</f>
        <v>11422000.000000002</v>
      </c>
      <c r="P16" s="8">
        <f t="shared" si="8"/>
        <v>11.422000000000002</v>
      </c>
      <c r="Q16" s="10">
        <f t="shared" si="9"/>
        <v>35.065540000000006</v>
      </c>
      <c r="R16" s="7">
        <f>'[2]Dec Prod'!C15</f>
        <v>11725000</v>
      </c>
      <c r="S16" s="8">
        <f t="shared" si="10"/>
        <v>11.725</v>
      </c>
      <c r="T16" s="10">
        <f t="shared" si="11"/>
        <v>35.995749999999994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302999.99999999907</v>
      </c>
      <c r="Y16" s="8">
        <f t="shared" si="14"/>
        <v>0.30299999999999905</v>
      </c>
      <c r="Z16" s="10">
        <f t="shared" si="15"/>
        <v>0.93020999999999698</v>
      </c>
      <c r="AA16" s="22"/>
      <c r="AB16" s="7">
        <f>'[2]Dec Prod'!G15</f>
        <v>0</v>
      </c>
      <c r="AC16" s="15">
        <f t="shared" si="16"/>
        <v>0</v>
      </c>
      <c r="AD16" s="16">
        <f t="shared" si="17"/>
        <v>0</v>
      </c>
      <c r="AF16" s="7">
        <f t="shared" si="18"/>
        <v>11422000.000000002</v>
      </c>
      <c r="AG16" s="8">
        <f t="shared" si="18"/>
        <v>11.422000000000002</v>
      </c>
      <c r="AH16" s="8">
        <f t="shared" si="18"/>
        <v>35.065540000000006</v>
      </c>
    </row>
    <row r="17" spans="1:34" x14ac:dyDescent="0.15">
      <c r="A17" s="1">
        <v>38334</v>
      </c>
      <c r="B17" s="7">
        <f>'[2]Dec Prod'!I16</f>
        <v>0</v>
      </c>
      <c r="C17" s="8">
        <f t="shared" si="0"/>
        <v>0</v>
      </c>
      <c r="D17" s="10">
        <f t="shared" si="1"/>
        <v>0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0</v>
      </c>
      <c r="I17" s="8">
        <f t="shared" si="4"/>
        <v>0</v>
      </c>
      <c r="J17" s="10">
        <f t="shared" si="5"/>
        <v>0</v>
      </c>
      <c r="K17" s="7">
        <f>'[2]Dec Prod'!H271</f>
        <v>0</v>
      </c>
      <c r="L17" s="8">
        <f t="shared" si="6"/>
        <v>0</v>
      </c>
      <c r="M17" s="10">
        <f t="shared" si="7"/>
        <v>0</v>
      </c>
      <c r="N17" s="28"/>
      <c r="O17" s="7">
        <f>'[2]Dec Prod'!H16</f>
        <v>12260999.999999998</v>
      </c>
      <c r="P17" s="8">
        <f t="shared" si="8"/>
        <v>12.260999999999997</v>
      </c>
      <c r="Q17" s="10">
        <f t="shared" si="9"/>
        <v>37.641269999999992</v>
      </c>
      <c r="R17" s="7">
        <f>'[2]Dec Prod'!C16</f>
        <v>12566000</v>
      </c>
      <c r="S17" s="8">
        <f t="shared" si="10"/>
        <v>12.566000000000001</v>
      </c>
      <c r="T17" s="10">
        <f t="shared" si="11"/>
        <v>38.577620000000003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305000.00000000151</v>
      </c>
      <c r="Y17" s="8">
        <f t="shared" si="14"/>
        <v>0.30500000000000149</v>
      </c>
      <c r="Z17" s="10">
        <f t="shared" si="15"/>
        <v>0.93635000000000457</v>
      </c>
      <c r="AA17" s="22"/>
      <c r="AB17" s="7">
        <f>'[2]Dec Prod'!G16</f>
        <v>0</v>
      </c>
      <c r="AC17" s="15">
        <f t="shared" si="16"/>
        <v>0</v>
      </c>
      <c r="AD17" s="16">
        <f t="shared" si="17"/>
        <v>0</v>
      </c>
      <c r="AF17" s="7">
        <f t="shared" si="18"/>
        <v>12260999.999999998</v>
      </c>
      <c r="AG17" s="8">
        <f t="shared" si="18"/>
        <v>12.260999999999997</v>
      </c>
      <c r="AH17" s="8">
        <f t="shared" si="18"/>
        <v>37.641269999999992</v>
      </c>
    </row>
    <row r="18" spans="1:34" x14ac:dyDescent="0.15">
      <c r="A18" s="1">
        <v>38335</v>
      </c>
      <c r="B18" s="7">
        <f>'[2]Dec Prod'!I17</f>
        <v>0</v>
      </c>
      <c r="C18" s="8">
        <f t="shared" si="0"/>
        <v>0</v>
      </c>
      <c r="D18" s="10">
        <f t="shared" si="1"/>
        <v>0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0</v>
      </c>
      <c r="I18" s="8">
        <f t="shared" si="4"/>
        <v>0</v>
      </c>
      <c r="J18" s="10">
        <f t="shared" si="5"/>
        <v>0</v>
      </c>
      <c r="K18" s="7">
        <f>'[2]Dec Prod'!H272</f>
        <v>0</v>
      </c>
      <c r="L18" s="8">
        <f t="shared" si="6"/>
        <v>0</v>
      </c>
      <c r="M18" s="10">
        <f t="shared" si="7"/>
        <v>0</v>
      </c>
      <c r="N18" s="28"/>
      <c r="O18" s="7">
        <f>'[2]Dec Prod'!H17</f>
        <v>11908000.000000002</v>
      </c>
      <c r="P18" s="8">
        <f t="shared" si="8"/>
        <v>11.908000000000001</v>
      </c>
      <c r="Q18" s="10">
        <f t="shared" si="9"/>
        <v>36.557560000000002</v>
      </c>
      <c r="R18" s="7">
        <f>'[2]Dec Prod'!C17</f>
        <v>12289000</v>
      </c>
      <c r="S18" s="8">
        <f t="shared" si="10"/>
        <v>12.289</v>
      </c>
      <c r="T18" s="10">
        <f t="shared" si="11"/>
        <v>37.727229999999999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380999.99999999843</v>
      </c>
      <c r="Y18" s="8">
        <f t="shared" si="14"/>
        <v>0.38099999999999845</v>
      </c>
      <c r="Z18" s="10">
        <f t="shared" si="15"/>
        <v>1.1696699999999951</v>
      </c>
      <c r="AA18" s="22"/>
      <c r="AB18" s="7">
        <f>'[2]Dec Prod'!G17</f>
        <v>0</v>
      </c>
      <c r="AC18" s="15">
        <f t="shared" si="16"/>
        <v>0</v>
      </c>
      <c r="AD18" s="16">
        <f t="shared" si="17"/>
        <v>0</v>
      </c>
      <c r="AF18" s="7">
        <f t="shared" si="18"/>
        <v>11908000.000000002</v>
      </c>
      <c r="AG18" s="8">
        <f t="shared" si="18"/>
        <v>11.908000000000001</v>
      </c>
      <c r="AH18" s="8">
        <f t="shared" si="18"/>
        <v>36.557560000000002</v>
      </c>
    </row>
    <row r="19" spans="1:34" x14ac:dyDescent="0.15">
      <c r="A19" s="1">
        <v>38336</v>
      </c>
      <c r="B19" s="7">
        <f>'[2]Dec Prod'!I18</f>
        <v>0</v>
      </c>
      <c r="C19" s="8">
        <f t="shared" si="0"/>
        <v>0</v>
      </c>
      <c r="D19" s="10">
        <f t="shared" si="1"/>
        <v>0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0</v>
      </c>
      <c r="I19" s="8">
        <f t="shared" si="4"/>
        <v>0</v>
      </c>
      <c r="J19" s="10">
        <f t="shared" si="5"/>
        <v>0</v>
      </c>
      <c r="K19" s="7">
        <f>'[2]Dec Prod'!H273</f>
        <v>0</v>
      </c>
      <c r="L19" s="8">
        <f t="shared" si="6"/>
        <v>0</v>
      </c>
      <c r="M19" s="10">
        <f t="shared" si="7"/>
        <v>0</v>
      </c>
      <c r="N19" s="28"/>
      <c r="O19" s="7">
        <f>'[2]Dec Prod'!H18</f>
        <v>11712999.999999998</v>
      </c>
      <c r="P19" s="8">
        <f t="shared" si="8"/>
        <v>11.712999999999997</v>
      </c>
      <c r="Q19" s="10">
        <f t="shared" si="9"/>
        <v>35.958909999999989</v>
      </c>
      <c r="R19" s="7">
        <f>'[2]Dec Prod'!C18</f>
        <v>12095000</v>
      </c>
      <c r="S19" s="8">
        <f t="shared" si="10"/>
        <v>12.095000000000001</v>
      </c>
      <c r="T19" s="10">
        <f t="shared" si="11"/>
        <v>37.13165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382000.00000000146</v>
      </c>
      <c r="Y19" s="8">
        <f t="shared" si="14"/>
        <v>0.38200000000000145</v>
      </c>
      <c r="Z19" s="10">
        <f t="shared" si="15"/>
        <v>1.1727400000000043</v>
      </c>
      <c r="AA19" s="22"/>
      <c r="AB19" s="7">
        <f>'[2]Dec Prod'!G18</f>
        <v>0</v>
      </c>
      <c r="AC19" s="15">
        <f t="shared" si="16"/>
        <v>0</v>
      </c>
      <c r="AD19" s="16">
        <f t="shared" si="17"/>
        <v>0</v>
      </c>
      <c r="AF19" s="7">
        <f t="shared" si="18"/>
        <v>11712999.999999998</v>
      </c>
      <c r="AG19" s="8">
        <f t="shared" si="18"/>
        <v>11.712999999999997</v>
      </c>
      <c r="AH19" s="8">
        <f t="shared" si="18"/>
        <v>35.958909999999989</v>
      </c>
    </row>
    <row r="20" spans="1:34" x14ac:dyDescent="0.15">
      <c r="A20" s="1">
        <v>38337</v>
      </c>
      <c r="B20" s="7">
        <f>'[2]Dec Prod'!I19</f>
        <v>0</v>
      </c>
      <c r="C20" s="8">
        <f t="shared" si="0"/>
        <v>0</v>
      </c>
      <c r="D20" s="10">
        <f t="shared" si="1"/>
        <v>0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0</v>
      </c>
      <c r="I20" s="8">
        <f t="shared" si="4"/>
        <v>0</v>
      </c>
      <c r="J20" s="10">
        <f t="shared" si="5"/>
        <v>0</v>
      </c>
      <c r="K20" s="7">
        <f>'[2]Dec Prod'!H274</f>
        <v>0</v>
      </c>
      <c r="L20" s="8">
        <f t="shared" si="6"/>
        <v>0</v>
      </c>
      <c r="M20" s="10">
        <f t="shared" si="7"/>
        <v>0</v>
      </c>
      <c r="N20" s="28"/>
      <c r="O20" s="7">
        <f>'[2]Dec Prod'!H19</f>
        <v>10326000.000000002</v>
      </c>
      <c r="P20" s="8">
        <f t="shared" si="8"/>
        <v>10.326000000000002</v>
      </c>
      <c r="Q20" s="10">
        <f t="shared" si="9"/>
        <v>31.700820000000004</v>
      </c>
      <c r="R20" s="7">
        <f>'[2]Dec Prod'!C19</f>
        <v>10707000</v>
      </c>
      <c r="S20" s="8">
        <f t="shared" si="10"/>
        <v>10.707000000000001</v>
      </c>
      <c r="T20" s="10">
        <f t="shared" si="11"/>
        <v>32.870490000000004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380999.99999999843</v>
      </c>
      <c r="Y20" s="8">
        <f t="shared" si="14"/>
        <v>0.38099999999999845</v>
      </c>
      <c r="Z20" s="10">
        <f t="shared" si="15"/>
        <v>1.1696699999999951</v>
      </c>
      <c r="AA20" s="22"/>
      <c r="AB20" s="7">
        <f>'[2]Dec Prod'!G19</f>
        <v>0</v>
      </c>
      <c r="AC20" s="15">
        <f t="shared" si="16"/>
        <v>0</v>
      </c>
      <c r="AD20" s="16">
        <f t="shared" si="17"/>
        <v>0</v>
      </c>
      <c r="AF20" s="7">
        <f t="shared" si="18"/>
        <v>10326000.000000002</v>
      </c>
      <c r="AG20" s="8">
        <f t="shared" si="18"/>
        <v>10.326000000000002</v>
      </c>
      <c r="AH20" s="8">
        <f t="shared" si="18"/>
        <v>31.700820000000004</v>
      </c>
    </row>
    <row r="21" spans="1:34" x14ac:dyDescent="0.15">
      <c r="A21" s="1">
        <v>38338</v>
      </c>
      <c r="B21" s="7">
        <f>'[2]Dec Prod'!I20</f>
        <v>0</v>
      </c>
      <c r="C21" s="8">
        <f t="shared" si="0"/>
        <v>0</v>
      </c>
      <c r="D21" s="10">
        <f t="shared" si="1"/>
        <v>0</v>
      </c>
      <c r="E21" s="7">
        <f>'[2]Dec Prod'!E20</f>
        <v>0</v>
      </c>
      <c r="F21" s="8">
        <f t="shared" si="2"/>
        <v>0</v>
      </c>
      <c r="G21" s="10">
        <f t="shared" si="3"/>
        <v>0</v>
      </c>
      <c r="H21" s="7">
        <f>'[2]Dec Prod'!F20</f>
        <v>0</v>
      </c>
      <c r="I21" s="8">
        <f t="shared" si="4"/>
        <v>0</v>
      </c>
      <c r="J21" s="10">
        <f t="shared" si="5"/>
        <v>0</v>
      </c>
      <c r="K21" s="7">
        <f>'[2]Dec Prod'!H275</f>
        <v>0</v>
      </c>
      <c r="L21" s="8">
        <f t="shared" si="6"/>
        <v>0</v>
      </c>
      <c r="M21" s="10">
        <f t="shared" si="7"/>
        <v>0</v>
      </c>
      <c r="N21" s="28"/>
      <c r="O21" s="7">
        <f>'[2]Dec Prod'!H20</f>
        <v>10761999.999999998</v>
      </c>
      <c r="P21" s="8">
        <f t="shared" si="8"/>
        <v>10.761999999999999</v>
      </c>
      <c r="Q21" s="10">
        <f t="shared" si="9"/>
        <v>33.039339999999996</v>
      </c>
      <c r="R21" s="7">
        <f>'[2]Dec Prod'!C20</f>
        <v>11067000</v>
      </c>
      <c r="S21" s="8">
        <f t="shared" si="10"/>
        <v>11.067</v>
      </c>
      <c r="T21" s="10">
        <f t="shared" si="11"/>
        <v>33.97569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305000.00000000151</v>
      </c>
      <c r="Y21" s="8">
        <f t="shared" si="14"/>
        <v>0.30500000000000149</v>
      </c>
      <c r="Z21" s="10">
        <f t="shared" si="15"/>
        <v>0.93635000000000457</v>
      </c>
      <c r="AA21" s="22"/>
      <c r="AB21" s="7">
        <f>'[2]Dec Prod'!G20</f>
        <v>0</v>
      </c>
      <c r="AC21" s="15">
        <f t="shared" si="16"/>
        <v>0</v>
      </c>
      <c r="AD21" s="16">
        <f t="shared" si="17"/>
        <v>0</v>
      </c>
      <c r="AF21" s="7">
        <f t="shared" si="18"/>
        <v>10761999.999999998</v>
      </c>
      <c r="AG21" s="8">
        <f t="shared" si="18"/>
        <v>10.761999999999999</v>
      </c>
      <c r="AH21" s="8">
        <f t="shared" si="18"/>
        <v>33.039339999999996</v>
      </c>
    </row>
    <row r="22" spans="1:34" x14ac:dyDescent="0.15">
      <c r="A22" s="1">
        <v>38339</v>
      </c>
      <c r="B22" s="7">
        <f>'[2]Dec Prod'!I21</f>
        <v>100000.0000003638</v>
      </c>
      <c r="C22" s="8">
        <f t="shared" si="0"/>
        <v>0.1000000000003638</v>
      </c>
      <c r="D22" s="10">
        <f t="shared" si="1"/>
        <v>0.30700000000111682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0</v>
      </c>
      <c r="I22" s="8">
        <f t="shared" si="4"/>
        <v>0</v>
      </c>
      <c r="J22" s="10">
        <f t="shared" si="5"/>
        <v>0</v>
      </c>
      <c r="K22" s="7">
        <f>'[2]Dec Prod'!H276</f>
        <v>0</v>
      </c>
      <c r="L22" s="8">
        <f t="shared" si="6"/>
        <v>0</v>
      </c>
      <c r="M22" s="10">
        <f t="shared" si="7"/>
        <v>0</v>
      </c>
      <c r="N22" s="28"/>
      <c r="O22" s="7">
        <f>'[2]Dec Prod'!H21</f>
        <v>11183000</v>
      </c>
      <c r="P22" s="8">
        <f t="shared" si="8"/>
        <v>11.183</v>
      </c>
      <c r="Q22" s="10">
        <f t="shared" si="9"/>
        <v>34.331809999999997</v>
      </c>
      <c r="R22" s="7">
        <f>'[2]Dec Prod'!C21</f>
        <v>11488000</v>
      </c>
      <c r="S22" s="8">
        <f t="shared" si="10"/>
        <v>11.488</v>
      </c>
      <c r="T22" s="10">
        <f t="shared" si="11"/>
        <v>35.268159999999995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304999.99999999971</v>
      </c>
      <c r="Y22" s="8">
        <f t="shared" si="14"/>
        <v>0.30499999999999972</v>
      </c>
      <c r="Z22" s="10">
        <f t="shared" si="15"/>
        <v>0.93634999999999913</v>
      </c>
      <c r="AA22" s="22"/>
      <c r="AB22" s="7">
        <f>'[2]Dec Prod'!G21</f>
        <v>0</v>
      </c>
      <c r="AC22" s="15">
        <f t="shared" si="16"/>
        <v>0</v>
      </c>
      <c r="AD22" s="16">
        <f t="shared" si="17"/>
        <v>0</v>
      </c>
      <c r="AF22" s="7">
        <f t="shared" si="18"/>
        <v>11283000.000000363</v>
      </c>
      <c r="AG22" s="8">
        <f t="shared" si="18"/>
        <v>11.283000000000364</v>
      </c>
      <c r="AH22" s="8">
        <f t="shared" si="18"/>
        <v>34.638810000001115</v>
      </c>
    </row>
    <row r="23" spans="1:34" x14ac:dyDescent="0.15">
      <c r="A23" s="1">
        <v>38340</v>
      </c>
      <c r="B23" s="7">
        <f>'[2]Dec Prod'!I22</f>
        <v>0</v>
      </c>
      <c r="C23" s="8">
        <f t="shared" si="0"/>
        <v>0</v>
      </c>
      <c r="D23" s="10">
        <f t="shared" si="1"/>
        <v>0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0</v>
      </c>
      <c r="I23" s="8">
        <f t="shared" si="4"/>
        <v>0</v>
      </c>
      <c r="J23" s="10">
        <f t="shared" si="5"/>
        <v>0</v>
      </c>
      <c r="K23" s="7">
        <f>'[2]Dec Prod'!H277</f>
        <v>0</v>
      </c>
      <c r="L23" s="8">
        <f t="shared" si="6"/>
        <v>0</v>
      </c>
      <c r="M23" s="10">
        <f t="shared" si="7"/>
        <v>0</v>
      </c>
      <c r="N23" s="28"/>
      <c r="O23" s="7">
        <f>'[2]Dec Prod'!H22</f>
        <v>11844000</v>
      </c>
      <c r="P23" s="8">
        <f t="shared" si="8"/>
        <v>11.843999999999999</v>
      </c>
      <c r="Q23" s="10">
        <f t="shared" si="9"/>
        <v>36.361079999999994</v>
      </c>
      <c r="R23" s="7">
        <f>'[2]Dec Prod'!C22</f>
        <v>12259000</v>
      </c>
      <c r="S23" s="8">
        <f t="shared" si="10"/>
        <v>12.259</v>
      </c>
      <c r="T23" s="10">
        <f t="shared" si="11"/>
        <v>37.635129999999997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414999.99999999913</v>
      </c>
      <c r="Y23" s="8">
        <f t="shared" si="14"/>
        <v>0.41499999999999915</v>
      </c>
      <c r="Z23" s="10">
        <f t="shared" si="15"/>
        <v>1.2740499999999972</v>
      </c>
      <c r="AA23" s="22"/>
      <c r="AB23" s="7">
        <f>'[2]Dec Prod'!G22</f>
        <v>0</v>
      </c>
      <c r="AC23" s="15">
        <f t="shared" si="16"/>
        <v>0</v>
      </c>
      <c r="AD23" s="16">
        <f t="shared" si="17"/>
        <v>0</v>
      </c>
      <c r="AF23" s="7">
        <f t="shared" si="18"/>
        <v>11844000</v>
      </c>
      <c r="AG23" s="8">
        <f t="shared" si="18"/>
        <v>11.843999999999999</v>
      </c>
      <c r="AH23" s="8">
        <f t="shared" si="18"/>
        <v>36.361079999999994</v>
      </c>
    </row>
    <row r="24" spans="1:34" x14ac:dyDescent="0.15">
      <c r="A24" s="1">
        <v>38341</v>
      </c>
      <c r="B24" s="7">
        <f>'[2]Dec Prod'!I23</f>
        <v>0</v>
      </c>
      <c r="C24" s="8">
        <f t="shared" si="0"/>
        <v>0</v>
      </c>
      <c r="D24" s="10">
        <f t="shared" si="1"/>
        <v>0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0</v>
      </c>
      <c r="I24" s="8">
        <f t="shared" si="4"/>
        <v>0</v>
      </c>
      <c r="J24" s="10">
        <f t="shared" si="5"/>
        <v>0</v>
      </c>
      <c r="K24" s="7">
        <f>'[2]Dec Prod'!H278</f>
        <v>-2340000</v>
      </c>
      <c r="L24" s="8">
        <f t="shared" si="6"/>
        <v>-2.34</v>
      </c>
      <c r="M24" s="10">
        <f t="shared" si="7"/>
        <v>-7.1837999999999989</v>
      </c>
      <c r="N24" s="28"/>
      <c r="O24" s="7">
        <f>'[2]Dec Prod'!H23</f>
        <v>10979000</v>
      </c>
      <c r="P24" s="8">
        <f t="shared" si="8"/>
        <v>10.978999999999999</v>
      </c>
      <c r="Q24" s="10">
        <f t="shared" si="9"/>
        <v>33.705529999999996</v>
      </c>
      <c r="R24" s="7">
        <f>'[2]Dec Prod'!C23</f>
        <v>11396000</v>
      </c>
      <c r="S24" s="8">
        <f t="shared" si="10"/>
        <v>11.396000000000001</v>
      </c>
      <c r="T24" s="10">
        <f t="shared" si="11"/>
        <v>34.985720000000001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416999.99999999983</v>
      </c>
      <c r="Y24" s="8">
        <f t="shared" si="14"/>
        <v>0.41699999999999982</v>
      </c>
      <c r="Z24" s="10">
        <f t="shared" si="15"/>
        <v>1.2801899999999993</v>
      </c>
      <c r="AA24" s="22"/>
      <c r="AB24" s="7">
        <f>'[2]Dec Prod'!G23</f>
        <v>0</v>
      </c>
      <c r="AC24" s="15">
        <f t="shared" si="16"/>
        <v>0</v>
      </c>
      <c r="AD24" s="16">
        <f t="shared" si="17"/>
        <v>0</v>
      </c>
      <c r="AF24" s="7">
        <f t="shared" si="18"/>
        <v>10979000</v>
      </c>
      <c r="AG24" s="8">
        <f t="shared" si="18"/>
        <v>10.978999999999999</v>
      </c>
      <c r="AH24" s="8">
        <f t="shared" si="18"/>
        <v>33.705529999999996</v>
      </c>
    </row>
    <row r="25" spans="1:34" x14ac:dyDescent="0.15">
      <c r="A25" s="1">
        <v>38342</v>
      </c>
      <c r="B25" s="7">
        <f>'[2]Dec Prod'!I24</f>
        <v>0</v>
      </c>
      <c r="C25" s="8">
        <f t="shared" si="0"/>
        <v>0</v>
      </c>
      <c r="D25" s="10">
        <f t="shared" si="1"/>
        <v>0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0</v>
      </c>
      <c r="I25" s="8">
        <f t="shared" si="4"/>
        <v>0</v>
      </c>
      <c r="J25" s="10">
        <f t="shared" si="5"/>
        <v>0</v>
      </c>
      <c r="K25" s="7">
        <f>'[2]Dec Prod'!H279</f>
        <v>0</v>
      </c>
      <c r="L25" s="8">
        <f t="shared" si="6"/>
        <v>0</v>
      </c>
      <c r="M25" s="10">
        <f t="shared" si="7"/>
        <v>0</v>
      </c>
      <c r="N25" s="28"/>
      <c r="O25" s="7">
        <f>'[2]Dec Prod'!H24</f>
        <v>11034000</v>
      </c>
      <c r="P25" s="8">
        <f t="shared" si="8"/>
        <v>11.034000000000001</v>
      </c>
      <c r="Q25" s="10">
        <f t="shared" si="9"/>
        <v>33.874380000000002</v>
      </c>
      <c r="R25" s="7">
        <f>'[2]Dec Prod'!C24</f>
        <v>11337000</v>
      </c>
      <c r="S25" s="8">
        <f t="shared" si="10"/>
        <v>11.337</v>
      </c>
      <c r="T25" s="10">
        <f t="shared" si="11"/>
        <v>34.804589999999997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303000.00000000081</v>
      </c>
      <c r="Y25" s="8">
        <f t="shared" si="14"/>
        <v>0.30300000000000082</v>
      </c>
      <c r="Z25" s="10">
        <f t="shared" si="15"/>
        <v>0.93021000000000253</v>
      </c>
      <c r="AA25" s="22"/>
      <c r="AB25" s="7">
        <f>'[2]Dec Prod'!G24</f>
        <v>0</v>
      </c>
      <c r="AC25" s="15">
        <f t="shared" si="16"/>
        <v>0</v>
      </c>
      <c r="AD25" s="16">
        <f t="shared" si="17"/>
        <v>0</v>
      </c>
      <c r="AF25" s="7">
        <f t="shared" si="18"/>
        <v>11034000</v>
      </c>
      <c r="AG25" s="8">
        <f t="shared" si="18"/>
        <v>11.034000000000001</v>
      </c>
      <c r="AH25" s="8">
        <f t="shared" si="18"/>
        <v>33.874380000000002</v>
      </c>
    </row>
    <row r="26" spans="1:34" x14ac:dyDescent="0.15">
      <c r="A26" s="1">
        <v>38343</v>
      </c>
      <c r="B26" s="7">
        <f>'[2]Dec Prod'!I25</f>
        <v>0</v>
      </c>
      <c r="C26" s="8">
        <f t="shared" si="0"/>
        <v>0</v>
      </c>
      <c r="D26" s="10">
        <f t="shared" si="1"/>
        <v>0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0</v>
      </c>
      <c r="I26" s="8">
        <f t="shared" si="4"/>
        <v>0</v>
      </c>
      <c r="J26" s="10">
        <f t="shared" si="5"/>
        <v>0</v>
      </c>
      <c r="K26" s="7">
        <f>'[2]Dec Prod'!H280</f>
        <v>0</v>
      </c>
      <c r="L26" s="8">
        <f t="shared" si="6"/>
        <v>0</v>
      </c>
      <c r="M26" s="10">
        <f t="shared" si="7"/>
        <v>0</v>
      </c>
      <c r="N26" s="28"/>
      <c r="O26" s="7">
        <f>'[2]Dec Prod'!H25</f>
        <v>11113000</v>
      </c>
      <c r="P26" s="8">
        <f t="shared" si="8"/>
        <v>11.113</v>
      </c>
      <c r="Q26" s="10">
        <f t="shared" si="9"/>
        <v>34.116909999999997</v>
      </c>
      <c r="R26" s="7">
        <f>'[2]Dec Prod'!C25</f>
        <v>11494000</v>
      </c>
      <c r="S26" s="8">
        <f t="shared" si="10"/>
        <v>11.494</v>
      </c>
      <c r="T26" s="10">
        <f t="shared" si="11"/>
        <v>35.286580000000001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381000.00000000023</v>
      </c>
      <c r="Y26" s="8">
        <f t="shared" si="14"/>
        <v>0.38100000000000023</v>
      </c>
      <c r="Z26" s="10">
        <f t="shared" si="15"/>
        <v>1.1696700000000007</v>
      </c>
      <c r="AA26" s="22"/>
      <c r="AB26" s="7">
        <f>'[2]Dec Prod'!G25</f>
        <v>0</v>
      </c>
      <c r="AC26" s="15">
        <f t="shared" si="16"/>
        <v>0</v>
      </c>
      <c r="AD26" s="16">
        <f t="shared" si="17"/>
        <v>0</v>
      </c>
      <c r="AF26" s="7">
        <f t="shared" si="18"/>
        <v>11113000</v>
      </c>
      <c r="AG26" s="8">
        <f t="shared" si="18"/>
        <v>11.113</v>
      </c>
      <c r="AH26" s="8">
        <f t="shared" si="18"/>
        <v>34.116909999999997</v>
      </c>
    </row>
    <row r="27" spans="1:34" x14ac:dyDescent="0.15">
      <c r="A27" s="1">
        <v>38344</v>
      </c>
      <c r="B27" s="7">
        <f>'[2]Dec Prod'!I26</f>
        <v>0</v>
      </c>
      <c r="C27" s="8">
        <f t="shared" si="0"/>
        <v>0</v>
      </c>
      <c r="D27" s="10">
        <f t="shared" si="1"/>
        <v>0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0</v>
      </c>
      <c r="I27" s="8">
        <f t="shared" si="4"/>
        <v>0</v>
      </c>
      <c r="J27" s="10">
        <f t="shared" si="5"/>
        <v>0</v>
      </c>
      <c r="K27" s="7">
        <f>'[2]Dec Prod'!H281</f>
        <v>0</v>
      </c>
      <c r="L27" s="8">
        <f t="shared" si="6"/>
        <v>0</v>
      </c>
      <c r="M27" s="10">
        <f t="shared" si="7"/>
        <v>0</v>
      </c>
      <c r="N27" s="28"/>
      <c r="O27" s="7">
        <f>'[2]Dec Prod'!H26</f>
        <v>10550000</v>
      </c>
      <c r="P27" s="8">
        <f t="shared" si="8"/>
        <v>10.55</v>
      </c>
      <c r="Q27" s="10">
        <f t="shared" si="9"/>
        <v>32.388500000000001</v>
      </c>
      <c r="R27" s="7">
        <f>'[2]Dec Prod'!C26</f>
        <v>10854000</v>
      </c>
      <c r="S27" s="8">
        <f t="shared" si="10"/>
        <v>10.853999999999999</v>
      </c>
      <c r="T27" s="10">
        <f t="shared" si="11"/>
        <v>33.321779999999997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304000.00000000029</v>
      </c>
      <c r="Y27" s="8">
        <f t="shared" si="14"/>
        <v>0.30400000000000027</v>
      </c>
      <c r="Z27" s="10">
        <f t="shared" si="15"/>
        <v>0.93328000000000078</v>
      </c>
      <c r="AA27" s="22"/>
      <c r="AB27" s="7">
        <f>'[2]Dec Prod'!G26</f>
        <v>0</v>
      </c>
      <c r="AC27" s="15">
        <f t="shared" si="16"/>
        <v>0</v>
      </c>
      <c r="AD27" s="16">
        <f t="shared" si="17"/>
        <v>0</v>
      </c>
      <c r="AF27" s="7">
        <f t="shared" si="18"/>
        <v>10550000</v>
      </c>
      <c r="AG27" s="8">
        <f t="shared" si="18"/>
        <v>10.55</v>
      </c>
      <c r="AH27" s="8">
        <f t="shared" si="18"/>
        <v>32.388500000000001</v>
      </c>
    </row>
    <row r="28" spans="1:34" x14ac:dyDescent="0.15">
      <c r="A28" s="1">
        <v>38345</v>
      </c>
      <c r="B28" s="7">
        <f>'[2]Dec Prod'!I27</f>
        <v>0</v>
      </c>
      <c r="C28" s="8">
        <f t="shared" si="0"/>
        <v>0</v>
      </c>
      <c r="D28" s="10">
        <f t="shared" si="1"/>
        <v>0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0</v>
      </c>
      <c r="I28" s="8">
        <f t="shared" si="4"/>
        <v>0</v>
      </c>
      <c r="J28" s="10">
        <f t="shared" si="5"/>
        <v>0</v>
      </c>
      <c r="K28" s="7">
        <f>'[2]Dec Prod'!H282</f>
        <v>0</v>
      </c>
      <c r="L28" s="8">
        <f t="shared" si="6"/>
        <v>0</v>
      </c>
      <c r="M28" s="10">
        <f t="shared" si="7"/>
        <v>0</v>
      </c>
      <c r="N28" s="28"/>
      <c r="O28" s="7">
        <f>'[2]Dec Prod'!H27</f>
        <v>11198000</v>
      </c>
      <c r="P28" s="8">
        <f t="shared" si="8"/>
        <v>11.198</v>
      </c>
      <c r="Q28" s="10">
        <f t="shared" si="9"/>
        <v>34.377859999999998</v>
      </c>
      <c r="R28" s="7">
        <f>'[2]Dec Prod'!C27</f>
        <v>11574000</v>
      </c>
      <c r="S28" s="8">
        <f t="shared" si="10"/>
        <v>11.574</v>
      </c>
      <c r="T28" s="10">
        <f t="shared" si="11"/>
        <v>35.532179999999997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375999.99999999942</v>
      </c>
      <c r="Y28" s="8">
        <f t="shared" si="14"/>
        <v>0.37599999999999939</v>
      </c>
      <c r="Z28" s="10">
        <f t="shared" si="15"/>
        <v>1.154319999999998</v>
      </c>
      <c r="AA28" s="22"/>
      <c r="AB28" s="7">
        <f>'[2]Dec Prod'!G27</f>
        <v>0</v>
      </c>
      <c r="AC28" s="15">
        <f t="shared" si="16"/>
        <v>0</v>
      </c>
      <c r="AD28" s="16">
        <f t="shared" si="17"/>
        <v>0</v>
      </c>
      <c r="AF28" s="7">
        <f t="shared" si="18"/>
        <v>11198000</v>
      </c>
      <c r="AG28" s="8">
        <f t="shared" si="18"/>
        <v>11.198</v>
      </c>
      <c r="AH28" s="8">
        <f t="shared" si="18"/>
        <v>34.377859999999998</v>
      </c>
    </row>
    <row r="29" spans="1:34" x14ac:dyDescent="0.15">
      <c r="A29" s="1">
        <v>38346</v>
      </c>
      <c r="B29" s="7">
        <f>'[2]Dec Prod'!I28</f>
        <v>0</v>
      </c>
      <c r="C29" s="8">
        <f t="shared" si="0"/>
        <v>0</v>
      </c>
      <c r="D29" s="10">
        <f t="shared" si="1"/>
        <v>0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0</v>
      </c>
      <c r="I29" s="8">
        <f t="shared" si="4"/>
        <v>0</v>
      </c>
      <c r="J29" s="10">
        <f t="shared" si="5"/>
        <v>0</v>
      </c>
      <c r="K29" s="7">
        <f>'[2]Dec Prod'!H283</f>
        <v>0</v>
      </c>
      <c r="L29" s="8">
        <f t="shared" si="6"/>
        <v>0</v>
      </c>
      <c r="M29" s="10">
        <f t="shared" si="7"/>
        <v>0</v>
      </c>
      <c r="N29" s="28"/>
      <c r="O29" s="7">
        <f>'[2]Dec Prod'!H28</f>
        <v>11099000</v>
      </c>
      <c r="P29" s="8">
        <f t="shared" si="8"/>
        <v>11.099</v>
      </c>
      <c r="Q29" s="10">
        <f t="shared" si="9"/>
        <v>34.073929999999997</v>
      </c>
      <c r="R29" s="7">
        <f>'[2]Dec Prod'!C28</f>
        <v>11546000</v>
      </c>
      <c r="S29" s="8">
        <f t="shared" si="10"/>
        <v>11.545999999999999</v>
      </c>
      <c r="T29" s="10">
        <f t="shared" si="11"/>
        <v>35.446219999999997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446999.99999999919</v>
      </c>
      <c r="Y29" s="8">
        <f t="shared" si="14"/>
        <v>0.44699999999999918</v>
      </c>
      <c r="Z29" s="10">
        <f t="shared" si="15"/>
        <v>1.3722899999999973</v>
      </c>
      <c r="AA29" s="22"/>
      <c r="AB29" s="7">
        <f>'[2]Dec Prod'!G28</f>
        <v>0</v>
      </c>
      <c r="AC29" s="15">
        <f t="shared" si="16"/>
        <v>0</v>
      </c>
      <c r="AD29" s="16">
        <f t="shared" si="17"/>
        <v>0</v>
      </c>
      <c r="AF29" s="7">
        <f t="shared" si="18"/>
        <v>11099000</v>
      </c>
      <c r="AG29" s="8">
        <f t="shared" si="18"/>
        <v>11.099</v>
      </c>
      <c r="AH29" s="8">
        <f t="shared" si="18"/>
        <v>34.073929999999997</v>
      </c>
    </row>
    <row r="30" spans="1:34" x14ac:dyDescent="0.15">
      <c r="A30" s="1">
        <v>38347</v>
      </c>
      <c r="B30" s="7">
        <f>'[2]Dec Prod'!I29</f>
        <v>0</v>
      </c>
      <c r="C30" s="8">
        <f t="shared" si="0"/>
        <v>0</v>
      </c>
      <c r="D30" s="10">
        <f t="shared" si="1"/>
        <v>0</v>
      </c>
      <c r="E30" s="7">
        <f>'[2]Dec Prod'!E29</f>
        <v>0</v>
      </c>
      <c r="F30" s="8">
        <f t="shared" si="2"/>
        <v>0</v>
      </c>
      <c r="G30" s="10">
        <f t="shared" si="3"/>
        <v>0</v>
      </c>
      <c r="H30" s="7">
        <f>'[2]Dec Prod'!F29</f>
        <v>0</v>
      </c>
      <c r="I30" s="8">
        <f t="shared" si="4"/>
        <v>0</v>
      </c>
      <c r="J30" s="10">
        <f t="shared" si="5"/>
        <v>0</v>
      </c>
      <c r="K30" s="7">
        <f>'[2]Dec Prod'!H284</f>
        <v>0</v>
      </c>
      <c r="L30" s="8">
        <f t="shared" si="6"/>
        <v>0</v>
      </c>
      <c r="M30" s="10">
        <f t="shared" si="7"/>
        <v>0</v>
      </c>
      <c r="N30" s="28"/>
      <c r="O30" s="7">
        <f>'[2]Dec Prod'!H29</f>
        <v>10829999.999999998</v>
      </c>
      <c r="P30" s="8">
        <f t="shared" si="8"/>
        <v>10.829999999999998</v>
      </c>
      <c r="Q30" s="10">
        <f t="shared" si="9"/>
        <v>33.248099999999994</v>
      </c>
      <c r="R30" s="7">
        <f>'[2]Dec Prod'!C29</f>
        <v>11058000</v>
      </c>
      <c r="S30" s="8">
        <f t="shared" si="10"/>
        <v>11.058</v>
      </c>
      <c r="T30" s="10">
        <f t="shared" si="11"/>
        <v>33.948059999999998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228000.00000000154</v>
      </c>
      <c r="Y30" s="8">
        <f t="shared" si="14"/>
        <v>0.22800000000000153</v>
      </c>
      <c r="Z30" s="10">
        <f t="shared" si="15"/>
        <v>0.69996000000000469</v>
      </c>
      <c r="AA30" s="22"/>
      <c r="AB30" s="7">
        <f>'[2]Dec Prod'!G29</f>
        <v>0</v>
      </c>
      <c r="AC30" s="15">
        <f t="shared" si="16"/>
        <v>0</v>
      </c>
      <c r="AD30" s="16">
        <f t="shared" si="17"/>
        <v>0</v>
      </c>
      <c r="AF30" s="7">
        <f t="shared" si="18"/>
        <v>10829999.999999998</v>
      </c>
      <c r="AG30" s="8">
        <f t="shared" si="18"/>
        <v>10.829999999999998</v>
      </c>
      <c r="AH30" s="8">
        <f t="shared" si="18"/>
        <v>33.248099999999994</v>
      </c>
    </row>
    <row r="31" spans="1:34" x14ac:dyDescent="0.15">
      <c r="A31" s="1">
        <v>38348</v>
      </c>
      <c r="B31" s="7">
        <f>'[2]Dec Prod'!I30</f>
        <v>0</v>
      </c>
      <c r="C31" s="8">
        <f t="shared" si="0"/>
        <v>0</v>
      </c>
      <c r="D31" s="10">
        <f t="shared" si="1"/>
        <v>0</v>
      </c>
      <c r="E31" s="7">
        <f>'[2]Dec Prod'!E30</f>
        <v>0</v>
      </c>
      <c r="F31" s="8">
        <f t="shared" si="2"/>
        <v>0</v>
      </c>
      <c r="G31" s="10">
        <f t="shared" si="3"/>
        <v>0</v>
      </c>
      <c r="H31" s="7">
        <f>'[2]Dec Prod'!F30</f>
        <v>0</v>
      </c>
      <c r="I31" s="8">
        <f t="shared" si="4"/>
        <v>0</v>
      </c>
      <c r="J31" s="10">
        <f t="shared" si="5"/>
        <v>0</v>
      </c>
      <c r="K31" s="7">
        <f>'[2]Dec Prod'!H285</f>
        <v>0</v>
      </c>
      <c r="L31" s="8">
        <f t="shared" si="6"/>
        <v>0</v>
      </c>
      <c r="M31" s="10">
        <f t="shared" si="7"/>
        <v>0</v>
      </c>
      <c r="N31" s="28"/>
      <c r="O31" s="7">
        <f>'[2]Dec Prod'!H30</f>
        <v>10923000</v>
      </c>
      <c r="P31" s="8">
        <f t="shared" si="8"/>
        <v>10.923</v>
      </c>
      <c r="Q31" s="10">
        <f t="shared" si="9"/>
        <v>33.533609999999996</v>
      </c>
      <c r="R31" s="7">
        <f>'[2]Dec Prod'!C30</f>
        <v>11302000</v>
      </c>
      <c r="S31" s="8">
        <f t="shared" si="10"/>
        <v>11.302</v>
      </c>
      <c r="T31" s="10">
        <f t="shared" si="11"/>
        <v>34.697139999999997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378999.99999999953</v>
      </c>
      <c r="Y31" s="8">
        <f t="shared" si="14"/>
        <v>0.37899999999999956</v>
      </c>
      <c r="Z31" s="10">
        <f t="shared" si="15"/>
        <v>1.1635299999999986</v>
      </c>
      <c r="AA31" s="22"/>
      <c r="AB31" s="7">
        <f>'[2]Dec Prod'!G30</f>
        <v>0</v>
      </c>
      <c r="AC31" s="15">
        <f t="shared" si="16"/>
        <v>0</v>
      </c>
      <c r="AD31" s="16">
        <f t="shared" si="17"/>
        <v>0</v>
      </c>
      <c r="AF31" s="7">
        <f t="shared" si="18"/>
        <v>10923000</v>
      </c>
      <c r="AG31" s="8">
        <f t="shared" si="18"/>
        <v>10.923</v>
      </c>
      <c r="AH31" s="8">
        <f t="shared" si="18"/>
        <v>33.533609999999996</v>
      </c>
    </row>
    <row r="32" spans="1:34" x14ac:dyDescent="0.15">
      <c r="A32" s="1">
        <v>38349</v>
      </c>
      <c r="B32" s="7">
        <f>'[2]Dec Prod'!I31</f>
        <v>0</v>
      </c>
      <c r="C32" s="8">
        <f t="shared" si="0"/>
        <v>0</v>
      </c>
      <c r="D32" s="10">
        <f t="shared" si="1"/>
        <v>0</v>
      </c>
      <c r="E32" s="7">
        <f>'[2]Dec Prod'!E31</f>
        <v>0</v>
      </c>
      <c r="F32" s="8">
        <f t="shared" si="2"/>
        <v>0</v>
      </c>
      <c r="G32" s="10">
        <f t="shared" si="3"/>
        <v>0</v>
      </c>
      <c r="H32" s="7">
        <f>'[2]Dec Prod'!F31</f>
        <v>0</v>
      </c>
      <c r="I32" s="8">
        <f t="shared" si="4"/>
        <v>0</v>
      </c>
      <c r="J32" s="10">
        <f t="shared" si="5"/>
        <v>0</v>
      </c>
      <c r="K32" s="7">
        <f>'[2]Dec Prod'!H286</f>
        <v>0</v>
      </c>
      <c r="L32" s="8">
        <f t="shared" si="6"/>
        <v>0</v>
      </c>
      <c r="M32" s="10">
        <f t="shared" si="7"/>
        <v>0</v>
      </c>
      <c r="N32" s="28"/>
      <c r="O32" s="7">
        <f>'[2]Dec Prod'!H31</f>
        <v>10880000</v>
      </c>
      <c r="P32" s="8">
        <f t="shared" si="8"/>
        <v>10.88</v>
      </c>
      <c r="Q32" s="10">
        <f t="shared" si="9"/>
        <v>33.401600000000002</v>
      </c>
      <c r="R32" s="7">
        <f>'[2]Dec Prod'!C31</f>
        <v>11226000</v>
      </c>
      <c r="S32" s="8">
        <f t="shared" si="10"/>
        <v>11.226000000000001</v>
      </c>
      <c r="T32" s="10">
        <f t="shared" si="11"/>
        <v>34.463819999999998</v>
      </c>
      <c r="U32" s="7">
        <f>'[2]Dec Prod'!D31</f>
        <v>0</v>
      </c>
      <c r="V32" s="8">
        <f t="shared" si="12"/>
        <v>0</v>
      </c>
      <c r="W32" s="10">
        <f t="shared" si="13"/>
        <v>0</v>
      </c>
      <c r="X32" s="7">
        <f>'[2]Dec Prod'!D286</f>
        <v>346000.00000000006</v>
      </c>
      <c r="Y32" s="8">
        <f t="shared" si="14"/>
        <v>0.34600000000000009</v>
      </c>
      <c r="Z32" s="10">
        <f t="shared" si="15"/>
        <v>1.0622200000000002</v>
      </c>
      <c r="AA32" s="22"/>
      <c r="AB32" s="7">
        <f>'[2]Dec Prod'!G31</f>
        <v>0</v>
      </c>
      <c r="AC32" s="15">
        <f t="shared" si="16"/>
        <v>0</v>
      </c>
      <c r="AD32" s="16">
        <f t="shared" si="17"/>
        <v>0</v>
      </c>
      <c r="AF32" s="7">
        <f t="shared" si="18"/>
        <v>10880000</v>
      </c>
      <c r="AG32" s="8">
        <f t="shared" si="18"/>
        <v>10.88</v>
      </c>
      <c r="AH32" s="8">
        <f t="shared" si="18"/>
        <v>33.401600000000002</v>
      </c>
    </row>
    <row r="33" spans="1:34" x14ac:dyDescent="0.15">
      <c r="A33" s="1">
        <v>38350</v>
      </c>
      <c r="B33" s="7">
        <f>'[2]Dec Prod'!I32</f>
        <v>0</v>
      </c>
      <c r="C33" s="8">
        <f t="shared" si="0"/>
        <v>0</v>
      </c>
      <c r="D33" s="10">
        <f t="shared" si="1"/>
        <v>0</v>
      </c>
      <c r="E33" s="7">
        <f>'[2]Dec Prod'!E32</f>
        <v>0</v>
      </c>
      <c r="F33" s="8">
        <f t="shared" si="2"/>
        <v>0</v>
      </c>
      <c r="G33" s="10">
        <f t="shared" si="3"/>
        <v>0</v>
      </c>
      <c r="H33" s="7">
        <f>'[2]Dec Prod'!F32</f>
        <v>0</v>
      </c>
      <c r="I33" s="8">
        <f t="shared" si="4"/>
        <v>0</v>
      </c>
      <c r="J33" s="10">
        <f t="shared" si="5"/>
        <v>0</v>
      </c>
      <c r="K33" s="7">
        <f>'[2]Dec Prod'!H287</f>
        <v>0</v>
      </c>
      <c r="L33" s="8">
        <f t="shared" si="6"/>
        <v>0</v>
      </c>
      <c r="M33" s="10">
        <f t="shared" si="7"/>
        <v>0</v>
      </c>
      <c r="N33" s="28"/>
      <c r="O33" s="7">
        <f>'[2]Dec Prod'!H32</f>
        <v>11629000</v>
      </c>
      <c r="P33" s="8">
        <f t="shared" si="8"/>
        <v>11.629</v>
      </c>
      <c r="Q33" s="10">
        <f t="shared" si="9"/>
        <v>35.701029999999996</v>
      </c>
      <c r="R33" s="7">
        <f>'[2]Dec Prod'!C32</f>
        <v>11964000</v>
      </c>
      <c r="S33" s="8">
        <f t="shared" si="10"/>
        <v>11.964</v>
      </c>
      <c r="T33" s="10">
        <f t="shared" si="11"/>
        <v>36.729480000000002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335000.00000000087</v>
      </c>
      <c r="Y33" s="8">
        <f t="shared" si="14"/>
        <v>0.33500000000000085</v>
      </c>
      <c r="Z33" s="10">
        <f t="shared" si="15"/>
        <v>1.0284500000000025</v>
      </c>
      <c r="AA33" s="22"/>
      <c r="AB33" s="7">
        <f>'[2]Dec Prod'!G32</f>
        <v>0</v>
      </c>
      <c r="AC33" s="15">
        <f t="shared" si="16"/>
        <v>0</v>
      </c>
      <c r="AD33" s="16">
        <f t="shared" si="17"/>
        <v>0</v>
      </c>
      <c r="AF33" s="7">
        <f t="shared" si="18"/>
        <v>11629000</v>
      </c>
      <c r="AG33" s="8">
        <f t="shared" si="18"/>
        <v>11.629</v>
      </c>
      <c r="AH33" s="8">
        <f t="shared" si="18"/>
        <v>35.701029999999996</v>
      </c>
    </row>
    <row r="34" spans="1:34" x14ac:dyDescent="0.15">
      <c r="A34" s="1">
        <v>38351</v>
      </c>
      <c r="B34" s="7">
        <f>'[2]Dec Prod'!I33</f>
        <v>0</v>
      </c>
      <c r="C34" s="8">
        <f t="shared" si="0"/>
        <v>0</v>
      </c>
      <c r="D34" s="10">
        <f t="shared" si="1"/>
        <v>0</v>
      </c>
      <c r="E34" s="7">
        <f>'[2]Dec Prod'!E33</f>
        <v>0</v>
      </c>
      <c r="F34" s="8">
        <f t="shared" si="2"/>
        <v>0</v>
      </c>
      <c r="G34" s="10">
        <f t="shared" si="3"/>
        <v>0</v>
      </c>
      <c r="H34" s="7">
        <f>'[2]Dec Prod'!F33</f>
        <v>0</v>
      </c>
      <c r="I34" s="8">
        <f t="shared" si="4"/>
        <v>0</v>
      </c>
      <c r="J34" s="10">
        <f t="shared" si="5"/>
        <v>0</v>
      </c>
      <c r="K34" s="7">
        <f>'[2]Dec Prod'!H288</f>
        <v>0</v>
      </c>
      <c r="L34" s="8">
        <f t="shared" si="6"/>
        <v>0</v>
      </c>
      <c r="M34" s="10">
        <f t="shared" si="7"/>
        <v>0</v>
      </c>
      <c r="N34" s="28"/>
      <c r="O34" s="7">
        <f>'[2]Dec Prod'!H33</f>
        <v>11089000.000000004</v>
      </c>
      <c r="P34" s="8">
        <f t="shared" si="8"/>
        <v>11.089000000000004</v>
      </c>
      <c r="Q34" s="10">
        <f t="shared" si="9"/>
        <v>34.043230000000008</v>
      </c>
      <c r="R34" s="7">
        <f>'[2]Dec Prod'!C33</f>
        <v>11357000</v>
      </c>
      <c r="S34" s="8">
        <f t="shared" si="10"/>
        <v>11.356999999999999</v>
      </c>
      <c r="T34" s="10">
        <f t="shared" si="11"/>
        <v>34.865989999999996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267999.99999999715</v>
      </c>
      <c r="Y34" s="8">
        <f t="shared" si="14"/>
        <v>0.26799999999999713</v>
      </c>
      <c r="Z34" s="10">
        <f t="shared" si="15"/>
        <v>0.82275999999999117</v>
      </c>
      <c r="AA34" s="22"/>
      <c r="AB34" s="7">
        <f>'[2]Dec Prod'!G33</f>
        <v>0</v>
      </c>
      <c r="AC34" s="15">
        <f t="shared" si="16"/>
        <v>0</v>
      </c>
      <c r="AD34" s="16">
        <f t="shared" si="17"/>
        <v>0</v>
      </c>
      <c r="AF34" s="7">
        <f t="shared" si="18"/>
        <v>11089000.000000004</v>
      </c>
      <c r="AG34" s="8">
        <f t="shared" si="18"/>
        <v>11.089000000000004</v>
      </c>
      <c r="AH34" s="8">
        <f t="shared" si="18"/>
        <v>34.043230000000008</v>
      </c>
    </row>
    <row r="35" spans="1:34" x14ac:dyDescent="0.15">
      <c r="A35" s="1">
        <v>38352</v>
      </c>
      <c r="B35" s="7">
        <f>'[2]Dec Prod'!I34</f>
        <v>0</v>
      </c>
      <c r="C35" s="9">
        <f t="shared" si="0"/>
        <v>0</v>
      </c>
      <c r="D35" s="11">
        <f t="shared" si="1"/>
        <v>0</v>
      </c>
      <c r="E35" s="7">
        <f>'[2]Dec Prod'!E34</f>
        <v>0</v>
      </c>
      <c r="F35" s="9">
        <f t="shared" si="2"/>
        <v>0</v>
      </c>
      <c r="G35" s="11">
        <f t="shared" si="3"/>
        <v>0</v>
      </c>
      <c r="H35" s="7">
        <f>'[2]Dec Prod'!F34</f>
        <v>0</v>
      </c>
      <c r="I35" s="9">
        <f t="shared" si="4"/>
        <v>0</v>
      </c>
      <c r="J35" s="11">
        <f t="shared" si="5"/>
        <v>0</v>
      </c>
      <c r="K35" s="7">
        <f>'[2]Dec Prod'!H289</f>
        <v>0</v>
      </c>
      <c r="L35" s="9">
        <f t="shared" si="6"/>
        <v>0</v>
      </c>
      <c r="M35" s="11">
        <f t="shared" si="7"/>
        <v>0</v>
      </c>
      <c r="N35" s="28"/>
      <c r="O35" s="7">
        <f>'[2]Dec Prod'!H34</f>
        <v>10798000</v>
      </c>
      <c r="P35" s="9">
        <f t="shared" si="8"/>
        <v>10.798</v>
      </c>
      <c r="Q35" s="11">
        <f t="shared" si="9"/>
        <v>33.149859999999997</v>
      </c>
      <c r="R35" s="7">
        <f>'[2]Dec Prod'!C34</f>
        <v>11129000</v>
      </c>
      <c r="S35" s="9">
        <f t="shared" si="10"/>
        <v>11.129</v>
      </c>
      <c r="T35" s="11">
        <f t="shared" si="11"/>
        <v>34.166029999999999</v>
      </c>
      <c r="U35" s="7">
        <f>'[2]Dec Prod'!D34</f>
        <v>4000</v>
      </c>
      <c r="V35" s="9">
        <f t="shared" si="12"/>
        <v>4.0000000000000001E-3</v>
      </c>
      <c r="W35" s="11">
        <f t="shared" si="13"/>
        <v>1.2279999999999999E-2</v>
      </c>
      <c r="X35" s="7">
        <f>'[2]Dec Prod'!D289</f>
        <v>335000.00000000087</v>
      </c>
      <c r="Y35" s="9">
        <f t="shared" si="14"/>
        <v>0.33500000000000085</v>
      </c>
      <c r="Z35" s="11">
        <f t="shared" si="15"/>
        <v>1.0284500000000025</v>
      </c>
      <c r="AA35" s="22"/>
      <c r="AB35" s="7">
        <f>'[2]Dec Prod'!G34</f>
        <v>0</v>
      </c>
      <c r="AC35" s="17">
        <f t="shared" si="16"/>
        <v>0</v>
      </c>
      <c r="AD35" s="18">
        <f t="shared" si="17"/>
        <v>0</v>
      </c>
      <c r="AF35" s="7">
        <f t="shared" si="18"/>
        <v>10798000</v>
      </c>
      <c r="AG35" s="8">
        <f t="shared" si="18"/>
        <v>10.798</v>
      </c>
      <c r="AH35" s="8">
        <f t="shared" si="18"/>
        <v>33.149859999999997</v>
      </c>
    </row>
    <row r="36" spans="1:34" x14ac:dyDescent="0.15">
      <c r="A36" s="27"/>
      <c r="B36" s="30"/>
      <c r="C36" s="31">
        <f>SUM(C5:C35)</f>
        <v>0.1000000000003638</v>
      </c>
      <c r="D36" s="31">
        <f>SUM(D5:D35)</f>
        <v>0.30700000000111682</v>
      </c>
      <c r="E36" s="32"/>
      <c r="F36" s="31">
        <f>SUM(F5:F35)</f>
        <v>0</v>
      </c>
      <c r="G36" s="31">
        <f>SUM(G5:G35)</f>
        <v>0</v>
      </c>
      <c r="H36" s="32"/>
      <c r="I36" s="31">
        <f>SUM(I5:I35)</f>
        <v>0</v>
      </c>
      <c r="J36" s="31">
        <f>SUM(J5:J35)</f>
        <v>0</v>
      </c>
      <c r="K36" s="32"/>
      <c r="L36" s="31">
        <f>SUM(L5:L35)</f>
        <v>-2.34</v>
      </c>
      <c r="M36" s="31">
        <f>SUM(M5:M35)</f>
        <v>-7.1837999999999989</v>
      </c>
      <c r="N36" s="21"/>
      <c r="O36" s="32"/>
      <c r="P36" s="31">
        <f>SUM(P5:P35)</f>
        <v>344.4489999999999</v>
      </c>
      <c r="Q36" s="31">
        <f>SUM(Q5:Q35)</f>
        <v>1057.4584300000001</v>
      </c>
      <c r="R36" s="32"/>
      <c r="S36" s="31">
        <f>SUM(S5:S35)</f>
        <v>355.4860000000001</v>
      </c>
      <c r="T36" s="31">
        <f>SUM(T5:T35)</f>
        <v>1091.34202</v>
      </c>
      <c r="U36" s="32"/>
      <c r="V36" s="31">
        <f>SUM(V5:V35)</f>
        <v>4.0000000000000001E-3</v>
      </c>
      <c r="W36" s="31">
        <f>SUM(W5:W35)</f>
        <v>1.2279999999999999E-2</v>
      </c>
      <c r="X36" s="32"/>
      <c r="Y36" s="31">
        <f>SUM(Y5:Y35)</f>
        <v>11.040999999999999</v>
      </c>
      <c r="Z36" s="31">
        <f>SUM(Z5:Z35)</f>
        <v>33.895869999999981</v>
      </c>
      <c r="AA36" s="21"/>
      <c r="AB36" s="30"/>
      <c r="AC36" s="31">
        <f>SUM(AC5:AC35)</f>
        <v>0</v>
      </c>
      <c r="AD36" s="31">
        <f>SUM(AD5:AD35)</f>
        <v>0</v>
      </c>
      <c r="AF36" s="32"/>
      <c r="AG36" s="40">
        <f>SUM(AG5:AG35)</f>
        <v>344.54900000000026</v>
      </c>
      <c r="AH36" s="32">
        <f>AG36*3.07</f>
        <v>1057.7654300000008</v>
      </c>
    </row>
    <row r="37" spans="1:34" x14ac:dyDescent="0.15">
      <c r="C37" s="25"/>
      <c r="E37" s="3"/>
      <c r="F37" s="3"/>
      <c r="G37" s="3"/>
      <c r="H37" s="3"/>
      <c r="I37" s="3"/>
      <c r="J37" s="3"/>
      <c r="K37" s="21"/>
      <c r="L37" s="3"/>
      <c r="M37" s="3"/>
      <c r="N37" s="3"/>
      <c r="O37" s="3"/>
      <c r="P37" s="3"/>
      <c r="Q37" s="3"/>
      <c r="R37" s="3"/>
      <c r="S37" s="3"/>
      <c r="T37" s="3"/>
      <c r="U37" s="21"/>
    </row>
  </sheetData>
  <mergeCells count="10">
    <mergeCell ref="AF3:AH3"/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H36"/>
  <sheetViews>
    <sheetView workbookViewId="0">
      <pane xSplit="1" ySplit="4" topLeftCell="V5" activePane="bottomRight" state="frozen"/>
      <selection pane="topRight" activeCell="B1" sqref="B1"/>
      <selection pane="bottomLeft" activeCell="A5" sqref="A5"/>
      <selection pane="bottomRight" activeCell="H15" sqref="H15"/>
    </sheetView>
  </sheetViews>
  <sheetFormatPr baseColWidth="10" defaultColWidth="8.83203125" defaultRowHeight="13" x14ac:dyDescent="0.15"/>
  <cols>
    <col min="2" max="2" width="10.83203125" customWidth="1"/>
    <col min="3" max="3" width="7.6640625" style="25" customWidth="1"/>
    <col min="5" max="5" width="13.5" style="3" bestFit="1" customWidth="1"/>
    <col min="6" max="6" width="8.33203125" style="3" customWidth="1"/>
    <col min="7" max="7" width="9.1640625" style="3"/>
    <col min="8" max="8" width="11.6640625" style="3" customWidth="1"/>
    <col min="9" max="10" width="9.1640625" style="3"/>
    <col min="11" max="11" width="11.83203125" style="21" customWidth="1"/>
    <col min="12" max="12" width="11" style="3" customWidth="1"/>
    <col min="13" max="13" width="11.1640625" style="3" bestFit="1" customWidth="1"/>
    <col min="14" max="14" width="9.1640625" style="3"/>
    <col min="15" max="15" width="13.5" style="3" bestFit="1" customWidth="1"/>
    <col min="16" max="17" width="9.1640625" style="3"/>
    <col min="18" max="18" width="11.6640625" style="3" bestFit="1" customWidth="1"/>
    <col min="19" max="21" width="9.1640625" style="3"/>
    <col min="22" max="22" width="11.6640625" bestFit="1" customWidth="1"/>
    <col min="32" max="32" width="10.5" customWidth="1"/>
  </cols>
  <sheetData>
    <row r="1" spans="1:34" ht="13.5" customHeight="1" x14ac:dyDescent="0.15">
      <c r="A1" s="34"/>
      <c r="B1" s="35"/>
      <c r="C1" s="35"/>
      <c r="D1" s="35"/>
      <c r="E1" s="35"/>
      <c r="F1" s="35"/>
      <c r="U1" s="21"/>
      <c r="V1" s="3"/>
      <c r="W1" s="3"/>
      <c r="X1" s="3"/>
    </row>
    <row r="2" spans="1:34" x14ac:dyDescent="0.15">
      <c r="A2" s="3"/>
      <c r="B2" s="3"/>
      <c r="C2" s="33"/>
      <c r="D2" s="3"/>
      <c r="U2" s="21"/>
      <c r="V2" s="3"/>
      <c r="W2" s="3"/>
      <c r="X2" s="3"/>
    </row>
    <row r="3" spans="1:34" x14ac:dyDescent="0.15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0" t="s">
        <v>8</v>
      </c>
      <c r="AG3" s="51"/>
      <c r="AH3" s="52"/>
    </row>
    <row r="4" spans="1:34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" t="s">
        <v>0</v>
      </c>
      <c r="AG4" s="5" t="s">
        <v>1</v>
      </c>
      <c r="AH4" s="6" t="s">
        <v>2</v>
      </c>
    </row>
    <row r="5" spans="1:34" x14ac:dyDescent="0.15">
      <c r="A5" s="37">
        <v>38353</v>
      </c>
      <c r="B5" s="7">
        <f>'[3]Jan Prod'!I4</f>
        <v>0</v>
      </c>
      <c r="C5" s="8">
        <f>B5/1000000</f>
        <v>0</v>
      </c>
      <c r="D5" s="10">
        <f>C5*3.07</f>
        <v>0</v>
      </c>
      <c r="E5" s="7">
        <f>'[3]Jan Prod'!E4</f>
        <v>0</v>
      </c>
      <c r="F5" s="8">
        <f>E5/1000000</f>
        <v>0</v>
      </c>
      <c r="G5" s="10">
        <f>F5*3.07</f>
        <v>0</v>
      </c>
      <c r="H5" s="7">
        <f>'[3]Jan Prod'!F4</f>
        <v>0</v>
      </c>
      <c r="I5" s="8">
        <f>H5/1000000</f>
        <v>0</v>
      </c>
      <c r="J5" s="10">
        <f>I5*3.07</f>
        <v>0</v>
      </c>
      <c r="K5" s="7">
        <f>'[3]Jan Prod'!H259</f>
        <v>0</v>
      </c>
      <c r="L5" s="8">
        <f>K5/1000000</f>
        <v>0</v>
      </c>
      <c r="M5" s="10">
        <f>L5*3.07</f>
        <v>0</v>
      </c>
      <c r="N5" s="28"/>
      <c r="O5" s="7">
        <f>'[3]Jan Prod'!H4</f>
        <v>11426000</v>
      </c>
      <c r="P5" s="8">
        <f>O5/1000000</f>
        <v>11.426</v>
      </c>
      <c r="Q5" s="10">
        <f>P5*3.07</f>
        <v>35.077819999999996</v>
      </c>
      <c r="R5" s="7">
        <f>'[3]Jan Prod'!C4</f>
        <v>11760000</v>
      </c>
      <c r="S5" s="8">
        <f>R5/1000000</f>
        <v>11.76</v>
      </c>
      <c r="T5" s="10">
        <f>S5*3.07</f>
        <v>36.103199999999994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333999.99999999965</v>
      </c>
      <c r="Y5" s="8">
        <f>X5/1000000</f>
        <v>0.33399999999999963</v>
      </c>
      <c r="Z5" s="10">
        <f>Y5*3.07</f>
        <v>1.0253799999999988</v>
      </c>
      <c r="AA5" s="22"/>
      <c r="AB5" s="7">
        <f>'[3]Jan Prod'!G4</f>
        <v>0</v>
      </c>
      <c r="AC5" s="8">
        <f>AB5/1000000</f>
        <v>0</v>
      </c>
      <c r="AD5" s="10">
        <f>AC5*3.07</f>
        <v>0</v>
      </c>
      <c r="AF5" s="7">
        <f>B5+O5</f>
        <v>11426000</v>
      </c>
      <c r="AG5" s="8">
        <f>C5+P5</f>
        <v>11.426</v>
      </c>
      <c r="AH5" s="8">
        <f>D5+Q5</f>
        <v>35.077819999999996</v>
      </c>
    </row>
    <row r="6" spans="1:34" x14ac:dyDescent="0.15">
      <c r="A6" s="37">
        <v>38354</v>
      </c>
      <c r="B6" s="7">
        <f>'[3]Jan Prod'!I5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'[3]Jan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'[3]Jan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'[3]Jan Prod'!H260</f>
        <v>0</v>
      </c>
      <c r="L6" s="8">
        <f t="shared" ref="L6:L35" si="6">K6/1000000</f>
        <v>0</v>
      </c>
      <c r="M6" s="10">
        <f t="shared" ref="M6:M35" si="7">L6*3.07</f>
        <v>0</v>
      </c>
      <c r="N6" s="28"/>
      <c r="O6" s="7">
        <f>'[3]Jan Prod'!H5</f>
        <v>10836000</v>
      </c>
      <c r="P6" s="8">
        <f t="shared" ref="P6:P35" si="8">O6/1000000</f>
        <v>10.836</v>
      </c>
      <c r="Q6" s="10">
        <f t="shared" ref="Q6:Q35" si="9">P6*3.07</f>
        <v>33.26652</v>
      </c>
      <c r="R6" s="7">
        <f>'[3]Jan Prod'!C5</f>
        <v>11170000</v>
      </c>
      <c r="S6" s="8">
        <f t="shared" ref="S6:S35" si="10">R6/1000000</f>
        <v>11.17</v>
      </c>
      <c r="T6" s="10">
        <f t="shared" ref="T6:T35" si="11">S6*3.07</f>
        <v>34.291899999999998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333999.99999999965</v>
      </c>
      <c r="Y6" s="8">
        <f t="shared" ref="Y6:Y35" si="14">X6/1000000</f>
        <v>0.33399999999999963</v>
      </c>
      <c r="Z6" s="10">
        <f t="shared" ref="Z6:Z35" si="15">Y6*3.07</f>
        <v>1.0253799999999988</v>
      </c>
      <c r="AA6" s="22"/>
      <c r="AB6" s="7">
        <f>'[3]Jan Prod'!G5</f>
        <v>0</v>
      </c>
      <c r="AC6" s="8">
        <f t="shared" ref="AC6:AC35" si="16">AB6/1000000</f>
        <v>0</v>
      </c>
      <c r="AD6" s="10">
        <f t="shared" ref="AD6:AD35" si="17">AC6*3.07</f>
        <v>0</v>
      </c>
      <c r="AF6" s="7">
        <f t="shared" ref="AF6:AH35" si="18">B6+O6</f>
        <v>10836000</v>
      </c>
      <c r="AG6" s="8">
        <f t="shared" si="18"/>
        <v>10.836</v>
      </c>
      <c r="AH6" s="8">
        <f t="shared" si="18"/>
        <v>33.26652</v>
      </c>
    </row>
    <row r="7" spans="1:34" x14ac:dyDescent="0.15">
      <c r="A7" s="37">
        <v>38355</v>
      </c>
      <c r="B7" s="7">
        <f>'[3]Jan Prod'!I6</f>
        <v>0</v>
      </c>
      <c r="C7" s="8">
        <f t="shared" si="0"/>
        <v>0</v>
      </c>
      <c r="D7" s="10">
        <f t="shared" si="1"/>
        <v>0</v>
      </c>
      <c r="E7" s="7">
        <f>'[3]Jan Prod'!E6</f>
        <v>0</v>
      </c>
      <c r="F7" s="8">
        <f t="shared" si="2"/>
        <v>0</v>
      </c>
      <c r="G7" s="10">
        <f t="shared" si="3"/>
        <v>0</v>
      </c>
      <c r="H7" s="7">
        <f>'[3]Jan Prod'!F6</f>
        <v>0</v>
      </c>
      <c r="I7" s="8">
        <f t="shared" si="4"/>
        <v>0</v>
      </c>
      <c r="J7" s="10">
        <f t="shared" si="5"/>
        <v>0</v>
      </c>
      <c r="K7" s="7">
        <f>'[3]Jan Prod'!H261</f>
        <v>-30000</v>
      </c>
      <c r="L7" s="8">
        <f t="shared" si="6"/>
        <v>-0.03</v>
      </c>
      <c r="M7" s="10">
        <f t="shared" si="7"/>
        <v>-9.2099999999999987E-2</v>
      </c>
      <c r="N7" s="28"/>
      <c r="O7" s="7">
        <f>'[3]Jan Prod'!H6</f>
        <v>11139000</v>
      </c>
      <c r="P7" s="8">
        <f t="shared" si="8"/>
        <v>11.138999999999999</v>
      </c>
      <c r="Q7" s="10">
        <f t="shared" si="9"/>
        <v>34.196729999999995</v>
      </c>
      <c r="R7" s="7">
        <f>'[3]Jan Prod'!C6</f>
        <v>11474000</v>
      </c>
      <c r="S7" s="8">
        <f t="shared" si="10"/>
        <v>11.474</v>
      </c>
      <c r="T7" s="10">
        <f t="shared" si="11"/>
        <v>35.225180000000002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335000.00000000087</v>
      </c>
      <c r="Y7" s="8">
        <f t="shared" si="14"/>
        <v>0.33500000000000085</v>
      </c>
      <c r="Z7" s="10">
        <f t="shared" si="15"/>
        <v>1.0284500000000025</v>
      </c>
      <c r="AA7" s="22"/>
      <c r="AB7" s="7">
        <f>'[3]Jan Prod'!G6</f>
        <v>0</v>
      </c>
      <c r="AC7" s="8">
        <f t="shared" si="16"/>
        <v>0</v>
      </c>
      <c r="AD7" s="10">
        <f t="shared" si="17"/>
        <v>0</v>
      </c>
      <c r="AF7" s="7">
        <f t="shared" si="18"/>
        <v>11139000</v>
      </c>
      <c r="AG7" s="8">
        <f t="shared" si="18"/>
        <v>11.138999999999999</v>
      </c>
      <c r="AH7" s="8">
        <f t="shared" si="18"/>
        <v>34.196729999999995</v>
      </c>
    </row>
    <row r="8" spans="1:34" x14ac:dyDescent="0.15">
      <c r="A8" s="37">
        <v>38356</v>
      </c>
      <c r="B8" s="7">
        <f>'[3]Jan Prod'!I7</f>
        <v>0</v>
      </c>
      <c r="C8" s="8">
        <f t="shared" si="0"/>
        <v>0</v>
      </c>
      <c r="D8" s="10">
        <f t="shared" si="1"/>
        <v>0</v>
      </c>
      <c r="E8" s="7">
        <f>'[3]Jan Prod'!E7</f>
        <v>0</v>
      </c>
      <c r="F8" s="8">
        <f t="shared" si="2"/>
        <v>0</v>
      </c>
      <c r="G8" s="10">
        <f t="shared" si="3"/>
        <v>0</v>
      </c>
      <c r="H8" s="7">
        <f>'[3]Jan Prod'!F7</f>
        <v>0</v>
      </c>
      <c r="I8" s="8">
        <f t="shared" si="4"/>
        <v>0</v>
      </c>
      <c r="J8" s="10">
        <f t="shared" si="5"/>
        <v>0</v>
      </c>
      <c r="K8" s="7">
        <f>'[3]Jan Prod'!H262</f>
        <v>0</v>
      </c>
      <c r="L8" s="8">
        <f t="shared" si="6"/>
        <v>0</v>
      </c>
      <c r="M8" s="10">
        <f t="shared" si="7"/>
        <v>0</v>
      </c>
      <c r="N8" s="28"/>
      <c r="O8" s="7">
        <f>'[3]Jan Prod'!H7</f>
        <v>11316000</v>
      </c>
      <c r="P8" s="8">
        <f t="shared" si="8"/>
        <v>11.316000000000001</v>
      </c>
      <c r="Q8" s="10">
        <f t="shared" si="9"/>
        <v>34.740119999999997</v>
      </c>
      <c r="R8" s="7">
        <f>'[3]Jan Prod'!C7</f>
        <v>11584000</v>
      </c>
      <c r="S8" s="8">
        <f t="shared" si="10"/>
        <v>11.584</v>
      </c>
      <c r="T8" s="10">
        <f t="shared" si="11"/>
        <v>35.56288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268000.0000000007</v>
      </c>
      <c r="Y8" s="8">
        <f t="shared" si="14"/>
        <v>0.26800000000000068</v>
      </c>
      <c r="Z8" s="10">
        <f t="shared" si="15"/>
        <v>0.82276000000000205</v>
      </c>
      <c r="AA8" s="22"/>
      <c r="AB8" s="7">
        <f>'[3]Jan Prod'!G7</f>
        <v>0</v>
      </c>
      <c r="AC8" s="8">
        <f t="shared" si="16"/>
        <v>0</v>
      </c>
      <c r="AD8" s="10">
        <f t="shared" si="17"/>
        <v>0</v>
      </c>
      <c r="AF8" s="7">
        <f t="shared" si="18"/>
        <v>11316000</v>
      </c>
      <c r="AG8" s="8">
        <f t="shared" si="18"/>
        <v>11.316000000000001</v>
      </c>
      <c r="AH8" s="8">
        <f t="shared" si="18"/>
        <v>34.740119999999997</v>
      </c>
    </row>
    <row r="9" spans="1:34" x14ac:dyDescent="0.15">
      <c r="A9" s="37">
        <v>38357</v>
      </c>
      <c r="B9" s="7">
        <f>'[3]Jan Prod'!I8</f>
        <v>0</v>
      </c>
      <c r="C9" s="8">
        <f t="shared" si="0"/>
        <v>0</v>
      </c>
      <c r="D9" s="10">
        <f t="shared" si="1"/>
        <v>0</v>
      </c>
      <c r="E9" s="7">
        <f>'[3]Jan Prod'!E8</f>
        <v>0</v>
      </c>
      <c r="F9" s="8">
        <f t="shared" si="2"/>
        <v>0</v>
      </c>
      <c r="G9" s="10">
        <f t="shared" si="3"/>
        <v>0</v>
      </c>
      <c r="H9" s="7">
        <f>'[3]Jan Prod'!F8</f>
        <v>0</v>
      </c>
      <c r="I9" s="8">
        <f t="shared" si="4"/>
        <v>0</v>
      </c>
      <c r="J9" s="10">
        <f t="shared" si="5"/>
        <v>0</v>
      </c>
      <c r="K9" s="7">
        <f>'[3]Jan Prod'!H263</f>
        <v>0</v>
      </c>
      <c r="L9" s="8">
        <f t="shared" si="6"/>
        <v>0</v>
      </c>
      <c r="M9" s="10">
        <f t="shared" si="7"/>
        <v>0</v>
      </c>
      <c r="N9" s="28"/>
      <c r="O9" s="7">
        <f>'[3]Jan Prod'!H8</f>
        <v>11065000</v>
      </c>
      <c r="P9" s="8">
        <f t="shared" si="8"/>
        <v>11.065</v>
      </c>
      <c r="Q9" s="10">
        <f t="shared" si="9"/>
        <v>33.969549999999998</v>
      </c>
      <c r="R9" s="7">
        <f>'[3]Jan Prod'!C8</f>
        <v>11332000</v>
      </c>
      <c r="S9" s="8">
        <f t="shared" si="10"/>
        <v>11.332000000000001</v>
      </c>
      <c r="T9" s="10">
        <f t="shared" si="11"/>
        <v>34.789239999999999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266999.99999999948</v>
      </c>
      <c r="Y9" s="8">
        <f t="shared" si="14"/>
        <v>0.26699999999999946</v>
      </c>
      <c r="Z9" s="10">
        <f t="shared" si="15"/>
        <v>0.81968999999999825</v>
      </c>
      <c r="AA9" s="22"/>
      <c r="AB9" s="7">
        <f>'[3]Jan Prod'!G8</f>
        <v>0</v>
      </c>
      <c r="AC9" s="8">
        <f t="shared" si="16"/>
        <v>0</v>
      </c>
      <c r="AD9" s="10">
        <f t="shared" si="17"/>
        <v>0</v>
      </c>
      <c r="AF9" s="7">
        <f t="shared" si="18"/>
        <v>11065000</v>
      </c>
      <c r="AG9" s="8">
        <f t="shared" si="18"/>
        <v>11.065</v>
      </c>
      <c r="AH9" s="8">
        <f t="shared" si="18"/>
        <v>33.969549999999998</v>
      </c>
    </row>
    <row r="10" spans="1:34" x14ac:dyDescent="0.15">
      <c r="A10" s="37">
        <v>38358</v>
      </c>
      <c r="B10" s="7">
        <f>'[3]Jan Prod'!I9</f>
        <v>0</v>
      </c>
      <c r="C10" s="8">
        <f t="shared" si="0"/>
        <v>0</v>
      </c>
      <c r="D10" s="10">
        <f t="shared" si="1"/>
        <v>0</v>
      </c>
      <c r="E10" s="7">
        <f>'[3]Jan Prod'!E9</f>
        <v>0</v>
      </c>
      <c r="F10" s="8">
        <f t="shared" si="2"/>
        <v>0</v>
      </c>
      <c r="G10" s="10">
        <f t="shared" si="3"/>
        <v>0</v>
      </c>
      <c r="H10" s="7">
        <f>'[3]Jan Prod'!F9</f>
        <v>0</v>
      </c>
      <c r="I10" s="8">
        <f t="shared" si="4"/>
        <v>0</v>
      </c>
      <c r="J10" s="10">
        <f t="shared" si="5"/>
        <v>0</v>
      </c>
      <c r="K10" s="7">
        <f>'[3]Jan Prod'!H264</f>
        <v>0</v>
      </c>
      <c r="L10" s="8">
        <f t="shared" si="6"/>
        <v>0</v>
      </c>
      <c r="M10" s="10">
        <f t="shared" si="7"/>
        <v>0</v>
      </c>
      <c r="N10" s="28"/>
      <c r="O10" s="7">
        <f>'[3]Jan Prod'!H9</f>
        <v>10275000</v>
      </c>
      <c r="P10" s="8">
        <f t="shared" si="8"/>
        <v>10.275</v>
      </c>
      <c r="Q10" s="10">
        <f t="shared" si="9"/>
        <v>31.544249999999998</v>
      </c>
      <c r="R10" s="7">
        <f>'[3]Jan Prod'!C9</f>
        <v>10610000</v>
      </c>
      <c r="S10" s="8">
        <f t="shared" si="10"/>
        <v>10.61</v>
      </c>
      <c r="T10" s="10">
        <f t="shared" si="11"/>
        <v>32.572699999999998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335000.00000000087</v>
      </c>
      <c r="Y10" s="8">
        <f t="shared" si="14"/>
        <v>0.33500000000000085</v>
      </c>
      <c r="Z10" s="10">
        <f t="shared" si="15"/>
        <v>1.0284500000000025</v>
      </c>
      <c r="AA10" s="22"/>
      <c r="AB10" s="7">
        <f>'[3]Jan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10275000</v>
      </c>
      <c r="AG10" s="8">
        <f t="shared" si="18"/>
        <v>10.275</v>
      </c>
      <c r="AH10" s="8">
        <f t="shared" si="18"/>
        <v>31.544249999999998</v>
      </c>
    </row>
    <row r="11" spans="1:34" x14ac:dyDescent="0.15">
      <c r="A11" s="37">
        <v>38359</v>
      </c>
      <c r="B11" s="7">
        <f>'[3]Jan Prod'!I10</f>
        <v>0</v>
      </c>
      <c r="C11" s="8">
        <f t="shared" si="0"/>
        <v>0</v>
      </c>
      <c r="D11" s="10">
        <f t="shared" si="1"/>
        <v>0</v>
      </c>
      <c r="E11" s="7">
        <f>'[3]Jan Prod'!E10</f>
        <v>0</v>
      </c>
      <c r="F11" s="8">
        <f t="shared" si="2"/>
        <v>0</v>
      </c>
      <c r="G11" s="10">
        <f t="shared" si="3"/>
        <v>0</v>
      </c>
      <c r="H11" s="7">
        <f>'[3]Jan Prod'!F10</f>
        <v>0</v>
      </c>
      <c r="I11" s="8">
        <f t="shared" si="4"/>
        <v>0</v>
      </c>
      <c r="J11" s="10">
        <f t="shared" si="5"/>
        <v>0</v>
      </c>
      <c r="K11" s="7">
        <f>'[3]Jan Prod'!H265</f>
        <v>0</v>
      </c>
      <c r="L11" s="8">
        <f t="shared" si="6"/>
        <v>0</v>
      </c>
      <c r="M11" s="10">
        <f t="shared" si="7"/>
        <v>0</v>
      </c>
      <c r="N11" s="28"/>
      <c r="O11" s="7">
        <f>'[3]Jan Prod'!H10</f>
        <v>10254999.999999998</v>
      </c>
      <c r="P11" s="8">
        <f t="shared" si="8"/>
        <v>10.254999999999999</v>
      </c>
      <c r="Q11" s="10">
        <f t="shared" si="9"/>
        <v>31.482849999999996</v>
      </c>
      <c r="R11" s="7">
        <f>'[3]Jan Prod'!C10</f>
        <v>10596000</v>
      </c>
      <c r="S11" s="8">
        <f t="shared" si="10"/>
        <v>10.596</v>
      </c>
      <c r="T11" s="10">
        <f t="shared" si="11"/>
        <v>32.529719999999998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341000.00000000111</v>
      </c>
      <c r="Y11" s="8">
        <f t="shared" si="14"/>
        <v>0.34100000000000108</v>
      </c>
      <c r="Z11" s="10">
        <f t="shared" si="15"/>
        <v>1.0468700000000033</v>
      </c>
      <c r="AA11" s="22"/>
      <c r="AB11" s="7">
        <f>'[3]Jan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10254999.999999998</v>
      </c>
      <c r="AG11" s="8">
        <f t="shared" si="18"/>
        <v>10.254999999999999</v>
      </c>
      <c r="AH11" s="8">
        <f t="shared" si="18"/>
        <v>31.482849999999996</v>
      </c>
    </row>
    <row r="12" spans="1:34" x14ac:dyDescent="0.15">
      <c r="A12" s="37">
        <v>38360</v>
      </c>
      <c r="B12" s="7">
        <f>'[3]Jan Prod'!I11</f>
        <v>0</v>
      </c>
      <c r="C12" s="8">
        <f t="shared" si="0"/>
        <v>0</v>
      </c>
      <c r="D12" s="10">
        <f t="shared" si="1"/>
        <v>0</v>
      </c>
      <c r="E12" s="7">
        <f>'[3]Jan Prod'!E11</f>
        <v>0</v>
      </c>
      <c r="F12" s="8">
        <f t="shared" si="2"/>
        <v>0</v>
      </c>
      <c r="G12" s="10">
        <f t="shared" si="3"/>
        <v>0</v>
      </c>
      <c r="H12" s="7">
        <f>'[3]Jan Prod'!F11</f>
        <v>0</v>
      </c>
      <c r="I12" s="8">
        <f t="shared" si="4"/>
        <v>0</v>
      </c>
      <c r="J12" s="10">
        <f t="shared" si="5"/>
        <v>0</v>
      </c>
      <c r="K12" s="7">
        <f>'[3]Jan Prod'!H266</f>
        <v>0</v>
      </c>
      <c r="L12" s="8">
        <f t="shared" si="6"/>
        <v>0</v>
      </c>
      <c r="M12" s="10">
        <f t="shared" si="7"/>
        <v>0</v>
      </c>
      <c r="N12" s="28"/>
      <c r="O12" s="7">
        <f>'[3]Jan Prod'!H11</f>
        <v>11058000</v>
      </c>
      <c r="P12" s="8">
        <f t="shared" si="8"/>
        <v>11.058</v>
      </c>
      <c r="Q12" s="10">
        <f t="shared" si="9"/>
        <v>33.948059999999998</v>
      </c>
      <c r="R12" s="7">
        <f>'[3]Jan Prod'!C11</f>
        <v>11322000</v>
      </c>
      <c r="S12" s="8">
        <f t="shared" si="10"/>
        <v>11.321999999999999</v>
      </c>
      <c r="T12" s="10">
        <f t="shared" si="11"/>
        <v>34.758539999999996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263999.99999999936</v>
      </c>
      <c r="Y12" s="8">
        <f t="shared" si="14"/>
        <v>0.26399999999999935</v>
      </c>
      <c r="Z12" s="10">
        <f t="shared" si="15"/>
        <v>0.81047999999999798</v>
      </c>
      <c r="AA12" s="22"/>
      <c r="AB12" s="7">
        <f>'[3]Jan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11058000</v>
      </c>
      <c r="AG12" s="8">
        <f t="shared" si="18"/>
        <v>11.058</v>
      </c>
      <c r="AH12" s="8">
        <f t="shared" si="18"/>
        <v>33.948059999999998</v>
      </c>
    </row>
    <row r="13" spans="1:34" x14ac:dyDescent="0.15">
      <c r="A13" s="37">
        <v>38361</v>
      </c>
      <c r="B13" s="7">
        <f>'[3]Jan Prod'!I12</f>
        <v>0</v>
      </c>
      <c r="C13" s="8">
        <f t="shared" si="0"/>
        <v>0</v>
      </c>
      <c r="D13" s="10">
        <f t="shared" si="1"/>
        <v>0</v>
      </c>
      <c r="E13" s="7">
        <f>'[3]Jan Prod'!E12</f>
        <v>0</v>
      </c>
      <c r="F13" s="8">
        <f t="shared" si="2"/>
        <v>0</v>
      </c>
      <c r="G13" s="10">
        <f t="shared" si="3"/>
        <v>0</v>
      </c>
      <c r="H13" s="7">
        <f>'[3]Jan Prod'!F12</f>
        <v>0</v>
      </c>
      <c r="I13" s="8">
        <f t="shared" si="4"/>
        <v>0</v>
      </c>
      <c r="J13" s="10">
        <f t="shared" si="5"/>
        <v>0</v>
      </c>
      <c r="K13" s="7">
        <f>'[3]Jan Prod'!H267</f>
        <v>0</v>
      </c>
      <c r="L13" s="8">
        <f t="shared" si="6"/>
        <v>0</v>
      </c>
      <c r="M13" s="10">
        <f t="shared" si="7"/>
        <v>0</v>
      </c>
      <c r="N13" s="28"/>
      <c r="O13" s="7">
        <f>'[3]Jan Prod'!H12</f>
        <v>11463000.000000002</v>
      </c>
      <c r="P13" s="8">
        <f t="shared" si="8"/>
        <v>11.463000000000003</v>
      </c>
      <c r="Q13" s="10">
        <f t="shared" si="9"/>
        <v>35.191410000000005</v>
      </c>
      <c r="R13" s="7">
        <f>'[3]Jan Prod'!C12</f>
        <v>11804000</v>
      </c>
      <c r="S13" s="8">
        <f t="shared" si="10"/>
        <v>11.804</v>
      </c>
      <c r="T13" s="10">
        <f t="shared" si="11"/>
        <v>36.238279999999996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340999.99999999756</v>
      </c>
      <c r="Y13" s="8">
        <f t="shared" si="14"/>
        <v>0.34099999999999758</v>
      </c>
      <c r="Z13" s="10">
        <f t="shared" si="15"/>
        <v>1.0468699999999924</v>
      </c>
      <c r="AA13" s="22"/>
      <c r="AB13" s="7">
        <f>'[3]Jan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11463000.000000002</v>
      </c>
      <c r="AG13" s="8">
        <f t="shared" si="18"/>
        <v>11.463000000000003</v>
      </c>
      <c r="AH13" s="8">
        <f t="shared" si="18"/>
        <v>35.191410000000005</v>
      </c>
    </row>
    <row r="14" spans="1:34" x14ac:dyDescent="0.15">
      <c r="A14" s="37">
        <v>38362</v>
      </c>
      <c r="B14" s="7">
        <f>'[3]Jan Prod'!I13</f>
        <v>0</v>
      </c>
      <c r="C14" s="8">
        <f t="shared" si="0"/>
        <v>0</v>
      </c>
      <c r="D14" s="10">
        <f t="shared" si="1"/>
        <v>0</v>
      </c>
      <c r="E14" s="7">
        <f>'[3]Jan Prod'!E13</f>
        <v>0</v>
      </c>
      <c r="F14" s="8">
        <f t="shared" si="2"/>
        <v>0</v>
      </c>
      <c r="G14" s="10">
        <f t="shared" si="3"/>
        <v>0</v>
      </c>
      <c r="H14" s="7">
        <f>'[3]Jan Prod'!F13</f>
        <v>0</v>
      </c>
      <c r="I14" s="8">
        <f t="shared" si="4"/>
        <v>0</v>
      </c>
      <c r="J14" s="10">
        <f t="shared" si="5"/>
        <v>0</v>
      </c>
      <c r="K14" s="7">
        <f>'[3]Jan Prod'!H268</f>
        <v>0</v>
      </c>
      <c r="L14" s="8">
        <f t="shared" si="6"/>
        <v>0</v>
      </c>
      <c r="M14" s="10">
        <f t="shared" si="7"/>
        <v>0</v>
      </c>
      <c r="N14" s="28"/>
      <c r="O14" s="7">
        <f>'[3]Jan Prod'!H13</f>
        <v>11652999.999999998</v>
      </c>
      <c r="P14" s="8">
        <f t="shared" si="8"/>
        <v>11.652999999999999</v>
      </c>
      <c r="Q14" s="10">
        <f t="shared" si="9"/>
        <v>35.774709999999992</v>
      </c>
      <c r="R14" s="7">
        <f>'[3]Jan Prod'!C13</f>
        <v>11983000</v>
      </c>
      <c r="S14" s="8">
        <f t="shared" si="10"/>
        <v>11.983000000000001</v>
      </c>
      <c r="T14" s="10">
        <f t="shared" si="11"/>
        <v>36.78781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330000.00000000186</v>
      </c>
      <c r="Y14" s="8">
        <f t="shared" si="14"/>
        <v>0.33000000000000185</v>
      </c>
      <c r="Z14" s="10">
        <f t="shared" si="15"/>
        <v>1.0131000000000057</v>
      </c>
      <c r="AA14" s="22"/>
      <c r="AB14" s="7">
        <f>'[3]Jan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11652999.999999998</v>
      </c>
      <c r="AG14" s="8">
        <f t="shared" si="18"/>
        <v>11.652999999999999</v>
      </c>
      <c r="AH14" s="8">
        <f t="shared" si="18"/>
        <v>35.774709999999992</v>
      </c>
    </row>
    <row r="15" spans="1:34" x14ac:dyDescent="0.15">
      <c r="A15" s="37">
        <v>38363</v>
      </c>
      <c r="B15" s="7">
        <f>'[3]Jan Prod'!I14</f>
        <v>0</v>
      </c>
      <c r="C15" s="8">
        <f t="shared" si="0"/>
        <v>0</v>
      </c>
      <c r="D15" s="10">
        <f t="shared" si="1"/>
        <v>0</v>
      </c>
      <c r="E15" s="7">
        <f>'[3]Jan Prod'!E14</f>
        <v>0</v>
      </c>
      <c r="F15" s="8">
        <f t="shared" si="2"/>
        <v>0</v>
      </c>
      <c r="G15" s="10">
        <f t="shared" si="3"/>
        <v>0</v>
      </c>
      <c r="H15" s="7">
        <f>'[3]Jan Prod'!F14</f>
        <v>39000000</v>
      </c>
      <c r="I15" s="8">
        <f t="shared" si="4"/>
        <v>39</v>
      </c>
      <c r="J15" s="10">
        <f t="shared" si="5"/>
        <v>119.72999999999999</v>
      </c>
      <c r="K15" s="7">
        <f>'[3]Jan Prod'!H269</f>
        <v>0</v>
      </c>
      <c r="L15" s="8">
        <f t="shared" si="6"/>
        <v>0</v>
      </c>
      <c r="M15" s="10">
        <f t="shared" si="7"/>
        <v>0</v>
      </c>
      <c r="N15" s="28"/>
      <c r="O15" s="7">
        <f>'[3]Jan Prod'!H14</f>
        <v>11641000.000000002</v>
      </c>
      <c r="P15" s="8">
        <f t="shared" si="8"/>
        <v>11.641000000000002</v>
      </c>
      <c r="Q15" s="10">
        <f t="shared" si="9"/>
        <v>35.737870000000001</v>
      </c>
      <c r="R15" s="7">
        <f>'[3]Jan Prod'!C14</f>
        <v>11977000</v>
      </c>
      <c r="S15" s="8">
        <f t="shared" si="10"/>
        <v>11.977</v>
      </c>
      <c r="T15" s="10">
        <f t="shared" si="11"/>
        <v>36.769390000000001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335999.99999999854</v>
      </c>
      <c r="Y15" s="8">
        <f t="shared" si="14"/>
        <v>0.33599999999999852</v>
      </c>
      <c r="Z15" s="10">
        <f t="shared" si="15"/>
        <v>1.0315199999999953</v>
      </c>
      <c r="AA15" s="22"/>
      <c r="AB15" s="7">
        <f>'[3]Jan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11641000.000000002</v>
      </c>
      <c r="AG15" s="8">
        <f t="shared" si="18"/>
        <v>11.641000000000002</v>
      </c>
      <c r="AH15" s="8">
        <f t="shared" si="18"/>
        <v>35.737870000000001</v>
      </c>
    </row>
    <row r="16" spans="1:34" x14ac:dyDescent="0.15">
      <c r="A16" s="37">
        <v>38364</v>
      </c>
      <c r="B16" s="7">
        <f>'[3]Jan Prod'!I15</f>
        <v>0</v>
      </c>
      <c r="C16" s="8">
        <f t="shared" si="0"/>
        <v>0</v>
      </c>
      <c r="D16" s="10">
        <f t="shared" si="1"/>
        <v>0</v>
      </c>
      <c r="E16" s="7">
        <f>'[3]Jan Prod'!E15</f>
        <v>0</v>
      </c>
      <c r="F16" s="8">
        <f t="shared" si="2"/>
        <v>0</v>
      </c>
      <c r="G16" s="10">
        <f t="shared" si="3"/>
        <v>0</v>
      </c>
      <c r="H16" s="7">
        <f>'[3]Jan Prod'!F15</f>
        <v>0</v>
      </c>
      <c r="I16" s="8">
        <f t="shared" si="4"/>
        <v>0</v>
      </c>
      <c r="J16" s="10">
        <f t="shared" si="5"/>
        <v>0</v>
      </c>
      <c r="K16" s="7">
        <f>'[3]Jan Prod'!H270</f>
        <v>0</v>
      </c>
      <c r="L16" s="8">
        <f t="shared" si="6"/>
        <v>0</v>
      </c>
      <c r="M16" s="10">
        <f t="shared" si="7"/>
        <v>0</v>
      </c>
      <c r="N16" s="28"/>
      <c r="O16" s="7">
        <f>'[3]Jan Prod'!H15</f>
        <v>10669999.999999998</v>
      </c>
      <c r="P16" s="8">
        <f t="shared" si="8"/>
        <v>10.669999999999998</v>
      </c>
      <c r="Q16" s="10">
        <f t="shared" si="9"/>
        <v>32.756899999999995</v>
      </c>
      <c r="R16" s="7">
        <f>'[3]Jan Prod'!C15</f>
        <v>11047000</v>
      </c>
      <c r="S16" s="8">
        <f t="shared" si="10"/>
        <v>11.047000000000001</v>
      </c>
      <c r="T16" s="10">
        <f t="shared" si="11"/>
        <v>33.914290000000001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377000.00000000244</v>
      </c>
      <c r="Y16" s="8">
        <f t="shared" si="14"/>
        <v>0.37700000000000244</v>
      </c>
      <c r="Z16" s="10">
        <f t="shared" si="15"/>
        <v>1.1573900000000075</v>
      </c>
      <c r="AA16" s="22"/>
      <c r="AB16" s="7">
        <f>'[3]Jan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10669999.999999998</v>
      </c>
      <c r="AG16" s="8">
        <f t="shared" si="18"/>
        <v>10.669999999999998</v>
      </c>
      <c r="AH16" s="8">
        <f t="shared" si="18"/>
        <v>32.756899999999995</v>
      </c>
    </row>
    <row r="17" spans="1:34" x14ac:dyDescent="0.15">
      <c r="A17" s="37">
        <v>38365</v>
      </c>
      <c r="B17" s="7">
        <f>'[3]Jan Prod'!I16</f>
        <v>100000.0000003638</v>
      </c>
      <c r="C17" s="8">
        <f t="shared" si="0"/>
        <v>0.1000000000003638</v>
      </c>
      <c r="D17" s="10">
        <f t="shared" si="1"/>
        <v>0.30700000000111682</v>
      </c>
      <c r="E17" s="7">
        <f>'[3]Jan Prod'!E16</f>
        <v>0</v>
      </c>
      <c r="F17" s="8">
        <f t="shared" si="2"/>
        <v>0</v>
      </c>
      <c r="G17" s="10">
        <f t="shared" si="3"/>
        <v>0</v>
      </c>
      <c r="H17" s="7">
        <f>'[3]Jan Prod'!F16</f>
        <v>0</v>
      </c>
      <c r="I17" s="8">
        <f t="shared" si="4"/>
        <v>0</v>
      </c>
      <c r="J17" s="10">
        <f t="shared" si="5"/>
        <v>0</v>
      </c>
      <c r="K17" s="7">
        <f>'[3]Jan Prod'!H271</f>
        <v>0</v>
      </c>
      <c r="L17" s="8">
        <f t="shared" si="6"/>
        <v>0</v>
      </c>
      <c r="M17" s="10">
        <f t="shared" si="7"/>
        <v>0</v>
      </c>
      <c r="N17" s="28"/>
      <c r="O17" s="7">
        <f>'[3]Jan Prod'!H16</f>
        <v>11628000</v>
      </c>
      <c r="P17" s="8">
        <f t="shared" si="8"/>
        <v>11.628</v>
      </c>
      <c r="Q17" s="10">
        <f t="shared" si="9"/>
        <v>35.697960000000002</v>
      </c>
      <c r="R17" s="7">
        <f>'[3]Jan Prod'!C16</f>
        <v>11953000</v>
      </c>
      <c r="S17" s="8">
        <f t="shared" si="10"/>
        <v>11.952999999999999</v>
      </c>
      <c r="T17" s="10">
        <f t="shared" si="11"/>
        <v>36.695709999999998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324999.9999999993</v>
      </c>
      <c r="Y17" s="8">
        <f t="shared" si="14"/>
        <v>0.32499999999999929</v>
      </c>
      <c r="Z17" s="10">
        <f t="shared" si="15"/>
        <v>0.99774999999999781</v>
      </c>
      <c r="AA17" s="22"/>
      <c r="AB17" s="7">
        <f>'[3]Jan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11728000.000000363</v>
      </c>
      <c r="AG17" s="8">
        <f t="shared" si="18"/>
        <v>11.728000000000364</v>
      </c>
      <c r="AH17" s="8">
        <f t="shared" si="18"/>
        <v>36.00496000000112</v>
      </c>
    </row>
    <row r="18" spans="1:34" x14ac:dyDescent="0.15">
      <c r="A18" s="37">
        <v>38366</v>
      </c>
      <c r="B18" s="7">
        <f>'[3]Jan Prod'!I17</f>
        <v>0</v>
      </c>
      <c r="C18" s="8">
        <f t="shared" si="0"/>
        <v>0</v>
      </c>
      <c r="D18" s="10">
        <f t="shared" si="1"/>
        <v>0</v>
      </c>
      <c r="E18" s="7">
        <f>'[3]Jan Prod'!E17</f>
        <v>0</v>
      </c>
      <c r="F18" s="8">
        <f t="shared" si="2"/>
        <v>0</v>
      </c>
      <c r="G18" s="10">
        <f t="shared" si="3"/>
        <v>0</v>
      </c>
      <c r="H18" s="7">
        <f>'[3]Jan Prod'!F17</f>
        <v>0</v>
      </c>
      <c r="I18" s="8">
        <f t="shared" si="4"/>
        <v>0</v>
      </c>
      <c r="J18" s="10">
        <f t="shared" si="5"/>
        <v>0</v>
      </c>
      <c r="K18" s="7">
        <f>'[3]Jan Prod'!H272</f>
        <v>0</v>
      </c>
      <c r="L18" s="8">
        <f t="shared" si="6"/>
        <v>0</v>
      </c>
      <c r="M18" s="10">
        <f t="shared" si="7"/>
        <v>0</v>
      </c>
      <c r="N18" s="28"/>
      <c r="O18" s="7">
        <f>'[3]Jan Prod'!H17</f>
        <v>10609000.000000002</v>
      </c>
      <c r="P18" s="8">
        <f t="shared" si="8"/>
        <v>10.609000000000002</v>
      </c>
      <c r="Q18" s="10">
        <f t="shared" si="9"/>
        <v>32.569630000000004</v>
      </c>
      <c r="R18" s="7">
        <f>'[3]Jan Prod'!C17</f>
        <v>11020000</v>
      </c>
      <c r="S18" s="8">
        <f t="shared" si="10"/>
        <v>11.02</v>
      </c>
      <c r="T18" s="10">
        <f t="shared" si="11"/>
        <v>33.831399999999995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410999.99999999779</v>
      </c>
      <c r="Y18" s="8">
        <f t="shared" si="14"/>
        <v>0.41099999999999781</v>
      </c>
      <c r="Z18" s="10">
        <f t="shared" si="15"/>
        <v>1.2617699999999932</v>
      </c>
      <c r="AA18" s="22"/>
      <c r="AB18" s="7">
        <f>'[3]Jan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10609000.000000002</v>
      </c>
      <c r="AG18" s="8">
        <f t="shared" si="18"/>
        <v>10.609000000000002</v>
      </c>
      <c r="AH18" s="8">
        <f t="shared" si="18"/>
        <v>32.569630000000004</v>
      </c>
    </row>
    <row r="19" spans="1:34" x14ac:dyDescent="0.15">
      <c r="A19" s="37">
        <v>38367</v>
      </c>
      <c r="B19" s="7">
        <f>'[3]Jan Prod'!I18</f>
        <v>0</v>
      </c>
      <c r="C19" s="8">
        <f t="shared" si="0"/>
        <v>0</v>
      </c>
      <c r="D19" s="10">
        <f t="shared" si="1"/>
        <v>0</v>
      </c>
      <c r="E19" s="7">
        <f>'[3]Jan Prod'!E18</f>
        <v>0</v>
      </c>
      <c r="F19" s="8">
        <f t="shared" si="2"/>
        <v>0</v>
      </c>
      <c r="G19" s="10">
        <f t="shared" si="3"/>
        <v>0</v>
      </c>
      <c r="H19" s="7">
        <f>'[3]Jan Prod'!F18</f>
        <v>0</v>
      </c>
      <c r="I19" s="8">
        <f t="shared" si="4"/>
        <v>0</v>
      </c>
      <c r="J19" s="10">
        <f t="shared" si="5"/>
        <v>0</v>
      </c>
      <c r="K19" s="7">
        <f>'[3]Jan Prod'!H273</f>
        <v>0</v>
      </c>
      <c r="L19" s="8">
        <f t="shared" si="6"/>
        <v>0</v>
      </c>
      <c r="M19" s="10">
        <f t="shared" si="7"/>
        <v>0</v>
      </c>
      <c r="N19" s="28"/>
      <c r="O19" s="7">
        <f>'[3]Jan Prod'!H18</f>
        <v>10072000</v>
      </c>
      <c r="P19" s="8">
        <f t="shared" si="8"/>
        <v>10.071999999999999</v>
      </c>
      <c r="Q19" s="10">
        <f t="shared" si="9"/>
        <v>30.921039999999994</v>
      </c>
      <c r="R19" s="7">
        <f>'[3]Jan Prod'!C18</f>
        <v>10398000</v>
      </c>
      <c r="S19" s="8">
        <f t="shared" si="10"/>
        <v>10.398</v>
      </c>
      <c r="T19" s="10">
        <f t="shared" si="11"/>
        <v>31.921859999999999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326000.00000000052</v>
      </c>
      <c r="Y19" s="8">
        <f t="shared" si="14"/>
        <v>0.32600000000000051</v>
      </c>
      <c r="Z19" s="10">
        <f t="shared" si="15"/>
        <v>1.0008200000000016</v>
      </c>
      <c r="AA19" s="22"/>
      <c r="AB19" s="7">
        <f>'[3]Jan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10072000</v>
      </c>
      <c r="AG19" s="8">
        <f t="shared" si="18"/>
        <v>10.071999999999999</v>
      </c>
      <c r="AH19" s="8">
        <f t="shared" si="18"/>
        <v>30.921039999999994</v>
      </c>
    </row>
    <row r="20" spans="1:34" x14ac:dyDescent="0.15">
      <c r="A20" s="37">
        <v>38368</v>
      </c>
      <c r="B20" s="7">
        <f>'[3]Jan Prod'!I19</f>
        <v>0</v>
      </c>
      <c r="C20" s="8">
        <f t="shared" si="0"/>
        <v>0</v>
      </c>
      <c r="D20" s="10">
        <f t="shared" si="1"/>
        <v>0</v>
      </c>
      <c r="E20" s="7">
        <f>'[3]Jan Prod'!E19</f>
        <v>0</v>
      </c>
      <c r="F20" s="8">
        <f t="shared" si="2"/>
        <v>0</v>
      </c>
      <c r="G20" s="10">
        <f t="shared" si="3"/>
        <v>0</v>
      </c>
      <c r="H20" s="7">
        <f>'[3]Jan Prod'!F19</f>
        <v>0</v>
      </c>
      <c r="I20" s="8">
        <f t="shared" si="4"/>
        <v>0</v>
      </c>
      <c r="J20" s="10">
        <f t="shared" si="5"/>
        <v>0</v>
      </c>
      <c r="K20" s="7">
        <f>'[3]Jan Prod'!H274</f>
        <v>0</v>
      </c>
      <c r="L20" s="8">
        <f t="shared" si="6"/>
        <v>0</v>
      </c>
      <c r="M20" s="10">
        <f t="shared" si="7"/>
        <v>0</v>
      </c>
      <c r="N20" s="28"/>
      <c r="O20" s="7">
        <f>'[3]Jan Prod'!H19</f>
        <v>10712000</v>
      </c>
      <c r="P20" s="8">
        <f t="shared" si="8"/>
        <v>10.712</v>
      </c>
      <c r="Q20" s="10">
        <f t="shared" si="9"/>
        <v>32.885839999999995</v>
      </c>
      <c r="R20" s="7">
        <f>'[3]Jan Prod'!C19</f>
        <v>11119000</v>
      </c>
      <c r="S20" s="8">
        <f t="shared" si="10"/>
        <v>11.119</v>
      </c>
      <c r="T20" s="10">
        <f t="shared" si="11"/>
        <v>34.135329999999996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407000</v>
      </c>
      <c r="Y20" s="8">
        <f t="shared" si="14"/>
        <v>0.40699999999999997</v>
      </c>
      <c r="Z20" s="10">
        <f t="shared" si="15"/>
        <v>1.2494899999999998</v>
      </c>
      <c r="AA20" s="22"/>
      <c r="AB20" s="7">
        <f>'[3]Jan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10712000</v>
      </c>
      <c r="AG20" s="8">
        <f t="shared" si="18"/>
        <v>10.712</v>
      </c>
      <c r="AH20" s="8">
        <f t="shared" si="18"/>
        <v>32.885839999999995</v>
      </c>
    </row>
    <row r="21" spans="1:34" x14ac:dyDescent="0.15">
      <c r="A21" s="37">
        <v>38369</v>
      </c>
      <c r="B21" s="7">
        <f>'[3]Jan Prod'!I20</f>
        <v>0</v>
      </c>
      <c r="C21" s="8">
        <f t="shared" si="0"/>
        <v>0</v>
      </c>
      <c r="D21" s="10">
        <f t="shared" si="1"/>
        <v>0</v>
      </c>
      <c r="E21" s="7">
        <f>'[3]Jan Prod'!E20</f>
        <v>0</v>
      </c>
      <c r="F21" s="8">
        <f t="shared" si="2"/>
        <v>0</v>
      </c>
      <c r="G21" s="10">
        <f t="shared" si="3"/>
        <v>0</v>
      </c>
      <c r="H21" s="7">
        <f>'[3]Jan Prod'!F20</f>
        <v>0</v>
      </c>
      <c r="I21" s="8">
        <f t="shared" si="4"/>
        <v>0</v>
      </c>
      <c r="J21" s="10">
        <f t="shared" si="5"/>
        <v>0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8"/>
      <c r="O21" s="7">
        <f>'[3]Jan Prod'!H20</f>
        <v>12007999.999999996</v>
      </c>
      <c r="P21" s="8">
        <f t="shared" si="8"/>
        <v>12.007999999999996</v>
      </c>
      <c r="Q21" s="10">
        <f t="shared" si="9"/>
        <v>36.864559999999983</v>
      </c>
      <c r="R21" s="7">
        <f>'[3]Jan Prod'!C20</f>
        <v>12333000</v>
      </c>
      <c r="S21" s="8">
        <f t="shared" si="10"/>
        <v>12.333</v>
      </c>
      <c r="T21" s="10">
        <f t="shared" si="11"/>
        <v>37.862310000000001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325000.00000000285</v>
      </c>
      <c r="Y21" s="8">
        <f t="shared" si="14"/>
        <v>0.32500000000000284</v>
      </c>
      <c r="Z21" s="10">
        <f t="shared" si="15"/>
        <v>0.99775000000000869</v>
      </c>
      <c r="AA21" s="22"/>
      <c r="AB21" s="7">
        <f>'[3]Jan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12007999.999999996</v>
      </c>
      <c r="AG21" s="8">
        <f t="shared" si="18"/>
        <v>12.007999999999996</v>
      </c>
      <c r="AH21" s="8">
        <f t="shared" si="18"/>
        <v>36.864559999999983</v>
      </c>
    </row>
    <row r="22" spans="1:34" x14ac:dyDescent="0.15">
      <c r="A22" s="37">
        <v>38370</v>
      </c>
      <c r="B22" s="7">
        <f>'[3]Jan Prod'!I21</f>
        <v>0</v>
      </c>
      <c r="C22" s="8">
        <f t="shared" si="0"/>
        <v>0</v>
      </c>
      <c r="D22" s="10">
        <f t="shared" si="1"/>
        <v>0</v>
      </c>
      <c r="E22" s="7">
        <f>'[3]Jan Prod'!E21</f>
        <v>0</v>
      </c>
      <c r="F22" s="8">
        <f t="shared" si="2"/>
        <v>0</v>
      </c>
      <c r="G22" s="10">
        <f t="shared" si="3"/>
        <v>0</v>
      </c>
      <c r="H22" s="7">
        <f>'[3]Jan Prod'!F21</f>
        <v>0</v>
      </c>
      <c r="I22" s="8">
        <f t="shared" si="4"/>
        <v>0</v>
      </c>
      <c r="J22" s="10">
        <f t="shared" si="5"/>
        <v>0</v>
      </c>
      <c r="K22" s="7">
        <f>'[3]Jan Prod'!H276</f>
        <v>0</v>
      </c>
      <c r="L22" s="8">
        <f t="shared" si="6"/>
        <v>0</v>
      </c>
      <c r="M22" s="10">
        <f t="shared" si="7"/>
        <v>0</v>
      </c>
      <c r="N22" s="28"/>
      <c r="O22" s="7">
        <f>'[3]Jan Prod'!H21</f>
        <v>11540000.000000002</v>
      </c>
      <c r="P22" s="8">
        <f t="shared" si="8"/>
        <v>11.540000000000003</v>
      </c>
      <c r="Q22" s="10">
        <f t="shared" si="9"/>
        <v>35.427800000000005</v>
      </c>
      <c r="R22" s="7">
        <f>'[3]Jan Prod'!C21</f>
        <v>11951000</v>
      </c>
      <c r="S22" s="8">
        <f t="shared" si="10"/>
        <v>11.951000000000001</v>
      </c>
      <c r="T22" s="10">
        <f t="shared" si="11"/>
        <v>36.689569999999996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410999.99999999779</v>
      </c>
      <c r="Y22" s="8">
        <f t="shared" si="14"/>
        <v>0.41099999999999781</v>
      </c>
      <c r="Z22" s="10">
        <f t="shared" si="15"/>
        <v>1.2617699999999932</v>
      </c>
      <c r="AA22" s="22"/>
      <c r="AB22" s="7">
        <f>'[3]Jan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11540000.000000002</v>
      </c>
      <c r="AG22" s="8">
        <f t="shared" si="18"/>
        <v>11.540000000000003</v>
      </c>
      <c r="AH22" s="8">
        <f t="shared" si="18"/>
        <v>35.427800000000005</v>
      </c>
    </row>
    <row r="23" spans="1:34" x14ac:dyDescent="0.15">
      <c r="A23" s="37">
        <v>38371</v>
      </c>
      <c r="B23" s="7">
        <f>'[3]Jan Prod'!I22</f>
        <v>0</v>
      </c>
      <c r="C23" s="8">
        <f t="shared" si="0"/>
        <v>0</v>
      </c>
      <c r="D23" s="10">
        <f t="shared" si="1"/>
        <v>0</v>
      </c>
      <c r="E23" s="7">
        <f>'[3]Jan Prod'!E22</f>
        <v>0</v>
      </c>
      <c r="F23" s="8">
        <f t="shared" si="2"/>
        <v>0</v>
      </c>
      <c r="G23" s="10">
        <f t="shared" si="3"/>
        <v>0</v>
      </c>
      <c r="H23" s="7">
        <f>'[3]Jan Prod'!F22</f>
        <v>0</v>
      </c>
      <c r="I23" s="8">
        <f t="shared" si="4"/>
        <v>0</v>
      </c>
      <c r="J23" s="10">
        <f t="shared" si="5"/>
        <v>0</v>
      </c>
      <c r="K23" s="7">
        <f>'[3]Jan Prod'!H277</f>
        <v>0</v>
      </c>
      <c r="L23" s="8">
        <f t="shared" si="6"/>
        <v>0</v>
      </c>
      <c r="M23" s="10">
        <f t="shared" si="7"/>
        <v>0</v>
      </c>
      <c r="N23" s="28"/>
      <c r="O23" s="7">
        <f>'[3]Jan Prod'!H22</f>
        <v>10998999.999999998</v>
      </c>
      <c r="P23" s="8">
        <f t="shared" si="8"/>
        <v>10.998999999999999</v>
      </c>
      <c r="Q23" s="10">
        <f t="shared" si="9"/>
        <v>33.766929999999995</v>
      </c>
      <c r="R23" s="7">
        <f>'[3]Jan Prod'!C22</f>
        <v>11402000</v>
      </c>
      <c r="S23" s="8">
        <f t="shared" si="10"/>
        <v>11.401999999999999</v>
      </c>
      <c r="T23" s="10">
        <f t="shared" si="11"/>
        <v>35.004139999999992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403000.00000000227</v>
      </c>
      <c r="Y23" s="8">
        <f t="shared" si="14"/>
        <v>0.40300000000000225</v>
      </c>
      <c r="Z23" s="10">
        <f t="shared" si="15"/>
        <v>1.2372100000000068</v>
      </c>
      <c r="AA23" s="22"/>
      <c r="AB23" s="7">
        <f>'[3]Jan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10998999.999999998</v>
      </c>
      <c r="AG23" s="8">
        <f t="shared" si="18"/>
        <v>10.998999999999999</v>
      </c>
      <c r="AH23" s="8">
        <f t="shared" si="18"/>
        <v>33.766929999999995</v>
      </c>
    </row>
    <row r="24" spans="1:34" x14ac:dyDescent="0.15">
      <c r="A24" s="37">
        <v>38372</v>
      </c>
      <c r="B24" s="7">
        <f>'[3]Jan Prod'!I23</f>
        <v>0</v>
      </c>
      <c r="C24" s="8">
        <f t="shared" si="0"/>
        <v>0</v>
      </c>
      <c r="D24" s="10">
        <f t="shared" si="1"/>
        <v>0</v>
      </c>
      <c r="E24" s="7">
        <f>'[3]Jan Prod'!E23</f>
        <v>0</v>
      </c>
      <c r="F24" s="8">
        <f t="shared" si="2"/>
        <v>0</v>
      </c>
      <c r="G24" s="10">
        <f t="shared" si="3"/>
        <v>0</v>
      </c>
      <c r="H24" s="7">
        <f>'[3]Jan Prod'!F23</f>
        <v>0</v>
      </c>
      <c r="I24" s="8">
        <f t="shared" si="4"/>
        <v>0</v>
      </c>
      <c r="J24" s="10">
        <f t="shared" si="5"/>
        <v>0</v>
      </c>
      <c r="K24" s="7">
        <f>'[3]Jan Prod'!H278</f>
        <v>0</v>
      </c>
      <c r="L24" s="8">
        <f t="shared" si="6"/>
        <v>0</v>
      </c>
      <c r="M24" s="10">
        <f t="shared" si="7"/>
        <v>0</v>
      </c>
      <c r="N24" s="28"/>
      <c r="O24" s="7">
        <f>'[3]Jan Prod'!H23</f>
        <v>10737000.000000002</v>
      </c>
      <c r="P24" s="8">
        <f t="shared" si="8"/>
        <v>10.737000000000002</v>
      </c>
      <c r="Q24" s="10">
        <f t="shared" si="9"/>
        <v>32.962590000000006</v>
      </c>
      <c r="R24" s="7">
        <f>'[3]Jan Prod'!C23</f>
        <v>11201000</v>
      </c>
      <c r="S24" s="8">
        <f t="shared" si="10"/>
        <v>11.201000000000001</v>
      </c>
      <c r="T24" s="10">
        <f t="shared" si="11"/>
        <v>34.387070000000001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463999.99999999866</v>
      </c>
      <c r="Y24" s="8">
        <f t="shared" si="14"/>
        <v>0.46399999999999864</v>
      </c>
      <c r="Z24" s="10">
        <f t="shared" si="15"/>
        <v>1.4244799999999957</v>
      </c>
      <c r="AA24" s="22"/>
      <c r="AB24" s="7">
        <f>'[3]Jan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10737000.000000002</v>
      </c>
      <c r="AG24" s="8">
        <f t="shared" si="18"/>
        <v>10.737000000000002</v>
      </c>
      <c r="AH24" s="8">
        <f t="shared" si="18"/>
        <v>32.962590000000006</v>
      </c>
    </row>
    <row r="25" spans="1:34" x14ac:dyDescent="0.15">
      <c r="A25" s="37">
        <v>38373</v>
      </c>
      <c r="B25" s="7">
        <f>'[3]Jan Prod'!I24</f>
        <v>0</v>
      </c>
      <c r="C25" s="8">
        <f t="shared" si="0"/>
        <v>0</v>
      </c>
      <c r="D25" s="10">
        <f t="shared" si="1"/>
        <v>0</v>
      </c>
      <c r="E25" s="7">
        <f>'[3]Jan Prod'!E24</f>
        <v>0</v>
      </c>
      <c r="F25" s="8">
        <f t="shared" si="2"/>
        <v>0</v>
      </c>
      <c r="G25" s="10">
        <f t="shared" si="3"/>
        <v>0</v>
      </c>
      <c r="H25" s="7">
        <f>'[3]Jan Prod'!F24</f>
        <v>0</v>
      </c>
      <c r="I25" s="8">
        <f t="shared" si="4"/>
        <v>0</v>
      </c>
      <c r="J25" s="10">
        <f t="shared" si="5"/>
        <v>0</v>
      </c>
      <c r="K25" s="7">
        <f>'[3]Jan Prod'!H279</f>
        <v>0</v>
      </c>
      <c r="L25" s="8">
        <f t="shared" si="6"/>
        <v>0</v>
      </c>
      <c r="M25" s="10">
        <f t="shared" si="7"/>
        <v>0</v>
      </c>
      <c r="N25" s="28"/>
      <c r="O25" s="7">
        <f>'[3]Jan Prod'!H24</f>
        <v>10650000.000000002</v>
      </c>
      <c r="P25" s="8">
        <f t="shared" si="8"/>
        <v>10.650000000000002</v>
      </c>
      <c r="Q25" s="10">
        <f t="shared" si="9"/>
        <v>32.695500000000003</v>
      </c>
      <c r="R25" s="7">
        <f>'[3]Jan Prod'!C24</f>
        <v>11027000</v>
      </c>
      <c r="S25" s="8">
        <f t="shared" si="10"/>
        <v>11.026999999999999</v>
      </c>
      <c r="T25" s="10">
        <f t="shared" si="11"/>
        <v>33.852889999999995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376999.99999999889</v>
      </c>
      <c r="Y25" s="8">
        <f t="shared" si="14"/>
        <v>0.37699999999999889</v>
      </c>
      <c r="Z25" s="10">
        <f t="shared" si="15"/>
        <v>1.1573899999999966</v>
      </c>
      <c r="AA25" s="22"/>
      <c r="AB25" s="7">
        <f>'[3]Jan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10650000.000000002</v>
      </c>
      <c r="AG25" s="8">
        <f t="shared" si="18"/>
        <v>10.650000000000002</v>
      </c>
      <c r="AH25" s="8">
        <f t="shared" si="18"/>
        <v>32.695500000000003</v>
      </c>
    </row>
    <row r="26" spans="1:34" x14ac:dyDescent="0.15">
      <c r="A26" s="37">
        <v>38374</v>
      </c>
      <c r="B26" s="7">
        <f>'[3]Jan Prod'!I25</f>
        <v>0</v>
      </c>
      <c r="C26" s="8">
        <f t="shared" si="0"/>
        <v>0</v>
      </c>
      <c r="D26" s="10">
        <f t="shared" si="1"/>
        <v>0</v>
      </c>
      <c r="E26" s="7">
        <f>'[3]Jan Prod'!E25</f>
        <v>0</v>
      </c>
      <c r="F26" s="8">
        <f t="shared" si="2"/>
        <v>0</v>
      </c>
      <c r="G26" s="10">
        <f t="shared" si="3"/>
        <v>0</v>
      </c>
      <c r="H26" s="7">
        <f>'[3]Jan Prod'!F25</f>
        <v>0</v>
      </c>
      <c r="I26" s="8">
        <f t="shared" si="4"/>
        <v>0</v>
      </c>
      <c r="J26" s="10">
        <f t="shared" si="5"/>
        <v>0</v>
      </c>
      <c r="K26" s="7">
        <f>'[3]Jan Prod'!H280</f>
        <v>0</v>
      </c>
      <c r="L26" s="8">
        <f t="shared" si="6"/>
        <v>0</v>
      </c>
      <c r="M26" s="10">
        <f t="shared" si="7"/>
        <v>0</v>
      </c>
      <c r="N26" s="28"/>
      <c r="O26" s="7">
        <f>'[3]Jan Prod'!H25</f>
        <v>11136999.999999998</v>
      </c>
      <c r="P26" s="8">
        <f t="shared" si="8"/>
        <v>11.136999999999999</v>
      </c>
      <c r="Q26" s="10">
        <f t="shared" si="9"/>
        <v>34.190589999999993</v>
      </c>
      <c r="R26" s="7">
        <f>'[3]Jan Prod'!C25</f>
        <v>11607000</v>
      </c>
      <c r="S26" s="8">
        <f t="shared" si="10"/>
        <v>11.606999999999999</v>
      </c>
      <c r="T26" s="10">
        <f t="shared" si="11"/>
        <v>35.633489999999995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470000.00000000244</v>
      </c>
      <c r="Y26" s="8">
        <f t="shared" si="14"/>
        <v>0.47000000000000247</v>
      </c>
      <c r="Z26" s="10">
        <f t="shared" si="15"/>
        <v>1.4429000000000076</v>
      </c>
      <c r="AA26" s="22"/>
      <c r="AB26" s="7">
        <f>'[3]Jan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11136999.999999998</v>
      </c>
      <c r="AG26" s="8">
        <f t="shared" si="18"/>
        <v>11.136999999999999</v>
      </c>
      <c r="AH26" s="8">
        <f t="shared" si="18"/>
        <v>34.190589999999993</v>
      </c>
    </row>
    <row r="27" spans="1:34" x14ac:dyDescent="0.15">
      <c r="A27" s="37">
        <v>38375</v>
      </c>
      <c r="B27" s="7">
        <f>'[3]Jan Prod'!I26</f>
        <v>0</v>
      </c>
      <c r="C27" s="8">
        <f t="shared" si="0"/>
        <v>0</v>
      </c>
      <c r="D27" s="10">
        <f t="shared" si="1"/>
        <v>0</v>
      </c>
      <c r="E27" s="7">
        <f>'[3]Jan Prod'!E26</f>
        <v>0</v>
      </c>
      <c r="F27" s="8">
        <f t="shared" si="2"/>
        <v>0</v>
      </c>
      <c r="G27" s="10">
        <f t="shared" si="3"/>
        <v>0</v>
      </c>
      <c r="H27" s="7">
        <f>'[3]Jan Prod'!F26</f>
        <v>0</v>
      </c>
      <c r="I27" s="8">
        <f t="shared" si="4"/>
        <v>0</v>
      </c>
      <c r="J27" s="10">
        <f t="shared" si="5"/>
        <v>0</v>
      </c>
      <c r="K27" s="7">
        <f>'[3]Jan Prod'!H281</f>
        <v>0</v>
      </c>
      <c r="L27" s="8">
        <f t="shared" si="6"/>
        <v>0</v>
      </c>
      <c r="M27" s="10">
        <f t="shared" si="7"/>
        <v>0</v>
      </c>
      <c r="N27" s="28"/>
      <c r="O27" s="7">
        <f>'[3]Jan Prod'!H26</f>
        <v>11161000.000000002</v>
      </c>
      <c r="P27" s="8">
        <f t="shared" si="8"/>
        <v>11.161000000000001</v>
      </c>
      <c r="Q27" s="10">
        <f t="shared" si="9"/>
        <v>34.264270000000003</v>
      </c>
      <c r="R27" s="7">
        <f>'[3]Jan Prod'!C26</f>
        <v>11630000</v>
      </c>
      <c r="S27" s="8">
        <f t="shared" si="10"/>
        <v>11.63</v>
      </c>
      <c r="T27" s="10">
        <f t="shared" si="11"/>
        <v>35.704100000000004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468999.99999999761</v>
      </c>
      <c r="Y27" s="8">
        <f t="shared" si="14"/>
        <v>0.46899999999999764</v>
      </c>
      <c r="Z27" s="10">
        <f t="shared" si="15"/>
        <v>1.4398299999999926</v>
      </c>
      <c r="AA27" s="22"/>
      <c r="AB27" s="7">
        <f>'[3]Jan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11161000.000000002</v>
      </c>
      <c r="AG27" s="8">
        <f t="shared" si="18"/>
        <v>11.161000000000001</v>
      </c>
      <c r="AH27" s="8">
        <f t="shared" si="18"/>
        <v>34.264270000000003</v>
      </c>
    </row>
    <row r="28" spans="1:34" x14ac:dyDescent="0.15">
      <c r="A28" s="37">
        <v>38376</v>
      </c>
      <c r="B28" s="7">
        <f>'[3]Jan Prod'!I27</f>
        <v>0</v>
      </c>
      <c r="C28" s="8">
        <f t="shared" si="0"/>
        <v>0</v>
      </c>
      <c r="D28" s="10">
        <f t="shared" si="1"/>
        <v>0</v>
      </c>
      <c r="E28" s="7">
        <f>'[3]Jan Prod'!E27</f>
        <v>0</v>
      </c>
      <c r="F28" s="8">
        <f t="shared" si="2"/>
        <v>0</v>
      </c>
      <c r="G28" s="10">
        <f t="shared" si="3"/>
        <v>0</v>
      </c>
      <c r="H28" s="7">
        <f>'[3]Jan Prod'!F27</f>
        <v>0</v>
      </c>
      <c r="I28" s="8">
        <f t="shared" si="4"/>
        <v>0</v>
      </c>
      <c r="J28" s="10">
        <f t="shared" si="5"/>
        <v>0</v>
      </c>
      <c r="K28" s="7">
        <f>'[3]Jan Prod'!H282</f>
        <v>0</v>
      </c>
      <c r="L28" s="8">
        <f t="shared" si="6"/>
        <v>0</v>
      </c>
      <c r="M28" s="10">
        <f t="shared" si="7"/>
        <v>0</v>
      </c>
      <c r="N28" s="28"/>
      <c r="O28" s="7">
        <f>'[3]Jan Prod'!H27</f>
        <v>11646999.999999998</v>
      </c>
      <c r="P28" s="8">
        <f t="shared" si="8"/>
        <v>11.646999999999998</v>
      </c>
      <c r="Q28" s="10">
        <f t="shared" si="9"/>
        <v>35.756289999999993</v>
      </c>
      <c r="R28" s="7">
        <f>'[3]Jan Prod'!C27</f>
        <v>12023000</v>
      </c>
      <c r="S28" s="8">
        <f t="shared" si="10"/>
        <v>12.023</v>
      </c>
      <c r="T28" s="10">
        <f t="shared" si="11"/>
        <v>36.910609999999998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376000.00000000122</v>
      </c>
      <c r="Y28" s="8">
        <f t="shared" si="14"/>
        <v>0.37600000000000122</v>
      </c>
      <c r="Z28" s="10">
        <f t="shared" si="15"/>
        <v>1.1543200000000038</v>
      </c>
      <c r="AA28" s="22"/>
      <c r="AB28" s="7">
        <f>'[3]Jan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11646999.999999998</v>
      </c>
      <c r="AG28" s="8">
        <f t="shared" si="18"/>
        <v>11.646999999999998</v>
      </c>
      <c r="AH28" s="8">
        <f t="shared" si="18"/>
        <v>35.756289999999993</v>
      </c>
    </row>
    <row r="29" spans="1:34" x14ac:dyDescent="0.15">
      <c r="A29" s="37">
        <v>38377</v>
      </c>
      <c r="B29" s="7">
        <f>'[3]Jan Prod'!I28</f>
        <v>0</v>
      </c>
      <c r="C29" s="8">
        <f t="shared" si="0"/>
        <v>0</v>
      </c>
      <c r="D29" s="10">
        <f t="shared" si="1"/>
        <v>0</v>
      </c>
      <c r="E29" s="7">
        <f>'[3]Jan Prod'!E28</f>
        <v>0</v>
      </c>
      <c r="F29" s="8">
        <f t="shared" si="2"/>
        <v>0</v>
      </c>
      <c r="G29" s="10">
        <f t="shared" si="3"/>
        <v>0</v>
      </c>
      <c r="H29" s="7">
        <f>'[3]Jan Prod'!F28</f>
        <v>0</v>
      </c>
      <c r="I29" s="8">
        <f t="shared" si="4"/>
        <v>0</v>
      </c>
      <c r="J29" s="10">
        <f t="shared" si="5"/>
        <v>0</v>
      </c>
      <c r="K29" s="7">
        <f>'[3]Jan Prod'!H283</f>
        <v>0</v>
      </c>
      <c r="L29" s="8">
        <f t="shared" si="6"/>
        <v>0</v>
      </c>
      <c r="M29" s="10">
        <f t="shared" si="7"/>
        <v>0</v>
      </c>
      <c r="N29" s="28"/>
      <c r="O29" s="7">
        <f>'[3]Jan Prod'!H28</f>
        <v>11149000.000000002</v>
      </c>
      <c r="P29" s="8">
        <f t="shared" si="8"/>
        <v>11.149000000000003</v>
      </c>
      <c r="Q29" s="10">
        <f t="shared" si="9"/>
        <v>34.227430000000005</v>
      </c>
      <c r="R29" s="7">
        <f>'[3]Jan Prod'!C28</f>
        <v>11714000</v>
      </c>
      <c r="S29" s="8">
        <f t="shared" si="10"/>
        <v>11.714</v>
      </c>
      <c r="T29" s="10">
        <f t="shared" si="11"/>
        <v>35.961979999999997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564999.99999999767</v>
      </c>
      <c r="Y29" s="8">
        <f t="shared" si="14"/>
        <v>0.56499999999999773</v>
      </c>
      <c r="Z29" s="10">
        <f t="shared" si="15"/>
        <v>1.7345499999999929</v>
      </c>
      <c r="AA29" s="22"/>
      <c r="AB29" s="7">
        <f>'[3]Jan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11149000.000000002</v>
      </c>
      <c r="AG29" s="8">
        <f t="shared" si="18"/>
        <v>11.149000000000003</v>
      </c>
      <c r="AH29" s="8">
        <f t="shared" si="18"/>
        <v>34.227430000000005</v>
      </c>
    </row>
    <row r="30" spans="1:34" x14ac:dyDescent="0.15">
      <c r="A30" s="37">
        <v>38378</v>
      </c>
      <c r="B30" s="7">
        <f>'[3]Jan Prod'!I29</f>
        <v>0</v>
      </c>
      <c r="C30" s="8">
        <f t="shared" si="0"/>
        <v>0</v>
      </c>
      <c r="D30" s="10">
        <f t="shared" si="1"/>
        <v>0</v>
      </c>
      <c r="E30" s="7">
        <f>'[3]Jan Prod'!E29</f>
        <v>0</v>
      </c>
      <c r="F30" s="8">
        <f t="shared" si="2"/>
        <v>0</v>
      </c>
      <c r="G30" s="10">
        <f t="shared" si="3"/>
        <v>0</v>
      </c>
      <c r="H30" s="7">
        <f>'[3]Jan Prod'!F29</f>
        <v>0</v>
      </c>
      <c r="I30" s="8">
        <f t="shared" si="4"/>
        <v>0</v>
      </c>
      <c r="J30" s="10">
        <f t="shared" si="5"/>
        <v>0</v>
      </c>
      <c r="K30" s="7">
        <f>'[3]Jan Prod'!H284</f>
        <v>0</v>
      </c>
      <c r="L30" s="8">
        <f t="shared" si="6"/>
        <v>0</v>
      </c>
      <c r="M30" s="10">
        <f t="shared" si="7"/>
        <v>0</v>
      </c>
      <c r="N30" s="28"/>
      <c r="O30" s="7">
        <f>'[3]Jan Prod'!H29</f>
        <v>10850000</v>
      </c>
      <c r="P30" s="8">
        <f t="shared" si="8"/>
        <v>10.85</v>
      </c>
      <c r="Q30" s="10">
        <f t="shared" si="9"/>
        <v>33.3095</v>
      </c>
      <c r="R30" s="7">
        <f>'[3]Jan Prod'!C29</f>
        <v>11132000</v>
      </c>
      <c r="S30" s="8">
        <f t="shared" si="10"/>
        <v>11.132</v>
      </c>
      <c r="T30" s="10">
        <f t="shared" si="11"/>
        <v>34.175239999999995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282000</v>
      </c>
      <c r="Y30" s="8">
        <f t="shared" si="14"/>
        <v>0.28199999999999997</v>
      </c>
      <c r="Z30" s="10">
        <f t="shared" si="15"/>
        <v>0.86573999999999984</v>
      </c>
      <c r="AA30" s="22"/>
      <c r="AB30" s="7">
        <f>'[3]Jan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10850000</v>
      </c>
      <c r="AG30" s="8">
        <f t="shared" si="18"/>
        <v>10.85</v>
      </c>
      <c r="AH30" s="8">
        <f t="shared" si="18"/>
        <v>33.3095</v>
      </c>
    </row>
    <row r="31" spans="1:34" x14ac:dyDescent="0.15">
      <c r="A31" s="37">
        <v>38379</v>
      </c>
      <c r="B31" s="7">
        <f>'[3]Jan Prod'!I30</f>
        <v>0</v>
      </c>
      <c r="C31" s="8">
        <f t="shared" si="0"/>
        <v>0</v>
      </c>
      <c r="D31" s="10">
        <f t="shared" si="1"/>
        <v>0</v>
      </c>
      <c r="E31" s="7">
        <f>'[3]Jan Prod'!E30</f>
        <v>0</v>
      </c>
      <c r="F31" s="8">
        <f t="shared" si="2"/>
        <v>0</v>
      </c>
      <c r="G31" s="10">
        <f t="shared" si="3"/>
        <v>0</v>
      </c>
      <c r="H31" s="7">
        <f>'[3]Jan Prod'!F30</f>
        <v>0</v>
      </c>
      <c r="I31" s="8">
        <f t="shared" si="4"/>
        <v>0</v>
      </c>
      <c r="J31" s="10">
        <f t="shared" si="5"/>
        <v>0</v>
      </c>
      <c r="K31" s="7">
        <f>'[3]Jan Prod'!H285</f>
        <v>0</v>
      </c>
      <c r="L31" s="8">
        <f t="shared" si="6"/>
        <v>0</v>
      </c>
      <c r="M31" s="10">
        <f t="shared" si="7"/>
        <v>0</v>
      </c>
      <c r="N31" s="28"/>
      <c r="O31" s="7">
        <f>'[3]Jan Prod'!H30</f>
        <v>11312999.999999998</v>
      </c>
      <c r="P31" s="8">
        <f t="shared" si="8"/>
        <v>11.312999999999999</v>
      </c>
      <c r="Q31" s="10">
        <f t="shared" si="9"/>
        <v>34.730909999999994</v>
      </c>
      <c r="R31" s="7">
        <f>'[3]Jan Prod'!C30</f>
        <v>11800000</v>
      </c>
      <c r="S31" s="8">
        <f t="shared" si="10"/>
        <v>11.8</v>
      </c>
      <c r="T31" s="10">
        <f t="shared" si="11"/>
        <v>36.225999999999999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487000.00000000186</v>
      </c>
      <c r="Y31" s="8">
        <f t="shared" si="14"/>
        <v>0.48700000000000188</v>
      </c>
      <c r="Z31" s="10">
        <f t="shared" si="15"/>
        <v>1.4950900000000056</v>
      </c>
      <c r="AA31" s="22"/>
      <c r="AB31" s="7">
        <f>'[3]Jan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11312999.999999998</v>
      </c>
      <c r="AG31" s="8">
        <f t="shared" si="18"/>
        <v>11.312999999999999</v>
      </c>
      <c r="AH31" s="8">
        <f t="shared" si="18"/>
        <v>34.730909999999994</v>
      </c>
    </row>
    <row r="32" spans="1:34" x14ac:dyDescent="0.15">
      <c r="A32" s="37">
        <v>38380</v>
      </c>
      <c r="B32" s="7">
        <f>'[3]Jan Prod'!I31</f>
        <v>0</v>
      </c>
      <c r="C32" s="8">
        <f t="shared" si="0"/>
        <v>0</v>
      </c>
      <c r="D32" s="10">
        <f t="shared" si="1"/>
        <v>0</v>
      </c>
      <c r="E32" s="7">
        <f>'[3]Jan Prod'!E31</f>
        <v>0</v>
      </c>
      <c r="F32" s="8">
        <f t="shared" si="2"/>
        <v>0</v>
      </c>
      <c r="G32" s="10">
        <f t="shared" si="3"/>
        <v>0</v>
      </c>
      <c r="H32" s="7">
        <f>'[3]Jan Prod'!F31</f>
        <v>0</v>
      </c>
      <c r="I32" s="8">
        <f t="shared" si="4"/>
        <v>0</v>
      </c>
      <c r="J32" s="10">
        <f t="shared" si="5"/>
        <v>0</v>
      </c>
      <c r="K32" s="7">
        <f>'[3]Jan Prod'!H286</f>
        <v>0</v>
      </c>
      <c r="L32" s="8">
        <f t="shared" si="6"/>
        <v>0</v>
      </c>
      <c r="M32" s="10">
        <f t="shared" si="7"/>
        <v>0</v>
      </c>
      <c r="N32" s="28"/>
      <c r="O32" s="7">
        <f>'[3]Jan Prod'!H31</f>
        <v>11792000</v>
      </c>
      <c r="P32" s="8">
        <f t="shared" si="8"/>
        <v>11.792</v>
      </c>
      <c r="Q32" s="10">
        <f t="shared" si="9"/>
        <v>36.201439999999998</v>
      </c>
      <c r="R32" s="7">
        <f>'[3]Jan Prod'!C31</f>
        <v>12242000</v>
      </c>
      <c r="S32" s="8">
        <f t="shared" si="10"/>
        <v>12.242000000000001</v>
      </c>
      <c r="T32" s="10">
        <f t="shared" si="11"/>
        <v>37.582940000000001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449999.9999999993</v>
      </c>
      <c r="Y32" s="8">
        <f t="shared" si="14"/>
        <v>0.44999999999999929</v>
      </c>
      <c r="Z32" s="10">
        <f t="shared" si="15"/>
        <v>1.3814999999999977</v>
      </c>
      <c r="AA32" s="22"/>
      <c r="AB32" s="7">
        <f>'[3]Jan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11792000</v>
      </c>
      <c r="AG32" s="8">
        <f t="shared" si="18"/>
        <v>11.792</v>
      </c>
      <c r="AH32" s="8">
        <f t="shared" si="18"/>
        <v>36.201439999999998</v>
      </c>
    </row>
    <row r="33" spans="1:34" x14ac:dyDescent="0.15">
      <c r="A33" s="37">
        <v>38381</v>
      </c>
      <c r="B33" s="7">
        <f>'[3]Jan Prod'!I32</f>
        <v>0</v>
      </c>
      <c r="C33" s="8">
        <f t="shared" si="0"/>
        <v>0</v>
      </c>
      <c r="D33" s="10">
        <f t="shared" si="1"/>
        <v>0</v>
      </c>
      <c r="E33" s="7">
        <f>'[3]Jan Prod'!E32</f>
        <v>0</v>
      </c>
      <c r="F33" s="8">
        <f t="shared" si="2"/>
        <v>0</v>
      </c>
      <c r="G33" s="10">
        <f t="shared" si="3"/>
        <v>0</v>
      </c>
      <c r="H33" s="7">
        <f>'[3]Jan Prod'!F32</f>
        <v>0</v>
      </c>
      <c r="I33" s="8">
        <f t="shared" si="4"/>
        <v>0</v>
      </c>
      <c r="J33" s="10">
        <f t="shared" si="5"/>
        <v>0</v>
      </c>
      <c r="K33" s="7">
        <f>'[3]Jan Prod'!H287</f>
        <v>0</v>
      </c>
      <c r="L33" s="8">
        <f t="shared" si="6"/>
        <v>0</v>
      </c>
      <c r="M33" s="10">
        <f t="shared" si="7"/>
        <v>0</v>
      </c>
      <c r="N33" s="28"/>
      <c r="O33" s="7">
        <f>'[3]Jan Prod'!H32</f>
        <v>9452999.9999999981</v>
      </c>
      <c r="P33" s="8">
        <f t="shared" si="8"/>
        <v>9.4529999999999976</v>
      </c>
      <c r="Q33" s="10">
        <f t="shared" si="9"/>
        <v>29.02070999999999</v>
      </c>
      <c r="R33" s="7">
        <f>'[3]Jan Prod'!C32</f>
        <v>9762000</v>
      </c>
      <c r="S33" s="8">
        <f t="shared" si="10"/>
        <v>9.7620000000000005</v>
      </c>
      <c r="T33" s="10">
        <f t="shared" si="11"/>
        <v>29.969339999999999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309000.00000000105</v>
      </c>
      <c r="Y33" s="8">
        <f t="shared" si="14"/>
        <v>0.30900000000000105</v>
      </c>
      <c r="Z33" s="10">
        <f t="shared" si="15"/>
        <v>0.94863000000000319</v>
      </c>
      <c r="AA33" s="22"/>
      <c r="AB33" s="7">
        <f>'[3]Jan Prod'!G32</f>
        <v>0</v>
      </c>
      <c r="AC33" s="8">
        <f t="shared" si="16"/>
        <v>0</v>
      </c>
      <c r="AD33" s="10">
        <f t="shared" si="17"/>
        <v>0</v>
      </c>
      <c r="AF33" s="7">
        <f t="shared" si="18"/>
        <v>9452999.9999999981</v>
      </c>
      <c r="AG33" s="8">
        <f t="shared" si="18"/>
        <v>9.4529999999999976</v>
      </c>
      <c r="AH33" s="8">
        <f t="shared" si="18"/>
        <v>29.02070999999999</v>
      </c>
    </row>
    <row r="34" spans="1:34" x14ac:dyDescent="0.15">
      <c r="A34" s="37">
        <v>38382</v>
      </c>
      <c r="B34" s="7">
        <f>'[3]Jan Prod'!I33</f>
        <v>0</v>
      </c>
      <c r="C34" s="8">
        <f t="shared" si="0"/>
        <v>0</v>
      </c>
      <c r="D34" s="10">
        <f t="shared" si="1"/>
        <v>0</v>
      </c>
      <c r="E34" s="7">
        <f>'[3]Jan Prod'!E33</f>
        <v>0</v>
      </c>
      <c r="F34" s="8">
        <f t="shared" si="2"/>
        <v>0</v>
      </c>
      <c r="G34" s="10">
        <f t="shared" si="3"/>
        <v>0</v>
      </c>
      <c r="H34" s="7">
        <f>'[3]Jan Prod'!F33</f>
        <v>0</v>
      </c>
      <c r="I34" s="8">
        <f t="shared" si="4"/>
        <v>0</v>
      </c>
      <c r="J34" s="10">
        <f t="shared" si="5"/>
        <v>0</v>
      </c>
      <c r="K34" s="7">
        <f>'[3]Jan Prod'!H288</f>
        <v>0</v>
      </c>
      <c r="L34" s="8">
        <f t="shared" si="6"/>
        <v>0</v>
      </c>
      <c r="M34" s="10">
        <f t="shared" si="7"/>
        <v>0</v>
      </c>
      <c r="N34" s="28"/>
      <c r="O34" s="7">
        <f>'[3]Jan Prod'!H33</f>
        <v>11582000</v>
      </c>
      <c r="P34" s="8">
        <f t="shared" si="8"/>
        <v>11.582000000000001</v>
      </c>
      <c r="Q34" s="10">
        <f t="shared" si="9"/>
        <v>35.556739999999998</v>
      </c>
      <c r="R34" s="7">
        <f>'[3]Jan Prod'!C33</f>
        <v>12044000</v>
      </c>
      <c r="S34" s="8">
        <f t="shared" si="10"/>
        <v>12.044</v>
      </c>
      <c r="T34" s="10">
        <f t="shared" si="11"/>
        <v>36.975079999999998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462000</v>
      </c>
      <c r="Y34" s="8">
        <f t="shared" si="14"/>
        <v>0.46200000000000002</v>
      </c>
      <c r="Z34" s="10">
        <f t="shared" si="15"/>
        <v>1.4183399999999999</v>
      </c>
      <c r="AA34" s="22"/>
      <c r="AB34" s="7">
        <f>'[3]Jan Prod'!G33</f>
        <v>0</v>
      </c>
      <c r="AC34" s="8">
        <f t="shared" si="16"/>
        <v>0</v>
      </c>
      <c r="AD34" s="10">
        <f t="shared" si="17"/>
        <v>0</v>
      </c>
      <c r="AF34" s="7">
        <f t="shared" si="18"/>
        <v>11582000</v>
      </c>
      <c r="AG34" s="8">
        <f t="shared" si="18"/>
        <v>11.582000000000001</v>
      </c>
      <c r="AH34" s="8">
        <f t="shared" si="18"/>
        <v>35.556739999999998</v>
      </c>
    </row>
    <row r="35" spans="1:34" x14ac:dyDescent="0.15">
      <c r="A35" s="37">
        <v>38383</v>
      </c>
      <c r="B35" s="7">
        <f>'[3]Jan Prod'!I34</f>
        <v>0</v>
      </c>
      <c r="C35" s="8">
        <f t="shared" si="0"/>
        <v>0</v>
      </c>
      <c r="D35" s="10">
        <f t="shared" si="1"/>
        <v>0</v>
      </c>
      <c r="E35" s="7">
        <f>'[3]Jan Prod'!E34</f>
        <v>0</v>
      </c>
      <c r="F35" s="8">
        <f t="shared" si="2"/>
        <v>0</v>
      </c>
      <c r="G35" s="10">
        <f t="shared" si="3"/>
        <v>0</v>
      </c>
      <c r="H35" s="7">
        <f>'[3]Jan Prod'!F34</f>
        <v>0</v>
      </c>
      <c r="I35" s="8">
        <f t="shared" si="4"/>
        <v>0</v>
      </c>
      <c r="J35" s="10">
        <f t="shared" si="5"/>
        <v>0</v>
      </c>
      <c r="K35" s="7">
        <f>'[3]Jan Prod'!H289</f>
        <v>0</v>
      </c>
      <c r="L35" s="8">
        <f t="shared" si="6"/>
        <v>0</v>
      </c>
      <c r="M35" s="10">
        <f t="shared" si="7"/>
        <v>0</v>
      </c>
      <c r="N35" s="28"/>
      <c r="O35" s="7">
        <f>'[3]Jan Prod'!H34</f>
        <v>11477000</v>
      </c>
      <c r="P35" s="8">
        <f t="shared" si="8"/>
        <v>11.477</v>
      </c>
      <c r="Q35" s="10">
        <f t="shared" si="9"/>
        <v>35.234389999999998</v>
      </c>
      <c r="R35" s="7">
        <f>'[3]Jan Prod'!C34</f>
        <v>11942000</v>
      </c>
      <c r="S35" s="8">
        <f t="shared" si="10"/>
        <v>11.942</v>
      </c>
      <c r="T35" s="10">
        <f t="shared" si="11"/>
        <v>36.661940000000001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465000.00000000006</v>
      </c>
      <c r="Y35" s="8">
        <f t="shared" si="14"/>
        <v>0.46500000000000008</v>
      </c>
      <c r="Z35" s="10">
        <f t="shared" si="15"/>
        <v>1.4275500000000001</v>
      </c>
      <c r="AA35" s="22"/>
      <c r="AB35" s="7">
        <f>'[3]Jan Prod'!G34</f>
        <v>0</v>
      </c>
      <c r="AC35" s="8">
        <f t="shared" si="16"/>
        <v>0</v>
      </c>
      <c r="AD35" s="10">
        <f t="shared" si="17"/>
        <v>0</v>
      </c>
      <c r="AF35" s="7">
        <f t="shared" si="18"/>
        <v>11477000</v>
      </c>
      <c r="AG35" s="8">
        <f t="shared" si="18"/>
        <v>11.477</v>
      </c>
      <c r="AH35" s="8">
        <f t="shared" si="18"/>
        <v>35.234389999999998</v>
      </c>
    </row>
    <row r="36" spans="1:34" s="25" customFormat="1" x14ac:dyDescent="0.15">
      <c r="A36" s="22"/>
      <c r="B36" s="22"/>
      <c r="C36" s="22">
        <f t="shared" ref="C36:AD36" si="19">SUM(C5:C35)</f>
        <v>0.1000000000003638</v>
      </c>
      <c r="D36" s="22">
        <f t="shared" si="19"/>
        <v>0.30700000000111682</v>
      </c>
      <c r="E36" s="22"/>
      <c r="F36" s="22">
        <f t="shared" si="19"/>
        <v>0</v>
      </c>
      <c r="G36" s="22">
        <f t="shared" si="19"/>
        <v>0</v>
      </c>
      <c r="H36" s="22"/>
      <c r="I36" s="22">
        <f t="shared" si="19"/>
        <v>39</v>
      </c>
      <c r="J36" s="22">
        <f t="shared" si="19"/>
        <v>119.72999999999999</v>
      </c>
      <c r="K36" s="22"/>
      <c r="L36" s="22">
        <f>SUM(L5:L35)</f>
        <v>-0.03</v>
      </c>
      <c r="M36" s="22">
        <f>SUM(M5:M35)</f>
        <v>-9.2099999999999987E-2</v>
      </c>
      <c r="N36" s="22"/>
      <c r="O36" s="22"/>
      <c r="P36" s="22">
        <f t="shared" si="19"/>
        <v>343.31299999999993</v>
      </c>
      <c r="Q36" s="22">
        <f t="shared" si="19"/>
        <v>1053.9709100000002</v>
      </c>
      <c r="R36" s="22"/>
      <c r="S36" s="22">
        <f t="shared" si="19"/>
        <v>354.95900000000006</v>
      </c>
      <c r="T36" s="22">
        <f t="shared" si="19"/>
        <v>1089.7241299999998</v>
      </c>
      <c r="U36" s="22"/>
      <c r="V36" s="22">
        <f t="shared" si="19"/>
        <v>0</v>
      </c>
      <c r="W36" s="22">
        <f t="shared" si="19"/>
        <v>0</v>
      </c>
      <c r="X36" s="22"/>
      <c r="Y36" s="22">
        <f>SUM(Y5:Y35)</f>
        <v>11.646000000000001</v>
      </c>
      <c r="Z36" s="22">
        <f>SUM(Z5:Z35)</f>
        <v>35.753219999999999</v>
      </c>
      <c r="AA36" s="22"/>
      <c r="AB36" s="22"/>
      <c r="AC36" s="22">
        <f t="shared" si="19"/>
        <v>0</v>
      </c>
      <c r="AD36" s="22">
        <f t="shared" si="19"/>
        <v>0</v>
      </c>
      <c r="AF36" s="32"/>
      <c r="AG36" s="40">
        <f>SUM(AG5:AG35)</f>
        <v>343.4130000000003</v>
      </c>
      <c r="AH36" s="32">
        <f>AG36*3.07</f>
        <v>1054.2779100000009</v>
      </c>
    </row>
  </sheetData>
  <mergeCells count="10">
    <mergeCell ref="AF3:AH3"/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H37"/>
  <sheetViews>
    <sheetView tabSelected="1" workbookViewId="0">
      <pane xSplit="1" ySplit="4" topLeftCell="X6" activePane="bottomRight" state="frozen"/>
      <selection pane="topRight" activeCell="B1" sqref="B1"/>
      <selection pane="bottomLeft" activeCell="A5" sqref="A5"/>
      <selection pane="bottomRight" activeCell="AH34" sqref="AH34"/>
    </sheetView>
  </sheetViews>
  <sheetFormatPr baseColWidth="10" defaultColWidth="8.83203125" defaultRowHeight="13" x14ac:dyDescent="0.15"/>
  <cols>
    <col min="2" max="2" width="11.6640625" customWidth="1"/>
    <col min="5" max="5" width="11.5" customWidth="1"/>
    <col min="8" max="8" width="11.6640625" customWidth="1"/>
    <col min="11" max="11" width="14.83203125" bestFit="1" customWidth="1"/>
    <col min="12" max="12" width="11.5" customWidth="1"/>
    <col min="15" max="15" width="11.5" customWidth="1"/>
    <col min="18" max="18" width="11.5" customWidth="1"/>
    <col min="22" max="22" width="11" customWidth="1"/>
    <col min="24" max="24" width="13.6640625" customWidth="1"/>
    <col min="32" max="32" width="10.83203125" customWidth="1"/>
  </cols>
  <sheetData>
    <row r="1" spans="1:34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4" x14ac:dyDescent="0.15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4" x14ac:dyDescent="0.15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0" t="s">
        <v>8</v>
      </c>
      <c r="AG3" s="51"/>
      <c r="AH3" s="52"/>
    </row>
    <row r="4" spans="1:34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" t="s">
        <v>0</v>
      </c>
      <c r="AG4" s="5" t="s">
        <v>1</v>
      </c>
      <c r="AH4" s="6" t="s">
        <v>2</v>
      </c>
    </row>
    <row r="5" spans="1:34" x14ac:dyDescent="0.15">
      <c r="A5" s="37">
        <v>39479</v>
      </c>
      <c r="B5" s="7">
        <f>'[4]Feb Prod'!I4</f>
        <v>0</v>
      </c>
      <c r="C5" s="8">
        <f>B5/1000000</f>
        <v>0</v>
      </c>
      <c r="D5" s="10">
        <f>C5*3.07</f>
        <v>0</v>
      </c>
      <c r="E5" s="7">
        <f>'[4]Feb Prod'!E4</f>
        <v>0</v>
      </c>
      <c r="F5" s="8">
        <f>E5/1000000</f>
        <v>0</v>
      </c>
      <c r="G5" s="10">
        <f>F5*3.07</f>
        <v>0</v>
      </c>
      <c r="H5" s="7">
        <f>'[4]Feb Prod'!F4</f>
        <v>0</v>
      </c>
      <c r="I5" s="8">
        <f>H5/1000000</f>
        <v>0</v>
      </c>
      <c r="J5" s="10">
        <f>I5*3.07</f>
        <v>0</v>
      </c>
      <c r="K5" s="7">
        <f>'[4]Feb Prod'!H245</f>
        <v>0</v>
      </c>
      <c r="L5" s="8">
        <f>K5/1000000</f>
        <v>0</v>
      </c>
      <c r="M5" s="10">
        <f>L5*3.07</f>
        <v>0</v>
      </c>
      <c r="N5" s="28"/>
      <c r="O5" s="7">
        <f>'[4]Feb Prod'!H4</f>
        <v>10994000</v>
      </c>
      <c r="P5" s="8">
        <f>O5/1000000</f>
        <v>10.994</v>
      </c>
      <c r="Q5" s="10">
        <f>P5*3.07</f>
        <v>33.751579999999997</v>
      </c>
      <c r="R5" s="7">
        <f>'[4]Feb Prod'!C4</f>
        <v>11445000</v>
      </c>
      <c r="S5" s="8">
        <f>R5/1000000</f>
        <v>11.445</v>
      </c>
      <c r="T5" s="10">
        <f>S5*3.07</f>
        <v>35.136150000000001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450999.99999999983</v>
      </c>
      <c r="Y5" s="8">
        <f>X5/1000000</f>
        <v>0.45099999999999985</v>
      </c>
      <c r="Z5" s="10">
        <f>Y5*3.07</f>
        <v>1.3845699999999994</v>
      </c>
      <c r="AA5" s="22"/>
      <c r="AB5" s="7">
        <f>'[4]Feb Prod'!G4</f>
        <v>0</v>
      </c>
      <c r="AC5" s="8">
        <f>AB5/1000000</f>
        <v>0</v>
      </c>
      <c r="AD5" s="10">
        <f>AC5*3.07</f>
        <v>0</v>
      </c>
      <c r="AF5" s="7">
        <f>B5+O5</f>
        <v>10994000</v>
      </c>
      <c r="AG5" s="8">
        <f>C5+P5</f>
        <v>10.994</v>
      </c>
      <c r="AH5" s="8">
        <f>D5+Q5</f>
        <v>33.751579999999997</v>
      </c>
    </row>
    <row r="6" spans="1:34" x14ac:dyDescent="0.15">
      <c r="A6" s="37">
        <v>39480</v>
      </c>
      <c r="B6" s="7">
        <f>'[4]Feb Prod'!I5</f>
        <v>0</v>
      </c>
      <c r="C6" s="8">
        <f t="shared" ref="C6:C33" si="0">B6/1000000</f>
        <v>0</v>
      </c>
      <c r="D6" s="10">
        <f t="shared" ref="D6:D33" si="1">C6*3.07</f>
        <v>0</v>
      </c>
      <c r="E6" s="7">
        <f>'[4]Feb Prod'!E5</f>
        <v>0</v>
      </c>
      <c r="F6" s="8">
        <f t="shared" ref="F6:F33" si="2">E6/1000000</f>
        <v>0</v>
      </c>
      <c r="G6" s="10">
        <f t="shared" ref="G6:G33" si="3">F6*3.07</f>
        <v>0</v>
      </c>
      <c r="H6" s="7">
        <f>'[4]Feb Prod'!F5</f>
        <v>0</v>
      </c>
      <c r="I6" s="8">
        <f t="shared" ref="I6:I33" si="4">H6/1000000</f>
        <v>0</v>
      </c>
      <c r="J6" s="10">
        <f t="shared" ref="J6:J33" si="5">I6*3.07</f>
        <v>0</v>
      </c>
      <c r="K6" s="7">
        <f>'[4]Feb Prod'!H246</f>
        <v>0</v>
      </c>
      <c r="L6" s="8">
        <f t="shared" ref="L6:L23" si="6">K6/1000000</f>
        <v>0</v>
      </c>
      <c r="M6" s="10">
        <f t="shared" ref="M6:M33" si="7">L6*3.07</f>
        <v>0</v>
      </c>
      <c r="N6" s="28"/>
      <c r="O6" s="7">
        <f>'[4]Feb Prod'!H5</f>
        <v>11621000</v>
      </c>
      <c r="P6" s="8">
        <f t="shared" ref="P6:P33" si="8">O6/1000000</f>
        <v>11.621</v>
      </c>
      <c r="Q6" s="10">
        <f t="shared" ref="Q6:Q33" si="9">P6*3.07</f>
        <v>35.676470000000002</v>
      </c>
      <c r="R6" s="7">
        <f>'[4]Feb Prod'!C5</f>
        <v>11996000</v>
      </c>
      <c r="S6" s="8">
        <f t="shared" ref="S6:S33" si="10">R6/1000000</f>
        <v>11.996</v>
      </c>
      <c r="T6" s="10">
        <f t="shared" ref="T6:T33" si="11">S6*3.07</f>
        <v>36.827719999999999</v>
      </c>
      <c r="U6" s="7">
        <f>'[4]Feb Prod'!D5</f>
        <v>0</v>
      </c>
      <c r="V6" s="8">
        <f t="shared" ref="V6:V33" si="12">U6/1000000</f>
        <v>0</v>
      </c>
      <c r="W6" s="10">
        <f t="shared" ref="W6:W33" si="13">V6*3.07</f>
        <v>0</v>
      </c>
      <c r="X6" s="7">
        <f>'[4]Feb Prod'!D246</f>
        <v>375000</v>
      </c>
      <c r="Y6" s="8">
        <f t="shared" ref="Y6:Y33" si="14">X6/1000000</f>
        <v>0.375</v>
      </c>
      <c r="Z6" s="10">
        <f t="shared" ref="Z6:Z33" si="15">Y6*3.07</f>
        <v>1.1512499999999999</v>
      </c>
      <c r="AA6" s="22"/>
      <c r="AB6" s="7">
        <f>'[4]Feb Prod'!G5</f>
        <v>0</v>
      </c>
      <c r="AC6" s="8">
        <f t="shared" ref="AC6:AC33" si="16">AB6/1000000</f>
        <v>0</v>
      </c>
      <c r="AD6" s="10">
        <f t="shared" ref="AD6:AD33" si="17">AC6*3.07</f>
        <v>0</v>
      </c>
      <c r="AF6" s="7">
        <f t="shared" ref="AF6:AH32" si="18">B6+O6</f>
        <v>11621000</v>
      </c>
      <c r="AG6" s="8">
        <f t="shared" si="18"/>
        <v>11.621</v>
      </c>
      <c r="AH6" s="8">
        <f t="shared" si="18"/>
        <v>35.676470000000002</v>
      </c>
    </row>
    <row r="7" spans="1:34" x14ac:dyDescent="0.15">
      <c r="A7" s="37">
        <v>39481</v>
      </c>
      <c r="B7" s="7">
        <f>'[4]Feb Prod'!I6</f>
        <v>0</v>
      </c>
      <c r="C7" s="8">
        <f t="shared" si="0"/>
        <v>0</v>
      </c>
      <c r="D7" s="10">
        <f t="shared" si="1"/>
        <v>0</v>
      </c>
      <c r="E7" s="7">
        <f>'[4]Feb Prod'!E6</f>
        <v>0</v>
      </c>
      <c r="F7" s="8">
        <f t="shared" si="2"/>
        <v>0</v>
      </c>
      <c r="G7" s="10">
        <f t="shared" si="3"/>
        <v>0</v>
      </c>
      <c r="H7" s="7">
        <f>'[4]Feb Prod'!F6</f>
        <v>0</v>
      </c>
      <c r="I7" s="8">
        <f t="shared" si="4"/>
        <v>0</v>
      </c>
      <c r="J7" s="10">
        <f t="shared" si="5"/>
        <v>0</v>
      </c>
      <c r="K7" s="7">
        <f>'[4]Feb Prod'!H247</f>
        <v>0</v>
      </c>
      <c r="L7" s="8">
        <f t="shared" si="6"/>
        <v>0</v>
      </c>
      <c r="M7" s="10">
        <f t="shared" si="7"/>
        <v>0</v>
      </c>
      <c r="N7" s="28"/>
      <c r="O7" s="7">
        <f>'[4]Feb Prod'!H6</f>
        <v>10571000</v>
      </c>
      <c r="P7" s="8">
        <f t="shared" si="8"/>
        <v>10.571</v>
      </c>
      <c r="Q7" s="10">
        <f t="shared" si="9"/>
        <v>32.452970000000001</v>
      </c>
      <c r="R7" s="7">
        <f>'[4]Feb Prod'!C6</f>
        <v>10941000</v>
      </c>
      <c r="S7" s="8">
        <f t="shared" si="10"/>
        <v>10.941000000000001</v>
      </c>
      <c r="T7" s="10">
        <f t="shared" si="11"/>
        <v>33.58887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369999.99999999988</v>
      </c>
      <c r="Y7" s="8">
        <f t="shared" si="14"/>
        <v>0.36999999999999988</v>
      </c>
      <c r="Z7" s="10">
        <f t="shared" si="15"/>
        <v>1.1358999999999997</v>
      </c>
      <c r="AA7" s="22"/>
      <c r="AB7" s="7">
        <f>'[4]Feb Prod'!G6</f>
        <v>0</v>
      </c>
      <c r="AC7" s="8">
        <f t="shared" si="16"/>
        <v>0</v>
      </c>
      <c r="AD7" s="10">
        <f t="shared" si="17"/>
        <v>0</v>
      </c>
      <c r="AF7" s="7">
        <f t="shared" si="18"/>
        <v>10571000</v>
      </c>
      <c r="AG7" s="8">
        <f t="shared" si="18"/>
        <v>10.571</v>
      </c>
      <c r="AH7" s="8">
        <f t="shared" si="18"/>
        <v>32.452970000000001</v>
      </c>
    </row>
    <row r="8" spans="1:34" x14ac:dyDescent="0.15">
      <c r="A8" s="37">
        <v>39482</v>
      </c>
      <c r="B8" s="7">
        <f>'[4]Feb Prod'!I7</f>
        <v>0</v>
      </c>
      <c r="C8" s="8">
        <f t="shared" si="0"/>
        <v>0</v>
      </c>
      <c r="D8" s="10">
        <f t="shared" si="1"/>
        <v>0</v>
      </c>
      <c r="E8" s="7">
        <f>'[4]Feb Prod'!E7</f>
        <v>0</v>
      </c>
      <c r="F8" s="8">
        <f t="shared" si="2"/>
        <v>0</v>
      </c>
      <c r="G8" s="10">
        <f t="shared" si="3"/>
        <v>0</v>
      </c>
      <c r="H8" s="7">
        <f>'[4]Feb Prod'!F7</f>
        <v>0</v>
      </c>
      <c r="I8" s="8">
        <f t="shared" si="4"/>
        <v>0</v>
      </c>
      <c r="J8" s="10">
        <f t="shared" si="5"/>
        <v>0</v>
      </c>
      <c r="K8" s="7">
        <f>'[4]Feb Prod'!H248</f>
        <v>0</v>
      </c>
      <c r="L8" s="8">
        <f t="shared" si="6"/>
        <v>0</v>
      </c>
      <c r="M8" s="10">
        <f t="shared" si="7"/>
        <v>0</v>
      </c>
      <c r="N8" s="28"/>
      <c r="O8" s="7">
        <f>'[4]Feb Prod'!H7</f>
        <v>10304000</v>
      </c>
      <c r="P8" s="8">
        <f t="shared" si="8"/>
        <v>10.304</v>
      </c>
      <c r="Q8" s="10">
        <f t="shared" si="9"/>
        <v>31.633279999999999</v>
      </c>
      <c r="R8" s="7">
        <f>'[4]Feb Prod'!C7</f>
        <v>10769000</v>
      </c>
      <c r="S8" s="8">
        <f t="shared" si="10"/>
        <v>10.769</v>
      </c>
      <c r="T8" s="10">
        <f t="shared" si="11"/>
        <v>33.060829999999996</v>
      </c>
      <c r="U8" s="7">
        <f>'[4]Feb Prod'!D7</f>
        <v>0</v>
      </c>
      <c r="V8" s="8">
        <f t="shared" si="12"/>
        <v>0</v>
      </c>
      <c r="W8" s="10">
        <f t="shared" si="13"/>
        <v>0</v>
      </c>
      <c r="X8" s="7">
        <f>'[4]Feb Prod'!D248</f>
        <v>465000.00000000029</v>
      </c>
      <c r="Y8" s="8">
        <f t="shared" si="14"/>
        <v>0.4650000000000003</v>
      </c>
      <c r="Z8" s="10">
        <f t="shared" si="15"/>
        <v>1.4275500000000008</v>
      </c>
      <c r="AA8" s="22"/>
      <c r="AB8" s="7">
        <f>'[4]Feb Prod'!G7</f>
        <v>0</v>
      </c>
      <c r="AC8" s="8">
        <f t="shared" si="16"/>
        <v>0</v>
      </c>
      <c r="AD8" s="10">
        <f t="shared" si="17"/>
        <v>0</v>
      </c>
      <c r="AF8" s="7">
        <f t="shared" si="18"/>
        <v>10304000</v>
      </c>
      <c r="AG8" s="8">
        <f t="shared" si="18"/>
        <v>10.304</v>
      </c>
      <c r="AH8" s="8">
        <f t="shared" si="18"/>
        <v>31.633279999999999</v>
      </c>
    </row>
    <row r="9" spans="1:34" x14ac:dyDescent="0.15">
      <c r="A9" s="37">
        <v>39483</v>
      </c>
      <c r="B9" s="7">
        <f>'[4]Feb Prod'!I8</f>
        <v>0</v>
      </c>
      <c r="C9" s="8">
        <f t="shared" si="0"/>
        <v>0</v>
      </c>
      <c r="D9" s="10">
        <f t="shared" si="1"/>
        <v>0</v>
      </c>
      <c r="E9" s="7">
        <f>'[4]Feb Prod'!E8</f>
        <v>0</v>
      </c>
      <c r="F9" s="8">
        <f t="shared" si="2"/>
        <v>0</v>
      </c>
      <c r="G9" s="10">
        <f t="shared" si="3"/>
        <v>0</v>
      </c>
      <c r="H9" s="7">
        <f>'[4]Feb Prod'!F8</f>
        <v>0</v>
      </c>
      <c r="I9" s="8">
        <f t="shared" si="4"/>
        <v>0</v>
      </c>
      <c r="J9" s="10">
        <f t="shared" si="5"/>
        <v>0</v>
      </c>
      <c r="K9" s="7">
        <f>'[4]Feb Prod'!H249</f>
        <v>0</v>
      </c>
      <c r="L9" s="8">
        <f t="shared" si="6"/>
        <v>0</v>
      </c>
      <c r="M9" s="10">
        <f t="shared" si="7"/>
        <v>0</v>
      </c>
      <c r="N9" s="28"/>
      <c r="O9" s="7">
        <f>'[4]Feb Prod'!H8</f>
        <v>10687000</v>
      </c>
      <c r="P9" s="8">
        <f t="shared" si="8"/>
        <v>10.686999999999999</v>
      </c>
      <c r="Q9" s="10">
        <f t="shared" si="9"/>
        <v>32.809089999999998</v>
      </c>
      <c r="R9" s="7">
        <f>'[4]Feb Prod'!C8</f>
        <v>11246000</v>
      </c>
      <c r="S9" s="8">
        <f t="shared" si="10"/>
        <v>11.246</v>
      </c>
      <c r="T9" s="10">
        <f t="shared" si="11"/>
        <v>34.525219999999997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558999.99999999977</v>
      </c>
      <c r="Y9" s="8">
        <f t="shared" si="14"/>
        <v>0.55899999999999972</v>
      </c>
      <c r="Z9" s="10">
        <f t="shared" si="15"/>
        <v>1.716129999999999</v>
      </c>
      <c r="AA9" s="22"/>
      <c r="AB9" s="7">
        <f>'[4]Feb Prod'!G8</f>
        <v>0</v>
      </c>
      <c r="AC9" s="8">
        <f t="shared" si="16"/>
        <v>0</v>
      </c>
      <c r="AD9" s="10">
        <f t="shared" si="17"/>
        <v>0</v>
      </c>
      <c r="AF9" s="7">
        <f t="shared" si="18"/>
        <v>10687000</v>
      </c>
      <c r="AG9" s="8">
        <f t="shared" si="18"/>
        <v>10.686999999999999</v>
      </c>
      <c r="AH9" s="8">
        <f t="shared" si="18"/>
        <v>32.809089999999998</v>
      </c>
    </row>
    <row r="10" spans="1:34" x14ac:dyDescent="0.15">
      <c r="A10" s="37">
        <v>39484</v>
      </c>
      <c r="B10" s="7">
        <f>'[4]Feb Prod'!I9</f>
        <v>0</v>
      </c>
      <c r="C10" s="8">
        <f t="shared" si="0"/>
        <v>0</v>
      </c>
      <c r="D10" s="10">
        <f t="shared" si="1"/>
        <v>0</v>
      </c>
      <c r="E10" s="7">
        <f>'[4]Feb Prod'!E9</f>
        <v>0</v>
      </c>
      <c r="F10" s="8">
        <f t="shared" si="2"/>
        <v>0</v>
      </c>
      <c r="G10" s="10">
        <f t="shared" si="3"/>
        <v>0</v>
      </c>
      <c r="H10" s="7">
        <f>'[4]Feb Prod'!F9</f>
        <v>0</v>
      </c>
      <c r="I10" s="8">
        <f t="shared" si="4"/>
        <v>0</v>
      </c>
      <c r="J10" s="10">
        <f t="shared" si="5"/>
        <v>0</v>
      </c>
      <c r="K10" s="7">
        <f>'[4]Feb Prod'!H250</f>
        <v>0</v>
      </c>
      <c r="L10" s="8">
        <f t="shared" si="6"/>
        <v>0</v>
      </c>
      <c r="M10" s="10">
        <f t="shared" si="7"/>
        <v>0</v>
      </c>
      <c r="N10" s="28"/>
      <c r="O10" s="7">
        <f>'[4]Feb Prod'!H9</f>
        <v>11906000</v>
      </c>
      <c r="P10" s="8">
        <f t="shared" si="8"/>
        <v>11.906000000000001</v>
      </c>
      <c r="Q10" s="10">
        <f t="shared" si="9"/>
        <v>36.55142</v>
      </c>
      <c r="R10" s="7">
        <f>'[4]Feb Prod'!C9</f>
        <v>12273000</v>
      </c>
      <c r="S10" s="8">
        <f t="shared" si="10"/>
        <v>12.273</v>
      </c>
      <c r="T10" s="10">
        <f t="shared" si="11"/>
        <v>37.678109999999997</v>
      </c>
      <c r="U10" s="7">
        <f>'[4]Feb Prod'!D9</f>
        <v>0</v>
      </c>
      <c r="V10" s="8">
        <f t="shared" si="12"/>
        <v>0</v>
      </c>
      <c r="W10" s="10">
        <f t="shared" si="13"/>
        <v>0</v>
      </c>
      <c r="X10" s="7">
        <f>'[4]Feb Prod'!D250</f>
        <v>367000</v>
      </c>
      <c r="Y10" s="8">
        <f t="shared" si="14"/>
        <v>0.36699999999999999</v>
      </c>
      <c r="Z10" s="10">
        <f t="shared" si="15"/>
        <v>1.12669</v>
      </c>
      <c r="AA10" s="22"/>
      <c r="AB10" s="7">
        <f>'[4]Feb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11906000</v>
      </c>
      <c r="AG10" s="8">
        <f t="shared" si="18"/>
        <v>11.906000000000001</v>
      </c>
      <c r="AH10" s="8">
        <f t="shared" si="18"/>
        <v>36.55142</v>
      </c>
    </row>
    <row r="11" spans="1:34" x14ac:dyDescent="0.15">
      <c r="A11" s="37">
        <v>39485</v>
      </c>
      <c r="B11" s="7">
        <f>'[4]Feb Prod'!I10</f>
        <v>0</v>
      </c>
      <c r="C11" s="8">
        <f t="shared" si="0"/>
        <v>0</v>
      </c>
      <c r="D11" s="10">
        <f t="shared" si="1"/>
        <v>0</v>
      </c>
      <c r="E11" s="7">
        <f>'[4]Feb Prod'!E10</f>
        <v>0</v>
      </c>
      <c r="F11" s="8">
        <f t="shared" si="2"/>
        <v>0</v>
      </c>
      <c r="G11" s="10">
        <f t="shared" si="3"/>
        <v>0</v>
      </c>
      <c r="H11" s="7">
        <f>'[4]Feb Prod'!F10</f>
        <v>0</v>
      </c>
      <c r="I11" s="8">
        <f t="shared" si="4"/>
        <v>0</v>
      </c>
      <c r="J11" s="10">
        <f t="shared" si="5"/>
        <v>0</v>
      </c>
      <c r="K11" s="7">
        <f>'[4]Feb Prod'!H251</f>
        <v>0</v>
      </c>
      <c r="L11" s="8">
        <f t="shared" si="6"/>
        <v>0</v>
      </c>
      <c r="M11" s="10">
        <f t="shared" si="7"/>
        <v>0</v>
      </c>
      <c r="N11" s="28"/>
      <c r="O11" s="7">
        <f>'[4]Feb Prod'!H10</f>
        <v>11757000</v>
      </c>
      <c r="P11" s="8">
        <f t="shared" si="8"/>
        <v>11.757</v>
      </c>
      <c r="Q11" s="10">
        <f t="shared" si="9"/>
        <v>36.093989999999998</v>
      </c>
      <c r="R11" s="7">
        <f>'[4]Feb Prod'!C10</f>
        <v>12222000</v>
      </c>
      <c r="S11" s="8">
        <f t="shared" si="10"/>
        <v>12.222</v>
      </c>
      <c r="T11" s="10">
        <f t="shared" si="11"/>
        <v>37.521539999999995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465000.00000000029</v>
      </c>
      <c r="Y11" s="8">
        <f t="shared" si="14"/>
        <v>0.4650000000000003</v>
      </c>
      <c r="Z11" s="10">
        <f t="shared" si="15"/>
        <v>1.4275500000000008</v>
      </c>
      <c r="AA11" s="22"/>
      <c r="AB11" s="7">
        <f>'[4]Feb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11757000</v>
      </c>
      <c r="AG11" s="8">
        <f t="shared" si="18"/>
        <v>11.757</v>
      </c>
      <c r="AH11" s="8">
        <f t="shared" si="18"/>
        <v>36.093989999999998</v>
      </c>
    </row>
    <row r="12" spans="1:34" x14ac:dyDescent="0.15">
      <c r="A12" s="37">
        <v>39486</v>
      </c>
      <c r="B12" s="7">
        <f>'[4]Feb Prod'!I11</f>
        <v>0</v>
      </c>
      <c r="C12" s="8">
        <f t="shared" si="0"/>
        <v>0</v>
      </c>
      <c r="D12" s="10">
        <f t="shared" si="1"/>
        <v>0</v>
      </c>
      <c r="E12" s="7">
        <f>'[4]Feb Prod'!E11</f>
        <v>0</v>
      </c>
      <c r="F12" s="8">
        <f t="shared" si="2"/>
        <v>0</v>
      </c>
      <c r="G12" s="10">
        <f t="shared" si="3"/>
        <v>0</v>
      </c>
      <c r="H12" s="7">
        <f>'[4]Feb Prod'!F11</f>
        <v>0</v>
      </c>
      <c r="I12" s="8">
        <f t="shared" si="4"/>
        <v>0</v>
      </c>
      <c r="J12" s="10">
        <f t="shared" si="5"/>
        <v>0</v>
      </c>
      <c r="K12" s="7">
        <f>'[4]Feb Prod'!H252</f>
        <v>0</v>
      </c>
      <c r="L12" s="8">
        <f t="shared" si="6"/>
        <v>0</v>
      </c>
      <c r="M12" s="10">
        <f t="shared" si="7"/>
        <v>0</v>
      </c>
      <c r="N12" s="28"/>
      <c r="O12" s="7">
        <f>'[4]Feb Prod'!H11</f>
        <v>10738000</v>
      </c>
      <c r="P12" s="8">
        <f t="shared" si="8"/>
        <v>10.738</v>
      </c>
      <c r="Q12" s="10">
        <f t="shared" si="9"/>
        <v>32.96566</v>
      </c>
      <c r="R12" s="7">
        <f>'[4]Feb Prod'!C11</f>
        <v>11110000</v>
      </c>
      <c r="S12" s="8">
        <f t="shared" si="10"/>
        <v>11.11</v>
      </c>
      <c r="T12" s="10">
        <f t="shared" si="11"/>
        <v>34.107699999999994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371999.99999999988</v>
      </c>
      <c r="Y12" s="8">
        <f t="shared" si="14"/>
        <v>0.37199999999999989</v>
      </c>
      <c r="Z12" s="10">
        <f t="shared" si="15"/>
        <v>1.1420399999999995</v>
      </c>
      <c r="AA12" s="22"/>
      <c r="AB12" s="7">
        <f>'[4]Feb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10738000</v>
      </c>
      <c r="AG12" s="8">
        <f t="shared" si="18"/>
        <v>10.738</v>
      </c>
      <c r="AH12" s="8">
        <f t="shared" si="18"/>
        <v>32.96566</v>
      </c>
    </row>
    <row r="13" spans="1:34" x14ac:dyDescent="0.15">
      <c r="A13" s="37">
        <v>39487</v>
      </c>
      <c r="B13" s="7">
        <f>'[4]Feb Prod'!I12</f>
        <v>0</v>
      </c>
      <c r="C13" s="8">
        <f t="shared" si="0"/>
        <v>0</v>
      </c>
      <c r="D13" s="10">
        <f t="shared" si="1"/>
        <v>0</v>
      </c>
      <c r="E13" s="7">
        <f>'[4]Feb Prod'!E12</f>
        <v>0</v>
      </c>
      <c r="F13" s="8">
        <f t="shared" si="2"/>
        <v>0</v>
      </c>
      <c r="G13" s="10">
        <f t="shared" si="3"/>
        <v>0</v>
      </c>
      <c r="H13" s="7">
        <f>'[4]Feb Prod'!F12</f>
        <v>0</v>
      </c>
      <c r="I13" s="8">
        <f t="shared" si="4"/>
        <v>0</v>
      </c>
      <c r="J13" s="10">
        <f t="shared" si="5"/>
        <v>0</v>
      </c>
      <c r="K13" s="7">
        <f>'[4]Feb Prod'!H253</f>
        <v>0</v>
      </c>
      <c r="L13" s="8">
        <f t="shared" si="6"/>
        <v>0</v>
      </c>
      <c r="M13" s="10">
        <f t="shared" si="7"/>
        <v>0</v>
      </c>
      <c r="N13" s="28"/>
      <c r="O13" s="7">
        <f>'[4]Feb Prod'!H12</f>
        <v>10501000</v>
      </c>
      <c r="P13" s="8">
        <f t="shared" si="8"/>
        <v>10.500999999999999</v>
      </c>
      <c r="Q13" s="10">
        <f t="shared" si="9"/>
        <v>32.238069999999993</v>
      </c>
      <c r="R13" s="7">
        <f>'[4]Feb Prod'!C12</f>
        <v>10961000</v>
      </c>
      <c r="S13" s="8">
        <f t="shared" si="10"/>
        <v>10.961</v>
      </c>
      <c r="T13" s="10">
        <f t="shared" si="11"/>
        <v>33.650269999999999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459999.99999999994</v>
      </c>
      <c r="Y13" s="8">
        <f t="shared" si="14"/>
        <v>0.45999999999999996</v>
      </c>
      <c r="Z13" s="10">
        <f t="shared" si="15"/>
        <v>1.4121999999999999</v>
      </c>
      <c r="AA13" s="22"/>
      <c r="AB13" s="7">
        <f>'[4]Feb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10501000</v>
      </c>
      <c r="AG13" s="8">
        <f t="shared" si="18"/>
        <v>10.500999999999999</v>
      </c>
      <c r="AH13" s="8">
        <f t="shared" si="18"/>
        <v>32.238069999999993</v>
      </c>
    </row>
    <row r="14" spans="1:34" x14ac:dyDescent="0.15">
      <c r="A14" s="37">
        <v>39488</v>
      </c>
      <c r="B14" s="7">
        <f>'[4]Feb Prod'!I13</f>
        <v>0</v>
      </c>
      <c r="C14" s="8">
        <f t="shared" si="0"/>
        <v>0</v>
      </c>
      <c r="D14" s="10">
        <f t="shared" si="1"/>
        <v>0</v>
      </c>
      <c r="E14" s="7">
        <f>'[4]Feb Prod'!E13</f>
        <v>0</v>
      </c>
      <c r="F14" s="8">
        <f t="shared" si="2"/>
        <v>0</v>
      </c>
      <c r="G14" s="10">
        <f t="shared" si="3"/>
        <v>0</v>
      </c>
      <c r="H14" s="7">
        <f>'[4]Feb Prod'!F13</f>
        <v>0</v>
      </c>
      <c r="I14" s="8">
        <f t="shared" si="4"/>
        <v>0</v>
      </c>
      <c r="J14" s="10">
        <f t="shared" si="5"/>
        <v>0</v>
      </c>
      <c r="K14" s="7">
        <f>'[4]Feb Prod'!H254</f>
        <v>0</v>
      </c>
      <c r="L14" s="8">
        <f t="shared" si="6"/>
        <v>0</v>
      </c>
      <c r="M14" s="10">
        <f t="shared" si="7"/>
        <v>0</v>
      </c>
      <c r="N14" s="28"/>
      <c r="O14" s="7">
        <f>'[4]Feb Prod'!H13</f>
        <v>10845000</v>
      </c>
      <c r="P14" s="8">
        <f t="shared" si="8"/>
        <v>10.845000000000001</v>
      </c>
      <c r="Q14" s="10">
        <f t="shared" si="9"/>
        <v>33.294150000000002</v>
      </c>
      <c r="R14" s="7">
        <f>'[4]Feb Prod'!C13</f>
        <v>11314000</v>
      </c>
      <c r="S14" s="8">
        <f t="shared" si="10"/>
        <v>11.314</v>
      </c>
      <c r="T14" s="10">
        <f t="shared" si="11"/>
        <v>34.733979999999995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469000.00000000029</v>
      </c>
      <c r="Y14" s="8">
        <f t="shared" si="14"/>
        <v>0.46900000000000031</v>
      </c>
      <c r="Z14" s="10">
        <f t="shared" si="15"/>
        <v>1.4398300000000008</v>
      </c>
      <c r="AA14" s="22"/>
      <c r="AB14" s="7">
        <f>'[4]Feb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10845000</v>
      </c>
      <c r="AG14" s="8">
        <f t="shared" si="18"/>
        <v>10.845000000000001</v>
      </c>
      <c r="AH14" s="8">
        <f t="shared" si="18"/>
        <v>33.294150000000002</v>
      </c>
    </row>
    <row r="15" spans="1:34" x14ac:dyDescent="0.15">
      <c r="A15" s="37">
        <v>39489</v>
      </c>
      <c r="B15" s="7">
        <f>'[4]Feb Prod'!I14</f>
        <v>0</v>
      </c>
      <c r="C15" s="8">
        <f t="shared" si="0"/>
        <v>0</v>
      </c>
      <c r="D15" s="10">
        <f t="shared" si="1"/>
        <v>0</v>
      </c>
      <c r="E15" s="7">
        <f>'[4]Feb Prod'!E14</f>
        <v>0</v>
      </c>
      <c r="F15" s="8">
        <f t="shared" si="2"/>
        <v>0</v>
      </c>
      <c r="G15" s="10">
        <f t="shared" si="3"/>
        <v>0</v>
      </c>
      <c r="H15" s="7">
        <f>'[4]Feb Prod'!F14</f>
        <v>0</v>
      </c>
      <c r="I15" s="8">
        <f t="shared" si="4"/>
        <v>0</v>
      </c>
      <c r="J15" s="10">
        <f t="shared" si="5"/>
        <v>0</v>
      </c>
      <c r="K15" s="7">
        <f>'[4]Feb Prod'!H255</f>
        <v>0</v>
      </c>
      <c r="L15" s="8">
        <f t="shared" si="6"/>
        <v>0</v>
      </c>
      <c r="M15" s="10">
        <f t="shared" si="7"/>
        <v>0</v>
      </c>
      <c r="N15" s="28"/>
      <c r="O15" s="7">
        <f>'[4]Feb Prod'!H14</f>
        <v>10844000</v>
      </c>
      <c r="P15" s="8">
        <f t="shared" si="8"/>
        <v>10.843999999999999</v>
      </c>
      <c r="Q15" s="10">
        <f t="shared" si="9"/>
        <v>33.291079999999994</v>
      </c>
      <c r="R15" s="7">
        <f>'[4]Feb Prod'!C14</f>
        <v>11303000</v>
      </c>
      <c r="S15" s="8">
        <f t="shared" si="10"/>
        <v>11.303000000000001</v>
      </c>
      <c r="T15" s="10">
        <f t="shared" si="11"/>
        <v>34.700209999999998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458999.99999999965</v>
      </c>
      <c r="Y15" s="8">
        <f t="shared" si="14"/>
        <v>0.45899999999999963</v>
      </c>
      <c r="Z15" s="10">
        <f t="shared" si="15"/>
        <v>1.4091299999999989</v>
      </c>
      <c r="AA15" s="22"/>
      <c r="AB15" s="7">
        <f>'[4]Feb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10844000</v>
      </c>
      <c r="AG15" s="8">
        <f t="shared" si="18"/>
        <v>10.843999999999999</v>
      </c>
      <c r="AH15" s="8">
        <f t="shared" si="18"/>
        <v>33.291079999999994</v>
      </c>
    </row>
    <row r="16" spans="1:34" x14ac:dyDescent="0.15">
      <c r="A16" s="37">
        <v>39490</v>
      </c>
      <c r="B16" s="7">
        <f>'[4]Feb Prod'!I15</f>
        <v>0</v>
      </c>
      <c r="C16" s="8">
        <f t="shared" si="0"/>
        <v>0</v>
      </c>
      <c r="D16" s="10">
        <f t="shared" si="1"/>
        <v>0</v>
      </c>
      <c r="E16" s="7">
        <f>'[4]Feb Prod'!E15</f>
        <v>0</v>
      </c>
      <c r="F16" s="8">
        <f t="shared" si="2"/>
        <v>0</v>
      </c>
      <c r="G16" s="10">
        <f t="shared" si="3"/>
        <v>0</v>
      </c>
      <c r="H16" s="7">
        <f>'[4]Feb Prod'!F15</f>
        <v>0</v>
      </c>
      <c r="I16" s="8">
        <f t="shared" si="4"/>
        <v>0</v>
      </c>
      <c r="J16" s="10">
        <f t="shared" si="5"/>
        <v>0</v>
      </c>
      <c r="K16" s="7">
        <f>'[4]Feb Prod'!H256</f>
        <v>0</v>
      </c>
      <c r="L16" s="8">
        <f t="shared" si="6"/>
        <v>0</v>
      </c>
      <c r="M16" s="10">
        <f t="shared" si="7"/>
        <v>0</v>
      </c>
      <c r="N16" s="28"/>
      <c r="O16" s="7">
        <f>'[4]Feb Prod'!H15</f>
        <v>10942000</v>
      </c>
      <c r="P16" s="8">
        <f t="shared" si="8"/>
        <v>10.942</v>
      </c>
      <c r="Q16" s="10">
        <f t="shared" si="9"/>
        <v>33.591940000000001</v>
      </c>
      <c r="R16" s="7">
        <f>'[4]Feb Prod'!C15</f>
        <v>11313000</v>
      </c>
      <c r="S16" s="8">
        <f t="shared" si="10"/>
        <v>11.313000000000001</v>
      </c>
      <c r="T16" s="10">
        <f t="shared" si="11"/>
        <v>34.730910000000002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371000.00000000047</v>
      </c>
      <c r="Y16" s="8">
        <f t="shared" si="14"/>
        <v>0.37100000000000044</v>
      </c>
      <c r="Z16" s="10">
        <f t="shared" si="15"/>
        <v>1.1389700000000014</v>
      </c>
      <c r="AA16" s="22"/>
      <c r="AB16" s="7">
        <f>'[4]Feb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10942000</v>
      </c>
      <c r="AG16" s="8">
        <f t="shared" si="18"/>
        <v>10.942</v>
      </c>
      <c r="AH16" s="8">
        <f t="shared" si="18"/>
        <v>33.591940000000001</v>
      </c>
    </row>
    <row r="17" spans="1:34" x14ac:dyDescent="0.15">
      <c r="A17" s="37">
        <v>39491</v>
      </c>
      <c r="B17" s="7">
        <f>'[4]Feb Prod'!I16</f>
        <v>0</v>
      </c>
      <c r="C17" s="8">
        <f t="shared" si="0"/>
        <v>0</v>
      </c>
      <c r="D17" s="10">
        <f t="shared" si="1"/>
        <v>0</v>
      </c>
      <c r="E17" s="7">
        <f>'[4]Feb Prod'!E16</f>
        <v>0</v>
      </c>
      <c r="F17" s="8">
        <f t="shared" si="2"/>
        <v>0</v>
      </c>
      <c r="G17" s="10">
        <f t="shared" si="3"/>
        <v>0</v>
      </c>
      <c r="H17" s="7">
        <f>'[4]Feb Prod'!F16</f>
        <v>0</v>
      </c>
      <c r="I17" s="8">
        <f t="shared" si="4"/>
        <v>0</v>
      </c>
      <c r="J17" s="10">
        <f t="shared" si="5"/>
        <v>0</v>
      </c>
      <c r="K17" s="7">
        <f>'[4]Feb Prod'!H257</f>
        <v>0</v>
      </c>
      <c r="L17" s="8">
        <f t="shared" si="6"/>
        <v>0</v>
      </c>
      <c r="M17" s="10">
        <f t="shared" si="7"/>
        <v>0</v>
      </c>
      <c r="N17" s="28"/>
      <c r="O17" s="7">
        <f>'[4]Feb Prod'!H16</f>
        <v>11390000</v>
      </c>
      <c r="P17" s="8">
        <f t="shared" si="8"/>
        <v>11.39</v>
      </c>
      <c r="Q17" s="10">
        <f t="shared" si="9"/>
        <v>34.967300000000002</v>
      </c>
      <c r="R17" s="7">
        <f>'[4]Feb Prod'!C16</f>
        <v>11760000</v>
      </c>
      <c r="S17" s="8">
        <f t="shared" si="10"/>
        <v>11.76</v>
      </c>
      <c r="T17" s="10">
        <f t="shared" si="11"/>
        <v>36.103199999999994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369999.99999999924</v>
      </c>
      <c r="Y17" s="8">
        <f t="shared" si="14"/>
        <v>0.36999999999999922</v>
      </c>
      <c r="Z17" s="10">
        <f t="shared" si="15"/>
        <v>1.1358999999999975</v>
      </c>
      <c r="AA17" s="22"/>
      <c r="AB17" s="7">
        <f>'[4]Feb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11390000</v>
      </c>
      <c r="AG17" s="8">
        <f t="shared" si="18"/>
        <v>11.39</v>
      </c>
      <c r="AH17" s="8">
        <f t="shared" si="18"/>
        <v>34.967300000000002</v>
      </c>
    </row>
    <row r="18" spans="1:34" x14ac:dyDescent="0.15">
      <c r="A18" s="37">
        <v>39492</v>
      </c>
      <c r="B18" s="7">
        <f>'[4]Feb Prod'!I17</f>
        <v>0</v>
      </c>
      <c r="C18" s="8">
        <f t="shared" si="0"/>
        <v>0</v>
      </c>
      <c r="D18" s="10">
        <f t="shared" si="1"/>
        <v>0</v>
      </c>
      <c r="E18" s="7">
        <f>'[4]Feb Prod'!E17</f>
        <v>0</v>
      </c>
      <c r="F18" s="8">
        <f t="shared" si="2"/>
        <v>0</v>
      </c>
      <c r="G18" s="10">
        <f t="shared" si="3"/>
        <v>0</v>
      </c>
      <c r="H18" s="7">
        <f>'[4]Feb Prod'!F17</f>
        <v>0</v>
      </c>
      <c r="I18" s="8">
        <f t="shared" si="4"/>
        <v>0</v>
      </c>
      <c r="J18" s="10">
        <f t="shared" si="5"/>
        <v>0</v>
      </c>
      <c r="K18" s="7">
        <f>'[4]Feb Prod'!H258</f>
        <v>0</v>
      </c>
      <c r="L18" s="8">
        <f t="shared" si="6"/>
        <v>0</v>
      </c>
      <c r="M18" s="10">
        <f t="shared" si="7"/>
        <v>0</v>
      </c>
      <c r="N18" s="28"/>
      <c r="O18" s="7">
        <f>'[4]Feb Prod'!H17</f>
        <v>11766000</v>
      </c>
      <c r="P18" s="8">
        <f t="shared" si="8"/>
        <v>11.766</v>
      </c>
      <c r="Q18" s="10">
        <f t="shared" si="9"/>
        <v>36.12162</v>
      </c>
      <c r="R18" s="7">
        <f>'[4]Feb Prod'!C17</f>
        <v>12324000</v>
      </c>
      <c r="S18" s="8">
        <f t="shared" si="10"/>
        <v>12.324</v>
      </c>
      <c r="T18" s="10">
        <f t="shared" si="11"/>
        <v>37.834679999999999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7">
        <f>'[4]Feb Prod'!D258</f>
        <v>558000.0000000007</v>
      </c>
      <c r="Y18" s="8">
        <f t="shared" si="14"/>
        <v>0.55800000000000072</v>
      </c>
      <c r="Z18" s="10">
        <f t="shared" si="15"/>
        <v>1.713060000000002</v>
      </c>
      <c r="AA18" s="22"/>
      <c r="AB18" s="7">
        <f>'[4]Feb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11766000</v>
      </c>
      <c r="AG18" s="8">
        <f t="shared" si="18"/>
        <v>11.766</v>
      </c>
      <c r="AH18" s="8">
        <f t="shared" si="18"/>
        <v>36.12162</v>
      </c>
    </row>
    <row r="19" spans="1:34" x14ac:dyDescent="0.15">
      <c r="A19" s="37">
        <v>39493</v>
      </c>
      <c r="B19" s="7">
        <f>'[4]Feb Prod'!I18</f>
        <v>0</v>
      </c>
      <c r="C19" s="8">
        <f t="shared" si="0"/>
        <v>0</v>
      </c>
      <c r="D19" s="10">
        <f t="shared" si="1"/>
        <v>0</v>
      </c>
      <c r="E19" s="7">
        <f>'[4]Feb Prod'!E18</f>
        <v>0</v>
      </c>
      <c r="F19" s="8">
        <f t="shared" si="2"/>
        <v>0</v>
      </c>
      <c r="G19" s="10">
        <f t="shared" si="3"/>
        <v>0</v>
      </c>
      <c r="H19" s="7">
        <f>'[4]Feb Prod'!F18</f>
        <v>0</v>
      </c>
      <c r="I19" s="8">
        <f t="shared" si="4"/>
        <v>0</v>
      </c>
      <c r="J19" s="10">
        <f t="shared" si="5"/>
        <v>0</v>
      </c>
      <c r="K19" s="7">
        <f>'[4]Feb Prod'!H259</f>
        <v>0</v>
      </c>
      <c r="L19" s="8">
        <f t="shared" si="6"/>
        <v>0</v>
      </c>
      <c r="M19" s="10">
        <f t="shared" si="7"/>
        <v>0</v>
      </c>
      <c r="N19" s="28"/>
      <c r="O19" s="7">
        <f>'[4]Feb Prod'!H18</f>
        <v>11335000</v>
      </c>
      <c r="P19" s="8">
        <f t="shared" si="8"/>
        <v>11.335000000000001</v>
      </c>
      <c r="Q19" s="10">
        <f t="shared" si="9"/>
        <v>34.798450000000003</v>
      </c>
      <c r="R19" s="7">
        <f>'[4]Feb Prod'!C18</f>
        <v>11713000</v>
      </c>
      <c r="S19" s="8">
        <f t="shared" si="10"/>
        <v>11.712999999999999</v>
      </c>
      <c r="T19" s="10">
        <f t="shared" si="11"/>
        <v>35.958909999999996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378000.00000000012</v>
      </c>
      <c r="Y19" s="8">
        <f t="shared" si="14"/>
        <v>0.37800000000000011</v>
      </c>
      <c r="Z19" s="10">
        <f t="shared" si="15"/>
        <v>1.1604600000000003</v>
      </c>
      <c r="AA19" s="22"/>
      <c r="AB19" s="7">
        <f>'[4]Feb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11335000</v>
      </c>
      <c r="AG19" s="8">
        <f t="shared" si="18"/>
        <v>11.335000000000001</v>
      </c>
      <c r="AH19" s="8">
        <f t="shared" si="18"/>
        <v>34.798450000000003</v>
      </c>
    </row>
    <row r="20" spans="1:34" x14ac:dyDescent="0.15">
      <c r="A20" s="37">
        <v>39494</v>
      </c>
      <c r="B20" s="7">
        <f>'[4]Feb Prod'!I19</f>
        <v>0</v>
      </c>
      <c r="C20" s="8">
        <f t="shared" si="0"/>
        <v>0</v>
      </c>
      <c r="D20" s="10">
        <f t="shared" si="1"/>
        <v>0</v>
      </c>
      <c r="E20" s="7">
        <f>'[4]Feb Prod'!E19</f>
        <v>0</v>
      </c>
      <c r="F20" s="8">
        <f t="shared" si="2"/>
        <v>0</v>
      </c>
      <c r="G20" s="10">
        <f t="shared" si="3"/>
        <v>0</v>
      </c>
      <c r="H20" s="7">
        <f>'[4]Feb Prod'!F19</f>
        <v>0</v>
      </c>
      <c r="I20" s="8">
        <f t="shared" si="4"/>
        <v>0</v>
      </c>
      <c r="J20" s="10">
        <f t="shared" si="5"/>
        <v>0</v>
      </c>
      <c r="K20" s="7">
        <f>'[4]Feb Prod'!H260</f>
        <v>0</v>
      </c>
      <c r="L20" s="8">
        <f t="shared" si="6"/>
        <v>0</v>
      </c>
      <c r="M20" s="10">
        <f t="shared" si="7"/>
        <v>0</v>
      </c>
      <c r="N20" s="28"/>
      <c r="O20" s="7">
        <f>'[4]Feb Prod'!H19</f>
        <v>11619000.000000002</v>
      </c>
      <c r="P20" s="8">
        <f t="shared" si="8"/>
        <v>11.619000000000002</v>
      </c>
      <c r="Q20" s="10">
        <f t="shared" si="9"/>
        <v>35.67033</v>
      </c>
      <c r="R20" s="7">
        <f>'[4]Feb Prod'!C19</f>
        <v>12076000</v>
      </c>
      <c r="S20" s="8">
        <f t="shared" si="10"/>
        <v>12.076000000000001</v>
      </c>
      <c r="T20" s="10">
        <f t="shared" si="11"/>
        <v>37.073320000000002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456999.99999999895</v>
      </c>
      <c r="Y20" s="8">
        <f t="shared" si="14"/>
        <v>0.45699999999999896</v>
      </c>
      <c r="Z20" s="10">
        <f t="shared" si="15"/>
        <v>1.4029899999999969</v>
      </c>
      <c r="AA20" s="22"/>
      <c r="AB20" s="7">
        <f>'[4]Feb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11619000.000000002</v>
      </c>
      <c r="AG20" s="8">
        <f t="shared" si="18"/>
        <v>11.619000000000002</v>
      </c>
      <c r="AH20" s="8">
        <f t="shared" si="18"/>
        <v>35.67033</v>
      </c>
    </row>
    <row r="21" spans="1:34" x14ac:dyDescent="0.15">
      <c r="A21" s="37">
        <v>39495</v>
      </c>
      <c r="B21" s="7">
        <f>'[4]Feb Prod'!I20</f>
        <v>0</v>
      </c>
      <c r="C21" s="8">
        <f t="shared" si="0"/>
        <v>0</v>
      </c>
      <c r="D21" s="10">
        <f t="shared" si="1"/>
        <v>0</v>
      </c>
      <c r="E21" s="7">
        <f>'[4]Feb Prod'!E20</f>
        <v>0</v>
      </c>
      <c r="F21" s="8">
        <f t="shared" si="2"/>
        <v>0</v>
      </c>
      <c r="G21" s="10">
        <f t="shared" si="3"/>
        <v>0</v>
      </c>
      <c r="H21" s="7">
        <f>'[4]Feb Prod'!F20</f>
        <v>0</v>
      </c>
      <c r="I21" s="8">
        <f t="shared" si="4"/>
        <v>0</v>
      </c>
      <c r="J21" s="10">
        <f t="shared" si="5"/>
        <v>0</v>
      </c>
      <c r="K21" s="7">
        <f>'[4]Feb Prod'!H261</f>
        <v>0</v>
      </c>
      <c r="L21" s="8">
        <f t="shared" si="6"/>
        <v>0</v>
      </c>
      <c r="M21" s="10">
        <f t="shared" si="7"/>
        <v>0</v>
      </c>
      <c r="N21" s="28"/>
      <c r="O21" s="7">
        <f>'[4]Feb Prod'!H20</f>
        <v>11407000</v>
      </c>
      <c r="P21" s="8">
        <f t="shared" si="8"/>
        <v>11.407</v>
      </c>
      <c r="Q21" s="10">
        <f t="shared" si="9"/>
        <v>35.019489999999998</v>
      </c>
      <c r="R21" s="7">
        <f>'[4]Feb Prod'!C20</f>
        <v>11784000</v>
      </c>
      <c r="S21" s="8">
        <f t="shared" si="10"/>
        <v>11.784000000000001</v>
      </c>
      <c r="T21" s="10">
        <f t="shared" si="11"/>
        <v>36.176879999999997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377000.00000000064</v>
      </c>
      <c r="Y21" s="8">
        <f t="shared" si="14"/>
        <v>0.37700000000000067</v>
      </c>
      <c r="Z21" s="10">
        <f t="shared" si="15"/>
        <v>1.1573900000000019</v>
      </c>
      <c r="AA21" s="22"/>
      <c r="AB21" s="7">
        <f>'[4]Feb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11407000</v>
      </c>
      <c r="AG21" s="8">
        <f t="shared" si="18"/>
        <v>11.407</v>
      </c>
      <c r="AH21" s="8">
        <f t="shared" si="18"/>
        <v>35.019489999999998</v>
      </c>
    </row>
    <row r="22" spans="1:34" x14ac:dyDescent="0.15">
      <c r="A22" s="37">
        <v>39496</v>
      </c>
      <c r="B22" s="7">
        <f>'[4]Feb Prod'!I21</f>
        <v>0</v>
      </c>
      <c r="C22" s="8">
        <f t="shared" si="0"/>
        <v>0</v>
      </c>
      <c r="D22" s="10">
        <f t="shared" si="1"/>
        <v>0</v>
      </c>
      <c r="E22" s="7">
        <f>'[4]Feb Prod'!E21</f>
        <v>0</v>
      </c>
      <c r="F22" s="8">
        <f t="shared" si="2"/>
        <v>0</v>
      </c>
      <c r="G22" s="10">
        <f t="shared" si="3"/>
        <v>0</v>
      </c>
      <c r="H22" s="7">
        <f>'[4]Feb Prod'!F21</f>
        <v>0</v>
      </c>
      <c r="I22" s="8">
        <f t="shared" si="4"/>
        <v>0</v>
      </c>
      <c r="J22" s="10">
        <f t="shared" si="5"/>
        <v>0</v>
      </c>
      <c r="K22" s="7">
        <f>'[4]Feb Prod'!H262</f>
        <v>0</v>
      </c>
      <c r="L22" s="8">
        <f t="shared" si="6"/>
        <v>0</v>
      </c>
      <c r="M22" s="10">
        <f t="shared" si="7"/>
        <v>0</v>
      </c>
      <c r="N22" s="28"/>
      <c r="O22" s="7">
        <f>'[4]Feb Prod'!H21</f>
        <v>10176000</v>
      </c>
      <c r="P22" s="8">
        <f t="shared" si="8"/>
        <v>10.176</v>
      </c>
      <c r="Q22" s="10">
        <f t="shared" si="9"/>
        <v>31.240320000000001</v>
      </c>
      <c r="R22" s="7">
        <f>'[4]Feb Prod'!C21</f>
        <v>10655000</v>
      </c>
      <c r="S22" s="8">
        <f t="shared" si="10"/>
        <v>10.654999999999999</v>
      </c>
      <c r="T22" s="10">
        <f t="shared" si="11"/>
        <v>32.710849999999994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478999.99999999919</v>
      </c>
      <c r="Y22" s="8">
        <f t="shared" si="14"/>
        <v>0.4789999999999992</v>
      </c>
      <c r="Z22" s="10">
        <f t="shared" si="15"/>
        <v>1.4705299999999975</v>
      </c>
      <c r="AA22" s="22"/>
      <c r="AB22" s="7">
        <f>'[4]Feb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10176000</v>
      </c>
      <c r="AG22" s="8">
        <f t="shared" si="18"/>
        <v>10.176</v>
      </c>
      <c r="AH22" s="8">
        <f t="shared" si="18"/>
        <v>31.240320000000001</v>
      </c>
    </row>
    <row r="23" spans="1:34" x14ac:dyDescent="0.15">
      <c r="A23" s="37">
        <v>39497</v>
      </c>
      <c r="B23" s="7">
        <f>'[4]Feb Prod'!I22</f>
        <v>0</v>
      </c>
      <c r="C23" s="8">
        <f t="shared" si="0"/>
        <v>0</v>
      </c>
      <c r="D23" s="10">
        <f t="shared" si="1"/>
        <v>0</v>
      </c>
      <c r="E23" s="7">
        <f>'[4]Feb Prod'!E22</f>
        <v>0</v>
      </c>
      <c r="F23" s="8">
        <f t="shared" si="2"/>
        <v>0</v>
      </c>
      <c r="G23" s="10">
        <f t="shared" si="3"/>
        <v>0</v>
      </c>
      <c r="H23" s="7">
        <f>'[4]Feb Prod'!F22</f>
        <v>0</v>
      </c>
      <c r="I23" s="8">
        <f t="shared" si="4"/>
        <v>0</v>
      </c>
      <c r="J23" s="10">
        <f t="shared" si="5"/>
        <v>0</v>
      </c>
      <c r="K23" s="7">
        <f>'[4]Feb Prod'!H263</f>
        <v>0</v>
      </c>
      <c r="L23" s="8">
        <f t="shared" si="6"/>
        <v>0</v>
      </c>
      <c r="M23" s="10">
        <f t="shared" si="7"/>
        <v>0</v>
      </c>
      <c r="N23" s="28"/>
      <c r="O23" s="7">
        <f>'[4]Feb Prod'!H22</f>
        <v>10539000</v>
      </c>
      <c r="P23" s="8">
        <f t="shared" si="8"/>
        <v>10.539</v>
      </c>
      <c r="Q23" s="10">
        <f t="shared" si="9"/>
        <v>32.354729999999996</v>
      </c>
      <c r="R23" s="7">
        <f>'[4]Feb Prod'!C22</f>
        <v>11013000</v>
      </c>
      <c r="S23" s="8">
        <f t="shared" si="10"/>
        <v>11.013</v>
      </c>
      <c r="T23" s="10">
        <f t="shared" si="11"/>
        <v>33.809909999999995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474000.00000000017</v>
      </c>
      <c r="Y23" s="8">
        <f t="shared" si="14"/>
        <v>0.4740000000000002</v>
      </c>
      <c r="Z23" s="10">
        <f t="shared" si="15"/>
        <v>1.4551800000000006</v>
      </c>
      <c r="AA23" s="22"/>
      <c r="AB23" s="7">
        <f>'[4]Feb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10539000</v>
      </c>
      <c r="AG23" s="8">
        <f t="shared" si="18"/>
        <v>10.539</v>
      </c>
      <c r="AH23" s="8">
        <f t="shared" si="18"/>
        <v>32.354729999999996</v>
      </c>
    </row>
    <row r="24" spans="1:34" x14ac:dyDescent="0.15">
      <c r="A24" s="37">
        <v>39498</v>
      </c>
      <c r="B24" s="7">
        <f>'[4]Feb Prod'!I23</f>
        <v>0</v>
      </c>
      <c r="C24" s="8">
        <f t="shared" si="0"/>
        <v>0</v>
      </c>
      <c r="D24" s="10">
        <f t="shared" si="1"/>
        <v>0</v>
      </c>
      <c r="E24" s="7">
        <f>'[4]Feb Prod'!E23</f>
        <v>0</v>
      </c>
      <c r="F24" s="8">
        <f t="shared" si="2"/>
        <v>0</v>
      </c>
      <c r="G24" s="10">
        <f t="shared" si="3"/>
        <v>0</v>
      </c>
      <c r="H24" s="7">
        <f>'[4]Feb Prod'!F23</f>
        <v>0</v>
      </c>
      <c r="I24" s="8">
        <f t="shared" si="4"/>
        <v>0</v>
      </c>
      <c r="J24" s="10">
        <f t="shared" si="5"/>
        <v>0</v>
      </c>
      <c r="K24" s="7">
        <f>'[4]Feb Prod'!H264</f>
        <v>0</v>
      </c>
      <c r="L24" s="8">
        <f t="shared" ref="L24:L33" si="19">K24/1000000</f>
        <v>0</v>
      </c>
      <c r="M24" s="10">
        <f t="shared" si="7"/>
        <v>0</v>
      </c>
      <c r="N24" s="28"/>
      <c r="O24" s="7">
        <f>'[4]Feb Prod'!H23</f>
        <v>11300000</v>
      </c>
      <c r="P24" s="8">
        <f t="shared" si="8"/>
        <v>11.3</v>
      </c>
      <c r="Q24" s="10">
        <f t="shared" si="9"/>
        <v>34.691000000000003</v>
      </c>
      <c r="R24" s="7">
        <f>'[4]Feb Prod'!C23</f>
        <v>11778000</v>
      </c>
      <c r="S24" s="8">
        <f t="shared" si="10"/>
        <v>11.778</v>
      </c>
      <c r="T24" s="10">
        <f t="shared" si="11"/>
        <v>36.158459999999998</v>
      </c>
      <c r="U24" s="7">
        <f>'[4]Feb Prod'!D23</f>
        <v>0</v>
      </c>
      <c r="V24" s="8">
        <f t="shared" si="12"/>
        <v>0</v>
      </c>
      <c r="W24" s="10">
        <f t="shared" si="13"/>
        <v>0</v>
      </c>
      <c r="X24" s="7">
        <f>'[4]Feb Prod'!D264</f>
        <v>477999.99999999977</v>
      </c>
      <c r="Y24" s="8">
        <f t="shared" si="14"/>
        <v>0.47799999999999976</v>
      </c>
      <c r="Z24" s="10">
        <f t="shared" si="15"/>
        <v>1.4674599999999991</v>
      </c>
      <c r="AA24" s="22"/>
      <c r="AB24" s="7">
        <f>'[4]Feb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11300000</v>
      </c>
      <c r="AG24" s="8">
        <f t="shared" si="18"/>
        <v>11.3</v>
      </c>
      <c r="AH24" s="8">
        <f t="shared" si="18"/>
        <v>34.691000000000003</v>
      </c>
    </row>
    <row r="25" spans="1:34" x14ac:dyDescent="0.15">
      <c r="A25" s="37">
        <v>39499</v>
      </c>
      <c r="B25" s="7">
        <f>'[4]Feb Prod'!I24</f>
        <v>0</v>
      </c>
      <c r="C25" s="8">
        <f t="shared" si="0"/>
        <v>0</v>
      </c>
      <c r="D25" s="10">
        <f t="shared" si="1"/>
        <v>0</v>
      </c>
      <c r="E25" s="7">
        <f>'[4]Feb Prod'!E24</f>
        <v>0</v>
      </c>
      <c r="F25" s="8">
        <f t="shared" si="2"/>
        <v>0</v>
      </c>
      <c r="G25" s="10">
        <f t="shared" si="3"/>
        <v>0</v>
      </c>
      <c r="H25" s="7">
        <f>'[4]Feb Prod'!F24</f>
        <v>0</v>
      </c>
      <c r="I25" s="8">
        <f t="shared" si="4"/>
        <v>0</v>
      </c>
      <c r="J25" s="10">
        <f t="shared" si="5"/>
        <v>0</v>
      </c>
      <c r="K25" s="7">
        <f>'[4]Feb Prod'!H265</f>
        <v>0</v>
      </c>
      <c r="L25" s="8">
        <f t="shared" si="19"/>
        <v>0</v>
      </c>
      <c r="M25" s="10">
        <f t="shared" si="7"/>
        <v>0</v>
      </c>
      <c r="N25" s="28"/>
      <c r="O25" s="7">
        <f>'[4]Feb Prod'!H24</f>
        <v>11886000</v>
      </c>
      <c r="P25" s="8">
        <f t="shared" si="8"/>
        <v>11.885999999999999</v>
      </c>
      <c r="Q25" s="10">
        <f t="shared" si="9"/>
        <v>36.490019999999994</v>
      </c>
      <c r="R25" s="7">
        <f>'[4]Feb Prod'!C24</f>
        <v>12260000</v>
      </c>
      <c r="S25" s="8">
        <f t="shared" si="10"/>
        <v>12.26</v>
      </c>
      <c r="T25" s="10">
        <f t="shared" si="11"/>
        <v>37.638199999999998</v>
      </c>
      <c r="U25" s="7">
        <f>'[4]Feb Prod'!D24</f>
        <v>0</v>
      </c>
      <c r="V25" s="8">
        <f t="shared" si="12"/>
        <v>0</v>
      </c>
      <c r="W25" s="10">
        <f t="shared" si="13"/>
        <v>0</v>
      </c>
      <c r="X25" s="7">
        <f>'[4]Feb Prod'!D265</f>
        <v>374000.00000000058</v>
      </c>
      <c r="Y25" s="8">
        <f t="shared" si="14"/>
        <v>0.37400000000000061</v>
      </c>
      <c r="Z25" s="10">
        <f t="shared" si="15"/>
        <v>1.1481800000000018</v>
      </c>
      <c r="AA25" s="22"/>
      <c r="AB25" s="7">
        <f>'[4]Feb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11886000</v>
      </c>
      <c r="AG25" s="8">
        <f t="shared" si="18"/>
        <v>11.885999999999999</v>
      </c>
      <c r="AH25" s="8">
        <f t="shared" si="18"/>
        <v>36.490019999999994</v>
      </c>
    </row>
    <row r="26" spans="1:34" x14ac:dyDescent="0.15">
      <c r="A26" s="37">
        <v>39500</v>
      </c>
      <c r="B26" s="7">
        <f>'[4]Feb Prod'!I25</f>
        <v>0</v>
      </c>
      <c r="C26" s="8">
        <f t="shared" si="0"/>
        <v>0</v>
      </c>
      <c r="D26" s="10">
        <f t="shared" si="1"/>
        <v>0</v>
      </c>
      <c r="E26" s="7">
        <f>'[4]Feb Prod'!E25</f>
        <v>0</v>
      </c>
      <c r="F26" s="8">
        <f t="shared" si="2"/>
        <v>0</v>
      </c>
      <c r="G26" s="10">
        <f t="shared" si="3"/>
        <v>0</v>
      </c>
      <c r="H26" s="7">
        <f>'[4]Feb Prod'!F25</f>
        <v>0</v>
      </c>
      <c r="I26" s="8">
        <f t="shared" si="4"/>
        <v>0</v>
      </c>
      <c r="J26" s="10">
        <f t="shared" si="5"/>
        <v>0</v>
      </c>
      <c r="K26" s="7">
        <f>'[4]Feb Prod'!H266</f>
        <v>0</v>
      </c>
      <c r="L26" s="8">
        <f t="shared" si="19"/>
        <v>0</v>
      </c>
      <c r="M26" s="10">
        <f t="shared" si="7"/>
        <v>0</v>
      </c>
      <c r="N26" s="28"/>
      <c r="O26" s="7">
        <f>'[4]Feb Prod'!H25</f>
        <v>10988000</v>
      </c>
      <c r="P26" s="8">
        <f t="shared" si="8"/>
        <v>10.988</v>
      </c>
      <c r="Q26" s="10">
        <f t="shared" si="9"/>
        <v>33.733159999999998</v>
      </c>
      <c r="R26" s="7">
        <f>'[4]Feb Prod'!C25</f>
        <v>11368000</v>
      </c>
      <c r="S26" s="8">
        <f t="shared" si="10"/>
        <v>11.368</v>
      </c>
      <c r="T26" s="10">
        <f t="shared" si="11"/>
        <v>34.899760000000001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380000.00000000076</v>
      </c>
      <c r="Y26" s="8">
        <f t="shared" si="14"/>
        <v>0.38000000000000078</v>
      </c>
      <c r="Z26" s="10">
        <f t="shared" si="15"/>
        <v>1.1666000000000023</v>
      </c>
      <c r="AA26" s="22"/>
      <c r="AB26" s="7">
        <f>'[4]Feb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10988000</v>
      </c>
      <c r="AG26" s="8">
        <f t="shared" si="18"/>
        <v>10.988</v>
      </c>
      <c r="AH26" s="8">
        <f t="shared" si="18"/>
        <v>33.733159999999998</v>
      </c>
    </row>
    <row r="27" spans="1:34" x14ac:dyDescent="0.15">
      <c r="A27" s="37">
        <v>39501</v>
      </c>
      <c r="B27" s="7">
        <f>'[4]Feb Prod'!I26</f>
        <v>0</v>
      </c>
      <c r="C27" s="8">
        <f t="shared" si="0"/>
        <v>0</v>
      </c>
      <c r="D27" s="10">
        <f t="shared" si="1"/>
        <v>0</v>
      </c>
      <c r="E27" s="7">
        <f>'[4]Feb Prod'!E26</f>
        <v>0</v>
      </c>
      <c r="F27" s="8">
        <f t="shared" si="2"/>
        <v>0</v>
      </c>
      <c r="G27" s="10">
        <f t="shared" si="3"/>
        <v>0</v>
      </c>
      <c r="H27" s="7">
        <f>'[4]Feb Prod'!F26</f>
        <v>0</v>
      </c>
      <c r="I27" s="8">
        <f t="shared" si="4"/>
        <v>0</v>
      </c>
      <c r="J27" s="10">
        <f t="shared" si="5"/>
        <v>0</v>
      </c>
      <c r="K27" s="7">
        <f>'[4]Feb Prod'!H267</f>
        <v>0</v>
      </c>
      <c r="L27" s="8">
        <f t="shared" si="19"/>
        <v>0</v>
      </c>
      <c r="M27" s="10">
        <f t="shared" si="7"/>
        <v>0</v>
      </c>
      <c r="N27" s="28"/>
      <c r="O27" s="7">
        <f>'[4]Feb Prod'!H26</f>
        <v>10922000.000000002</v>
      </c>
      <c r="P27" s="8">
        <f t="shared" si="8"/>
        <v>10.922000000000002</v>
      </c>
      <c r="Q27" s="10">
        <f t="shared" si="9"/>
        <v>33.530540000000002</v>
      </c>
      <c r="R27" s="7">
        <f>'[4]Feb Prod'!C26</f>
        <v>11498000</v>
      </c>
      <c r="S27" s="8">
        <f t="shared" si="10"/>
        <v>11.497999999999999</v>
      </c>
      <c r="T27" s="10">
        <f t="shared" si="11"/>
        <v>35.298859999999998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575999.99999999872</v>
      </c>
      <c r="Y27" s="8">
        <f t="shared" si="14"/>
        <v>0.57599999999999874</v>
      </c>
      <c r="Z27" s="10">
        <f t="shared" si="15"/>
        <v>1.7683199999999961</v>
      </c>
      <c r="AA27" s="22"/>
      <c r="AB27" s="7">
        <f>'[4]Feb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10922000.000000002</v>
      </c>
      <c r="AG27" s="8">
        <f t="shared" si="18"/>
        <v>10.922000000000002</v>
      </c>
      <c r="AH27" s="8">
        <f t="shared" si="18"/>
        <v>33.530540000000002</v>
      </c>
    </row>
    <row r="28" spans="1:34" x14ac:dyDescent="0.15">
      <c r="A28" s="37">
        <v>39502</v>
      </c>
      <c r="B28" s="7">
        <f>'[4]Feb Prod'!I27</f>
        <v>0</v>
      </c>
      <c r="C28" s="8">
        <f t="shared" si="0"/>
        <v>0</v>
      </c>
      <c r="D28" s="10">
        <f t="shared" si="1"/>
        <v>0</v>
      </c>
      <c r="E28" s="7">
        <f>'[4]Feb Prod'!E27</f>
        <v>0</v>
      </c>
      <c r="F28" s="8">
        <f t="shared" si="2"/>
        <v>0</v>
      </c>
      <c r="G28" s="10">
        <f t="shared" si="3"/>
        <v>0</v>
      </c>
      <c r="H28" s="7">
        <f>'[4]Feb Prod'!F27</f>
        <v>0</v>
      </c>
      <c r="I28" s="8">
        <f t="shared" si="4"/>
        <v>0</v>
      </c>
      <c r="J28" s="10">
        <f t="shared" si="5"/>
        <v>0</v>
      </c>
      <c r="K28" s="7">
        <f>'[4]Feb Prod'!H268</f>
        <v>0</v>
      </c>
      <c r="L28" s="8">
        <f t="shared" si="19"/>
        <v>0</v>
      </c>
      <c r="M28" s="10">
        <f t="shared" si="7"/>
        <v>0</v>
      </c>
      <c r="N28" s="28"/>
      <c r="O28" s="7">
        <f>'[4]Feb Prod'!H27</f>
        <v>11375000</v>
      </c>
      <c r="P28" s="8">
        <f t="shared" si="8"/>
        <v>11.375</v>
      </c>
      <c r="Q28" s="10">
        <f t="shared" si="9"/>
        <v>34.921250000000001</v>
      </c>
      <c r="R28" s="7">
        <f>'[4]Feb Prod'!C27</f>
        <v>11756000</v>
      </c>
      <c r="S28" s="8">
        <f t="shared" si="10"/>
        <v>11.756</v>
      </c>
      <c r="T28" s="10">
        <f t="shared" si="11"/>
        <v>36.090919999999997</v>
      </c>
      <c r="U28" s="7">
        <f>'[4]Feb Prod'!D27</f>
        <v>0</v>
      </c>
      <c r="V28" s="8">
        <f t="shared" si="12"/>
        <v>0</v>
      </c>
      <c r="W28" s="10">
        <f t="shared" si="13"/>
        <v>0</v>
      </c>
      <c r="X28" s="7">
        <f>'[4]Feb Prod'!D268</f>
        <v>381000.00000000023</v>
      </c>
      <c r="Y28" s="8">
        <f t="shared" si="14"/>
        <v>0.38100000000000023</v>
      </c>
      <c r="Z28" s="10">
        <f t="shared" si="15"/>
        <v>1.1696700000000007</v>
      </c>
      <c r="AA28" s="22"/>
      <c r="AB28" s="7">
        <f>'[4]Feb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11375000</v>
      </c>
      <c r="AG28" s="8">
        <f t="shared" si="18"/>
        <v>11.375</v>
      </c>
      <c r="AH28" s="8">
        <f t="shared" si="18"/>
        <v>34.921250000000001</v>
      </c>
    </row>
    <row r="29" spans="1:34" x14ac:dyDescent="0.15">
      <c r="A29" s="37">
        <v>39503</v>
      </c>
      <c r="B29" s="7">
        <f>'[4]Feb Prod'!I28</f>
        <v>0</v>
      </c>
      <c r="C29" s="8">
        <f t="shared" si="0"/>
        <v>0</v>
      </c>
      <c r="D29" s="10">
        <f t="shared" si="1"/>
        <v>0</v>
      </c>
      <c r="E29" s="7">
        <f>'[4]Feb Prod'!E28</f>
        <v>0</v>
      </c>
      <c r="F29" s="8">
        <f t="shared" si="2"/>
        <v>0</v>
      </c>
      <c r="G29" s="10">
        <f t="shared" si="3"/>
        <v>0</v>
      </c>
      <c r="H29" s="7">
        <f>'[4]Feb Prod'!F28</f>
        <v>0</v>
      </c>
      <c r="I29" s="8">
        <f t="shared" si="4"/>
        <v>0</v>
      </c>
      <c r="J29" s="10">
        <f t="shared" si="5"/>
        <v>0</v>
      </c>
      <c r="K29" s="7">
        <f>'[4]Feb Prod'!H269</f>
        <v>0</v>
      </c>
      <c r="L29" s="8">
        <f t="shared" si="19"/>
        <v>0</v>
      </c>
      <c r="M29" s="10">
        <f t="shared" si="7"/>
        <v>0</v>
      </c>
      <c r="N29" s="28"/>
      <c r="O29" s="7">
        <f>'[4]Feb Prod'!H28</f>
        <v>10572999.999999998</v>
      </c>
      <c r="P29" s="8">
        <f t="shared" si="8"/>
        <v>10.572999999999999</v>
      </c>
      <c r="Q29" s="10">
        <f t="shared" si="9"/>
        <v>32.459109999999995</v>
      </c>
      <c r="R29" s="7">
        <f>'[4]Feb Prod'!C28</f>
        <v>11029000</v>
      </c>
      <c r="S29" s="8">
        <f t="shared" si="10"/>
        <v>11.029</v>
      </c>
      <c r="T29" s="10">
        <f t="shared" si="11"/>
        <v>33.859029999999997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456000.00000000128</v>
      </c>
      <c r="Y29" s="8">
        <f t="shared" si="14"/>
        <v>0.45600000000000129</v>
      </c>
      <c r="Z29" s="10">
        <f t="shared" si="15"/>
        <v>1.3999200000000038</v>
      </c>
      <c r="AA29" s="22"/>
      <c r="AB29" s="7">
        <f>'[4]Feb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10572999.999999998</v>
      </c>
      <c r="AG29" s="8">
        <f t="shared" si="18"/>
        <v>10.572999999999999</v>
      </c>
      <c r="AH29" s="8">
        <f t="shared" si="18"/>
        <v>32.459109999999995</v>
      </c>
    </row>
    <row r="30" spans="1:34" x14ac:dyDescent="0.15">
      <c r="A30" s="37">
        <v>39504</v>
      </c>
      <c r="B30" s="7">
        <f>'[4]Feb Prod'!I29</f>
        <v>0</v>
      </c>
      <c r="C30" s="8">
        <f t="shared" si="0"/>
        <v>0</v>
      </c>
      <c r="D30" s="10">
        <f t="shared" si="1"/>
        <v>0</v>
      </c>
      <c r="E30" s="7">
        <f>'[4]Feb Prod'!E29</f>
        <v>0</v>
      </c>
      <c r="F30" s="8">
        <f t="shared" si="2"/>
        <v>0</v>
      </c>
      <c r="G30" s="10">
        <f t="shared" si="3"/>
        <v>0</v>
      </c>
      <c r="H30" s="7">
        <f>'[4]Feb Prod'!F29</f>
        <v>0</v>
      </c>
      <c r="I30" s="8">
        <f t="shared" si="4"/>
        <v>0</v>
      </c>
      <c r="J30" s="10">
        <f t="shared" si="5"/>
        <v>0</v>
      </c>
      <c r="K30" s="7">
        <f>'[4]Feb Prod'!H270</f>
        <v>0</v>
      </c>
      <c r="L30" s="8">
        <f t="shared" si="19"/>
        <v>0</v>
      </c>
      <c r="M30" s="10">
        <f t="shared" si="7"/>
        <v>0</v>
      </c>
      <c r="N30" s="28"/>
      <c r="O30" s="7">
        <f>'[4]Feb Prod'!H29</f>
        <v>10756000.000000002</v>
      </c>
      <c r="P30" s="8">
        <f t="shared" si="8"/>
        <v>10.756000000000002</v>
      </c>
      <c r="Q30" s="10">
        <f t="shared" si="9"/>
        <v>33.020920000000004</v>
      </c>
      <c r="R30" s="7">
        <f>'[4]Feb Prod'!C29</f>
        <v>11184000</v>
      </c>
      <c r="S30" s="8">
        <f t="shared" si="10"/>
        <v>11.183999999999999</v>
      </c>
      <c r="T30" s="10">
        <f t="shared" si="11"/>
        <v>34.334879999999998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427999.99999999907</v>
      </c>
      <c r="Y30" s="8">
        <f t="shared" si="14"/>
        <v>0.42799999999999905</v>
      </c>
      <c r="Z30" s="10">
        <f t="shared" si="15"/>
        <v>1.3139599999999969</v>
      </c>
      <c r="AA30" s="22"/>
      <c r="AB30" s="7">
        <f>'[4]Feb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10756000.000000002</v>
      </c>
      <c r="AG30" s="8">
        <f t="shared" si="18"/>
        <v>10.756000000000002</v>
      </c>
      <c r="AH30" s="8">
        <f t="shared" si="18"/>
        <v>33.020920000000004</v>
      </c>
    </row>
    <row r="31" spans="1:34" x14ac:dyDescent="0.15">
      <c r="A31" s="37">
        <v>39505</v>
      </c>
      <c r="B31" s="7">
        <f>'[4]Feb Prod'!I30</f>
        <v>0</v>
      </c>
      <c r="C31" s="8">
        <f t="shared" si="0"/>
        <v>0</v>
      </c>
      <c r="D31" s="10">
        <f t="shared" si="1"/>
        <v>0</v>
      </c>
      <c r="E31" s="7">
        <f>'[4]Feb Prod'!E30</f>
        <v>0</v>
      </c>
      <c r="F31" s="8">
        <f t="shared" si="2"/>
        <v>0</v>
      </c>
      <c r="G31" s="10">
        <f t="shared" si="3"/>
        <v>0</v>
      </c>
      <c r="H31" s="7">
        <f>'[4]Feb Prod'!F30</f>
        <v>0</v>
      </c>
      <c r="I31" s="8">
        <f t="shared" si="4"/>
        <v>0</v>
      </c>
      <c r="J31" s="10">
        <f t="shared" si="5"/>
        <v>0</v>
      </c>
      <c r="K31" s="7">
        <f>'[4]Feb Prod'!H271</f>
        <v>0</v>
      </c>
      <c r="L31" s="8">
        <f t="shared" si="19"/>
        <v>0</v>
      </c>
      <c r="M31" s="10">
        <f t="shared" si="7"/>
        <v>0</v>
      </c>
      <c r="N31" s="28"/>
      <c r="O31" s="7">
        <f>'[4]Feb Prod'!H30</f>
        <v>10959000</v>
      </c>
      <c r="P31" s="8">
        <f t="shared" si="8"/>
        <v>10.959</v>
      </c>
      <c r="Q31" s="10">
        <f t="shared" si="9"/>
        <v>33.644129999999997</v>
      </c>
      <c r="R31" s="7">
        <f>'[4]Feb Prod'!C30</f>
        <v>11387000</v>
      </c>
      <c r="S31" s="8">
        <f t="shared" si="10"/>
        <v>11.387</v>
      </c>
      <c r="T31" s="10">
        <f t="shared" si="11"/>
        <v>34.958089999999999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428000.00000000081</v>
      </c>
      <c r="Y31" s="8">
        <f t="shared" si="14"/>
        <v>0.42800000000000082</v>
      </c>
      <c r="Z31" s="10">
        <f t="shared" si="15"/>
        <v>1.3139600000000025</v>
      </c>
      <c r="AA31" s="22"/>
      <c r="AB31" s="7">
        <f>'[4]Feb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10959000</v>
      </c>
      <c r="AG31" s="8">
        <f t="shared" si="18"/>
        <v>10.959</v>
      </c>
      <c r="AH31" s="8">
        <f t="shared" si="18"/>
        <v>33.644129999999997</v>
      </c>
    </row>
    <row r="32" spans="1:34" x14ac:dyDescent="0.15">
      <c r="A32" s="37">
        <v>39506</v>
      </c>
      <c r="B32" s="7">
        <f>'[4]Feb Prod'!I31</f>
        <v>0</v>
      </c>
      <c r="C32" s="8">
        <f t="shared" si="0"/>
        <v>0</v>
      </c>
      <c r="D32" s="10">
        <f t="shared" si="1"/>
        <v>0</v>
      </c>
      <c r="E32" s="7">
        <f>'[4]Feb Prod'!E31</f>
        <v>0</v>
      </c>
      <c r="F32" s="8">
        <f t="shared" si="2"/>
        <v>0</v>
      </c>
      <c r="G32" s="10">
        <f t="shared" si="3"/>
        <v>0</v>
      </c>
      <c r="H32" s="7">
        <f>'[4]Feb Prod'!F31</f>
        <v>0</v>
      </c>
      <c r="I32" s="8">
        <f t="shared" si="4"/>
        <v>0</v>
      </c>
      <c r="J32" s="10">
        <f t="shared" si="5"/>
        <v>0</v>
      </c>
      <c r="K32" s="7">
        <f>'[4]Feb Prod'!H272</f>
        <v>0</v>
      </c>
      <c r="L32" s="8">
        <f t="shared" si="19"/>
        <v>0</v>
      </c>
      <c r="M32" s="10">
        <f t="shared" si="7"/>
        <v>0</v>
      </c>
      <c r="N32" s="28"/>
      <c r="O32" s="7">
        <f>'[4]Feb Prod'!H31</f>
        <v>11687000</v>
      </c>
      <c r="P32" s="8">
        <f t="shared" si="8"/>
        <v>11.686999999999999</v>
      </c>
      <c r="Q32" s="10">
        <f t="shared" si="9"/>
        <v>35.879089999999998</v>
      </c>
      <c r="R32" s="7">
        <f>'[4]Feb Prod'!C31</f>
        <v>12166000</v>
      </c>
      <c r="S32" s="8">
        <f t="shared" si="10"/>
        <v>12.166</v>
      </c>
      <c r="T32" s="10">
        <f t="shared" si="11"/>
        <v>37.349620000000002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478999.99999999919</v>
      </c>
      <c r="Y32" s="8">
        <f t="shared" si="14"/>
        <v>0.4789999999999992</v>
      </c>
      <c r="Z32" s="10">
        <f t="shared" si="15"/>
        <v>1.4705299999999975</v>
      </c>
      <c r="AA32" s="22"/>
      <c r="AB32" s="7">
        <f>'[4]Feb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11687000</v>
      </c>
      <c r="AG32" s="8">
        <f t="shared" si="18"/>
        <v>11.686999999999999</v>
      </c>
      <c r="AH32" s="8">
        <f t="shared" si="18"/>
        <v>35.879089999999998</v>
      </c>
    </row>
    <row r="33" spans="1:34" x14ac:dyDescent="0.15">
      <c r="A33" s="37">
        <v>39507</v>
      </c>
      <c r="B33" s="7"/>
      <c r="C33" s="8">
        <f t="shared" si="0"/>
        <v>0</v>
      </c>
      <c r="D33" s="10">
        <f t="shared" si="1"/>
        <v>0</v>
      </c>
      <c r="E33" s="7"/>
      <c r="F33" s="8">
        <f t="shared" si="2"/>
        <v>0</v>
      </c>
      <c r="G33" s="10">
        <f t="shared" si="3"/>
        <v>0</v>
      </c>
      <c r="H33" s="7"/>
      <c r="I33" s="8">
        <f t="shared" si="4"/>
        <v>0</v>
      </c>
      <c r="J33" s="10">
        <f t="shared" si="5"/>
        <v>0</v>
      </c>
      <c r="K33" s="7"/>
      <c r="L33" s="8">
        <f t="shared" si="19"/>
        <v>0</v>
      </c>
      <c r="M33" s="10">
        <f t="shared" si="7"/>
        <v>0</v>
      </c>
      <c r="N33" s="28"/>
      <c r="O33" s="7"/>
      <c r="P33" s="8">
        <f t="shared" si="8"/>
        <v>0</v>
      </c>
      <c r="Q33" s="10">
        <f t="shared" si="9"/>
        <v>0</v>
      </c>
      <c r="R33" s="7"/>
      <c r="S33" s="8">
        <f t="shared" si="10"/>
        <v>0</v>
      </c>
      <c r="T33" s="10">
        <f t="shared" si="11"/>
        <v>0</v>
      </c>
      <c r="U33" s="7"/>
      <c r="V33" s="8">
        <f t="shared" si="12"/>
        <v>0</v>
      </c>
      <c r="W33" s="10">
        <f t="shared" si="13"/>
        <v>0</v>
      </c>
      <c r="X33" s="7"/>
      <c r="Y33" s="8">
        <f t="shared" si="14"/>
        <v>0</v>
      </c>
      <c r="Z33" s="10">
        <f t="shared" si="15"/>
        <v>0</v>
      </c>
      <c r="AA33" s="22"/>
      <c r="AB33" s="7"/>
      <c r="AC33" s="8">
        <f t="shared" si="16"/>
        <v>0</v>
      </c>
      <c r="AD33" s="10">
        <f t="shared" si="17"/>
        <v>0</v>
      </c>
      <c r="AF33" s="32"/>
    </row>
    <row r="34" spans="1:34" x14ac:dyDescent="0.15">
      <c r="A34" s="38"/>
      <c r="B34" s="20"/>
      <c r="C34" s="22">
        <f>SUM(C5:C33)</f>
        <v>0</v>
      </c>
      <c r="D34" s="22">
        <f t="shared" ref="D34:J34" si="20">SUM(D5:D33)</f>
        <v>0</v>
      </c>
      <c r="E34" s="22"/>
      <c r="F34" s="22">
        <f t="shared" si="20"/>
        <v>0</v>
      </c>
      <c r="G34" s="22">
        <f t="shared" si="20"/>
        <v>0</v>
      </c>
      <c r="H34" s="22"/>
      <c r="I34" s="22">
        <f t="shared" si="20"/>
        <v>0</v>
      </c>
      <c r="J34" s="22">
        <f t="shared" si="20"/>
        <v>0</v>
      </c>
      <c r="K34" s="22"/>
      <c r="L34" s="22">
        <f>SUM(L5:L33)</f>
        <v>0</v>
      </c>
      <c r="M34" s="22">
        <f>SUM(M5:M33)</f>
        <v>0</v>
      </c>
      <c r="N34" s="28"/>
      <c r="O34" s="20"/>
      <c r="P34" s="22">
        <f>SUM(P5:P33)</f>
        <v>310.38800000000003</v>
      </c>
      <c r="Q34" s="22">
        <f>SUM(Q5:Q33)</f>
        <v>952.89116000000013</v>
      </c>
      <c r="R34" s="20"/>
      <c r="S34" s="22">
        <f>SUM(S5:S33)</f>
        <v>322.64399999999995</v>
      </c>
      <c r="T34" s="22">
        <f>SUM(T5:T33)</f>
        <v>990.51707999999974</v>
      </c>
      <c r="U34" s="20"/>
      <c r="V34" s="22">
        <f>SUM(V5:V33)</f>
        <v>0</v>
      </c>
      <c r="W34" s="22">
        <f>SUM(W5:W33)</f>
        <v>0</v>
      </c>
      <c r="X34" s="20"/>
      <c r="Y34" s="22">
        <f>SUM(Y5:Y33)</f>
        <v>12.256</v>
      </c>
      <c r="Z34" s="22">
        <f>SUM(Z5:Z33)</f>
        <v>37.625919999999994</v>
      </c>
      <c r="AA34" s="22"/>
      <c r="AB34" s="20"/>
      <c r="AC34" s="22">
        <f>SUM(AC5:AC33)</f>
        <v>0</v>
      </c>
      <c r="AD34" s="22">
        <f>SUM(AD5:AD33)</f>
        <v>0</v>
      </c>
      <c r="AG34" s="40">
        <f>SUM(AG5:AG32)</f>
        <v>310.38800000000003</v>
      </c>
      <c r="AH34" s="32">
        <f>AG34*3.07</f>
        <v>952.89116000000001</v>
      </c>
    </row>
    <row r="35" spans="1:34" x14ac:dyDescent="0.15">
      <c r="A35" s="19"/>
      <c r="B35" s="20"/>
      <c r="C35" s="22"/>
      <c r="D35" s="22"/>
      <c r="E35" s="20"/>
      <c r="F35" s="22"/>
      <c r="G35" s="22"/>
      <c r="H35" s="20"/>
      <c r="I35" s="22"/>
      <c r="J35" s="22"/>
      <c r="K35" s="28"/>
      <c r="L35" s="20"/>
      <c r="M35" s="22"/>
      <c r="N35" s="22"/>
      <c r="O35" s="20"/>
      <c r="P35" s="22"/>
      <c r="Q35" s="22"/>
      <c r="R35" s="20"/>
      <c r="S35" s="22"/>
      <c r="T35" s="22"/>
      <c r="U35" s="22"/>
      <c r="V35" s="20"/>
      <c r="W35" s="23"/>
      <c r="X35" s="23"/>
    </row>
    <row r="36" spans="1:34" x14ac:dyDescent="0.15">
      <c r="B36" s="27"/>
      <c r="C36" s="25"/>
      <c r="E36" s="3"/>
      <c r="F36" s="3"/>
      <c r="G36" s="3"/>
      <c r="H36" s="3"/>
      <c r="I36" s="3"/>
      <c r="J36" s="3"/>
      <c r="K36" s="21"/>
      <c r="L36" s="21"/>
      <c r="M36" s="3"/>
      <c r="N36" s="3"/>
      <c r="O36" s="3"/>
      <c r="P36" s="3"/>
      <c r="Q36" s="3"/>
      <c r="R36" s="21"/>
      <c r="S36" s="3"/>
      <c r="T36" s="3"/>
      <c r="U36" s="21"/>
    </row>
    <row r="37" spans="1:34" x14ac:dyDescent="0.15">
      <c r="C37" s="25"/>
      <c r="E37" s="3"/>
      <c r="F37" s="3"/>
      <c r="G37" s="3"/>
      <c r="H37" s="3"/>
      <c r="I37" s="3"/>
      <c r="J37" s="3"/>
      <c r="K37" s="21"/>
      <c r="L37" s="3"/>
      <c r="M37" s="3"/>
      <c r="N37" s="3"/>
      <c r="O37" s="3"/>
      <c r="P37" s="3"/>
      <c r="Q37" s="3"/>
      <c r="R37" s="3"/>
      <c r="S37" s="3"/>
      <c r="T37" s="3"/>
      <c r="U37" s="21"/>
    </row>
  </sheetData>
  <mergeCells count="10">
    <mergeCell ref="AF3:AH3"/>
    <mergeCell ref="R3:T3"/>
    <mergeCell ref="U3:W3"/>
    <mergeCell ref="AB3:AD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39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J37"/>
  <sheetViews>
    <sheetView workbookViewId="0">
      <pane xSplit="1" ySplit="4" topLeftCell="X16" activePane="bottomRight" state="frozen"/>
      <selection pane="topRight" activeCell="B1" sqref="B1"/>
      <selection pane="bottomLeft" activeCell="A5" sqref="A5"/>
      <selection pane="bottomRight" activeCell="I35" sqref="I5:I35"/>
    </sheetView>
  </sheetViews>
  <sheetFormatPr baseColWidth="10" defaultColWidth="8.83203125" defaultRowHeight="13" x14ac:dyDescent="0.15"/>
  <cols>
    <col min="2" max="2" width="12.6640625" customWidth="1"/>
    <col min="5" max="5" width="11.33203125" customWidth="1"/>
    <col min="8" max="8" width="11.6640625" customWidth="1"/>
    <col min="10" max="10" width="10.6640625" customWidth="1"/>
    <col min="12" max="12" width="10.5" customWidth="1"/>
    <col min="15" max="15" width="10.5" customWidth="1"/>
    <col min="18" max="18" width="10.83203125" customWidth="1"/>
    <col min="22" max="22" width="11.83203125" customWidth="1"/>
    <col min="28" max="28" width="11.6640625" customWidth="1"/>
    <col min="32" max="32" width="13.5" bestFit="1" customWidth="1"/>
  </cols>
  <sheetData>
    <row r="1" spans="1:36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6" ht="14" thickBot="1" x14ac:dyDescent="0.2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6" ht="71" thickBot="1" x14ac:dyDescent="0.2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6" t="s">
        <v>8</v>
      </c>
      <c r="AG3" s="57"/>
      <c r="AH3" s="58"/>
      <c r="AJ3" s="45" t="s">
        <v>9</v>
      </c>
    </row>
    <row r="4" spans="1:36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2" t="s">
        <v>0</v>
      </c>
      <c r="AG4" s="43" t="s">
        <v>1</v>
      </c>
      <c r="AH4" s="44" t="s">
        <v>2</v>
      </c>
      <c r="AJ4" s="5" t="s">
        <v>2</v>
      </c>
    </row>
    <row r="5" spans="1:36" x14ac:dyDescent="0.15">
      <c r="A5" s="37">
        <v>38412</v>
      </c>
      <c r="B5" s="7">
        <f>'[5]Mar Prod'!I4</f>
        <v>0</v>
      </c>
      <c r="C5" s="8">
        <f>B5/1000000</f>
        <v>0</v>
      </c>
      <c r="D5" s="10">
        <f t="shared" ref="D5:D35" si="0">C5*3.07</f>
        <v>0</v>
      </c>
      <c r="E5" s="7">
        <f>'[5]Mar Prod'!E4</f>
        <v>0</v>
      </c>
      <c r="F5" s="8">
        <f>E5/1000000</f>
        <v>0</v>
      </c>
      <c r="G5" s="10">
        <f>F5*3.07</f>
        <v>0</v>
      </c>
      <c r="H5" s="7">
        <f>'[5]Mar Prod'!F4</f>
        <v>0</v>
      </c>
      <c r="I5" s="8">
        <f>H5/1000000</f>
        <v>0</v>
      </c>
      <c r="J5" s="10">
        <f>I5*3.07</f>
        <v>0</v>
      </c>
      <c r="K5" s="7">
        <f>'[5]Mar Prod'!H259</f>
        <v>0</v>
      </c>
      <c r="L5" s="8">
        <f>K5/1000000</f>
        <v>0</v>
      </c>
      <c r="M5" s="10">
        <f>L5*3.07</f>
        <v>0</v>
      </c>
      <c r="N5" s="28"/>
      <c r="O5" s="7">
        <f>'[5]Mar Prod'!H4</f>
        <v>10837999.999999998</v>
      </c>
      <c r="P5" s="8">
        <f>O5/1000000</f>
        <v>10.837999999999997</v>
      </c>
      <c r="Q5" s="10">
        <f>P5*3.07</f>
        <v>33.272659999999988</v>
      </c>
      <c r="R5" s="7">
        <f>'[5]Mar Prod'!C4</f>
        <v>11317000</v>
      </c>
      <c r="S5" s="8">
        <f>R5/1000000</f>
        <v>11.317</v>
      </c>
      <c r="T5" s="10">
        <f>S5*3.07</f>
        <v>34.743189999999998</v>
      </c>
      <c r="U5" s="7">
        <f>'[5]Mar Prod'!D4</f>
        <v>0</v>
      </c>
      <c r="V5" s="8">
        <f>U5/1000000</f>
        <v>0</v>
      </c>
      <c r="W5" s="10">
        <f>V5*3.07</f>
        <v>0</v>
      </c>
      <c r="X5" s="7">
        <f>'[5]Mar Prod'!D259</f>
        <v>479000.00000000099</v>
      </c>
      <c r="Y5" s="8">
        <f>X5/1000000</f>
        <v>0.47900000000000098</v>
      </c>
      <c r="Z5" s="10">
        <f>Y5*3.07</f>
        <v>1.470530000000003</v>
      </c>
      <c r="AA5" s="22"/>
      <c r="AB5" s="7">
        <f>'[5]Mar Prod'!G4</f>
        <v>0</v>
      </c>
      <c r="AC5" s="8">
        <f>AB5/1000000</f>
        <v>0</v>
      </c>
      <c r="AD5" s="10">
        <f>AC5*3.07</f>
        <v>0</v>
      </c>
      <c r="AF5" s="7">
        <f>B5+O5</f>
        <v>10837999.999999998</v>
      </c>
      <c r="AG5" s="8">
        <f>C5+P5</f>
        <v>10.837999999999997</v>
      </c>
      <c r="AH5" s="8">
        <f>D5+Q5</f>
        <v>33.272659999999988</v>
      </c>
      <c r="AJ5" s="8">
        <f>T5-Q5-Z5</f>
        <v>7.7715611723760958E-15</v>
      </c>
    </row>
    <row r="6" spans="1:36" x14ac:dyDescent="0.15">
      <c r="A6" s="37">
        <v>38413</v>
      </c>
      <c r="B6" s="7">
        <f>'[5]Mar Prod'!I5</f>
        <v>0</v>
      </c>
      <c r="C6" s="8">
        <f t="shared" ref="C6:C35" si="1">B6/1000000</f>
        <v>0</v>
      </c>
      <c r="D6" s="10">
        <f t="shared" si="0"/>
        <v>0</v>
      </c>
      <c r="E6" s="7">
        <f>'[5]Mar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'[5]Mar Prod'!F5</f>
        <v>1000000</v>
      </c>
      <c r="I6" s="8">
        <f t="shared" ref="I6:I35" si="4">H6/1000000</f>
        <v>1</v>
      </c>
      <c r="J6" s="10">
        <f t="shared" ref="J6:J35" si="5">I6*3.07</f>
        <v>3.07</v>
      </c>
      <c r="K6" s="7">
        <f>'[5]Mar Prod'!H260</f>
        <v>0</v>
      </c>
      <c r="L6" s="8">
        <f t="shared" ref="L6:L35" si="6">K6/1000000</f>
        <v>0</v>
      </c>
      <c r="M6" s="10">
        <f t="shared" ref="M6:M35" si="7">L6*3.07</f>
        <v>0</v>
      </c>
      <c r="N6" s="28"/>
      <c r="O6" s="7">
        <f>'[5]Mar Prod'!H5</f>
        <v>9914000.0000000019</v>
      </c>
      <c r="P6" s="8">
        <f t="shared" ref="P6:P35" si="8">O6/1000000</f>
        <v>9.9140000000000015</v>
      </c>
      <c r="Q6" s="10">
        <f t="shared" ref="Q6:Q35" si="9">P6*3.07</f>
        <v>30.435980000000004</v>
      </c>
      <c r="R6" s="7">
        <f>'[5]Mar Prod'!C5</f>
        <v>10288000</v>
      </c>
      <c r="S6" s="8">
        <f t="shared" ref="S6:S35" si="10">R6/1000000</f>
        <v>10.288</v>
      </c>
      <c r="T6" s="10">
        <f t="shared" ref="T6:T35" si="11">S6*3.07</f>
        <v>31.584160000000001</v>
      </c>
      <c r="U6" s="7">
        <f>'[5]Mar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 Prod'!D260</f>
        <v>373999.99999999878</v>
      </c>
      <c r="Y6" s="8">
        <f t="shared" ref="Y6:Y35" si="14">X6/1000000</f>
        <v>0.37399999999999878</v>
      </c>
      <c r="Z6" s="10">
        <f t="shared" ref="Z6:Z35" si="15">Y6*3.07</f>
        <v>1.1481799999999962</v>
      </c>
      <c r="AA6" s="22"/>
      <c r="AB6" s="7">
        <f>'[5]Mar Prod'!G5</f>
        <v>0</v>
      </c>
      <c r="AC6" s="8">
        <f t="shared" ref="AC6:AC35" si="16">AB6/1000000</f>
        <v>0</v>
      </c>
      <c r="AD6" s="10">
        <f t="shared" ref="AD6:AD35" si="17">AC6*3.07</f>
        <v>0</v>
      </c>
      <c r="AF6" s="7">
        <f t="shared" ref="AF6:AH35" si="18">B6+O6</f>
        <v>9914000.0000000019</v>
      </c>
      <c r="AG6" s="8">
        <f t="shared" si="18"/>
        <v>9.9140000000000015</v>
      </c>
      <c r="AH6" s="8">
        <f t="shared" si="18"/>
        <v>30.435980000000004</v>
      </c>
      <c r="AJ6" s="8">
        <f>T6-Q6-Z6</f>
        <v>0</v>
      </c>
    </row>
    <row r="7" spans="1:36" x14ac:dyDescent="0.15">
      <c r="A7" s="37">
        <v>38414</v>
      </c>
      <c r="B7" s="7">
        <f>'[5]Mar Prod'!I6</f>
        <v>0</v>
      </c>
      <c r="C7" s="8">
        <f t="shared" si="1"/>
        <v>0</v>
      </c>
      <c r="D7" s="10">
        <f t="shared" si="0"/>
        <v>0</v>
      </c>
      <c r="E7" s="7">
        <f>'[5]Mar Prod'!E6</f>
        <v>0</v>
      </c>
      <c r="F7" s="8">
        <f t="shared" si="2"/>
        <v>0</v>
      </c>
      <c r="G7" s="10">
        <f t="shared" si="3"/>
        <v>0</v>
      </c>
      <c r="H7" s="7">
        <f>'[5]Mar Prod'!F6</f>
        <v>3000000</v>
      </c>
      <c r="I7" s="8">
        <f t="shared" si="4"/>
        <v>3</v>
      </c>
      <c r="J7" s="10">
        <f t="shared" si="5"/>
        <v>9.2099999999999991</v>
      </c>
      <c r="K7" s="7">
        <f>'[5]Mar Prod'!H261</f>
        <v>0</v>
      </c>
      <c r="L7" s="8">
        <f t="shared" si="6"/>
        <v>0</v>
      </c>
      <c r="M7" s="10">
        <f t="shared" si="7"/>
        <v>0</v>
      </c>
      <c r="N7" s="28"/>
      <c r="O7" s="7">
        <f>'[5]Mar Prod'!H6</f>
        <v>8884000</v>
      </c>
      <c r="P7" s="8">
        <f t="shared" si="8"/>
        <v>8.8840000000000003</v>
      </c>
      <c r="Q7" s="10">
        <f t="shared" si="9"/>
        <v>27.273879999999998</v>
      </c>
      <c r="R7" s="7">
        <f>'[5]Mar Prod'!C6</f>
        <v>9267000</v>
      </c>
      <c r="S7" s="8">
        <f t="shared" si="10"/>
        <v>9.2669999999999995</v>
      </c>
      <c r="T7" s="10">
        <f t="shared" si="11"/>
        <v>28.449689999999997</v>
      </c>
      <c r="U7" s="7">
        <f>'[5]Mar Prod'!D6</f>
        <v>0</v>
      </c>
      <c r="V7" s="8">
        <f t="shared" si="12"/>
        <v>0</v>
      </c>
      <c r="W7" s="10">
        <f t="shared" si="13"/>
        <v>0</v>
      </c>
      <c r="X7" s="7">
        <f>'[5]Mar Prod'!D261</f>
        <v>383000.00000000087</v>
      </c>
      <c r="Y7" s="8">
        <f t="shared" si="14"/>
        <v>0.3830000000000009</v>
      </c>
      <c r="Z7" s="10">
        <f t="shared" si="15"/>
        <v>1.1758100000000027</v>
      </c>
      <c r="AA7" s="22"/>
      <c r="AB7" s="7">
        <f>'[5]Mar Prod'!G6</f>
        <v>0</v>
      </c>
      <c r="AC7" s="8">
        <f t="shared" si="16"/>
        <v>0</v>
      </c>
      <c r="AD7" s="10">
        <f t="shared" si="17"/>
        <v>0</v>
      </c>
      <c r="AF7" s="7">
        <f t="shared" si="18"/>
        <v>8884000</v>
      </c>
      <c r="AG7" s="8">
        <f t="shared" si="18"/>
        <v>8.8840000000000003</v>
      </c>
      <c r="AH7" s="8">
        <f t="shared" si="18"/>
        <v>27.273879999999998</v>
      </c>
      <c r="AJ7" s="8">
        <f t="shared" ref="AJ7:AJ14" si="19">T7-Q7-Z7</f>
        <v>-4.2188474935755949E-15</v>
      </c>
    </row>
    <row r="8" spans="1:36" x14ac:dyDescent="0.15">
      <c r="A8" s="37">
        <v>38415</v>
      </c>
      <c r="B8" s="7">
        <f>'[5]Mar Prod'!I7</f>
        <v>0</v>
      </c>
      <c r="C8" s="8">
        <f t="shared" si="1"/>
        <v>0</v>
      </c>
      <c r="D8" s="10">
        <f t="shared" si="0"/>
        <v>0</v>
      </c>
      <c r="E8" s="7">
        <f>'[5]Mar Prod'!E7</f>
        <v>0</v>
      </c>
      <c r="F8" s="8">
        <f t="shared" si="2"/>
        <v>0</v>
      </c>
      <c r="G8" s="10">
        <f t="shared" si="3"/>
        <v>0</v>
      </c>
      <c r="H8" s="7">
        <f>'[5]Mar Prod'!F7</f>
        <v>2000000</v>
      </c>
      <c r="I8" s="8">
        <f t="shared" si="4"/>
        <v>2</v>
      </c>
      <c r="J8" s="10">
        <f t="shared" si="5"/>
        <v>6.14</v>
      </c>
      <c r="K8" s="7">
        <f>'[5]Mar Prod'!H262</f>
        <v>0</v>
      </c>
      <c r="L8" s="8">
        <f t="shared" si="6"/>
        <v>0</v>
      </c>
      <c r="M8" s="10">
        <f t="shared" si="7"/>
        <v>0</v>
      </c>
      <c r="N8" s="28"/>
      <c r="O8" s="7">
        <f>'[5]Mar Prod'!H7</f>
        <v>8391000</v>
      </c>
      <c r="P8" s="8">
        <f t="shared" si="8"/>
        <v>8.391</v>
      </c>
      <c r="Q8" s="10">
        <f t="shared" si="9"/>
        <v>25.760369999999998</v>
      </c>
      <c r="R8" s="7">
        <f>'[5]Mar Prod'!C7</f>
        <v>8961000</v>
      </c>
      <c r="S8" s="8">
        <f t="shared" si="10"/>
        <v>8.9610000000000003</v>
      </c>
      <c r="T8" s="10">
        <f t="shared" si="11"/>
        <v>27.510269999999998</v>
      </c>
      <c r="U8" s="7">
        <f>'[5]Mar Prod'!D7</f>
        <v>0</v>
      </c>
      <c r="V8" s="8">
        <f t="shared" si="12"/>
        <v>0</v>
      </c>
      <c r="W8" s="10">
        <f t="shared" si="13"/>
        <v>0</v>
      </c>
      <c r="X8" s="7">
        <f>'[5]Mar Prod'!D262</f>
        <v>570000.00000000023</v>
      </c>
      <c r="Y8" s="8">
        <f t="shared" si="14"/>
        <v>0.57000000000000028</v>
      </c>
      <c r="Z8" s="10">
        <f t="shared" si="15"/>
        <v>1.7499000000000007</v>
      </c>
      <c r="AA8" s="22"/>
      <c r="AB8" s="7">
        <f>'[5]Mar Prod'!G7</f>
        <v>0</v>
      </c>
      <c r="AC8" s="8">
        <f t="shared" si="16"/>
        <v>0</v>
      </c>
      <c r="AD8" s="10">
        <f t="shared" si="17"/>
        <v>0</v>
      </c>
      <c r="AF8" s="7">
        <f t="shared" si="18"/>
        <v>8391000</v>
      </c>
      <c r="AG8" s="8">
        <f t="shared" si="18"/>
        <v>8.391</v>
      </c>
      <c r="AH8" s="8">
        <f>D8+Q8</f>
        <v>25.760369999999998</v>
      </c>
      <c r="AJ8" s="8">
        <f t="shared" si="19"/>
        <v>0</v>
      </c>
    </row>
    <row r="9" spans="1:36" x14ac:dyDescent="0.15">
      <c r="A9" s="37">
        <v>38416</v>
      </c>
      <c r="B9" s="7">
        <f>'[5]Mar Prod'!I8</f>
        <v>2000000</v>
      </c>
      <c r="C9" s="8">
        <f t="shared" si="1"/>
        <v>2</v>
      </c>
      <c r="D9" s="10">
        <f t="shared" si="0"/>
        <v>6.14</v>
      </c>
      <c r="E9" s="7">
        <f>'[5]Mar Prod'!E8</f>
        <v>0</v>
      </c>
      <c r="F9" s="8">
        <f t="shared" si="2"/>
        <v>0</v>
      </c>
      <c r="G9" s="10">
        <f t="shared" si="3"/>
        <v>0</v>
      </c>
      <c r="H9" s="7">
        <f>'[5]Mar Prod'!F8</f>
        <v>1000000</v>
      </c>
      <c r="I9" s="8">
        <f t="shared" si="4"/>
        <v>1</v>
      </c>
      <c r="J9" s="10">
        <f t="shared" si="5"/>
        <v>3.07</v>
      </c>
      <c r="K9" s="7">
        <f>'[5]Mar Prod'!H263</f>
        <v>0</v>
      </c>
      <c r="L9" s="8">
        <f t="shared" si="6"/>
        <v>0</v>
      </c>
      <c r="M9" s="10">
        <f t="shared" si="7"/>
        <v>0</v>
      </c>
      <c r="N9" s="28"/>
      <c r="O9" s="7">
        <f>'[5]Mar Prod'!H8</f>
        <v>6769000.0000000009</v>
      </c>
      <c r="P9" s="8">
        <f t="shared" si="8"/>
        <v>6.769000000000001</v>
      </c>
      <c r="Q9" s="10">
        <f t="shared" si="9"/>
        <v>20.780830000000002</v>
      </c>
      <c r="R9" s="7">
        <f>'[5]Mar Prod'!C8</f>
        <v>7181000</v>
      </c>
      <c r="S9" s="8">
        <f t="shared" si="10"/>
        <v>7.181</v>
      </c>
      <c r="T9" s="10">
        <f t="shared" si="11"/>
        <v>22.045669999999998</v>
      </c>
      <c r="U9" s="7">
        <f>'[5]Mar Prod'!D8</f>
        <v>0</v>
      </c>
      <c r="V9" s="8">
        <f t="shared" si="12"/>
        <v>0</v>
      </c>
      <c r="W9" s="10">
        <f t="shared" si="13"/>
        <v>0</v>
      </c>
      <c r="X9" s="7">
        <f>'[5]Mar Prod'!D263</f>
        <v>411999.99999999901</v>
      </c>
      <c r="Y9" s="8">
        <f t="shared" si="14"/>
        <v>0.41199999999999903</v>
      </c>
      <c r="Z9" s="10">
        <f t="shared" si="15"/>
        <v>1.2648399999999971</v>
      </c>
      <c r="AA9" s="22"/>
      <c r="AB9" s="7">
        <f>'[5]Mar Prod'!G8</f>
        <v>0</v>
      </c>
      <c r="AC9" s="8">
        <f t="shared" si="16"/>
        <v>0</v>
      </c>
      <c r="AD9" s="10">
        <f t="shared" si="17"/>
        <v>0</v>
      </c>
      <c r="AF9" s="7">
        <f t="shared" si="18"/>
        <v>8769000</v>
      </c>
      <c r="AG9" s="8">
        <f t="shared" si="18"/>
        <v>8.7690000000000019</v>
      </c>
      <c r="AH9" s="8">
        <f t="shared" si="18"/>
        <v>26.920830000000002</v>
      </c>
      <c r="AJ9" s="8">
        <f t="shared" si="19"/>
        <v>0</v>
      </c>
    </row>
    <row r="10" spans="1:36" x14ac:dyDescent="0.15">
      <c r="A10" s="37">
        <v>38417</v>
      </c>
      <c r="B10" s="7">
        <f>'[5]Mar Prod'!I9</f>
        <v>4900000.0000005458</v>
      </c>
      <c r="C10" s="8">
        <f t="shared" si="1"/>
        <v>4.9000000000005457</v>
      </c>
      <c r="D10" s="10">
        <f t="shared" si="0"/>
        <v>15.043000000001674</v>
      </c>
      <c r="E10" s="7">
        <f>'[5]Mar Prod'!E9</f>
        <v>0</v>
      </c>
      <c r="F10" s="8">
        <f t="shared" si="2"/>
        <v>0</v>
      </c>
      <c r="G10" s="10">
        <f t="shared" si="3"/>
        <v>0</v>
      </c>
      <c r="H10" s="7">
        <f>'[5]Mar Prod'!F9</f>
        <v>3000000</v>
      </c>
      <c r="I10" s="8">
        <f t="shared" si="4"/>
        <v>3</v>
      </c>
      <c r="J10" s="10">
        <f t="shared" si="5"/>
        <v>9.2099999999999991</v>
      </c>
      <c r="K10" s="7">
        <f>'[5]Mar Prod'!H264</f>
        <v>0</v>
      </c>
      <c r="L10" s="8">
        <f t="shared" si="6"/>
        <v>0</v>
      </c>
      <c r="M10" s="10">
        <f t="shared" si="7"/>
        <v>0</v>
      </c>
      <c r="N10" s="28"/>
      <c r="O10" s="7">
        <f>'[5]Mar Prod'!H9</f>
        <v>5881999.9999999981</v>
      </c>
      <c r="P10" s="8">
        <f t="shared" si="8"/>
        <v>5.8819999999999979</v>
      </c>
      <c r="Q10" s="10">
        <f t="shared" si="9"/>
        <v>18.057739999999992</v>
      </c>
      <c r="R10" s="7">
        <f>'[5]Mar Prod'!C9</f>
        <v>6328000</v>
      </c>
      <c r="S10" s="8">
        <f t="shared" si="10"/>
        <v>6.3280000000000003</v>
      </c>
      <c r="T10" s="10">
        <f t="shared" si="11"/>
        <v>19.426960000000001</v>
      </c>
      <c r="U10" s="7">
        <f>'[5]Mar Prod'!D9</f>
        <v>0</v>
      </c>
      <c r="V10" s="8">
        <f t="shared" si="12"/>
        <v>0</v>
      </c>
      <c r="W10" s="10">
        <f t="shared" si="13"/>
        <v>0</v>
      </c>
      <c r="X10" s="7">
        <f>'[5]Mar Prod'!D264</f>
        <v>446000.00000000151</v>
      </c>
      <c r="Y10" s="8">
        <f t="shared" si="14"/>
        <v>0.44600000000000151</v>
      </c>
      <c r="Z10" s="10">
        <f t="shared" si="15"/>
        <v>1.3692200000000045</v>
      </c>
      <c r="AA10" s="22"/>
      <c r="AB10" s="7">
        <f>'[5]Mar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10782000.000000544</v>
      </c>
      <c r="AG10" s="8">
        <f t="shared" si="18"/>
        <v>10.782000000000544</v>
      </c>
      <c r="AH10" s="8">
        <f t="shared" si="18"/>
        <v>33.100740000001664</v>
      </c>
      <c r="AJ10" s="8">
        <f t="shared" si="19"/>
        <v>4.6629367034256575E-15</v>
      </c>
    </row>
    <row r="11" spans="1:36" x14ac:dyDescent="0.15">
      <c r="A11" s="37">
        <v>38418</v>
      </c>
      <c r="B11" s="7">
        <f>'[5]Mar Prod'!I10</f>
        <v>5099999.9999994542</v>
      </c>
      <c r="C11" s="8">
        <f t="shared" si="1"/>
        <v>5.0999999999994543</v>
      </c>
      <c r="D11" s="10">
        <f t="shared" si="0"/>
        <v>15.656999999998323</v>
      </c>
      <c r="E11" s="7">
        <f>'[5]Mar Prod'!E10</f>
        <v>0</v>
      </c>
      <c r="F11" s="8">
        <f t="shared" si="2"/>
        <v>0</v>
      </c>
      <c r="G11" s="10">
        <f t="shared" si="3"/>
        <v>0</v>
      </c>
      <c r="H11" s="7">
        <f>'[5]Mar Prod'!F10</f>
        <v>5000000</v>
      </c>
      <c r="I11" s="8">
        <f t="shared" si="4"/>
        <v>5</v>
      </c>
      <c r="J11" s="10">
        <f t="shared" si="5"/>
        <v>15.35</v>
      </c>
      <c r="K11" s="7">
        <f>'[5]Mar Prod'!H265</f>
        <v>0</v>
      </c>
      <c r="L11" s="8">
        <f t="shared" si="6"/>
        <v>0</v>
      </c>
      <c r="M11" s="10">
        <f t="shared" si="7"/>
        <v>0</v>
      </c>
      <c r="N11" s="28"/>
      <c r="O11" s="7">
        <f>'[5]Mar Prod'!H10</f>
        <v>4718000</v>
      </c>
      <c r="P11" s="8">
        <f t="shared" si="8"/>
        <v>4.718</v>
      </c>
      <c r="Q11" s="10">
        <f t="shared" si="9"/>
        <v>14.484259999999999</v>
      </c>
      <c r="R11" s="7">
        <f>'[5]Mar Prod'!C10</f>
        <v>5122000</v>
      </c>
      <c r="S11" s="8">
        <f t="shared" si="10"/>
        <v>5.1219999999999999</v>
      </c>
      <c r="T11" s="10">
        <f t="shared" si="11"/>
        <v>15.724539999999999</v>
      </c>
      <c r="U11" s="7">
        <f>'[5]Mar Prod'!D10</f>
        <v>0</v>
      </c>
      <c r="V11" s="8">
        <f t="shared" si="12"/>
        <v>0</v>
      </c>
      <c r="W11" s="10">
        <f t="shared" si="13"/>
        <v>0</v>
      </c>
      <c r="X11" s="7">
        <f>'[5]Mar Prod'!D265</f>
        <v>403999.99999999994</v>
      </c>
      <c r="Y11" s="8">
        <f t="shared" si="14"/>
        <v>0.40399999999999991</v>
      </c>
      <c r="Z11" s="10">
        <f t="shared" si="15"/>
        <v>1.2402799999999996</v>
      </c>
      <c r="AA11" s="22"/>
      <c r="AB11" s="7">
        <f>'[5]Mar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9817999.9999994542</v>
      </c>
      <c r="AG11" s="8">
        <f t="shared" si="18"/>
        <v>9.8179999999994543</v>
      </c>
      <c r="AH11" s="8">
        <f t="shared" si="18"/>
        <v>30.141259999998322</v>
      </c>
      <c r="AJ11" s="8">
        <f t="shared" si="19"/>
        <v>0</v>
      </c>
    </row>
    <row r="12" spans="1:36" x14ac:dyDescent="0.15">
      <c r="A12" s="37">
        <v>38419</v>
      </c>
      <c r="B12" s="7">
        <f>'[5]Mar Prod'!I11</f>
        <v>4199999.9999998184</v>
      </c>
      <c r="C12" s="8">
        <f t="shared" si="1"/>
        <v>4.1999999999998181</v>
      </c>
      <c r="D12" s="10">
        <f t="shared" si="0"/>
        <v>12.893999999999441</v>
      </c>
      <c r="E12" s="7">
        <f>'[5]Mar Prod'!E11</f>
        <v>0</v>
      </c>
      <c r="F12" s="8">
        <f t="shared" si="2"/>
        <v>0</v>
      </c>
      <c r="G12" s="10">
        <f t="shared" si="3"/>
        <v>0</v>
      </c>
      <c r="H12" s="7">
        <f>'[5]Mar Prod'!F11</f>
        <v>5000000</v>
      </c>
      <c r="I12" s="8">
        <f t="shared" si="4"/>
        <v>5</v>
      </c>
      <c r="J12" s="10">
        <f t="shared" si="5"/>
        <v>15.35</v>
      </c>
      <c r="K12" s="7">
        <f>'[5]Mar Prod'!H266</f>
        <v>0</v>
      </c>
      <c r="L12" s="8">
        <f t="shared" si="6"/>
        <v>0</v>
      </c>
      <c r="M12" s="10">
        <f t="shared" si="7"/>
        <v>0</v>
      </c>
      <c r="N12" s="28"/>
      <c r="O12" s="7">
        <f>'[5]Mar Prod'!H11</f>
        <v>4455000</v>
      </c>
      <c r="P12" s="8">
        <f t="shared" si="8"/>
        <v>4.4550000000000001</v>
      </c>
      <c r="Q12" s="10">
        <f t="shared" si="9"/>
        <v>13.67685</v>
      </c>
      <c r="R12" s="7">
        <f>'[5]Mar Prod'!C11</f>
        <v>4999000</v>
      </c>
      <c r="S12" s="8">
        <f t="shared" si="10"/>
        <v>4.9989999999999997</v>
      </c>
      <c r="T12" s="10">
        <f t="shared" si="11"/>
        <v>15.346929999999999</v>
      </c>
      <c r="U12" s="7">
        <f>'[5]Mar Prod'!D11</f>
        <v>0</v>
      </c>
      <c r="V12" s="8">
        <f t="shared" si="12"/>
        <v>0</v>
      </c>
      <c r="W12" s="10">
        <f t="shared" si="13"/>
        <v>0</v>
      </c>
      <c r="X12" s="7">
        <f>'[5]Mar Prod'!D266</f>
        <v>544000.00000000047</v>
      </c>
      <c r="Y12" s="8">
        <f t="shared" si="14"/>
        <v>0.54400000000000048</v>
      </c>
      <c r="Z12" s="10">
        <f t="shared" si="15"/>
        <v>1.6700800000000013</v>
      </c>
      <c r="AA12" s="22"/>
      <c r="AB12" s="7">
        <f>'[5]Mar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8654999.9999998175</v>
      </c>
      <c r="AG12" s="8">
        <f t="shared" si="18"/>
        <v>8.6549999999998182</v>
      </c>
      <c r="AH12" s="8">
        <f t="shared" si="18"/>
        <v>26.570849999999439</v>
      </c>
      <c r="AJ12" s="8">
        <f t="shared" si="19"/>
        <v>-2.6645352591003757E-15</v>
      </c>
    </row>
    <row r="13" spans="1:36" x14ac:dyDescent="0.15">
      <c r="A13" s="37">
        <v>38420</v>
      </c>
      <c r="B13" s="7">
        <f>'[5]Mar Prod'!I12</f>
        <v>4600000.0000003641</v>
      </c>
      <c r="C13" s="8">
        <f t="shared" si="1"/>
        <v>4.6000000000003638</v>
      </c>
      <c r="D13" s="10">
        <f t="shared" si="0"/>
        <v>14.122000000001115</v>
      </c>
      <c r="E13" s="7">
        <f>'[5]Mar Prod'!E12</f>
        <v>0</v>
      </c>
      <c r="F13" s="8">
        <f t="shared" si="2"/>
        <v>0</v>
      </c>
      <c r="G13" s="10">
        <f t="shared" si="3"/>
        <v>0</v>
      </c>
      <c r="H13" s="7">
        <f>'[5]Mar Prod'!F12</f>
        <v>5000000</v>
      </c>
      <c r="I13" s="8">
        <f t="shared" si="4"/>
        <v>5</v>
      </c>
      <c r="J13" s="10">
        <f t="shared" si="5"/>
        <v>15.35</v>
      </c>
      <c r="K13" s="7">
        <f>'[5]Mar Prod'!H267</f>
        <v>0</v>
      </c>
      <c r="L13" s="8">
        <f t="shared" si="6"/>
        <v>0</v>
      </c>
      <c r="M13" s="10">
        <f t="shared" si="7"/>
        <v>0</v>
      </c>
      <c r="N13" s="28"/>
      <c r="O13" s="7">
        <f>'[5]Mar Prod'!H12</f>
        <v>4485000.0000000019</v>
      </c>
      <c r="P13" s="8">
        <f t="shared" si="8"/>
        <v>4.4850000000000021</v>
      </c>
      <c r="Q13" s="10">
        <f t="shared" si="9"/>
        <v>13.768950000000006</v>
      </c>
      <c r="R13" s="7">
        <f>'[5]Mar Prod'!C12</f>
        <v>4975000</v>
      </c>
      <c r="S13" s="8">
        <f t="shared" si="10"/>
        <v>4.9749999999999996</v>
      </c>
      <c r="T13" s="10">
        <f t="shared" si="11"/>
        <v>15.273249999999997</v>
      </c>
      <c r="U13" s="7">
        <f>'[5]Mar Prod'!D12</f>
        <v>0</v>
      </c>
      <c r="V13" s="8">
        <f t="shared" si="12"/>
        <v>0</v>
      </c>
      <c r="W13" s="10">
        <f t="shared" si="13"/>
        <v>0</v>
      </c>
      <c r="X13" s="7">
        <f>'[5]Mar Prod'!D267</f>
        <v>489999.99999999843</v>
      </c>
      <c r="Y13" s="8">
        <f t="shared" si="14"/>
        <v>0.48999999999999844</v>
      </c>
      <c r="Z13" s="10">
        <f t="shared" si="15"/>
        <v>1.5042999999999951</v>
      </c>
      <c r="AA13" s="22"/>
      <c r="AB13" s="7">
        <f>'[5]Mar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9085000.0000003651</v>
      </c>
      <c r="AG13" s="8">
        <f t="shared" si="18"/>
        <v>9.0850000000003668</v>
      </c>
      <c r="AH13" s="8">
        <f t="shared" si="18"/>
        <v>27.890950000001119</v>
      </c>
      <c r="AJ13" s="8">
        <f t="shared" si="19"/>
        <v>-3.3306690738754696E-15</v>
      </c>
    </row>
    <row r="14" spans="1:36" x14ac:dyDescent="0.15">
      <c r="A14" s="37">
        <v>38421</v>
      </c>
      <c r="B14" s="7">
        <f>'[5]Mar Prod'!I13</f>
        <v>4100000.0000003637</v>
      </c>
      <c r="C14" s="8">
        <f t="shared" si="1"/>
        <v>4.1000000000003638</v>
      </c>
      <c r="D14" s="10">
        <f t="shared" si="0"/>
        <v>12.587000000001117</v>
      </c>
      <c r="E14" s="7">
        <f>'[5]Mar Prod'!E13</f>
        <v>0</v>
      </c>
      <c r="F14" s="8">
        <f t="shared" si="2"/>
        <v>0</v>
      </c>
      <c r="G14" s="10">
        <f t="shared" si="3"/>
        <v>0</v>
      </c>
      <c r="H14" s="7">
        <f>'[5]Mar Prod'!F13</f>
        <v>5000000</v>
      </c>
      <c r="I14" s="8">
        <f t="shared" si="4"/>
        <v>5</v>
      </c>
      <c r="J14" s="10">
        <f t="shared" si="5"/>
        <v>15.35</v>
      </c>
      <c r="K14" s="7">
        <f>'[5]Mar Prod'!H268</f>
        <v>0</v>
      </c>
      <c r="L14" s="8">
        <f t="shared" si="6"/>
        <v>0</v>
      </c>
      <c r="M14" s="10">
        <f t="shared" si="7"/>
        <v>0</v>
      </c>
      <c r="N14" s="28"/>
      <c r="O14" s="7">
        <f>'[5]Mar Prod'!H13</f>
        <v>4928999.9999999991</v>
      </c>
      <c r="P14" s="8">
        <f t="shared" si="8"/>
        <v>4.9289999999999994</v>
      </c>
      <c r="Q14" s="10">
        <f t="shared" si="9"/>
        <v>15.132029999999997</v>
      </c>
      <c r="R14" s="7">
        <f>'[5]Mar Prod'!C13</f>
        <v>5273000</v>
      </c>
      <c r="S14" s="8">
        <f t="shared" si="10"/>
        <v>5.2729999999999997</v>
      </c>
      <c r="T14" s="10">
        <f t="shared" si="11"/>
        <v>16.188109999999998</v>
      </c>
      <c r="U14" s="7">
        <f>'[5]Mar Prod'!D13</f>
        <v>0</v>
      </c>
      <c r="V14" s="8">
        <f t="shared" si="12"/>
        <v>0</v>
      </c>
      <c r="W14" s="10">
        <f t="shared" si="13"/>
        <v>0</v>
      </c>
      <c r="X14" s="7">
        <f>'[5]Mar Prod'!D268</f>
        <v>344000.00000000122</v>
      </c>
      <c r="Y14" s="8">
        <f t="shared" si="14"/>
        <v>0.34400000000000125</v>
      </c>
      <c r="Z14" s="10">
        <f t="shared" si="15"/>
        <v>1.0560800000000037</v>
      </c>
      <c r="AA14" s="22"/>
      <c r="AB14" s="7">
        <f>'[5]Mar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9029000.0000003632</v>
      </c>
      <c r="AG14" s="8">
        <f t="shared" si="18"/>
        <v>9.0290000000003623</v>
      </c>
      <c r="AH14" s="8">
        <f t="shared" si="18"/>
        <v>27.719030000001112</v>
      </c>
      <c r="AJ14" s="8">
        <f t="shared" si="19"/>
        <v>-2.2204460492503131E-15</v>
      </c>
    </row>
    <row r="15" spans="1:36" x14ac:dyDescent="0.15">
      <c r="A15" s="37">
        <v>38422</v>
      </c>
      <c r="B15" s="7">
        <f>'[5]Mar Prod'!I14</f>
        <v>6099999.9999994542</v>
      </c>
      <c r="C15" s="8">
        <f t="shared" si="1"/>
        <v>6.0999999999994543</v>
      </c>
      <c r="D15" s="10">
        <f t="shared" si="0"/>
        <v>18.726999999998323</v>
      </c>
      <c r="E15" s="7">
        <f>'[5]Mar Prod'!E14</f>
        <v>0</v>
      </c>
      <c r="F15" s="8">
        <f t="shared" si="2"/>
        <v>0</v>
      </c>
      <c r="G15" s="10">
        <f t="shared" si="3"/>
        <v>0</v>
      </c>
      <c r="H15" s="7">
        <f>'[5]Mar Prod'!F14</f>
        <v>6000000</v>
      </c>
      <c r="I15" s="8">
        <f t="shared" si="4"/>
        <v>6</v>
      </c>
      <c r="J15" s="10">
        <f t="shared" si="5"/>
        <v>18.419999999999998</v>
      </c>
      <c r="K15" s="7">
        <f>'[5]Mar Prod'!H269</f>
        <v>0</v>
      </c>
      <c r="L15" s="8">
        <f t="shared" si="6"/>
        <v>0</v>
      </c>
      <c r="M15" s="10">
        <f t="shared" si="7"/>
        <v>0</v>
      </c>
      <c r="N15" s="28"/>
      <c r="O15" s="7">
        <f>'[5]Mar Prod'!H14</f>
        <v>1389000</v>
      </c>
      <c r="P15" s="8">
        <f t="shared" si="8"/>
        <v>1.389</v>
      </c>
      <c r="Q15" s="10">
        <f t="shared" si="9"/>
        <v>4.2642299999999995</v>
      </c>
      <c r="R15" s="7">
        <f>'[5]Mar Prod'!C14</f>
        <v>1636000</v>
      </c>
      <c r="S15" s="8">
        <f t="shared" si="10"/>
        <v>1.6359999999999999</v>
      </c>
      <c r="T15" s="10">
        <f t="shared" si="11"/>
        <v>5.0225199999999992</v>
      </c>
      <c r="U15" s="7">
        <f>'[5]Mar Prod'!D14</f>
        <v>0</v>
      </c>
      <c r="V15" s="8">
        <f t="shared" si="12"/>
        <v>0</v>
      </c>
      <c r="W15" s="10">
        <f t="shared" si="13"/>
        <v>0</v>
      </c>
      <c r="X15" s="7">
        <f>'[5]Mar Prod'!D269</f>
        <v>246999.99999999988</v>
      </c>
      <c r="Y15" s="8">
        <f t="shared" si="14"/>
        <v>0.24699999999999989</v>
      </c>
      <c r="Z15" s="10">
        <f t="shared" si="15"/>
        <v>0.75828999999999958</v>
      </c>
      <c r="AA15" s="22"/>
      <c r="AB15" s="7">
        <f>'[5]Mar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7488999.9999994542</v>
      </c>
      <c r="AG15" s="8">
        <f t="shared" si="18"/>
        <v>7.4889999999994545</v>
      </c>
      <c r="AH15" s="8">
        <f t="shared" si="18"/>
        <v>22.991229999998325</v>
      </c>
      <c r="AJ15" s="8">
        <f>T15-Q15-Z15</f>
        <v>0</v>
      </c>
    </row>
    <row r="16" spans="1:36" x14ac:dyDescent="0.15">
      <c r="A16" s="37">
        <v>38423</v>
      </c>
      <c r="B16" s="7">
        <f>'[5]Mar Prod'!I15</f>
        <v>8199999.9999998184</v>
      </c>
      <c r="C16" s="8">
        <f t="shared" si="1"/>
        <v>8.1999999999998181</v>
      </c>
      <c r="D16" s="10">
        <f t="shared" si="0"/>
        <v>25.173999999999442</v>
      </c>
      <c r="E16" s="7">
        <f>'[5]Mar Prod'!E15</f>
        <v>0</v>
      </c>
      <c r="F16" s="8">
        <f t="shared" si="2"/>
        <v>0</v>
      </c>
      <c r="G16" s="10">
        <f t="shared" si="3"/>
        <v>0</v>
      </c>
      <c r="H16" s="7">
        <f>'[5]Mar Prod'!F15</f>
        <v>9000000</v>
      </c>
      <c r="I16" s="8">
        <f t="shared" si="4"/>
        <v>9</v>
      </c>
      <c r="J16" s="10">
        <f t="shared" si="5"/>
        <v>27.63</v>
      </c>
      <c r="K16" s="7">
        <f>'[5]Mar Prod'!H270</f>
        <v>0</v>
      </c>
      <c r="L16" s="8">
        <f t="shared" si="6"/>
        <v>0</v>
      </c>
      <c r="M16" s="10">
        <f t="shared" si="7"/>
        <v>0</v>
      </c>
      <c r="N16" s="28"/>
      <c r="O16" s="7">
        <f>'[5]Mar Prod'!H15</f>
        <v>-64000.000000000058</v>
      </c>
      <c r="P16" s="8">
        <f t="shared" si="8"/>
        <v>-6.4000000000000057E-2</v>
      </c>
      <c r="Q16" s="10">
        <f t="shared" si="9"/>
        <v>-0.19648000000000015</v>
      </c>
      <c r="R16" s="7">
        <f>'[5]Mar Prod'!C15</f>
        <v>0</v>
      </c>
      <c r="S16" s="8">
        <f t="shared" si="10"/>
        <v>0</v>
      </c>
      <c r="T16" s="10">
        <f t="shared" si="11"/>
        <v>0</v>
      </c>
      <c r="U16" s="7">
        <f>'[5]Mar Prod'!D15</f>
        <v>0</v>
      </c>
      <c r="V16" s="8">
        <f t="shared" si="12"/>
        <v>0</v>
      </c>
      <c r="W16" s="10">
        <f t="shared" si="13"/>
        <v>0</v>
      </c>
      <c r="X16" s="7">
        <f>'[5]Mar Prod'!D270</f>
        <v>64000.000000000058</v>
      </c>
      <c r="Y16" s="8">
        <f t="shared" si="14"/>
        <v>6.4000000000000057E-2</v>
      </c>
      <c r="Z16" s="10">
        <f t="shared" si="15"/>
        <v>0.19648000000000015</v>
      </c>
      <c r="AA16" s="22"/>
      <c r="AB16" s="7">
        <f>'[5]Mar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8135999.9999998184</v>
      </c>
      <c r="AG16" s="8">
        <f t="shared" si="18"/>
        <v>8.135999999999818</v>
      </c>
      <c r="AH16" s="8">
        <f t="shared" si="18"/>
        <v>24.977519999999441</v>
      </c>
      <c r="AJ16" s="8">
        <f>T16-Q16-Z16</f>
        <v>0</v>
      </c>
    </row>
    <row r="17" spans="1:36" x14ac:dyDescent="0.15">
      <c r="A17" s="37">
        <v>38424</v>
      </c>
      <c r="B17" s="7">
        <f>'[5]Mar Prod'!I16</f>
        <v>9200000.0000007283</v>
      </c>
      <c r="C17" s="8">
        <f t="shared" si="1"/>
        <v>9.2000000000007276</v>
      </c>
      <c r="D17" s="10">
        <f t="shared" si="0"/>
        <v>28.244000000002231</v>
      </c>
      <c r="E17" s="7">
        <f>'[5]Mar Prod'!E16</f>
        <v>0</v>
      </c>
      <c r="F17" s="8">
        <f t="shared" si="2"/>
        <v>0</v>
      </c>
      <c r="G17" s="10">
        <f t="shared" si="3"/>
        <v>0</v>
      </c>
      <c r="H17" s="7">
        <f>'[5]Mar Prod'!F16</f>
        <v>10000000</v>
      </c>
      <c r="I17" s="8">
        <f t="shared" si="4"/>
        <v>10</v>
      </c>
      <c r="J17" s="10">
        <f t="shared" si="5"/>
        <v>30.7</v>
      </c>
      <c r="K17" s="7">
        <f>'[5]Mar Prod'!H271</f>
        <v>0</v>
      </c>
      <c r="L17" s="8">
        <f t="shared" si="6"/>
        <v>0</v>
      </c>
      <c r="M17" s="10">
        <f t="shared" si="7"/>
        <v>0</v>
      </c>
      <c r="N17" s="28"/>
      <c r="O17" s="7">
        <f>'[5]Mar Prod'!H16</f>
        <v>0</v>
      </c>
      <c r="P17" s="8">
        <f t="shared" si="8"/>
        <v>0</v>
      </c>
      <c r="Q17" s="10">
        <f t="shared" si="9"/>
        <v>0</v>
      </c>
      <c r="R17" s="7">
        <f>'[5]Mar Prod'!C16</f>
        <v>0</v>
      </c>
      <c r="S17" s="8">
        <f t="shared" si="10"/>
        <v>0</v>
      </c>
      <c r="T17" s="10">
        <f t="shared" si="11"/>
        <v>0</v>
      </c>
      <c r="U17" s="7">
        <f>'[5]Mar Prod'!D16</f>
        <v>0</v>
      </c>
      <c r="V17" s="8">
        <f t="shared" si="12"/>
        <v>0</v>
      </c>
      <c r="W17" s="10">
        <f t="shared" si="13"/>
        <v>0</v>
      </c>
      <c r="X17" s="7">
        <f>'[5]Mar Prod'!D271</f>
        <v>0</v>
      </c>
      <c r="Y17" s="8">
        <f t="shared" si="14"/>
        <v>0</v>
      </c>
      <c r="Z17" s="10">
        <f t="shared" si="15"/>
        <v>0</v>
      </c>
      <c r="AA17" s="22"/>
      <c r="AB17" s="7">
        <f>'[5]Mar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9200000.0000007283</v>
      </c>
      <c r="AG17" s="8">
        <f t="shared" si="18"/>
        <v>9.2000000000007276</v>
      </c>
      <c r="AH17" s="8">
        <f t="shared" si="18"/>
        <v>28.244000000002231</v>
      </c>
      <c r="AJ17" s="8">
        <f>T17-Q17-Z17</f>
        <v>0</v>
      </c>
    </row>
    <row r="18" spans="1:36" x14ac:dyDescent="0.15">
      <c r="A18" s="37">
        <v>38425</v>
      </c>
      <c r="B18" s="7">
        <f>'[5]Mar Prod'!I17</f>
        <v>9399999.9999996368</v>
      </c>
      <c r="C18" s="8">
        <f t="shared" si="1"/>
        <v>9.3999999999996362</v>
      </c>
      <c r="D18" s="10">
        <f t="shared" si="0"/>
        <v>28.857999999998881</v>
      </c>
      <c r="E18" s="7">
        <f>'[5]Mar Prod'!E17</f>
        <v>0</v>
      </c>
      <c r="F18" s="8">
        <f t="shared" si="2"/>
        <v>0</v>
      </c>
      <c r="G18" s="10">
        <f t="shared" si="3"/>
        <v>0</v>
      </c>
      <c r="H18" s="7">
        <f>'[5]Mar Prod'!F17</f>
        <v>9000000</v>
      </c>
      <c r="I18" s="8">
        <f t="shared" si="4"/>
        <v>9</v>
      </c>
      <c r="J18" s="10">
        <f t="shared" si="5"/>
        <v>27.63</v>
      </c>
      <c r="K18" s="7">
        <f>'[5]Mar Prod'!H272</f>
        <v>0</v>
      </c>
      <c r="L18" s="8">
        <f t="shared" si="6"/>
        <v>0</v>
      </c>
      <c r="M18" s="10">
        <f t="shared" si="7"/>
        <v>0</v>
      </c>
      <c r="N18" s="28"/>
      <c r="O18" s="7">
        <f>'[5]Mar Prod'!H17</f>
        <v>-134000.00000000035</v>
      </c>
      <c r="P18" s="8">
        <f t="shared" si="8"/>
        <v>-0.13400000000000034</v>
      </c>
      <c r="Q18" s="10">
        <f t="shared" si="9"/>
        <v>-0.41138000000000102</v>
      </c>
      <c r="R18" s="7">
        <f>'[5]Mar Prod'!C17</f>
        <v>0</v>
      </c>
      <c r="S18" s="8">
        <f t="shared" si="10"/>
        <v>0</v>
      </c>
      <c r="T18" s="10">
        <f t="shared" si="11"/>
        <v>0</v>
      </c>
      <c r="U18" s="7">
        <f>'[5]Mar Prod'!D17</f>
        <v>0</v>
      </c>
      <c r="V18" s="8">
        <f t="shared" si="12"/>
        <v>0</v>
      </c>
      <c r="W18" s="10">
        <f t="shared" si="13"/>
        <v>0</v>
      </c>
      <c r="X18" s="7">
        <f>'[5]Mar Prod'!D272</f>
        <v>134000.00000000035</v>
      </c>
      <c r="Y18" s="8">
        <f t="shared" si="14"/>
        <v>0.13400000000000034</v>
      </c>
      <c r="Z18" s="10">
        <f t="shared" si="15"/>
        <v>0.41138000000000102</v>
      </c>
      <c r="AA18" s="22"/>
      <c r="AB18" s="7">
        <f>'[5]Mar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9265999.9999996368</v>
      </c>
      <c r="AG18" s="8">
        <f t="shared" si="18"/>
        <v>9.2659999999996359</v>
      </c>
      <c r="AH18" s="8">
        <f t="shared" si="18"/>
        <v>28.44661999999888</v>
      </c>
      <c r="AJ18" s="8">
        <f>T18-Q18-Z18</f>
        <v>0</v>
      </c>
    </row>
    <row r="19" spans="1:36" x14ac:dyDescent="0.15">
      <c r="A19" s="37">
        <v>38426</v>
      </c>
      <c r="B19" s="7">
        <f>'[5]Mar Prod'!I18</f>
        <v>9000000</v>
      </c>
      <c r="C19" s="8">
        <f t="shared" si="1"/>
        <v>9</v>
      </c>
      <c r="D19" s="10">
        <f t="shared" si="0"/>
        <v>27.63</v>
      </c>
      <c r="E19" s="7">
        <f>'[5]Mar Prod'!E18</f>
        <v>0</v>
      </c>
      <c r="F19" s="8">
        <f t="shared" si="2"/>
        <v>0</v>
      </c>
      <c r="G19" s="10">
        <f t="shared" si="3"/>
        <v>0</v>
      </c>
      <c r="H19" s="7">
        <f>'[5]Mar Prod'!F18</f>
        <v>9000000</v>
      </c>
      <c r="I19" s="8">
        <f t="shared" si="4"/>
        <v>9</v>
      </c>
      <c r="J19" s="10">
        <f t="shared" si="5"/>
        <v>27.63</v>
      </c>
      <c r="K19" s="7">
        <f>'[5]Mar Prod'!H273</f>
        <v>311789</v>
      </c>
      <c r="L19" s="8">
        <f t="shared" si="6"/>
        <v>0.31178899999999998</v>
      </c>
      <c r="M19" s="10">
        <f t="shared" si="7"/>
        <v>0.95719222999999987</v>
      </c>
      <c r="N19" s="28"/>
      <c r="O19" s="7">
        <f>'[5]Mar Prod'!H18</f>
        <v>1406000.0000000033</v>
      </c>
      <c r="P19" s="8">
        <f t="shared" si="8"/>
        <v>1.4060000000000032</v>
      </c>
      <c r="Q19" s="10">
        <f t="shared" si="9"/>
        <v>4.3164200000000097</v>
      </c>
      <c r="R19" s="7">
        <f>'[5]Mar Prod'!C18</f>
        <v>1572000</v>
      </c>
      <c r="S19" s="8">
        <f t="shared" si="10"/>
        <v>1.5720000000000001</v>
      </c>
      <c r="T19" s="10">
        <f t="shared" si="11"/>
        <v>4.8260399999999999</v>
      </c>
      <c r="U19" s="7">
        <f>'[5]Mar Prod'!D18</f>
        <v>0</v>
      </c>
      <c r="V19" s="8">
        <f t="shared" si="12"/>
        <v>0</v>
      </c>
      <c r="W19" s="10">
        <f t="shared" si="13"/>
        <v>0</v>
      </c>
      <c r="X19" s="7">
        <f>'[5]Mar Prod'!D273</f>
        <v>165999.99999999683</v>
      </c>
      <c r="Y19" s="8">
        <f t="shared" si="14"/>
        <v>0.16599999999999682</v>
      </c>
      <c r="Z19" s="10">
        <f t="shared" si="15"/>
        <v>0.50961999999999019</v>
      </c>
      <c r="AA19" s="22"/>
      <c r="AB19" s="7">
        <f>'[5]Mar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10406000.000000004</v>
      </c>
      <c r="AG19" s="8">
        <f t="shared" si="18"/>
        <v>10.406000000000002</v>
      </c>
      <c r="AH19" s="8">
        <f>D19+Q19</f>
        <v>31.94642000000001</v>
      </c>
      <c r="AJ19" s="8">
        <f>T19-Q19-Z19</f>
        <v>0</v>
      </c>
    </row>
    <row r="20" spans="1:36" x14ac:dyDescent="0.15">
      <c r="A20" s="37">
        <v>38427</v>
      </c>
      <c r="B20" s="7">
        <f>'[5]Mar Prod'!I19</f>
        <v>4899999.9999996359</v>
      </c>
      <c r="C20" s="8">
        <f t="shared" si="1"/>
        <v>4.8999999999996362</v>
      </c>
      <c r="D20" s="10">
        <f t="shared" si="0"/>
        <v>15.042999999998882</v>
      </c>
      <c r="E20" s="7">
        <f>'[5]Mar Prod'!E19</f>
        <v>1000000</v>
      </c>
      <c r="F20" s="8">
        <f t="shared" si="2"/>
        <v>1</v>
      </c>
      <c r="G20" s="10">
        <f t="shared" si="3"/>
        <v>3.07</v>
      </c>
      <c r="H20" s="7">
        <f>'[5]Mar Prod'!F19</f>
        <v>5000000</v>
      </c>
      <c r="I20" s="8">
        <f t="shared" si="4"/>
        <v>5</v>
      </c>
      <c r="J20" s="10">
        <f t="shared" si="5"/>
        <v>15.35</v>
      </c>
      <c r="K20" s="7">
        <f>'[5]Mar Prod'!H274</f>
        <v>329528</v>
      </c>
      <c r="L20" s="8">
        <f t="shared" si="6"/>
        <v>0.32952799999999999</v>
      </c>
      <c r="M20" s="10">
        <f t="shared" si="7"/>
        <v>1.0116509599999999</v>
      </c>
      <c r="N20" s="28"/>
      <c r="O20" s="7">
        <f>'[5]Mar Prod'!H19</f>
        <v>7315000</v>
      </c>
      <c r="P20" s="8">
        <f t="shared" si="8"/>
        <v>7.3150000000000004</v>
      </c>
      <c r="Q20" s="10">
        <f t="shared" si="9"/>
        <v>22.457049999999999</v>
      </c>
      <c r="R20" s="7">
        <f>'[5]Mar Prod'!C19</f>
        <v>7693000</v>
      </c>
      <c r="S20" s="8">
        <f t="shared" si="10"/>
        <v>7.6929999999999996</v>
      </c>
      <c r="T20" s="10">
        <f t="shared" si="11"/>
        <v>23.617509999999999</v>
      </c>
      <c r="U20" s="7">
        <f>'[5]Mar Prod'!D19</f>
        <v>0</v>
      </c>
      <c r="V20" s="8">
        <f t="shared" si="12"/>
        <v>0</v>
      </c>
      <c r="W20" s="10">
        <f t="shared" si="13"/>
        <v>0</v>
      </c>
      <c r="X20" s="7">
        <f>'[5]Mar Prod'!D274</f>
        <v>378000.00000000012</v>
      </c>
      <c r="Y20" s="8">
        <f t="shared" si="14"/>
        <v>0.37800000000000011</v>
      </c>
      <c r="Z20" s="10">
        <f t="shared" si="15"/>
        <v>1.1604600000000003</v>
      </c>
      <c r="AA20" s="22"/>
      <c r="AB20" s="7">
        <f>'[5]Mar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12214999.999999635</v>
      </c>
      <c r="AG20" s="8">
        <f t="shared" si="18"/>
        <v>12.214999999999637</v>
      </c>
      <c r="AH20" s="8">
        <f t="shared" si="18"/>
        <v>37.500049999998879</v>
      </c>
      <c r="AJ20" s="8">
        <f t="shared" ref="AJ20:AJ35" si="20">T20-Q20-Z20</f>
        <v>0</v>
      </c>
    </row>
    <row r="21" spans="1:36" x14ac:dyDescent="0.15">
      <c r="A21" s="37">
        <v>38428</v>
      </c>
      <c r="B21" s="7">
        <f>'[5]Mar Prod'!I20</f>
        <v>7000000</v>
      </c>
      <c r="C21" s="8">
        <f t="shared" si="1"/>
        <v>7</v>
      </c>
      <c r="D21" s="10">
        <f t="shared" si="0"/>
        <v>21.49</v>
      </c>
      <c r="E21" s="7">
        <f>'[5]Mar Prod'!E20</f>
        <v>4000000</v>
      </c>
      <c r="F21" s="8">
        <f t="shared" si="2"/>
        <v>4</v>
      </c>
      <c r="G21" s="10">
        <f t="shared" si="3"/>
        <v>12.28</v>
      </c>
      <c r="H21" s="7">
        <f>'[5]Mar Prod'!F20</f>
        <v>5000000</v>
      </c>
      <c r="I21" s="8">
        <f t="shared" si="4"/>
        <v>5</v>
      </c>
      <c r="J21" s="10">
        <f t="shared" si="5"/>
        <v>15.35</v>
      </c>
      <c r="K21" s="7">
        <f>'[5]Mar Prod'!H275</f>
        <v>333900</v>
      </c>
      <c r="L21" s="8">
        <f t="shared" si="6"/>
        <v>0.33389999999999997</v>
      </c>
      <c r="M21" s="10">
        <f t="shared" si="7"/>
        <v>1.0250729999999999</v>
      </c>
      <c r="N21" s="28"/>
      <c r="O21" s="7">
        <f>'[5]Mar Prod'!H20</f>
        <v>1842999.9999999974</v>
      </c>
      <c r="P21" s="8">
        <f t="shared" si="8"/>
        <v>1.8429999999999975</v>
      </c>
      <c r="Q21" s="10">
        <f t="shared" si="9"/>
        <v>5.658009999999992</v>
      </c>
      <c r="R21" s="7">
        <f>'[5]Mar Prod'!C20</f>
        <v>2127000</v>
      </c>
      <c r="S21" s="8">
        <f t="shared" si="10"/>
        <v>2.1269999999999998</v>
      </c>
      <c r="T21" s="10">
        <f t="shared" si="11"/>
        <v>6.5298899999999991</v>
      </c>
      <c r="U21" s="7">
        <f>'[5]Mar Prod'!D20</f>
        <v>0</v>
      </c>
      <c r="V21" s="8">
        <f t="shared" si="12"/>
        <v>0</v>
      </c>
      <c r="W21" s="10">
        <f t="shared" si="13"/>
        <v>0</v>
      </c>
      <c r="X21" s="7">
        <f>'[5]Mar Prod'!D275</f>
        <v>284000.00000000244</v>
      </c>
      <c r="Y21" s="8">
        <f t="shared" si="14"/>
        <v>0.28400000000000242</v>
      </c>
      <c r="Z21" s="10">
        <f t="shared" si="15"/>
        <v>0.87188000000000743</v>
      </c>
      <c r="AA21" s="22"/>
      <c r="AB21" s="7">
        <f>'[5]Mar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8842999.9999999981</v>
      </c>
      <c r="AG21" s="8">
        <f t="shared" si="18"/>
        <v>8.8429999999999982</v>
      </c>
      <c r="AH21" s="8">
        <f t="shared" si="18"/>
        <v>27.148009999999992</v>
      </c>
      <c r="AJ21" s="8">
        <f t="shared" si="20"/>
        <v>0</v>
      </c>
    </row>
    <row r="22" spans="1:36" x14ac:dyDescent="0.15">
      <c r="A22" s="37">
        <v>38429</v>
      </c>
      <c r="B22" s="7">
        <f>'[5]Mar Prod'!I21</f>
        <v>8300000.0000001816</v>
      </c>
      <c r="C22" s="8">
        <f t="shared" si="1"/>
        <v>8.3000000000001819</v>
      </c>
      <c r="D22" s="10">
        <f t="shared" si="0"/>
        <v>25.481000000000556</v>
      </c>
      <c r="E22" s="7">
        <f>'[5]Mar Prod'!E21</f>
        <v>6000000</v>
      </c>
      <c r="F22" s="8">
        <f t="shared" si="2"/>
        <v>6</v>
      </c>
      <c r="G22" s="10">
        <f t="shared" si="3"/>
        <v>18.419999999999998</v>
      </c>
      <c r="H22" s="7">
        <f>'[5]Mar Prod'!F21</f>
        <v>1000000</v>
      </c>
      <c r="I22" s="8">
        <f t="shared" si="4"/>
        <v>1</v>
      </c>
      <c r="J22" s="10">
        <f t="shared" si="5"/>
        <v>3.07</v>
      </c>
      <c r="K22" s="7">
        <f>'[5]Mar Prod'!H276</f>
        <v>527507</v>
      </c>
      <c r="L22" s="8">
        <f t="shared" si="6"/>
        <v>0.52750699999999995</v>
      </c>
      <c r="M22" s="10">
        <f t="shared" si="7"/>
        <v>1.6194464899999998</v>
      </c>
      <c r="N22" s="28"/>
      <c r="O22" s="7">
        <f>'[5]Mar Prod'!H21</f>
        <v>-108999.99999999821</v>
      </c>
      <c r="P22" s="8">
        <f t="shared" si="8"/>
        <v>-0.10899999999999821</v>
      </c>
      <c r="Q22" s="10">
        <f t="shared" si="9"/>
        <v>-0.33462999999999449</v>
      </c>
      <c r="R22" s="7">
        <f>'[5]Mar Prod'!C21</f>
        <v>0</v>
      </c>
      <c r="S22" s="8">
        <f t="shared" si="10"/>
        <v>0</v>
      </c>
      <c r="T22" s="10">
        <f t="shared" si="11"/>
        <v>0</v>
      </c>
      <c r="U22" s="7">
        <f>'[5]Mar Prod'!D21</f>
        <v>0</v>
      </c>
      <c r="V22" s="8">
        <f t="shared" si="12"/>
        <v>0</v>
      </c>
      <c r="W22" s="10">
        <f t="shared" si="13"/>
        <v>0</v>
      </c>
      <c r="X22" s="7">
        <f>'[5]Mar Prod'!D276</f>
        <v>108999.99999999821</v>
      </c>
      <c r="Y22" s="8">
        <f t="shared" si="14"/>
        <v>0.10899999999999821</v>
      </c>
      <c r="Z22" s="10">
        <f t="shared" si="15"/>
        <v>0.33462999999999449</v>
      </c>
      <c r="AA22" s="22"/>
      <c r="AB22" s="7">
        <f>'[5]Mar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8191000.0000001835</v>
      </c>
      <c r="AG22" s="8">
        <f t="shared" si="18"/>
        <v>8.1910000000001837</v>
      </c>
      <c r="AH22" s="8">
        <f t="shared" si="18"/>
        <v>25.146370000000562</v>
      </c>
      <c r="AJ22" s="8">
        <f t="shared" si="20"/>
        <v>0</v>
      </c>
    </row>
    <row r="23" spans="1:36" x14ac:dyDescent="0.15">
      <c r="A23" s="37">
        <v>38430</v>
      </c>
      <c r="B23" s="7">
        <f>'[5]Mar Prod'!I22</f>
        <v>8900000.0000005458</v>
      </c>
      <c r="C23" s="8">
        <f t="shared" si="1"/>
        <v>8.9000000000005457</v>
      </c>
      <c r="D23" s="10">
        <f t="shared" si="0"/>
        <v>27.323000000001674</v>
      </c>
      <c r="E23" s="7">
        <f>'[5]Mar Prod'!E22</f>
        <v>10000000</v>
      </c>
      <c r="F23" s="8">
        <f t="shared" si="2"/>
        <v>10</v>
      </c>
      <c r="G23" s="10">
        <f t="shared" si="3"/>
        <v>30.7</v>
      </c>
      <c r="H23" s="7">
        <f>'[5]Mar Prod'!F22</f>
        <v>0</v>
      </c>
      <c r="I23" s="8">
        <f t="shared" si="4"/>
        <v>0</v>
      </c>
      <c r="J23" s="10">
        <f t="shared" si="5"/>
        <v>0</v>
      </c>
      <c r="K23" s="7">
        <f>'[5]Mar Prod'!H277</f>
        <v>576993</v>
      </c>
      <c r="L23" s="8">
        <f t="shared" si="6"/>
        <v>0.57699299999999998</v>
      </c>
      <c r="M23" s="10">
        <f t="shared" si="7"/>
        <v>1.7713685099999998</v>
      </c>
      <c r="N23" s="28"/>
      <c r="O23" s="7">
        <f>'[5]Mar Prod'!H22</f>
        <v>0</v>
      </c>
      <c r="P23" s="8">
        <f t="shared" si="8"/>
        <v>0</v>
      </c>
      <c r="Q23" s="10">
        <f t="shared" si="9"/>
        <v>0</v>
      </c>
      <c r="R23" s="7">
        <f>'[5]Mar Prod'!C22</f>
        <v>0</v>
      </c>
      <c r="S23" s="8">
        <f t="shared" si="10"/>
        <v>0</v>
      </c>
      <c r="T23" s="10">
        <f t="shared" si="11"/>
        <v>0</v>
      </c>
      <c r="U23" s="7">
        <f>'[5]Mar Prod'!D22</f>
        <v>0</v>
      </c>
      <c r="V23" s="8">
        <f t="shared" si="12"/>
        <v>0</v>
      </c>
      <c r="W23" s="10">
        <f t="shared" si="13"/>
        <v>0</v>
      </c>
      <c r="X23" s="7">
        <f>'[5]Mar Prod'!D277</f>
        <v>0</v>
      </c>
      <c r="Y23" s="8">
        <f t="shared" si="14"/>
        <v>0</v>
      </c>
      <c r="Z23" s="10">
        <f t="shared" si="15"/>
        <v>0</v>
      </c>
      <c r="AA23" s="22"/>
      <c r="AB23" s="7">
        <f>'[5]Mar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8900000.0000005458</v>
      </c>
      <c r="AG23" s="8">
        <f t="shared" si="18"/>
        <v>8.9000000000005457</v>
      </c>
      <c r="AH23" s="8">
        <f t="shared" si="18"/>
        <v>27.323000000001674</v>
      </c>
      <c r="AJ23" s="8">
        <f t="shared" si="20"/>
        <v>0</v>
      </c>
    </row>
    <row r="24" spans="1:36" x14ac:dyDescent="0.15">
      <c r="A24" s="37">
        <v>38431</v>
      </c>
      <c r="B24" s="7">
        <f>'[5]Mar Prod'!I23</f>
        <v>8500000</v>
      </c>
      <c r="C24" s="8">
        <f t="shared" si="1"/>
        <v>8.5</v>
      </c>
      <c r="D24" s="10">
        <f t="shared" si="0"/>
        <v>26.094999999999999</v>
      </c>
      <c r="E24" s="7">
        <f>'[5]Mar Prod'!E23</f>
        <v>9000000</v>
      </c>
      <c r="F24" s="8">
        <f t="shared" si="2"/>
        <v>9</v>
      </c>
      <c r="G24" s="10">
        <f t="shared" si="3"/>
        <v>27.63</v>
      </c>
      <c r="H24" s="7">
        <f>'[5]Mar Prod'!F23</f>
        <v>0</v>
      </c>
      <c r="I24" s="8">
        <f t="shared" si="4"/>
        <v>0</v>
      </c>
      <c r="J24" s="10">
        <f t="shared" si="5"/>
        <v>0</v>
      </c>
      <c r="K24" s="7">
        <f>'[5]Mar Prod'!H278</f>
        <v>307710</v>
      </c>
      <c r="L24" s="8">
        <f t="shared" si="6"/>
        <v>0.30770999999999998</v>
      </c>
      <c r="M24" s="10">
        <f t="shared" si="7"/>
        <v>0.94466969999999995</v>
      </c>
      <c r="N24" s="28"/>
      <c r="O24" s="7">
        <f>'[5]Mar Prod'!H23</f>
        <v>0</v>
      </c>
      <c r="P24" s="8">
        <f t="shared" si="8"/>
        <v>0</v>
      </c>
      <c r="Q24" s="10">
        <f t="shared" si="9"/>
        <v>0</v>
      </c>
      <c r="R24" s="7">
        <f>'[5]Mar Prod'!C23</f>
        <v>0</v>
      </c>
      <c r="S24" s="8">
        <f t="shared" si="10"/>
        <v>0</v>
      </c>
      <c r="T24" s="10">
        <f t="shared" si="11"/>
        <v>0</v>
      </c>
      <c r="U24" s="7">
        <f>'[5]Mar Prod'!D23</f>
        <v>0</v>
      </c>
      <c r="V24" s="8">
        <f t="shared" si="12"/>
        <v>0</v>
      </c>
      <c r="W24" s="10">
        <f t="shared" si="13"/>
        <v>0</v>
      </c>
      <c r="X24" s="7">
        <f>'[5]Mar Prod'!D278</f>
        <v>0</v>
      </c>
      <c r="Y24" s="8">
        <f t="shared" si="14"/>
        <v>0</v>
      </c>
      <c r="Z24" s="10">
        <f t="shared" si="15"/>
        <v>0</v>
      </c>
      <c r="AA24" s="22"/>
      <c r="AB24" s="7">
        <f>'[5]Mar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8500000</v>
      </c>
      <c r="AG24" s="8">
        <f t="shared" si="18"/>
        <v>8.5</v>
      </c>
      <c r="AH24" s="8">
        <f>D24+Q24</f>
        <v>26.094999999999999</v>
      </c>
      <c r="AJ24" s="8">
        <f t="shared" si="20"/>
        <v>0</v>
      </c>
    </row>
    <row r="25" spans="1:36" x14ac:dyDescent="0.15">
      <c r="A25" s="37">
        <v>38432</v>
      </c>
      <c r="B25" s="7">
        <f>'[5]Mar Prod'!I24</f>
        <v>10599999.999999454</v>
      </c>
      <c r="C25" s="8">
        <f t="shared" si="1"/>
        <v>10.599999999999454</v>
      </c>
      <c r="D25" s="10">
        <f t="shared" si="0"/>
        <v>32.541999999998325</v>
      </c>
      <c r="E25" s="7">
        <f>'[5]Mar Prod'!E24</f>
        <v>11000000</v>
      </c>
      <c r="F25" s="8">
        <f t="shared" si="2"/>
        <v>11</v>
      </c>
      <c r="G25" s="10">
        <f t="shared" si="3"/>
        <v>33.769999999999996</v>
      </c>
      <c r="H25" s="7">
        <f>'[5]Mar Prod'!F24</f>
        <v>0</v>
      </c>
      <c r="I25" s="8">
        <f t="shared" si="4"/>
        <v>0</v>
      </c>
      <c r="J25" s="10">
        <f t="shared" si="5"/>
        <v>0</v>
      </c>
      <c r="K25" s="7">
        <f>'[5]Mar Prod'!H279</f>
        <v>359160</v>
      </c>
      <c r="L25" s="8">
        <f t="shared" si="6"/>
        <v>0.35915999999999998</v>
      </c>
      <c r="M25" s="10">
        <f t="shared" si="7"/>
        <v>1.1026212</v>
      </c>
      <c r="N25" s="28"/>
      <c r="O25" s="7">
        <f>'[5]Mar Prod'!H24</f>
        <v>0</v>
      </c>
      <c r="P25" s="8">
        <f t="shared" si="8"/>
        <v>0</v>
      </c>
      <c r="Q25" s="10">
        <f t="shared" si="9"/>
        <v>0</v>
      </c>
      <c r="R25" s="7">
        <f>'[5]Mar Prod'!C24</f>
        <v>0</v>
      </c>
      <c r="S25" s="8">
        <f t="shared" si="10"/>
        <v>0</v>
      </c>
      <c r="T25" s="10">
        <f t="shared" si="11"/>
        <v>0</v>
      </c>
      <c r="U25" s="7">
        <f>'[5]Mar Prod'!D24</f>
        <v>0</v>
      </c>
      <c r="V25" s="8">
        <f t="shared" si="12"/>
        <v>0</v>
      </c>
      <c r="W25" s="10">
        <f t="shared" si="13"/>
        <v>0</v>
      </c>
      <c r="X25" s="7">
        <f>'[5]Mar Prod'!D279</f>
        <v>0</v>
      </c>
      <c r="Y25" s="8">
        <f t="shared" si="14"/>
        <v>0</v>
      </c>
      <c r="Z25" s="10">
        <f t="shared" si="15"/>
        <v>0</v>
      </c>
      <c r="AA25" s="22"/>
      <c r="AB25" s="7">
        <f>'[5]Mar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10599999.999999454</v>
      </c>
      <c r="AG25" s="8">
        <f t="shared" si="18"/>
        <v>10.599999999999454</v>
      </c>
      <c r="AH25" s="8">
        <f t="shared" si="18"/>
        <v>32.541999999998325</v>
      </c>
      <c r="AJ25" s="8">
        <f t="shared" si="20"/>
        <v>0</v>
      </c>
    </row>
    <row r="26" spans="1:36" x14ac:dyDescent="0.15">
      <c r="A26" s="37">
        <v>38433</v>
      </c>
      <c r="B26" s="7">
        <f>'[5]Mar Prod'!I25</f>
        <v>8000000</v>
      </c>
      <c r="C26" s="8">
        <f t="shared" si="1"/>
        <v>8</v>
      </c>
      <c r="D26" s="10">
        <f t="shared" si="0"/>
        <v>24.56</v>
      </c>
      <c r="E26" s="7">
        <f>'[5]Mar Prod'!E25</f>
        <v>8000000</v>
      </c>
      <c r="F26" s="8">
        <f t="shared" si="2"/>
        <v>8</v>
      </c>
      <c r="G26" s="10">
        <f t="shared" si="3"/>
        <v>24.56</v>
      </c>
      <c r="H26" s="7">
        <f>'[5]Mar Prod'!F25</f>
        <v>0</v>
      </c>
      <c r="I26" s="8">
        <f t="shared" si="4"/>
        <v>0</v>
      </c>
      <c r="J26" s="10">
        <f t="shared" si="5"/>
        <v>0</v>
      </c>
      <c r="K26" s="7">
        <f>'[5]Mar Prod'!H280</f>
        <v>328665</v>
      </c>
      <c r="L26" s="8">
        <f t="shared" si="6"/>
        <v>0.32866499999999998</v>
      </c>
      <c r="M26" s="10">
        <f t="shared" si="7"/>
        <v>1.0090015499999998</v>
      </c>
      <c r="N26" s="28"/>
      <c r="O26" s="7">
        <f>'[5]Mar Prod'!H25</f>
        <v>0</v>
      </c>
      <c r="P26" s="8">
        <f t="shared" si="8"/>
        <v>0</v>
      </c>
      <c r="Q26" s="10">
        <f t="shared" si="9"/>
        <v>0</v>
      </c>
      <c r="R26" s="7">
        <f>'[5]Mar Prod'!C25</f>
        <v>0</v>
      </c>
      <c r="S26" s="8">
        <f t="shared" si="10"/>
        <v>0</v>
      </c>
      <c r="T26" s="10">
        <f t="shared" si="11"/>
        <v>0</v>
      </c>
      <c r="U26" s="7">
        <f>'[5]Mar Prod'!D25</f>
        <v>0</v>
      </c>
      <c r="V26" s="8">
        <f t="shared" si="12"/>
        <v>0</v>
      </c>
      <c r="W26" s="10">
        <f t="shared" si="13"/>
        <v>0</v>
      </c>
      <c r="X26" s="7">
        <f>'[5]Mar Prod'!D280</f>
        <v>0</v>
      </c>
      <c r="Y26" s="8">
        <f t="shared" si="14"/>
        <v>0</v>
      </c>
      <c r="Z26" s="10">
        <f t="shared" si="15"/>
        <v>0</v>
      </c>
      <c r="AA26" s="22"/>
      <c r="AB26" s="7">
        <f>'[5]Mar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8000000</v>
      </c>
      <c r="AG26" s="8">
        <f t="shared" si="18"/>
        <v>8</v>
      </c>
      <c r="AH26" s="8">
        <f t="shared" si="18"/>
        <v>24.56</v>
      </c>
      <c r="AJ26" s="8">
        <f t="shared" si="20"/>
        <v>0</v>
      </c>
    </row>
    <row r="27" spans="1:36" x14ac:dyDescent="0.15">
      <c r="A27" s="37">
        <v>38434</v>
      </c>
      <c r="B27" s="7">
        <f>'[5]Mar Prod'!I26</f>
        <v>9000000</v>
      </c>
      <c r="C27" s="8">
        <f t="shared" si="1"/>
        <v>9</v>
      </c>
      <c r="D27" s="10">
        <f t="shared" si="0"/>
        <v>27.63</v>
      </c>
      <c r="E27" s="7">
        <f>'[5]Mar Prod'!E26</f>
        <v>9000000</v>
      </c>
      <c r="F27" s="8">
        <f t="shared" si="2"/>
        <v>9</v>
      </c>
      <c r="G27" s="10">
        <f t="shared" si="3"/>
        <v>27.63</v>
      </c>
      <c r="H27" s="7">
        <f>'[5]Mar Prod'!F26</f>
        <v>0</v>
      </c>
      <c r="I27" s="8">
        <f t="shared" si="4"/>
        <v>0</v>
      </c>
      <c r="J27" s="10">
        <f t="shared" si="5"/>
        <v>0</v>
      </c>
      <c r="K27" s="7">
        <f>'[5]Mar Prod'!H281</f>
        <v>479110</v>
      </c>
      <c r="L27" s="8">
        <f t="shared" si="6"/>
        <v>0.47910999999999998</v>
      </c>
      <c r="M27" s="10">
        <f t="shared" si="7"/>
        <v>1.4708676999999999</v>
      </c>
      <c r="N27" s="28"/>
      <c r="O27" s="7">
        <f>'[5]Mar Prod'!H26</f>
        <v>-220000.00000000242</v>
      </c>
      <c r="P27" s="8">
        <f t="shared" si="8"/>
        <v>-0.22000000000000242</v>
      </c>
      <c r="Q27" s="10">
        <f t="shared" si="9"/>
        <v>-0.67540000000000733</v>
      </c>
      <c r="R27" s="7">
        <f>'[5]Mar Prod'!C26</f>
        <v>0</v>
      </c>
      <c r="S27" s="8">
        <f t="shared" si="10"/>
        <v>0</v>
      </c>
      <c r="T27" s="10">
        <f t="shared" si="11"/>
        <v>0</v>
      </c>
      <c r="U27" s="7">
        <f>'[5]Mar Prod'!D26</f>
        <v>0</v>
      </c>
      <c r="V27" s="8">
        <f t="shared" si="12"/>
        <v>0</v>
      </c>
      <c r="W27" s="10">
        <f t="shared" si="13"/>
        <v>0</v>
      </c>
      <c r="X27" s="7">
        <f>'[5]Mar Prod'!D281</f>
        <v>220000.00000000242</v>
      </c>
      <c r="Y27" s="8">
        <f t="shared" si="14"/>
        <v>0.22000000000000242</v>
      </c>
      <c r="Z27" s="10">
        <f t="shared" si="15"/>
        <v>0.67540000000000733</v>
      </c>
      <c r="AA27" s="22"/>
      <c r="AB27" s="7">
        <f>'[5]Mar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8779999.9999999981</v>
      </c>
      <c r="AG27" s="8">
        <f t="shared" si="18"/>
        <v>8.7799999999999976</v>
      </c>
      <c r="AH27" s="8">
        <f t="shared" si="18"/>
        <v>26.954599999999992</v>
      </c>
      <c r="AJ27" s="8">
        <f t="shared" si="20"/>
        <v>0</v>
      </c>
    </row>
    <row r="28" spans="1:36" x14ac:dyDescent="0.15">
      <c r="A28" s="37">
        <v>38435</v>
      </c>
      <c r="B28" s="7">
        <f>'[5]Mar Prod'!I27</f>
        <v>10199999.999999817</v>
      </c>
      <c r="C28" s="8">
        <f t="shared" si="1"/>
        <v>10.199999999999818</v>
      </c>
      <c r="D28" s="10">
        <f t="shared" si="0"/>
        <v>31.313999999999439</v>
      </c>
      <c r="E28" s="7">
        <f>'[5]Mar Prod'!E27</f>
        <v>10000000</v>
      </c>
      <c r="F28" s="8">
        <f t="shared" si="2"/>
        <v>10</v>
      </c>
      <c r="G28" s="10">
        <f t="shared" si="3"/>
        <v>30.7</v>
      </c>
      <c r="H28" s="7">
        <f>'[5]Mar Prod'!F27</f>
        <v>0</v>
      </c>
      <c r="I28" s="8">
        <f t="shared" si="4"/>
        <v>0</v>
      </c>
      <c r="J28" s="10">
        <f t="shared" si="5"/>
        <v>0</v>
      </c>
      <c r="K28" s="7">
        <f>'[5]Mar Prod'!H282</f>
        <v>310952</v>
      </c>
      <c r="L28" s="8">
        <f t="shared" si="6"/>
        <v>0.31095200000000001</v>
      </c>
      <c r="M28" s="10">
        <f t="shared" si="7"/>
        <v>0.95462263999999997</v>
      </c>
      <c r="N28" s="28"/>
      <c r="O28" s="7">
        <f>'[5]Mar Prod'!H27</f>
        <v>17000</v>
      </c>
      <c r="P28" s="8">
        <f t="shared" si="8"/>
        <v>1.7000000000000001E-2</v>
      </c>
      <c r="Q28" s="10">
        <f t="shared" si="9"/>
        <v>5.219E-2</v>
      </c>
      <c r="R28" s="7">
        <f>'[5]Mar Prod'!C27</f>
        <v>17000</v>
      </c>
      <c r="S28" s="8">
        <f t="shared" si="10"/>
        <v>1.7000000000000001E-2</v>
      </c>
      <c r="T28" s="10">
        <f t="shared" si="11"/>
        <v>5.219E-2</v>
      </c>
      <c r="U28" s="7">
        <f>'[5]Mar Prod'!D27</f>
        <v>0</v>
      </c>
      <c r="V28" s="8">
        <f t="shared" si="12"/>
        <v>0</v>
      </c>
      <c r="W28" s="10">
        <f t="shared" si="13"/>
        <v>0</v>
      </c>
      <c r="X28" s="7">
        <f>'[5]Mar Prod'!D282</f>
        <v>0</v>
      </c>
      <c r="Y28" s="8">
        <f t="shared" si="14"/>
        <v>0</v>
      </c>
      <c r="Z28" s="10">
        <f t="shared" si="15"/>
        <v>0</v>
      </c>
      <c r="AA28" s="22"/>
      <c r="AB28" s="7">
        <f>'[5]Mar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10216999.999999817</v>
      </c>
      <c r="AG28" s="8">
        <f t="shared" si="18"/>
        <v>10.216999999999818</v>
      </c>
      <c r="AH28" s="8">
        <f t="shared" si="18"/>
        <v>31.366189999999438</v>
      </c>
      <c r="AJ28" s="8">
        <f t="shared" si="20"/>
        <v>0</v>
      </c>
    </row>
    <row r="29" spans="1:36" x14ac:dyDescent="0.15">
      <c r="A29" s="37">
        <v>38436</v>
      </c>
      <c r="B29" s="7">
        <f>'[5]Mar Prod'!I28</f>
        <v>8600000.0000003632</v>
      </c>
      <c r="C29" s="8">
        <f t="shared" si="1"/>
        <v>8.6000000000003638</v>
      </c>
      <c r="D29" s="10">
        <f t="shared" si="0"/>
        <v>26.402000000001117</v>
      </c>
      <c r="E29" s="7">
        <f>'[5]Mar Prod'!E28</f>
        <v>9000000</v>
      </c>
      <c r="F29" s="8">
        <f t="shared" si="2"/>
        <v>9</v>
      </c>
      <c r="G29" s="10">
        <f t="shared" si="3"/>
        <v>27.63</v>
      </c>
      <c r="H29" s="7">
        <f>'[5]Mar Prod'!F28</f>
        <v>0</v>
      </c>
      <c r="I29" s="8">
        <f t="shared" si="4"/>
        <v>0</v>
      </c>
      <c r="J29" s="10">
        <f t="shared" si="5"/>
        <v>0</v>
      </c>
      <c r="K29" s="7">
        <f>'[5]Mar Prod'!H283</f>
        <v>370604</v>
      </c>
      <c r="L29" s="8">
        <f t="shared" si="6"/>
        <v>0.37060399999999999</v>
      </c>
      <c r="M29" s="10">
        <f t="shared" si="7"/>
        <v>1.13775428</v>
      </c>
      <c r="N29" s="28"/>
      <c r="O29" s="7">
        <f>'[5]Mar Prod'!H28</f>
        <v>-134999.99999999802</v>
      </c>
      <c r="P29" s="8">
        <f t="shared" si="8"/>
        <v>-0.13499999999999801</v>
      </c>
      <c r="Q29" s="10">
        <f t="shared" si="9"/>
        <v>-0.41444999999999388</v>
      </c>
      <c r="R29" s="7">
        <f>'[5]Mar Prod'!C28</f>
        <v>0</v>
      </c>
      <c r="S29" s="8">
        <f t="shared" si="10"/>
        <v>0</v>
      </c>
      <c r="T29" s="10">
        <f t="shared" si="11"/>
        <v>0</v>
      </c>
      <c r="U29" s="7">
        <f>'[5]Mar Prod'!D28</f>
        <v>0</v>
      </c>
      <c r="V29" s="8">
        <f t="shared" si="12"/>
        <v>0</v>
      </c>
      <c r="W29" s="10">
        <f t="shared" si="13"/>
        <v>0</v>
      </c>
      <c r="X29" s="7">
        <f>'[5]Mar Prod'!D283</f>
        <v>134999.99999999802</v>
      </c>
      <c r="Y29" s="8">
        <f t="shared" si="14"/>
        <v>0.13499999999999801</v>
      </c>
      <c r="Z29" s="10">
        <f t="shared" si="15"/>
        <v>0.41444999999999388</v>
      </c>
      <c r="AA29" s="22"/>
      <c r="AB29" s="7">
        <f>'[5]Mar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8465000.0000003651</v>
      </c>
      <c r="AG29" s="8">
        <f t="shared" si="18"/>
        <v>8.4650000000003658</v>
      </c>
      <c r="AH29" s="8">
        <f t="shared" si="18"/>
        <v>25.987550000001121</v>
      </c>
      <c r="AJ29" s="8">
        <f t="shared" si="20"/>
        <v>0</v>
      </c>
    </row>
    <row r="30" spans="1:36" x14ac:dyDescent="0.15">
      <c r="A30" s="37">
        <v>38437</v>
      </c>
      <c r="B30" s="7">
        <f>'[5]Mar Prod'!I29</f>
        <v>7899999.9999996359</v>
      </c>
      <c r="C30" s="8">
        <f t="shared" si="1"/>
        <v>7.8999999999996362</v>
      </c>
      <c r="D30" s="10">
        <f t="shared" si="0"/>
        <v>24.252999999998881</v>
      </c>
      <c r="E30" s="7">
        <f>'[5]Mar Prod'!E29</f>
        <v>8000000</v>
      </c>
      <c r="F30" s="8">
        <f t="shared" si="2"/>
        <v>8</v>
      </c>
      <c r="G30" s="10">
        <f t="shared" si="3"/>
        <v>24.56</v>
      </c>
      <c r="H30" s="7">
        <f>'[5]Mar Prod'!F29</f>
        <v>0</v>
      </c>
      <c r="I30" s="8">
        <f t="shared" si="4"/>
        <v>0</v>
      </c>
      <c r="J30" s="10">
        <f t="shared" si="5"/>
        <v>0</v>
      </c>
      <c r="K30" s="7">
        <f>'[5]Mar Prod'!H284</f>
        <v>440589</v>
      </c>
      <c r="L30" s="8">
        <f t="shared" si="6"/>
        <v>0.44058900000000001</v>
      </c>
      <c r="M30" s="10">
        <f t="shared" si="7"/>
        <v>1.35260823</v>
      </c>
      <c r="N30" s="28"/>
      <c r="O30" s="7">
        <f>'[5]Mar Prod'!H29</f>
        <v>-72999.999999998836</v>
      </c>
      <c r="P30" s="8">
        <f t="shared" si="8"/>
        <v>-7.299999999999883E-2</v>
      </c>
      <c r="Q30" s="10">
        <f t="shared" si="9"/>
        <v>-0.2241099999999964</v>
      </c>
      <c r="R30" s="7">
        <f>'[5]Mar Prod'!C29</f>
        <v>-10000</v>
      </c>
      <c r="S30" s="8">
        <f t="shared" si="10"/>
        <v>-0.01</v>
      </c>
      <c r="T30" s="10">
        <f t="shared" si="11"/>
        <v>-3.0699999999999998E-2</v>
      </c>
      <c r="U30" s="7">
        <f>'[5]Mar Prod'!D29</f>
        <v>0</v>
      </c>
      <c r="V30" s="8">
        <f t="shared" si="12"/>
        <v>0</v>
      </c>
      <c r="W30" s="10">
        <f t="shared" si="13"/>
        <v>0</v>
      </c>
      <c r="X30" s="7">
        <f>'[5]Mar Prod'!D284</f>
        <v>62999.999999998836</v>
      </c>
      <c r="Y30" s="8">
        <f t="shared" si="14"/>
        <v>6.2999999999998835E-2</v>
      </c>
      <c r="Z30" s="10">
        <f t="shared" si="15"/>
        <v>0.19340999999999642</v>
      </c>
      <c r="AA30" s="22"/>
      <c r="AB30" s="7">
        <f>'[5]Mar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7826999.9999996368</v>
      </c>
      <c r="AG30" s="8">
        <f t="shared" si="18"/>
        <v>7.8269999999996376</v>
      </c>
      <c r="AH30" s="8">
        <f>D30+Q30</f>
        <v>24.028889999998885</v>
      </c>
      <c r="AJ30" s="8">
        <f t="shared" si="20"/>
        <v>0</v>
      </c>
    </row>
    <row r="31" spans="1:36" x14ac:dyDescent="0.15">
      <c r="A31" s="37">
        <v>38438</v>
      </c>
      <c r="B31" s="7">
        <f>'[5]Mar Prod'!I30</f>
        <v>9200000.0000007283</v>
      </c>
      <c r="C31" s="8">
        <f t="shared" si="1"/>
        <v>9.2000000000007276</v>
      </c>
      <c r="D31" s="10">
        <f t="shared" si="0"/>
        <v>28.244000000002231</v>
      </c>
      <c r="E31" s="7">
        <f>'[5]Mar Prod'!E30</f>
        <v>10000000</v>
      </c>
      <c r="F31" s="8">
        <f t="shared" si="2"/>
        <v>10</v>
      </c>
      <c r="G31" s="10">
        <f t="shared" si="3"/>
        <v>30.7</v>
      </c>
      <c r="H31" s="7">
        <f>'[5]Mar Prod'!F30</f>
        <v>0</v>
      </c>
      <c r="I31" s="8">
        <f t="shared" si="4"/>
        <v>0</v>
      </c>
      <c r="J31" s="10">
        <f t="shared" si="5"/>
        <v>0</v>
      </c>
      <c r="K31" s="7">
        <f>'[5]Mar Prod'!H285</f>
        <v>67831</v>
      </c>
      <c r="L31" s="8">
        <f t="shared" si="6"/>
        <v>6.7831000000000002E-2</v>
      </c>
      <c r="M31" s="10">
        <f t="shared" si="7"/>
        <v>0.20824117</v>
      </c>
      <c r="N31" s="28"/>
      <c r="O31" s="7">
        <f>'[5]Mar Prod'!H30</f>
        <v>10000</v>
      </c>
      <c r="P31" s="8">
        <f t="shared" si="8"/>
        <v>0.01</v>
      </c>
      <c r="Q31" s="10">
        <f t="shared" si="9"/>
        <v>3.0699999999999998E-2</v>
      </c>
      <c r="R31" s="7">
        <f>'[5]Mar Prod'!C30</f>
        <v>10000</v>
      </c>
      <c r="S31" s="8">
        <f t="shared" si="10"/>
        <v>0.01</v>
      </c>
      <c r="T31" s="10">
        <f t="shared" si="11"/>
        <v>3.0699999999999998E-2</v>
      </c>
      <c r="U31" s="7">
        <f>'[5]Mar Prod'!D30</f>
        <v>0</v>
      </c>
      <c r="V31" s="8">
        <f t="shared" si="12"/>
        <v>0</v>
      </c>
      <c r="W31" s="10">
        <f t="shared" si="13"/>
        <v>0</v>
      </c>
      <c r="X31" s="7">
        <f>'[5]Mar Prod'!D285</f>
        <v>0</v>
      </c>
      <c r="Y31" s="8">
        <f t="shared" si="14"/>
        <v>0</v>
      </c>
      <c r="Z31" s="10">
        <f t="shared" si="15"/>
        <v>0</v>
      </c>
      <c r="AA31" s="22"/>
      <c r="AB31" s="7">
        <f>'[5]Mar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9210000.0000007283</v>
      </c>
      <c r="AG31" s="8">
        <f t="shared" si="18"/>
        <v>9.2100000000007274</v>
      </c>
      <c r="AH31" s="8">
        <f t="shared" si="18"/>
        <v>28.27470000000223</v>
      </c>
      <c r="AJ31" s="8">
        <f>T31-Q31-Z31</f>
        <v>0</v>
      </c>
    </row>
    <row r="32" spans="1:36" x14ac:dyDescent="0.15">
      <c r="A32" s="37">
        <v>38439</v>
      </c>
      <c r="B32" s="7">
        <f>'[5]Mar Prod'!I31</f>
        <v>10099999.999999454</v>
      </c>
      <c r="C32" s="8">
        <f t="shared" si="1"/>
        <v>10.099999999999454</v>
      </c>
      <c r="D32" s="10">
        <f t="shared" si="0"/>
        <v>31.006999999998325</v>
      </c>
      <c r="E32" s="7">
        <f>'[5]Mar Prod'!E31</f>
        <v>11000000</v>
      </c>
      <c r="F32" s="8">
        <f t="shared" si="2"/>
        <v>11</v>
      </c>
      <c r="G32" s="10">
        <f t="shared" si="3"/>
        <v>33.769999999999996</v>
      </c>
      <c r="H32" s="7">
        <f>'[5]Mar Prod'!F31</f>
        <v>0</v>
      </c>
      <c r="I32" s="8">
        <f t="shared" si="4"/>
        <v>0</v>
      </c>
      <c r="J32" s="10">
        <f t="shared" si="5"/>
        <v>0</v>
      </c>
      <c r="K32" s="7">
        <f>'[5]Mar Prod'!H286</f>
        <v>430332</v>
      </c>
      <c r="L32" s="8">
        <f t="shared" si="6"/>
        <v>0.43033199999999999</v>
      </c>
      <c r="M32" s="10">
        <f t="shared" si="7"/>
        <v>1.3211192399999998</v>
      </c>
      <c r="N32" s="28"/>
      <c r="O32" s="7">
        <f>'[5]Mar Prod'!H31</f>
        <v>0</v>
      </c>
      <c r="P32" s="8">
        <f t="shared" si="8"/>
        <v>0</v>
      </c>
      <c r="Q32" s="10">
        <f t="shared" si="9"/>
        <v>0</v>
      </c>
      <c r="R32" s="7">
        <f>'[5]Mar Prod'!C31</f>
        <v>0</v>
      </c>
      <c r="S32" s="8">
        <f t="shared" si="10"/>
        <v>0</v>
      </c>
      <c r="T32" s="10">
        <f t="shared" si="11"/>
        <v>0</v>
      </c>
      <c r="U32" s="7">
        <f>'[5]Mar Prod'!D31</f>
        <v>0</v>
      </c>
      <c r="V32" s="8">
        <f t="shared" si="12"/>
        <v>0</v>
      </c>
      <c r="W32" s="10">
        <f t="shared" si="13"/>
        <v>0</v>
      </c>
      <c r="X32" s="7">
        <f>'[5]Mar Prod'!D286</f>
        <v>0</v>
      </c>
      <c r="Y32" s="8">
        <f t="shared" si="14"/>
        <v>0</v>
      </c>
      <c r="Z32" s="10">
        <f t="shared" si="15"/>
        <v>0</v>
      </c>
      <c r="AA32" s="22"/>
      <c r="AB32" s="7">
        <f>'[5]Mar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10099999.999999454</v>
      </c>
      <c r="AG32" s="8">
        <f t="shared" si="18"/>
        <v>10.099999999999454</v>
      </c>
      <c r="AH32" s="8">
        <f t="shared" si="18"/>
        <v>31.006999999998325</v>
      </c>
      <c r="AJ32" s="8">
        <f t="shared" si="20"/>
        <v>0</v>
      </c>
    </row>
    <row r="33" spans="1:36" x14ac:dyDescent="0.15">
      <c r="A33" s="37">
        <v>38440</v>
      </c>
      <c r="B33" s="7">
        <f>'[5]Mar Prod'!I32</f>
        <v>10199999.999999817</v>
      </c>
      <c r="C33" s="8">
        <f t="shared" si="1"/>
        <v>10.199999999999818</v>
      </c>
      <c r="D33" s="10">
        <f t="shared" si="0"/>
        <v>31.313999999999439</v>
      </c>
      <c r="E33" s="7">
        <f>'[5]Mar Prod'!E32</f>
        <v>11000000</v>
      </c>
      <c r="F33" s="8">
        <f t="shared" si="2"/>
        <v>11</v>
      </c>
      <c r="G33" s="10">
        <f t="shared" si="3"/>
        <v>33.769999999999996</v>
      </c>
      <c r="H33" s="7">
        <f>'[5]Mar Prod'!F32</f>
        <v>0</v>
      </c>
      <c r="I33" s="8">
        <f t="shared" si="4"/>
        <v>0</v>
      </c>
      <c r="J33" s="10">
        <f t="shared" si="5"/>
        <v>0</v>
      </c>
      <c r="K33" s="7">
        <f>'[5]Mar Prod'!H287</f>
        <v>300939</v>
      </c>
      <c r="L33" s="8">
        <f t="shared" si="6"/>
        <v>0.30093900000000001</v>
      </c>
      <c r="M33" s="10">
        <f t="shared" si="7"/>
        <v>0.92388272999999999</v>
      </c>
      <c r="N33" s="28"/>
      <c r="O33" s="7">
        <f>'[5]Mar Prod'!H32</f>
        <v>-357000.00000000285</v>
      </c>
      <c r="P33" s="8">
        <f t="shared" si="8"/>
        <v>-0.35700000000000287</v>
      </c>
      <c r="Q33" s="10">
        <f t="shared" si="9"/>
        <v>-1.0959900000000087</v>
      </c>
      <c r="R33" s="7">
        <f>'[5]Mar Prod'!C32</f>
        <v>0</v>
      </c>
      <c r="S33" s="8">
        <f t="shared" si="10"/>
        <v>0</v>
      </c>
      <c r="T33" s="10">
        <f t="shared" si="11"/>
        <v>0</v>
      </c>
      <c r="U33" s="7">
        <f>'[5]Mar Prod'!D32</f>
        <v>0</v>
      </c>
      <c r="V33" s="8">
        <f t="shared" si="12"/>
        <v>0</v>
      </c>
      <c r="W33" s="10">
        <f t="shared" si="13"/>
        <v>0</v>
      </c>
      <c r="X33" s="7">
        <f>'[5]Mar Prod'!D287</f>
        <v>357000.00000000285</v>
      </c>
      <c r="Y33" s="8">
        <f t="shared" si="14"/>
        <v>0.35700000000000287</v>
      </c>
      <c r="Z33" s="10">
        <f t="shared" si="15"/>
        <v>1.0959900000000087</v>
      </c>
      <c r="AA33" s="22"/>
      <c r="AB33" s="7">
        <f>'[5]Mar Prod'!G32</f>
        <v>0</v>
      </c>
      <c r="AC33" s="8">
        <f t="shared" si="16"/>
        <v>0</v>
      </c>
      <c r="AD33" s="10">
        <f t="shared" si="17"/>
        <v>0</v>
      </c>
      <c r="AF33" s="7">
        <f t="shared" si="18"/>
        <v>9842999.9999998137</v>
      </c>
      <c r="AG33" s="8">
        <f t="shared" si="18"/>
        <v>9.8429999999998152</v>
      </c>
      <c r="AH33" s="8">
        <f t="shared" si="18"/>
        <v>30.218009999999431</v>
      </c>
      <c r="AJ33" s="8">
        <f t="shared" si="20"/>
        <v>0</v>
      </c>
    </row>
    <row r="34" spans="1:36" x14ac:dyDescent="0.15">
      <c r="A34" s="37">
        <v>38441</v>
      </c>
      <c r="B34" s="7">
        <f>'[5]Mar Prod'!I33</f>
        <v>9300000.0000001825</v>
      </c>
      <c r="C34" s="8">
        <f t="shared" si="1"/>
        <v>9.3000000000001819</v>
      </c>
      <c r="D34" s="10">
        <f t="shared" si="0"/>
        <v>28.551000000000556</v>
      </c>
      <c r="E34" s="7">
        <f>'[5]Mar Prod'!E33</f>
        <v>9000000</v>
      </c>
      <c r="F34" s="8">
        <f t="shared" si="2"/>
        <v>9</v>
      </c>
      <c r="G34" s="10">
        <f t="shared" si="3"/>
        <v>27.63</v>
      </c>
      <c r="H34" s="7">
        <f>'[5]Mar Prod'!F33</f>
        <v>0</v>
      </c>
      <c r="I34" s="8">
        <f t="shared" si="4"/>
        <v>0</v>
      </c>
      <c r="J34" s="10">
        <f t="shared" si="5"/>
        <v>0</v>
      </c>
      <c r="K34" s="7">
        <f>'[5]Mar Prod'!H288</f>
        <v>77828</v>
      </c>
      <c r="L34" s="8">
        <f t="shared" si="6"/>
        <v>7.7827999999999994E-2</v>
      </c>
      <c r="M34" s="10">
        <f t="shared" si="7"/>
        <v>0.23893195999999997</v>
      </c>
      <c r="N34" s="28"/>
      <c r="O34" s="7">
        <f>'[5]Mar Prod'!H33</f>
        <v>-136999.99999999691</v>
      </c>
      <c r="P34" s="8">
        <f t="shared" si="8"/>
        <v>-0.1369999999999969</v>
      </c>
      <c r="Q34" s="10">
        <f t="shared" si="9"/>
        <v>-0.42058999999999047</v>
      </c>
      <c r="R34" s="7">
        <f>'[5]Mar Prod'!C33</f>
        <v>0</v>
      </c>
      <c r="S34" s="8">
        <f t="shared" si="10"/>
        <v>0</v>
      </c>
      <c r="T34" s="10">
        <f t="shared" si="11"/>
        <v>0</v>
      </c>
      <c r="U34" s="7">
        <f>'[5]Mar Prod'!D33</f>
        <v>0</v>
      </c>
      <c r="V34" s="8">
        <f t="shared" si="12"/>
        <v>0</v>
      </c>
      <c r="W34" s="10">
        <f t="shared" si="13"/>
        <v>0</v>
      </c>
      <c r="X34" s="7">
        <f>'[5]Mar Prod'!D288</f>
        <v>136999.99999999691</v>
      </c>
      <c r="Y34" s="8">
        <f t="shared" si="14"/>
        <v>0.1369999999999969</v>
      </c>
      <c r="Z34" s="10">
        <f t="shared" si="15"/>
        <v>0.42058999999999047</v>
      </c>
      <c r="AA34" s="22"/>
      <c r="AB34" s="7">
        <f>'[5]Mar Prod'!G33</f>
        <v>0</v>
      </c>
      <c r="AC34" s="8">
        <f t="shared" si="16"/>
        <v>0</v>
      </c>
      <c r="AD34" s="10">
        <f t="shared" si="17"/>
        <v>0</v>
      </c>
      <c r="AF34" s="7">
        <f t="shared" si="18"/>
        <v>9163000.0000001863</v>
      </c>
      <c r="AG34" s="8">
        <f t="shared" si="18"/>
        <v>9.163000000000185</v>
      </c>
      <c r="AH34" s="8">
        <f t="shared" si="18"/>
        <v>28.130410000000566</v>
      </c>
      <c r="AJ34" s="8">
        <f t="shared" si="20"/>
        <v>0</v>
      </c>
    </row>
    <row r="35" spans="1:36" x14ac:dyDescent="0.15">
      <c r="A35" s="37">
        <v>38442</v>
      </c>
      <c r="B35" s="7">
        <f>'[5]Mar Prod'!I34</f>
        <v>9400000.0000005458</v>
      </c>
      <c r="C35" s="8">
        <f t="shared" si="1"/>
        <v>9.4000000000005457</v>
      </c>
      <c r="D35" s="10">
        <f t="shared" si="0"/>
        <v>28.858000000001674</v>
      </c>
      <c r="E35" s="7">
        <f>'[5]Mar Prod'!E34</f>
        <v>9000000</v>
      </c>
      <c r="F35" s="8">
        <f t="shared" si="2"/>
        <v>9</v>
      </c>
      <c r="G35" s="10">
        <f t="shared" si="3"/>
        <v>27.63</v>
      </c>
      <c r="H35" s="7">
        <f>'[5]Mar Prod'!F34</f>
        <v>0</v>
      </c>
      <c r="I35" s="8">
        <f t="shared" si="4"/>
        <v>0</v>
      </c>
      <c r="J35" s="10">
        <f t="shared" si="5"/>
        <v>0</v>
      </c>
      <c r="K35" s="7">
        <f>'[5]Mar Prod'!H289</f>
        <v>403659</v>
      </c>
      <c r="L35" s="8">
        <f t="shared" si="6"/>
        <v>0.40365899999999999</v>
      </c>
      <c r="M35" s="10">
        <f t="shared" si="7"/>
        <v>1.2392331299999999</v>
      </c>
      <c r="N35" s="28"/>
      <c r="O35" s="7">
        <f>'[5]Mar Prod'!H34</f>
        <v>0</v>
      </c>
      <c r="P35" s="8">
        <f t="shared" si="8"/>
        <v>0</v>
      </c>
      <c r="Q35" s="10">
        <f t="shared" si="9"/>
        <v>0</v>
      </c>
      <c r="R35" s="7">
        <f>'[5]Mar Prod'!C34</f>
        <v>0</v>
      </c>
      <c r="S35" s="8">
        <f t="shared" si="10"/>
        <v>0</v>
      </c>
      <c r="T35" s="10">
        <f t="shared" si="11"/>
        <v>0</v>
      </c>
      <c r="U35" s="7">
        <f>'[5]Mar Prod'!D34</f>
        <v>0</v>
      </c>
      <c r="V35" s="8">
        <f t="shared" si="12"/>
        <v>0</v>
      </c>
      <c r="W35" s="10">
        <f t="shared" si="13"/>
        <v>0</v>
      </c>
      <c r="X35" s="7">
        <f>'[5]Mar Prod'!D289</f>
        <v>0</v>
      </c>
      <c r="Y35" s="8">
        <f t="shared" si="14"/>
        <v>0</v>
      </c>
      <c r="Z35" s="10">
        <f t="shared" si="15"/>
        <v>0</v>
      </c>
      <c r="AA35" s="22"/>
      <c r="AB35" s="7">
        <f>'[5]Mar Prod'!G34</f>
        <v>0</v>
      </c>
      <c r="AC35" s="8">
        <f t="shared" si="16"/>
        <v>0</v>
      </c>
      <c r="AD35" s="10">
        <f t="shared" si="17"/>
        <v>0</v>
      </c>
      <c r="AF35" s="7">
        <f t="shared" si="18"/>
        <v>9400000.0000005458</v>
      </c>
      <c r="AG35" s="8">
        <f t="shared" si="18"/>
        <v>9.4000000000005457</v>
      </c>
      <c r="AH35" s="8">
        <f t="shared" si="18"/>
        <v>28.858000000001674</v>
      </c>
      <c r="AJ35" s="8">
        <f t="shared" si="20"/>
        <v>0</v>
      </c>
    </row>
    <row r="36" spans="1:36" x14ac:dyDescent="0.15">
      <c r="A36" s="21"/>
      <c r="B36" s="21"/>
      <c r="C36" s="33">
        <f>SUM(C5:C35)</f>
        <v>206.90000000000055</v>
      </c>
      <c r="D36" s="33">
        <f t="shared" ref="D36:J36" si="21">SUM(D5:D35)</f>
        <v>635.1830000000017</v>
      </c>
      <c r="E36" s="33"/>
      <c r="F36" s="33">
        <f t="shared" si="21"/>
        <v>135</v>
      </c>
      <c r="G36" s="33">
        <f t="shared" si="21"/>
        <v>414.44999999999987</v>
      </c>
      <c r="H36" s="33"/>
      <c r="I36" s="33">
        <f t="shared" si="21"/>
        <v>84</v>
      </c>
      <c r="J36" s="33">
        <f t="shared" si="21"/>
        <v>257.88</v>
      </c>
      <c r="K36" s="33"/>
      <c r="L36" s="33">
        <f>SUM(L5:L35)</f>
        <v>5.9570959999999999</v>
      </c>
      <c r="M36" s="33">
        <f>SUM(M5:M35)</f>
        <v>18.288284719999996</v>
      </c>
      <c r="N36" s="21"/>
      <c r="O36" s="21"/>
      <c r="P36" s="33">
        <f>SUM(P5:P35)</f>
        <v>80.01600000000002</v>
      </c>
      <c r="Q36" s="33">
        <f>SUM(Q5:Q35)</f>
        <v>245.64912000000001</v>
      </c>
      <c r="R36" s="3"/>
      <c r="S36" s="33">
        <f>SUM(S5:S35)</f>
        <v>86.755999999999986</v>
      </c>
      <c r="T36" s="33">
        <f>SUM(T5:T35)</f>
        <v>266.34091999999998</v>
      </c>
      <c r="U36" s="21"/>
      <c r="V36" s="33">
        <f>SUM(V5:V35)</f>
        <v>0</v>
      </c>
      <c r="W36" s="33">
        <f>SUM(W5:W35)</f>
        <v>0</v>
      </c>
      <c r="X36" s="21"/>
      <c r="Y36" s="33">
        <f>SUM(Y5:Y35)</f>
        <v>6.7399999999999984</v>
      </c>
      <c r="Z36" s="33">
        <f>SUM(Z5:Z35)</f>
        <v>20.69179999999999</v>
      </c>
      <c r="AA36" s="21"/>
      <c r="AB36" s="3"/>
      <c r="AC36" s="33">
        <f>SUM(AC5:AC35)</f>
        <v>0</v>
      </c>
      <c r="AD36" s="33">
        <f>SUM(AD5:AD35)</f>
        <v>0</v>
      </c>
      <c r="AF36" s="32"/>
      <c r="AG36" s="40">
        <f>SUM(AG5:AG35)</f>
        <v>286.91600000000051</v>
      </c>
      <c r="AH36" s="32">
        <f>AG36*3.07</f>
        <v>880.83212000000151</v>
      </c>
      <c r="AJ36" s="40">
        <f>SUM(AJ5:AJ35)</f>
        <v>0</v>
      </c>
    </row>
    <row r="37" spans="1:36" x14ac:dyDescent="0.15">
      <c r="C37" s="25"/>
      <c r="E37" s="3"/>
      <c r="F37" s="3"/>
      <c r="G37" s="3"/>
      <c r="H37" s="3"/>
      <c r="I37" s="3"/>
      <c r="J37" s="22">
        <f>J36/D36</f>
        <v>0.40599323344610816</v>
      </c>
      <c r="K37" s="21"/>
      <c r="L37" s="3"/>
      <c r="M37" s="3"/>
      <c r="N37" s="3"/>
      <c r="O37" s="3"/>
      <c r="P37" s="3"/>
      <c r="Q37" s="3"/>
      <c r="R37" s="3"/>
      <c r="S37" s="3"/>
      <c r="T37" s="3"/>
      <c r="U37" s="21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scale="34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H36"/>
  <sheetViews>
    <sheetView workbookViewId="0">
      <pane xSplit="1" ySplit="4" topLeftCell="U13" activePane="bottomRight" state="frozen"/>
      <selection pane="topRight" activeCell="B1" sqref="B1"/>
      <selection pane="bottomLeft" activeCell="A5" sqref="A5"/>
      <selection pane="bottomRight" activeCell="AH35" sqref="AH35"/>
    </sheetView>
  </sheetViews>
  <sheetFormatPr baseColWidth="10" defaultColWidth="8.83203125" defaultRowHeight="13" x14ac:dyDescent="0.15"/>
  <cols>
    <col min="2" max="2" width="11.6640625" bestFit="1" customWidth="1"/>
    <col min="5" max="5" width="11.5" customWidth="1"/>
    <col min="8" max="8" width="12" customWidth="1"/>
    <col min="12" max="12" width="11.6640625" bestFit="1" customWidth="1"/>
    <col min="15" max="15" width="10.6640625" customWidth="1"/>
    <col min="18" max="18" width="10.6640625" customWidth="1"/>
    <col min="22" max="22" width="10.83203125" customWidth="1"/>
    <col min="32" max="32" width="11.33203125" customWidth="1"/>
  </cols>
  <sheetData>
    <row r="1" spans="1:34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4" x14ac:dyDescent="0.15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4" x14ac:dyDescent="0.15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0" t="s">
        <v>8</v>
      </c>
      <c r="AG3" s="51"/>
      <c r="AH3" s="52"/>
    </row>
    <row r="4" spans="1:34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" t="s">
        <v>0</v>
      </c>
      <c r="AG4" s="5" t="s">
        <v>1</v>
      </c>
      <c r="AH4" s="6" t="s">
        <v>2</v>
      </c>
    </row>
    <row r="5" spans="1:34" x14ac:dyDescent="0.15">
      <c r="A5" s="37">
        <v>38443</v>
      </c>
      <c r="B5" s="7">
        <f>'[6]Apr Prod'!I4</f>
        <v>9299999.9999992717</v>
      </c>
      <c r="C5" s="8">
        <f>B5/1000000</f>
        <v>9.2999999999992724</v>
      </c>
      <c r="D5" s="10">
        <f>C5*3.07</f>
        <v>28.550999999997764</v>
      </c>
      <c r="E5" s="7">
        <f>'[6]Apr Prod'!E4</f>
        <v>10000000</v>
      </c>
      <c r="F5" s="8">
        <f>E5/1000000</f>
        <v>10</v>
      </c>
      <c r="G5" s="10">
        <f>F5*3.07</f>
        <v>30.7</v>
      </c>
      <c r="H5" s="7">
        <f>'[6]Apr Prod'!F4</f>
        <v>0</v>
      </c>
      <c r="I5" s="8">
        <f>H5/1000000</f>
        <v>0</v>
      </c>
      <c r="J5" s="10">
        <f>I5*3.07</f>
        <v>0</v>
      </c>
      <c r="K5" s="7">
        <f>'[6]Apr Prod'!H252</f>
        <v>386079</v>
      </c>
      <c r="L5" s="8">
        <f>K5/1000000</f>
        <v>0.38607900000000001</v>
      </c>
      <c r="M5" s="10">
        <f>L5*3.07</f>
        <v>1.1852625299999999</v>
      </c>
      <c r="N5" s="28"/>
      <c r="O5" s="7">
        <f>'[6]Apr Prod'!H4</f>
        <v>0</v>
      </c>
      <c r="P5" s="8">
        <f>O5/1000000</f>
        <v>0</v>
      </c>
      <c r="Q5" s="10">
        <f>P5*3.07</f>
        <v>0</v>
      </c>
      <c r="R5" s="7">
        <f>'[6]Apr Prod'!C4</f>
        <v>0</v>
      </c>
      <c r="S5" s="8">
        <f>R5/1000000</f>
        <v>0</v>
      </c>
      <c r="T5" s="10">
        <f>S5*3.07</f>
        <v>0</v>
      </c>
      <c r="U5" s="7">
        <f>'[6]Apr Prod'!D4</f>
        <v>0</v>
      </c>
      <c r="V5" s="8">
        <f>U5/1000000</f>
        <v>0</v>
      </c>
      <c r="W5" s="10">
        <f>V5*3.07</f>
        <v>0</v>
      </c>
      <c r="X5" s="7">
        <f>'[6]Apr Prod'!D252</f>
        <v>0</v>
      </c>
      <c r="Y5" s="8">
        <f>X5/1000000</f>
        <v>0</v>
      </c>
      <c r="Z5" s="10">
        <f>Y5*3.07</f>
        <v>0</v>
      </c>
      <c r="AA5" s="22"/>
      <c r="AB5" s="7">
        <f>'[6]Apr Prod'!G4</f>
        <v>0</v>
      </c>
      <c r="AC5" s="8">
        <f>AB5/1000000</f>
        <v>0</v>
      </c>
      <c r="AD5" s="10">
        <f>AC5*3.07</f>
        <v>0</v>
      </c>
      <c r="AF5" s="7">
        <f>B5+O5</f>
        <v>9299999.9999992717</v>
      </c>
      <c r="AG5" s="8">
        <f>C5+P5</f>
        <v>9.2999999999992724</v>
      </c>
      <c r="AH5" s="8">
        <f>D5+Q5</f>
        <v>28.550999999997764</v>
      </c>
    </row>
    <row r="6" spans="1:34" x14ac:dyDescent="0.15">
      <c r="A6" s="37">
        <v>38444</v>
      </c>
      <c r="B6" s="7">
        <f>'[6]Apr Prod'!I5</f>
        <v>9500000</v>
      </c>
      <c r="C6" s="8">
        <f t="shared" ref="C6:C34" si="0">B6/1000000</f>
        <v>9.5</v>
      </c>
      <c r="D6" s="10">
        <f t="shared" ref="D6:D34" si="1">C6*3.07</f>
        <v>29.164999999999999</v>
      </c>
      <c r="E6" s="7">
        <f>'[6]Apr Prod'!E5</f>
        <v>10000000</v>
      </c>
      <c r="F6" s="8">
        <f t="shared" ref="F6:F34" si="2">E6/1000000</f>
        <v>10</v>
      </c>
      <c r="G6" s="10">
        <f t="shared" ref="G6:G34" si="3">F6*3.07</f>
        <v>30.7</v>
      </c>
      <c r="H6" s="7">
        <f>'[6]Apr Prod'!F5</f>
        <v>0</v>
      </c>
      <c r="I6" s="8">
        <f t="shared" ref="I6:I34" si="4">H6/1000000</f>
        <v>0</v>
      </c>
      <c r="J6" s="10">
        <f t="shared" ref="J6:J34" si="5">I6*3.07</f>
        <v>0</v>
      </c>
      <c r="K6" s="7">
        <f>'[6]Apr Prod'!H253</f>
        <v>330952</v>
      </c>
      <c r="L6" s="8">
        <f t="shared" ref="L6:L34" si="6">K6/1000000</f>
        <v>0.33095200000000002</v>
      </c>
      <c r="M6" s="10">
        <f t="shared" ref="M6:M34" si="7">L6*3.07</f>
        <v>1.0160226400000001</v>
      </c>
      <c r="N6" s="28"/>
      <c r="O6" s="7">
        <f>'[6]Apr Prod'!H5</f>
        <v>0</v>
      </c>
      <c r="P6" s="8">
        <f t="shared" ref="P6:P34" si="8">O6/1000000</f>
        <v>0</v>
      </c>
      <c r="Q6" s="10">
        <f t="shared" ref="Q6:Q34" si="9">P6*3.07</f>
        <v>0</v>
      </c>
      <c r="R6" s="7">
        <f>'[6]Apr Prod'!C5</f>
        <v>0</v>
      </c>
      <c r="S6" s="8">
        <f t="shared" ref="S6:S34" si="10">R6/1000000</f>
        <v>0</v>
      </c>
      <c r="T6" s="10">
        <f t="shared" ref="T6:T34" si="11">S6*3.07</f>
        <v>0</v>
      </c>
      <c r="U6" s="7">
        <f>'[6]Apr Prod'!D5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'[6]Apr Prod'!D253</f>
        <v>0</v>
      </c>
      <c r="Y6" s="8">
        <f t="shared" ref="Y6:Y34" si="14">X6/1000000</f>
        <v>0</v>
      </c>
      <c r="Z6" s="10">
        <f t="shared" ref="Z6:Z34" si="15">Y6*3.07</f>
        <v>0</v>
      </c>
      <c r="AA6" s="22"/>
      <c r="AB6" s="7">
        <f>'[6]Apr Prod'!G5</f>
        <v>0</v>
      </c>
      <c r="AC6" s="8">
        <f t="shared" ref="AC6:AC34" si="16">AB6/1000000</f>
        <v>0</v>
      </c>
      <c r="AD6" s="10">
        <f t="shared" ref="AD6:AD34" si="17">AC6*3.07</f>
        <v>0</v>
      </c>
      <c r="AF6" s="7">
        <f t="shared" ref="AF6:AH34" si="18">B6+O6</f>
        <v>9500000</v>
      </c>
      <c r="AG6" s="8">
        <f t="shared" si="18"/>
        <v>9.5</v>
      </c>
      <c r="AH6" s="8">
        <f t="shared" si="18"/>
        <v>29.164999999999999</v>
      </c>
    </row>
    <row r="7" spans="1:34" x14ac:dyDescent="0.15">
      <c r="A7" s="37">
        <v>38445</v>
      </c>
      <c r="B7" s="7">
        <f>'[6]Apr Prod'!I6</f>
        <v>9500000</v>
      </c>
      <c r="C7" s="8">
        <f t="shared" si="0"/>
        <v>9.5</v>
      </c>
      <c r="D7" s="10">
        <f t="shared" si="1"/>
        <v>29.164999999999999</v>
      </c>
      <c r="E7" s="7">
        <f>'[6]Apr Prod'!E6</f>
        <v>9000000</v>
      </c>
      <c r="F7" s="8">
        <f t="shared" si="2"/>
        <v>9</v>
      </c>
      <c r="G7" s="10">
        <f t="shared" si="3"/>
        <v>27.63</v>
      </c>
      <c r="H7" s="7">
        <f>'[6]Apr Prod'!F6</f>
        <v>0</v>
      </c>
      <c r="I7" s="8">
        <f t="shared" si="4"/>
        <v>0</v>
      </c>
      <c r="J7" s="10">
        <f t="shared" si="5"/>
        <v>0</v>
      </c>
      <c r="K7" s="7">
        <f>'[6]Apr Prod'!H254</f>
        <v>327493</v>
      </c>
      <c r="L7" s="8">
        <f t="shared" si="6"/>
        <v>0.32749299999999998</v>
      </c>
      <c r="M7" s="10">
        <f t="shared" si="7"/>
        <v>1.0054035099999998</v>
      </c>
      <c r="N7" s="28"/>
      <c r="O7" s="7">
        <f>'[6]Apr Prod'!H6</f>
        <v>0</v>
      </c>
      <c r="P7" s="8">
        <f t="shared" si="8"/>
        <v>0</v>
      </c>
      <c r="Q7" s="10">
        <f t="shared" si="9"/>
        <v>0</v>
      </c>
      <c r="R7" s="7">
        <f>'[6]Apr Prod'!C6</f>
        <v>0</v>
      </c>
      <c r="S7" s="8">
        <f t="shared" si="10"/>
        <v>0</v>
      </c>
      <c r="T7" s="10">
        <f t="shared" si="11"/>
        <v>0</v>
      </c>
      <c r="U7" s="7">
        <f>'[6]Apr Prod'!D6</f>
        <v>0</v>
      </c>
      <c r="V7" s="8">
        <f t="shared" si="12"/>
        <v>0</v>
      </c>
      <c r="W7" s="10">
        <f t="shared" si="13"/>
        <v>0</v>
      </c>
      <c r="X7" s="7">
        <f>'[6]Apr Prod'!D254</f>
        <v>0</v>
      </c>
      <c r="Y7" s="8">
        <f t="shared" si="14"/>
        <v>0</v>
      </c>
      <c r="Z7" s="10">
        <f t="shared" si="15"/>
        <v>0</v>
      </c>
      <c r="AA7" s="22"/>
      <c r="AB7" s="7">
        <f>'[6]Apr Prod'!G6</f>
        <v>0</v>
      </c>
      <c r="AC7" s="8">
        <f t="shared" si="16"/>
        <v>0</v>
      </c>
      <c r="AD7" s="10">
        <f t="shared" si="17"/>
        <v>0</v>
      </c>
      <c r="AF7" s="7">
        <f t="shared" si="18"/>
        <v>9500000</v>
      </c>
      <c r="AG7" s="8">
        <f t="shared" si="18"/>
        <v>9.5</v>
      </c>
      <c r="AH7" s="8">
        <f t="shared" si="18"/>
        <v>29.164999999999999</v>
      </c>
    </row>
    <row r="8" spans="1:34" x14ac:dyDescent="0.15">
      <c r="A8" s="37">
        <v>38446</v>
      </c>
      <c r="B8" s="7">
        <f>'[6]Apr Prod'!I7</f>
        <v>10200000.000000728</v>
      </c>
      <c r="C8" s="8">
        <f t="shared" si="0"/>
        <v>10.200000000000728</v>
      </c>
      <c r="D8" s="10">
        <f t="shared" si="1"/>
        <v>31.314000000002231</v>
      </c>
      <c r="E8" s="7">
        <f>'[6]Apr Prod'!E7</f>
        <v>11000000</v>
      </c>
      <c r="F8" s="8">
        <f t="shared" si="2"/>
        <v>11</v>
      </c>
      <c r="G8" s="10">
        <f t="shared" si="3"/>
        <v>33.769999999999996</v>
      </c>
      <c r="H8" s="7">
        <f>'[6]Apr Prod'!F7</f>
        <v>0</v>
      </c>
      <c r="I8" s="8">
        <f t="shared" si="4"/>
        <v>0</v>
      </c>
      <c r="J8" s="10">
        <f t="shared" si="5"/>
        <v>0</v>
      </c>
      <c r="K8" s="7">
        <f>'[6]Apr Prod'!H255</f>
        <v>310927</v>
      </c>
      <c r="L8" s="8">
        <f t="shared" si="6"/>
        <v>0.31092700000000001</v>
      </c>
      <c r="M8" s="10">
        <f t="shared" si="7"/>
        <v>0.95454589000000001</v>
      </c>
      <c r="N8" s="28"/>
      <c r="O8" s="7">
        <f>'[6]Apr Prod'!H7</f>
        <v>0</v>
      </c>
      <c r="P8" s="8">
        <f t="shared" si="8"/>
        <v>0</v>
      </c>
      <c r="Q8" s="10">
        <f t="shared" si="9"/>
        <v>0</v>
      </c>
      <c r="R8" s="7">
        <f>'[6]Apr Prod'!C7</f>
        <v>0</v>
      </c>
      <c r="S8" s="8">
        <f t="shared" si="10"/>
        <v>0</v>
      </c>
      <c r="T8" s="10">
        <f t="shared" si="11"/>
        <v>0</v>
      </c>
      <c r="U8" s="7">
        <f>'[6]Apr Prod'!D7</f>
        <v>0</v>
      </c>
      <c r="V8" s="8">
        <f t="shared" si="12"/>
        <v>0</v>
      </c>
      <c r="W8" s="10">
        <f t="shared" si="13"/>
        <v>0</v>
      </c>
      <c r="X8" s="7">
        <f>'[6]Apr Prod'!D255</f>
        <v>0</v>
      </c>
      <c r="Y8" s="8">
        <f t="shared" si="14"/>
        <v>0</v>
      </c>
      <c r="Z8" s="10">
        <f t="shared" si="15"/>
        <v>0</v>
      </c>
      <c r="AA8" s="22"/>
      <c r="AB8" s="7">
        <f>'[6]Apr Prod'!G7</f>
        <v>0</v>
      </c>
      <c r="AC8" s="8">
        <f t="shared" si="16"/>
        <v>0</v>
      </c>
      <c r="AD8" s="10">
        <f t="shared" si="17"/>
        <v>0</v>
      </c>
      <c r="AF8" s="7">
        <f t="shared" si="18"/>
        <v>10200000.000000728</v>
      </c>
      <c r="AG8" s="8">
        <f t="shared" si="18"/>
        <v>10.200000000000728</v>
      </c>
      <c r="AH8" s="8">
        <f t="shared" si="18"/>
        <v>31.314000000002231</v>
      </c>
    </row>
    <row r="9" spans="1:34" x14ac:dyDescent="0.15">
      <c r="A9" s="37">
        <v>38447</v>
      </c>
      <c r="B9" s="7">
        <f>'[6]Apr Prod'!I8</f>
        <v>10199999.999999817</v>
      </c>
      <c r="C9" s="8">
        <f t="shared" si="0"/>
        <v>10.199999999999818</v>
      </c>
      <c r="D9" s="10">
        <f t="shared" si="1"/>
        <v>31.313999999999439</v>
      </c>
      <c r="E9" s="7">
        <f>'[6]Apr Prod'!E8</f>
        <v>10000000</v>
      </c>
      <c r="F9" s="8">
        <f t="shared" si="2"/>
        <v>10</v>
      </c>
      <c r="G9" s="10">
        <f t="shared" si="3"/>
        <v>30.7</v>
      </c>
      <c r="H9" s="7">
        <f>'[6]Apr Prod'!F8</f>
        <v>0</v>
      </c>
      <c r="I9" s="8">
        <f t="shared" si="4"/>
        <v>0</v>
      </c>
      <c r="J9" s="10">
        <f t="shared" si="5"/>
        <v>0</v>
      </c>
      <c r="K9" s="7">
        <f>'[6]Apr Prod'!H256</f>
        <v>433115</v>
      </c>
      <c r="L9" s="8">
        <f t="shared" si="6"/>
        <v>0.43311500000000003</v>
      </c>
      <c r="M9" s="10">
        <f t="shared" si="7"/>
        <v>1.32966305</v>
      </c>
      <c r="N9" s="28"/>
      <c r="O9" s="7">
        <f>'[6]Apr Prod'!H8</f>
        <v>0</v>
      </c>
      <c r="P9" s="8">
        <f t="shared" si="8"/>
        <v>0</v>
      </c>
      <c r="Q9" s="10">
        <f t="shared" si="9"/>
        <v>0</v>
      </c>
      <c r="R9" s="7">
        <f>'[6]Apr Prod'!C8</f>
        <v>0</v>
      </c>
      <c r="S9" s="8">
        <f t="shared" si="10"/>
        <v>0</v>
      </c>
      <c r="T9" s="10">
        <f t="shared" si="11"/>
        <v>0</v>
      </c>
      <c r="U9" s="7">
        <f>'[6]Apr Prod'!D8</f>
        <v>0</v>
      </c>
      <c r="V9" s="8">
        <f t="shared" si="12"/>
        <v>0</v>
      </c>
      <c r="W9" s="10">
        <f t="shared" si="13"/>
        <v>0</v>
      </c>
      <c r="X9" s="7">
        <f>'[6]Apr Prod'!D256</f>
        <v>-11999.999999996902</v>
      </c>
      <c r="Y9" s="8">
        <f t="shared" si="14"/>
        <v>-1.1999999999996902E-2</v>
      </c>
      <c r="Z9" s="10">
        <f t="shared" si="15"/>
        <v>-3.6839999999990485E-2</v>
      </c>
      <c r="AA9" s="22"/>
      <c r="AB9" s="7">
        <f>'[6]Apr Prod'!G8</f>
        <v>0</v>
      </c>
      <c r="AC9" s="8">
        <f t="shared" si="16"/>
        <v>0</v>
      </c>
      <c r="AD9" s="10">
        <f t="shared" si="17"/>
        <v>0</v>
      </c>
      <c r="AF9" s="7">
        <f t="shared" si="18"/>
        <v>10199999.999999817</v>
      </c>
      <c r="AG9" s="8">
        <f t="shared" si="18"/>
        <v>10.199999999999818</v>
      </c>
      <c r="AH9" s="8">
        <f t="shared" si="18"/>
        <v>31.313999999999439</v>
      </c>
    </row>
    <row r="10" spans="1:34" x14ac:dyDescent="0.15">
      <c r="A10" s="37">
        <v>38448</v>
      </c>
      <c r="B10" s="7">
        <f>'[6]Apr Prod'!I9</f>
        <v>10000000</v>
      </c>
      <c r="C10" s="8">
        <f t="shared" si="0"/>
        <v>10</v>
      </c>
      <c r="D10" s="10">
        <f t="shared" si="1"/>
        <v>30.7</v>
      </c>
      <c r="E10" s="7">
        <f>'[6]Apr Prod'!E9</f>
        <v>12000000</v>
      </c>
      <c r="F10" s="8">
        <f t="shared" si="2"/>
        <v>12</v>
      </c>
      <c r="G10" s="10">
        <f t="shared" si="3"/>
        <v>36.839999999999996</v>
      </c>
      <c r="H10" s="7">
        <f>'[6]Apr Prod'!F9</f>
        <v>0</v>
      </c>
      <c r="I10" s="8">
        <f t="shared" si="4"/>
        <v>0</v>
      </c>
      <c r="J10" s="10">
        <f t="shared" si="5"/>
        <v>0</v>
      </c>
      <c r="K10" s="7">
        <f>'[6]Apr Prod'!H257</f>
        <v>429378</v>
      </c>
      <c r="L10" s="8">
        <f t="shared" si="6"/>
        <v>0.42937799999999998</v>
      </c>
      <c r="M10" s="10">
        <f t="shared" si="7"/>
        <v>1.3181904599999998</v>
      </c>
      <c r="N10" s="28"/>
      <c r="O10" s="7">
        <f>'[6]Apr Prod'!H9</f>
        <v>0</v>
      </c>
      <c r="P10" s="8">
        <f t="shared" si="8"/>
        <v>0</v>
      </c>
      <c r="Q10" s="10">
        <f t="shared" si="9"/>
        <v>0</v>
      </c>
      <c r="R10" s="7">
        <f>'[6]Apr Prod'!C9</f>
        <v>0</v>
      </c>
      <c r="S10" s="8">
        <f t="shared" si="10"/>
        <v>0</v>
      </c>
      <c r="T10" s="10">
        <f t="shared" si="11"/>
        <v>0</v>
      </c>
      <c r="U10" s="7">
        <f>'[6]Apr Prod'!D9</f>
        <v>0</v>
      </c>
      <c r="V10" s="8">
        <f t="shared" si="12"/>
        <v>0</v>
      </c>
      <c r="W10" s="10">
        <f t="shared" si="13"/>
        <v>0</v>
      </c>
      <c r="X10" s="7">
        <f>'[6]Apr Prod'!D257</f>
        <v>0</v>
      </c>
      <c r="Y10" s="8">
        <f t="shared" si="14"/>
        <v>0</v>
      </c>
      <c r="Z10" s="10">
        <f t="shared" si="15"/>
        <v>0</v>
      </c>
      <c r="AA10" s="22"/>
      <c r="AB10" s="7">
        <f>'[6]Apr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10000000</v>
      </c>
      <c r="AG10" s="8">
        <f t="shared" si="18"/>
        <v>10</v>
      </c>
      <c r="AH10" s="8">
        <f t="shared" si="18"/>
        <v>30.7</v>
      </c>
    </row>
    <row r="11" spans="1:34" x14ac:dyDescent="0.15">
      <c r="A11" s="37">
        <v>38449</v>
      </c>
      <c r="B11" s="7">
        <f>'[6]Apr Prod'!I10</f>
        <v>8899999.9999996368</v>
      </c>
      <c r="C11" s="8">
        <f t="shared" si="0"/>
        <v>8.8999999999996362</v>
      </c>
      <c r="D11" s="10">
        <f t="shared" si="1"/>
        <v>27.322999999998881</v>
      </c>
      <c r="E11" s="7">
        <f>'[6]Apr Prod'!E10</f>
        <v>9000000</v>
      </c>
      <c r="F11" s="8">
        <f t="shared" si="2"/>
        <v>9</v>
      </c>
      <c r="G11" s="10">
        <f t="shared" si="3"/>
        <v>27.63</v>
      </c>
      <c r="H11" s="7">
        <f>'[6]Apr Prod'!F10</f>
        <v>0</v>
      </c>
      <c r="I11" s="8">
        <f t="shared" si="4"/>
        <v>0</v>
      </c>
      <c r="J11" s="10">
        <f t="shared" si="5"/>
        <v>0</v>
      </c>
      <c r="K11" s="7">
        <f>'[6]Apr Prod'!H258</f>
        <v>55220</v>
      </c>
      <c r="L11" s="8">
        <f t="shared" si="6"/>
        <v>5.5219999999999998E-2</v>
      </c>
      <c r="M11" s="10">
        <f t="shared" si="7"/>
        <v>0.16952539999999999</v>
      </c>
      <c r="N11" s="28"/>
      <c r="O11" s="7">
        <f>'[6]Apr Prod'!H10</f>
        <v>16000</v>
      </c>
      <c r="P11" s="8">
        <f t="shared" si="8"/>
        <v>1.6E-2</v>
      </c>
      <c r="Q11" s="10">
        <f t="shared" si="9"/>
        <v>4.9119999999999997E-2</v>
      </c>
      <c r="R11" s="7">
        <f>'[6]Apr Prod'!C10</f>
        <v>0</v>
      </c>
      <c r="S11" s="8">
        <f t="shared" si="10"/>
        <v>0</v>
      </c>
      <c r="T11" s="10">
        <f t="shared" si="11"/>
        <v>0</v>
      </c>
      <c r="U11" s="7">
        <f>'[6]Apr Prod'!D10</f>
        <v>16000</v>
      </c>
      <c r="V11" s="8">
        <f t="shared" si="12"/>
        <v>1.6E-2</v>
      </c>
      <c r="W11" s="10">
        <f t="shared" si="13"/>
        <v>4.9119999999999997E-2</v>
      </c>
      <c r="X11" s="7">
        <f>'[6]Apr Prod'!D258</f>
        <v>0</v>
      </c>
      <c r="Y11" s="8">
        <f t="shared" si="14"/>
        <v>0</v>
      </c>
      <c r="Z11" s="10">
        <f t="shared" si="15"/>
        <v>0</v>
      </c>
      <c r="AA11" s="22"/>
      <c r="AB11" s="7">
        <f>'[6]Apr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8915999.9999996368</v>
      </c>
      <c r="AG11" s="8">
        <f t="shared" si="18"/>
        <v>8.9159999999996362</v>
      </c>
      <c r="AH11" s="8">
        <f t="shared" si="18"/>
        <v>27.37211999999888</v>
      </c>
    </row>
    <row r="12" spans="1:34" x14ac:dyDescent="0.15">
      <c r="A12" s="37">
        <v>38450</v>
      </c>
      <c r="B12" s="7">
        <f>'[6]Apr Prod'!I11</f>
        <v>9300000.0000001825</v>
      </c>
      <c r="C12" s="8">
        <f t="shared" si="0"/>
        <v>9.3000000000001819</v>
      </c>
      <c r="D12" s="10">
        <f t="shared" si="1"/>
        <v>28.551000000000556</v>
      </c>
      <c r="E12" s="7">
        <f>'[6]Apr Prod'!E11</f>
        <v>9000000</v>
      </c>
      <c r="F12" s="8">
        <f t="shared" si="2"/>
        <v>9</v>
      </c>
      <c r="G12" s="10">
        <f t="shared" si="3"/>
        <v>27.63</v>
      </c>
      <c r="H12" s="7">
        <f>'[6]Apr Prod'!F11</f>
        <v>0</v>
      </c>
      <c r="I12" s="8">
        <f t="shared" si="4"/>
        <v>0</v>
      </c>
      <c r="J12" s="10">
        <f t="shared" si="5"/>
        <v>0</v>
      </c>
      <c r="K12" s="7">
        <f>'[6]Apr Prod'!H259</f>
        <v>55761</v>
      </c>
      <c r="L12" s="8">
        <f t="shared" si="6"/>
        <v>5.5760999999999998E-2</v>
      </c>
      <c r="M12" s="10">
        <f t="shared" si="7"/>
        <v>0.17118626999999997</v>
      </c>
      <c r="N12" s="28"/>
      <c r="O12" s="7">
        <f>'[6]Apr Prod'!H11</f>
        <v>16000</v>
      </c>
      <c r="P12" s="8">
        <f t="shared" si="8"/>
        <v>1.6E-2</v>
      </c>
      <c r="Q12" s="10">
        <f t="shared" si="9"/>
        <v>4.9119999999999997E-2</v>
      </c>
      <c r="R12" s="7">
        <f>'[6]Apr Prod'!C11</f>
        <v>0</v>
      </c>
      <c r="S12" s="8">
        <f t="shared" si="10"/>
        <v>0</v>
      </c>
      <c r="T12" s="10">
        <f t="shared" si="11"/>
        <v>0</v>
      </c>
      <c r="U12" s="7">
        <f>'[6]Apr Prod'!D11</f>
        <v>16000</v>
      </c>
      <c r="V12" s="8">
        <f t="shared" si="12"/>
        <v>1.6E-2</v>
      </c>
      <c r="W12" s="10">
        <f t="shared" si="13"/>
        <v>4.9119999999999997E-2</v>
      </c>
      <c r="X12" s="7">
        <f>'[6]Apr Prod'!D259</f>
        <v>0</v>
      </c>
      <c r="Y12" s="8">
        <f t="shared" si="14"/>
        <v>0</v>
      </c>
      <c r="Z12" s="10">
        <f t="shared" si="15"/>
        <v>0</v>
      </c>
      <c r="AA12" s="22"/>
      <c r="AB12" s="7">
        <f>'[6]Apr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9316000.0000001825</v>
      </c>
      <c r="AG12" s="8">
        <f t="shared" si="18"/>
        <v>9.3160000000001819</v>
      </c>
      <c r="AH12" s="8">
        <f t="shared" si="18"/>
        <v>28.600120000000555</v>
      </c>
    </row>
    <row r="13" spans="1:34" x14ac:dyDescent="0.15">
      <c r="A13" s="37">
        <v>38451</v>
      </c>
      <c r="B13" s="7">
        <f>'[6]Apr Prod'!I12</f>
        <v>9899999.9999996368</v>
      </c>
      <c r="C13" s="8">
        <f t="shared" si="0"/>
        <v>9.8999999999996362</v>
      </c>
      <c r="D13" s="10">
        <f t="shared" si="1"/>
        <v>30.392999999998882</v>
      </c>
      <c r="E13" s="7">
        <f>'[6]Apr Prod'!E12</f>
        <v>12000000</v>
      </c>
      <c r="F13" s="8">
        <f t="shared" si="2"/>
        <v>12</v>
      </c>
      <c r="G13" s="10">
        <f t="shared" si="3"/>
        <v>36.839999999999996</v>
      </c>
      <c r="H13" s="7">
        <f>'[6]Apr Prod'!F12</f>
        <v>0</v>
      </c>
      <c r="I13" s="8">
        <f t="shared" si="4"/>
        <v>0</v>
      </c>
      <c r="J13" s="10">
        <f t="shared" si="5"/>
        <v>0</v>
      </c>
      <c r="K13" s="7">
        <f>'[6]Apr Prod'!H260</f>
        <v>476527</v>
      </c>
      <c r="L13" s="8">
        <f t="shared" si="6"/>
        <v>0.47652699999999998</v>
      </c>
      <c r="M13" s="10">
        <f t="shared" si="7"/>
        <v>1.4629378899999999</v>
      </c>
      <c r="N13" s="28"/>
      <c r="O13" s="7">
        <f>'[6]Apr Prod'!H12</f>
        <v>0</v>
      </c>
      <c r="P13" s="8">
        <f t="shared" si="8"/>
        <v>0</v>
      </c>
      <c r="Q13" s="10">
        <f t="shared" si="9"/>
        <v>0</v>
      </c>
      <c r="R13" s="7">
        <f>'[6]Apr Prod'!C12</f>
        <v>0</v>
      </c>
      <c r="S13" s="8">
        <f t="shared" si="10"/>
        <v>0</v>
      </c>
      <c r="T13" s="10">
        <f t="shared" si="11"/>
        <v>0</v>
      </c>
      <c r="U13" s="7">
        <f>'[6]Apr Prod'!D12</f>
        <v>0</v>
      </c>
      <c r="V13" s="8">
        <f t="shared" si="12"/>
        <v>0</v>
      </c>
      <c r="W13" s="10">
        <f t="shared" si="13"/>
        <v>0</v>
      </c>
      <c r="X13" s="7">
        <f>'[6]Apr Prod'!D260</f>
        <v>0</v>
      </c>
      <c r="Y13" s="8">
        <f t="shared" si="14"/>
        <v>0</v>
      </c>
      <c r="Z13" s="10">
        <f t="shared" si="15"/>
        <v>0</v>
      </c>
      <c r="AA13" s="22"/>
      <c r="AB13" s="7">
        <f>'[6]Apr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9899999.9999996368</v>
      </c>
      <c r="AG13" s="8">
        <f t="shared" si="18"/>
        <v>9.8999999999996362</v>
      </c>
      <c r="AH13" s="8">
        <f t="shared" si="18"/>
        <v>30.392999999998882</v>
      </c>
    </row>
    <row r="14" spans="1:34" x14ac:dyDescent="0.15">
      <c r="A14" s="37">
        <v>38452</v>
      </c>
      <c r="B14" s="7">
        <f>'[6]Apr Prod'!I13</f>
        <v>10700000.000000728</v>
      </c>
      <c r="C14" s="8">
        <f t="shared" si="0"/>
        <v>10.700000000000728</v>
      </c>
      <c r="D14" s="10">
        <f t="shared" si="1"/>
        <v>32.849000000002235</v>
      </c>
      <c r="E14" s="7">
        <f>'[6]Apr Prod'!E13</f>
        <v>10000000</v>
      </c>
      <c r="F14" s="8">
        <f t="shared" si="2"/>
        <v>10</v>
      </c>
      <c r="G14" s="10">
        <f t="shared" si="3"/>
        <v>30.7</v>
      </c>
      <c r="H14" s="7">
        <f>'[6]Apr Prod'!F13</f>
        <v>0</v>
      </c>
      <c r="I14" s="8">
        <f t="shared" si="4"/>
        <v>0</v>
      </c>
      <c r="J14" s="10">
        <f t="shared" si="5"/>
        <v>0</v>
      </c>
      <c r="K14" s="7">
        <f>'[6]Apr Prod'!H261</f>
        <v>475880</v>
      </c>
      <c r="L14" s="8">
        <f t="shared" si="6"/>
        <v>0.47588000000000003</v>
      </c>
      <c r="M14" s="10">
        <f t="shared" si="7"/>
        <v>1.4609516</v>
      </c>
      <c r="N14" s="28"/>
      <c r="O14" s="7">
        <f>'[6]Apr Prod'!H13</f>
        <v>0</v>
      </c>
      <c r="P14" s="8">
        <f t="shared" si="8"/>
        <v>0</v>
      </c>
      <c r="Q14" s="10">
        <f t="shared" si="9"/>
        <v>0</v>
      </c>
      <c r="R14" s="7">
        <f>'[6]Apr Prod'!C13</f>
        <v>0</v>
      </c>
      <c r="S14" s="8">
        <f t="shared" si="10"/>
        <v>0</v>
      </c>
      <c r="T14" s="10">
        <f t="shared" si="11"/>
        <v>0</v>
      </c>
      <c r="U14" s="7">
        <f>'[6]Apr Prod'!D13</f>
        <v>0</v>
      </c>
      <c r="V14" s="8">
        <f t="shared" si="12"/>
        <v>0</v>
      </c>
      <c r="W14" s="10">
        <f t="shared" si="13"/>
        <v>0</v>
      </c>
      <c r="X14" s="7">
        <f>'[6]Apr Prod'!D261</f>
        <v>0</v>
      </c>
      <c r="Y14" s="8">
        <f t="shared" si="14"/>
        <v>0</v>
      </c>
      <c r="Z14" s="10">
        <f t="shared" si="15"/>
        <v>0</v>
      </c>
      <c r="AA14" s="22"/>
      <c r="AB14" s="7">
        <f>'[6]Apr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10700000.000000728</v>
      </c>
      <c r="AG14" s="8">
        <f t="shared" si="18"/>
        <v>10.700000000000728</v>
      </c>
      <c r="AH14" s="8">
        <f t="shared" si="18"/>
        <v>32.849000000002235</v>
      </c>
    </row>
    <row r="15" spans="1:34" x14ac:dyDescent="0.15">
      <c r="A15" s="37">
        <v>38453</v>
      </c>
      <c r="B15" s="7">
        <f>'[6]Apr Prod'!I14</f>
        <v>11799999.999999272</v>
      </c>
      <c r="C15" s="8">
        <f t="shared" si="0"/>
        <v>11.799999999999272</v>
      </c>
      <c r="D15" s="10">
        <f t="shared" si="1"/>
        <v>36.225999999997761</v>
      </c>
      <c r="E15" s="7">
        <f>'[6]Apr Prod'!E14</f>
        <v>13000000</v>
      </c>
      <c r="F15" s="8">
        <f t="shared" si="2"/>
        <v>13</v>
      </c>
      <c r="G15" s="10">
        <f t="shared" si="3"/>
        <v>39.909999999999997</v>
      </c>
      <c r="H15" s="7">
        <f>'[6]Apr Prod'!F14</f>
        <v>0</v>
      </c>
      <c r="I15" s="8">
        <f t="shared" si="4"/>
        <v>0</v>
      </c>
      <c r="J15" s="10">
        <f t="shared" si="5"/>
        <v>0</v>
      </c>
      <c r="K15" s="7">
        <f>'[6]Apr Prod'!H262</f>
        <v>476314</v>
      </c>
      <c r="L15" s="8">
        <f t="shared" si="6"/>
        <v>0.47631400000000002</v>
      </c>
      <c r="M15" s="10">
        <f t="shared" si="7"/>
        <v>1.46228398</v>
      </c>
      <c r="N15" s="28"/>
      <c r="O15" s="7">
        <f>'[6]Apr Prod'!H14</f>
        <v>0</v>
      </c>
      <c r="P15" s="8">
        <f t="shared" si="8"/>
        <v>0</v>
      </c>
      <c r="Q15" s="10">
        <f t="shared" si="9"/>
        <v>0</v>
      </c>
      <c r="R15" s="7">
        <f>'[6]Apr Prod'!C14</f>
        <v>0</v>
      </c>
      <c r="S15" s="8">
        <f t="shared" si="10"/>
        <v>0</v>
      </c>
      <c r="T15" s="10">
        <f t="shared" si="11"/>
        <v>0</v>
      </c>
      <c r="U15" s="7">
        <f>'[6]Apr Prod'!D14</f>
        <v>0</v>
      </c>
      <c r="V15" s="8">
        <f t="shared" si="12"/>
        <v>0</v>
      </c>
      <c r="W15" s="10">
        <f t="shared" si="13"/>
        <v>0</v>
      </c>
      <c r="X15" s="7">
        <f>'[6]Apr Prod'!D262</f>
        <v>0</v>
      </c>
      <c r="Y15" s="8">
        <f t="shared" si="14"/>
        <v>0</v>
      </c>
      <c r="Z15" s="10">
        <f t="shared" si="15"/>
        <v>0</v>
      </c>
      <c r="AA15" s="22"/>
      <c r="AB15" s="7">
        <f>'[6]Apr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11799999.999999272</v>
      </c>
      <c r="AG15" s="8">
        <f t="shared" si="18"/>
        <v>11.799999999999272</v>
      </c>
      <c r="AH15" s="8">
        <f t="shared" si="18"/>
        <v>36.225999999997761</v>
      </c>
    </row>
    <row r="16" spans="1:34" x14ac:dyDescent="0.15">
      <c r="A16" s="37">
        <v>38454</v>
      </c>
      <c r="B16" s="7">
        <f>'[6]Apr Prod'!I15</f>
        <v>11700000.000000728</v>
      </c>
      <c r="C16" s="8">
        <f t="shared" si="0"/>
        <v>11.700000000000728</v>
      </c>
      <c r="D16" s="10">
        <f t="shared" si="1"/>
        <v>35.919000000002235</v>
      </c>
      <c r="E16" s="7">
        <f>'[6]Apr Prod'!E15</f>
        <v>12000000</v>
      </c>
      <c r="F16" s="8">
        <f t="shared" si="2"/>
        <v>12</v>
      </c>
      <c r="G16" s="10">
        <f t="shared" si="3"/>
        <v>36.839999999999996</v>
      </c>
      <c r="H16" s="7">
        <f>'[6]Apr Prod'!F15</f>
        <v>0</v>
      </c>
      <c r="I16" s="8">
        <f t="shared" si="4"/>
        <v>0</v>
      </c>
      <c r="J16" s="10">
        <f t="shared" si="5"/>
        <v>0</v>
      </c>
      <c r="K16" s="7">
        <f>'[6]Apr Prod'!H263</f>
        <v>105702</v>
      </c>
      <c r="L16" s="8">
        <f t="shared" si="6"/>
        <v>0.105702</v>
      </c>
      <c r="M16" s="10">
        <f t="shared" si="7"/>
        <v>0.32450513999999997</v>
      </c>
      <c r="N16" s="28"/>
      <c r="O16" s="7">
        <f>'[6]Apr Prod'!H15</f>
        <v>0</v>
      </c>
      <c r="P16" s="8">
        <f t="shared" si="8"/>
        <v>0</v>
      </c>
      <c r="Q16" s="10">
        <f t="shared" si="9"/>
        <v>0</v>
      </c>
      <c r="R16" s="7">
        <f>'[6]Apr Prod'!C15</f>
        <v>0</v>
      </c>
      <c r="S16" s="8">
        <f t="shared" si="10"/>
        <v>0</v>
      </c>
      <c r="T16" s="10">
        <f t="shared" si="11"/>
        <v>0</v>
      </c>
      <c r="U16" s="7">
        <f>'[6]Apr Prod'!D15</f>
        <v>0</v>
      </c>
      <c r="V16" s="8">
        <f t="shared" si="12"/>
        <v>0</v>
      </c>
      <c r="W16" s="10">
        <f t="shared" si="13"/>
        <v>0</v>
      </c>
      <c r="X16" s="7">
        <f>'[6]Apr Prod'!D263</f>
        <v>0</v>
      </c>
      <c r="Y16" s="8">
        <f t="shared" si="14"/>
        <v>0</v>
      </c>
      <c r="Z16" s="10">
        <f t="shared" si="15"/>
        <v>0</v>
      </c>
      <c r="AA16" s="22"/>
      <c r="AB16" s="7">
        <f>'[6]Apr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11700000.000000728</v>
      </c>
      <c r="AG16" s="8">
        <f t="shared" si="18"/>
        <v>11.700000000000728</v>
      </c>
      <c r="AH16" s="8">
        <f t="shared" si="18"/>
        <v>35.919000000002235</v>
      </c>
    </row>
    <row r="17" spans="1:34" x14ac:dyDescent="0.15">
      <c r="A17" s="37">
        <v>38455</v>
      </c>
      <c r="B17" s="7">
        <f>'[6]Apr Prod'!I16</f>
        <v>11399999.999999637</v>
      </c>
      <c r="C17" s="8">
        <f t="shared" si="0"/>
        <v>11.399999999999636</v>
      </c>
      <c r="D17" s="10">
        <f t="shared" si="1"/>
        <v>34.997999999998882</v>
      </c>
      <c r="E17" s="7">
        <f>'[6]Apr Prod'!E16</f>
        <v>9000000</v>
      </c>
      <c r="F17" s="8">
        <f t="shared" si="2"/>
        <v>9</v>
      </c>
      <c r="G17" s="10">
        <f t="shared" si="3"/>
        <v>27.63</v>
      </c>
      <c r="H17" s="7">
        <f>'[6]Apr Prod'!F16</f>
        <v>2000000</v>
      </c>
      <c r="I17" s="8">
        <f t="shared" si="4"/>
        <v>2</v>
      </c>
      <c r="J17" s="10">
        <f t="shared" si="5"/>
        <v>6.14</v>
      </c>
      <c r="K17" s="7">
        <f>'[6]Apr Prod'!H264</f>
        <v>105369</v>
      </c>
      <c r="L17" s="8">
        <f t="shared" si="6"/>
        <v>0.105369</v>
      </c>
      <c r="M17" s="10">
        <f t="shared" si="7"/>
        <v>0.32348283</v>
      </c>
      <c r="N17" s="28"/>
      <c r="O17" s="7">
        <f>'[6]Apr Prod'!H16</f>
        <v>0</v>
      </c>
      <c r="P17" s="8">
        <f t="shared" si="8"/>
        <v>0</v>
      </c>
      <c r="Q17" s="10">
        <f t="shared" si="9"/>
        <v>0</v>
      </c>
      <c r="R17" s="7">
        <f>'[6]Apr Prod'!C16</f>
        <v>0</v>
      </c>
      <c r="S17" s="8">
        <f t="shared" si="10"/>
        <v>0</v>
      </c>
      <c r="T17" s="10">
        <f t="shared" si="11"/>
        <v>0</v>
      </c>
      <c r="U17" s="7">
        <f>'[6]Apr Prod'!D16</f>
        <v>0</v>
      </c>
      <c r="V17" s="8">
        <f t="shared" si="12"/>
        <v>0</v>
      </c>
      <c r="W17" s="10">
        <f t="shared" si="13"/>
        <v>0</v>
      </c>
      <c r="X17" s="7">
        <f>'[6]Apr Prod'!D264</f>
        <v>0</v>
      </c>
      <c r="Y17" s="8">
        <f t="shared" si="14"/>
        <v>0</v>
      </c>
      <c r="Z17" s="10">
        <f t="shared" si="15"/>
        <v>0</v>
      </c>
      <c r="AA17" s="22"/>
      <c r="AB17" s="7">
        <f>'[6]Apr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11399999.999999637</v>
      </c>
      <c r="AG17" s="8">
        <f t="shared" si="18"/>
        <v>11.399999999999636</v>
      </c>
      <c r="AH17" s="8">
        <f t="shared" si="18"/>
        <v>34.997999999998882</v>
      </c>
    </row>
    <row r="18" spans="1:34" x14ac:dyDescent="0.15">
      <c r="A18" s="37">
        <v>38456</v>
      </c>
      <c r="B18" s="7">
        <f>'[6]Apr Prod'!I17</f>
        <v>11300000.000000183</v>
      </c>
      <c r="C18" s="8">
        <f t="shared" si="0"/>
        <v>11.300000000000182</v>
      </c>
      <c r="D18" s="10">
        <f t="shared" si="1"/>
        <v>34.691000000000557</v>
      </c>
      <c r="E18" s="7">
        <f>'[6]Apr Prod'!E17</f>
        <v>7000000</v>
      </c>
      <c r="F18" s="8">
        <f t="shared" si="2"/>
        <v>7</v>
      </c>
      <c r="G18" s="10">
        <f t="shared" si="3"/>
        <v>21.49</v>
      </c>
      <c r="H18" s="7">
        <f>'[6]Apr Prod'!F17</f>
        <v>5000000</v>
      </c>
      <c r="I18" s="8">
        <f t="shared" si="4"/>
        <v>5</v>
      </c>
      <c r="J18" s="10">
        <f t="shared" si="5"/>
        <v>15.35</v>
      </c>
      <c r="K18" s="7">
        <f>'[6]Apr Prod'!H265</f>
        <v>432616</v>
      </c>
      <c r="L18" s="8">
        <f t="shared" si="6"/>
        <v>0.432616</v>
      </c>
      <c r="M18" s="10">
        <f t="shared" si="7"/>
        <v>1.3281311199999999</v>
      </c>
      <c r="N18" s="28"/>
      <c r="O18" s="7">
        <f>'[6]Apr Prod'!H17</f>
        <v>0</v>
      </c>
      <c r="P18" s="8">
        <f t="shared" si="8"/>
        <v>0</v>
      </c>
      <c r="Q18" s="10">
        <f t="shared" si="9"/>
        <v>0</v>
      </c>
      <c r="R18" s="7">
        <f>'[6]Apr Prod'!C17</f>
        <v>0</v>
      </c>
      <c r="S18" s="8">
        <f t="shared" si="10"/>
        <v>0</v>
      </c>
      <c r="T18" s="10">
        <f t="shared" si="11"/>
        <v>0</v>
      </c>
      <c r="U18" s="7">
        <f>'[6]Apr Prod'!D17</f>
        <v>0</v>
      </c>
      <c r="V18" s="8">
        <f t="shared" si="12"/>
        <v>0</v>
      </c>
      <c r="W18" s="10">
        <f t="shared" si="13"/>
        <v>0</v>
      </c>
      <c r="X18" s="7">
        <f>'[6]Apr Prod'!D265</f>
        <v>0</v>
      </c>
      <c r="Y18" s="8">
        <f t="shared" si="14"/>
        <v>0</v>
      </c>
      <c r="Z18" s="10">
        <f t="shared" si="15"/>
        <v>0</v>
      </c>
      <c r="AA18" s="22"/>
      <c r="AB18" s="7">
        <f>'[6]Apr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11300000.000000183</v>
      </c>
      <c r="AG18" s="8">
        <f t="shared" si="18"/>
        <v>11.300000000000182</v>
      </c>
      <c r="AH18" s="8">
        <f t="shared" si="18"/>
        <v>34.691000000000557</v>
      </c>
    </row>
    <row r="19" spans="1:34" x14ac:dyDescent="0.15">
      <c r="A19" s="37">
        <v>38457</v>
      </c>
      <c r="B19" s="7">
        <f>'[6]Apr Prod'!I18</f>
        <v>12500000</v>
      </c>
      <c r="C19" s="8">
        <f t="shared" si="0"/>
        <v>12.5</v>
      </c>
      <c r="D19" s="10">
        <f t="shared" si="1"/>
        <v>38.375</v>
      </c>
      <c r="E19" s="7">
        <f>'[6]Apr Prod'!E18</f>
        <v>8000000</v>
      </c>
      <c r="F19" s="8">
        <f t="shared" si="2"/>
        <v>8</v>
      </c>
      <c r="G19" s="10">
        <f t="shared" si="3"/>
        <v>24.56</v>
      </c>
      <c r="H19" s="7">
        <f>'[6]Apr Prod'!F18</f>
        <v>5000000</v>
      </c>
      <c r="I19" s="8">
        <f t="shared" si="4"/>
        <v>5</v>
      </c>
      <c r="J19" s="10">
        <f t="shared" si="5"/>
        <v>15.35</v>
      </c>
      <c r="K19" s="7">
        <f>'[6]Apr Prod'!H266</f>
        <v>477136</v>
      </c>
      <c r="L19" s="8">
        <f t="shared" si="6"/>
        <v>0.477136</v>
      </c>
      <c r="M19" s="10">
        <f t="shared" si="7"/>
        <v>1.4648075199999999</v>
      </c>
      <c r="N19" s="28"/>
      <c r="O19" s="7">
        <f>'[6]Apr Prod'!H18</f>
        <v>0</v>
      </c>
      <c r="P19" s="8">
        <f t="shared" si="8"/>
        <v>0</v>
      </c>
      <c r="Q19" s="10">
        <f t="shared" si="9"/>
        <v>0</v>
      </c>
      <c r="R19" s="7">
        <f>'[6]Apr Prod'!C18</f>
        <v>0</v>
      </c>
      <c r="S19" s="8">
        <f t="shared" si="10"/>
        <v>0</v>
      </c>
      <c r="T19" s="10">
        <f t="shared" si="11"/>
        <v>0</v>
      </c>
      <c r="U19" s="7">
        <f>'[6]Apr Prod'!D18</f>
        <v>0</v>
      </c>
      <c r="V19" s="8">
        <f t="shared" si="12"/>
        <v>0</v>
      </c>
      <c r="W19" s="10">
        <f t="shared" si="13"/>
        <v>0</v>
      </c>
      <c r="X19" s="7">
        <f>'[6]Apr Prod'!D266</f>
        <v>0</v>
      </c>
      <c r="Y19" s="8">
        <f t="shared" si="14"/>
        <v>0</v>
      </c>
      <c r="Z19" s="10">
        <f t="shared" si="15"/>
        <v>0</v>
      </c>
      <c r="AA19" s="22"/>
      <c r="AB19" s="7">
        <f>'[6]Apr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12500000</v>
      </c>
      <c r="AG19" s="8">
        <f t="shared" si="18"/>
        <v>12.5</v>
      </c>
      <c r="AH19" s="8">
        <f t="shared" si="18"/>
        <v>38.375</v>
      </c>
    </row>
    <row r="20" spans="1:34" x14ac:dyDescent="0.15">
      <c r="A20" s="37">
        <v>38458</v>
      </c>
      <c r="B20" s="7">
        <f>'[6]Apr Prod'!I19</f>
        <v>12300000.000000183</v>
      </c>
      <c r="C20" s="8">
        <f t="shared" si="0"/>
        <v>12.300000000000182</v>
      </c>
      <c r="D20" s="10">
        <f t="shared" si="1"/>
        <v>37.761000000000557</v>
      </c>
      <c r="E20" s="7">
        <f>'[6]Apr Prod'!E19</f>
        <v>8000000</v>
      </c>
      <c r="F20" s="8">
        <f t="shared" si="2"/>
        <v>8</v>
      </c>
      <c r="G20" s="10">
        <f t="shared" si="3"/>
        <v>24.56</v>
      </c>
      <c r="H20" s="7">
        <f>'[6]Apr Prod'!F19</f>
        <v>5000000</v>
      </c>
      <c r="I20" s="8">
        <f t="shared" si="4"/>
        <v>5</v>
      </c>
      <c r="J20" s="10">
        <f t="shared" si="5"/>
        <v>15.35</v>
      </c>
      <c r="K20" s="7">
        <f>'[6]Apr Prod'!H267</f>
        <v>133282</v>
      </c>
      <c r="L20" s="8">
        <f t="shared" si="6"/>
        <v>0.13328200000000001</v>
      </c>
      <c r="M20" s="10">
        <f t="shared" si="7"/>
        <v>0.40917574000000001</v>
      </c>
      <c r="N20" s="28"/>
      <c r="O20" s="7">
        <f>'[6]Apr Prod'!H19</f>
        <v>0</v>
      </c>
      <c r="P20" s="8">
        <f t="shared" si="8"/>
        <v>0</v>
      </c>
      <c r="Q20" s="10">
        <f t="shared" si="9"/>
        <v>0</v>
      </c>
      <c r="R20" s="7">
        <f>'[6]Apr Prod'!C19</f>
        <v>0</v>
      </c>
      <c r="S20" s="8">
        <f t="shared" si="10"/>
        <v>0</v>
      </c>
      <c r="T20" s="10">
        <f t="shared" si="11"/>
        <v>0</v>
      </c>
      <c r="U20" s="7">
        <f>'[6]Apr Prod'!D19</f>
        <v>0</v>
      </c>
      <c r="V20" s="8">
        <f t="shared" si="12"/>
        <v>0</v>
      </c>
      <c r="W20" s="10">
        <f t="shared" si="13"/>
        <v>0</v>
      </c>
      <c r="X20" s="7">
        <f>'[6]Apr Prod'!D267</f>
        <v>0</v>
      </c>
      <c r="Y20" s="8">
        <f t="shared" si="14"/>
        <v>0</v>
      </c>
      <c r="Z20" s="10">
        <f t="shared" si="15"/>
        <v>0</v>
      </c>
      <c r="AA20" s="22"/>
      <c r="AB20" s="7">
        <f>'[6]Apr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12300000.000000183</v>
      </c>
      <c r="AG20" s="8">
        <f t="shared" si="18"/>
        <v>12.300000000000182</v>
      </c>
      <c r="AH20" s="8">
        <f t="shared" si="18"/>
        <v>37.761000000000557</v>
      </c>
    </row>
    <row r="21" spans="1:34" x14ac:dyDescent="0.15">
      <c r="A21" s="37">
        <v>38459</v>
      </c>
      <c r="B21" s="7">
        <f>'[6]Apr Prod'!I20</f>
        <v>11500000</v>
      </c>
      <c r="C21" s="8">
        <f t="shared" si="0"/>
        <v>11.5</v>
      </c>
      <c r="D21" s="10">
        <f t="shared" si="1"/>
        <v>35.305</v>
      </c>
      <c r="E21" s="7">
        <f>'[6]Apr Prod'!E20</f>
        <v>7000000</v>
      </c>
      <c r="F21" s="8">
        <f t="shared" si="2"/>
        <v>7</v>
      </c>
      <c r="G21" s="10">
        <f t="shared" si="3"/>
        <v>21.49</v>
      </c>
      <c r="H21" s="7">
        <f>'[6]Apr Prod'!F20</f>
        <v>5000000</v>
      </c>
      <c r="I21" s="8">
        <f t="shared" si="4"/>
        <v>5</v>
      </c>
      <c r="J21" s="10">
        <f t="shared" si="5"/>
        <v>15.35</v>
      </c>
      <c r="K21" s="7">
        <f>'[6]Apr Prod'!H268</f>
        <v>90020</v>
      </c>
      <c r="L21" s="8">
        <f t="shared" si="6"/>
        <v>9.0020000000000003E-2</v>
      </c>
      <c r="M21" s="10">
        <f t="shared" si="7"/>
        <v>0.27636139999999998</v>
      </c>
      <c r="N21" s="28"/>
      <c r="O21" s="7">
        <f>'[6]Apr Prod'!H20</f>
        <v>0</v>
      </c>
      <c r="P21" s="8">
        <f t="shared" si="8"/>
        <v>0</v>
      </c>
      <c r="Q21" s="10">
        <f t="shared" si="9"/>
        <v>0</v>
      </c>
      <c r="R21" s="7">
        <f>'[6]Apr Prod'!C20</f>
        <v>0</v>
      </c>
      <c r="S21" s="8">
        <f t="shared" si="10"/>
        <v>0</v>
      </c>
      <c r="T21" s="10">
        <f t="shared" si="11"/>
        <v>0</v>
      </c>
      <c r="U21" s="7">
        <f>'[6]Apr Prod'!D20</f>
        <v>0</v>
      </c>
      <c r="V21" s="8">
        <f t="shared" si="12"/>
        <v>0</v>
      </c>
      <c r="W21" s="10">
        <f t="shared" si="13"/>
        <v>0</v>
      </c>
      <c r="X21" s="7">
        <f>'[6]Apr Prod'!D268</f>
        <v>0</v>
      </c>
      <c r="Y21" s="8">
        <f t="shared" si="14"/>
        <v>0</v>
      </c>
      <c r="Z21" s="10">
        <f t="shared" si="15"/>
        <v>0</v>
      </c>
      <c r="AA21" s="22"/>
      <c r="AB21" s="7">
        <f>'[6]Apr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11500000</v>
      </c>
      <c r="AG21" s="8">
        <f t="shared" si="18"/>
        <v>11.5</v>
      </c>
      <c r="AH21" s="8">
        <f t="shared" si="18"/>
        <v>35.305</v>
      </c>
    </row>
    <row r="22" spans="1:34" x14ac:dyDescent="0.15">
      <c r="A22" s="37">
        <v>38460</v>
      </c>
      <c r="B22" s="7">
        <f>'[6]Apr Prod'!I21</f>
        <v>12699999.999999817</v>
      </c>
      <c r="C22" s="8">
        <f t="shared" si="0"/>
        <v>12.699999999999818</v>
      </c>
      <c r="D22" s="10">
        <f t="shared" si="1"/>
        <v>38.988999999999443</v>
      </c>
      <c r="E22" s="7">
        <f>'[6]Apr Prod'!E21</f>
        <v>8000000</v>
      </c>
      <c r="F22" s="8">
        <f t="shared" si="2"/>
        <v>8</v>
      </c>
      <c r="G22" s="10">
        <f t="shared" si="3"/>
        <v>24.56</v>
      </c>
      <c r="H22" s="7">
        <f>'[6]Apr Prod'!F21</f>
        <v>5000000</v>
      </c>
      <c r="I22" s="8">
        <f t="shared" si="4"/>
        <v>5</v>
      </c>
      <c r="J22" s="10">
        <f t="shared" si="5"/>
        <v>15.35</v>
      </c>
      <c r="K22" s="7">
        <f>'[6]Apr Prod'!H269</f>
        <v>119135</v>
      </c>
      <c r="L22" s="8">
        <f t="shared" si="6"/>
        <v>0.119135</v>
      </c>
      <c r="M22" s="10">
        <f t="shared" si="7"/>
        <v>0.36574445</v>
      </c>
      <c r="N22" s="28"/>
      <c r="O22" s="7">
        <f>'[6]Apr Prod'!H21</f>
        <v>0</v>
      </c>
      <c r="P22" s="8">
        <f t="shared" si="8"/>
        <v>0</v>
      </c>
      <c r="Q22" s="10">
        <f t="shared" si="9"/>
        <v>0</v>
      </c>
      <c r="R22" s="7">
        <f>'[6]Apr Prod'!C21</f>
        <v>0</v>
      </c>
      <c r="S22" s="8">
        <f t="shared" si="10"/>
        <v>0</v>
      </c>
      <c r="T22" s="10">
        <f t="shared" si="11"/>
        <v>0</v>
      </c>
      <c r="U22" s="7">
        <f>'[6]Apr Prod'!D21</f>
        <v>0</v>
      </c>
      <c r="V22" s="8">
        <f t="shared" si="12"/>
        <v>0</v>
      </c>
      <c r="W22" s="10">
        <f t="shared" si="13"/>
        <v>0</v>
      </c>
      <c r="X22" s="7">
        <f>'[6]Apr Prod'!D269</f>
        <v>0</v>
      </c>
      <c r="Y22" s="8">
        <f t="shared" si="14"/>
        <v>0</v>
      </c>
      <c r="Z22" s="10">
        <f t="shared" si="15"/>
        <v>0</v>
      </c>
      <c r="AA22" s="22"/>
      <c r="AB22" s="7">
        <f>'[6]Apr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12699999.999999817</v>
      </c>
      <c r="AG22" s="8">
        <f t="shared" si="18"/>
        <v>12.699999999999818</v>
      </c>
      <c r="AH22" s="8">
        <f t="shared" si="18"/>
        <v>38.988999999999443</v>
      </c>
    </row>
    <row r="23" spans="1:34" x14ac:dyDescent="0.15">
      <c r="A23" s="37">
        <v>38461</v>
      </c>
      <c r="B23" s="7">
        <f>'[6]Apr Prod'!I22</f>
        <v>14899999.999999637</v>
      </c>
      <c r="C23" s="8">
        <f t="shared" si="0"/>
        <v>14.899999999999636</v>
      </c>
      <c r="D23" s="10">
        <f t="shared" si="1"/>
        <v>45.742999999998879</v>
      </c>
      <c r="E23" s="7">
        <f>'[6]Apr Prod'!E22</f>
        <v>10000000</v>
      </c>
      <c r="F23" s="8">
        <f t="shared" si="2"/>
        <v>10</v>
      </c>
      <c r="G23" s="10">
        <f t="shared" si="3"/>
        <v>30.7</v>
      </c>
      <c r="H23" s="7">
        <f>'[6]Apr Prod'!F22</f>
        <v>5000000</v>
      </c>
      <c r="I23" s="8">
        <f t="shared" si="4"/>
        <v>5</v>
      </c>
      <c r="J23" s="10">
        <f t="shared" si="5"/>
        <v>15.35</v>
      </c>
      <c r="K23" s="7">
        <f>'[6]Apr Prod'!H270</f>
        <v>931086</v>
      </c>
      <c r="L23" s="8">
        <f t="shared" si="6"/>
        <v>0.93108599999999997</v>
      </c>
      <c r="M23" s="10">
        <f t="shared" si="7"/>
        <v>2.8584340199999998</v>
      </c>
      <c r="N23" s="28"/>
      <c r="O23" s="7">
        <f>'[6]Apr Prod'!H22</f>
        <v>0</v>
      </c>
      <c r="P23" s="8">
        <f t="shared" si="8"/>
        <v>0</v>
      </c>
      <c r="Q23" s="10">
        <f t="shared" si="9"/>
        <v>0</v>
      </c>
      <c r="R23" s="7">
        <f>'[6]Apr Prod'!C22</f>
        <v>0</v>
      </c>
      <c r="S23" s="8">
        <f t="shared" si="10"/>
        <v>0</v>
      </c>
      <c r="T23" s="10">
        <f t="shared" si="11"/>
        <v>0</v>
      </c>
      <c r="U23" s="7">
        <f>'[6]Apr Prod'!D22</f>
        <v>0</v>
      </c>
      <c r="V23" s="8">
        <f t="shared" si="12"/>
        <v>0</v>
      </c>
      <c r="W23" s="10">
        <f t="shared" si="13"/>
        <v>0</v>
      </c>
      <c r="X23" s="7">
        <f>'[6]Apr Prod'!D270</f>
        <v>0</v>
      </c>
      <c r="Y23" s="8">
        <f t="shared" si="14"/>
        <v>0</v>
      </c>
      <c r="Z23" s="10">
        <f t="shared" si="15"/>
        <v>0</v>
      </c>
      <c r="AA23" s="22"/>
      <c r="AB23" s="7">
        <f>'[6]Apr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14899999.999999637</v>
      </c>
      <c r="AG23" s="8">
        <f t="shared" si="18"/>
        <v>14.899999999999636</v>
      </c>
      <c r="AH23" s="8">
        <f t="shared" si="18"/>
        <v>45.742999999998879</v>
      </c>
    </row>
    <row r="24" spans="1:34" x14ac:dyDescent="0.15">
      <c r="A24" s="37">
        <v>38462</v>
      </c>
      <c r="B24" s="7">
        <f>'[6]Apr Prod'!I23</f>
        <v>13699999.999999817</v>
      </c>
      <c r="C24" s="8">
        <f t="shared" si="0"/>
        <v>13.699999999999818</v>
      </c>
      <c r="D24" s="10">
        <f t="shared" si="1"/>
        <v>42.058999999999436</v>
      </c>
      <c r="E24" s="7">
        <f>'[6]Apr Prod'!E23</f>
        <v>9000000</v>
      </c>
      <c r="F24" s="8">
        <f t="shared" si="2"/>
        <v>9</v>
      </c>
      <c r="G24" s="10">
        <f t="shared" si="3"/>
        <v>27.63</v>
      </c>
      <c r="H24" s="7">
        <f>'[6]Apr Prod'!F23</f>
        <v>5000000</v>
      </c>
      <c r="I24" s="8">
        <f t="shared" si="4"/>
        <v>5</v>
      </c>
      <c r="J24" s="10">
        <f t="shared" si="5"/>
        <v>15.35</v>
      </c>
      <c r="K24" s="7">
        <f>'[6]Apr Prod'!H271</f>
        <v>554680</v>
      </c>
      <c r="L24" s="8">
        <f t="shared" si="6"/>
        <v>0.55467999999999995</v>
      </c>
      <c r="M24" s="10">
        <f t="shared" si="7"/>
        <v>1.7028675999999998</v>
      </c>
      <c r="N24" s="28"/>
      <c r="O24" s="7">
        <f>'[6]Apr Prod'!H23</f>
        <v>0</v>
      </c>
      <c r="P24" s="8">
        <f t="shared" si="8"/>
        <v>0</v>
      </c>
      <c r="Q24" s="10">
        <f t="shared" si="9"/>
        <v>0</v>
      </c>
      <c r="R24" s="7">
        <f>'[6]Apr Prod'!C23</f>
        <v>0</v>
      </c>
      <c r="S24" s="8">
        <f t="shared" si="10"/>
        <v>0</v>
      </c>
      <c r="T24" s="10">
        <f t="shared" si="11"/>
        <v>0</v>
      </c>
      <c r="U24" s="7">
        <f>'[6]Apr Prod'!D23</f>
        <v>0</v>
      </c>
      <c r="V24" s="8">
        <f t="shared" si="12"/>
        <v>0</v>
      </c>
      <c r="W24" s="10">
        <f t="shared" si="13"/>
        <v>0</v>
      </c>
      <c r="X24" s="7">
        <f>'[6]Apr Prod'!D271</f>
        <v>0</v>
      </c>
      <c r="Y24" s="8">
        <f t="shared" si="14"/>
        <v>0</v>
      </c>
      <c r="Z24" s="10">
        <f t="shared" si="15"/>
        <v>0</v>
      </c>
      <c r="AA24" s="22"/>
      <c r="AB24" s="7">
        <f>'[6]Apr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13699999.999999817</v>
      </c>
      <c r="AG24" s="8">
        <f t="shared" si="18"/>
        <v>13.699999999999818</v>
      </c>
      <c r="AH24" s="8">
        <f t="shared" si="18"/>
        <v>42.058999999999436</v>
      </c>
    </row>
    <row r="25" spans="1:34" x14ac:dyDescent="0.15">
      <c r="A25" s="37">
        <v>38463</v>
      </c>
      <c r="B25" s="7">
        <f>'[6]Apr Prod'!I24</f>
        <v>12000000</v>
      </c>
      <c r="C25" s="8">
        <f t="shared" si="0"/>
        <v>12</v>
      </c>
      <c r="D25" s="10">
        <f t="shared" si="1"/>
        <v>36.839999999999996</v>
      </c>
      <c r="E25" s="7">
        <f>'[6]Apr Prod'!E24</f>
        <v>8000000</v>
      </c>
      <c r="F25" s="8">
        <f t="shared" si="2"/>
        <v>8</v>
      </c>
      <c r="G25" s="10">
        <f t="shared" si="3"/>
        <v>24.56</v>
      </c>
      <c r="H25" s="7">
        <f>'[6]Apr Prod'!F24</f>
        <v>5000000</v>
      </c>
      <c r="I25" s="8">
        <f t="shared" si="4"/>
        <v>5</v>
      </c>
      <c r="J25" s="10">
        <f t="shared" si="5"/>
        <v>15.35</v>
      </c>
      <c r="K25" s="7">
        <f>'[6]Apr Prod'!H272</f>
        <v>100841</v>
      </c>
      <c r="L25" s="8">
        <f t="shared" si="6"/>
        <v>0.100841</v>
      </c>
      <c r="M25" s="10">
        <f t="shared" si="7"/>
        <v>0.30958186999999998</v>
      </c>
      <c r="N25" s="28"/>
      <c r="O25" s="7">
        <f>'[6]Apr Prod'!H24</f>
        <v>0</v>
      </c>
      <c r="P25" s="8">
        <f t="shared" si="8"/>
        <v>0</v>
      </c>
      <c r="Q25" s="10">
        <f t="shared" si="9"/>
        <v>0</v>
      </c>
      <c r="R25" s="7">
        <f>'[6]Apr Prod'!C24</f>
        <v>0</v>
      </c>
      <c r="S25" s="8">
        <f t="shared" si="10"/>
        <v>0</v>
      </c>
      <c r="T25" s="10">
        <f t="shared" si="11"/>
        <v>0</v>
      </c>
      <c r="U25" s="7">
        <f>'[6]Apr Prod'!D24</f>
        <v>0</v>
      </c>
      <c r="V25" s="8">
        <f t="shared" si="12"/>
        <v>0</v>
      </c>
      <c r="W25" s="10">
        <f t="shared" si="13"/>
        <v>0</v>
      </c>
      <c r="X25" s="7">
        <f>'[6]Apr Prod'!D272</f>
        <v>0</v>
      </c>
      <c r="Y25" s="8">
        <f t="shared" si="14"/>
        <v>0</v>
      </c>
      <c r="Z25" s="10">
        <f t="shared" si="15"/>
        <v>0</v>
      </c>
      <c r="AA25" s="22"/>
      <c r="AB25" s="7">
        <f>'[6]Apr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12000000</v>
      </c>
      <c r="AG25" s="8">
        <f t="shared" si="18"/>
        <v>12</v>
      </c>
      <c r="AH25" s="8">
        <f t="shared" si="18"/>
        <v>36.839999999999996</v>
      </c>
    </row>
    <row r="26" spans="1:34" x14ac:dyDescent="0.15">
      <c r="A26" s="37">
        <v>38464</v>
      </c>
      <c r="B26" s="7">
        <f>'[6]Apr Prod'!I25</f>
        <v>12700000.000000728</v>
      </c>
      <c r="C26" s="8">
        <f t="shared" si="0"/>
        <v>12.700000000000728</v>
      </c>
      <c r="D26" s="10">
        <f t="shared" si="1"/>
        <v>38.989000000002228</v>
      </c>
      <c r="E26" s="7">
        <f>'[6]Apr Prod'!E25</f>
        <v>8000000</v>
      </c>
      <c r="F26" s="8">
        <f t="shared" si="2"/>
        <v>8</v>
      </c>
      <c r="G26" s="10">
        <f t="shared" si="3"/>
        <v>24.56</v>
      </c>
      <c r="H26" s="7">
        <f>'[6]Apr Prod'!F25</f>
        <v>5000000</v>
      </c>
      <c r="I26" s="8">
        <f t="shared" si="4"/>
        <v>5</v>
      </c>
      <c r="J26" s="10">
        <f t="shared" si="5"/>
        <v>15.35</v>
      </c>
      <c r="K26" s="7">
        <f>'[6]Apr Prod'!H273</f>
        <v>113602</v>
      </c>
      <c r="L26" s="8">
        <f t="shared" si="6"/>
        <v>0.11360199999999999</v>
      </c>
      <c r="M26" s="10">
        <f t="shared" si="7"/>
        <v>0.34875813999999994</v>
      </c>
      <c r="N26" s="28"/>
      <c r="O26" s="7">
        <f>'[6]Apr Prod'!H25</f>
        <v>-10000</v>
      </c>
      <c r="P26" s="8">
        <f t="shared" si="8"/>
        <v>-0.01</v>
      </c>
      <c r="Q26" s="10">
        <f t="shared" si="9"/>
        <v>-3.0699999999999998E-2</v>
      </c>
      <c r="R26" s="7">
        <f>'[6]Apr Prod'!C25</f>
        <v>0</v>
      </c>
      <c r="S26" s="8">
        <f t="shared" si="10"/>
        <v>0</v>
      </c>
      <c r="T26" s="10">
        <f t="shared" si="11"/>
        <v>0</v>
      </c>
      <c r="U26" s="7">
        <f>'[6]Apr Prod'!D25</f>
        <v>0</v>
      </c>
      <c r="V26" s="8">
        <f t="shared" si="12"/>
        <v>0</v>
      </c>
      <c r="W26" s="10">
        <f t="shared" si="13"/>
        <v>0</v>
      </c>
      <c r="X26" s="7">
        <f>'[6]Apr Prod'!D273</f>
        <v>10000</v>
      </c>
      <c r="Y26" s="8">
        <f t="shared" si="14"/>
        <v>0.01</v>
      </c>
      <c r="Z26" s="10">
        <f t="shared" si="15"/>
        <v>3.0699999999999998E-2</v>
      </c>
      <c r="AA26" s="22"/>
      <c r="AB26" s="7">
        <f>'[6]Apr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12690000.000000728</v>
      </c>
      <c r="AG26" s="8">
        <f t="shared" si="18"/>
        <v>12.690000000000728</v>
      </c>
      <c r="AH26" s="8">
        <f t="shared" si="18"/>
        <v>38.958300000002225</v>
      </c>
    </row>
    <row r="27" spans="1:34" x14ac:dyDescent="0.15">
      <c r="A27" s="37">
        <v>38465</v>
      </c>
      <c r="B27" s="7">
        <f>'[6]Apr Prod'!I26</f>
        <v>10399999.999999637</v>
      </c>
      <c r="C27" s="8">
        <f t="shared" si="0"/>
        <v>10.399999999999636</v>
      </c>
      <c r="D27" s="10">
        <f t="shared" si="1"/>
        <v>31.927999999998882</v>
      </c>
      <c r="E27" s="7">
        <f>'[6]Apr Prod'!E26</f>
        <v>6000000</v>
      </c>
      <c r="F27" s="8">
        <f t="shared" si="2"/>
        <v>6</v>
      </c>
      <c r="G27" s="10">
        <f t="shared" si="3"/>
        <v>18.419999999999998</v>
      </c>
      <c r="H27" s="7">
        <f>'[6]Apr Prod'!F26</f>
        <v>5000000</v>
      </c>
      <c r="I27" s="8">
        <f t="shared" si="4"/>
        <v>5</v>
      </c>
      <c r="J27" s="10">
        <f t="shared" si="5"/>
        <v>15.35</v>
      </c>
      <c r="K27" s="7">
        <f>'[6]Apr Prod'!H274</f>
        <v>359394</v>
      </c>
      <c r="L27" s="8">
        <f t="shared" si="6"/>
        <v>0.35939399999999999</v>
      </c>
      <c r="M27" s="10">
        <f t="shared" si="7"/>
        <v>1.1033395799999999</v>
      </c>
      <c r="N27" s="28"/>
      <c r="O27" s="7">
        <f>'[6]Apr Prod'!H26</f>
        <v>0</v>
      </c>
      <c r="P27" s="8">
        <f t="shared" si="8"/>
        <v>0</v>
      </c>
      <c r="Q27" s="10">
        <f t="shared" si="9"/>
        <v>0</v>
      </c>
      <c r="R27" s="7">
        <f>'[6]Apr Prod'!C26</f>
        <v>0</v>
      </c>
      <c r="S27" s="8">
        <f t="shared" si="10"/>
        <v>0</v>
      </c>
      <c r="T27" s="10">
        <f t="shared" si="11"/>
        <v>0</v>
      </c>
      <c r="U27" s="7">
        <f>'[6]Apr Prod'!D26</f>
        <v>0</v>
      </c>
      <c r="V27" s="8">
        <f t="shared" si="12"/>
        <v>0</v>
      </c>
      <c r="W27" s="10">
        <f t="shared" si="13"/>
        <v>0</v>
      </c>
      <c r="X27" s="7">
        <f>'[6]Apr Prod'!D274</f>
        <v>0</v>
      </c>
      <c r="Y27" s="8">
        <f t="shared" si="14"/>
        <v>0</v>
      </c>
      <c r="Z27" s="10">
        <f t="shared" si="15"/>
        <v>0</v>
      </c>
      <c r="AA27" s="22"/>
      <c r="AB27" s="7">
        <f>'[6]Apr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10399999.999999637</v>
      </c>
      <c r="AG27" s="8">
        <f t="shared" si="18"/>
        <v>10.399999999999636</v>
      </c>
      <c r="AH27" s="8">
        <f t="shared" si="18"/>
        <v>31.927999999998882</v>
      </c>
    </row>
    <row r="28" spans="1:34" x14ac:dyDescent="0.15">
      <c r="A28" s="37">
        <v>38466</v>
      </c>
      <c r="B28" s="7">
        <f>'[6]Apr Prod'!I27</f>
        <v>10500000</v>
      </c>
      <c r="C28" s="8">
        <f t="shared" si="0"/>
        <v>10.5</v>
      </c>
      <c r="D28" s="10">
        <f t="shared" si="1"/>
        <v>32.234999999999999</v>
      </c>
      <c r="E28" s="7">
        <f>'[6]Apr Prod'!E27</f>
        <v>7000000</v>
      </c>
      <c r="F28" s="8">
        <f t="shared" si="2"/>
        <v>7</v>
      </c>
      <c r="G28" s="10">
        <f t="shared" si="3"/>
        <v>21.49</v>
      </c>
      <c r="H28" s="7">
        <f>'[6]Apr Prod'!F27</f>
        <v>5000000</v>
      </c>
      <c r="I28" s="8">
        <f t="shared" si="4"/>
        <v>5</v>
      </c>
      <c r="J28" s="10">
        <f t="shared" si="5"/>
        <v>15.35</v>
      </c>
      <c r="K28" s="7">
        <f>'[6]Apr Prod'!H275</f>
        <v>358808</v>
      </c>
      <c r="L28" s="8">
        <f t="shared" si="6"/>
        <v>0.35880800000000002</v>
      </c>
      <c r="M28" s="10">
        <f t="shared" si="7"/>
        <v>1.1015405599999999</v>
      </c>
      <c r="N28" s="28"/>
      <c r="O28" s="7">
        <f>'[6]Apr Prod'!H27</f>
        <v>0</v>
      </c>
      <c r="P28" s="8">
        <f t="shared" si="8"/>
        <v>0</v>
      </c>
      <c r="Q28" s="10">
        <f t="shared" si="9"/>
        <v>0</v>
      </c>
      <c r="R28" s="7">
        <f>'[6]Apr Prod'!C27</f>
        <v>0</v>
      </c>
      <c r="S28" s="8">
        <f t="shared" si="10"/>
        <v>0</v>
      </c>
      <c r="T28" s="10">
        <f t="shared" si="11"/>
        <v>0</v>
      </c>
      <c r="U28" s="7">
        <f>'[6]Apr Prod'!D27</f>
        <v>0</v>
      </c>
      <c r="V28" s="8">
        <f t="shared" si="12"/>
        <v>0</v>
      </c>
      <c r="W28" s="10">
        <f t="shared" si="13"/>
        <v>0</v>
      </c>
      <c r="X28" s="7">
        <f>'[6]Apr Prod'!D275</f>
        <v>0</v>
      </c>
      <c r="Y28" s="8">
        <f t="shared" si="14"/>
        <v>0</v>
      </c>
      <c r="Z28" s="10">
        <f t="shared" si="15"/>
        <v>0</v>
      </c>
      <c r="AA28" s="22"/>
      <c r="AB28" s="7">
        <f>'[6]Apr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10500000</v>
      </c>
      <c r="AG28" s="8">
        <f t="shared" si="18"/>
        <v>10.5</v>
      </c>
      <c r="AH28" s="8">
        <f t="shared" si="18"/>
        <v>32.234999999999999</v>
      </c>
    </row>
    <row r="29" spans="1:34" x14ac:dyDescent="0.15">
      <c r="A29" s="37">
        <v>38467</v>
      </c>
      <c r="B29" s="7">
        <f>'[6]Apr Prod'!I28</f>
        <v>11600000.000000363</v>
      </c>
      <c r="C29" s="8">
        <f t="shared" si="0"/>
        <v>11.600000000000364</v>
      </c>
      <c r="D29" s="10">
        <f t="shared" si="1"/>
        <v>35.612000000001117</v>
      </c>
      <c r="E29" s="7">
        <f>'[6]Apr Prod'!E28</f>
        <v>6000000</v>
      </c>
      <c r="F29" s="8">
        <f t="shared" si="2"/>
        <v>6</v>
      </c>
      <c r="G29" s="10">
        <f t="shared" si="3"/>
        <v>18.419999999999998</v>
      </c>
      <c r="H29" s="7">
        <f>'[6]Apr Prod'!F28</f>
        <v>5000000</v>
      </c>
      <c r="I29" s="8">
        <f t="shared" si="4"/>
        <v>5</v>
      </c>
      <c r="J29" s="10">
        <f t="shared" si="5"/>
        <v>15.35</v>
      </c>
      <c r="K29" s="7">
        <f>'[6]Apr Prod'!H276</f>
        <v>443943</v>
      </c>
      <c r="L29" s="8">
        <f t="shared" si="6"/>
        <v>0.44394299999999998</v>
      </c>
      <c r="M29" s="10">
        <f t="shared" si="7"/>
        <v>1.3629050099999998</v>
      </c>
      <c r="N29" s="28"/>
      <c r="O29" s="7">
        <f>'[6]Apr Prod'!H28</f>
        <v>0</v>
      </c>
      <c r="P29" s="8">
        <f t="shared" si="8"/>
        <v>0</v>
      </c>
      <c r="Q29" s="10">
        <f t="shared" si="9"/>
        <v>0</v>
      </c>
      <c r="R29" s="7">
        <f>'[6]Apr Prod'!C28</f>
        <v>0</v>
      </c>
      <c r="S29" s="8">
        <f t="shared" si="10"/>
        <v>0</v>
      </c>
      <c r="T29" s="10">
        <f t="shared" si="11"/>
        <v>0</v>
      </c>
      <c r="U29" s="7">
        <f>'[6]Apr Prod'!D28</f>
        <v>0</v>
      </c>
      <c r="V29" s="8">
        <f t="shared" si="12"/>
        <v>0</v>
      </c>
      <c r="W29" s="10">
        <f t="shared" si="13"/>
        <v>0</v>
      </c>
      <c r="X29" s="7">
        <f>'[6]Apr Prod'!D276</f>
        <v>0</v>
      </c>
      <c r="Y29" s="8">
        <f t="shared" si="14"/>
        <v>0</v>
      </c>
      <c r="Z29" s="10">
        <f t="shared" si="15"/>
        <v>0</v>
      </c>
      <c r="AA29" s="22"/>
      <c r="AB29" s="7">
        <f>'[6]Apr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11600000.000000363</v>
      </c>
      <c r="AG29" s="8">
        <f t="shared" si="18"/>
        <v>11.600000000000364</v>
      </c>
      <c r="AH29" s="8">
        <f t="shared" si="18"/>
        <v>35.612000000001117</v>
      </c>
    </row>
    <row r="30" spans="1:34" x14ac:dyDescent="0.15">
      <c r="A30" s="37">
        <v>38468</v>
      </c>
      <c r="B30" s="7">
        <f>'[6]Apr Prod'!I29</f>
        <v>11099999.999999454</v>
      </c>
      <c r="C30" s="8">
        <f t="shared" si="0"/>
        <v>11.099999999999454</v>
      </c>
      <c r="D30" s="10">
        <f t="shared" si="1"/>
        <v>34.076999999998321</v>
      </c>
      <c r="E30" s="7">
        <f>'[6]Apr Prod'!E29</f>
        <v>7000000</v>
      </c>
      <c r="F30" s="8">
        <f t="shared" si="2"/>
        <v>7</v>
      </c>
      <c r="G30" s="10">
        <f t="shared" si="3"/>
        <v>21.49</v>
      </c>
      <c r="H30" s="7">
        <f>'[6]Apr Prod'!F29</f>
        <v>5000000</v>
      </c>
      <c r="I30" s="8">
        <f t="shared" si="4"/>
        <v>5</v>
      </c>
      <c r="J30" s="10">
        <f t="shared" si="5"/>
        <v>15.35</v>
      </c>
      <c r="K30" s="7">
        <f>'[6]Apr Prod'!H277</f>
        <v>91524</v>
      </c>
      <c r="L30" s="8">
        <f t="shared" si="6"/>
        <v>9.1523999999999994E-2</v>
      </c>
      <c r="M30" s="10">
        <f t="shared" si="7"/>
        <v>0.28097867999999998</v>
      </c>
      <c r="N30" s="28"/>
      <c r="O30" s="7">
        <f>'[6]Apr Prod'!H29</f>
        <v>11000</v>
      </c>
      <c r="P30" s="8">
        <f t="shared" si="8"/>
        <v>1.0999999999999999E-2</v>
      </c>
      <c r="Q30" s="10">
        <f t="shared" si="9"/>
        <v>3.3769999999999994E-2</v>
      </c>
      <c r="R30" s="7">
        <f>'[6]Apr Prod'!C29</f>
        <v>11000</v>
      </c>
      <c r="S30" s="8">
        <f t="shared" si="10"/>
        <v>1.0999999999999999E-2</v>
      </c>
      <c r="T30" s="10">
        <f t="shared" si="11"/>
        <v>3.3769999999999994E-2</v>
      </c>
      <c r="U30" s="7">
        <f>'[6]Apr Prod'!D29</f>
        <v>0</v>
      </c>
      <c r="V30" s="8">
        <f t="shared" si="12"/>
        <v>0</v>
      </c>
      <c r="W30" s="10">
        <f t="shared" si="13"/>
        <v>0</v>
      </c>
      <c r="X30" s="7">
        <f>'[6]Apr Prod'!D277</f>
        <v>0</v>
      </c>
      <c r="Y30" s="8">
        <f t="shared" si="14"/>
        <v>0</v>
      </c>
      <c r="Z30" s="10">
        <f t="shared" si="15"/>
        <v>0</v>
      </c>
      <c r="AA30" s="22"/>
      <c r="AB30" s="7">
        <f>'[6]Apr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11110999.999999454</v>
      </c>
      <c r="AG30" s="8">
        <f t="shared" si="18"/>
        <v>11.110999999999454</v>
      </c>
      <c r="AH30" s="8">
        <f t="shared" si="18"/>
        <v>34.110769999998318</v>
      </c>
    </row>
    <row r="31" spans="1:34" x14ac:dyDescent="0.15">
      <c r="A31" s="37">
        <v>38469</v>
      </c>
      <c r="B31" s="7">
        <f>'[6]Apr Prod'!I30</f>
        <v>10699999.999999817</v>
      </c>
      <c r="C31" s="8">
        <f t="shared" si="0"/>
        <v>10.699999999999818</v>
      </c>
      <c r="D31" s="10">
        <f t="shared" si="1"/>
        <v>32.848999999999442</v>
      </c>
      <c r="E31" s="7">
        <f>'[6]Apr Prod'!E30</f>
        <v>6000000</v>
      </c>
      <c r="F31" s="8">
        <f t="shared" si="2"/>
        <v>6</v>
      </c>
      <c r="G31" s="10">
        <f t="shared" si="3"/>
        <v>18.419999999999998</v>
      </c>
      <c r="H31" s="7">
        <f>'[6]Apr Prod'!F30</f>
        <v>5000000</v>
      </c>
      <c r="I31" s="8">
        <f t="shared" si="4"/>
        <v>5</v>
      </c>
      <c r="J31" s="10">
        <f t="shared" si="5"/>
        <v>15.35</v>
      </c>
      <c r="K31" s="7">
        <f>'[6]Apr Prod'!H278</f>
        <v>59174</v>
      </c>
      <c r="L31" s="8">
        <f t="shared" si="6"/>
        <v>5.9173999999999997E-2</v>
      </c>
      <c r="M31" s="10">
        <f t="shared" si="7"/>
        <v>0.18166417999999998</v>
      </c>
      <c r="N31" s="28"/>
      <c r="O31" s="7">
        <f>'[6]Apr Prod'!H30</f>
        <v>0</v>
      </c>
      <c r="P31" s="8">
        <f t="shared" si="8"/>
        <v>0</v>
      </c>
      <c r="Q31" s="10">
        <f t="shared" si="9"/>
        <v>0</v>
      </c>
      <c r="R31" s="7">
        <f>'[6]Apr Prod'!C30</f>
        <v>0</v>
      </c>
      <c r="S31" s="8">
        <f t="shared" si="10"/>
        <v>0</v>
      </c>
      <c r="T31" s="10">
        <f t="shared" si="11"/>
        <v>0</v>
      </c>
      <c r="U31" s="7">
        <f>'[6]Apr Prod'!D30</f>
        <v>0</v>
      </c>
      <c r="V31" s="8">
        <f t="shared" si="12"/>
        <v>0</v>
      </c>
      <c r="W31" s="10">
        <f t="shared" si="13"/>
        <v>0</v>
      </c>
      <c r="X31" s="7">
        <f>'[6]Apr Prod'!D278</f>
        <v>0</v>
      </c>
      <c r="Y31" s="8">
        <f t="shared" si="14"/>
        <v>0</v>
      </c>
      <c r="Z31" s="10">
        <f t="shared" si="15"/>
        <v>0</v>
      </c>
      <c r="AA31" s="22"/>
      <c r="AB31" s="7">
        <f>'[6]Apr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10699999.999999817</v>
      </c>
      <c r="AG31" s="8">
        <f t="shared" si="18"/>
        <v>10.699999999999818</v>
      </c>
      <c r="AH31" s="8">
        <f t="shared" si="18"/>
        <v>32.848999999999442</v>
      </c>
    </row>
    <row r="32" spans="1:34" x14ac:dyDescent="0.15">
      <c r="A32" s="37">
        <v>38470</v>
      </c>
      <c r="B32" s="7">
        <f>'[6]Apr Prod'!I31</f>
        <v>12100000.000000363</v>
      </c>
      <c r="C32" s="8">
        <f t="shared" si="0"/>
        <v>12.100000000000364</v>
      </c>
      <c r="D32" s="10">
        <f t="shared" si="1"/>
        <v>37.147000000001114</v>
      </c>
      <c r="E32" s="7">
        <f>'[6]Apr Prod'!E31</f>
        <v>8000000</v>
      </c>
      <c r="F32" s="8">
        <f t="shared" si="2"/>
        <v>8</v>
      </c>
      <c r="G32" s="10">
        <f t="shared" si="3"/>
        <v>24.56</v>
      </c>
      <c r="H32" s="7">
        <f>'[6]Apr Prod'!F31</f>
        <v>5000000</v>
      </c>
      <c r="I32" s="8">
        <f t="shared" si="4"/>
        <v>5</v>
      </c>
      <c r="J32" s="10">
        <f t="shared" si="5"/>
        <v>15.35</v>
      </c>
      <c r="K32" s="7">
        <f>'[6]Apr Prod'!H279</f>
        <v>712850</v>
      </c>
      <c r="L32" s="8">
        <f t="shared" si="6"/>
        <v>0.71284999999999998</v>
      </c>
      <c r="M32" s="10">
        <f t="shared" si="7"/>
        <v>2.1884494999999999</v>
      </c>
      <c r="N32" s="28"/>
      <c r="O32" s="7">
        <f>'[6]Apr Prod'!H31</f>
        <v>0</v>
      </c>
      <c r="P32" s="8">
        <f t="shared" si="8"/>
        <v>0</v>
      </c>
      <c r="Q32" s="10">
        <f t="shared" si="9"/>
        <v>0</v>
      </c>
      <c r="R32" s="7">
        <f>'[6]Apr Prod'!C31</f>
        <v>0</v>
      </c>
      <c r="S32" s="8">
        <f t="shared" si="10"/>
        <v>0</v>
      </c>
      <c r="T32" s="10">
        <f t="shared" si="11"/>
        <v>0</v>
      </c>
      <c r="U32" s="7">
        <f>'[6]Apr Prod'!D31</f>
        <v>0</v>
      </c>
      <c r="V32" s="8">
        <f t="shared" si="12"/>
        <v>0</v>
      </c>
      <c r="W32" s="10">
        <f t="shared" si="13"/>
        <v>0</v>
      </c>
      <c r="X32" s="7">
        <f>'[6]Apr Prod'!D279</f>
        <v>0</v>
      </c>
      <c r="Y32" s="8">
        <f t="shared" si="14"/>
        <v>0</v>
      </c>
      <c r="Z32" s="10">
        <f t="shared" si="15"/>
        <v>0</v>
      </c>
      <c r="AA32" s="22"/>
      <c r="AB32" s="7">
        <f>'[6]Apr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12100000.000000363</v>
      </c>
      <c r="AG32" s="8">
        <f t="shared" si="18"/>
        <v>12.100000000000364</v>
      </c>
      <c r="AH32" s="8">
        <f t="shared" si="18"/>
        <v>37.147000000001114</v>
      </c>
    </row>
    <row r="33" spans="1:34" x14ac:dyDescent="0.15">
      <c r="A33" s="37">
        <v>38471</v>
      </c>
      <c r="B33" s="7">
        <f>'[6]Apr Prod'!I32</f>
        <v>10800000.000000183</v>
      </c>
      <c r="C33" s="8">
        <f t="shared" si="0"/>
        <v>10.800000000000182</v>
      </c>
      <c r="D33" s="10">
        <f t="shared" si="1"/>
        <v>33.15600000000056</v>
      </c>
      <c r="E33" s="7">
        <f>'[6]Apr Prod'!E32</f>
        <v>7000000</v>
      </c>
      <c r="F33" s="8">
        <f t="shared" si="2"/>
        <v>7</v>
      </c>
      <c r="G33" s="10">
        <f t="shared" si="3"/>
        <v>21.49</v>
      </c>
      <c r="H33" s="7">
        <f>'[6]Apr Prod'!F32</f>
        <v>4000000</v>
      </c>
      <c r="I33" s="8">
        <f t="shared" si="4"/>
        <v>4</v>
      </c>
      <c r="J33" s="10">
        <f t="shared" si="5"/>
        <v>12.28</v>
      </c>
      <c r="K33" s="7">
        <f>'[6]Apr Prod'!H280</f>
        <v>487402</v>
      </c>
      <c r="L33" s="8">
        <f t="shared" si="6"/>
        <v>0.487402</v>
      </c>
      <c r="M33" s="10">
        <f t="shared" si="7"/>
        <v>1.49632414</v>
      </c>
      <c r="N33" s="28"/>
      <c r="O33" s="7">
        <f>'[6]Apr Prod'!H32</f>
        <v>0</v>
      </c>
      <c r="P33" s="8">
        <f t="shared" si="8"/>
        <v>0</v>
      </c>
      <c r="Q33" s="10">
        <f t="shared" si="9"/>
        <v>0</v>
      </c>
      <c r="R33" s="7">
        <f>'[6]Apr Prod'!C32</f>
        <v>0</v>
      </c>
      <c r="S33" s="8">
        <f t="shared" si="10"/>
        <v>0</v>
      </c>
      <c r="T33" s="10">
        <f t="shared" si="11"/>
        <v>0</v>
      </c>
      <c r="U33" s="7">
        <f>'[6]Apr Prod'!D32</f>
        <v>0</v>
      </c>
      <c r="V33" s="8">
        <f t="shared" si="12"/>
        <v>0</v>
      </c>
      <c r="W33" s="10">
        <f t="shared" si="13"/>
        <v>0</v>
      </c>
      <c r="X33" s="7">
        <f>'[6]Apr Prod'!D280</f>
        <v>0</v>
      </c>
      <c r="Y33" s="8">
        <f t="shared" si="14"/>
        <v>0</v>
      </c>
      <c r="Z33" s="10">
        <f t="shared" si="15"/>
        <v>0</v>
      </c>
      <c r="AA33" s="22"/>
      <c r="AB33" s="7">
        <f>'[6]Apr Prod'!G32</f>
        <v>0</v>
      </c>
      <c r="AC33" s="8">
        <f t="shared" si="16"/>
        <v>0</v>
      </c>
      <c r="AD33" s="10">
        <f t="shared" si="17"/>
        <v>0</v>
      </c>
      <c r="AF33" s="7">
        <f t="shared" si="18"/>
        <v>10800000.000000183</v>
      </c>
      <c r="AG33" s="8">
        <f t="shared" si="18"/>
        <v>10.800000000000182</v>
      </c>
      <c r="AH33" s="8">
        <f t="shared" si="18"/>
        <v>33.15600000000056</v>
      </c>
    </row>
    <row r="34" spans="1:34" x14ac:dyDescent="0.15">
      <c r="A34" s="37">
        <v>38472</v>
      </c>
      <c r="B34" s="7">
        <f>'[6]Apr Prod'!I33</f>
        <v>11599999.999999454</v>
      </c>
      <c r="C34" s="8">
        <f t="shared" si="0"/>
        <v>11.599999999999454</v>
      </c>
      <c r="D34" s="10">
        <f t="shared" si="1"/>
        <v>35.611999999998325</v>
      </c>
      <c r="E34" s="7">
        <f>'[6]Apr Prod'!E33</f>
        <v>6000000</v>
      </c>
      <c r="F34" s="8">
        <f t="shared" si="2"/>
        <v>6</v>
      </c>
      <c r="G34" s="10">
        <f t="shared" si="3"/>
        <v>18.419999999999998</v>
      </c>
      <c r="H34" s="7">
        <f>'[6]Apr Prod'!F33</f>
        <v>5000000</v>
      </c>
      <c r="I34" s="8">
        <f t="shared" si="4"/>
        <v>5</v>
      </c>
      <c r="J34" s="10">
        <f t="shared" si="5"/>
        <v>15.35</v>
      </c>
      <c r="K34" s="7">
        <f>'[6]Apr Prod'!H281</f>
        <v>83509</v>
      </c>
      <c r="L34" s="8">
        <f t="shared" si="6"/>
        <v>8.3509E-2</v>
      </c>
      <c r="M34" s="10">
        <f t="shared" si="7"/>
        <v>0.25637262999999999</v>
      </c>
      <c r="N34" s="28"/>
      <c r="O34" s="7">
        <f>'[6]Apr Prod'!H33</f>
        <v>8000</v>
      </c>
      <c r="P34" s="8">
        <f t="shared" si="8"/>
        <v>8.0000000000000002E-3</v>
      </c>
      <c r="Q34" s="10">
        <f t="shared" si="9"/>
        <v>2.4559999999999998E-2</v>
      </c>
      <c r="R34" s="7">
        <f>'[6]Apr Prod'!C33</f>
        <v>8000</v>
      </c>
      <c r="S34" s="8">
        <f t="shared" si="10"/>
        <v>8.0000000000000002E-3</v>
      </c>
      <c r="T34" s="10">
        <f t="shared" si="11"/>
        <v>2.4559999999999998E-2</v>
      </c>
      <c r="U34" s="7">
        <f>'[6]Apr Prod'!D33</f>
        <v>0</v>
      </c>
      <c r="V34" s="8">
        <f t="shared" si="12"/>
        <v>0</v>
      </c>
      <c r="W34" s="10">
        <f t="shared" si="13"/>
        <v>0</v>
      </c>
      <c r="X34" s="7">
        <f>'[6]Apr Prod'!D281</f>
        <v>0</v>
      </c>
      <c r="Y34" s="8">
        <f t="shared" si="14"/>
        <v>0</v>
      </c>
      <c r="Z34" s="10">
        <f t="shared" si="15"/>
        <v>0</v>
      </c>
      <c r="AA34" s="22"/>
      <c r="AB34" s="7">
        <f>'[6]Apr Prod'!G33</f>
        <v>0</v>
      </c>
      <c r="AC34" s="8">
        <f t="shared" si="16"/>
        <v>0</v>
      </c>
      <c r="AD34" s="10">
        <f t="shared" si="17"/>
        <v>0</v>
      </c>
      <c r="AF34" s="7">
        <f t="shared" si="18"/>
        <v>11607999.999999454</v>
      </c>
      <c r="AG34" s="8">
        <f t="shared" si="18"/>
        <v>11.607999999999453</v>
      </c>
      <c r="AH34" s="8">
        <f t="shared" si="18"/>
        <v>35.636559999998326</v>
      </c>
    </row>
    <row r="35" spans="1:34" x14ac:dyDescent="0.15">
      <c r="A35" s="3"/>
      <c r="B35" s="21"/>
      <c r="C35" s="33">
        <f>SUM(C5:C34)</f>
        <v>334.79999999999927</v>
      </c>
      <c r="D35" s="33">
        <f>SUM(D5:D34)</f>
        <v>1027.8359999999975</v>
      </c>
      <c r="E35" s="3"/>
      <c r="F35" s="33">
        <f>SUM(F5:F34)</f>
        <v>262</v>
      </c>
      <c r="G35" s="33">
        <f>SUM(G5:G34)</f>
        <v>804.33999999999969</v>
      </c>
      <c r="H35" s="3"/>
      <c r="I35" s="33">
        <f>SUM(I5:I34)</f>
        <v>86</v>
      </c>
      <c r="J35" s="33">
        <f>SUM(J5:J34)</f>
        <v>264.01999999999992</v>
      </c>
      <c r="K35" s="3"/>
      <c r="L35" s="33">
        <f>SUM(L5:L34)</f>
        <v>9.5177189999999978</v>
      </c>
      <c r="M35" s="33">
        <f>SUM(M5:M34)</f>
        <v>29.219397330000003</v>
      </c>
      <c r="N35" s="21"/>
      <c r="O35" s="21"/>
      <c r="P35" s="33">
        <f>SUM(P5:P34)</f>
        <v>4.1000000000000002E-2</v>
      </c>
      <c r="Q35" s="33">
        <f>SUM(Q5:Q34)</f>
        <v>0.12586999999999998</v>
      </c>
      <c r="R35" s="3"/>
      <c r="S35" s="33">
        <f>SUM(S5:S34)</f>
        <v>1.9E-2</v>
      </c>
      <c r="T35" s="33">
        <f>SUM(T5:T34)</f>
        <v>5.8329999999999993E-2</v>
      </c>
      <c r="U35" s="21"/>
      <c r="V35" s="33">
        <f>SUM(V5:V34)</f>
        <v>3.2000000000000001E-2</v>
      </c>
      <c r="W35" s="33">
        <f>SUM(W5:W34)</f>
        <v>9.8239999999999994E-2</v>
      </c>
      <c r="X35" s="21"/>
      <c r="Y35" s="33">
        <f>SUM(Y5:Y34)</f>
        <v>-1.9999999999969018E-3</v>
      </c>
      <c r="Z35" s="33">
        <f>SUM(Z5:Z34)</f>
        <v>-6.1399999999904864E-3</v>
      </c>
      <c r="AA35" s="33"/>
      <c r="AB35" s="33"/>
      <c r="AC35" s="33">
        <f>SUM(AC5:AC34)</f>
        <v>0</v>
      </c>
      <c r="AD35" s="33">
        <f>SUM(AD5:AD34)</f>
        <v>0</v>
      </c>
      <c r="AF35" s="32"/>
      <c r="AG35" s="40">
        <f>SUM(AG5:AG34)</f>
        <v>334.84099999999933</v>
      </c>
      <c r="AH35" s="32">
        <f>AG35*3.07</f>
        <v>1027.9618699999978</v>
      </c>
    </row>
    <row r="36" spans="1:34" x14ac:dyDescent="0.15">
      <c r="C36" s="25"/>
      <c r="E36" s="3"/>
      <c r="F36" s="3"/>
      <c r="G36" s="3"/>
      <c r="H36" s="3"/>
      <c r="I36" s="3"/>
      <c r="J36" s="22">
        <f>J35/D35</f>
        <v>0.25686977299880581</v>
      </c>
      <c r="K36" s="21"/>
      <c r="L36" s="3"/>
      <c r="M36" s="3"/>
      <c r="N36" s="3"/>
      <c r="O36" s="3"/>
      <c r="P36" s="3"/>
      <c r="Q36" s="3"/>
      <c r="R36" s="3"/>
      <c r="S36" s="3"/>
      <c r="T36" s="3"/>
      <c r="U36" s="21"/>
    </row>
  </sheetData>
  <mergeCells count="10">
    <mergeCell ref="AF3:AH3"/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7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H37"/>
  <sheetViews>
    <sheetView workbookViewId="0">
      <pane xSplit="1" ySplit="4" topLeftCell="V11" activePane="bottomRight" state="frozen"/>
      <selection pane="topRight" activeCell="B1" sqref="B1"/>
      <selection pane="bottomLeft" activeCell="A5" sqref="A5"/>
      <selection pane="bottomRight" activeCell="AF3" sqref="AF3:AH36"/>
    </sheetView>
  </sheetViews>
  <sheetFormatPr baseColWidth="10" defaultColWidth="8.83203125" defaultRowHeight="13" x14ac:dyDescent="0.15"/>
  <cols>
    <col min="2" max="2" width="11.5" customWidth="1"/>
    <col min="5" max="5" width="11.1640625" customWidth="1"/>
    <col min="8" max="8" width="11.6640625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5" customWidth="1"/>
    <col min="24" max="24" width="11.6640625" bestFit="1" customWidth="1"/>
    <col min="32" max="32" width="10.1640625" bestFit="1" customWidth="1"/>
  </cols>
  <sheetData>
    <row r="1" spans="1:34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4" x14ac:dyDescent="0.15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4" x14ac:dyDescent="0.15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0" t="s">
        <v>8</v>
      </c>
      <c r="AG3" s="51"/>
      <c r="AH3" s="52"/>
    </row>
    <row r="4" spans="1:34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" t="s">
        <v>0</v>
      </c>
      <c r="AG4" s="5" t="s">
        <v>1</v>
      </c>
      <c r="AH4" s="6" t="s">
        <v>2</v>
      </c>
    </row>
    <row r="5" spans="1:34" x14ac:dyDescent="0.15">
      <c r="A5" s="37">
        <v>38473</v>
      </c>
      <c r="B5" s="7">
        <f>'[7]May Prod'!I4</f>
        <v>11500000</v>
      </c>
      <c r="C5" s="8">
        <f>B5/1000000</f>
        <v>11.5</v>
      </c>
      <c r="D5" s="10">
        <f>C5*3.07</f>
        <v>35.305</v>
      </c>
      <c r="E5" s="7">
        <f>'[7]May Prod'!E4</f>
        <v>7000000</v>
      </c>
      <c r="F5" s="8">
        <f>E5/1000000</f>
        <v>7</v>
      </c>
      <c r="G5" s="10">
        <f>F5*3.07</f>
        <v>21.49</v>
      </c>
      <c r="H5" s="7">
        <f>'[7]May Prod'!F4</f>
        <v>5000000</v>
      </c>
      <c r="I5" s="8">
        <f>H5/1000000</f>
        <v>5</v>
      </c>
      <c r="J5" s="10">
        <f>I5*3.07</f>
        <v>15.35</v>
      </c>
      <c r="K5" s="7">
        <f>'[7]May Prod'!H259</f>
        <v>100967</v>
      </c>
      <c r="L5" s="8">
        <f>K5/1000000</f>
        <v>0.100967</v>
      </c>
      <c r="M5" s="10">
        <f>L5*3.07</f>
        <v>0.30996868999999999</v>
      </c>
      <c r="N5" s="28"/>
      <c r="O5" s="7">
        <f>'[7]May Prod'!H4</f>
        <v>10000</v>
      </c>
      <c r="P5" s="8">
        <f>O5/1000000</f>
        <v>0.01</v>
      </c>
      <c r="Q5" s="10">
        <f t="shared" ref="Q5:Q36" si="0">P5*3.07</f>
        <v>3.0699999999999998E-2</v>
      </c>
      <c r="R5" s="7">
        <f>'[7]May Prod'!C4</f>
        <v>11000</v>
      </c>
      <c r="S5" s="8">
        <f>R5/1000000</f>
        <v>1.0999999999999999E-2</v>
      </c>
      <c r="T5" s="10">
        <f t="shared" ref="T5:T36" si="1">S5*3.07</f>
        <v>3.3769999999999994E-2</v>
      </c>
      <c r="U5" s="7">
        <f>'[7]May Prod'!D4</f>
        <v>0</v>
      </c>
      <c r="V5" s="8">
        <f>U5/1000000</f>
        <v>0</v>
      </c>
      <c r="W5" s="10">
        <f t="shared" ref="W5:W35" si="2">V5*3.07</f>
        <v>0</v>
      </c>
      <c r="X5" s="7">
        <f>'[7]May Prod'!D259</f>
        <v>999.9999999999992</v>
      </c>
      <c r="Y5" s="8">
        <f>X5/1000000</f>
        <v>9.9999999999999915E-4</v>
      </c>
      <c r="Z5" s="10">
        <f t="shared" ref="Z5:Z35" si="3">Y5*3.07</f>
        <v>3.0699999999999972E-3</v>
      </c>
      <c r="AA5" s="22"/>
      <c r="AB5" s="7">
        <f>'[7]May Prod'!G4</f>
        <v>0</v>
      </c>
      <c r="AC5" s="8">
        <f>AB5/1000000</f>
        <v>0</v>
      </c>
      <c r="AD5" s="10">
        <f t="shared" ref="AD5:AD35" si="4">AC5*3.07</f>
        <v>0</v>
      </c>
      <c r="AF5" s="7">
        <f>B5+O5</f>
        <v>11510000</v>
      </c>
      <c r="AG5" s="8">
        <f>C5+P5</f>
        <v>11.51</v>
      </c>
      <c r="AH5" s="8">
        <f>D5+Q5</f>
        <v>35.335700000000003</v>
      </c>
    </row>
    <row r="6" spans="1:34" x14ac:dyDescent="0.15">
      <c r="A6" s="37">
        <v>38474</v>
      </c>
      <c r="B6" s="7">
        <f>'[7]May Prod'!I5</f>
        <v>14400000.000000546</v>
      </c>
      <c r="C6" s="8">
        <f t="shared" ref="C6:C35" si="5">B6/1000000</f>
        <v>14.400000000000546</v>
      </c>
      <c r="D6" s="10">
        <f t="shared" ref="D6:D36" si="6">C6*3.07</f>
        <v>44.208000000001675</v>
      </c>
      <c r="E6" s="7">
        <f>'[7]May Prod'!E5</f>
        <v>9000000</v>
      </c>
      <c r="F6" s="8">
        <f t="shared" ref="F6:F35" si="7">E6/1000000</f>
        <v>9</v>
      </c>
      <c r="G6" s="10">
        <f t="shared" ref="G6:G36" si="8">F6*3.07</f>
        <v>27.63</v>
      </c>
      <c r="H6" s="7">
        <f>'[7]May Prod'!F5</f>
        <v>6000000</v>
      </c>
      <c r="I6" s="8">
        <f t="shared" ref="I6:I35" si="9">H6/1000000</f>
        <v>6</v>
      </c>
      <c r="J6" s="10">
        <f t="shared" ref="J6:J36" si="10">I6*3.07</f>
        <v>18.419999999999998</v>
      </c>
      <c r="K6" s="7">
        <f>'[7]May Prod'!H260</f>
        <v>116289</v>
      </c>
      <c r="L6" s="8">
        <f t="shared" ref="L6:L35" si="11">K6/1000000</f>
        <v>0.116289</v>
      </c>
      <c r="M6" s="10">
        <f t="shared" ref="M6:M35" si="12">L6*3.07</f>
        <v>0.35700723000000001</v>
      </c>
      <c r="N6" s="28"/>
      <c r="O6" s="7">
        <f>'[7]May Prod'!H5</f>
        <v>0</v>
      </c>
      <c r="P6" s="8">
        <f t="shared" ref="P6:P35" si="13">O6/1000000</f>
        <v>0</v>
      </c>
      <c r="Q6" s="10">
        <f t="shared" si="0"/>
        <v>0</v>
      </c>
      <c r="R6" s="7">
        <f>'[7]May Prod'!C5</f>
        <v>0</v>
      </c>
      <c r="S6" s="8">
        <f t="shared" ref="S6:S35" si="14">R6/1000000</f>
        <v>0</v>
      </c>
      <c r="T6" s="10">
        <f t="shared" si="1"/>
        <v>0</v>
      </c>
      <c r="U6" s="7">
        <f>'[7]May Prod'!D5</f>
        <v>0</v>
      </c>
      <c r="V6" s="8">
        <f t="shared" ref="V6:V35" si="15">U6/1000000</f>
        <v>0</v>
      </c>
      <c r="W6" s="10">
        <f t="shared" si="2"/>
        <v>0</v>
      </c>
      <c r="X6" s="7">
        <f>'[7]May Prod'!D260</f>
        <v>0</v>
      </c>
      <c r="Y6" s="8">
        <f t="shared" ref="Y6:Y35" si="16">X6/1000000</f>
        <v>0</v>
      </c>
      <c r="Z6" s="10">
        <f t="shared" si="3"/>
        <v>0</v>
      </c>
      <c r="AA6" s="22"/>
      <c r="AB6" s="7">
        <f>'[7]May Prod'!G5</f>
        <v>0</v>
      </c>
      <c r="AC6" s="8">
        <f t="shared" ref="AC6:AC35" si="17">AB6/1000000</f>
        <v>0</v>
      </c>
      <c r="AD6" s="10">
        <f t="shared" si="4"/>
        <v>0</v>
      </c>
      <c r="AF6" s="7">
        <f t="shared" ref="AF6:AH35" si="18">B6+O6</f>
        <v>14400000.000000546</v>
      </c>
      <c r="AG6" s="8">
        <f t="shared" si="18"/>
        <v>14.400000000000546</v>
      </c>
      <c r="AH6" s="8">
        <f t="shared" si="18"/>
        <v>44.208000000001675</v>
      </c>
    </row>
    <row r="7" spans="1:34" x14ac:dyDescent="0.15">
      <c r="A7" s="37">
        <v>38475</v>
      </c>
      <c r="B7" s="7">
        <f>'[7]May Prod'!I6</f>
        <v>12300000.000000183</v>
      </c>
      <c r="C7" s="8">
        <f t="shared" si="5"/>
        <v>12.300000000000182</v>
      </c>
      <c r="D7" s="10">
        <f t="shared" si="6"/>
        <v>37.761000000000557</v>
      </c>
      <c r="E7" s="7">
        <f>'[7]May Prod'!E6</f>
        <v>9000000</v>
      </c>
      <c r="F7" s="8">
        <f t="shared" si="7"/>
        <v>9</v>
      </c>
      <c r="G7" s="10">
        <f t="shared" si="8"/>
        <v>27.63</v>
      </c>
      <c r="H7" s="7">
        <f>'[7]May Prod'!F6</f>
        <v>4000000</v>
      </c>
      <c r="I7" s="8">
        <f t="shared" si="9"/>
        <v>4</v>
      </c>
      <c r="J7" s="10">
        <f t="shared" si="10"/>
        <v>12.28</v>
      </c>
      <c r="K7" s="7">
        <f>'[7]May Prod'!H261</f>
        <v>427050</v>
      </c>
      <c r="L7" s="8">
        <f t="shared" si="11"/>
        <v>0.42704999999999999</v>
      </c>
      <c r="M7" s="10">
        <f t="shared" si="12"/>
        <v>1.3110434999999998</v>
      </c>
      <c r="N7" s="28"/>
      <c r="O7" s="7">
        <f>'[7]May Prod'!H6</f>
        <v>0</v>
      </c>
      <c r="P7" s="8">
        <f t="shared" si="13"/>
        <v>0</v>
      </c>
      <c r="Q7" s="10">
        <f t="shared" si="0"/>
        <v>0</v>
      </c>
      <c r="R7" s="7">
        <f>'[7]May Prod'!C6</f>
        <v>0</v>
      </c>
      <c r="S7" s="8">
        <f t="shared" si="14"/>
        <v>0</v>
      </c>
      <c r="T7" s="10">
        <f t="shared" si="1"/>
        <v>0</v>
      </c>
      <c r="U7" s="7">
        <f>'[7]May Prod'!D6</f>
        <v>0</v>
      </c>
      <c r="V7" s="8">
        <f t="shared" si="15"/>
        <v>0</v>
      </c>
      <c r="W7" s="10">
        <f t="shared" si="2"/>
        <v>0</v>
      </c>
      <c r="X7" s="7">
        <f>'[7]May Prod'!D261</f>
        <v>0</v>
      </c>
      <c r="Y7" s="8">
        <f t="shared" si="16"/>
        <v>0</v>
      </c>
      <c r="Z7" s="10">
        <f t="shared" si="3"/>
        <v>0</v>
      </c>
      <c r="AA7" s="22"/>
      <c r="AB7" s="7">
        <f>'[7]May Prod'!G6</f>
        <v>0</v>
      </c>
      <c r="AC7" s="8">
        <f t="shared" si="17"/>
        <v>0</v>
      </c>
      <c r="AD7" s="10">
        <f t="shared" si="4"/>
        <v>0</v>
      </c>
      <c r="AF7" s="7">
        <f t="shared" si="18"/>
        <v>12300000.000000183</v>
      </c>
      <c r="AG7" s="8">
        <f t="shared" si="18"/>
        <v>12.300000000000182</v>
      </c>
      <c r="AH7" s="8">
        <f t="shared" si="18"/>
        <v>37.761000000000557</v>
      </c>
    </row>
    <row r="8" spans="1:34" x14ac:dyDescent="0.15">
      <c r="A8" s="37">
        <v>38476</v>
      </c>
      <c r="B8" s="7">
        <f>'[7]May Prod'!I7</f>
        <v>14099999.999999454</v>
      </c>
      <c r="C8" s="8">
        <f t="shared" si="5"/>
        <v>14.099999999999454</v>
      </c>
      <c r="D8" s="10">
        <f t="shared" si="6"/>
        <v>43.286999999998322</v>
      </c>
      <c r="E8" s="7">
        <f>'[7]May Prod'!E7</f>
        <v>8000000</v>
      </c>
      <c r="F8" s="8">
        <f t="shared" si="7"/>
        <v>8</v>
      </c>
      <c r="G8" s="10">
        <f t="shared" si="8"/>
        <v>24.56</v>
      </c>
      <c r="H8" s="7">
        <f>'[7]May Prod'!F7</f>
        <v>6000000</v>
      </c>
      <c r="I8" s="8">
        <f t="shared" si="9"/>
        <v>6</v>
      </c>
      <c r="J8" s="10">
        <f t="shared" si="10"/>
        <v>18.419999999999998</v>
      </c>
      <c r="K8" s="7">
        <f>'[7]May Prod'!H262</f>
        <v>464952</v>
      </c>
      <c r="L8" s="8">
        <f t="shared" si="11"/>
        <v>0.46495199999999998</v>
      </c>
      <c r="M8" s="10">
        <f t="shared" si="12"/>
        <v>1.4274026399999999</v>
      </c>
      <c r="N8" s="28"/>
      <c r="O8" s="7">
        <f>'[7]May Prod'!H7</f>
        <v>20000</v>
      </c>
      <c r="P8" s="8">
        <f t="shared" si="13"/>
        <v>0.02</v>
      </c>
      <c r="Q8" s="10">
        <f t="shared" si="0"/>
        <v>6.1399999999999996E-2</v>
      </c>
      <c r="R8" s="7">
        <f>'[7]May Prod'!C7</f>
        <v>20000</v>
      </c>
      <c r="S8" s="8">
        <f t="shared" si="14"/>
        <v>0.02</v>
      </c>
      <c r="T8" s="10">
        <f t="shared" si="1"/>
        <v>6.1399999999999996E-2</v>
      </c>
      <c r="U8" s="7">
        <f>'[7]May Prod'!D7</f>
        <v>0</v>
      </c>
      <c r="V8" s="8">
        <f t="shared" si="15"/>
        <v>0</v>
      </c>
      <c r="W8" s="10">
        <f t="shared" si="2"/>
        <v>0</v>
      </c>
      <c r="X8" s="7">
        <f>'[7]May Prod'!D262</f>
        <v>0</v>
      </c>
      <c r="Y8" s="8">
        <f t="shared" si="16"/>
        <v>0</v>
      </c>
      <c r="Z8" s="10">
        <f t="shared" si="3"/>
        <v>0</v>
      </c>
      <c r="AA8" s="22"/>
      <c r="AB8" s="7">
        <f>'[7]May Prod'!G7</f>
        <v>0</v>
      </c>
      <c r="AC8" s="8">
        <f t="shared" si="17"/>
        <v>0</v>
      </c>
      <c r="AD8" s="10">
        <f t="shared" si="4"/>
        <v>0</v>
      </c>
      <c r="AF8" s="7">
        <f t="shared" si="18"/>
        <v>14119999.999999454</v>
      </c>
      <c r="AG8" s="8">
        <f t="shared" si="18"/>
        <v>14.119999999999454</v>
      </c>
      <c r="AH8" s="8">
        <f t="shared" si="18"/>
        <v>43.348399999998321</v>
      </c>
    </row>
    <row r="9" spans="1:34" x14ac:dyDescent="0.15">
      <c r="A9" s="37">
        <v>38477</v>
      </c>
      <c r="B9" s="7">
        <f>'[7]May Prod'!I8</f>
        <v>15900000.000000546</v>
      </c>
      <c r="C9" s="8">
        <f t="shared" si="5"/>
        <v>15.900000000000546</v>
      </c>
      <c r="D9" s="10">
        <f t="shared" si="6"/>
        <v>48.813000000001672</v>
      </c>
      <c r="E9" s="7">
        <f>'[7]May Prod'!E8</f>
        <v>8000000</v>
      </c>
      <c r="F9" s="8">
        <f t="shared" si="7"/>
        <v>8</v>
      </c>
      <c r="G9" s="10">
        <f t="shared" si="8"/>
        <v>24.56</v>
      </c>
      <c r="H9" s="7">
        <f>'[7]May Prod'!F8</f>
        <v>9000000</v>
      </c>
      <c r="I9" s="8">
        <f t="shared" si="9"/>
        <v>9</v>
      </c>
      <c r="J9" s="10">
        <f t="shared" si="10"/>
        <v>27.63</v>
      </c>
      <c r="K9" s="7">
        <f>'[7]May Prod'!H263</f>
        <v>464044</v>
      </c>
      <c r="L9" s="8">
        <f t="shared" si="11"/>
        <v>0.46404400000000001</v>
      </c>
      <c r="M9" s="10">
        <f t="shared" si="12"/>
        <v>1.4246150799999999</v>
      </c>
      <c r="N9" s="28"/>
      <c r="O9" s="7">
        <f>'[7]May Prod'!H8</f>
        <v>0</v>
      </c>
      <c r="P9" s="8">
        <f t="shared" si="13"/>
        <v>0</v>
      </c>
      <c r="Q9" s="10">
        <f t="shared" si="0"/>
        <v>0</v>
      </c>
      <c r="R9" s="7">
        <f>'[7]May Prod'!C8</f>
        <v>0</v>
      </c>
      <c r="S9" s="8">
        <f t="shared" si="14"/>
        <v>0</v>
      </c>
      <c r="T9" s="10">
        <f t="shared" si="1"/>
        <v>0</v>
      </c>
      <c r="U9" s="7">
        <f>'[7]May Prod'!D8</f>
        <v>0</v>
      </c>
      <c r="V9" s="8">
        <f t="shared" si="15"/>
        <v>0</v>
      </c>
      <c r="W9" s="10">
        <f t="shared" si="2"/>
        <v>0</v>
      </c>
      <c r="X9" s="7">
        <f>'[7]May Prod'!D263</f>
        <v>0</v>
      </c>
      <c r="Y9" s="8">
        <f t="shared" si="16"/>
        <v>0</v>
      </c>
      <c r="Z9" s="10">
        <f t="shared" si="3"/>
        <v>0</v>
      </c>
      <c r="AA9" s="22"/>
      <c r="AB9" s="7">
        <f>'[7]May Prod'!G8</f>
        <v>0</v>
      </c>
      <c r="AC9" s="8">
        <f t="shared" si="17"/>
        <v>0</v>
      </c>
      <c r="AD9" s="10">
        <f t="shared" si="4"/>
        <v>0</v>
      </c>
      <c r="AF9" s="7">
        <f t="shared" si="18"/>
        <v>15900000.000000546</v>
      </c>
      <c r="AG9" s="8">
        <f t="shared" si="18"/>
        <v>15.900000000000546</v>
      </c>
      <c r="AH9" s="8">
        <f t="shared" si="18"/>
        <v>48.813000000001672</v>
      </c>
    </row>
    <row r="10" spans="1:34" x14ac:dyDescent="0.15">
      <c r="A10" s="37">
        <v>38478</v>
      </c>
      <c r="B10" s="7">
        <f>'[7]May Prod'!I9</f>
        <v>15599999.999999454</v>
      </c>
      <c r="C10" s="8">
        <f t="shared" si="5"/>
        <v>15.599999999999454</v>
      </c>
      <c r="D10" s="10">
        <f t="shared" si="6"/>
        <v>47.891999999998319</v>
      </c>
      <c r="E10" s="7">
        <f>'[7]May Prod'!E9</f>
        <v>8000000</v>
      </c>
      <c r="F10" s="8">
        <f t="shared" si="7"/>
        <v>8</v>
      </c>
      <c r="G10" s="10">
        <f t="shared" si="8"/>
        <v>24.56</v>
      </c>
      <c r="H10" s="7">
        <f>'[7]May Prod'!F9</f>
        <v>8000000</v>
      </c>
      <c r="I10" s="8">
        <f t="shared" si="9"/>
        <v>8</v>
      </c>
      <c r="J10" s="10">
        <f t="shared" si="10"/>
        <v>24.56</v>
      </c>
      <c r="K10" s="7">
        <f>'[7]May Prod'!H264</f>
        <v>463098</v>
      </c>
      <c r="L10" s="8">
        <f t="shared" si="11"/>
        <v>0.46309800000000001</v>
      </c>
      <c r="M10" s="10">
        <f t="shared" si="12"/>
        <v>1.4217108599999999</v>
      </c>
      <c r="N10" s="28"/>
      <c r="O10" s="7">
        <f>'[7]May Prod'!H9</f>
        <v>0</v>
      </c>
      <c r="P10" s="8">
        <f t="shared" si="13"/>
        <v>0</v>
      </c>
      <c r="Q10" s="10">
        <f t="shared" si="0"/>
        <v>0</v>
      </c>
      <c r="R10" s="7">
        <f>'[7]May Prod'!C9</f>
        <v>0</v>
      </c>
      <c r="S10" s="8">
        <f t="shared" si="14"/>
        <v>0</v>
      </c>
      <c r="T10" s="10">
        <f t="shared" si="1"/>
        <v>0</v>
      </c>
      <c r="U10" s="7">
        <f>'[7]May Prod'!D9</f>
        <v>0</v>
      </c>
      <c r="V10" s="8">
        <f t="shared" si="15"/>
        <v>0</v>
      </c>
      <c r="W10" s="10">
        <f t="shared" si="2"/>
        <v>0</v>
      </c>
      <c r="X10" s="7">
        <f>'[7]May Prod'!D264</f>
        <v>0</v>
      </c>
      <c r="Y10" s="8">
        <f t="shared" si="16"/>
        <v>0</v>
      </c>
      <c r="Z10" s="10">
        <f t="shared" si="3"/>
        <v>0</v>
      </c>
      <c r="AA10" s="22"/>
      <c r="AB10" s="7">
        <f>'[7]May Prod'!G9</f>
        <v>0</v>
      </c>
      <c r="AC10" s="8">
        <f t="shared" si="17"/>
        <v>0</v>
      </c>
      <c r="AD10" s="10">
        <f t="shared" si="4"/>
        <v>0</v>
      </c>
      <c r="AF10" s="7">
        <f t="shared" si="18"/>
        <v>15599999.999999454</v>
      </c>
      <c r="AG10" s="8">
        <f t="shared" si="18"/>
        <v>15.599999999999454</v>
      </c>
      <c r="AH10" s="8">
        <f t="shared" si="18"/>
        <v>47.891999999998319</v>
      </c>
    </row>
    <row r="11" spans="1:34" x14ac:dyDescent="0.15">
      <c r="A11" s="37">
        <v>38479</v>
      </c>
      <c r="B11" s="7">
        <f>'[7]May Prod'!I10</f>
        <v>13400000.000000546</v>
      </c>
      <c r="C11" s="8">
        <f t="shared" si="5"/>
        <v>13.400000000000546</v>
      </c>
      <c r="D11" s="10">
        <f t="shared" si="6"/>
        <v>41.138000000001675</v>
      </c>
      <c r="E11" s="7">
        <f>'[7]May Prod'!E10</f>
        <v>8000000</v>
      </c>
      <c r="F11" s="8">
        <f t="shared" si="7"/>
        <v>8</v>
      </c>
      <c r="G11" s="10">
        <f t="shared" si="8"/>
        <v>24.56</v>
      </c>
      <c r="H11" s="7">
        <f>'[7]May Prod'!F10</f>
        <v>6000000</v>
      </c>
      <c r="I11" s="8">
        <f t="shared" si="9"/>
        <v>6</v>
      </c>
      <c r="J11" s="10">
        <f t="shared" si="10"/>
        <v>18.419999999999998</v>
      </c>
      <c r="K11" s="7">
        <f>'[7]May Prod'!H265</f>
        <v>488387</v>
      </c>
      <c r="L11" s="8">
        <f t="shared" si="11"/>
        <v>0.48838700000000002</v>
      </c>
      <c r="M11" s="10">
        <f t="shared" si="12"/>
        <v>1.49934809</v>
      </c>
      <c r="N11" s="28"/>
      <c r="O11" s="7">
        <f>'[7]May Prod'!H10</f>
        <v>0</v>
      </c>
      <c r="P11" s="8">
        <f t="shared" si="13"/>
        <v>0</v>
      </c>
      <c r="Q11" s="10">
        <f t="shared" si="0"/>
        <v>0</v>
      </c>
      <c r="R11" s="7">
        <f>'[7]May Prod'!C10</f>
        <v>0</v>
      </c>
      <c r="S11" s="8">
        <f t="shared" si="14"/>
        <v>0</v>
      </c>
      <c r="T11" s="10">
        <f t="shared" si="1"/>
        <v>0</v>
      </c>
      <c r="U11" s="7">
        <f>'[7]May Prod'!D10</f>
        <v>0</v>
      </c>
      <c r="V11" s="8">
        <f t="shared" si="15"/>
        <v>0</v>
      </c>
      <c r="W11" s="10">
        <f t="shared" si="2"/>
        <v>0</v>
      </c>
      <c r="X11" s="7">
        <f>'[7]May Prod'!D265</f>
        <v>0</v>
      </c>
      <c r="Y11" s="8">
        <f t="shared" si="16"/>
        <v>0</v>
      </c>
      <c r="Z11" s="10">
        <f t="shared" si="3"/>
        <v>0</v>
      </c>
      <c r="AA11" s="22"/>
      <c r="AB11" s="7">
        <f>'[7]May Prod'!G10</f>
        <v>0</v>
      </c>
      <c r="AC11" s="8">
        <f t="shared" si="17"/>
        <v>0</v>
      </c>
      <c r="AD11" s="10">
        <f t="shared" si="4"/>
        <v>0</v>
      </c>
      <c r="AF11" s="7">
        <f t="shared" si="18"/>
        <v>13400000.000000546</v>
      </c>
      <c r="AG11" s="8">
        <f t="shared" si="18"/>
        <v>13.400000000000546</v>
      </c>
      <c r="AH11" s="8">
        <f t="shared" si="18"/>
        <v>41.138000000001675</v>
      </c>
    </row>
    <row r="12" spans="1:34" x14ac:dyDescent="0.15">
      <c r="A12" s="37">
        <v>38480</v>
      </c>
      <c r="B12" s="7">
        <f>'[7]May Prod'!I11</f>
        <v>15000000</v>
      </c>
      <c r="C12" s="8">
        <f t="shared" si="5"/>
        <v>15</v>
      </c>
      <c r="D12" s="10">
        <f t="shared" si="6"/>
        <v>46.05</v>
      </c>
      <c r="E12" s="7">
        <f>'[7]May Prod'!E11</f>
        <v>10000000</v>
      </c>
      <c r="F12" s="8">
        <f t="shared" si="7"/>
        <v>10</v>
      </c>
      <c r="G12" s="10">
        <f t="shared" si="8"/>
        <v>30.7</v>
      </c>
      <c r="H12" s="7">
        <f>'[7]May Prod'!F11</f>
        <v>5000000</v>
      </c>
      <c r="I12" s="8">
        <f t="shared" si="9"/>
        <v>5</v>
      </c>
      <c r="J12" s="10">
        <f t="shared" si="10"/>
        <v>15.35</v>
      </c>
      <c r="K12" s="7">
        <f>'[7]May Prod'!H266</f>
        <v>510110</v>
      </c>
      <c r="L12" s="8">
        <f t="shared" si="11"/>
        <v>0.51010999999999995</v>
      </c>
      <c r="M12" s="10">
        <f t="shared" si="12"/>
        <v>1.5660376999999999</v>
      </c>
      <c r="N12" s="28"/>
      <c r="O12" s="7">
        <f>'[7]May Prod'!H11</f>
        <v>0</v>
      </c>
      <c r="P12" s="8">
        <f t="shared" si="13"/>
        <v>0</v>
      </c>
      <c r="Q12" s="10">
        <f t="shared" si="0"/>
        <v>0</v>
      </c>
      <c r="R12" s="7">
        <f>'[7]May Prod'!C11</f>
        <v>0</v>
      </c>
      <c r="S12" s="8">
        <f t="shared" si="14"/>
        <v>0</v>
      </c>
      <c r="T12" s="10">
        <f t="shared" si="1"/>
        <v>0</v>
      </c>
      <c r="U12" s="7">
        <f>'[7]May Prod'!D11</f>
        <v>0</v>
      </c>
      <c r="V12" s="8">
        <f t="shared" si="15"/>
        <v>0</v>
      </c>
      <c r="W12" s="10">
        <f t="shared" si="2"/>
        <v>0</v>
      </c>
      <c r="X12" s="7">
        <f>'[7]May Prod'!D266</f>
        <v>0</v>
      </c>
      <c r="Y12" s="8">
        <f t="shared" si="16"/>
        <v>0</v>
      </c>
      <c r="Z12" s="10">
        <f t="shared" si="3"/>
        <v>0</v>
      </c>
      <c r="AA12" s="22"/>
      <c r="AB12" s="7">
        <f>'[7]May Prod'!G11</f>
        <v>0</v>
      </c>
      <c r="AC12" s="8">
        <f t="shared" si="17"/>
        <v>0</v>
      </c>
      <c r="AD12" s="10">
        <f t="shared" si="4"/>
        <v>0</v>
      </c>
      <c r="AF12" s="7">
        <f t="shared" si="18"/>
        <v>15000000</v>
      </c>
      <c r="AG12" s="8">
        <f t="shared" si="18"/>
        <v>15</v>
      </c>
      <c r="AH12" s="8">
        <f t="shared" si="18"/>
        <v>46.05</v>
      </c>
    </row>
    <row r="13" spans="1:34" x14ac:dyDescent="0.15">
      <c r="A13" s="37">
        <v>38481</v>
      </c>
      <c r="B13" s="7">
        <f>'[7]May Prod'!I12</f>
        <v>16299999.999999272</v>
      </c>
      <c r="C13" s="8">
        <f t="shared" si="5"/>
        <v>16.299999999999272</v>
      </c>
      <c r="D13" s="10">
        <f t="shared" si="6"/>
        <v>50.040999999997766</v>
      </c>
      <c r="E13" s="7">
        <f>'[7]May Prod'!E12</f>
        <v>12000000</v>
      </c>
      <c r="F13" s="8">
        <f t="shared" si="7"/>
        <v>12</v>
      </c>
      <c r="G13" s="10">
        <f t="shared" si="8"/>
        <v>36.839999999999996</v>
      </c>
      <c r="H13" s="7">
        <f>'[7]May Prod'!F12</f>
        <v>5000000</v>
      </c>
      <c r="I13" s="8">
        <f t="shared" si="9"/>
        <v>5</v>
      </c>
      <c r="J13" s="10">
        <f t="shared" si="10"/>
        <v>15.35</v>
      </c>
      <c r="K13" s="7">
        <f>'[7]May Prod'!H267</f>
        <v>580398</v>
      </c>
      <c r="L13" s="8">
        <f t="shared" si="11"/>
        <v>0.58039799999999997</v>
      </c>
      <c r="M13" s="10">
        <f t="shared" si="12"/>
        <v>1.7818218599999998</v>
      </c>
      <c r="N13" s="28"/>
      <c r="O13" s="7">
        <f>'[7]May Prod'!H12</f>
        <v>0</v>
      </c>
      <c r="P13" s="8">
        <f t="shared" si="13"/>
        <v>0</v>
      </c>
      <c r="Q13" s="10">
        <f t="shared" si="0"/>
        <v>0</v>
      </c>
      <c r="R13" s="7">
        <f>'[7]May Prod'!C12</f>
        <v>0</v>
      </c>
      <c r="S13" s="8">
        <f t="shared" si="14"/>
        <v>0</v>
      </c>
      <c r="T13" s="10">
        <f t="shared" si="1"/>
        <v>0</v>
      </c>
      <c r="U13" s="7">
        <f>'[7]May Prod'!D12</f>
        <v>0</v>
      </c>
      <c r="V13" s="8">
        <f t="shared" si="15"/>
        <v>0</v>
      </c>
      <c r="W13" s="10">
        <f t="shared" si="2"/>
        <v>0</v>
      </c>
      <c r="X13" s="7">
        <f>'[7]May Prod'!D267</f>
        <v>0</v>
      </c>
      <c r="Y13" s="8">
        <f t="shared" si="16"/>
        <v>0</v>
      </c>
      <c r="Z13" s="10">
        <f t="shared" si="3"/>
        <v>0</v>
      </c>
      <c r="AA13" s="22"/>
      <c r="AB13" s="7">
        <f>'[7]May Prod'!G12</f>
        <v>0</v>
      </c>
      <c r="AC13" s="8">
        <f t="shared" si="17"/>
        <v>0</v>
      </c>
      <c r="AD13" s="10">
        <f t="shared" si="4"/>
        <v>0</v>
      </c>
      <c r="AF13" s="7">
        <f t="shared" si="18"/>
        <v>16299999.999999272</v>
      </c>
      <c r="AG13" s="8">
        <f t="shared" si="18"/>
        <v>16.299999999999272</v>
      </c>
      <c r="AH13" s="8">
        <f t="shared" si="18"/>
        <v>50.040999999997766</v>
      </c>
    </row>
    <row r="14" spans="1:34" x14ac:dyDescent="0.15">
      <c r="A14" s="37">
        <v>38482</v>
      </c>
      <c r="B14" s="7">
        <f>'[7]May Prod'!I13</f>
        <v>17900000.000000544</v>
      </c>
      <c r="C14" s="8">
        <f t="shared" si="5"/>
        <v>17.900000000000542</v>
      </c>
      <c r="D14" s="10">
        <f t="shared" si="6"/>
        <v>54.953000000001659</v>
      </c>
      <c r="E14" s="7">
        <f>'[7]May Prod'!E13</f>
        <v>13000000</v>
      </c>
      <c r="F14" s="8">
        <f t="shared" si="7"/>
        <v>13</v>
      </c>
      <c r="G14" s="10">
        <f t="shared" si="8"/>
        <v>39.909999999999997</v>
      </c>
      <c r="H14" s="7">
        <f>'[7]May Prod'!F13</f>
        <v>5000000</v>
      </c>
      <c r="I14" s="8">
        <f t="shared" si="9"/>
        <v>5</v>
      </c>
      <c r="J14" s="10">
        <f t="shared" si="10"/>
        <v>15.35</v>
      </c>
      <c r="K14" s="7">
        <f>'[7]May Prod'!H268</f>
        <v>372901</v>
      </c>
      <c r="L14" s="8">
        <f t="shared" si="11"/>
        <v>0.37290099999999998</v>
      </c>
      <c r="M14" s="10">
        <f t="shared" si="12"/>
        <v>1.1448060699999998</v>
      </c>
      <c r="N14" s="28"/>
      <c r="O14" s="7">
        <f>'[7]May Prod'!H13</f>
        <v>11000</v>
      </c>
      <c r="P14" s="8">
        <f t="shared" si="13"/>
        <v>1.0999999999999999E-2</v>
      </c>
      <c r="Q14" s="10">
        <f t="shared" si="0"/>
        <v>3.3769999999999994E-2</v>
      </c>
      <c r="R14" s="7">
        <f>'[7]May Prod'!C13</f>
        <v>0</v>
      </c>
      <c r="S14" s="8">
        <f t="shared" si="14"/>
        <v>0</v>
      </c>
      <c r="T14" s="10">
        <f t="shared" si="1"/>
        <v>0</v>
      </c>
      <c r="U14" s="7">
        <f>'[7]May Prod'!D13</f>
        <v>0</v>
      </c>
      <c r="V14" s="8">
        <f t="shared" si="15"/>
        <v>0</v>
      </c>
      <c r="W14" s="10">
        <f t="shared" si="2"/>
        <v>0</v>
      </c>
      <c r="X14" s="7">
        <f>'[7]May Prod'!D268</f>
        <v>-11000</v>
      </c>
      <c r="Y14" s="8">
        <f t="shared" si="16"/>
        <v>-1.0999999999999999E-2</v>
      </c>
      <c r="Z14" s="10">
        <f t="shared" si="3"/>
        <v>-3.3769999999999994E-2</v>
      </c>
      <c r="AA14" s="22"/>
      <c r="AB14" s="7">
        <f>'[7]May Prod'!G13</f>
        <v>0</v>
      </c>
      <c r="AC14" s="8">
        <f t="shared" si="17"/>
        <v>0</v>
      </c>
      <c r="AD14" s="10">
        <f t="shared" si="4"/>
        <v>0</v>
      </c>
      <c r="AF14" s="7">
        <f t="shared" si="18"/>
        <v>17911000.000000544</v>
      </c>
      <c r="AG14" s="8">
        <f t="shared" si="18"/>
        <v>17.911000000000541</v>
      </c>
      <c r="AH14" s="8">
        <f t="shared" si="18"/>
        <v>54.986770000001655</v>
      </c>
    </row>
    <row r="15" spans="1:34" x14ac:dyDescent="0.15">
      <c r="A15" s="37">
        <v>38483</v>
      </c>
      <c r="B15" s="7">
        <f>'[7]May Prod'!I14</f>
        <v>15300000.000000183</v>
      </c>
      <c r="C15" s="8">
        <f t="shared" si="5"/>
        <v>15.300000000000182</v>
      </c>
      <c r="D15" s="10">
        <f t="shared" si="6"/>
        <v>46.971000000000558</v>
      </c>
      <c r="E15" s="7">
        <f>'[7]May Prod'!E14</f>
        <v>13000000</v>
      </c>
      <c r="F15" s="8">
        <f t="shared" si="7"/>
        <v>13</v>
      </c>
      <c r="G15" s="10">
        <f t="shared" si="8"/>
        <v>39.909999999999997</v>
      </c>
      <c r="H15" s="7">
        <f>'[7]May Prod'!F14</f>
        <v>5000000</v>
      </c>
      <c r="I15" s="8">
        <f t="shared" si="9"/>
        <v>5</v>
      </c>
      <c r="J15" s="10">
        <f t="shared" si="10"/>
        <v>15.35</v>
      </c>
      <c r="K15" s="7">
        <f>'[7]May Prod'!H269</f>
        <v>436426</v>
      </c>
      <c r="L15" s="8">
        <f t="shared" si="11"/>
        <v>0.43642599999999998</v>
      </c>
      <c r="M15" s="10">
        <f t="shared" si="12"/>
        <v>1.3398278199999998</v>
      </c>
      <c r="N15" s="28"/>
      <c r="O15" s="7">
        <f>'[7]May Prod'!H14</f>
        <v>0</v>
      </c>
      <c r="P15" s="8">
        <f t="shared" si="13"/>
        <v>0</v>
      </c>
      <c r="Q15" s="10">
        <f t="shared" si="0"/>
        <v>0</v>
      </c>
      <c r="R15" s="7">
        <f>'[7]May Prod'!C14</f>
        <v>0</v>
      </c>
      <c r="S15" s="8">
        <f t="shared" si="14"/>
        <v>0</v>
      </c>
      <c r="T15" s="10">
        <f t="shared" si="1"/>
        <v>0</v>
      </c>
      <c r="U15" s="7">
        <f>'[7]May Prod'!D14</f>
        <v>0</v>
      </c>
      <c r="V15" s="8">
        <f t="shared" si="15"/>
        <v>0</v>
      </c>
      <c r="W15" s="10">
        <f t="shared" si="2"/>
        <v>0</v>
      </c>
      <c r="X15" s="7">
        <f>'[7]May Prod'!D269</f>
        <v>0</v>
      </c>
      <c r="Y15" s="8">
        <f t="shared" si="16"/>
        <v>0</v>
      </c>
      <c r="Z15" s="10">
        <f t="shared" si="3"/>
        <v>0</v>
      </c>
      <c r="AA15" s="22"/>
      <c r="AB15" s="7">
        <f>'[7]May Prod'!G14</f>
        <v>0</v>
      </c>
      <c r="AC15" s="8">
        <f t="shared" si="17"/>
        <v>0</v>
      </c>
      <c r="AD15" s="10">
        <f t="shared" si="4"/>
        <v>0</v>
      </c>
      <c r="AF15" s="7">
        <f t="shared" si="18"/>
        <v>15300000.000000183</v>
      </c>
      <c r="AG15" s="8">
        <f t="shared" si="18"/>
        <v>15.300000000000182</v>
      </c>
      <c r="AH15" s="8">
        <f t="shared" si="18"/>
        <v>46.971000000000558</v>
      </c>
    </row>
    <row r="16" spans="1:34" x14ac:dyDescent="0.15">
      <c r="A16" s="37">
        <v>38484</v>
      </c>
      <c r="B16" s="7">
        <f>'[7]May Prod'!I15</f>
        <v>10799999.999999272</v>
      </c>
      <c r="C16" s="8">
        <f t="shared" si="5"/>
        <v>10.799999999999272</v>
      </c>
      <c r="D16" s="10">
        <f t="shared" si="6"/>
        <v>33.155999999997768</v>
      </c>
      <c r="E16" s="7">
        <f>'[7]May Prod'!E15</f>
        <v>5000000</v>
      </c>
      <c r="F16" s="8">
        <f t="shared" si="7"/>
        <v>5</v>
      </c>
      <c r="G16" s="10">
        <f t="shared" si="8"/>
        <v>15.35</v>
      </c>
      <c r="H16" s="7">
        <f>'[7]May Prod'!F15</f>
        <v>5000000</v>
      </c>
      <c r="I16" s="8">
        <f t="shared" si="9"/>
        <v>5</v>
      </c>
      <c r="J16" s="10">
        <f t="shared" si="10"/>
        <v>15.35</v>
      </c>
      <c r="K16" s="7">
        <f>'[7]May Prod'!H270</f>
        <v>302732</v>
      </c>
      <c r="L16" s="8">
        <f t="shared" si="11"/>
        <v>0.302732</v>
      </c>
      <c r="M16" s="10">
        <f t="shared" si="12"/>
        <v>0.92938723999999995</v>
      </c>
      <c r="N16" s="28"/>
      <c r="O16" s="7">
        <f>'[7]May Prod'!H15</f>
        <v>-150000</v>
      </c>
      <c r="P16" s="8">
        <f t="shared" si="13"/>
        <v>-0.15</v>
      </c>
      <c r="Q16" s="10">
        <f t="shared" si="0"/>
        <v>-0.46049999999999996</v>
      </c>
      <c r="R16" s="7">
        <f>'[7]May Prod'!C15</f>
        <v>0</v>
      </c>
      <c r="S16" s="8">
        <f t="shared" si="14"/>
        <v>0</v>
      </c>
      <c r="T16" s="10">
        <f t="shared" si="1"/>
        <v>0</v>
      </c>
      <c r="U16" s="7">
        <f>'[7]May Prod'!D15</f>
        <v>0</v>
      </c>
      <c r="V16" s="8">
        <f t="shared" si="15"/>
        <v>0</v>
      </c>
      <c r="W16" s="10">
        <f t="shared" si="2"/>
        <v>0</v>
      </c>
      <c r="X16" s="7">
        <f>'[7]May Prod'!D270</f>
        <v>150000</v>
      </c>
      <c r="Y16" s="8">
        <f t="shared" si="16"/>
        <v>0.15</v>
      </c>
      <c r="Z16" s="10">
        <f t="shared" si="3"/>
        <v>0.46049999999999996</v>
      </c>
      <c r="AA16" s="22"/>
      <c r="AB16" s="7">
        <f>'[7]May Prod'!G15</f>
        <v>0</v>
      </c>
      <c r="AC16" s="8">
        <f t="shared" si="17"/>
        <v>0</v>
      </c>
      <c r="AD16" s="10">
        <f t="shared" si="4"/>
        <v>0</v>
      </c>
      <c r="AF16" s="7">
        <f t="shared" si="18"/>
        <v>10649999.999999272</v>
      </c>
      <c r="AG16" s="8">
        <f t="shared" si="18"/>
        <v>10.649999999999272</v>
      </c>
      <c r="AH16" s="8">
        <f t="shared" si="18"/>
        <v>32.695499999997764</v>
      </c>
    </row>
    <row r="17" spans="1:34" x14ac:dyDescent="0.15">
      <c r="A17" s="37">
        <v>38485</v>
      </c>
      <c r="B17" s="7">
        <f>'[7]May Prod'!I16</f>
        <v>11000000</v>
      </c>
      <c r="C17" s="8">
        <f t="shared" si="5"/>
        <v>11</v>
      </c>
      <c r="D17" s="10">
        <f t="shared" si="6"/>
        <v>33.769999999999996</v>
      </c>
      <c r="E17" s="7">
        <f>'[7]May Prod'!E16</f>
        <v>6000000</v>
      </c>
      <c r="F17" s="8">
        <f t="shared" si="7"/>
        <v>6</v>
      </c>
      <c r="G17" s="10">
        <f t="shared" si="8"/>
        <v>18.419999999999998</v>
      </c>
      <c r="H17" s="7">
        <f>'[7]May Prod'!F16</f>
        <v>5000000</v>
      </c>
      <c r="I17" s="8">
        <f t="shared" si="9"/>
        <v>5</v>
      </c>
      <c r="J17" s="10">
        <f t="shared" si="10"/>
        <v>15.35</v>
      </c>
      <c r="K17" s="7">
        <f>'[7]May Prod'!H271</f>
        <v>391206</v>
      </c>
      <c r="L17" s="8">
        <f t="shared" si="11"/>
        <v>0.391206</v>
      </c>
      <c r="M17" s="10">
        <f t="shared" si="12"/>
        <v>1.20100242</v>
      </c>
      <c r="N17" s="28"/>
      <c r="O17" s="7">
        <f>'[7]May Prod'!H16</f>
        <v>-143000</v>
      </c>
      <c r="P17" s="8">
        <f t="shared" si="13"/>
        <v>-0.14299999999999999</v>
      </c>
      <c r="Q17" s="10">
        <f t="shared" si="0"/>
        <v>-0.43900999999999996</v>
      </c>
      <c r="R17" s="7">
        <f>'[7]May Prod'!C16</f>
        <v>0</v>
      </c>
      <c r="S17" s="8">
        <f t="shared" si="14"/>
        <v>0</v>
      </c>
      <c r="T17" s="10">
        <f t="shared" si="1"/>
        <v>0</v>
      </c>
      <c r="U17" s="7">
        <f>'[7]May Prod'!D16</f>
        <v>0</v>
      </c>
      <c r="V17" s="8">
        <f t="shared" si="15"/>
        <v>0</v>
      </c>
      <c r="W17" s="10">
        <f t="shared" si="2"/>
        <v>0</v>
      </c>
      <c r="X17" s="7">
        <f>'[7]May Prod'!D271</f>
        <v>143000</v>
      </c>
      <c r="Y17" s="8">
        <f t="shared" si="16"/>
        <v>0.14299999999999999</v>
      </c>
      <c r="Z17" s="10">
        <f t="shared" si="3"/>
        <v>0.43900999999999996</v>
      </c>
      <c r="AA17" s="22"/>
      <c r="AB17" s="7">
        <f>'[7]May Prod'!G16</f>
        <v>0</v>
      </c>
      <c r="AC17" s="8">
        <f t="shared" si="17"/>
        <v>0</v>
      </c>
      <c r="AD17" s="10">
        <f t="shared" si="4"/>
        <v>0</v>
      </c>
      <c r="AF17" s="7">
        <f t="shared" si="18"/>
        <v>10857000</v>
      </c>
      <c r="AG17" s="8">
        <f t="shared" si="18"/>
        <v>10.856999999999999</v>
      </c>
      <c r="AH17" s="8">
        <f t="shared" si="18"/>
        <v>33.330989999999993</v>
      </c>
    </row>
    <row r="18" spans="1:34" x14ac:dyDescent="0.15">
      <c r="A18" s="37">
        <v>38486</v>
      </c>
      <c r="B18" s="7">
        <f>'[7]May Prod'!I17</f>
        <v>11600000.000000363</v>
      </c>
      <c r="C18" s="8">
        <f t="shared" si="5"/>
        <v>11.600000000000364</v>
      </c>
      <c r="D18" s="10">
        <f t="shared" si="6"/>
        <v>35.612000000001117</v>
      </c>
      <c r="E18" s="7">
        <f>'[7]May Prod'!E17</f>
        <v>7000000</v>
      </c>
      <c r="F18" s="8">
        <f t="shared" si="7"/>
        <v>7</v>
      </c>
      <c r="G18" s="10">
        <f t="shared" si="8"/>
        <v>21.49</v>
      </c>
      <c r="H18" s="7">
        <f>'[7]May Prod'!F17</f>
        <v>5000000</v>
      </c>
      <c r="I18" s="8">
        <f t="shared" si="9"/>
        <v>5</v>
      </c>
      <c r="J18" s="10">
        <f t="shared" si="10"/>
        <v>15.35</v>
      </c>
      <c r="K18" s="7">
        <f>'[7]May Prod'!H272</f>
        <v>343775</v>
      </c>
      <c r="L18" s="8">
        <f t="shared" si="11"/>
        <v>0.343775</v>
      </c>
      <c r="M18" s="10">
        <f t="shared" si="12"/>
        <v>1.0553892499999999</v>
      </c>
      <c r="N18" s="28"/>
      <c r="O18" s="7">
        <f>'[7]May Prod'!H17</f>
        <v>-7000.0000000000064</v>
      </c>
      <c r="P18" s="8">
        <f t="shared" si="13"/>
        <v>-7.0000000000000062E-3</v>
      </c>
      <c r="Q18" s="10">
        <f t="shared" si="0"/>
        <v>-2.149000000000002E-2</v>
      </c>
      <c r="R18" s="7">
        <f>'[7]May Prod'!C17</f>
        <v>0</v>
      </c>
      <c r="S18" s="8">
        <f t="shared" si="14"/>
        <v>0</v>
      </c>
      <c r="T18" s="10">
        <f t="shared" si="1"/>
        <v>0</v>
      </c>
      <c r="U18" s="7">
        <f>'[7]May Prod'!D17</f>
        <v>0</v>
      </c>
      <c r="V18" s="8">
        <f t="shared" si="15"/>
        <v>0</v>
      </c>
      <c r="W18" s="10">
        <f t="shared" si="2"/>
        <v>0</v>
      </c>
      <c r="X18" s="7">
        <f>'[7]May Prod'!D272</f>
        <v>7000.0000000000064</v>
      </c>
      <c r="Y18" s="8">
        <f t="shared" si="16"/>
        <v>7.0000000000000062E-3</v>
      </c>
      <c r="Z18" s="10">
        <f t="shared" si="3"/>
        <v>2.149000000000002E-2</v>
      </c>
      <c r="AA18" s="22"/>
      <c r="AB18" s="7">
        <f>'[7]May Prod'!G17</f>
        <v>0</v>
      </c>
      <c r="AC18" s="8">
        <f t="shared" si="17"/>
        <v>0</v>
      </c>
      <c r="AD18" s="10">
        <f t="shared" si="4"/>
        <v>0</v>
      </c>
      <c r="AF18" s="7">
        <f t="shared" si="18"/>
        <v>11593000.000000363</v>
      </c>
      <c r="AG18" s="8">
        <f t="shared" si="18"/>
        <v>11.593000000000364</v>
      </c>
      <c r="AH18" s="8">
        <f t="shared" si="18"/>
        <v>35.590510000001117</v>
      </c>
    </row>
    <row r="19" spans="1:34" x14ac:dyDescent="0.15">
      <c r="A19" s="37">
        <v>38487</v>
      </c>
      <c r="B19" s="7">
        <f>'[7]May Prod'!I18</f>
        <v>11500000</v>
      </c>
      <c r="C19" s="8">
        <f t="shared" si="5"/>
        <v>11.5</v>
      </c>
      <c r="D19" s="10">
        <f t="shared" si="6"/>
        <v>35.305</v>
      </c>
      <c r="E19" s="7">
        <f>'[7]May Prod'!E18</f>
        <v>7000000</v>
      </c>
      <c r="F19" s="8">
        <f t="shared" si="7"/>
        <v>7</v>
      </c>
      <c r="G19" s="10">
        <f t="shared" si="8"/>
        <v>21.49</v>
      </c>
      <c r="H19" s="7">
        <f>'[7]May Prod'!F18</f>
        <v>5000000</v>
      </c>
      <c r="I19" s="8">
        <f t="shared" si="9"/>
        <v>5</v>
      </c>
      <c r="J19" s="10">
        <f t="shared" si="10"/>
        <v>15.35</v>
      </c>
      <c r="K19" s="7">
        <f>'[7]May Prod'!H273</f>
        <v>394499</v>
      </c>
      <c r="L19" s="8">
        <f t="shared" si="11"/>
        <v>0.39449899999999999</v>
      </c>
      <c r="M19" s="10">
        <f t="shared" si="12"/>
        <v>1.2111119299999999</v>
      </c>
      <c r="N19" s="28"/>
      <c r="O19" s="7">
        <f>'[7]May Prod'!H18</f>
        <v>0</v>
      </c>
      <c r="P19" s="8">
        <f t="shared" si="13"/>
        <v>0</v>
      </c>
      <c r="Q19" s="10">
        <f t="shared" si="0"/>
        <v>0</v>
      </c>
      <c r="R19" s="7">
        <f>'[7]May Prod'!C18</f>
        <v>0</v>
      </c>
      <c r="S19" s="8">
        <f t="shared" si="14"/>
        <v>0</v>
      </c>
      <c r="T19" s="10">
        <f t="shared" si="1"/>
        <v>0</v>
      </c>
      <c r="U19" s="7">
        <f>'[7]May Prod'!D18</f>
        <v>0</v>
      </c>
      <c r="V19" s="8">
        <f t="shared" si="15"/>
        <v>0</v>
      </c>
      <c r="W19" s="10">
        <f t="shared" si="2"/>
        <v>0</v>
      </c>
      <c r="X19" s="7">
        <f>'[7]May Prod'!D273</f>
        <v>0</v>
      </c>
      <c r="Y19" s="8">
        <f t="shared" si="16"/>
        <v>0</v>
      </c>
      <c r="Z19" s="10">
        <f t="shared" si="3"/>
        <v>0</v>
      </c>
      <c r="AA19" s="22"/>
      <c r="AB19" s="7">
        <f>'[7]May Prod'!G18</f>
        <v>0</v>
      </c>
      <c r="AC19" s="8">
        <f t="shared" si="17"/>
        <v>0</v>
      </c>
      <c r="AD19" s="10">
        <f t="shared" si="4"/>
        <v>0</v>
      </c>
      <c r="AF19" s="7">
        <f t="shared" si="18"/>
        <v>11500000</v>
      </c>
      <c r="AG19" s="8">
        <f t="shared" si="18"/>
        <v>11.5</v>
      </c>
      <c r="AH19" s="8">
        <f t="shared" si="18"/>
        <v>35.305</v>
      </c>
    </row>
    <row r="20" spans="1:34" x14ac:dyDescent="0.15">
      <c r="A20" s="37">
        <v>38488</v>
      </c>
      <c r="B20" s="7">
        <f>'[7]May Prod'!I19</f>
        <v>13399999.999999637</v>
      </c>
      <c r="C20" s="8">
        <f t="shared" si="5"/>
        <v>13.399999999999636</v>
      </c>
      <c r="D20" s="10">
        <f t="shared" si="6"/>
        <v>41.137999999998883</v>
      </c>
      <c r="E20" s="7">
        <f>'[7]May Prod'!E19</f>
        <v>8000000</v>
      </c>
      <c r="F20" s="8">
        <f t="shared" si="7"/>
        <v>8</v>
      </c>
      <c r="G20" s="10">
        <f t="shared" si="8"/>
        <v>24.56</v>
      </c>
      <c r="H20" s="7">
        <f>'[7]May Prod'!F19</f>
        <v>5000000</v>
      </c>
      <c r="I20" s="8">
        <f t="shared" si="9"/>
        <v>5</v>
      </c>
      <c r="J20" s="10">
        <f t="shared" si="10"/>
        <v>15.35</v>
      </c>
      <c r="K20" s="7">
        <f>'[7]May Prod'!H274</f>
        <v>385082</v>
      </c>
      <c r="L20" s="8">
        <f t="shared" si="11"/>
        <v>0.38508199999999998</v>
      </c>
      <c r="M20" s="10">
        <f t="shared" si="12"/>
        <v>1.1822017399999998</v>
      </c>
      <c r="N20" s="28"/>
      <c r="O20" s="7">
        <f>'[7]May Prod'!H19</f>
        <v>0</v>
      </c>
      <c r="P20" s="8">
        <f t="shared" si="13"/>
        <v>0</v>
      </c>
      <c r="Q20" s="10">
        <f t="shared" si="0"/>
        <v>0</v>
      </c>
      <c r="R20" s="7">
        <f>'[7]May Prod'!C19</f>
        <v>0</v>
      </c>
      <c r="S20" s="8">
        <f t="shared" si="14"/>
        <v>0</v>
      </c>
      <c r="T20" s="10">
        <f t="shared" si="1"/>
        <v>0</v>
      </c>
      <c r="U20" s="7">
        <f>'[7]May Prod'!D19</f>
        <v>0</v>
      </c>
      <c r="V20" s="8">
        <f t="shared" si="15"/>
        <v>0</v>
      </c>
      <c r="W20" s="10">
        <f t="shared" si="2"/>
        <v>0</v>
      </c>
      <c r="X20" s="7">
        <f>'[7]May Prod'!D274</f>
        <v>0</v>
      </c>
      <c r="Y20" s="8">
        <f t="shared" si="16"/>
        <v>0</v>
      </c>
      <c r="Z20" s="10">
        <f t="shared" si="3"/>
        <v>0</v>
      </c>
      <c r="AA20" s="22"/>
      <c r="AB20" s="7">
        <f>'[7]May Prod'!G19</f>
        <v>0</v>
      </c>
      <c r="AC20" s="8">
        <f t="shared" si="17"/>
        <v>0</v>
      </c>
      <c r="AD20" s="10">
        <f t="shared" si="4"/>
        <v>0</v>
      </c>
      <c r="AF20" s="7">
        <f t="shared" si="18"/>
        <v>13399999.999999637</v>
      </c>
      <c r="AG20" s="8">
        <f t="shared" si="18"/>
        <v>13.399999999999636</v>
      </c>
      <c r="AH20" s="8">
        <f t="shared" si="18"/>
        <v>41.137999999998883</v>
      </c>
    </row>
    <row r="21" spans="1:34" x14ac:dyDescent="0.15">
      <c r="A21" s="37">
        <v>38489</v>
      </c>
      <c r="B21" s="7">
        <f>'[7]May Prod'!I20</f>
        <v>14700000.000000728</v>
      </c>
      <c r="C21" s="8">
        <f t="shared" si="5"/>
        <v>14.700000000000728</v>
      </c>
      <c r="D21" s="10">
        <f t="shared" si="6"/>
        <v>45.129000000002229</v>
      </c>
      <c r="E21" s="7">
        <f>'[7]May Prod'!E20</f>
        <v>11000000</v>
      </c>
      <c r="F21" s="8">
        <f t="shared" si="7"/>
        <v>11</v>
      </c>
      <c r="G21" s="10">
        <f t="shared" si="8"/>
        <v>33.769999999999996</v>
      </c>
      <c r="H21" s="7">
        <f>'[7]May Prod'!F20</f>
        <v>5000000</v>
      </c>
      <c r="I21" s="8">
        <f t="shared" si="9"/>
        <v>5</v>
      </c>
      <c r="J21" s="10">
        <f t="shared" si="10"/>
        <v>15.35</v>
      </c>
      <c r="K21" s="7">
        <f>'[7]May Prod'!H275</f>
        <v>456815</v>
      </c>
      <c r="L21" s="8">
        <f t="shared" si="11"/>
        <v>0.45681500000000003</v>
      </c>
      <c r="M21" s="10">
        <f t="shared" si="12"/>
        <v>1.40242205</v>
      </c>
      <c r="N21" s="28"/>
      <c r="O21" s="7">
        <f>'[7]May Prod'!H20</f>
        <v>104000</v>
      </c>
      <c r="P21" s="8">
        <f t="shared" si="13"/>
        <v>0.104</v>
      </c>
      <c r="Q21" s="10">
        <f t="shared" si="0"/>
        <v>0.31927999999999995</v>
      </c>
      <c r="R21" s="7">
        <f>'[7]May Prod'!C20</f>
        <v>97000</v>
      </c>
      <c r="S21" s="8">
        <f t="shared" si="14"/>
        <v>9.7000000000000003E-2</v>
      </c>
      <c r="T21" s="10">
        <f t="shared" si="1"/>
        <v>0.29779</v>
      </c>
      <c r="U21" s="7">
        <f>'[7]May Prod'!D20</f>
        <v>0</v>
      </c>
      <c r="V21" s="8">
        <f t="shared" si="15"/>
        <v>0</v>
      </c>
      <c r="W21" s="10">
        <f t="shared" si="2"/>
        <v>0</v>
      </c>
      <c r="X21" s="7">
        <f>'[7]May Prod'!D275</f>
        <v>-7000.0000000000064</v>
      </c>
      <c r="Y21" s="8">
        <f t="shared" si="16"/>
        <v>-7.0000000000000062E-3</v>
      </c>
      <c r="Z21" s="10">
        <f t="shared" si="3"/>
        <v>-2.149000000000002E-2</v>
      </c>
      <c r="AA21" s="22"/>
      <c r="AB21" s="7">
        <f>'[7]May Prod'!G20</f>
        <v>0</v>
      </c>
      <c r="AC21" s="8">
        <f t="shared" si="17"/>
        <v>0</v>
      </c>
      <c r="AD21" s="10">
        <f t="shared" si="4"/>
        <v>0</v>
      </c>
      <c r="AF21" s="7">
        <f t="shared" si="18"/>
        <v>14804000.000000728</v>
      </c>
      <c r="AG21" s="8">
        <f t="shared" si="18"/>
        <v>14.804000000000727</v>
      </c>
      <c r="AH21" s="8">
        <f t="shared" si="18"/>
        <v>45.448280000002228</v>
      </c>
    </row>
    <row r="22" spans="1:34" x14ac:dyDescent="0.15">
      <c r="A22" s="37">
        <v>38490</v>
      </c>
      <c r="B22" s="7">
        <f>'[7]May Prod'!I21</f>
        <v>16799999.999999274</v>
      </c>
      <c r="C22" s="8">
        <f t="shared" si="5"/>
        <v>16.799999999999272</v>
      </c>
      <c r="D22" s="10">
        <f t="shared" si="6"/>
        <v>51.575999999997762</v>
      </c>
      <c r="E22" s="7">
        <f>'[7]May Prod'!E21</f>
        <v>12000000</v>
      </c>
      <c r="F22" s="8">
        <f t="shared" si="7"/>
        <v>12</v>
      </c>
      <c r="G22" s="10">
        <f t="shared" si="8"/>
        <v>36.839999999999996</v>
      </c>
      <c r="H22" s="7">
        <f>'[7]May Prod'!F21</f>
        <v>5000000</v>
      </c>
      <c r="I22" s="8">
        <f t="shared" si="9"/>
        <v>5</v>
      </c>
      <c r="J22" s="10">
        <f t="shared" si="10"/>
        <v>15.35</v>
      </c>
      <c r="K22" s="7">
        <f>'[7]May Prod'!H276</f>
        <v>510786</v>
      </c>
      <c r="L22" s="8">
        <f t="shared" si="11"/>
        <v>0.51078599999999996</v>
      </c>
      <c r="M22" s="10">
        <f t="shared" si="12"/>
        <v>1.5681130199999997</v>
      </c>
      <c r="N22" s="28"/>
      <c r="O22" s="7">
        <f>'[7]May Prod'!H21</f>
        <v>44999.999999999985</v>
      </c>
      <c r="P22" s="8">
        <f t="shared" si="13"/>
        <v>4.4999999999999984E-2</v>
      </c>
      <c r="Q22" s="10">
        <f t="shared" si="0"/>
        <v>0.13814999999999994</v>
      </c>
      <c r="R22" s="7">
        <f>'[7]May Prod'!C21</f>
        <v>60000</v>
      </c>
      <c r="S22" s="8">
        <f t="shared" si="14"/>
        <v>0.06</v>
      </c>
      <c r="T22" s="10">
        <f t="shared" si="1"/>
        <v>0.18419999999999997</v>
      </c>
      <c r="U22" s="7">
        <f>'[7]May Prod'!D21</f>
        <v>0</v>
      </c>
      <c r="V22" s="8">
        <f t="shared" si="15"/>
        <v>0</v>
      </c>
      <c r="W22" s="10">
        <f t="shared" si="2"/>
        <v>0</v>
      </c>
      <c r="X22" s="7">
        <f>'[7]May Prod'!D276</f>
        <v>15000.000000000013</v>
      </c>
      <c r="Y22" s="8">
        <f t="shared" si="16"/>
        <v>1.5000000000000013E-2</v>
      </c>
      <c r="Z22" s="10">
        <f t="shared" si="3"/>
        <v>4.6050000000000035E-2</v>
      </c>
      <c r="AA22" s="22"/>
      <c r="AB22" s="7">
        <f>'[7]May Prod'!G21</f>
        <v>0</v>
      </c>
      <c r="AC22" s="8">
        <f t="shared" si="17"/>
        <v>0</v>
      </c>
      <c r="AD22" s="10">
        <f t="shared" si="4"/>
        <v>0</v>
      </c>
      <c r="AF22" s="7">
        <f t="shared" si="18"/>
        <v>16844999.999999274</v>
      </c>
      <c r="AG22" s="8">
        <f t="shared" si="18"/>
        <v>16.844999999999274</v>
      </c>
      <c r="AH22" s="8">
        <f t="shared" si="18"/>
        <v>51.714149999997765</v>
      </c>
    </row>
    <row r="23" spans="1:34" x14ac:dyDescent="0.15">
      <c r="A23" s="37">
        <v>38491</v>
      </c>
      <c r="B23" s="7">
        <f>'[7]May Prod'!I22</f>
        <v>13600000.000000363</v>
      </c>
      <c r="C23" s="8">
        <f t="shared" si="5"/>
        <v>13.600000000000364</v>
      </c>
      <c r="D23" s="10">
        <f t="shared" si="6"/>
        <v>41.752000000001118</v>
      </c>
      <c r="E23" s="7">
        <f>'[7]May Prod'!E22</f>
        <v>9000000</v>
      </c>
      <c r="F23" s="8">
        <f t="shared" si="7"/>
        <v>9</v>
      </c>
      <c r="G23" s="10">
        <f t="shared" si="8"/>
        <v>27.63</v>
      </c>
      <c r="H23" s="7">
        <f>'[7]May Prod'!F22</f>
        <v>5000000</v>
      </c>
      <c r="I23" s="8">
        <f t="shared" si="9"/>
        <v>5</v>
      </c>
      <c r="J23" s="10">
        <f t="shared" si="10"/>
        <v>15.35</v>
      </c>
      <c r="K23" s="7">
        <f>'[7]May Prod'!H277</f>
        <v>465469</v>
      </c>
      <c r="L23" s="8">
        <f t="shared" si="11"/>
        <v>0.46546900000000002</v>
      </c>
      <c r="M23" s="10">
        <f t="shared" si="12"/>
        <v>1.4289898299999999</v>
      </c>
      <c r="N23" s="28"/>
      <c r="O23" s="7">
        <f>'[7]May Prod'!H22</f>
        <v>636000</v>
      </c>
      <c r="P23" s="8">
        <f t="shared" si="13"/>
        <v>0.63600000000000001</v>
      </c>
      <c r="Q23" s="10">
        <f t="shared" si="0"/>
        <v>1.95252</v>
      </c>
      <c r="R23" s="7">
        <f>'[7]May Prod'!C22</f>
        <v>898000</v>
      </c>
      <c r="S23" s="8">
        <f t="shared" si="14"/>
        <v>0.89800000000000002</v>
      </c>
      <c r="T23" s="10">
        <f t="shared" si="1"/>
        <v>2.7568600000000001</v>
      </c>
      <c r="U23" s="7">
        <f>'[7]May Prod'!D22</f>
        <v>0</v>
      </c>
      <c r="V23" s="8">
        <f t="shared" si="15"/>
        <v>0</v>
      </c>
      <c r="W23" s="10">
        <f t="shared" si="2"/>
        <v>0</v>
      </c>
      <c r="X23" s="7">
        <f>'[7]May Prod'!D277</f>
        <v>261999.99999999994</v>
      </c>
      <c r="Y23" s="8">
        <f t="shared" si="16"/>
        <v>0.26199999999999996</v>
      </c>
      <c r="Z23" s="10">
        <f t="shared" si="3"/>
        <v>0.80433999999999983</v>
      </c>
      <c r="AA23" s="22"/>
      <c r="AB23" s="7">
        <f>'[7]May Prod'!G22</f>
        <v>0</v>
      </c>
      <c r="AC23" s="8">
        <f t="shared" si="17"/>
        <v>0</v>
      </c>
      <c r="AD23" s="10">
        <f t="shared" si="4"/>
        <v>0</v>
      </c>
      <c r="AF23" s="7">
        <f t="shared" si="18"/>
        <v>14236000.000000363</v>
      </c>
      <c r="AG23" s="8">
        <f t="shared" si="18"/>
        <v>14.236000000000363</v>
      </c>
      <c r="AH23" s="8">
        <f t="shared" si="18"/>
        <v>43.704520000001118</v>
      </c>
    </row>
    <row r="24" spans="1:34" x14ac:dyDescent="0.15">
      <c r="A24" s="37">
        <v>38492</v>
      </c>
      <c r="B24" s="7">
        <f>'[7]May Prod'!I23</f>
        <v>14399999.999999637</v>
      </c>
      <c r="C24" s="8">
        <f t="shared" si="5"/>
        <v>14.399999999999636</v>
      </c>
      <c r="D24" s="10">
        <f t="shared" si="6"/>
        <v>44.207999999998883</v>
      </c>
      <c r="E24" s="7">
        <f>'[7]May Prod'!E23</f>
        <v>10000000</v>
      </c>
      <c r="F24" s="8">
        <f t="shared" si="7"/>
        <v>10</v>
      </c>
      <c r="G24" s="10">
        <f t="shared" si="8"/>
        <v>30.7</v>
      </c>
      <c r="H24" s="7">
        <f>'[7]May Prod'!F23</f>
        <v>5000000</v>
      </c>
      <c r="I24" s="8">
        <f t="shared" si="9"/>
        <v>5</v>
      </c>
      <c r="J24" s="10">
        <f t="shared" si="10"/>
        <v>15.35</v>
      </c>
      <c r="K24" s="7">
        <f>'[7]May Prod'!H278</f>
        <v>498829</v>
      </c>
      <c r="L24" s="8">
        <f t="shared" si="11"/>
        <v>0.49882900000000002</v>
      </c>
      <c r="M24" s="10">
        <f t="shared" si="12"/>
        <v>1.5314050299999999</v>
      </c>
      <c r="N24" s="28"/>
      <c r="O24" s="7">
        <f>'[7]May Prod'!H23</f>
        <v>1379000</v>
      </c>
      <c r="P24" s="8">
        <f t="shared" si="13"/>
        <v>1.379</v>
      </c>
      <c r="Q24" s="10">
        <f t="shared" si="0"/>
        <v>4.23353</v>
      </c>
      <c r="R24" s="7">
        <f>'[7]May Prod'!C23</f>
        <v>1483000</v>
      </c>
      <c r="S24" s="8">
        <f t="shared" si="14"/>
        <v>1.4830000000000001</v>
      </c>
      <c r="T24" s="10">
        <f t="shared" si="1"/>
        <v>4.55281</v>
      </c>
      <c r="U24" s="7">
        <f>'[7]May Prod'!D23</f>
        <v>0</v>
      </c>
      <c r="V24" s="8">
        <f t="shared" si="15"/>
        <v>0</v>
      </c>
      <c r="W24" s="10">
        <f t="shared" si="2"/>
        <v>0</v>
      </c>
      <c r="X24" s="7">
        <f>'[7]May Prod'!D278</f>
        <v>104000.00000000009</v>
      </c>
      <c r="Y24" s="8">
        <f t="shared" si="16"/>
        <v>0.10400000000000009</v>
      </c>
      <c r="Z24" s="10">
        <f t="shared" si="3"/>
        <v>0.31928000000000029</v>
      </c>
      <c r="AA24" s="22"/>
      <c r="AB24" s="7">
        <f>'[7]May Prod'!G23</f>
        <v>0</v>
      </c>
      <c r="AC24" s="8">
        <f t="shared" si="17"/>
        <v>0</v>
      </c>
      <c r="AD24" s="10">
        <f t="shared" si="4"/>
        <v>0</v>
      </c>
      <c r="AF24" s="7">
        <f t="shared" si="18"/>
        <v>15778999.999999637</v>
      </c>
      <c r="AG24" s="8">
        <f t="shared" si="18"/>
        <v>15.778999999999636</v>
      </c>
      <c r="AH24" s="8">
        <f t="shared" si="18"/>
        <v>48.441529999998885</v>
      </c>
    </row>
    <row r="25" spans="1:34" x14ac:dyDescent="0.15">
      <c r="A25" s="37">
        <v>38493</v>
      </c>
      <c r="B25" s="7">
        <f>'[7]May Prod'!I24</f>
        <v>14300000.000000183</v>
      </c>
      <c r="C25" s="8">
        <f t="shared" si="5"/>
        <v>14.300000000000182</v>
      </c>
      <c r="D25" s="10">
        <f t="shared" si="6"/>
        <v>43.901000000000558</v>
      </c>
      <c r="E25" s="7">
        <f>'[7]May Prod'!E24</f>
        <v>12000000</v>
      </c>
      <c r="F25" s="8">
        <f t="shared" si="7"/>
        <v>12</v>
      </c>
      <c r="G25" s="10">
        <f t="shared" si="8"/>
        <v>36.839999999999996</v>
      </c>
      <c r="H25" s="7">
        <f>'[7]May Prod'!F24</f>
        <v>3000000</v>
      </c>
      <c r="I25" s="8">
        <f t="shared" si="9"/>
        <v>3</v>
      </c>
      <c r="J25" s="10">
        <f t="shared" si="10"/>
        <v>9.2099999999999991</v>
      </c>
      <c r="K25" s="7">
        <f>'[7]May Prod'!H279</f>
        <v>390805</v>
      </c>
      <c r="L25" s="8">
        <f t="shared" si="11"/>
        <v>0.39080500000000001</v>
      </c>
      <c r="M25" s="10">
        <f t="shared" si="12"/>
        <v>1.19977135</v>
      </c>
      <c r="N25" s="28"/>
      <c r="O25" s="7">
        <f>'[7]May Prod'!H24</f>
        <v>2515000</v>
      </c>
      <c r="P25" s="8">
        <f t="shared" si="13"/>
        <v>2.5150000000000001</v>
      </c>
      <c r="Q25" s="10">
        <f t="shared" si="0"/>
        <v>7.72105</v>
      </c>
      <c r="R25" s="7">
        <f>'[7]May Prod'!C24</f>
        <v>2564000</v>
      </c>
      <c r="S25" s="8">
        <f t="shared" si="14"/>
        <v>2.5640000000000001</v>
      </c>
      <c r="T25" s="10">
        <f t="shared" si="1"/>
        <v>7.87148</v>
      </c>
      <c r="U25" s="7">
        <f>'[7]May Prod'!D24</f>
        <v>0</v>
      </c>
      <c r="V25" s="8">
        <f t="shared" si="15"/>
        <v>0</v>
      </c>
      <c r="W25" s="10">
        <f t="shared" si="2"/>
        <v>0</v>
      </c>
      <c r="X25" s="7">
        <f>'[7]May Prod'!D279</f>
        <v>48999.999999999935</v>
      </c>
      <c r="Y25" s="8">
        <f t="shared" si="16"/>
        <v>4.8999999999999932E-2</v>
      </c>
      <c r="Z25" s="10">
        <f t="shared" si="3"/>
        <v>0.15042999999999979</v>
      </c>
      <c r="AA25" s="22"/>
      <c r="AB25" s="7">
        <f>'[7]May Prod'!G24</f>
        <v>0</v>
      </c>
      <c r="AC25" s="8">
        <f t="shared" si="17"/>
        <v>0</v>
      </c>
      <c r="AD25" s="10">
        <f t="shared" si="4"/>
        <v>0</v>
      </c>
      <c r="AF25" s="7">
        <f t="shared" si="18"/>
        <v>16815000.000000183</v>
      </c>
      <c r="AG25" s="8">
        <f t="shared" si="18"/>
        <v>16.815000000000182</v>
      </c>
      <c r="AH25" s="8">
        <f t="shared" si="18"/>
        <v>51.622050000000556</v>
      </c>
    </row>
    <row r="26" spans="1:34" x14ac:dyDescent="0.15">
      <c r="A26" s="37">
        <v>38494</v>
      </c>
      <c r="B26" s="7">
        <f>'[7]May Prod'!I25</f>
        <v>15000000</v>
      </c>
      <c r="C26" s="8">
        <f t="shared" si="5"/>
        <v>15</v>
      </c>
      <c r="D26" s="10">
        <f t="shared" si="6"/>
        <v>46.05</v>
      </c>
      <c r="E26" s="7">
        <f>'[7]May Prod'!E25</f>
        <v>15000000</v>
      </c>
      <c r="F26" s="8">
        <f t="shared" si="7"/>
        <v>15</v>
      </c>
      <c r="G26" s="10">
        <f t="shared" si="8"/>
        <v>46.05</v>
      </c>
      <c r="H26" s="7">
        <f>'[7]May Prod'!F25</f>
        <v>0</v>
      </c>
      <c r="I26" s="8">
        <f t="shared" si="9"/>
        <v>0</v>
      </c>
      <c r="J26" s="10">
        <f t="shared" si="10"/>
        <v>0</v>
      </c>
      <c r="K26" s="7">
        <f>'[7]May Prod'!H280</f>
        <v>482376</v>
      </c>
      <c r="L26" s="8">
        <f t="shared" si="11"/>
        <v>0.48237600000000003</v>
      </c>
      <c r="M26" s="10">
        <f t="shared" si="12"/>
        <v>1.48089432</v>
      </c>
      <c r="N26" s="28"/>
      <c r="O26" s="7">
        <f>'[7]May Prod'!H25</f>
        <v>4671000</v>
      </c>
      <c r="P26" s="8">
        <f t="shared" si="13"/>
        <v>4.6710000000000003</v>
      </c>
      <c r="Q26" s="10">
        <f t="shared" si="0"/>
        <v>14.339969999999999</v>
      </c>
      <c r="R26" s="7">
        <f>'[7]May Prod'!C25</f>
        <v>5049000</v>
      </c>
      <c r="S26" s="8">
        <f t="shared" si="14"/>
        <v>5.0490000000000004</v>
      </c>
      <c r="T26" s="10">
        <f t="shared" si="1"/>
        <v>15.50043</v>
      </c>
      <c r="U26" s="7">
        <f>'[7]May Prod'!D25</f>
        <v>0</v>
      </c>
      <c r="V26" s="8">
        <f t="shared" si="15"/>
        <v>0</v>
      </c>
      <c r="W26" s="10">
        <f t="shared" si="2"/>
        <v>0</v>
      </c>
      <c r="X26" s="7">
        <f>'[7]May Prod'!D280</f>
        <v>378000</v>
      </c>
      <c r="Y26" s="8">
        <f t="shared" si="16"/>
        <v>0.378</v>
      </c>
      <c r="Z26" s="10">
        <f t="shared" si="3"/>
        <v>1.16046</v>
      </c>
      <c r="AA26" s="22"/>
      <c r="AB26" s="7">
        <f>'[7]May Prod'!G25</f>
        <v>0</v>
      </c>
      <c r="AC26" s="8">
        <f t="shared" si="17"/>
        <v>0</v>
      </c>
      <c r="AD26" s="10">
        <f t="shared" si="4"/>
        <v>0</v>
      </c>
      <c r="AF26" s="7">
        <f t="shared" si="18"/>
        <v>19671000</v>
      </c>
      <c r="AG26" s="8">
        <f t="shared" si="18"/>
        <v>19.670999999999999</v>
      </c>
      <c r="AH26" s="8">
        <f t="shared" si="18"/>
        <v>60.389969999999998</v>
      </c>
    </row>
    <row r="27" spans="1:34" x14ac:dyDescent="0.15">
      <c r="A27" s="37">
        <v>38495</v>
      </c>
      <c r="B27" s="7">
        <f>'[7]May Prod'!I26</f>
        <v>15000000</v>
      </c>
      <c r="C27" s="8">
        <f t="shared" si="5"/>
        <v>15</v>
      </c>
      <c r="D27" s="10">
        <f t="shared" si="6"/>
        <v>46.05</v>
      </c>
      <c r="E27" s="7">
        <f>'[7]May Prod'!E26</f>
        <v>16000000</v>
      </c>
      <c r="F27" s="8">
        <f t="shared" si="7"/>
        <v>16</v>
      </c>
      <c r="G27" s="10">
        <f t="shared" si="8"/>
        <v>49.12</v>
      </c>
      <c r="H27" s="7">
        <f>'[7]May Prod'!F26</f>
        <v>0</v>
      </c>
      <c r="I27" s="8">
        <f t="shared" si="9"/>
        <v>0</v>
      </c>
      <c r="J27" s="10">
        <f t="shared" si="10"/>
        <v>0</v>
      </c>
      <c r="K27" s="7">
        <f>'[7]May Prod'!H281</f>
        <v>454213</v>
      </c>
      <c r="L27" s="8">
        <f t="shared" si="11"/>
        <v>0.45421299999999998</v>
      </c>
      <c r="M27" s="10">
        <f t="shared" si="12"/>
        <v>1.3944339099999998</v>
      </c>
      <c r="N27" s="28"/>
      <c r="O27" s="7">
        <f>'[7]May Prod'!H26</f>
        <v>4730000</v>
      </c>
      <c r="P27" s="8">
        <f t="shared" si="13"/>
        <v>4.7300000000000004</v>
      </c>
      <c r="Q27" s="10">
        <f t="shared" si="0"/>
        <v>14.521100000000001</v>
      </c>
      <c r="R27" s="7">
        <f>'[7]May Prod'!C26</f>
        <v>5015000</v>
      </c>
      <c r="S27" s="8">
        <f t="shared" si="14"/>
        <v>5.0149999999999997</v>
      </c>
      <c r="T27" s="10">
        <f t="shared" si="1"/>
        <v>15.396049999999999</v>
      </c>
      <c r="U27" s="7">
        <f>'[7]May Prod'!D26</f>
        <v>0</v>
      </c>
      <c r="V27" s="8">
        <f t="shared" si="15"/>
        <v>0</v>
      </c>
      <c r="W27" s="10">
        <f t="shared" si="2"/>
        <v>0</v>
      </c>
      <c r="X27" s="7">
        <f>'[7]May Prod'!D281</f>
        <v>284999.99999999994</v>
      </c>
      <c r="Y27" s="8">
        <f t="shared" si="16"/>
        <v>0.28499999999999992</v>
      </c>
      <c r="Z27" s="10">
        <f t="shared" si="3"/>
        <v>0.87494999999999967</v>
      </c>
      <c r="AA27" s="22"/>
      <c r="AB27" s="7">
        <f>'[7]May Prod'!G26</f>
        <v>0</v>
      </c>
      <c r="AC27" s="8">
        <f t="shared" si="17"/>
        <v>0</v>
      </c>
      <c r="AD27" s="10">
        <f t="shared" si="4"/>
        <v>0</v>
      </c>
      <c r="AF27" s="7">
        <f t="shared" si="18"/>
        <v>19730000</v>
      </c>
      <c r="AG27" s="8">
        <f t="shared" si="18"/>
        <v>19.73</v>
      </c>
      <c r="AH27" s="8">
        <f t="shared" si="18"/>
        <v>60.571100000000001</v>
      </c>
    </row>
    <row r="28" spans="1:34" x14ac:dyDescent="0.15">
      <c r="A28" s="37">
        <v>38496</v>
      </c>
      <c r="B28" s="7">
        <f>'[7]May Prod'!I27</f>
        <v>15000000</v>
      </c>
      <c r="C28" s="8">
        <f t="shared" si="5"/>
        <v>15</v>
      </c>
      <c r="D28" s="10">
        <f t="shared" si="6"/>
        <v>46.05</v>
      </c>
      <c r="E28" s="7">
        <f>'[7]May Prod'!E27</f>
        <v>16000000</v>
      </c>
      <c r="F28" s="8">
        <f t="shared" si="7"/>
        <v>16</v>
      </c>
      <c r="G28" s="10">
        <f t="shared" si="8"/>
        <v>49.12</v>
      </c>
      <c r="H28" s="7">
        <f>'[7]May Prod'!F27</f>
        <v>0</v>
      </c>
      <c r="I28" s="8">
        <f t="shared" si="9"/>
        <v>0</v>
      </c>
      <c r="J28" s="10">
        <f t="shared" si="10"/>
        <v>0</v>
      </c>
      <c r="K28" s="7">
        <f>'[7]May Prod'!H282</f>
        <v>414440</v>
      </c>
      <c r="L28" s="8">
        <f t="shared" si="11"/>
        <v>0.41443999999999998</v>
      </c>
      <c r="M28" s="10">
        <f t="shared" si="12"/>
        <v>1.2723307999999998</v>
      </c>
      <c r="N28" s="28"/>
      <c r="O28" s="7">
        <f>'[7]May Prod'!H27</f>
        <v>4668000</v>
      </c>
      <c r="P28" s="8">
        <f t="shared" si="13"/>
        <v>4.6680000000000001</v>
      </c>
      <c r="Q28" s="10">
        <f t="shared" si="0"/>
        <v>14.33076</v>
      </c>
      <c r="R28" s="7">
        <f>'[7]May Prod'!C27</f>
        <v>4953000</v>
      </c>
      <c r="S28" s="8">
        <f t="shared" si="14"/>
        <v>4.9530000000000003</v>
      </c>
      <c r="T28" s="10">
        <f t="shared" si="1"/>
        <v>15.20571</v>
      </c>
      <c r="U28" s="7">
        <f>'[7]May Prod'!D27</f>
        <v>0</v>
      </c>
      <c r="V28" s="8">
        <f t="shared" si="15"/>
        <v>0</v>
      </c>
      <c r="W28" s="10">
        <f t="shared" si="2"/>
        <v>0</v>
      </c>
      <c r="X28" s="7">
        <f>'[7]May Prod'!D282</f>
        <v>285000.00000000012</v>
      </c>
      <c r="Y28" s="8">
        <f t="shared" si="16"/>
        <v>0.28500000000000014</v>
      </c>
      <c r="Z28" s="10">
        <f t="shared" si="3"/>
        <v>0.87495000000000034</v>
      </c>
      <c r="AA28" s="22"/>
      <c r="AB28" s="7">
        <f>'[7]May Prod'!G27</f>
        <v>0</v>
      </c>
      <c r="AC28" s="8">
        <f t="shared" si="17"/>
        <v>0</v>
      </c>
      <c r="AD28" s="10">
        <f t="shared" si="4"/>
        <v>0</v>
      </c>
      <c r="AF28" s="7">
        <f t="shared" si="18"/>
        <v>19668000</v>
      </c>
      <c r="AG28" s="8">
        <f t="shared" si="18"/>
        <v>19.667999999999999</v>
      </c>
      <c r="AH28" s="8">
        <f t="shared" si="18"/>
        <v>60.380759999999995</v>
      </c>
    </row>
    <row r="29" spans="1:34" x14ac:dyDescent="0.15">
      <c r="A29" s="37">
        <v>38497</v>
      </c>
      <c r="B29" s="7">
        <f>'[7]May Prod'!I28</f>
        <v>14900000.000000546</v>
      </c>
      <c r="C29" s="8">
        <f t="shared" si="5"/>
        <v>14.900000000000546</v>
      </c>
      <c r="D29" s="10">
        <f t="shared" si="6"/>
        <v>45.743000000001672</v>
      </c>
      <c r="E29" s="7">
        <f>'[7]May Prod'!E28</f>
        <v>14000000</v>
      </c>
      <c r="F29" s="8">
        <f t="shared" si="7"/>
        <v>14</v>
      </c>
      <c r="G29" s="10">
        <f t="shared" si="8"/>
        <v>42.98</v>
      </c>
      <c r="H29" s="7">
        <f>'[7]May Prod'!F28</f>
        <v>0</v>
      </c>
      <c r="I29" s="8">
        <f t="shared" si="9"/>
        <v>0</v>
      </c>
      <c r="J29" s="10">
        <f t="shared" si="10"/>
        <v>0</v>
      </c>
      <c r="K29" s="7">
        <f>'[7]May Prod'!H283</f>
        <v>316982</v>
      </c>
      <c r="L29" s="8">
        <f t="shared" si="11"/>
        <v>0.31698199999999999</v>
      </c>
      <c r="M29" s="10">
        <f t="shared" si="12"/>
        <v>0.97313473999999989</v>
      </c>
      <c r="N29" s="28"/>
      <c r="O29" s="7">
        <f>'[7]May Prod'!H28</f>
        <v>4696000</v>
      </c>
      <c r="P29" s="8">
        <f t="shared" si="13"/>
        <v>4.6959999999999997</v>
      </c>
      <c r="Q29" s="10">
        <f t="shared" si="0"/>
        <v>14.416719999999998</v>
      </c>
      <c r="R29" s="7">
        <f>'[7]May Prod'!C28</f>
        <v>5008000</v>
      </c>
      <c r="S29" s="8">
        <f t="shared" si="14"/>
        <v>5.008</v>
      </c>
      <c r="T29" s="10">
        <f t="shared" si="1"/>
        <v>15.374559999999999</v>
      </c>
      <c r="U29" s="7">
        <f>'[7]May Prod'!D28</f>
        <v>0</v>
      </c>
      <c r="V29" s="8">
        <f t="shared" si="15"/>
        <v>0</v>
      </c>
      <c r="W29" s="10">
        <f t="shared" si="2"/>
        <v>0</v>
      </c>
      <c r="X29" s="7">
        <f>'[7]May Prod'!D283</f>
        <v>312000.00000000006</v>
      </c>
      <c r="Y29" s="8">
        <f t="shared" si="16"/>
        <v>0.31200000000000006</v>
      </c>
      <c r="Z29" s="10">
        <f t="shared" si="3"/>
        <v>0.95784000000000014</v>
      </c>
      <c r="AA29" s="22"/>
      <c r="AB29" s="7">
        <f>'[7]May Prod'!G28</f>
        <v>0</v>
      </c>
      <c r="AC29" s="8">
        <f t="shared" si="17"/>
        <v>0</v>
      </c>
      <c r="AD29" s="10">
        <f t="shared" si="4"/>
        <v>0</v>
      </c>
      <c r="AF29" s="7">
        <f t="shared" si="18"/>
        <v>19596000.000000544</v>
      </c>
      <c r="AG29" s="8">
        <f t="shared" si="18"/>
        <v>19.596000000000544</v>
      </c>
      <c r="AH29" s="8">
        <f t="shared" si="18"/>
        <v>60.15972000000167</v>
      </c>
    </row>
    <row r="30" spans="1:34" x14ac:dyDescent="0.15">
      <c r="A30" s="37">
        <v>38498</v>
      </c>
      <c r="B30" s="7">
        <f>'[7]May Prod'!I29</f>
        <v>16500000</v>
      </c>
      <c r="C30" s="8">
        <f t="shared" si="5"/>
        <v>16.5</v>
      </c>
      <c r="D30" s="10">
        <f t="shared" si="6"/>
        <v>50.654999999999994</v>
      </c>
      <c r="E30" s="7">
        <f>'[7]May Prod'!E29</f>
        <v>18000000</v>
      </c>
      <c r="F30" s="8">
        <f t="shared" si="7"/>
        <v>18</v>
      </c>
      <c r="G30" s="10">
        <f t="shared" si="8"/>
        <v>55.26</v>
      </c>
      <c r="H30" s="7">
        <f>'[7]May Prod'!F29</f>
        <v>0</v>
      </c>
      <c r="I30" s="8">
        <f t="shared" si="9"/>
        <v>0</v>
      </c>
      <c r="J30" s="10">
        <f t="shared" si="10"/>
        <v>0</v>
      </c>
      <c r="K30" s="7">
        <f>'[7]May Prod'!H284</f>
        <v>406680</v>
      </c>
      <c r="L30" s="8">
        <f t="shared" si="11"/>
        <v>0.40667999999999999</v>
      </c>
      <c r="M30" s="10">
        <f t="shared" si="12"/>
        <v>1.2485075999999999</v>
      </c>
      <c r="N30" s="28"/>
      <c r="O30" s="7">
        <f>'[7]May Prod'!H29</f>
        <v>4636000</v>
      </c>
      <c r="P30" s="8">
        <f t="shared" si="13"/>
        <v>4.6360000000000001</v>
      </c>
      <c r="Q30" s="10">
        <f t="shared" si="0"/>
        <v>14.232519999999999</v>
      </c>
      <c r="R30" s="7">
        <f>'[7]May Prod'!C29</f>
        <v>5017000</v>
      </c>
      <c r="S30" s="8">
        <f t="shared" si="14"/>
        <v>5.0170000000000003</v>
      </c>
      <c r="T30" s="10">
        <f t="shared" si="1"/>
        <v>15.402190000000001</v>
      </c>
      <c r="U30" s="7">
        <f>'[7]May Prod'!D29</f>
        <v>0</v>
      </c>
      <c r="V30" s="8">
        <f t="shared" si="15"/>
        <v>0</v>
      </c>
      <c r="W30" s="10">
        <f t="shared" si="2"/>
        <v>0</v>
      </c>
      <c r="X30" s="7">
        <f>'[7]May Prod'!D284</f>
        <v>380999.99999999977</v>
      </c>
      <c r="Y30" s="8">
        <f t="shared" si="16"/>
        <v>0.38099999999999978</v>
      </c>
      <c r="Z30" s="10">
        <f t="shared" si="3"/>
        <v>1.1696699999999993</v>
      </c>
      <c r="AA30" s="22"/>
      <c r="AB30" s="7">
        <f>'[7]May Prod'!G29</f>
        <v>0</v>
      </c>
      <c r="AC30" s="8">
        <f t="shared" si="17"/>
        <v>0</v>
      </c>
      <c r="AD30" s="10">
        <f t="shared" si="4"/>
        <v>0</v>
      </c>
      <c r="AF30" s="7">
        <f t="shared" si="18"/>
        <v>21136000</v>
      </c>
      <c r="AG30" s="8">
        <f t="shared" si="18"/>
        <v>21.135999999999999</v>
      </c>
      <c r="AH30" s="8">
        <f t="shared" si="18"/>
        <v>64.887519999999995</v>
      </c>
    </row>
    <row r="31" spans="1:34" x14ac:dyDescent="0.15">
      <c r="A31" s="37">
        <v>38499</v>
      </c>
      <c r="B31" s="7">
        <f>'[7]May Prod'!I30</f>
        <v>15299999.999999272</v>
      </c>
      <c r="C31" s="8">
        <f t="shared" si="5"/>
        <v>15.299999999999272</v>
      </c>
      <c r="D31" s="10">
        <f t="shared" si="6"/>
        <v>46.970999999997765</v>
      </c>
      <c r="E31" s="7">
        <f>'[7]May Prod'!E30</f>
        <v>15000000</v>
      </c>
      <c r="F31" s="8">
        <f t="shared" si="7"/>
        <v>15</v>
      </c>
      <c r="G31" s="10">
        <f t="shared" si="8"/>
        <v>46.05</v>
      </c>
      <c r="H31" s="7">
        <f>'[7]May Prod'!F30</f>
        <v>0</v>
      </c>
      <c r="I31" s="8">
        <f t="shared" si="9"/>
        <v>0</v>
      </c>
      <c r="J31" s="10">
        <f t="shared" si="10"/>
        <v>0</v>
      </c>
      <c r="K31" s="7">
        <f>'[7]May Prod'!H285</f>
        <v>406298</v>
      </c>
      <c r="L31" s="8">
        <f t="shared" si="11"/>
        <v>0.40629799999999999</v>
      </c>
      <c r="M31" s="10">
        <f t="shared" si="12"/>
        <v>1.2473348599999998</v>
      </c>
      <c r="N31" s="28"/>
      <c r="O31" s="7">
        <f>'[7]May Prod'!H30</f>
        <v>5865000</v>
      </c>
      <c r="P31" s="8">
        <f t="shared" si="13"/>
        <v>5.8650000000000002</v>
      </c>
      <c r="Q31" s="10">
        <f t="shared" si="0"/>
        <v>18.005549999999999</v>
      </c>
      <c r="R31" s="7">
        <f>'[7]May Prod'!C30</f>
        <v>6334000</v>
      </c>
      <c r="S31" s="8">
        <f t="shared" si="14"/>
        <v>6.3339999999999996</v>
      </c>
      <c r="T31" s="10">
        <f t="shared" si="1"/>
        <v>19.445379999999997</v>
      </c>
      <c r="U31" s="7">
        <f>'[7]May Prod'!D30</f>
        <v>0</v>
      </c>
      <c r="V31" s="8">
        <f t="shared" si="15"/>
        <v>0</v>
      </c>
      <c r="W31" s="10">
        <f t="shared" si="2"/>
        <v>0</v>
      </c>
      <c r="X31" s="7">
        <f>'[7]May Prod'!D285</f>
        <v>469000.00000000029</v>
      </c>
      <c r="Y31" s="8">
        <f t="shared" si="16"/>
        <v>0.46900000000000031</v>
      </c>
      <c r="Z31" s="10">
        <f t="shared" si="3"/>
        <v>1.4398300000000008</v>
      </c>
      <c r="AA31" s="22"/>
      <c r="AB31" s="7">
        <f>'[7]May Prod'!G30</f>
        <v>0</v>
      </c>
      <c r="AC31" s="8">
        <f t="shared" si="17"/>
        <v>0</v>
      </c>
      <c r="AD31" s="10">
        <f t="shared" si="4"/>
        <v>0</v>
      </c>
      <c r="AF31" s="7">
        <f t="shared" si="18"/>
        <v>21164999.99999927</v>
      </c>
      <c r="AG31" s="8">
        <f t="shared" si="18"/>
        <v>21.164999999999274</v>
      </c>
      <c r="AH31" s="8">
        <f t="shared" si="18"/>
        <v>64.976549999997758</v>
      </c>
    </row>
    <row r="32" spans="1:34" x14ac:dyDescent="0.15">
      <c r="A32" s="37">
        <v>38500</v>
      </c>
      <c r="B32" s="7">
        <f>'[7]May Prod'!I31</f>
        <v>18300000.000000183</v>
      </c>
      <c r="C32" s="8">
        <f t="shared" si="5"/>
        <v>18.300000000000182</v>
      </c>
      <c r="D32" s="10">
        <f t="shared" si="6"/>
        <v>56.181000000000559</v>
      </c>
      <c r="E32" s="7">
        <f>'[7]May Prod'!E31</f>
        <v>19000000</v>
      </c>
      <c r="F32" s="8">
        <f t="shared" si="7"/>
        <v>19</v>
      </c>
      <c r="G32" s="10">
        <f t="shared" si="8"/>
        <v>58.33</v>
      </c>
      <c r="H32" s="7">
        <f>'[7]May Prod'!F31</f>
        <v>0</v>
      </c>
      <c r="I32" s="8">
        <f t="shared" si="9"/>
        <v>0</v>
      </c>
      <c r="J32" s="10">
        <f t="shared" si="10"/>
        <v>0</v>
      </c>
      <c r="K32" s="7">
        <f>'[7]May Prod'!H286</f>
        <v>404354</v>
      </c>
      <c r="L32" s="8">
        <f t="shared" si="11"/>
        <v>0.40435399999999999</v>
      </c>
      <c r="M32" s="10">
        <f t="shared" si="12"/>
        <v>1.2413667799999999</v>
      </c>
      <c r="N32" s="28"/>
      <c r="O32" s="7">
        <f>'[7]May Prod'!H31</f>
        <v>8607000</v>
      </c>
      <c r="P32" s="8">
        <f t="shared" si="13"/>
        <v>8.6069999999999993</v>
      </c>
      <c r="Q32" s="10">
        <f t="shared" si="0"/>
        <v>26.423489999999997</v>
      </c>
      <c r="R32" s="7">
        <f>'[7]May Prod'!C31</f>
        <v>8881000</v>
      </c>
      <c r="S32" s="8">
        <f t="shared" si="14"/>
        <v>8.8810000000000002</v>
      </c>
      <c r="T32" s="10">
        <f t="shared" si="1"/>
        <v>27.264669999999999</v>
      </c>
      <c r="U32" s="7">
        <f>'[7]May Prod'!D31</f>
        <v>0</v>
      </c>
      <c r="V32" s="8">
        <f t="shared" si="15"/>
        <v>0</v>
      </c>
      <c r="W32" s="10">
        <f t="shared" si="2"/>
        <v>0</v>
      </c>
      <c r="X32" s="7">
        <f>'[7]May Prod'!D286</f>
        <v>274000</v>
      </c>
      <c r="Y32" s="8">
        <f t="shared" si="16"/>
        <v>0.27400000000000002</v>
      </c>
      <c r="Z32" s="10">
        <f t="shared" si="3"/>
        <v>0.84118000000000004</v>
      </c>
      <c r="AA32" s="22"/>
      <c r="AB32" s="7">
        <f>'[7]May Prod'!G31</f>
        <v>0</v>
      </c>
      <c r="AC32" s="8">
        <f t="shared" si="17"/>
        <v>0</v>
      </c>
      <c r="AD32" s="10">
        <f t="shared" si="4"/>
        <v>0</v>
      </c>
      <c r="AF32" s="7">
        <f t="shared" si="18"/>
        <v>26907000.000000183</v>
      </c>
      <c r="AG32" s="8">
        <f t="shared" si="18"/>
        <v>26.907000000000181</v>
      </c>
      <c r="AH32" s="8">
        <f t="shared" si="18"/>
        <v>82.604490000000553</v>
      </c>
    </row>
    <row r="33" spans="1:34" x14ac:dyDescent="0.15">
      <c r="A33" s="37">
        <v>38501</v>
      </c>
      <c r="B33" s="7">
        <f>'[7]May Prod'!I32</f>
        <v>17300000.000000183</v>
      </c>
      <c r="C33" s="8">
        <f t="shared" si="5"/>
        <v>17.300000000000182</v>
      </c>
      <c r="D33" s="10">
        <f t="shared" si="6"/>
        <v>53.111000000000558</v>
      </c>
      <c r="E33" s="7">
        <f>'[7]May Prod'!E32</f>
        <v>18000000</v>
      </c>
      <c r="F33" s="8">
        <f t="shared" si="7"/>
        <v>18</v>
      </c>
      <c r="G33" s="10">
        <f t="shared" si="8"/>
        <v>55.26</v>
      </c>
      <c r="H33" s="7">
        <f>'[7]May Prod'!F32</f>
        <v>0</v>
      </c>
      <c r="I33" s="8">
        <f t="shared" si="9"/>
        <v>0</v>
      </c>
      <c r="J33" s="10">
        <f t="shared" si="10"/>
        <v>0</v>
      </c>
      <c r="K33" s="7">
        <f>'[7]May Prod'!H287</f>
        <v>489187</v>
      </c>
      <c r="L33" s="8">
        <f t="shared" si="11"/>
        <v>0.48918699999999998</v>
      </c>
      <c r="M33" s="10">
        <f t="shared" si="12"/>
        <v>1.5018040899999998</v>
      </c>
      <c r="N33" s="28"/>
      <c r="O33" s="7">
        <f>'[7]May Prod'!H32</f>
        <v>7281000</v>
      </c>
      <c r="P33" s="8">
        <f t="shared" si="13"/>
        <v>7.2809999999999997</v>
      </c>
      <c r="Q33" s="10">
        <f t="shared" si="0"/>
        <v>22.352669999999996</v>
      </c>
      <c r="R33" s="7">
        <f>'[7]May Prod'!C32</f>
        <v>7655000</v>
      </c>
      <c r="S33" s="8">
        <f t="shared" si="14"/>
        <v>7.6550000000000002</v>
      </c>
      <c r="T33" s="10">
        <f t="shared" si="1"/>
        <v>23.50085</v>
      </c>
      <c r="U33" s="7">
        <f>'[7]May Prod'!D32</f>
        <v>0</v>
      </c>
      <c r="V33" s="8">
        <f t="shared" si="15"/>
        <v>0</v>
      </c>
      <c r="W33" s="10">
        <f t="shared" si="2"/>
        <v>0</v>
      </c>
      <c r="X33" s="7">
        <f>'[7]May Prod'!D287</f>
        <v>373999.99999999965</v>
      </c>
      <c r="Y33" s="8">
        <f t="shared" si="16"/>
        <v>0.37399999999999967</v>
      </c>
      <c r="Z33" s="10">
        <f t="shared" si="3"/>
        <v>1.1481799999999989</v>
      </c>
      <c r="AA33" s="22"/>
      <c r="AB33" s="7">
        <f>'[7]May Prod'!G32</f>
        <v>0</v>
      </c>
      <c r="AC33" s="8">
        <f t="shared" si="17"/>
        <v>0</v>
      </c>
      <c r="AD33" s="10">
        <f t="shared" si="4"/>
        <v>0</v>
      </c>
      <c r="AF33" s="7">
        <f t="shared" si="18"/>
        <v>24581000.000000183</v>
      </c>
      <c r="AG33" s="8">
        <f t="shared" si="18"/>
        <v>24.581000000000181</v>
      </c>
      <c r="AH33" s="8">
        <f t="shared" si="18"/>
        <v>75.463670000000548</v>
      </c>
    </row>
    <row r="34" spans="1:34" x14ac:dyDescent="0.15">
      <c r="A34" s="37">
        <v>38502</v>
      </c>
      <c r="B34" s="7">
        <f>'[7]May Prod'!I33</f>
        <v>14699999.999999817</v>
      </c>
      <c r="C34" s="8">
        <f t="shared" si="5"/>
        <v>14.699999999999818</v>
      </c>
      <c r="D34" s="10">
        <f t="shared" si="6"/>
        <v>45.128999999999436</v>
      </c>
      <c r="E34" s="7">
        <f>'[7]May Prod'!E33</f>
        <v>15000000</v>
      </c>
      <c r="F34" s="8">
        <f t="shared" si="7"/>
        <v>15</v>
      </c>
      <c r="G34" s="10">
        <f t="shared" si="8"/>
        <v>46.05</v>
      </c>
      <c r="H34" s="7">
        <f>'[7]May Prod'!F33</f>
        <v>0</v>
      </c>
      <c r="I34" s="8">
        <f t="shared" si="9"/>
        <v>0</v>
      </c>
      <c r="J34" s="10">
        <f t="shared" si="10"/>
        <v>0</v>
      </c>
      <c r="K34" s="7">
        <f>'[7]May Prod'!H288</f>
        <v>389924</v>
      </c>
      <c r="L34" s="8">
        <f t="shared" si="11"/>
        <v>0.38992399999999999</v>
      </c>
      <c r="M34" s="10">
        <f t="shared" si="12"/>
        <v>1.1970666799999998</v>
      </c>
      <c r="N34" s="28"/>
      <c r="O34" s="7">
        <f>'[7]May Prod'!H33</f>
        <v>6435000</v>
      </c>
      <c r="P34" s="8">
        <f t="shared" si="13"/>
        <v>6.4349999999999996</v>
      </c>
      <c r="Q34" s="10">
        <f t="shared" si="0"/>
        <v>19.755449999999996</v>
      </c>
      <c r="R34" s="7">
        <f>'[7]May Prod'!C33</f>
        <v>6997000</v>
      </c>
      <c r="S34" s="8">
        <f t="shared" si="14"/>
        <v>6.9969999999999999</v>
      </c>
      <c r="T34" s="10">
        <f t="shared" si="1"/>
        <v>21.480789999999999</v>
      </c>
      <c r="U34" s="7">
        <f>'[7]May Prod'!D33</f>
        <v>0</v>
      </c>
      <c r="V34" s="8">
        <f t="shared" si="15"/>
        <v>0</v>
      </c>
      <c r="W34" s="10">
        <f t="shared" si="2"/>
        <v>0</v>
      </c>
      <c r="X34" s="7">
        <f>'[7]May Prod'!D288</f>
        <v>562000.00000000023</v>
      </c>
      <c r="Y34" s="8">
        <f t="shared" si="16"/>
        <v>0.56200000000000028</v>
      </c>
      <c r="Z34" s="10">
        <f t="shared" si="3"/>
        <v>1.7253400000000008</v>
      </c>
      <c r="AA34" s="22"/>
      <c r="AB34" s="7">
        <f>'[7]May Prod'!G33</f>
        <v>0</v>
      </c>
      <c r="AC34" s="8">
        <f t="shared" si="17"/>
        <v>0</v>
      </c>
      <c r="AD34" s="10">
        <f t="shared" si="4"/>
        <v>0</v>
      </c>
      <c r="AF34" s="7">
        <f t="shared" si="18"/>
        <v>21134999.999999817</v>
      </c>
      <c r="AG34" s="8">
        <f t="shared" si="18"/>
        <v>21.134999999999817</v>
      </c>
      <c r="AH34" s="8">
        <f t="shared" si="18"/>
        <v>64.884449999999433</v>
      </c>
    </row>
    <row r="35" spans="1:34" x14ac:dyDescent="0.15">
      <c r="A35" s="37">
        <v>38503</v>
      </c>
      <c r="B35" s="39">
        <f>'[7]May Prod'!I34</f>
        <v>18699999.999999817</v>
      </c>
      <c r="C35" s="9">
        <f t="shared" si="5"/>
        <v>18.699999999999818</v>
      </c>
      <c r="D35" s="11">
        <f t="shared" si="6"/>
        <v>57.408999999999438</v>
      </c>
      <c r="E35" s="39">
        <f>'[7]May Prod'!E34</f>
        <v>19000000</v>
      </c>
      <c r="F35" s="9">
        <f t="shared" si="7"/>
        <v>19</v>
      </c>
      <c r="G35" s="11">
        <f t="shared" si="8"/>
        <v>58.33</v>
      </c>
      <c r="H35" s="39">
        <f>'[7]May Prod'!F34</f>
        <v>0</v>
      </c>
      <c r="I35" s="9">
        <f t="shared" si="9"/>
        <v>0</v>
      </c>
      <c r="J35" s="11">
        <f t="shared" si="10"/>
        <v>0</v>
      </c>
      <c r="K35" s="7">
        <f>'[7]May Prod'!H289</f>
        <v>501221</v>
      </c>
      <c r="L35" s="9">
        <f t="shared" si="11"/>
        <v>0.50122100000000003</v>
      </c>
      <c r="M35" s="11">
        <f t="shared" si="12"/>
        <v>1.53874847</v>
      </c>
      <c r="N35" s="28"/>
      <c r="O35" s="39">
        <f>'[7]May Prod'!H34</f>
        <v>8126000</v>
      </c>
      <c r="P35" s="9">
        <f t="shared" si="13"/>
        <v>8.1259999999999994</v>
      </c>
      <c r="Q35" s="11">
        <f t="shared" si="0"/>
        <v>24.946819999999995</v>
      </c>
      <c r="R35" s="39">
        <f>'[7]May Prod'!C34</f>
        <v>8598000</v>
      </c>
      <c r="S35" s="9">
        <f t="shared" si="14"/>
        <v>8.5980000000000008</v>
      </c>
      <c r="T35" s="11">
        <f t="shared" si="1"/>
        <v>26.395860000000003</v>
      </c>
      <c r="U35" s="7">
        <f>'[7]May Prod'!D34</f>
        <v>0</v>
      </c>
      <c r="V35" s="9">
        <f t="shared" si="15"/>
        <v>0</v>
      </c>
      <c r="W35" s="11">
        <f t="shared" si="2"/>
        <v>0</v>
      </c>
      <c r="X35" s="7">
        <f>'[7]May Prod'!D289</f>
        <v>471999.99999999953</v>
      </c>
      <c r="Y35" s="8">
        <f t="shared" si="16"/>
        <v>0.47199999999999953</v>
      </c>
      <c r="Z35" s="10">
        <f t="shared" si="3"/>
        <v>1.4490399999999986</v>
      </c>
      <c r="AA35" s="22"/>
      <c r="AB35" s="7">
        <f>'[7]May Prod'!G34</f>
        <v>0</v>
      </c>
      <c r="AC35" s="8">
        <f t="shared" si="17"/>
        <v>0</v>
      </c>
      <c r="AD35" s="10">
        <f t="shared" si="4"/>
        <v>0</v>
      </c>
      <c r="AF35" s="7">
        <f t="shared" si="18"/>
        <v>26825999.999999817</v>
      </c>
      <c r="AG35" s="8">
        <f t="shared" si="18"/>
        <v>26.825999999999816</v>
      </c>
      <c r="AH35" s="8">
        <f t="shared" si="18"/>
        <v>82.355819999999426</v>
      </c>
    </row>
    <row r="36" spans="1:34" s="25" customFormat="1" x14ac:dyDescent="0.15">
      <c r="A36" s="22"/>
      <c r="B36" s="40"/>
      <c r="C36" s="40">
        <f>SUM(C5:C35)</f>
        <v>454.5</v>
      </c>
      <c r="D36" s="40">
        <f t="shared" si="6"/>
        <v>1395.3149999999998</v>
      </c>
      <c r="E36" s="40"/>
      <c r="F36" s="40">
        <f>SUM(F5:F35)</f>
        <v>357</v>
      </c>
      <c r="G36" s="40">
        <f t="shared" si="8"/>
        <v>1095.99</v>
      </c>
      <c r="H36" s="40"/>
      <c r="I36" s="40">
        <f>SUM(I5:I35)</f>
        <v>112</v>
      </c>
      <c r="J36" s="40">
        <f t="shared" si="10"/>
        <v>343.84</v>
      </c>
      <c r="K36" s="22"/>
      <c r="L36" s="40">
        <f>SUM(L5:L35)</f>
        <v>12.830294999999996</v>
      </c>
      <c r="M36" s="40">
        <f>L36*3.07</f>
        <v>39.389005649999987</v>
      </c>
      <c r="N36" s="40"/>
      <c r="O36" s="40"/>
      <c r="P36" s="40">
        <f>SUM(P5:P35)</f>
        <v>64.135000000000005</v>
      </c>
      <c r="Q36" s="40">
        <f t="shared" si="0"/>
        <v>196.89445000000001</v>
      </c>
      <c r="R36" s="40"/>
      <c r="S36" s="40">
        <f>SUM(S5:S35)</f>
        <v>68.64</v>
      </c>
      <c r="T36" s="40">
        <f t="shared" si="1"/>
        <v>210.72479999999999</v>
      </c>
      <c r="U36" s="22"/>
      <c r="V36" s="40">
        <f>SUM(V5:V35)</f>
        <v>0</v>
      </c>
      <c r="W36" s="40">
        <f>V36*3.07</f>
        <v>0</v>
      </c>
      <c r="Y36" s="40">
        <f>SUM(Y5:Y35)</f>
        <v>4.5049999999999999</v>
      </c>
      <c r="Z36" s="40">
        <f>Y36*3.07</f>
        <v>13.830349999999999</v>
      </c>
      <c r="AC36" s="40">
        <f>SUM(AC5:AC35)</f>
        <v>0</v>
      </c>
      <c r="AD36" s="40">
        <f>AC36*3.07</f>
        <v>0</v>
      </c>
      <c r="AF36" s="32"/>
      <c r="AG36" s="40">
        <f>SUM(AG5:AG35)</f>
        <v>518.6350000000001</v>
      </c>
      <c r="AH36" s="32">
        <f>AG36*3.07</f>
        <v>1592.2094500000003</v>
      </c>
    </row>
    <row r="37" spans="1:34" x14ac:dyDescent="0.15">
      <c r="C37" s="25"/>
      <c r="E37" s="3"/>
      <c r="F37" s="3"/>
      <c r="G37" s="3"/>
      <c r="H37" s="3"/>
      <c r="I37" s="3"/>
      <c r="J37" s="22"/>
      <c r="K37" s="21"/>
      <c r="L37" s="3"/>
      <c r="M37" s="3"/>
      <c r="N37" s="3"/>
      <c r="O37" s="3"/>
      <c r="P37" s="3"/>
      <c r="Q37" s="3"/>
      <c r="R37" s="3"/>
      <c r="S37" s="3"/>
      <c r="T37" s="3"/>
      <c r="U37" s="21"/>
      <c r="W37" s="40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scale="3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J43"/>
  <sheetViews>
    <sheetView workbookViewId="0">
      <pane xSplit="1" ySplit="4" topLeftCell="Q23" activePane="bottomRight" state="frozen"/>
      <selection pane="topRight" activeCell="B1" sqref="B1"/>
      <selection pane="bottomLeft" activeCell="A5" sqref="A5"/>
      <selection pane="bottomRight" activeCell="I34" sqref="I5:I34"/>
    </sheetView>
  </sheetViews>
  <sheetFormatPr baseColWidth="10" defaultColWidth="8.83203125" defaultRowHeight="13" x14ac:dyDescent="0.15"/>
  <cols>
    <col min="2" max="2" width="11.1640625" customWidth="1"/>
    <col min="5" max="5" width="11.5" customWidth="1"/>
    <col min="8" max="8" width="11.33203125" customWidth="1"/>
    <col min="11" max="11" width="9" customWidth="1"/>
    <col min="12" max="12" width="11" customWidth="1"/>
    <col min="15" max="15" width="10.1640625" customWidth="1"/>
    <col min="18" max="18" width="10.1640625" hidden="1" customWidth="1"/>
    <col min="19" max="21" width="0" hidden="1" customWidth="1"/>
    <col min="22" max="22" width="11.1640625" hidden="1" customWidth="1"/>
    <col min="23" max="23" width="0" hidden="1" customWidth="1"/>
    <col min="32" max="32" width="10.1640625" bestFit="1" customWidth="1"/>
  </cols>
  <sheetData>
    <row r="1" spans="1:36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6" ht="14" thickBot="1" x14ac:dyDescent="0.2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6" ht="71" thickBot="1" x14ac:dyDescent="0.2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0" t="s">
        <v>8</v>
      </c>
      <c r="AG3" s="51"/>
      <c r="AH3" s="52"/>
      <c r="AJ3" s="45" t="s">
        <v>9</v>
      </c>
    </row>
    <row r="4" spans="1:36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" t="s">
        <v>0</v>
      </c>
      <c r="AG4" s="5" t="s">
        <v>1</v>
      </c>
      <c r="AH4" s="6" t="s">
        <v>2</v>
      </c>
      <c r="AJ4" s="5" t="s">
        <v>2</v>
      </c>
    </row>
    <row r="5" spans="1:36" x14ac:dyDescent="0.15">
      <c r="A5" s="37">
        <v>38504</v>
      </c>
      <c r="B5" s="7">
        <f>'[8]Jun Prod'!I4</f>
        <v>21600000.000000365</v>
      </c>
      <c r="C5" s="8">
        <f>B5/1000000</f>
        <v>21.600000000000364</v>
      </c>
      <c r="D5" s="10">
        <f>C5*3.07</f>
        <v>66.31200000000112</v>
      </c>
      <c r="E5" s="7">
        <f>'[8]Jun Prod'!E4</f>
        <v>22000000</v>
      </c>
      <c r="F5" s="8">
        <f>E5/1000000</f>
        <v>22</v>
      </c>
      <c r="G5" s="10">
        <f>F5*3.07</f>
        <v>67.539999999999992</v>
      </c>
      <c r="H5" s="7">
        <f>'[8]Jun Prod'!F4</f>
        <v>0</v>
      </c>
      <c r="I5" s="8">
        <f>H5/1000000</f>
        <v>0</v>
      </c>
      <c r="J5" s="10">
        <f>I5*3.07</f>
        <v>0</v>
      </c>
      <c r="K5" s="7">
        <f>'[8]Jun Prod'!H252</f>
        <v>220774</v>
      </c>
      <c r="L5" s="8">
        <f>K5/1000000</f>
        <v>0.220774</v>
      </c>
      <c r="M5" s="10">
        <f>L5*3.07</f>
        <v>0.67777617999999995</v>
      </c>
      <c r="N5" s="28"/>
      <c r="O5" s="7">
        <f>'[8]Jun Prod'!H4</f>
        <v>8659000</v>
      </c>
      <c r="P5" s="8">
        <f>O5/1000000</f>
        <v>8.6590000000000007</v>
      </c>
      <c r="Q5" s="10">
        <f>P5*3.07</f>
        <v>26.583130000000001</v>
      </c>
      <c r="R5" s="7">
        <f>'[8]Jun Prod'!C4</f>
        <v>9222000</v>
      </c>
      <c r="S5" s="8">
        <f>R5/1000000</f>
        <v>9.2219999999999995</v>
      </c>
      <c r="T5" s="10">
        <f>S5*3.07</f>
        <v>28.311539999999997</v>
      </c>
      <c r="U5" s="7">
        <f>'[8]Jun Prod'!D4</f>
        <v>0</v>
      </c>
      <c r="V5" s="8">
        <f>U5/1000000</f>
        <v>0</v>
      </c>
      <c r="W5" s="10">
        <f>V5*3.07</f>
        <v>0</v>
      </c>
      <c r="X5" s="7">
        <f>'[8]Jun Prod'!D252</f>
        <v>563000.00000000058</v>
      </c>
      <c r="Y5" s="8">
        <f>X5/1000000</f>
        <v>0.56300000000000061</v>
      </c>
      <c r="Z5" s="10">
        <f>Y5*3.07</f>
        <v>1.7284100000000018</v>
      </c>
      <c r="AA5" s="22"/>
      <c r="AB5" s="7">
        <f>'[8]Jun Prod'!G4</f>
        <v>0</v>
      </c>
      <c r="AC5" s="8">
        <f>AB5/1000000</f>
        <v>0</v>
      </c>
      <c r="AD5" s="10">
        <f>AC5*3.07</f>
        <v>0</v>
      </c>
      <c r="AF5" s="7">
        <f>B5+O5</f>
        <v>30259000.000000365</v>
      </c>
      <c r="AG5" s="8">
        <f>C5+P5</f>
        <v>30.259000000000363</v>
      </c>
      <c r="AH5" s="8">
        <f>D5+Q5</f>
        <v>92.895130000001117</v>
      </c>
      <c r="AJ5" s="8">
        <f t="shared" ref="AJ5:AJ14" si="0">T5-Q5-Z5</f>
        <v>-5.1070259132757201E-15</v>
      </c>
    </row>
    <row r="6" spans="1:36" x14ac:dyDescent="0.15">
      <c r="A6" s="37">
        <v>38505</v>
      </c>
      <c r="B6" s="7">
        <f>'[8]Jun Prod'!I5</f>
        <v>18500000</v>
      </c>
      <c r="C6" s="8">
        <f t="shared" ref="C6:C34" si="1">B6/1000000</f>
        <v>18.5</v>
      </c>
      <c r="D6" s="10">
        <f t="shared" ref="D6:D35" si="2">C6*3.07</f>
        <v>56.794999999999995</v>
      </c>
      <c r="E6" s="7">
        <f>'[8]Jun Prod'!E5</f>
        <v>19000000</v>
      </c>
      <c r="F6" s="8">
        <f t="shared" ref="F6:F34" si="3">E6/1000000</f>
        <v>19</v>
      </c>
      <c r="G6" s="10">
        <f t="shared" ref="G6:G35" si="4">F6*3.07</f>
        <v>58.33</v>
      </c>
      <c r="H6" s="7">
        <f>'[8]Jun Prod'!F5</f>
        <v>0</v>
      </c>
      <c r="I6" s="8">
        <f t="shared" ref="I6:I34" si="5">H6/1000000</f>
        <v>0</v>
      </c>
      <c r="J6" s="10">
        <f t="shared" ref="J6:J35" si="6">I6*3.07</f>
        <v>0</v>
      </c>
      <c r="K6" s="7">
        <f>'[8]Jun Prod'!H253</f>
        <v>167968</v>
      </c>
      <c r="L6" s="8">
        <f>K6/1000000</f>
        <v>0.16796800000000001</v>
      </c>
      <c r="M6" s="10">
        <f t="shared" ref="M6:M35" si="7">L6*3.07</f>
        <v>0.51566175999999997</v>
      </c>
      <c r="N6" s="28"/>
      <c r="O6" s="7">
        <f>'[8]Jun Prod'!H5</f>
        <v>7552000</v>
      </c>
      <c r="P6" s="8">
        <f t="shared" ref="P6:P34" si="8">O6/1000000</f>
        <v>7.5519999999999996</v>
      </c>
      <c r="Q6" s="10">
        <f t="shared" ref="Q6:Q35" si="9">P6*3.07</f>
        <v>23.184639999999998</v>
      </c>
      <c r="R6" s="7">
        <f>'[8]Jun Prod'!C5</f>
        <v>8022000</v>
      </c>
      <c r="S6" s="8">
        <f t="shared" ref="S6:S34" si="10">R6/1000000</f>
        <v>8.0220000000000002</v>
      </c>
      <c r="T6" s="10">
        <f t="shared" ref="T6:T35" si="11">S6*3.07</f>
        <v>24.62754</v>
      </c>
      <c r="U6" s="7">
        <f>'[8]Jun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'[8]Jun Prod'!D253</f>
        <v>469999.99999999977</v>
      </c>
      <c r="Y6" s="8">
        <f t="shared" ref="Y6:Y34" si="14">X6/1000000</f>
        <v>0.46999999999999975</v>
      </c>
      <c r="Z6" s="10">
        <f t="shared" ref="Z6:Z35" si="15">Y6*3.07</f>
        <v>1.4428999999999992</v>
      </c>
      <c r="AA6" s="22"/>
      <c r="AB6" s="7">
        <f>'[8]Jun Prod'!G5</f>
        <v>0</v>
      </c>
      <c r="AC6" s="8">
        <f t="shared" ref="AC6:AC34" si="16">AB6/1000000</f>
        <v>0</v>
      </c>
      <c r="AD6" s="10">
        <f t="shared" ref="AD6:AD35" si="17">AC6*3.07</f>
        <v>0</v>
      </c>
      <c r="AF6" s="7">
        <f t="shared" ref="AF6:AH34" si="18">B6+O6</f>
        <v>26052000</v>
      </c>
      <c r="AG6" s="8">
        <f t="shared" si="18"/>
        <v>26.052</v>
      </c>
      <c r="AH6" s="8">
        <f t="shared" si="18"/>
        <v>79.979639999999989</v>
      </c>
      <c r="AJ6" s="8">
        <f t="shared" si="0"/>
        <v>2.4424906541753444E-15</v>
      </c>
    </row>
    <row r="7" spans="1:36" x14ac:dyDescent="0.15">
      <c r="A7" s="37">
        <v>38506</v>
      </c>
      <c r="B7" s="7">
        <f>'[8]Jun Prod'!I6</f>
        <v>19000000</v>
      </c>
      <c r="C7" s="8">
        <f t="shared" si="1"/>
        <v>19</v>
      </c>
      <c r="D7" s="10">
        <f t="shared" si="2"/>
        <v>58.33</v>
      </c>
      <c r="E7" s="7">
        <f>'[8]Jun Prod'!E6</f>
        <v>20000000</v>
      </c>
      <c r="F7" s="8">
        <f t="shared" si="3"/>
        <v>20</v>
      </c>
      <c r="G7" s="10">
        <f t="shared" si="4"/>
        <v>61.4</v>
      </c>
      <c r="H7" s="7">
        <f>'[8]Jun Prod'!F6</f>
        <v>0</v>
      </c>
      <c r="I7" s="8">
        <f t="shared" si="5"/>
        <v>0</v>
      </c>
      <c r="J7" s="10">
        <f t="shared" si="6"/>
        <v>0</v>
      </c>
      <c r="K7" s="7">
        <f>'[8]Jun Prod'!H254</f>
        <v>160971</v>
      </c>
      <c r="L7" s="8">
        <f t="shared" ref="L7:L34" si="19">K7/1000000</f>
        <v>0.160971</v>
      </c>
      <c r="M7" s="10">
        <f t="shared" si="7"/>
        <v>0.49418097</v>
      </c>
      <c r="N7" s="28"/>
      <c r="O7" s="7">
        <f>'[8]Jun Prod'!H6</f>
        <v>6241000</v>
      </c>
      <c r="P7" s="8">
        <f t="shared" si="8"/>
        <v>6.2409999999999997</v>
      </c>
      <c r="Q7" s="10">
        <f t="shared" si="9"/>
        <v>19.159869999999998</v>
      </c>
      <c r="R7" s="7">
        <f>'[8]Jun Prod'!C6</f>
        <v>6711000</v>
      </c>
      <c r="S7" s="8">
        <f t="shared" si="10"/>
        <v>6.7110000000000003</v>
      </c>
      <c r="T7" s="10">
        <f t="shared" si="11"/>
        <v>20.60277</v>
      </c>
      <c r="U7" s="7">
        <f>'[8]Jun Prod'!D6</f>
        <v>0</v>
      </c>
      <c r="V7" s="8">
        <f t="shared" si="12"/>
        <v>0</v>
      </c>
      <c r="W7" s="10">
        <f t="shared" si="13"/>
        <v>0</v>
      </c>
      <c r="X7" s="7">
        <f>'[8]Jun Prod'!D254</f>
        <v>469999.99999999977</v>
      </c>
      <c r="Y7" s="8">
        <f t="shared" si="14"/>
        <v>0.46999999999999975</v>
      </c>
      <c r="Z7" s="10">
        <f t="shared" si="15"/>
        <v>1.4428999999999992</v>
      </c>
      <c r="AA7" s="22"/>
      <c r="AB7" s="7">
        <f>'[8]Jun Prod'!G6</f>
        <v>0</v>
      </c>
      <c r="AC7" s="8">
        <f t="shared" si="16"/>
        <v>0</v>
      </c>
      <c r="AD7" s="10">
        <f t="shared" si="17"/>
        <v>0</v>
      </c>
      <c r="AF7" s="7">
        <f t="shared" si="18"/>
        <v>25241000</v>
      </c>
      <c r="AG7" s="8">
        <f t="shared" si="18"/>
        <v>25.241</v>
      </c>
      <c r="AH7" s="8">
        <f t="shared" si="18"/>
        <v>77.489869999999996</v>
      </c>
      <c r="AJ7" s="8">
        <f t="shared" si="0"/>
        <v>2.4424906541753444E-15</v>
      </c>
    </row>
    <row r="8" spans="1:36" x14ac:dyDescent="0.15">
      <c r="A8" s="37">
        <v>38507</v>
      </c>
      <c r="B8" s="7">
        <f>'[8]Jun Prod'!I7</f>
        <v>23699999.999999817</v>
      </c>
      <c r="C8" s="8">
        <f t="shared" si="1"/>
        <v>23.699999999999818</v>
      </c>
      <c r="D8" s="10">
        <f t="shared" si="2"/>
        <v>72.758999999999432</v>
      </c>
      <c r="E8" s="7">
        <f>'[8]Jun Prod'!E7</f>
        <v>24000000</v>
      </c>
      <c r="F8" s="8">
        <f t="shared" si="3"/>
        <v>24</v>
      </c>
      <c r="G8" s="10">
        <f t="shared" si="4"/>
        <v>73.679999999999993</v>
      </c>
      <c r="H8" s="7">
        <f>'[8]Jun Prod'!F7</f>
        <v>0</v>
      </c>
      <c r="I8" s="8">
        <f t="shared" si="5"/>
        <v>0</v>
      </c>
      <c r="J8" s="10">
        <f t="shared" si="6"/>
        <v>0</v>
      </c>
      <c r="K8" s="7">
        <f>'[8]Jun Prod'!H255</f>
        <v>393470</v>
      </c>
      <c r="L8" s="8">
        <f t="shared" si="19"/>
        <v>0.39346999999999999</v>
      </c>
      <c r="M8" s="10">
        <f t="shared" si="7"/>
        <v>1.2079529</v>
      </c>
      <c r="N8" s="28"/>
      <c r="O8" s="7">
        <f>'[8]Jun Prod'!H7</f>
        <v>4649000</v>
      </c>
      <c r="P8" s="8">
        <f t="shared" si="8"/>
        <v>4.649</v>
      </c>
      <c r="Q8" s="10">
        <f t="shared" si="9"/>
        <v>14.27243</v>
      </c>
      <c r="R8" s="7">
        <f>'[8]Jun Prod'!C7</f>
        <v>5024000</v>
      </c>
      <c r="S8" s="8">
        <f t="shared" si="10"/>
        <v>5.024</v>
      </c>
      <c r="T8" s="10">
        <f t="shared" si="11"/>
        <v>15.423679999999999</v>
      </c>
      <c r="U8" s="7">
        <f>'[8]Jun Prod'!D7</f>
        <v>0</v>
      </c>
      <c r="V8" s="8">
        <f t="shared" si="12"/>
        <v>0</v>
      </c>
      <c r="W8" s="10">
        <f t="shared" si="13"/>
        <v>0</v>
      </c>
      <c r="X8" s="7">
        <f>'[8]Jun Prod'!D255</f>
        <v>375000</v>
      </c>
      <c r="Y8" s="8">
        <f t="shared" si="14"/>
        <v>0.375</v>
      </c>
      <c r="Z8" s="10">
        <f t="shared" si="15"/>
        <v>1.1512499999999999</v>
      </c>
      <c r="AA8" s="22"/>
      <c r="AB8" s="7">
        <f>'[8]Jun Prod'!G7</f>
        <v>0</v>
      </c>
      <c r="AC8" s="8">
        <f t="shared" si="16"/>
        <v>0</v>
      </c>
      <c r="AD8" s="10">
        <f t="shared" si="17"/>
        <v>0</v>
      </c>
      <c r="AF8" s="7">
        <f t="shared" si="18"/>
        <v>28348999.999999817</v>
      </c>
      <c r="AG8" s="8">
        <f t="shared" si="18"/>
        <v>28.348999999999819</v>
      </c>
      <c r="AH8" s="8">
        <f t="shared" si="18"/>
        <v>87.031429999999432</v>
      </c>
      <c r="AJ8" s="8">
        <f t="shared" si="0"/>
        <v>0</v>
      </c>
    </row>
    <row r="9" spans="1:36" x14ac:dyDescent="0.15">
      <c r="A9" s="37">
        <v>38508</v>
      </c>
      <c r="B9" s="7">
        <f>'[8]Jun Prod'!I8</f>
        <v>22600000.000000365</v>
      </c>
      <c r="C9" s="8">
        <f t="shared" si="1"/>
        <v>22.600000000000364</v>
      </c>
      <c r="D9" s="10">
        <f t="shared" si="2"/>
        <v>69.382000000001113</v>
      </c>
      <c r="E9" s="7">
        <f>'[8]Jun Prod'!E8</f>
        <v>23000000</v>
      </c>
      <c r="F9" s="8">
        <f t="shared" si="3"/>
        <v>23</v>
      </c>
      <c r="G9" s="10">
        <f t="shared" si="4"/>
        <v>70.61</v>
      </c>
      <c r="H9" s="7">
        <f>'[8]Jun Prod'!F8</f>
        <v>0</v>
      </c>
      <c r="I9" s="8">
        <f t="shared" si="5"/>
        <v>0</v>
      </c>
      <c r="J9" s="10">
        <f t="shared" si="6"/>
        <v>0</v>
      </c>
      <c r="K9" s="7">
        <f>'[8]Jun Prod'!H256</f>
        <v>547870</v>
      </c>
      <c r="L9" s="8">
        <f t="shared" si="19"/>
        <v>0.54786999999999997</v>
      </c>
      <c r="M9" s="10">
        <f t="shared" si="7"/>
        <v>1.6819608999999998</v>
      </c>
      <c r="N9" s="28"/>
      <c r="O9" s="7">
        <f>'[8]Jun Prod'!H8</f>
        <v>6579999.9999999991</v>
      </c>
      <c r="P9" s="8">
        <f t="shared" si="8"/>
        <v>6.5799999999999992</v>
      </c>
      <c r="Q9" s="10">
        <f t="shared" si="9"/>
        <v>20.200599999999998</v>
      </c>
      <c r="R9" s="7">
        <f>'[8]Jun Prod'!C8</f>
        <v>7050000</v>
      </c>
      <c r="S9" s="8">
        <f t="shared" si="10"/>
        <v>7.05</v>
      </c>
      <c r="T9" s="10">
        <f t="shared" si="11"/>
        <v>21.6435</v>
      </c>
      <c r="U9" s="7">
        <f>'[8]Jun Prod'!D8</f>
        <v>0</v>
      </c>
      <c r="V9" s="8">
        <f t="shared" si="12"/>
        <v>0</v>
      </c>
      <c r="W9" s="10">
        <f t="shared" si="13"/>
        <v>0</v>
      </c>
      <c r="X9" s="7">
        <f>'[8]Jun Prod'!D256</f>
        <v>470000.00000000064</v>
      </c>
      <c r="Y9" s="8">
        <f t="shared" si="14"/>
        <v>0.47000000000000064</v>
      </c>
      <c r="Z9" s="10">
        <f t="shared" si="15"/>
        <v>1.4429000000000018</v>
      </c>
      <c r="AA9" s="22"/>
      <c r="AB9" s="7">
        <f>'[8]Jun Prod'!G8</f>
        <v>0</v>
      </c>
      <c r="AC9" s="8">
        <f t="shared" si="16"/>
        <v>0</v>
      </c>
      <c r="AD9" s="10">
        <f t="shared" si="17"/>
        <v>0</v>
      </c>
      <c r="AF9" s="7">
        <f t="shared" si="18"/>
        <v>29180000.000000365</v>
      </c>
      <c r="AG9" s="8">
        <f t="shared" si="18"/>
        <v>29.180000000000362</v>
      </c>
      <c r="AH9" s="8">
        <f t="shared" si="18"/>
        <v>89.582600000001108</v>
      </c>
      <c r="AJ9" s="8">
        <f t="shared" si="0"/>
        <v>0</v>
      </c>
    </row>
    <row r="10" spans="1:36" x14ac:dyDescent="0.15">
      <c r="A10" s="37">
        <v>38509</v>
      </c>
      <c r="B10" s="7">
        <f>'[8]Jun Prod'!I9</f>
        <v>23500000</v>
      </c>
      <c r="C10" s="8">
        <f t="shared" si="1"/>
        <v>23.5</v>
      </c>
      <c r="D10" s="10">
        <f t="shared" si="2"/>
        <v>72.144999999999996</v>
      </c>
      <c r="E10" s="7">
        <f>'[8]Jun Prod'!E9</f>
        <v>24000000</v>
      </c>
      <c r="F10" s="8">
        <f t="shared" si="3"/>
        <v>24</v>
      </c>
      <c r="G10" s="10">
        <f t="shared" si="4"/>
        <v>73.679999999999993</v>
      </c>
      <c r="H10" s="7">
        <f>'[8]Jun Prod'!F9</f>
        <v>0</v>
      </c>
      <c r="I10" s="8">
        <f t="shared" si="5"/>
        <v>0</v>
      </c>
      <c r="J10" s="10">
        <f t="shared" si="6"/>
        <v>0</v>
      </c>
      <c r="K10" s="7">
        <f>'[8]Jun Prod'!H257</f>
        <v>428508</v>
      </c>
      <c r="L10" s="8">
        <f t="shared" si="19"/>
        <v>0.428508</v>
      </c>
      <c r="M10" s="10">
        <f t="shared" si="7"/>
        <v>1.31551956</v>
      </c>
      <c r="N10" s="28"/>
      <c r="O10" s="7">
        <f>'[8]Jun Prod'!H9</f>
        <v>7556000.0000000009</v>
      </c>
      <c r="P10" s="8">
        <f t="shared" si="8"/>
        <v>7.5560000000000009</v>
      </c>
      <c r="Q10" s="10">
        <f t="shared" si="9"/>
        <v>23.196920000000002</v>
      </c>
      <c r="R10" s="7">
        <f>'[8]Jun Prod'!C9</f>
        <v>8025000</v>
      </c>
      <c r="S10" s="8">
        <f t="shared" si="10"/>
        <v>8.0250000000000004</v>
      </c>
      <c r="T10" s="10">
        <f t="shared" si="11"/>
        <v>24.636749999999999</v>
      </c>
      <c r="U10" s="7">
        <f>'[8]Jun Prod'!D9</f>
        <v>0</v>
      </c>
      <c r="V10" s="8">
        <f t="shared" si="12"/>
        <v>0</v>
      </c>
      <c r="W10" s="10">
        <f t="shared" si="13"/>
        <v>0</v>
      </c>
      <c r="X10" s="7">
        <f>'[8]Jun Prod'!D257</f>
        <v>468999.99999999942</v>
      </c>
      <c r="Y10" s="8">
        <f t="shared" si="14"/>
        <v>0.46899999999999942</v>
      </c>
      <c r="Z10" s="10">
        <f t="shared" si="15"/>
        <v>1.4398299999999982</v>
      </c>
      <c r="AA10" s="22"/>
      <c r="AB10" s="7">
        <f>'[8]Jun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31056000</v>
      </c>
      <c r="AG10" s="8">
        <f t="shared" si="18"/>
        <v>31.056000000000001</v>
      </c>
      <c r="AH10" s="8">
        <f t="shared" si="18"/>
        <v>95.341920000000002</v>
      </c>
      <c r="AJ10" s="8">
        <f t="shared" si="0"/>
        <v>0</v>
      </c>
    </row>
    <row r="11" spans="1:36" x14ac:dyDescent="0.15">
      <c r="A11" s="37">
        <v>38510</v>
      </c>
      <c r="B11" s="7">
        <f>'[8]Jun Prod'!I10</f>
        <v>23599999.999999456</v>
      </c>
      <c r="C11" s="8">
        <f t="shared" si="1"/>
        <v>23.599999999999458</v>
      </c>
      <c r="D11" s="10">
        <f t="shared" si="2"/>
        <v>72.451999999998336</v>
      </c>
      <c r="E11" s="7">
        <f>'[8]Jun Prod'!E10</f>
        <v>24000000</v>
      </c>
      <c r="F11" s="8">
        <f t="shared" si="3"/>
        <v>24</v>
      </c>
      <c r="G11" s="10">
        <f t="shared" si="4"/>
        <v>73.679999999999993</v>
      </c>
      <c r="H11" s="7">
        <f>'[8]Jun Prod'!F10</f>
        <v>0</v>
      </c>
      <c r="I11" s="8">
        <f t="shared" si="5"/>
        <v>0</v>
      </c>
      <c r="J11" s="10">
        <f t="shared" si="6"/>
        <v>0</v>
      </c>
      <c r="K11" s="7">
        <f>'[8]Jun Prod'!H258</f>
        <v>167446</v>
      </c>
      <c r="L11" s="8">
        <f t="shared" si="19"/>
        <v>0.16744600000000001</v>
      </c>
      <c r="M11" s="10">
        <f t="shared" si="7"/>
        <v>0.51405922000000004</v>
      </c>
      <c r="N11" s="28"/>
      <c r="O11" s="7">
        <f>'[8]Jun Prod'!H10</f>
        <v>7480000</v>
      </c>
      <c r="P11" s="8">
        <f t="shared" si="8"/>
        <v>7.48</v>
      </c>
      <c r="Q11" s="10">
        <f t="shared" si="9"/>
        <v>22.9636</v>
      </c>
      <c r="R11" s="7">
        <f>'[8]Jun Prod'!C10</f>
        <v>7949000</v>
      </c>
      <c r="S11" s="8">
        <f t="shared" si="10"/>
        <v>7.9489999999999998</v>
      </c>
      <c r="T11" s="10">
        <f t="shared" si="11"/>
        <v>24.403429999999997</v>
      </c>
      <c r="U11" s="7">
        <f>'[8]Jun Prod'!D10</f>
        <v>0</v>
      </c>
      <c r="V11" s="8">
        <f t="shared" si="12"/>
        <v>0</v>
      </c>
      <c r="W11" s="10">
        <f t="shared" si="13"/>
        <v>0</v>
      </c>
      <c r="X11" s="7">
        <f>'[8]Jun Prod'!D258</f>
        <v>469000.00000000029</v>
      </c>
      <c r="Y11" s="8">
        <f t="shared" si="14"/>
        <v>0.46900000000000031</v>
      </c>
      <c r="Z11" s="10">
        <f t="shared" si="15"/>
        <v>1.4398300000000008</v>
      </c>
      <c r="AA11" s="22"/>
      <c r="AB11" s="7">
        <f>'[8]Jun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31079999.999999456</v>
      </c>
      <c r="AG11" s="8">
        <f t="shared" si="18"/>
        <v>31.079999999999458</v>
      </c>
      <c r="AH11" s="8">
        <f t="shared" si="18"/>
        <v>95.415599999998335</v>
      </c>
      <c r="AJ11" s="8">
        <f t="shared" si="0"/>
        <v>-3.7747582837255322E-15</v>
      </c>
    </row>
    <row r="12" spans="1:36" x14ac:dyDescent="0.15">
      <c r="A12" s="37">
        <v>38511</v>
      </c>
      <c r="B12" s="7">
        <f>'[8]Jun Prod'!I11</f>
        <v>24500000</v>
      </c>
      <c r="C12" s="8">
        <f t="shared" si="1"/>
        <v>24.5</v>
      </c>
      <c r="D12" s="10">
        <f t="shared" si="2"/>
        <v>75.214999999999989</v>
      </c>
      <c r="E12" s="7">
        <f>'[8]Jun Prod'!E11</f>
        <v>25000000</v>
      </c>
      <c r="F12" s="8">
        <f t="shared" si="3"/>
        <v>25</v>
      </c>
      <c r="G12" s="10">
        <f t="shared" si="4"/>
        <v>76.75</v>
      </c>
      <c r="H12" s="7">
        <f>'[8]Jun Prod'!F11</f>
        <v>0</v>
      </c>
      <c r="I12" s="8">
        <f t="shared" si="5"/>
        <v>0</v>
      </c>
      <c r="J12" s="10">
        <f t="shared" si="6"/>
        <v>0</v>
      </c>
      <c r="K12" s="7">
        <f>'[8]Jun Prod'!H259</f>
        <v>198381</v>
      </c>
      <c r="L12" s="8">
        <f t="shared" si="19"/>
        <v>0.198381</v>
      </c>
      <c r="M12" s="10">
        <f t="shared" si="7"/>
        <v>0.60902966999999997</v>
      </c>
      <c r="N12" s="28"/>
      <c r="O12" s="7">
        <f>'[8]Jun Prod'!H11</f>
        <v>7689000.0000000009</v>
      </c>
      <c r="P12" s="8">
        <f t="shared" si="8"/>
        <v>7.6890000000000009</v>
      </c>
      <c r="Q12" s="10">
        <f t="shared" si="9"/>
        <v>23.605230000000002</v>
      </c>
      <c r="R12" s="7">
        <f>'[8]Jun Prod'!C11</f>
        <v>8062000</v>
      </c>
      <c r="S12" s="8">
        <f t="shared" si="10"/>
        <v>8.0619999999999994</v>
      </c>
      <c r="T12" s="10">
        <f t="shared" si="11"/>
        <v>24.750339999999998</v>
      </c>
      <c r="U12" s="7">
        <f>'[8]Jun Prod'!D11</f>
        <v>0</v>
      </c>
      <c r="V12" s="8">
        <f t="shared" si="12"/>
        <v>0</v>
      </c>
      <c r="W12" s="10">
        <f t="shared" si="13"/>
        <v>0</v>
      </c>
      <c r="X12" s="7">
        <f>'[8]Jun Prod'!D259</f>
        <v>372999.99999999936</v>
      </c>
      <c r="Y12" s="8">
        <f t="shared" si="14"/>
        <v>0.37299999999999933</v>
      </c>
      <c r="Z12" s="10">
        <f t="shared" si="15"/>
        <v>1.1451099999999979</v>
      </c>
      <c r="AA12" s="22"/>
      <c r="AB12" s="7">
        <f>'[8]Jun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32189000</v>
      </c>
      <c r="AG12" s="8">
        <f t="shared" si="18"/>
        <v>32.189</v>
      </c>
      <c r="AH12" s="8">
        <f t="shared" si="18"/>
        <v>98.820229999999995</v>
      </c>
      <c r="AJ12" s="8">
        <f t="shared" si="0"/>
        <v>-2.4424906541753444E-15</v>
      </c>
    </row>
    <row r="13" spans="1:36" x14ac:dyDescent="0.15">
      <c r="A13" s="37">
        <v>38512</v>
      </c>
      <c r="B13" s="7">
        <f>'[8]Jun Prod'!I12</f>
        <v>20400000.000000544</v>
      </c>
      <c r="C13" s="8">
        <f t="shared" si="1"/>
        <v>20.400000000000542</v>
      </c>
      <c r="D13" s="10">
        <f t="shared" si="2"/>
        <v>62.628000000001663</v>
      </c>
      <c r="E13" s="7">
        <f>'[8]Jun Prod'!E12</f>
        <v>20000000</v>
      </c>
      <c r="F13" s="8">
        <f t="shared" si="3"/>
        <v>20</v>
      </c>
      <c r="G13" s="10">
        <f t="shared" si="4"/>
        <v>61.4</v>
      </c>
      <c r="H13" s="7">
        <f>'[8]Jun Prod'!F12</f>
        <v>0</v>
      </c>
      <c r="I13" s="8">
        <f t="shared" si="5"/>
        <v>0</v>
      </c>
      <c r="J13" s="10">
        <f t="shared" si="6"/>
        <v>0</v>
      </c>
      <c r="K13" s="7">
        <f>'[8]Jun Prod'!H260</f>
        <v>336514</v>
      </c>
      <c r="L13" s="8">
        <f t="shared" si="19"/>
        <v>0.33651399999999998</v>
      </c>
      <c r="M13" s="10">
        <f t="shared" si="7"/>
        <v>1.03309798</v>
      </c>
      <c r="N13" s="28"/>
      <c r="O13" s="7">
        <f>'[8]Jun Prod'!H12</f>
        <v>8601999.9999999981</v>
      </c>
      <c r="P13" s="8">
        <f t="shared" si="8"/>
        <v>8.6019999999999985</v>
      </c>
      <c r="Q13" s="10">
        <f t="shared" si="9"/>
        <v>26.408139999999992</v>
      </c>
      <c r="R13" s="7">
        <f>'[8]Jun Prod'!C12</f>
        <v>9222000</v>
      </c>
      <c r="S13" s="8">
        <f t="shared" si="10"/>
        <v>9.2219999999999995</v>
      </c>
      <c r="T13" s="10">
        <f t="shared" si="11"/>
        <v>28.311539999999997</v>
      </c>
      <c r="U13" s="7">
        <f>'[8]Jun Prod'!D12</f>
        <v>0</v>
      </c>
      <c r="V13" s="8">
        <f t="shared" si="12"/>
        <v>0</v>
      </c>
      <c r="W13" s="10">
        <f t="shared" si="13"/>
        <v>0</v>
      </c>
      <c r="X13" s="7">
        <f>'[8]Jun Prod'!D260</f>
        <v>620000.00000000105</v>
      </c>
      <c r="Y13" s="8">
        <f t="shared" si="14"/>
        <v>0.62000000000000099</v>
      </c>
      <c r="Z13" s="10">
        <f t="shared" si="15"/>
        <v>1.9034000000000029</v>
      </c>
      <c r="AA13" s="22"/>
      <c r="AB13" s="7">
        <f>'[8]Jun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29002000.000000544</v>
      </c>
      <c r="AG13" s="8">
        <f t="shared" si="18"/>
        <v>29.002000000000542</v>
      </c>
      <c r="AH13" s="8">
        <f t="shared" si="18"/>
        <v>89.036140000001652</v>
      </c>
      <c r="AJ13" s="8">
        <f t="shared" si="0"/>
        <v>1.9984014443252818E-15</v>
      </c>
    </row>
    <row r="14" spans="1:36" x14ac:dyDescent="0.15">
      <c r="A14" s="37">
        <v>38513</v>
      </c>
      <c r="B14" s="7">
        <f>'[8]Jun Prod'!I13</f>
        <v>17800000.000000183</v>
      </c>
      <c r="C14" s="8">
        <f t="shared" si="1"/>
        <v>17.800000000000182</v>
      </c>
      <c r="D14" s="10">
        <f t="shared" si="2"/>
        <v>54.646000000000555</v>
      </c>
      <c r="E14" s="7">
        <f>'[8]Jun Prod'!E13</f>
        <v>19000000</v>
      </c>
      <c r="F14" s="8">
        <f t="shared" si="3"/>
        <v>19</v>
      </c>
      <c r="G14" s="10">
        <f t="shared" si="4"/>
        <v>58.33</v>
      </c>
      <c r="H14" s="7">
        <f>'[8]Jun Prod'!F13</f>
        <v>0</v>
      </c>
      <c r="I14" s="8">
        <f t="shared" si="5"/>
        <v>0</v>
      </c>
      <c r="J14" s="10">
        <f t="shared" si="6"/>
        <v>0</v>
      </c>
      <c r="K14" s="7">
        <f>'[8]Jun Prod'!H261</f>
        <v>295458</v>
      </c>
      <c r="L14" s="8">
        <f t="shared" si="19"/>
        <v>0.295458</v>
      </c>
      <c r="M14" s="10">
        <f t="shared" si="7"/>
        <v>0.90705605999999994</v>
      </c>
      <c r="N14" s="28"/>
      <c r="O14" s="7">
        <f>'[8]Jun Prod'!H13</f>
        <v>11347000</v>
      </c>
      <c r="P14" s="8">
        <f t="shared" si="8"/>
        <v>11.347</v>
      </c>
      <c r="Q14" s="10">
        <f t="shared" si="9"/>
        <v>34.835289999999993</v>
      </c>
      <c r="R14" s="7">
        <f>'[8]Jun Prod'!C13</f>
        <v>12254000</v>
      </c>
      <c r="S14" s="8">
        <f t="shared" si="10"/>
        <v>12.254</v>
      </c>
      <c r="T14" s="10">
        <f t="shared" si="11"/>
        <v>37.619779999999999</v>
      </c>
      <c r="U14" s="7">
        <f>'[8]Jun Prod'!D13</f>
        <v>0</v>
      </c>
      <c r="V14" s="8">
        <f t="shared" si="12"/>
        <v>0</v>
      </c>
      <c r="W14" s="10">
        <f t="shared" si="13"/>
        <v>0</v>
      </c>
      <c r="X14" s="7">
        <f>'[8]Jun Prod'!D261</f>
        <v>907000</v>
      </c>
      <c r="Y14" s="8">
        <f t="shared" si="14"/>
        <v>0.90700000000000003</v>
      </c>
      <c r="Z14" s="10">
        <f t="shared" si="15"/>
        <v>2.7844899999999999</v>
      </c>
      <c r="AA14" s="22"/>
      <c r="AB14" s="7">
        <f>'[8]Jun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29147000.000000183</v>
      </c>
      <c r="AG14" s="8">
        <f t="shared" si="18"/>
        <v>29.147000000000183</v>
      </c>
      <c r="AH14" s="8">
        <f t="shared" si="18"/>
        <v>89.481290000000541</v>
      </c>
      <c r="AJ14" s="8">
        <f t="shared" si="0"/>
        <v>5.3290705182007514E-15</v>
      </c>
    </row>
    <row r="15" spans="1:36" x14ac:dyDescent="0.15">
      <c r="A15" s="37">
        <v>38514</v>
      </c>
      <c r="B15" s="7">
        <f>'[8]Jun Prod'!I14</f>
        <v>13099999.999999454</v>
      </c>
      <c r="C15" s="8">
        <f t="shared" si="1"/>
        <v>13.099999999999454</v>
      </c>
      <c r="D15" s="10">
        <f t="shared" si="2"/>
        <v>40.216999999998322</v>
      </c>
      <c r="E15" s="7">
        <f>'[8]Jun Prod'!E14</f>
        <v>13000000</v>
      </c>
      <c r="F15" s="8">
        <f t="shared" si="3"/>
        <v>13</v>
      </c>
      <c r="G15" s="10">
        <f t="shared" si="4"/>
        <v>39.909999999999997</v>
      </c>
      <c r="H15" s="7">
        <f>'[8]Jun Prod'!F14</f>
        <v>0</v>
      </c>
      <c r="I15" s="8">
        <f t="shared" si="5"/>
        <v>0</v>
      </c>
      <c r="J15" s="10">
        <f t="shared" si="6"/>
        <v>0</v>
      </c>
      <c r="K15" s="7">
        <f>'[8]Jun Prod'!H262</f>
        <v>548860</v>
      </c>
      <c r="L15" s="8">
        <f t="shared" si="19"/>
        <v>0.54886000000000001</v>
      </c>
      <c r="M15" s="10">
        <f t="shared" si="7"/>
        <v>1.6850001999999999</v>
      </c>
      <c r="N15" s="28"/>
      <c r="O15" s="7">
        <f>'[8]Jun Prod'!H14</f>
        <v>11176000</v>
      </c>
      <c r="P15" s="8">
        <f t="shared" si="8"/>
        <v>11.176</v>
      </c>
      <c r="Q15" s="10">
        <f t="shared" si="9"/>
        <v>34.310319999999997</v>
      </c>
      <c r="R15" s="7">
        <f>'[8]Jun Prod'!C14</f>
        <v>11741000</v>
      </c>
      <c r="S15" s="8">
        <f t="shared" si="10"/>
        <v>11.741</v>
      </c>
      <c r="T15" s="10">
        <f t="shared" si="11"/>
        <v>36.044869999999996</v>
      </c>
      <c r="U15" s="7">
        <f>'[8]Jun Prod'!D14</f>
        <v>0</v>
      </c>
      <c r="V15" s="8">
        <f t="shared" si="12"/>
        <v>0</v>
      </c>
      <c r="W15" s="10">
        <f t="shared" si="13"/>
        <v>0</v>
      </c>
      <c r="X15" s="7">
        <f>'[8]Jun Prod'!D262</f>
        <v>564999.99999999953</v>
      </c>
      <c r="Y15" s="8">
        <f t="shared" si="14"/>
        <v>0.5649999999999995</v>
      </c>
      <c r="Z15" s="10">
        <f t="shared" si="15"/>
        <v>1.7345499999999985</v>
      </c>
      <c r="AA15" s="22"/>
      <c r="AB15" s="7">
        <f>'[8]Jun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24275999.999999456</v>
      </c>
      <c r="AG15" s="8">
        <f t="shared" si="18"/>
        <v>24.275999999999456</v>
      </c>
      <c r="AH15" s="8">
        <f t="shared" si="18"/>
        <v>74.527319999998326</v>
      </c>
      <c r="AJ15" s="8">
        <f>T15-Q15-Z15</f>
        <v>0</v>
      </c>
    </row>
    <row r="16" spans="1:36" x14ac:dyDescent="0.15">
      <c r="A16" s="37">
        <v>38515</v>
      </c>
      <c r="B16" s="7">
        <f>'[8]Jun Prod'!I15</f>
        <v>10600000.000000363</v>
      </c>
      <c r="C16" s="8">
        <f t="shared" si="1"/>
        <v>10.600000000000364</v>
      </c>
      <c r="D16" s="10">
        <f t="shared" si="2"/>
        <v>32.542000000001117</v>
      </c>
      <c r="E16" s="7">
        <f>'[8]Jun Prod'!E15</f>
        <v>10000000</v>
      </c>
      <c r="F16" s="8">
        <f t="shared" si="3"/>
        <v>10</v>
      </c>
      <c r="G16" s="10">
        <f t="shared" si="4"/>
        <v>30.7</v>
      </c>
      <c r="H16" s="7">
        <f>'[8]Jun Prod'!F15</f>
        <v>0</v>
      </c>
      <c r="I16" s="8">
        <f t="shared" si="5"/>
        <v>0</v>
      </c>
      <c r="J16" s="10">
        <f t="shared" si="6"/>
        <v>0</v>
      </c>
      <c r="K16" s="7">
        <f>'[8]Jun Prod'!H263</f>
        <v>140594</v>
      </c>
      <c r="L16" s="8">
        <f t="shared" si="19"/>
        <v>0.140594</v>
      </c>
      <c r="M16" s="10">
        <f t="shared" si="7"/>
        <v>0.43162357999999995</v>
      </c>
      <c r="N16" s="28"/>
      <c r="O16" s="7">
        <f>'[8]Jun Prod'!H15</f>
        <v>6411000</v>
      </c>
      <c r="P16" s="8">
        <f t="shared" si="8"/>
        <v>6.4109999999999996</v>
      </c>
      <c r="Q16" s="10">
        <f t="shared" si="9"/>
        <v>19.681769999999997</v>
      </c>
      <c r="R16" s="7">
        <f>'[8]Jun Prod'!C15</f>
        <v>6879000</v>
      </c>
      <c r="S16" s="8">
        <f t="shared" si="10"/>
        <v>6.8789999999999996</v>
      </c>
      <c r="T16" s="10">
        <f t="shared" si="11"/>
        <v>21.118529999999996</v>
      </c>
      <c r="U16" s="7">
        <f>'[8]Jun Prod'!D15</f>
        <v>0</v>
      </c>
      <c r="V16" s="8">
        <f t="shared" si="12"/>
        <v>0</v>
      </c>
      <c r="W16" s="10">
        <f t="shared" si="13"/>
        <v>0</v>
      </c>
      <c r="X16" s="7">
        <f>'[8]Jun Prod'!D263</f>
        <v>468000</v>
      </c>
      <c r="Y16" s="8">
        <f t="shared" si="14"/>
        <v>0.46800000000000003</v>
      </c>
      <c r="Z16" s="10">
        <f t="shared" si="15"/>
        <v>1.43676</v>
      </c>
      <c r="AA16" s="22"/>
      <c r="AB16" s="7">
        <f>'[8]Jun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17011000.000000365</v>
      </c>
      <c r="AG16" s="8">
        <f t="shared" si="18"/>
        <v>17.011000000000365</v>
      </c>
      <c r="AH16" s="8">
        <f t="shared" si="18"/>
        <v>52.22377000000111</v>
      </c>
      <c r="AJ16" s="8">
        <f>T16-Q16-Z16</f>
        <v>0</v>
      </c>
    </row>
    <row r="17" spans="1:36" x14ac:dyDescent="0.15">
      <c r="A17" s="37">
        <v>38516</v>
      </c>
      <c r="B17" s="7">
        <f>'[8]Jun Prod'!I16</f>
        <v>9099999.9999994542</v>
      </c>
      <c r="C17" s="8">
        <f t="shared" si="1"/>
        <v>9.0999999999994543</v>
      </c>
      <c r="D17" s="10">
        <f t="shared" si="2"/>
        <v>27.936999999998324</v>
      </c>
      <c r="E17" s="7">
        <f>'[8]Jun Prod'!E16</f>
        <v>9000000</v>
      </c>
      <c r="F17" s="8">
        <f t="shared" si="3"/>
        <v>9</v>
      </c>
      <c r="G17" s="10">
        <f t="shared" si="4"/>
        <v>27.63</v>
      </c>
      <c r="H17" s="7">
        <f>'[8]Jun Prod'!F16</f>
        <v>0</v>
      </c>
      <c r="I17" s="8">
        <f t="shared" si="5"/>
        <v>0</v>
      </c>
      <c r="J17" s="10">
        <f t="shared" si="6"/>
        <v>0</v>
      </c>
      <c r="K17" s="7">
        <f>'[8]Jun Prod'!H264</f>
        <v>127987</v>
      </c>
      <c r="L17" s="8">
        <f t="shared" si="19"/>
        <v>0.12798699999999999</v>
      </c>
      <c r="M17" s="10">
        <f t="shared" si="7"/>
        <v>0.39292008999999994</v>
      </c>
      <c r="N17" s="28"/>
      <c r="O17" s="7">
        <f>'[8]Jun Prod'!H16</f>
        <v>5352000.0000000009</v>
      </c>
      <c r="P17" s="8">
        <f t="shared" si="8"/>
        <v>5.3520000000000012</v>
      </c>
      <c r="Q17" s="10">
        <f t="shared" si="9"/>
        <v>16.430640000000004</v>
      </c>
      <c r="R17" s="7">
        <f>'[8]Jun Prod'!C16</f>
        <v>5821000</v>
      </c>
      <c r="S17" s="8">
        <f t="shared" si="10"/>
        <v>5.8209999999999997</v>
      </c>
      <c r="T17" s="10">
        <f t="shared" si="11"/>
        <v>17.870469999999997</v>
      </c>
      <c r="U17" s="7">
        <f>'[8]Jun Prod'!D16</f>
        <v>0</v>
      </c>
      <c r="V17" s="8">
        <f t="shared" si="12"/>
        <v>0</v>
      </c>
      <c r="W17" s="10">
        <f t="shared" si="13"/>
        <v>0</v>
      </c>
      <c r="X17" s="7">
        <f>'[8]Jun Prod'!D264</f>
        <v>468999.99999999942</v>
      </c>
      <c r="Y17" s="8">
        <f t="shared" si="14"/>
        <v>0.46899999999999942</v>
      </c>
      <c r="Z17" s="10">
        <f t="shared" si="15"/>
        <v>1.4398299999999982</v>
      </c>
      <c r="AA17" s="22"/>
      <c r="AB17" s="7">
        <f>'[8]Jun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14451999.999999456</v>
      </c>
      <c r="AG17" s="8">
        <f t="shared" si="18"/>
        <v>14.451999999999455</v>
      </c>
      <c r="AH17" s="8">
        <f t="shared" si="18"/>
        <v>44.367639999998332</v>
      </c>
      <c r="AJ17" s="8">
        <f>T17-Q17-Z17</f>
        <v>-4.6629367034256575E-15</v>
      </c>
    </row>
    <row r="18" spans="1:36" x14ac:dyDescent="0.15">
      <c r="A18" s="37">
        <v>38517</v>
      </c>
      <c r="B18" s="7">
        <f>'[8]Jun Prod'!I17</f>
        <v>9700000.0000007283</v>
      </c>
      <c r="C18" s="8">
        <f t="shared" si="1"/>
        <v>9.7000000000007276</v>
      </c>
      <c r="D18" s="10">
        <f t="shared" si="2"/>
        <v>29.779000000002231</v>
      </c>
      <c r="E18" s="7">
        <f>'[8]Jun Prod'!E17</f>
        <v>11000000</v>
      </c>
      <c r="F18" s="8">
        <f t="shared" si="3"/>
        <v>11</v>
      </c>
      <c r="G18" s="10">
        <f t="shared" si="4"/>
        <v>33.769999999999996</v>
      </c>
      <c r="H18" s="7">
        <f>'[8]Jun Prod'!F17</f>
        <v>0</v>
      </c>
      <c r="I18" s="8">
        <f t="shared" si="5"/>
        <v>0</v>
      </c>
      <c r="J18" s="10">
        <f t="shared" si="6"/>
        <v>0</v>
      </c>
      <c r="K18" s="7">
        <f>'[8]Jun Prod'!H265</f>
        <v>164514</v>
      </c>
      <c r="L18" s="8">
        <f t="shared" si="19"/>
        <v>0.16451399999999999</v>
      </c>
      <c r="M18" s="10">
        <f t="shared" si="7"/>
        <v>0.50505797999999991</v>
      </c>
      <c r="N18" s="28"/>
      <c r="O18" s="7">
        <f>'[8]Jun Prod'!H17</f>
        <v>7434000</v>
      </c>
      <c r="P18" s="8">
        <f t="shared" si="8"/>
        <v>7.4340000000000002</v>
      </c>
      <c r="Q18" s="10">
        <f t="shared" si="9"/>
        <v>22.822379999999999</v>
      </c>
      <c r="R18" s="7">
        <f>'[8]Jun Prod'!C17</f>
        <v>7803000</v>
      </c>
      <c r="S18" s="8">
        <f t="shared" si="10"/>
        <v>7.8029999999999999</v>
      </c>
      <c r="T18" s="10">
        <f t="shared" si="11"/>
        <v>23.955209999999997</v>
      </c>
      <c r="U18" s="7">
        <f>'[8]Jun Prod'!D17</f>
        <v>0</v>
      </c>
      <c r="V18" s="8">
        <f t="shared" si="12"/>
        <v>0</v>
      </c>
      <c r="W18" s="10">
        <f t="shared" si="13"/>
        <v>0</v>
      </c>
      <c r="X18" s="7">
        <f>'[8]Jun Prod'!D265</f>
        <v>368999.99999999977</v>
      </c>
      <c r="Y18" s="8">
        <f t="shared" si="14"/>
        <v>0.36899999999999977</v>
      </c>
      <c r="Z18" s="10">
        <f t="shared" si="15"/>
        <v>1.1328299999999993</v>
      </c>
      <c r="AA18" s="22"/>
      <c r="AB18" s="7">
        <f>'[8]Jun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17134000.00000073</v>
      </c>
      <c r="AG18" s="8">
        <f t="shared" si="18"/>
        <v>17.134000000000729</v>
      </c>
      <c r="AH18" s="8">
        <f t="shared" si="18"/>
        <v>52.60138000000223</v>
      </c>
      <c r="AJ18" s="8">
        <f>T18-Q18-Z18</f>
        <v>0</v>
      </c>
    </row>
    <row r="19" spans="1:36" x14ac:dyDescent="0.15">
      <c r="A19" s="37">
        <v>38518</v>
      </c>
      <c r="B19" s="7">
        <f>'[8]Jun Prod'!I18</f>
        <v>10500000</v>
      </c>
      <c r="C19" s="8">
        <f t="shared" si="1"/>
        <v>10.5</v>
      </c>
      <c r="D19" s="10">
        <f t="shared" si="2"/>
        <v>32.234999999999999</v>
      </c>
      <c r="E19" s="7">
        <f>'[8]Jun Prod'!E18</f>
        <v>10000000</v>
      </c>
      <c r="F19" s="8">
        <f t="shared" si="3"/>
        <v>10</v>
      </c>
      <c r="G19" s="10">
        <f t="shared" si="4"/>
        <v>30.7</v>
      </c>
      <c r="H19" s="7">
        <f>'[8]Jun Prod'!F18</f>
        <v>0</v>
      </c>
      <c r="I19" s="8">
        <f t="shared" si="5"/>
        <v>0</v>
      </c>
      <c r="J19" s="10">
        <f t="shared" si="6"/>
        <v>0</v>
      </c>
      <c r="K19" s="7">
        <f>'[8]Jun Prod'!H266</f>
        <v>252698</v>
      </c>
      <c r="L19" s="8">
        <f t="shared" si="19"/>
        <v>0.25269799999999998</v>
      </c>
      <c r="M19" s="10">
        <f t="shared" si="7"/>
        <v>0.77578285999999985</v>
      </c>
      <c r="N19" s="28"/>
      <c r="O19" s="7">
        <f>'[8]Jun Prod'!H18</f>
        <v>6388999.9999999991</v>
      </c>
      <c r="P19" s="8">
        <f t="shared" si="8"/>
        <v>6.3889999999999993</v>
      </c>
      <c r="Q19" s="10">
        <f t="shared" si="9"/>
        <v>19.614229999999996</v>
      </c>
      <c r="R19" s="7">
        <f>'[8]Jun Prod'!C18</f>
        <v>6955000</v>
      </c>
      <c r="S19" s="8">
        <f t="shared" si="10"/>
        <v>6.9550000000000001</v>
      </c>
      <c r="T19" s="10">
        <f t="shared" si="11"/>
        <v>21.351849999999999</v>
      </c>
      <c r="U19" s="7">
        <f>'[8]Jun Prod'!D18</f>
        <v>0</v>
      </c>
      <c r="V19" s="8">
        <f t="shared" si="12"/>
        <v>0</v>
      </c>
      <c r="W19" s="10">
        <f t="shared" si="13"/>
        <v>0</v>
      </c>
      <c r="X19" s="7">
        <f>'[8]Jun Prod'!D266</f>
        <v>566000.0000000007</v>
      </c>
      <c r="Y19" s="8">
        <f t="shared" si="14"/>
        <v>0.56600000000000072</v>
      </c>
      <c r="Z19" s="10">
        <f t="shared" si="15"/>
        <v>1.7376200000000022</v>
      </c>
      <c r="AA19" s="22"/>
      <c r="AB19" s="7">
        <f>'[8]Jun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16889000</v>
      </c>
      <c r="AG19" s="8">
        <f t="shared" si="18"/>
        <v>16.888999999999999</v>
      </c>
      <c r="AH19" s="8">
        <f t="shared" si="18"/>
        <v>51.849229999999991</v>
      </c>
      <c r="AJ19" s="8">
        <f>T19-Q19-Z19</f>
        <v>0</v>
      </c>
    </row>
    <row r="20" spans="1:36" x14ac:dyDescent="0.15">
      <c r="A20" s="37">
        <v>38519</v>
      </c>
      <c r="B20" s="7">
        <f>'[8]Jun Prod'!I19</f>
        <v>11599999.999999454</v>
      </c>
      <c r="C20" s="8">
        <f t="shared" si="1"/>
        <v>11.599999999999454</v>
      </c>
      <c r="D20" s="10">
        <f t="shared" si="2"/>
        <v>35.611999999998325</v>
      </c>
      <c r="E20" s="7">
        <f>'[8]Jun Prod'!E19</f>
        <v>12000000</v>
      </c>
      <c r="F20" s="8">
        <f t="shared" si="3"/>
        <v>12</v>
      </c>
      <c r="G20" s="10">
        <f t="shared" si="4"/>
        <v>36.839999999999996</v>
      </c>
      <c r="H20" s="7">
        <f>'[8]Jun Prod'!F19</f>
        <v>0</v>
      </c>
      <c r="I20" s="8">
        <f t="shared" si="5"/>
        <v>0</v>
      </c>
      <c r="J20" s="10">
        <f t="shared" si="6"/>
        <v>0</v>
      </c>
      <c r="K20" s="7">
        <f>'[8]Jun Prod'!H267</f>
        <v>111589</v>
      </c>
      <c r="L20" s="8">
        <f t="shared" si="19"/>
        <v>0.11158899999999999</v>
      </c>
      <c r="M20" s="10">
        <f t="shared" si="7"/>
        <v>0.34257822999999998</v>
      </c>
      <c r="N20" s="28"/>
      <c r="O20" s="7">
        <f>'[8]Jun Prod'!H19</f>
        <v>10740000</v>
      </c>
      <c r="P20" s="8">
        <f t="shared" si="8"/>
        <v>10.74</v>
      </c>
      <c r="Q20" s="10">
        <f t="shared" si="9"/>
        <v>32.971800000000002</v>
      </c>
      <c r="R20" s="7">
        <f>'[8]Jun Prod'!C19</f>
        <v>11308000</v>
      </c>
      <c r="S20" s="8">
        <f t="shared" si="10"/>
        <v>11.308</v>
      </c>
      <c r="T20" s="10">
        <f t="shared" si="11"/>
        <v>34.715559999999996</v>
      </c>
      <c r="U20" s="7">
        <f>'[8]Jun Prod'!D19</f>
        <v>0</v>
      </c>
      <c r="V20" s="8">
        <f t="shared" si="12"/>
        <v>0</v>
      </c>
      <c r="W20" s="10">
        <f t="shared" si="13"/>
        <v>0</v>
      </c>
      <c r="X20" s="7">
        <f>'[8]Jun Prod'!D267</f>
        <v>567999.99999999965</v>
      </c>
      <c r="Y20" s="8">
        <f t="shared" si="14"/>
        <v>0.56799999999999962</v>
      </c>
      <c r="Z20" s="10">
        <f t="shared" si="15"/>
        <v>1.7437599999999986</v>
      </c>
      <c r="AA20" s="22"/>
      <c r="AB20" s="7">
        <f>'[8]Jun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22339999.999999456</v>
      </c>
      <c r="AG20" s="8">
        <f t="shared" si="18"/>
        <v>22.339999999999456</v>
      </c>
      <c r="AH20" s="8">
        <f t="shared" si="18"/>
        <v>68.58379999999832</v>
      </c>
      <c r="AJ20" s="8">
        <f t="shared" ref="AJ20:AJ34" si="20">T20-Q20-Z20</f>
        <v>-3.9968028886505635E-15</v>
      </c>
    </row>
    <row r="21" spans="1:36" x14ac:dyDescent="0.15">
      <c r="A21" s="37">
        <v>38520</v>
      </c>
      <c r="B21" s="7">
        <f>'[8]Jun Prod'!I20</f>
        <v>11900000.000000546</v>
      </c>
      <c r="C21" s="8">
        <f t="shared" si="1"/>
        <v>11.900000000000546</v>
      </c>
      <c r="D21" s="10">
        <f t="shared" si="2"/>
        <v>36.533000000001671</v>
      </c>
      <c r="E21" s="7">
        <f>'[8]Jun Prod'!E20</f>
        <v>12000000</v>
      </c>
      <c r="F21" s="8">
        <f t="shared" si="3"/>
        <v>12</v>
      </c>
      <c r="G21" s="10">
        <f t="shared" si="4"/>
        <v>36.839999999999996</v>
      </c>
      <c r="H21" s="7">
        <f>'[8]Jun Prod'!F20</f>
        <v>0</v>
      </c>
      <c r="I21" s="8">
        <f t="shared" si="5"/>
        <v>0</v>
      </c>
      <c r="J21" s="10">
        <f t="shared" si="6"/>
        <v>0</v>
      </c>
      <c r="K21" s="7">
        <f>'[8]Jun Prod'!H268</f>
        <v>99773</v>
      </c>
      <c r="L21" s="8">
        <f t="shared" si="19"/>
        <v>9.9773000000000001E-2</v>
      </c>
      <c r="M21" s="10">
        <f t="shared" si="7"/>
        <v>0.30630310999999999</v>
      </c>
      <c r="N21" s="28"/>
      <c r="O21" s="7">
        <f>'[8]Jun Prod'!H20</f>
        <v>12720000</v>
      </c>
      <c r="P21" s="8">
        <f t="shared" si="8"/>
        <v>12.72</v>
      </c>
      <c r="Q21" s="10">
        <f t="shared" si="9"/>
        <v>39.050400000000003</v>
      </c>
      <c r="R21" s="7">
        <f>'[8]Jun Prod'!C20</f>
        <v>13386000</v>
      </c>
      <c r="S21" s="8">
        <f t="shared" si="10"/>
        <v>13.385999999999999</v>
      </c>
      <c r="T21" s="10">
        <f t="shared" si="11"/>
        <v>41.095019999999998</v>
      </c>
      <c r="U21" s="7">
        <f>'[8]Jun Prod'!D20</f>
        <v>0</v>
      </c>
      <c r="V21" s="8">
        <f t="shared" si="12"/>
        <v>0</v>
      </c>
      <c r="W21" s="10">
        <f t="shared" si="13"/>
        <v>0</v>
      </c>
      <c r="X21" s="7">
        <f>'[8]Jun Prod'!D268</f>
        <v>666000.00000000035</v>
      </c>
      <c r="Y21" s="8">
        <f t="shared" si="14"/>
        <v>0.66600000000000037</v>
      </c>
      <c r="Z21" s="10">
        <f t="shared" si="15"/>
        <v>2.044620000000001</v>
      </c>
      <c r="AA21" s="22"/>
      <c r="AB21" s="7">
        <f>'[8]Jun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24620000.000000544</v>
      </c>
      <c r="AG21" s="8">
        <f t="shared" si="18"/>
        <v>24.620000000000545</v>
      </c>
      <c r="AH21" s="8">
        <f t="shared" si="18"/>
        <v>75.583400000001674</v>
      </c>
      <c r="AJ21" s="8">
        <f t="shared" si="20"/>
        <v>-6.2172489379008766E-15</v>
      </c>
    </row>
    <row r="22" spans="1:36" x14ac:dyDescent="0.15">
      <c r="A22" s="37">
        <v>38521</v>
      </c>
      <c r="B22" s="7">
        <f>'[8]Jun Prod'!I21</f>
        <v>16799999.999999274</v>
      </c>
      <c r="C22" s="8">
        <f t="shared" si="1"/>
        <v>16.799999999999272</v>
      </c>
      <c r="D22" s="10">
        <f t="shared" si="2"/>
        <v>51.575999999997762</v>
      </c>
      <c r="E22" s="7">
        <f>'[8]Jun Prod'!E21</f>
        <v>16000000</v>
      </c>
      <c r="F22" s="8">
        <f t="shared" si="3"/>
        <v>16</v>
      </c>
      <c r="G22" s="10">
        <f t="shared" si="4"/>
        <v>49.12</v>
      </c>
      <c r="H22" s="7">
        <f>'[8]Jun Prod'!F21</f>
        <v>0</v>
      </c>
      <c r="I22" s="8">
        <f t="shared" si="5"/>
        <v>0</v>
      </c>
      <c r="J22" s="10">
        <f t="shared" si="6"/>
        <v>0</v>
      </c>
      <c r="K22" s="7">
        <f>'[8]Jun Prod'!H269</f>
        <v>449870</v>
      </c>
      <c r="L22" s="8">
        <f t="shared" si="19"/>
        <v>0.44986999999999999</v>
      </c>
      <c r="M22" s="10">
        <f t="shared" si="7"/>
        <v>1.3811008999999999</v>
      </c>
      <c r="N22" s="28"/>
      <c r="O22" s="7">
        <f>'[8]Jun Prod'!H21</f>
        <v>12427000</v>
      </c>
      <c r="P22" s="8">
        <f t="shared" si="8"/>
        <v>12.427</v>
      </c>
      <c r="Q22" s="10">
        <f t="shared" si="9"/>
        <v>38.150889999999997</v>
      </c>
      <c r="R22" s="7">
        <f>'[8]Jun Prod'!C21</f>
        <v>13576000</v>
      </c>
      <c r="S22" s="8">
        <f t="shared" si="10"/>
        <v>13.576000000000001</v>
      </c>
      <c r="T22" s="10">
        <f t="shared" si="11"/>
        <v>41.678319999999999</v>
      </c>
      <c r="U22" s="7">
        <f>'[8]Jun Prod'!D21</f>
        <v>0</v>
      </c>
      <c r="V22" s="8">
        <f t="shared" si="12"/>
        <v>0</v>
      </c>
      <c r="W22" s="10">
        <f t="shared" si="13"/>
        <v>0</v>
      </c>
      <c r="X22" s="7">
        <f>'[8]Jun Prod'!D269</f>
        <v>1149000.0000000009</v>
      </c>
      <c r="Y22" s="8">
        <f t="shared" si="14"/>
        <v>1.1490000000000009</v>
      </c>
      <c r="Z22" s="10">
        <f t="shared" si="15"/>
        <v>3.5274300000000025</v>
      </c>
      <c r="AA22" s="22"/>
      <c r="AB22" s="7">
        <f>'[8]Jun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29226999.999999274</v>
      </c>
      <c r="AG22" s="8">
        <f t="shared" si="18"/>
        <v>29.226999999999272</v>
      </c>
      <c r="AH22" s="8">
        <f t="shared" si="18"/>
        <v>89.726889999997752</v>
      </c>
      <c r="AJ22" s="8">
        <f t="shared" si="20"/>
        <v>0</v>
      </c>
    </row>
    <row r="23" spans="1:36" x14ac:dyDescent="0.15">
      <c r="A23" s="37">
        <v>38522</v>
      </c>
      <c r="B23" s="7">
        <f>'[8]Jun Prod'!I22</f>
        <v>18000000</v>
      </c>
      <c r="C23" s="8">
        <f t="shared" si="1"/>
        <v>18</v>
      </c>
      <c r="D23" s="10">
        <f t="shared" si="2"/>
        <v>55.26</v>
      </c>
      <c r="E23" s="7">
        <f>'[8]Jun Prod'!E22</f>
        <v>19000000</v>
      </c>
      <c r="F23" s="8">
        <f t="shared" si="3"/>
        <v>19</v>
      </c>
      <c r="G23" s="10">
        <f t="shared" si="4"/>
        <v>58.33</v>
      </c>
      <c r="H23" s="7">
        <f>'[8]Jun Prod'!F22</f>
        <v>0</v>
      </c>
      <c r="I23" s="8">
        <f t="shared" si="5"/>
        <v>0</v>
      </c>
      <c r="J23" s="10">
        <f t="shared" si="6"/>
        <v>0</v>
      </c>
      <c r="K23" s="7">
        <f>'[8]Jun Prod'!H270</f>
        <v>321705</v>
      </c>
      <c r="L23" s="8">
        <f t="shared" si="19"/>
        <v>0.32170500000000002</v>
      </c>
      <c r="M23" s="10">
        <f t="shared" si="7"/>
        <v>0.98763434999999999</v>
      </c>
      <c r="N23" s="28"/>
      <c r="O23" s="7">
        <f>'[8]Jun Prod'!H22</f>
        <v>11354000</v>
      </c>
      <c r="P23" s="8">
        <f t="shared" si="8"/>
        <v>11.353999999999999</v>
      </c>
      <c r="Q23" s="10">
        <f t="shared" si="9"/>
        <v>34.856779999999993</v>
      </c>
      <c r="R23" s="7">
        <f>'[8]Jun Prod'!C22</f>
        <v>11974000</v>
      </c>
      <c r="S23" s="8">
        <f t="shared" si="10"/>
        <v>11.974</v>
      </c>
      <c r="T23" s="10">
        <f t="shared" si="11"/>
        <v>36.760179999999998</v>
      </c>
      <c r="U23" s="7">
        <f>'[8]Jun Prod'!D22</f>
        <v>0</v>
      </c>
      <c r="V23" s="8">
        <f t="shared" si="12"/>
        <v>0</v>
      </c>
      <c r="W23" s="10">
        <f t="shared" si="13"/>
        <v>0</v>
      </c>
      <c r="X23" s="7">
        <f>'[8]Jun Prod'!D270</f>
        <v>619999.99999999919</v>
      </c>
      <c r="Y23" s="8">
        <f t="shared" si="14"/>
        <v>0.61999999999999922</v>
      </c>
      <c r="Z23" s="10">
        <f t="shared" si="15"/>
        <v>1.9033999999999975</v>
      </c>
      <c r="AA23" s="22"/>
      <c r="AB23" s="7">
        <f>'[8]Jun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29354000</v>
      </c>
      <c r="AG23" s="8">
        <f t="shared" si="18"/>
        <v>29.353999999999999</v>
      </c>
      <c r="AH23" s="8">
        <f t="shared" si="18"/>
        <v>90.116779999999991</v>
      </c>
      <c r="AJ23" s="8">
        <f t="shared" si="20"/>
        <v>7.3274719625260332E-15</v>
      </c>
    </row>
    <row r="24" spans="1:36" x14ac:dyDescent="0.15">
      <c r="A24" s="37">
        <v>38523</v>
      </c>
      <c r="B24" s="7">
        <f>'[8]Jun Prod'!I23</f>
        <v>18000000</v>
      </c>
      <c r="C24" s="8">
        <f t="shared" si="1"/>
        <v>18</v>
      </c>
      <c r="D24" s="10">
        <f t="shared" si="2"/>
        <v>55.26</v>
      </c>
      <c r="E24" s="7">
        <f>'[8]Jun Prod'!E23</f>
        <v>18000000</v>
      </c>
      <c r="F24" s="8">
        <f t="shared" si="3"/>
        <v>18</v>
      </c>
      <c r="G24" s="10">
        <f t="shared" si="4"/>
        <v>55.26</v>
      </c>
      <c r="H24" s="7">
        <f>'[8]Jun Prod'!F23</f>
        <v>0</v>
      </c>
      <c r="I24" s="8">
        <f t="shared" si="5"/>
        <v>0</v>
      </c>
      <c r="J24" s="10">
        <f t="shared" si="6"/>
        <v>0</v>
      </c>
      <c r="K24" s="7">
        <f>'[8]Jun Prod'!H271</f>
        <v>302104</v>
      </c>
      <c r="L24" s="8">
        <f t="shared" si="19"/>
        <v>0.30210399999999998</v>
      </c>
      <c r="M24" s="10">
        <f t="shared" si="7"/>
        <v>0.92745927999999989</v>
      </c>
      <c r="N24" s="28"/>
      <c r="O24" s="7">
        <f>'[8]Jun Prod'!H23</f>
        <v>11152999.999999998</v>
      </c>
      <c r="P24" s="8">
        <f t="shared" si="8"/>
        <v>11.152999999999999</v>
      </c>
      <c r="Q24" s="10">
        <f t="shared" si="9"/>
        <v>34.239709999999995</v>
      </c>
      <c r="R24" s="7">
        <f>'[8]Jun Prod'!C23</f>
        <v>11773000</v>
      </c>
      <c r="S24" s="8">
        <f t="shared" si="10"/>
        <v>11.773</v>
      </c>
      <c r="T24" s="10">
        <f t="shared" si="11"/>
        <v>36.14311</v>
      </c>
      <c r="U24" s="7">
        <f>'[8]Jun Prod'!D23</f>
        <v>0</v>
      </c>
      <c r="V24" s="8">
        <f t="shared" si="12"/>
        <v>0</v>
      </c>
      <c r="W24" s="10">
        <f t="shared" si="13"/>
        <v>0</v>
      </c>
      <c r="X24" s="7">
        <f>'[8]Jun Prod'!D271</f>
        <v>620000.00000000105</v>
      </c>
      <c r="Y24" s="8">
        <f t="shared" si="14"/>
        <v>0.62000000000000099</v>
      </c>
      <c r="Z24" s="10">
        <f t="shared" si="15"/>
        <v>1.9034000000000029</v>
      </c>
      <c r="AA24" s="22"/>
      <c r="AB24" s="7">
        <f>'[8]Jun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29153000</v>
      </c>
      <c r="AG24" s="8">
        <f t="shared" si="18"/>
        <v>29.152999999999999</v>
      </c>
      <c r="AH24" s="8">
        <f t="shared" si="18"/>
        <v>89.499709999999993</v>
      </c>
      <c r="AJ24" s="8">
        <f t="shared" si="20"/>
        <v>1.9984014443252818E-15</v>
      </c>
    </row>
    <row r="25" spans="1:36" x14ac:dyDescent="0.15">
      <c r="A25" s="37">
        <v>38524</v>
      </c>
      <c r="B25" s="7">
        <f>'[8]Jun Prod'!I24</f>
        <v>15800000.000000183</v>
      </c>
      <c r="C25" s="8">
        <f t="shared" si="1"/>
        <v>15.800000000000182</v>
      </c>
      <c r="D25" s="10">
        <f t="shared" si="2"/>
        <v>48.506000000000554</v>
      </c>
      <c r="E25" s="7">
        <f>'[8]Jun Prod'!E24</f>
        <v>17000000</v>
      </c>
      <c r="F25" s="8">
        <f t="shared" si="3"/>
        <v>17</v>
      </c>
      <c r="G25" s="10">
        <f t="shared" si="4"/>
        <v>52.19</v>
      </c>
      <c r="H25" s="7">
        <f>'[8]Jun Prod'!F24</f>
        <v>0</v>
      </c>
      <c r="I25" s="8">
        <f t="shared" si="5"/>
        <v>0</v>
      </c>
      <c r="J25" s="10">
        <f t="shared" si="6"/>
        <v>0</v>
      </c>
      <c r="K25" s="7">
        <f>'[8]Jun Prod'!H272</f>
        <v>145057</v>
      </c>
      <c r="L25" s="8">
        <f t="shared" si="19"/>
        <v>0.14505699999999999</v>
      </c>
      <c r="M25" s="10">
        <f t="shared" si="7"/>
        <v>0.44532498999999998</v>
      </c>
      <c r="N25" s="28"/>
      <c r="O25" s="7">
        <f>'[8]Jun Prod'!H24</f>
        <v>11021000.000000002</v>
      </c>
      <c r="P25" s="8">
        <f t="shared" si="8"/>
        <v>11.021000000000003</v>
      </c>
      <c r="Q25" s="10">
        <f t="shared" si="9"/>
        <v>33.834470000000003</v>
      </c>
      <c r="R25" s="7">
        <f>'[8]Jun Prod'!C24</f>
        <v>11587000</v>
      </c>
      <c r="S25" s="8">
        <f t="shared" si="10"/>
        <v>11.587</v>
      </c>
      <c r="T25" s="10">
        <f t="shared" si="11"/>
        <v>35.572089999999996</v>
      </c>
      <c r="U25" s="7">
        <f>'[8]Jun Prod'!D24</f>
        <v>0</v>
      </c>
      <c r="V25" s="8">
        <f t="shared" si="12"/>
        <v>0</v>
      </c>
      <c r="W25" s="10">
        <f t="shared" si="13"/>
        <v>0</v>
      </c>
      <c r="X25" s="7">
        <f>'[8]Jun Prod'!D272</f>
        <v>565999.99999999895</v>
      </c>
      <c r="Y25" s="8">
        <f t="shared" si="14"/>
        <v>0.56599999999999895</v>
      </c>
      <c r="Z25" s="10">
        <f t="shared" si="15"/>
        <v>1.7376199999999966</v>
      </c>
      <c r="AA25" s="22"/>
      <c r="AB25" s="7">
        <f>'[8]Jun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26821000.000000186</v>
      </c>
      <c r="AG25" s="8">
        <f t="shared" si="18"/>
        <v>26.821000000000183</v>
      </c>
      <c r="AH25" s="8">
        <f t="shared" si="18"/>
        <v>82.34047000000055</v>
      </c>
      <c r="AJ25" s="8">
        <f t="shared" si="20"/>
        <v>-3.9968028886505635E-15</v>
      </c>
    </row>
    <row r="26" spans="1:36" x14ac:dyDescent="0.15">
      <c r="A26" s="37">
        <v>38525</v>
      </c>
      <c r="B26" s="7">
        <f>'[8]Jun Prod'!I25</f>
        <v>20400000.000000544</v>
      </c>
      <c r="C26" s="8">
        <f t="shared" si="1"/>
        <v>20.400000000000542</v>
      </c>
      <c r="D26" s="10">
        <f t="shared" si="2"/>
        <v>62.628000000001663</v>
      </c>
      <c r="E26" s="7">
        <f>'[8]Jun Prod'!E25</f>
        <v>20000000</v>
      </c>
      <c r="F26" s="8">
        <f t="shared" si="3"/>
        <v>20</v>
      </c>
      <c r="G26" s="10">
        <f t="shared" si="4"/>
        <v>61.4</v>
      </c>
      <c r="H26" s="7">
        <f>'[8]Jun Prod'!F25</f>
        <v>0</v>
      </c>
      <c r="I26" s="8">
        <f t="shared" si="5"/>
        <v>0</v>
      </c>
      <c r="J26" s="10">
        <f t="shared" si="6"/>
        <v>0</v>
      </c>
      <c r="K26" s="7">
        <f>'[8]Jun Prod'!H273</f>
        <v>312256</v>
      </c>
      <c r="L26" s="8">
        <f t="shared" si="19"/>
        <v>0.31225599999999998</v>
      </c>
      <c r="M26" s="10">
        <f t="shared" si="7"/>
        <v>0.95862591999999991</v>
      </c>
      <c r="N26" s="28"/>
      <c r="O26" s="7">
        <f>'[8]Jun Prod'!H25</f>
        <v>9671000</v>
      </c>
      <c r="P26" s="8">
        <f t="shared" si="8"/>
        <v>9.6709999999999994</v>
      </c>
      <c r="Q26" s="10">
        <f t="shared" si="9"/>
        <v>29.689969999999995</v>
      </c>
      <c r="R26" s="7">
        <f>'[8]Jun Prod'!C25</f>
        <v>10448000</v>
      </c>
      <c r="S26" s="8">
        <f t="shared" si="10"/>
        <v>10.448</v>
      </c>
      <c r="T26" s="10">
        <f t="shared" si="11"/>
        <v>32.075359999999996</v>
      </c>
      <c r="U26" s="7">
        <f>'[8]Jun Prod'!D25</f>
        <v>0</v>
      </c>
      <c r="V26" s="8">
        <f t="shared" si="12"/>
        <v>0</v>
      </c>
      <c r="W26" s="10">
        <f t="shared" si="13"/>
        <v>0</v>
      </c>
      <c r="X26" s="7">
        <f>'[8]Jun Prod'!D273</f>
        <v>776999.9999999993</v>
      </c>
      <c r="Y26" s="8">
        <f t="shared" si="14"/>
        <v>0.77699999999999925</v>
      </c>
      <c r="Z26" s="10">
        <f t="shared" si="15"/>
        <v>2.3853899999999975</v>
      </c>
      <c r="AA26" s="22"/>
      <c r="AB26" s="7">
        <f>'[8]Jun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30071000.000000544</v>
      </c>
      <c r="AG26" s="8">
        <f t="shared" si="18"/>
        <v>30.071000000000542</v>
      </c>
      <c r="AH26" s="8">
        <f t="shared" si="18"/>
        <v>92.317970000001651</v>
      </c>
      <c r="AJ26" s="8">
        <f t="shared" si="20"/>
        <v>3.5527136788005009E-15</v>
      </c>
    </row>
    <row r="27" spans="1:36" x14ac:dyDescent="0.15">
      <c r="A27" s="37">
        <v>38526</v>
      </c>
      <c r="B27" s="7">
        <f>'[8]Jun Prod'!I26</f>
        <v>18699999.999999817</v>
      </c>
      <c r="C27" s="8">
        <f t="shared" si="1"/>
        <v>18.699999999999818</v>
      </c>
      <c r="D27" s="10">
        <f t="shared" si="2"/>
        <v>57.408999999999438</v>
      </c>
      <c r="E27" s="7">
        <f>'[8]Jun Prod'!E26</f>
        <v>19000000</v>
      </c>
      <c r="F27" s="8">
        <f t="shared" si="3"/>
        <v>19</v>
      </c>
      <c r="G27" s="10">
        <f t="shared" si="4"/>
        <v>58.33</v>
      </c>
      <c r="H27" s="7">
        <f>'[8]Jun Prod'!F26</f>
        <v>0</v>
      </c>
      <c r="I27" s="8">
        <f t="shared" si="5"/>
        <v>0</v>
      </c>
      <c r="J27" s="10">
        <f t="shared" si="6"/>
        <v>0</v>
      </c>
      <c r="K27" s="7">
        <f>'[8]Jun Prod'!H274</f>
        <v>314244</v>
      </c>
      <c r="L27" s="8">
        <f t="shared" si="19"/>
        <v>0.31424400000000002</v>
      </c>
      <c r="M27" s="10">
        <f t="shared" si="7"/>
        <v>0.96472908000000002</v>
      </c>
      <c r="N27" s="28"/>
      <c r="O27" s="7">
        <f>'[8]Jun Prod'!H26</f>
        <v>11063999.999999998</v>
      </c>
      <c r="P27" s="8">
        <f t="shared" si="8"/>
        <v>11.063999999999998</v>
      </c>
      <c r="Q27" s="10">
        <f t="shared" si="9"/>
        <v>33.96647999999999</v>
      </c>
      <c r="R27" s="7">
        <f>'[8]Jun Prod'!C26</f>
        <v>11548000</v>
      </c>
      <c r="S27" s="8">
        <f t="shared" si="10"/>
        <v>11.548</v>
      </c>
      <c r="T27" s="10">
        <f t="shared" si="11"/>
        <v>35.452359999999999</v>
      </c>
      <c r="U27" s="7">
        <f>'[8]Jun Prod'!D26</f>
        <v>0</v>
      </c>
      <c r="V27" s="8">
        <f t="shared" si="12"/>
        <v>0</v>
      </c>
      <c r="W27" s="10">
        <f t="shared" si="13"/>
        <v>0</v>
      </c>
      <c r="X27" s="7">
        <f>'[8]Jun Prod'!D274</f>
        <v>484000.00000000175</v>
      </c>
      <c r="Y27" s="8">
        <f t="shared" si="14"/>
        <v>0.48400000000000176</v>
      </c>
      <c r="Z27" s="10">
        <f t="shared" si="15"/>
        <v>1.4858800000000054</v>
      </c>
      <c r="AA27" s="22"/>
      <c r="AB27" s="7">
        <f>'[8]Jun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29763999.999999814</v>
      </c>
      <c r="AG27" s="8">
        <f t="shared" si="18"/>
        <v>29.763999999999818</v>
      </c>
      <c r="AH27" s="8">
        <f t="shared" si="18"/>
        <v>91.375479999999428</v>
      </c>
      <c r="AJ27" s="8">
        <f t="shared" si="20"/>
        <v>3.3306690738754696E-15</v>
      </c>
    </row>
    <row r="28" spans="1:36" x14ac:dyDescent="0.15">
      <c r="A28" s="37">
        <v>38527</v>
      </c>
      <c r="B28" s="7">
        <f>'[8]Jun Prod'!I27</f>
        <v>16599999.999999454</v>
      </c>
      <c r="C28" s="8">
        <f t="shared" si="1"/>
        <v>16.599999999999454</v>
      </c>
      <c r="D28" s="10">
        <f t="shared" si="2"/>
        <v>50.961999999998319</v>
      </c>
      <c r="E28" s="7">
        <f>'[8]Jun Prod'!E27</f>
        <v>17000000</v>
      </c>
      <c r="F28" s="8">
        <f t="shared" si="3"/>
        <v>17</v>
      </c>
      <c r="G28" s="10">
        <f t="shared" si="4"/>
        <v>52.19</v>
      </c>
      <c r="H28" s="7">
        <f>'[8]Jun Prod'!F27</f>
        <v>0</v>
      </c>
      <c r="I28" s="8">
        <f t="shared" si="5"/>
        <v>0</v>
      </c>
      <c r="J28" s="10">
        <f t="shared" si="6"/>
        <v>0</v>
      </c>
      <c r="K28" s="7">
        <f>'[8]Jun Prod'!H275</f>
        <v>250370</v>
      </c>
      <c r="L28" s="8">
        <f t="shared" si="19"/>
        <v>0.25036999999999998</v>
      </c>
      <c r="M28" s="10">
        <f t="shared" si="7"/>
        <v>0.76863589999999993</v>
      </c>
      <c r="N28" s="28"/>
      <c r="O28" s="7">
        <f>'[8]Jun Prod'!H27</f>
        <v>10920000.000000002</v>
      </c>
      <c r="P28" s="8">
        <f t="shared" si="8"/>
        <v>10.920000000000002</v>
      </c>
      <c r="Q28" s="10">
        <f t="shared" si="9"/>
        <v>33.5244</v>
      </c>
      <c r="R28" s="7">
        <f>'[8]Jun Prod'!C27</f>
        <v>11494000</v>
      </c>
      <c r="S28" s="8">
        <f t="shared" si="10"/>
        <v>11.494</v>
      </c>
      <c r="T28" s="10">
        <f t="shared" si="11"/>
        <v>35.286580000000001</v>
      </c>
      <c r="U28" s="7">
        <f>'[8]Jun Prod'!D27</f>
        <v>0</v>
      </c>
      <c r="V28" s="8">
        <f t="shared" si="12"/>
        <v>0</v>
      </c>
      <c r="W28" s="10">
        <f t="shared" si="13"/>
        <v>0</v>
      </c>
      <c r="X28" s="7">
        <f>'[8]Jun Prod'!D275</f>
        <v>573999.99999999802</v>
      </c>
      <c r="Y28" s="8">
        <f t="shared" si="14"/>
        <v>0.57399999999999807</v>
      </c>
      <c r="Z28" s="10">
        <f t="shared" si="15"/>
        <v>1.7621799999999941</v>
      </c>
      <c r="AA28" s="22"/>
      <c r="AB28" s="7">
        <f>'[8]Jun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27519999.999999456</v>
      </c>
      <c r="AG28" s="8">
        <f t="shared" si="18"/>
        <v>27.519999999999456</v>
      </c>
      <c r="AH28" s="8">
        <f t="shared" si="18"/>
        <v>84.486399999998326</v>
      </c>
      <c r="AJ28" s="8">
        <f t="shared" si="20"/>
        <v>6.6613381477509392E-15</v>
      </c>
    </row>
    <row r="29" spans="1:36" x14ac:dyDescent="0.15">
      <c r="A29" s="37">
        <v>38528</v>
      </c>
      <c r="B29" s="7">
        <f>'[8]Jun Prod'!I28</f>
        <v>21300000.000000183</v>
      </c>
      <c r="C29" s="8">
        <f t="shared" si="1"/>
        <v>21.300000000000182</v>
      </c>
      <c r="D29" s="10">
        <f t="shared" si="2"/>
        <v>65.39100000000056</v>
      </c>
      <c r="E29" s="7">
        <f>'[8]Jun Prod'!E28</f>
        <v>22000000</v>
      </c>
      <c r="F29" s="8">
        <f t="shared" si="3"/>
        <v>22</v>
      </c>
      <c r="G29" s="10">
        <f t="shared" si="4"/>
        <v>67.539999999999992</v>
      </c>
      <c r="H29" s="7">
        <f>'[8]Jun Prod'!F28</f>
        <v>0</v>
      </c>
      <c r="I29" s="8">
        <f t="shared" si="5"/>
        <v>0</v>
      </c>
      <c r="J29" s="10">
        <f t="shared" si="6"/>
        <v>0</v>
      </c>
      <c r="K29" s="7">
        <f>'[8]Jun Prod'!H276</f>
        <v>160559</v>
      </c>
      <c r="L29" s="8">
        <f>K29/1000000</f>
        <v>0.16055900000000001</v>
      </c>
      <c r="M29" s="10">
        <f t="shared" si="7"/>
        <v>0.49291613000000001</v>
      </c>
      <c r="N29" s="28"/>
      <c r="O29" s="7">
        <f>'[8]Jun Prod'!H28</f>
        <v>11634999.999999998</v>
      </c>
      <c r="P29" s="8">
        <f t="shared" si="8"/>
        <v>11.634999999999998</v>
      </c>
      <c r="Q29" s="10">
        <f t="shared" si="9"/>
        <v>35.719449999999995</v>
      </c>
      <c r="R29" s="7">
        <f>'[8]Jun Prod'!C28</f>
        <v>12459000</v>
      </c>
      <c r="S29" s="8">
        <f t="shared" si="10"/>
        <v>12.459</v>
      </c>
      <c r="T29" s="10">
        <f t="shared" si="11"/>
        <v>38.249129999999994</v>
      </c>
      <c r="U29" s="7">
        <f>'[8]Jun Prod'!D28</f>
        <v>0</v>
      </c>
      <c r="V29" s="8">
        <f t="shared" si="12"/>
        <v>0</v>
      </c>
      <c r="W29" s="10">
        <f t="shared" si="13"/>
        <v>0</v>
      </c>
      <c r="X29" s="7">
        <f>'[8]Jun Prod'!D276</f>
        <v>824000.00000000163</v>
      </c>
      <c r="Y29" s="8">
        <f t="shared" si="14"/>
        <v>0.82400000000000162</v>
      </c>
      <c r="Z29" s="10">
        <f t="shared" si="15"/>
        <v>2.5296800000000048</v>
      </c>
      <c r="AA29" s="22"/>
      <c r="AB29" s="7">
        <f>'[8]Jun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32935000.000000179</v>
      </c>
      <c r="AG29" s="8">
        <f t="shared" si="18"/>
        <v>32.93500000000018</v>
      </c>
      <c r="AH29" s="8">
        <f t="shared" si="18"/>
        <v>101.11045000000055</v>
      </c>
      <c r="AJ29" s="8">
        <f t="shared" si="20"/>
        <v>-5.773159728050814E-15</v>
      </c>
    </row>
    <row r="30" spans="1:36" x14ac:dyDescent="0.15">
      <c r="A30" s="37">
        <v>38529</v>
      </c>
      <c r="B30" s="7">
        <f>'[8]Jun Prod'!I29</f>
        <v>22600000.000000365</v>
      </c>
      <c r="C30" s="8">
        <f t="shared" si="1"/>
        <v>22.600000000000364</v>
      </c>
      <c r="D30" s="10">
        <f t="shared" si="2"/>
        <v>69.382000000001113</v>
      </c>
      <c r="E30" s="7">
        <f>'[8]Jun Prod'!E29</f>
        <v>22000000</v>
      </c>
      <c r="F30" s="8">
        <f t="shared" si="3"/>
        <v>22</v>
      </c>
      <c r="G30" s="10">
        <f t="shared" si="4"/>
        <v>67.539999999999992</v>
      </c>
      <c r="H30" s="7">
        <f>'[8]Jun Prod'!F29</f>
        <v>0</v>
      </c>
      <c r="I30" s="8">
        <f t="shared" si="5"/>
        <v>0</v>
      </c>
      <c r="J30" s="10">
        <f t="shared" si="6"/>
        <v>0</v>
      </c>
      <c r="K30" s="7">
        <f>'[8]Jun Prod'!H277</f>
        <v>172000</v>
      </c>
      <c r="L30" s="8">
        <f t="shared" si="19"/>
        <v>0.17199999999999999</v>
      </c>
      <c r="M30" s="10">
        <f t="shared" si="7"/>
        <v>0.52803999999999995</v>
      </c>
      <c r="N30" s="28"/>
      <c r="O30" s="7">
        <f>'[8]Jun Prod'!H29</f>
        <v>7682000</v>
      </c>
      <c r="P30" s="8">
        <f t="shared" si="8"/>
        <v>7.6820000000000004</v>
      </c>
      <c r="Q30" s="10">
        <f t="shared" si="9"/>
        <v>23.583739999999999</v>
      </c>
      <c r="R30" s="7">
        <f>'[8]Jun Prod'!C29</f>
        <v>8356000</v>
      </c>
      <c r="S30" s="8">
        <f t="shared" si="10"/>
        <v>8.3559999999999999</v>
      </c>
      <c r="T30" s="10">
        <f t="shared" si="11"/>
        <v>25.652919999999998</v>
      </c>
      <c r="U30" s="7">
        <f>'[8]Jun Prod'!D29</f>
        <v>0</v>
      </c>
      <c r="V30" s="8">
        <f t="shared" si="12"/>
        <v>0</v>
      </c>
      <c r="W30" s="10">
        <f t="shared" si="13"/>
        <v>0</v>
      </c>
      <c r="X30" s="7">
        <f>'[8]Jun Prod'!D277</f>
        <v>673999.99999999953</v>
      </c>
      <c r="Y30" s="8">
        <f t="shared" si="14"/>
        <v>0.67399999999999949</v>
      </c>
      <c r="Z30" s="10">
        <f t="shared" si="15"/>
        <v>2.0691799999999985</v>
      </c>
      <c r="AA30" s="22"/>
      <c r="AB30" s="7">
        <f>'[8]Jun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30282000.000000365</v>
      </c>
      <c r="AG30" s="8">
        <f t="shared" si="18"/>
        <v>30.282000000000366</v>
      </c>
      <c r="AH30" s="8">
        <f t="shared" si="18"/>
        <v>92.965740000001119</v>
      </c>
      <c r="AJ30" s="8">
        <f t="shared" si="20"/>
        <v>0</v>
      </c>
    </row>
    <row r="31" spans="1:36" x14ac:dyDescent="0.15">
      <c r="A31" s="37">
        <v>38530</v>
      </c>
      <c r="B31" s="7">
        <f>'[8]Jun Prod'!I30</f>
        <v>19699999.999999817</v>
      </c>
      <c r="C31" s="8">
        <f t="shared" si="1"/>
        <v>19.699999999999818</v>
      </c>
      <c r="D31" s="10">
        <f t="shared" si="2"/>
        <v>60.478999999999438</v>
      </c>
      <c r="E31" s="7">
        <f>'[8]Jun Prod'!E30</f>
        <v>20000000</v>
      </c>
      <c r="F31" s="8">
        <f t="shared" si="3"/>
        <v>20</v>
      </c>
      <c r="G31" s="10">
        <f t="shared" si="4"/>
        <v>61.4</v>
      </c>
      <c r="H31" s="7">
        <f>'[8]Jun Prod'!F30</f>
        <v>0</v>
      </c>
      <c r="I31" s="8">
        <f t="shared" si="5"/>
        <v>0</v>
      </c>
      <c r="J31" s="10">
        <f t="shared" si="6"/>
        <v>0</v>
      </c>
      <c r="K31" s="7">
        <f>'[8]Jun Prod'!H278</f>
        <v>152592</v>
      </c>
      <c r="L31" s="8">
        <f t="shared" si="19"/>
        <v>0.15259200000000001</v>
      </c>
      <c r="M31" s="10">
        <f t="shared" si="7"/>
        <v>0.46845744</v>
      </c>
      <c r="N31" s="28"/>
      <c r="O31" s="7">
        <f>'[8]Jun Prod'!H30</f>
        <v>7124000.0000000009</v>
      </c>
      <c r="P31" s="8">
        <f t="shared" si="8"/>
        <v>7.1240000000000006</v>
      </c>
      <c r="Q31" s="10">
        <f t="shared" si="9"/>
        <v>21.87068</v>
      </c>
      <c r="R31" s="7">
        <f>'[8]Jun Prod'!C30</f>
        <v>7504000</v>
      </c>
      <c r="S31" s="8">
        <f t="shared" si="10"/>
        <v>7.5039999999999996</v>
      </c>
      <c r="T31" s="10">
        <f t="shared" si="11"/>
        <v>23.037279999999999</v>
      </c>
      <c r="U31" s="7">
        <f>'[8]Jun Prod'!D30</f>
        <v>0</v>
      </c>
      <c r="V31" s="8">
        <f t="shared" si="12"/>
        <v>0</v>
      </c>
      <c r="W31" s="10">
        <f t="shared" si="13"/>
        <v>0</v>
      </c>
      <c r="X31" s="7">
        <f>'[8]Jun Prod'!D278</f>
        <v>379999.99999999901</v>
      </c>
      <c r="Y31" s="8">
        <f t="shared" si="14"/>
        <v>0.37999999999999901</v>
      </c>
      <c r="Z31" s="10">
        <f t="shared" si="15"/>
        <v>1.166599999999997</v>
      </c>
      <c r="AA31" s="22"/>
      <c r="AB31" s="7">
        <f>'[8]Jun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26823999.999999817</v>
      </c>
      <c r="AG31" s="8">
        <f t="shared" si="18"/>
        <v>26.82399999999982</v>
      </c>
      <c r="AH31" s="8">
        <f t="shared" si="18"/>
        <v>82.349679999999438</v>
      </c>
      <c r="AJ31" s="8">
        <f t="shared" si="20"/>
        <v>1.9984014443252818E-15</v>
      </c>
    </row>
    <row r="32" spans="1:36" x14ac:dyDescent="0.15">
      <c r="A32" s="37">
        <v>38531</v>
      </c>
      <c r="B32" s="7">
        <f>'[8]Jun Prod'!I31</f>
        <v>20800000.000000183</v>
      </c>
      <c r="C32" s="8">
        <f t="shared" si="1"/>
        <v>20.800000000000182</v>
      </c>
      <c r="D32" s="10">
        <f t="shared" si="2"/>
        <v>63.856000000000556</v>
      </c>
      <c r="E32" s="7">
        <f>'[8]Jun Prod'!E31</f>
        <v>22000000</v>
      </c>
      <c r="F32" s="8">
        <f t="shared" si="3"/>
        <v>22</v>
      </c>
      <c r="G32" s="10">
        <f t="shared" si="4"/>
        <v>67.539999999999992</v>
      </c>
      <c r="H32" s="7">
        <f>'[8]Jun Prod'!F31</f>
        <v>0</v>
      </c>
      <c r="I32" s="8">
        <f t="shared" si="5"/>
        <v>0</v>
      </c>
      <c r="J32" s="10">
        <f t="shared" si="6"/>
        <v>0</v>
      </c>
      <c r="K32" s="7">
        <f>'[8]Jun Prod'!H279</f>
        <v>647320</v>
      </c>
      <c r="L32" s="8">
        <f t="shared" si="19"/>
        <v>0.64732000000000001</v>
      </c>
      <c r="M32" s="10">
        <f t="shared" si="7"/>
        <v>1.9872723999999999</v>
      </c>
      <c r="N32" s="28"/>
      <c r="O32" s="7">
        <f>'[8]Jun Prod'!H31</f>
        <v>10823999.999999998</v>
      </c>
      <c r="P32" s="8">
        <f t="shared" si="8"/>
        <v>10.823999999999998</v>
      </c>
      <c r="Q32" s="10">
        <f t="shared" si="9"/>
        <v>33.229679999999995</v>
      </c>
      <c r="R32" s="7">
        <f>'[8]Jun Prod'!C31</f>
        <v>11293000</v>
      </c>
      <c r="S32" s="8">
        <f t="shared" si="10"/>
        <v>11.292999999999999</v>
      </c>
      <c r="T32" s="10">
        <f t="shared" si="11"/>
        <v>34.669509999999995</v>
      </c>
      <c r="U32" s="7">
        <f>'[8]Jun Prod'!D31</f>
        <v>0</v>
      </c>
      <c r="V32" s="8">
        <f t="shared" si="12"/>
        <v>0</v>
      </c>
      <c r="W32" s="10">
        <f t="shared" si="13"/>
        <v>0</v>
      </c>
      <c r="X32" s="7">
        <f>'[8]Jun Prod'!D279</f>
        <v>469000.00000000122</v>
      </c>
      <c r="Y32" s="8">
        <f t="shared" si="14"/>
        <v>0.46900000000000125</v>
      </c>
      <c r="Z32" s="10">
        <f t="shared" si="15"/>
        <v>1.4398300000000037</v>
      </c>
      <c r="AA32" s="22"/>
      <c r="AB32" s="7">
        <f>'[8]Jun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31624000.000000179</v>
      </c>
      <c r="AG32" s="8">
        <f t="shared" si="18"/>
        <v>31.62400000000018</v>
      </c>
      <c r="AH32" s="8">
        <f t="shared" si="18"/>
        <v>97.085680000000551</v>
      </c>
      <c r="AJ32" s="8">
        <f t="shared" si="20"/>
        <v>-3.1086244689504383E-15</v>
      </c>
    </row>
    <row r="33" spans="1:36" x14ac:dyDescent="0.15">
      <c r="A33" s="37">
        <v>38532</v>
      </c>
      <c r="B33" s="7">
        <f>'[8]Jun Prod'!I32</f>
        <v>22099999.999999456</v>
      </c>
      <c r="C33" s="8">
        <f t="shared" si="1"/>
        <v>22.099999999999458</v>
      </c>
      <c r="D33" s="10">
        <f t="shared" si="2"/>
        <v>67.846999999998332</v>
      </c>
      <c r="E33" s="7">
        <f>'[8]Jun Prod'!E32</f>
        <v>20000000</v>
      </c>
      <c r="F33" s="8">
        <f t="shared" si="3"/>
        <v>20</v>
      </c>
      <c r="G33" s="10">
        <f t="shared" si="4"/>
        <v>61.4</v>
      </c>
      <c r="H33" s="7">
        <f>'[8]Jun Prod'!F32</f>
        <v>2000000</v>
      </c>
      <c r="I33" s="8">
        <f t="shared" si="5"/>
        <v>2</v>
      </c>
      <c r="J33" s="10">
        <f t="shared" si="6"/>
        <v>6.14</v>
      </c>
      <c r="K33" s="7">
        <f>'[8]Jun Prod'!H280</f>
        <v>1468807</v>
      </c>
      <c r="L33" s="8">
        <f t="shared" si="19"/>
        <v>1.468807</v>
      </c>
      <c r="M33" s="10">
        <f t="shared" si="7"/>
        <v>4.5092374899999994</v>
      </c>
      <c r="N33" s="28"/>
      <c r="O33" s="7">
        <f>'[8]Jun Prod'!H32</f>
        <v>10830000.000000002</v>
      </c>
      <c r="P33" s="8">
        <f t="shared" si="8"/>
        <v>10.830000000000002</v>
      </c>
      <c r="Q33" s="10">
        <f t="shared" si="9"/>
        <v>33.248100000000001</v>
      </c>
      <c r="R33" s="7">
        <f>'[8]Jun Prod'!C32</f>
        <v>11483000</v>
      </c>
      <c r="S33" s="8">
        <f t="shared" si="10"/>
        <v>11.483000000000001</v>
      </c>
      <c r="T33" s="10">
        <f t="shared" si="11"/>
        <v>35.252809999999997</v>
      </c>
      <c r="U33" s="7">
        <f>'[8]Jun Prod'!D32</f>
        <v>0</v>
      </c>
      <c r="V33" s="8">
        <f t="shared" si="12"/>
        <v>0</v>
      </c>
      <c r="W33" s="10">
        <f t="shared" si="13"/>
        <v>0</v>
      </c>
      <c r="X33" s="7">
        <f>'[8]Jun Prod'!D280</f>
        <v>652999.99999999872</v>
      </c>
      <c r="Y33" s="8">
        <f t="shared" si="14"/>
        <v>0.65299999999999869</v>
      </c>
      <c r="Z33" s="10">
        <f t="shared" si="15"/>
        <v>2.0047099999999958</v>
      </c>
      <c r="AA33" s="22"/>
      <c r="AB33" s="7">
        <f>'[8]Jun Prod'!G32</f>
        <v>0</v>
      </c>
      <c r="AC33" s="8">
        <f t="shared" si="16"/>
        <v>0</v>
      </c>
      <c r="AD33" s="10">
        <f t="shared" si="17"/>
        <v>0</v>
      </c>
      <c r="AF33" s="7">
        <f t="shared" si="18"/>
        <v>32929999.999999456</v>
      </c>
      <c r="AG33" s="8">
        <f t="shared" si="18"/>
        <v>32.92999999999946</v>
      </c>
      <c r="AH33" s="8">
        <f t="shared" si="18"/>
        <v>101.09509999999833</v>
      </c>
      <c r="AJ33" s="8">
        <f t="shared" si="20"/>
        <v>0</v>
      </c>
    </row>
    <row r="34" spans="1:36" x14ac:dyDescent="0.15">
      <c r="A34" s="37">
        <v>38533</v>
      </c>
      <c r="B34" s="7">
        <f>'[8]Jun Prod'!I33</f>
        <v>22400000.000000544</v>
      </c>
      <c r="C34" s="8">
        <f t="shared" si="1"/>
        <v>22.400000000000542</v>
      </c>
      <c r="D34" s="10">
        <f t="shared" si="2"/>
        <v>68.768000000001663</v>
      </c>
      <c r="E34" s="7">
        <f>'[8]Jun Prod'!E33</f>
        <v>19000000</v>
      </c>
      <c r="F34" s="8">
        <f t="shared" si="3"/>
        <v>19</v>
      </c>
      <c r="G34" s="10">
        <f t="shared" si="4"/>
        <v>58.33</v>
      </c>
      <c r="H34" s="7">
        <f>'[8]Jun Prod'!F33</f>
        <v>5000000</v>
      </c>
      <c r="I34" s="8">
        <f t="shared" si="5"/>
        <v>5</v>
      </c>
      <c r="J34" s="10">
        <f t="shared" si="6"/>
        <v>15.35</v>
      </c>
      <c r="K34" s="7">
        <f>'[8]Jun Prod'!H281</f>
        <v>2244509</v>
      </c>
      <c r="L34" s="8">
        <f t="shared" si="19"/>
        <v>2.2445089999999999</v>
      </c>
      <c r="M34" s="10">
        <f t="shared" si="7"/>
        <v>6.8906426299999994</v>
      </c>
      <c r="N34" s="28"/>
      <c r="O34" s="7">
        <f>'[8]Jun Prod'!H33</f>
        <v>12225999.999999998</v>
      </c>
      <c r="P34" s="8">
        <f t="shared" si="8"/>
        <v>12.225999999999997</v>
      </c>
      <c r="Q34" s="10">
        <f t="shared" si="9"/>
        <v>37.533819999999992</v>
      </c>
      <c r="R34" s="7">
        <f>'[8]Jun Prod'!C33</f>
        <v>12716000</v>
      </c>
      <c r="S34" s="8">
        <f t="shared" si="10"/>
        <v>12.715999999999999</v>
      </c>
      <c r="T34" s="10">
        <f t="shared" si="11"/>
        <v>39.038119999999999</v>
      </c>
      <c r="U34" s="7">
        <f>'[8]Jun Prod'!D33</f>
        <v>0</v>
      </c>
      <c r="V34" s="8">
        <f t="shared" si="12"/>
        <v>0</v>
      </c>
      <c r="W34" s="10">
        <f t="shared" si="13"/>
        <v>0</v>
      </c>
      <c r="X34" s="7">
        <f>'[8]Jun Prod'!D281</f>
        <v>490000.00000000198</v>
      </c>
      <c r="Y34" s="8">
        <f t="shared" si="14"/>
        <v>0.49000000000000199</v>
      </c>
      <c r="Z34" s="10">
        <f t="shared" si="15"/>
        <v>1.504300000000006</v>
      </c>
      <c r="AA34" s="22"/>
      <c r="AB34" s="7">
        <f>'[8]Jun Prod'!G33</f>
        <v>0</v>
      </c>
      <c r="AC34" s="8">
        <f t="shared" si="16"/>
        <v>0</v>
      </c>
      <c r="AD34" s="10">
        <f t="shared" si="17"/>
        <v>0</v>
      </c>
      <c r="AF34" s="7">
        <f t="shared" si="18"/>
        <v>34626000.000000544</v>
      </c>
      <c r="AG34" s="8">
        <f t="shared" si="18"/>
        <v>34.626000000000538</v>
      </c>
      <c r="AH34" s="8">
        <f t="shared" si="18"/>
        <v>106.30182000000165</v>
      </c>
      <c r="AJ34" s="8">
        <f t="shared" si="20"/>
        <v>1.7763568394002505E-15</v>
      </c>
    </row>
    <row r="35" spans="1:36" x14ac:dyDescent="0.15">
      <c r="A35" s="3"/>
      <c r="B35" s="21"/>
      <c r="C35" s="33">
        <f>SUM(C5:C34)</f>
        <v>544.90000000000055</v>
      </c>
      <c r="D35" s="41">
        <f t="shared" si="2"/>
        <v>1672.8430000000017</v>
      </c>
      <c r="E35" s="3"/>
      <c r="F35" s="33">
        <f>SUM(F5:F34)</f>
        <v>548</v>
      </c>
      <c r="G35" s="41">
        <f t="shared" si="4"/>
        <v>1682.36</v>
      </c>
      <c r="H35" s="3"/>
      <c r="I35" s="33">
        <f>SUM(I5:I34)</f>
        <v>7</v>
      </c>
      <c r="J35" s="41">
        <f t="shared" si="6"/>
        <v>21.49</v>
      </c>
      <c r="K35" s="3"/>
      <c r="L35" s="33">
        <f>SUM(L5:L34)</f>
        <v>11.304767999999999</v>
      </c>
      <c r="M35" s="41">
        <f t="shared" si="7"/>
        <v>34.705637759999995</v>
      </c>
      <c r="N35" s="21"/>
      <c r="O35" s="21"/>
      <c r="P35" s="33">
        <f>SUM(P5:P34)</f>
        <v>274.50799999999998</v>
      </c>
      <c r="Q35" s="41">
        <f t="shared" si="9"/>
        <v>842.73955999999987</v>
      </c>
      <c r="R35" s="3"/>
      <c r="S35" s="33">
        <f>SUM(S5:S34)</f>
        <v>291.64499999999998</v>
      </c>
      <c r="T35" s="41">
        <f t="shared" si="11"/>
        <v>895.35014999999987</v>
      </c>
      <c r="U35" s="21"/>
      <c r="V35" s="33">
        <f>SUM(V5:V34)</f>
        <v>0</v>
      </c>
      <c r="W35" s="41">
        <f t="shared" si="13"/>
        <v>0</v>
      </c>
      <c r="X35" s="21"/>
      <c r="Y35" s="33">
        <f>SUM(Y5:Y34)</f>
        <v>17.137</v>
      </c>
      <c r="Z35" s="41">
        <f t="shared" si="15"/>
        <v>52.610590000000002</v>
      </c>
      <c r="AA35" s="21"/>
      <c r="AB35" s="3"/>
      <c r="AC35" s="33">
        <f>SUM(AC5:AC34)</f>
        <v>0</v>
      </c>
      <c r="AD35" s="41">
        <f t="shared" si="17"/>
        <v>0</v>
      </c>
      <c r="AF35" s="32"/>
      <c r="AG35" s="40">
        <f>SUM(AG5:AG34)</f>
        <v>819.40800000000047</v>
      </c>
      <c r="AH35" s="32">
        <f>AG35*3.07</f>
        <v>2515.5825600000012</v>
      </c>
      <c r="AJ35" s="8">
        <f>SUM(AJ5:AJ34)</f>
        <v>-2.2204460492503131E-16</v>
      </c>
    </row>
    <row r="36" spans="1:36" x14ac:dyDescent="0.15">
      <c r="C36" s="25"/>
      <c r="E36" s="3"/>
      <c r="F36" s="3"/>
      <c r="G36" s="3"/>
      <c r="H36" s="3"/>
      <c r="I36" s="3"/>
      <c r="J36" s="3"/>
      <c r="K36" s="21"/>
      <c r="L36" s="3"/>
      <c r="M36" s="3"/>
      <c r="N36" s="3"/>
      <c r="O36" s="3"/>
      <c r="P36" s="3"/>
      <c r="Q36" s="3"/>
      <c r="R36" s="3"/>
      <c r="S36" s="3"/>
      <c r="T36" s="3"/>
      <c r="U36" s="21"/>
      <c r="AF36" s="21"/>
      <c r="AJ36" s="40"/>
    </row>
    <row r="43" spans="1:36" x14ac:dyDescent="0.15">
      <c r="T43" s="25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scale="35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J37"/>
  <sheetViews>
    <sheetView workbookViewId="0">
      <pane xSplit="1" ySplit="4" topLeftCell="T16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I5" sqref="I5:I35"/>
    </sheetView>
  </sheetViews>
  <sheetFormatPr baseColWidth="10" defaultColWidth="8.83203125" defaultRowHeight="13" x14ac:dyDescent="0.15"/>
  <cols>
    <col min="2" max="2" width="11.1640625" customWidth="1"/>
    <col min="5" max="5" width="11.33203125" customWidth="1"/>
    <col min="8" max="8" width="11.1640625" customWidth="1"/>
    <col min="11" max="11" width="13.5" bestFit="1" customWidth="1"/>
    <col min="12" max="12" width="11.5" customWidth="1"/>
    <col min="15" max="15" width="11.1640625" customWidth="1"/>
    <col min="18" max="18" width="11.1640625" customWidth="1"/>
    <col min="22" max="22" width="10.5" customWidth="1"/>
    <col min="28" max="31" width="0" hidden="1" customWidth="1"/>
    <col min="32" max="32" width="12.1640625" customWidth="1"/>
  </cols>
  <sheetData>
    <row r="1" spans="1:36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6" ht="14" thickBot="1" x14ac:dyDescent="0.2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6" ht="71" thickBot="1" x14ac:dyDescent="0.2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0" t="s">
        <v>8</v>
      </c>
      <c r="AG3" s="51"/>
      <c r="AH3" s="52"/>
      <c r="AJ3" s="45" t="s">
        <v>9</v>
      </c>
    </row>
    <row r="4" spans="1:36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" t="s">
        <v>0</v>
      </c>
      <c r="AG4" s="5" t="s">
        <v>1</v>
      </c>
      <c r="AH4" s="6" t="s">
        <v>2</v>
      </c>
      <c r="AJ4" s="5" t="s">
        <v>2</v>
      </c>
    </row>
    <row r="5" spans="1:36" x14ac:dyDescent="0.15">
      <c r="A5" s="37">
        <v>38534</v>
      </c>
      <c r="B5" s="7">
        <f>'[9]Jul Prod'!I4</f>
        <v>22399999.999999635</v>
      </c>
      <c r="C5" s="8">
        <f>B5/1000000</f>
        <v>22.399999999999636</v>
      </c>
      <c r="D5" s="10">
        <f>C5*3.07</f>
        <v>68.767999999998878</v>
      </c>
      <c r="E5" s="7">
        <f>'[9]Jul Prod'!E4</f>
        <v>18000000</v>
      </c>
      <c r="F5" s="8">
        <f>E5/1000000</f>
        <v>18</v>
      </c>
      <c r="G5" s="10">
        <f>F5*3.07</f>
        <v>55.26</v>
      </c>
      <c r="H5" s="7">
        <f>'[9]Jul Prod'!F4</f>
        <v>5000000</v>
      </c>
      <c r="I5" s="8">
        <f>H5/1000000</f>
        <v>5</v>
      </c>
      <c r="J5" s="10">
        <f>I5*3.07</f>
        <v>15.35</v>
      </c>
      <c r="K5" s="7">
        <f>'[9]Jul Prod'!H259</f>
        <v>3029167</v>
      </c>
      <c r="L5" s="8">
        <f>K5/1000000</f>
        <v>3.0291670000000002</v>
      </c>
      <c r="M5" s="10">
        <f>L5*3.07</f>
        <v>9.2995426900000009</v>
      </c>
      <c r="N5" s="28"/>
      <c r="O5" s="7">
        <f>'[9]Jul Prod'!H4</f>
        <v>11705000</v>
      </c>
      <c r="P5" s="8">
        <f>O5/1000000</f>
        <v>11.705</v>
      </c>
      <c r="Q5" s="10">
        <f>P5*3.07</f>
        <v>35.934349999999995</v>
      </c>
      <c r="R5" s="7">
        <f>'[9]Jul Prod'!C4</f>
        <v>12370000</v>
      </c>
      <c r="S5" s="8">
        <f>R5/1000000</f>
        <v>12.37</v>
      </c>
      <c r="T5" s="10">
        <f>S5*3.07</f>
        <v>37.975899999999996</v>
      </c>
      <c r="U5" s="7">
        <f>'[9]Jul Prod'!D4</f>
        <v>0</v>
      </c>
      <c r="V5" s="8">
        <f>U5/1000000</f>
        <v>0</v>
      </c>
      <c r="W5" s="10">
        <f>V5*3.07</f>
        <v>0</v>
      </c>
      <c r="X5" s="7">
        <f>'[9]Jul Prod'!D259</f>
        <v>664999.99999999919</v>
      </c>
      <c r="Y5" s="8">
        <f>X5/1000000</f>
        <v>0.66499999999999915</v>
      </c>
      <c r="Z5" s="10">
        <f>Y5*3.07</f>
        <v>2.0415499999999973</v>
      </c>
      <c r="AA5" s="22"/>
      <c r="AB5" s="7">
        <f>'[9]Jul Prod'!G4</f>
        <v>0</v>
      </c>
      <c r="AC5" s="8">
        <f>AB5/1000000</f>
        <v>0</v>
      </c>
      <c r="AD5" s="10">
        <f>AC5*3.07</f>
        <v>0</v>
      </c>
      <c r="AF5" s="7">
        <f>B5+O5</f>
        <v>34104999.999999635</v>
      </c>
      <c r="AG5" s="8">
        <f>C5+P5</f>
        <v>34.104999999999634</v>
      </c>
      <c r="AH5" s="8">
        <f>D5+Q5</f>
        <v>104.70234999999887</v>
      </c>
      <c r="AJ5" s="8">
        <f t="shared" ref="AJ5:AJ14" si="0">T5-Q5-Z5</f>
        <v>3.5527136788005009E-15</v>
      </c>
    </row>
    <row r="6" spans="1:36" x14ac:dyDescent="0.15">
      <c r="A6" s="37">
        <v>38535</v>
      </c>
      <c r="B6" s="7">
        <f>'[9]Jul Prod'!I5</f>
        <v>23800000.000000183</v>
      </c>
      <c r="C6" s="8">
        <f t="shared" ref="C6:C35" si="1">B6/1000000</f>
        <v>23.800000000000182</v>
      </c>
      <c r="D6" s="10">
        <f t="shared" ref="D6:D36" si="2">C6*3.07</f>
        <v>73.066000000000557</v>
      </c>
      <c r="E6" s="7">
        <f>'[9]Jul Prod'!E5</f>
        <v>20000000</v>
      </c>
      <c r="F6" s="8">
        <f t="shared" ref="F6:F35" si="3">E6/1000000</f>
        <v>20</v>
      </c>
      <c r="G6" s="10">
        <f t="shared" ref="G6:G36" si="4">F6*3.07</f>
        <v>61.4</v>
      </c>
      <c r="H6" s="7">
        <f>'[9]Jul Prod'!F5</f>
        <v>5000000</v>
      </c>
      <c r="I6" s="8">
        <f t="shared" ref="I6:I35" si="5">H6/1000000</f>
        <v>5</v>
      </c>
      <c r="J6" s="10">
        <f t="shared" ref="J6:J36" si="6">I6*3.07</f>
        <v>15.35</v>
      </c>
      <c r="K6" s="7">
        <f>'[9]Jul Prod'!H260</f>
        <v>3777105</v>
      </c>
      <c r="L6" s="8">
        <f t="shared" ref="L6:L35" si="7">K6/1000000</f>
        <v>3.7771050000000002</v>
      </c>
      <c r="M6" s="10">
        <f t="shared" ref="M6:M36" si="8">L6*3.07</f>
        <v>11.595712349999999</v>
      </c>
      <c r="N6" s="28"/>
      <c r="O6" s="7">
        <f>'[9]Jul Prod'!H5</f>
        <v>12215000</v>
      </c>
      <c r="P6" s="8">
        <f t="shared" ref="P6:P35" si="9">O6/1000000</f>
        <v>12.215</v>
      </c>
      <c r="Q6" s="10">
        <f t="shared" ref="Q6:Q36" si="10">P6*3.07</f>
        <v>37.500049999999995</v>
      </c>
      <c r="R6" s="7">
        <f>'[9]Jul Prod'!C5</f>
        <v>12904000</v>
      </c>
      <c r="S6" s="8">
        <f t="shared" ref="S6:S35" si="11">R6/1000000</f>
        <v>12.904</v>
      </c>
      <c r="T6" s="10">
        <f t="shared" ref="T6:T36" si="12">S6*3.07</f>
        <v>39.615279999999998</v>
      </c>
      <c r="U6" s="7">
        <f>'[9]Jul Prod'!D5</f>
        <v>0</v>
      </c>
      <c r="V6" s="8">
        <f t="shared" ref="V6:V35" si="13">U6/1000000</f>
        <v>0</v>
      </c>
      <c r="W6" s="10">
        <f t="shared" ref="W6:W36" si="14">V6*3.07</f>
        <v>0</v>
      </c>
      <c r="X6" s="7">
        <f>'[9]Jul Prod'!D260</f>
        <v>689000</v>
      </c>
      <c r="Y6" s="8">
        <f t="shared" ref="Y6:Y35" si="15">X6/1000000</f>
        <v>0.68899999999999995</v>
      </c>
      <c r="Z6" s="10">
        <f t="shared" ref="Z6:Z36" si="16">Y6*3.07</f>
        <v>2.1152299999999999</v>
      </c>
      <c r="AA6" s="22"/>
      <c r="AB6" s="7">
        <f>'[9]Jul Prod'!G5</f>
        <v>0</v>
      </c>
      <c r="AC6" s="8">
        <f t="shared" ref="AC6:AC35" si="17">AB6/1000000</f>
        <v>0</v>
      </c>
      <c r="AD6" s="10">
        <f t="shared" ref="AD6:AD36" si="18">AC6*3.07</f>
        <v>0</v>
      </c>
      <c r="AF6" s="7">
        <f t="shared" ref="AF6:AF35" si="19">B6+O6</f>
        <v>36015000.000000179</v>
      </c>
      <c r="AG6" s="8">
        <f t="shared" ref="AG6:AG35" si="20">C6+P6</f>
        <v>36.015000000000185</v>
      </c>
      <c r="AH6" s="8">
        <f t="shared" ref="AH6:AH35" si="21">D6+Q6</f>
        <v>110.56605000000056</v>
      </c>
      <c r="AJ6" s="8">
        <f t="shared" si="0"/>
        <v>3.9968028886505635E-15</v>
      </c>
    </row>
    <row r="7" spans="1:36" x14ac:dyDescent="0.15">
      <c r="A7" s="37">
        <v>38536</v>
      </c>
      <c r="B7" s="7">
        <f>'[9]Jul Prod'!I6</f>
        <v>22000000</v>
      </c>
      <c r="C7" s="8">
        <f t="shared" si="1"/>
        <v>22</v>
      </c>
      <c r="D7" s="10">
        <f t="shared" si="2"/>
        <v>67.539999999999992</v>
      </c>
      <c r="E7" s="7">
        <f>'[9]Jul Prod'!E6</f>
        <v>17000000</v>
      </c>
      <c r="F7" s="8">
        <f t="shared" si="3"/>
        <v>17</v>
      </c>
      <c r="G7" s="10">
        <f t="shared" si="4"/>
        <v>52.19</v>
      </c>
      <c r="H7" s="7">
        <f>'[9]Jul Prod'!F6</f>
        <v>5000000</v>
      </c>
      <c r="I7" s="8">
        <f t="shared" si="5"/>
        <v>5</v>
      </c>
      <c r="J7" s="10">
        <f t="shared" si="6"/>
        <v>15.35</v>
      </c>
      <c r="K7" s="7">
        <f>'[9]Jul Prod'!H261</f>
        <v>4563441</v>
      </c>
      <c r="L7" s="8">
        <f t="shared" si="7"/>
        <v>4.5634410000000001</v>
      </c>
      <c r="M7" s="10">
        <f t="shared" si="8"/>
        <v>14.009763869999999</v>
      </c>
      <c r="N7" s="28"/>
      <c r="O7" s="7">
        <f>'[9]Jul Prod'!H6</f>
        <v>12119000</v>
      </c>
      <c r="P7" s="8">
        <f t="shared" si="9"/>
        <v>12.119</v>
      </c>
      <c r="Q7" s="10">
        <f t="shared" si="10"/>
        <v>37.205329999999996</v>
      </c>
      <c r="R7" s="7">
        <f>'[9]Jul Prod'!C6</f>
        <v>12596000</v>
      </c>
      <c r="S7" s="8">
        <f t="shared" si="11"/>
        <v>12.596</v>
      </c>
      <c r="T7" s="10">
        <f t="shared" si="12"/>
        <v>38.669719999999998</v>
      </c>
      <c r="U7" s="7">
        <f>'[9]Jul Prod'!D6</f>
        <v>0</v>
      </c>
      <c r="V7" s="8">
        <f t="shared" si="13"/>
        <v>0</v>
      </c>
      <c r="W7" s="10">
        <f t="shared" si="14"/>
        <v>0</v>
      </c>
      <c r="X7" s="7">
        <f>'[9]Jul Prod'!D261</f>
        <v>477000.00000000029</v>
      </c>
      <c r="Y7" s="8">
        <f t="shared" si="15"/>
        <v>0.47700000000000031</v>
      </c>
      <c r="Z7" s="10">
        <f t="shared" si="16"/>
        <v>1.464390000000001</v>
      </c>
      <c r="AA7" s="22"/>
      <c r="AB7" s="7">
        <f>'[9]Jul Prod'!G6</f>
        <v>0</v>
      </c>
      <c r="AC7" s="8">
        <f t="shared" si="17"/>
        <v>0</v>
      </c>
      <c r="AD7" s="10">
        <f t="shared" si="18"/>
        <v>0</v>
      </c>
      <c r="AF7" s="7">
        <f t="shared" si="19"/>
        <v>34119000</v>
      </c>
      <c r="AG7" s="8">
        <f t="shared" si="20"/>
        <v>34.119</v>
      </c>
      <c r="AH7" s="8">
        <f t="shared" si="21"/>
        <v>104.74533</v>
      </c>
      <c r="AJ7" s="8">
        <f t="shared" si="0"/>
        <v>0</v>
      </c>
    </row>
    <row r="8" spans="1:36" x14ac:dyDescent="0.15">
      <c r="A8" s="37">
        <v>38537</v>
      </c>
      <c r="B8" s="7">
        <f>'[9]Jul Prod'!I7</f>
        <v>20000000</v>
      </c>
      <c r="C8" s="8">
        <f t="shared" si="1"/>
        <v>20</v>
      </c>
      <c r="D8" s="10">
        <f t="shared" si="2"/>
        <v>61.4</v>
      </c>
      <c r="E8" s="7">
        <f>'[9]Jul Prod'!E7</f>
        <v>16000000</v>
      </c>
      <c r="F8" s="8">
        <f t="shared" si="3"/>
        <v>16</v>
      </c>
      <c r="G8" s="10">
        <f t="shared" si="4"/>
        <v>49.12</v>
      </c>
      <c r="H8" s="7">
        <f>'[9]Jul Prod'!F7</f>
        <v>5000000</v>
      </c>
      <c r="I8" s="8">
        <f t="shared" si="5"/>
        <v>5</v>
      </c>
      <c r="J8" s="10">
        <f t="shared" si="6"/>
        <v>15.35</v>
      </c>
      <c r="K8" s="7">
        <f>'[9]Jul Prod'!H262</f>
        <v>5165318</v>
      </c>
      <c r="L8" s="8">
        <f t="shared" si="7"/>
        <v>5.1653180000000001</v>
      </c>
      <c r="M8" s="10">
        <f t="shared" si="8"/>
        <v>15.85752626</v>
      </c>
      <c r="N8" s="28"/>
      <c r="O8" s="7">
        <f>'[9]Jul Prod'!H7</f>
        <v>10661000</v>
      </c>
      <c r="P8" s="8">
        <f t="shared" si="9"/>
        <v>10.661</v>
      </c>
      <c r="Q8" s="10">
        <f t="shared" si="10"/>
        <v>32.72927</v>
      </c>
      <c r="R8" s="7">
        <f>'[9]Jul Prod'!C7</f>
        <v>11326000</v>
      </c>
      <c r="S8" s="8">
        <f t="shared" si="11"/>
        <v>11.326000000000001</v>
      </c>
      <c r="T8" s="10">
        <f t="shared" si="12"/>
        <v>34.770820000000001</v>
      </c>
      <c r="U8" s="7">
        <f>'[9]Jul Prod'!D7</f>
        <v>0</v>
      </c>
      <c r="V8" s="8">
        <f t="shared" si="13"/>
        <v>0</v>
      </c>
      <c r="W8" s="10">
        <f t="shared" si="14"/>
        <v>0</v>
      </c>
      <c r="X8" s="7">
        <f>'[9]Jul Prod'!D262</f>
        <v>664999.99999999919</v>
      </c>
      <c r="Y8" s="8">
        <f t="shared" si="15"/>
        <v>0.66499999999999915</v>
      </c>
      <c r="Z8" s="10">
        <f t="shared" si="16"/>
        <v>2.0415499999999973</v>
      </c>
      <c r="AA8" s="22"/>
      <c r="AB8" s="7">
        <f>'[9]Jul Prod'!G7</f>
        <v>0</v>
      </c>
      <c r="AC8" s="8">
        <f t="shared" si="17"/>
        <v>0</v>
      </c>
      <c r="AD8" s="10">
        <f t="shared" si="18"/>
        <v>0</v>
      </c>
      <c r="AF8" s="7">
        <f t="shared" si="19"/>
        <v>30661000</v>
      </c>
      <c r="AG8" s="8">
        <f t="shared" si="20"/>
        <v>30.661000000000001</v>
      </c>
      <c r="AH8" s="8">
        <f t="shared" si="21"/>
        <v>94.129269999999991</v>
      </c>
      <c r="AJ8" s="8">
        <f t="shared" si="0"/>
        <v>3.5527136788005009E-15</v>
      </c>
    </row>
    <row r="9" spans="1:36" x14ac:dyDescent="0.15">
      <c r="A9" s="37">
        <v>38538</v>
      </c>
      <c r="B9" s="7">
        <f>'[9]Jul Prod'!I8</f>
        <v>16899999.999999635</v>
      </c>
      <c r="C9" s="8">
        <f t="shared" si="1"/>
        <v>16.899999999999636</v>
      </c>
      <c r="D9" s="10">
        <f t="shared" si="2"/>
        <v>51.88299999999888</v>
      </c>
      <c r="E9" s="7">
        <f>'[9]Jul Prod'!E8</f>
        <v>12000000</v>
      </c>
      <c r="F9" s="8">
        <f t="shared" si="3"/>
        <v>12</v>
      </c>
      <c r="G9" s="10">
        <f t="shared" si="4"/>
        <v>36.839999999999996</v>
      </c>
      <c r="H9" s="7">
        <f>'[9]Jul Prod'!F8</f>
        <v>5000000</v>
      </c>
      <c r="I9" s="8">
        <f t="shared" si="5"/>
        <v>5</v>
      </c>
      <c r="J9" s="10">
        <f t="shared" si="6"/>
        <v>15.35</v>
      </c>
      <c r="K9" s="7">
        <f>'[9]Jul Prod'!H263</f>
        <v>680866</v>
      </c>
      <c r="L9" s="8">
        <f t="shared" si="7"/>
        <v>0.68086599999999997</v>
      </c>
      <c r="M9" s="10">
        <f t="shared" si="8"/>
        <v>2.0902586199999997</v>
      </c>
      <c r="N9" s="28"/>
      <c r="O9" s="7">
        <f>'[9]Jul Prod'!H8</f>
        <v>7689999.9999999991</v>
      </c>
      <c r="P9" s="8">
        <f t="shared" si="9"/>
        <v>7.6899999999999995</v>
      </c>
      <c r="Q9" s="10">
        <f t="shared" si="10"/>
        <v>23.608299999999996</v>
      </c>
      <c r="R9" s="7">
        <f>'[9]Jul Prod'!C8</f>
        <v>8159000</v>
      </c>
      <c r="S9" s="8">
        <f t="shared" si="11"/>
        <v>8.1590000000000007</v>
      </c>
      <c r="T9" s="10">
        <f t="shared" si="12"/>
        <v>25.04813</v>
      </c>
      <c r="U9" s="7">
        <f>'[9]Jul Prod'!D8</f>
        <v>0</v>
      </c>
      <c r="V9" s="8">
        <f t="shared" si="13"/>
        <v>0</v>
      </c>
      <c r="W9" s="10">
        <f t="shared" si="14"/>
        <v>0</v>
      </c>
      <c r="X9" s="7">
        <f>'[9]Jul Prod'!D263</f>
        <v>469000.00000000122</v>
      </c>
      <c r="Y9" s="8">
        <f t="shared" si="15"/>
        <v>0.46900000000000125</v>
      </c>
      <c r="Z9" s="10">
        <f t="shared" si="16"/>
        <v>1.4398300000000037</v>
      </c>
      <c r="AA9" s="22"/>
      <c r="AB9" s="7">
        <f>'[9]Jul Prod'!G8</f>
        <v>0</v>
      </c>
      <c r="AC9" s="8">
        <f t="shared" si="17"/>
        <v>0</v>
      </c>
      <c r="AD9" s="10">
        <f t="shared" si="18"/>
        <v>0</v>
      </c>
      <c r="AF9" s="7">
        <f t="shared" si="19"/>
        <v>24589999.999999635</v>
      </c>
      <c r="AG9" s="8">
        <f t="shared" si="20"/>
        <v>24.589999999999634</v>
      </c>
      <c r="AH9" s="8">
        <f t="shared" si="21"/>
        <v>75.491299999998873</v>
      </c>
      <c r="AJ9" s="8">
        <f t="shared" si="0"/>
        <v>0</v>
      </c>
    </row>
    <row r="10" spans="1:36" x14ac:dyDescent="0.15">
      <c r="A10" s="37">
        <v>38539</v>
      </c>
      <c r="B10" s="7">
        <f>'[9]Jul Prod'!I9</f>
        <v>17600000.000000365</v>
      </c>
      <c r="C10" s="8">
        <f t="shared" si="1"/>
        <v>17.600000000000364</v>
      </c>
      <c r="D10" s="10">
        <f t="shared" si="2"/>
        <v>54.032000000001112</v>
      </c>
      <c r="E10" s="7">
        <f>'[9]Jul Prod'!E9</f>
        <v>13000000</v>
      </c>
      <c r="F10" s="8">
        <f t="shared" si="3"/>
        <v>13</v>
      </c>
      <c r="G10" s="10">
        <f t="shared" si="4"/>
        <v>39.909999999999997</v>
      </c>
      <c r="H10" s="7">
        <f>'[9]Jul Prod'!F9</f>
        <v>5000000</v>
      </c>
      <c r="I10" s="8">
        <f t="shared" si="5"/>
        <v>5</v>
      </c>
      <c r="J10" s="10">
        <f t="shared" si="6"/>
        <v>15.35</v>
      </c>
      <c r="K10" s="7">
        <f>'[9]Jul Prod'!H264</f>
        <v>759076</v>
      </c>
      <c r="L10" s="8">
        <f t="shared" si="7"/>
        <v>0.75907599999999997</v>
      </c>
      <c r="M10" s="10">
        <f t="shared" si="8"/>
        <v>2.33036332</v>
      </c>
      <c r="N10" s="28"/>
      <c r="O10" s="7">
        <f>'[9]Jul Prod'!H9</f>
        <v>7066000</v>
      </c>
      <c r="P10" s="8">
        <f t="shared" si="9"/>
        <v>7.0659999999999998</v>
      </c>
      <c r="Q10" s="10">
        <f t="shared" si="10"/>
        <v>21.692619999999998</v>
      </c>
      <c r="R10" s="7">
        <f>'[9]Jul Prod'!C9</f>
        <v>7630000</v>
      </c>
      <c r="S10" s="8">
        <f t="shared" si="11"/>
        <v>7.63</v>
      </c>
      <c r="T10" s="10">
        <f t="shared" si="12"/>
        <v>23.424099999999999</v>
      </c>
      <c r="U10" s="7">
        <f>'[9]Jul Prod'!D9</f>
        <v>0</v>
      </c>
      <c r="V10" s="8">
        <f t="shared" si="13"/>
        <v>0</v>
      </c>
      <c r="W10" s="10">
        <f t="shared" si="14"/>
        <v>0</v>
      </c>
      <c r="X10" s="7">
        <f>'[9]Jul Prod'!D264</f>
        <v>564000</v>
      </c>
      <c r="Y10" s="8">
        <f t="shared" si="15"/>
        <v>0.56399999999999995</v>
      </c>
      <c r="Z10" s="10">
        <f t="shared" si="16"/>
        <v>1.7314799999999997</v>
      </c>
      <c r="AA10" s="22"/>
      <c r="AB10" s="7">
        <f>'[9]Jul Prod'!G9</f>
        <v>0</v>
      </c>
      <c r="AC10" s="8">
        <f t="shared" si="17"/>
        <v>0</v>
      </c>
      <c r="AD10" s="10">
        <f t="shared" si="18"/>
        <v>0</v>
      </c>
      <c r="AF10" s="7">
        <f t="shared" si="19"/>
        <v>24666000.000000365</v>
      </c>
      <c r="AG10" s="8">
        <f t="shared" si="20"/>
        <v>24.666000000000363</v>
      </c>
      <c r="AH10" s="8">
        <f t="shared" si="21"/>
        <v>75.72462000000111</v>
      </c>
      <c r="AJ10" s="8">
        <f t="shared" si="0"/>
        <v>0</v>
      </c>
    </row>
    <row r="11" spans="1:36" x14ac:dyDescent="0.15">
      <c r="A11" s="37">
        <v>38540</v>
      </c>
      <c r="B11" s="7">
        <f>'[9]Jul Prod'!I10</f>
        <v>16100000.000000363</v>
      </c>
      <c r="C11" s="8">
        <f t="shared" si="1"/>
        <v>16.100000000000364</v>
      </c>
      <c r="D11" s="10">
        <f t="shared" si="2"/>
        <v>49.427000000001115</v>
      </c>
      <c r="E11" s="7">
        <f>'[9]Jul Prod'!E10</f>
        <v>12000000</v>
      </c>
      <c r="F11" s="8">
        <f t="shared" si="3"/>
        <v>12</v>
      </c>
      <c r="G11" s="10">
        <f t="shared" si="4"/>
        <v>36.839999999999996</v>
      </c>
      <c r="H11" s="7">
        <f>'[9]Jul Prod'!F10</f>
        <v>5000000</v>
      </c>
      <c r="I11" s="8">
        <f t="shared" si="5"/>
        <v>5</v>
      </c>
      <c r="J11" s="10">
        <f t="shared" si="6"/>
        <v>15.35</v>
      </c>
      <c r="K11" s="7">
        <f>'[9]Jul Prod'!H265</f>
        <v>6919408</v>
      </c>
      <c r="L11" s="8">
        <f t="shared" si="7"/>
        <v>6.9194079999999998</v>
      </c>
      <c r="M11" s="10">
        <f t="shared" si="8"/>
        <v>21.242582559999999</v>
      </c>
      <c r="N11" s="28"/>
      <c r="O11" s="7">
        <f>'[9]Jul Prod'!H10</f>
        <v>7269000</v>
      </c>
      <c r="P11" s="8">
        <f t="shared" si="9"/>
        <v>7.2690000000000001</v>
      </c>
      <c r="Q11" s="10">
        <f t="shared" si="10"/>
        <v>22.315829999999998</v>
      </c>
      <c r="R11" s="7">
        <f>'[9]Jul Prod'!C10</f>
        <v>7667000</v>
      </c>
      <c r="S11" s="8">
        <f t="shared" si="11"/>
        <v>7.6669999999999998</v>
      </c>
      <c r="T11" s="10">
        <f t="shared" si="12"/>
        <v>23.537689999999998</v>
      </c>
      <c r="U11" s="7">
        <f>'[9]Jul Prod'!D10</f>
        <v>0</v>
      </c>
      <c r="V11" s="8">
        <f t="shared" si="13"/>
        <v>0</v>
      </c>
      <c r="W11" s="10">
        <f t="shared" si="14"/>
        <v>0</v>
      </c>
      <c r="X11" s="7">
        <f>'[9]Jul Prod'!D265</f>
        <v>397999.99999999971</v>
      </c>
      <c r="Y11" s="8">
        <f t="shared" si="15"/>
        <v>0.39799999999999969</v>
      </c>
      <c r="Z11" s="10">
        <f t="shared" si="16"/>
        <v>1.2218599999999991</v>
      </c>
      <c r="AA11" s="22"/>
      <c r="AB11" s="7">
        <f>'[9]Jul Prod'!G10</f>
        <v>0</v>
      </c>
      <c r="AC11" s="8">
        <f t="shared" si="17"/>
        <v>0</v>
      </c>
      <c r="AD11" s="10">
        <f t="shared" si="18"/>
        <v>0</v>
      </c>
      <c r="AF11" s="7">
        <f t="shared" si="19"/>
        <v>23369000.000000365</v>
      </c>
      <c r="AG11" s="8">
        <f t="shared" si="20"/>
        <v>23.369000000000362</v>
      </c>
      <c r="AH11" s="8">
        <f t="shared" si="21"/>
        <v>71.742830000001106</v>
      </c>
      <c r="AJ11" s="8">
        <f t="shared" si="0"/>
        <v>0</v>
      </c>
    </row>
    <row r="12" spans="1:36" x14ac:dyDescent="0.15">
      <c r="A12" s="37">
        <v>38541</v>
      </c>
      <c r="B12" s="7">
        <f>'[9]Jul Prod'!I11</f>
        <v>13799999.999999272</v>
      </c>
      <c r="C12" s="8">
        <f t="shared" si="1"/>
        <v>13.799999999999272</v>
      </c>
      <c r="D12" s="10">
        <f t="shared" si="2"/>
        <v>42.365999999997761</v>
      </c>
      <c r="E12" s="7">
        <f>'[9]Jul Prod'!E11</f>
        <v>11000000</v>
      </c>
      <c r="F12" s="8">
        <f t="shared" si="3"/>
        <v>11</v>
      </c>
      <c r="G12" s="10">
        <f t="shared" si="4"/>
        <v>33.769999999999996</v>
      </c>
      <c r="H12" s="7">
        <f>'[9]Jul Prod'!F11</f>
        <v>3000000</v>
      </c>
      <c r="I12" s="8">
        <f t="shared" si="5"/>
        <v>3</v>
      </c>
      <c r="J12" s="10">
        <f t="shared" si="6"/>
        <v>9.2099999999999991</v>
      </c>
      <c r="K12" s="7">
        <f>'[9]Jul Prod'!H266</f>
        <v>7251464</v>
      </c>
      <c r="L12" s="8">
        <f t="shared" si="7"/>
        <v>7.2514640000000004</v>
      </c>
      <c r="M12" s="10">
        <f t="shared" si="8"/>
        <v>22.261994479999998</v>
      </c>
      <c r="N12" s="28"/>
      <c r="O12" s="7">
        <f>'[9]Jul Prod'!H11</f>
        <v>6282000.0000000009</v>
      </c>
      <c r="P12" s="8">
        <f t="shared" si="9"/>
        <v>6.2820000000000009</v>
      </c>
      <c r="Q12" s="10">
        <f t="shared" si="10"/>
        <v>19.285740000000001</v>
      </c>
      <c r="R12" s="7">
        <f>'[9]Jul Prod'!C11</f>
        <v>6703000</v>
      </c>
      <c r="S12" s="8">
        <f t="shared" si="11"/>
        <v>6.7030000000000003</v>
      </c>
      <c r="T12" s="10">
        <f t="shared" si="12"/>
        <v>20.578209999999999</v>
      </c>
      <c r="U12" s="7">
        <f>'[9]Jul Prod'!D11</f>
        <v>0</v>
      </c>
      <c r="V12" s="8">
        <f t="shared" si="13"/>
        <v>0</v>
      </c>
      <c r="W12" s="10">
        <f t="shared" si="14"/>
        <v>0</v>
      </c>
      <c r="X12" s="7">
        <f>'[9]Jul Prod'!D266</f>
        <v>420999.99999999936</v>
      </c>
      <c r="Y12" s="8">
        <f t="shared" si="15"/>
        <v>0.42099999999999937</v>
      </c>
      <c r="Z12" s="10">
        <f t="shared" si="16"/>
        <v>1.292469999999998</v>
      </c>
      <c r="AA12" s="22"/>
      <c r="AB12" s="7">
        <f>'[9]Jul Prod'!G11</f>
        <v>0</v>
      </c>
      <c r="AC12" s="8">
        <f t="shared" si="17"/>
        <v>0</v>
      </c>
      <c r="AD12" s="10">
        <f t="shared" si="18"/>
        <v>0</v>
      </c>
      <c r="AF12" s="7">
        <f t="shared" si="19"/>
        <v>20081999.999999274</v>
      </c>
      <c r="AG12" s="8">
        <f t="shared" si="20"/>
        <v>20.081999999999272</v>
      </c>
      <c r="AH12" s="8">
        <f t="shared" si="21"/>
        <v>61.651739999997758</v>
      </c>
      <c r="AJ12" s="8">
        <f t="shared" si="0"/>
        <v>0</v>
      </c>
    </row>
    <row r="13" spans="1:36" x14ac:dyDescent="0.15">
      <c r="A13" s="37">
        <v>38542</v>
      </c>
      <c r="B13" s="7">
        <f>'[9]Jul Prod'!I12</f>
        <v>15500000</v>
      </c>
      <c r="C13" s="8">
        <f t="shared" si="1"/>
        <v>15.5</v>
      </c>
      <c r="D13" s="10">
        <f t="shared" si="2"/>
        <v>47.585000000000001</v>
      </c>
      <c r="E13" s="7">
        <f>'[9]Jul Prod'!E12</f>
        <v>16000000</v>
      </c>
      <c r="F13" s="8">
        <f t="shared" si="3"/>
        <v>16</v>
      </c>
      <c r="G13" s="10">
        <f t="shared" si="4"/>
        <v>49.12</v>
      </c>
      <c r="H13" s="7">
        <f>'[9]Jul Prod'!F12</f>
        <v>0</v>
      </c>
      <c r="I13" s="8">
        <f t="shared" si="5"/>
        <v>0</v>
      </c>
      <c r="J13" s="10">
        <f t="shared" si="6"/>
        <v>0</v>
      </c>
      <c r="K13" s="7">
        <f>'[9]Jul Prod'!H267</f>
        <v>948909</v>
      </c>
      <c r="L13" s="8">
        <f t="shared" si="7"/>
        <v>0.948909</v>
      </c>
      <c r="M13" s="10">
        <f t="shared" si="8"/>
        <v>2.9131506300000001</v>
      </c>
      <c r="N13" s="28"/>
      <c r="O13" s="7">
        <f>'[9]Jul Prod'!H12</f>
        <v>8458000</v>
      </c>
      <c r="P13" s="8">
        <f t="shared" si="9"/>
        <v>8.4580000000000002</v>
      </c>
      <c r="Q13" s="10">
        <f t="shared" si="10"/>
        <v>25.966059999999999</v>
      </c>
      <c r="R13" s="7">
        <f>'[9]Jul Prod'!C12</f>
        <v>8952000</v>
      </c>
      <c r="S13" s="8">
        <f t="shared" si="11"/>
        <v>8.952</v>
      </c>
      <c r="T13" s="10">
        <f t="shared" si="12"/>
        <v>27.48264</v>
      </c>
      <c r="U13" s="7">
        <f>'[9]Jul Prod'!D12</f>
        <v>0</v>
      </c>
      <c r="V13" s="8">
        <f t="shared" si="13"/>
        <v>0</v>
      </c>
      <c r="W13" s="10">
        <f t="shared" si="14"/>
        <v>0</v>
      </c>
      <c r="X13" s="7">
        <f>'[9]Jul Prod'!D267</f>
        <v>493999.99999999977</v>
      </c>
      <c r="Y13" s="8">
        <f t="shared" si="15"/>
        <v>0.49399999999999977</v>
      </c>
      <c r="Z13" s="10">
        <f t="shared" si="16"/>
        <v>1.5165799999999992</v>
      </c>
      <c r="AA13" s="22"/>
      <c r="AB13" s="7">
        <f>'[9]Jul Prod'!G12</f>
        <v>0</v>
      </c>
      <c r="AC13" s="8">
        <f t="shared" si="17"/>
        <v>0</v>
      </c>
      <c r="AD13" s="10">
        <f t="shared" si="18"/>
        <v>0</v>
      </c>
      <c r="AF13" s="7">
        <f t="shared" si="19"/>
        <v>23958000</v>
      </c>
      <c r="AG13" s="8">
        <f t="shared" si="20"/>
        <v>23.957999999999998</v>
      </c>
      <c r="AH13" s="8">
        <f t="shared" si="21"/>
        <v>73.551060000000007</v>
      </c>
      <c r="AJ13" s="8">
        <f t="shared" si="0"/>
        <v>1.9984014443252818E-15</v>
      </c>
    </row>
    <row r="14" spans="1:36" x14ac:dyDescent="0.15">
      <c r="A14" s="37">
        <v>38543</v>
      </c>
      <c r="B14" s="7">
        <f>'[9]Jul Prod'!I13</f>
        <v>18000000</v>
      </c>
      <c r="C14" s="8">
        <f t="shared" si="1"/>
        <v>18</v>
      </c>
      <c r="D14" s="10">
        <f t="shared" si="2"/>
        <v>55.26</v>
      </c>
      <c r="E14" s="7">
        <f>'[9]Jul Prod'!E13</f>
        <v>18000000</v>
      </c>
      <c r="F14" s="8">
        <f t="shared" si="3"/>
        <v>18</v>
      </c>
      <c r="G14" s="10">
        <f t="shared" si="4"/>
        <v>55.26</v>
      </c>
      <c r="H14" s="7">
        <f>'[9]Jul Prod'!F13</f>
        <v>0</v>
      </c>
      <c r="I14" s="8">
        <f t="shared" si="5"/>
        <v>0</v>
      </c>
      <c r="J14" s="10">
        <f t="shared" si="6"/>
        <v>0</v>
      </c>
      <c r="K14" s="7">
        <f>'[9]Jul Prod'!H268</f>
        <v>1063272</v>
      </c>
      <c r="L14" s="8">
        <f t="shared" si="7"/>
        <v>1.063272</v>
      </c>
      <c r="M14" s="10">
        <f t="shared" si="8"/>
        <v>3.2642450399999996</v>
      </c>
      <c r="N14" s="28"/>
      <c r="O14" s="7">
        <f>'[9]Jul Prod'!H13</f>
        <v>9939000</v>
      </c>
      <c r="P14" s="8">
        <f t="shared" si="9"/>
        <v>9.9390000000000001</v>
      </c>
      <c r="Q14" s="10">
        <f t="shared" si="10"/>
        <v>30.512729999999998</v>
      </c>
      <c r="R14" s="7">
        <f>'[9]Jul Prod'!C13</f>
        <v>10314000</v>
      </c>
      <c r="S14" s="8">
        <f t="shared" si="11"/>
        <v>10.314</v>
      </c>
      <c r="T14" s="10">
        <f t="shared" si="12"/>
        <v>31.663979999999999</v>
      </c>
      <c r="U14" s="7">
        <f>'[9]Jul Prod'!D13</f>
        <v>0</v>
      </c>
      <c r="V14" s="8">
        <f t="shared" si="13"/>
        <v>0</v>
      </c>
      <c r="W14" s="10">
        <f t="shared" si="14"/>
        <v>0</v>
      </c>
      <c r="X14" s="7">
        <f>'[9]Jul Prod'!D268</f>
        <v>375000</v>
      </c>
      <c r="Y14" s="8">
        <f t="shared" si="15"/>
        <v>0.375</v>
      </c>
      <c r="Z14" s="10">
        <f t="shared" si="16"/>
        <v>1.1512499999999999</v>
      </c>
      <c r="AA14" s="22"/>
      <c r="AB14" s="7">
        <f>'[9]Jul Prod'!G13</f>
        <v>0</v>
      </c>
      <c r="AC14" s="8">
        <f t="shared" si="17"/>
        <v>0</v>
      </c>
      <c r="AD14" s="10">
        <f t="shared" si="18"/>
        <v>0</v>
      </c>
      <c r="AF14" s="7">
        <f t="shared" si="19"/>
        <v>27939000</v>
      </c>
      <c r="AG14" s="8">
        <f t="shared" si="20"/>
        <v>27.939</v>
      </c>
      <c r="AH14" s="8">
        <f t="shared" si="21"/>
        <v>85.772729999999996</v>
      </c>
      <c r="AJ14" s="8">
        <f t="shared" si="0"/>
        <v>0</v>
      </c>
    </row>
    <row r="15" spans="1:36" x14ac:dyDescent="0.15">
      <c r="A15" s="37">
        <v>38544</v>
      </c>
      <c r="B15" s="7">
        <f>'[9]Jul Prod'!I14</f>
        <v>19600000.000000365</v>
      </c>
      <c r="C15" s="8">
        <f t="shared" si="1"/>
        <v>19.600000000000364</v>
      </c>
      <c r="D15" s="10">
        <f t="shared" si="2"/>
        <v>60.172000000001113</v>
      </c>
      <c r="E15" s="7">
        <f>'[9]Jul Prod'!E14</f>
        <v>20000000</v>
      </c>
      <c r="F15" s="8">
        <f t="shared" si="3"/>
        <v>20</v>
      </c>
      <c r="G15" s="10">
        <f t="shared" si="4"/>
        <v>61.4</v>
      </c>
      <c r="H15" s="7">
        <f>'[9]Jul Prod'!F14</f>
        <v>0</v>
      </c>
      <c r="I15" s="8">
        <f t="shared" si="5"/>
        <v>0</v>
      </c>
      <c r="J15" s="10">
        <f t="shared" si="6"/>
        <v>0</v>
      </c>
      <c r="K15" s="7">
        <f>'[9]Jul Prod'!H269</f>
        <v>1151059</v>
      </c>
      <c r="L15" s="8">
        <f t="shared" si="7"/>
        <v>1.1510590000000001</v>
      </c>
      <c r="M15" s="10">
        <f t="shared" si="8"/>
        <v>3.5337511300000002</v>
      </c>
      <c r="N15" s="28"/>
      <c r="O15" s="7">
        <f>'[9]Jul Prod'!H14</f>
        <v>10764999.999999998</v>
      </c>
      <c r="P15" s="8">
        <f t="shared" si="9"/>
        <v>10.764999999999999</v>
      </c>
      <c r="Q15" s="10">
        <f t="shared" si="10"/>
        <v>33.048549999999992</v>
      </c>
      <c r="R15" s="7">
        <f>'[9]Jul Prod'!C14</f>
        <v>11234000</v>
      </c>
      <c r="S15" s="8">
        <f t="shared" si="11"/>
        <v>11.234</v>
      </c>
      <c r="T15" s="10">
        <f t="shared" si="12"/>
        <v>34.488379999999999</v>
      </c>
      <c r="U15" s="7">
        <f>'[9]Jul Prod'!D14</f>
        <v>0</v>
      </c>
      <c r="V15" s="8">
        <f t="shared" si="13"/>
        <v>0</v>
      </c>
      <c r="W15" s="10">
        <f t="shared" si="14"/>
        <v>0</v>
      </c>
      <c r="X15" s="7">
        <f>'[9]Jul Prod'!D269</f>
        <v>469000.00000000122</v>
      </c>
      <c r="Y15" s="8">
        <f t="shared" si="15"/>
        <v>0.46900000000000125</v>
      </c>
      <c r="Z15" s="10">
        <f t="shared" si="16"/>
        <v>1.4398300000000037</v>
      </c>
      <c r="AA15" s="22"/>
      <c r="AB15" s="7">
        <f>'[9]Jul Prod'!G14</f>
        <v>0</v>
      </c>
      <c r="AC15" s="8">
        <f t="shared" si="17"/>
        <v>0</v>
      </c>
      <c r="AD15" s="10">
        <f t="shared" si="18"/>
        <v>0</v>
      </c>
      <c r="AF15" s="7">
        <f t="shared" si="19"/>
        <v>30365000.000000365</v>
      </c>
      <c r="AG15" s="8">
        <f t="shared" si="20"/>
        <v>30.365000000000364</v>
      </c>
      <c r="AH15" s="8">
        <f t="shared" si="21"/>
        <v>93.220550000001111</v>
      </c>
      <c r="AJ15" s="8">
        <f>T15-Q15-Z15</f>
        <v>3.9968028886505635E-15</v>
      </c>
    </row>
    <row r="16" spans="1:36" x14ac:dyDescent="0.15">
      <c r="A16" s="37">
        <v>38545</v>
      </c>
      <c r="B16" s="7">
        <f>'[9]Jul Prod'!I15</f>
        <v>19500000</v>
      </c>
      <c r="C16" s="8">
        <f t="shared" si="1"/>
        <v>19.5</v>
      </c>
      <c r="D16" s="10">
        <f t="shared" si="2"/>
        <v>59.864999999999995</v>
      </c>
      <c r="E16" s="7">
        <f>'[9]Jul Prod'!E15</f>
        <v>20000000</v>
      </c>
      <c r="F16" s="8">
        <f t="shared" si="3"/>
        <v>20</v>
      </c>
      <c r="G16" s="10">
        <f t="shared" si="4"/>
        <v>61.4</v>
      </c>
      <c r="H16" s="7">
        <f>'[9]Jul Prod'!F15</f>
        <v>0</v>
      </c>
      <c r="I16" s="8">
        <f t="shared" si="5"/>
        <v>0</v>
      </c>
      <c r="J16" s="10">
        <f t="shared" si="6"/>
        <v>0</v>
      </c>
      <c r="K16" s="7">
        <f>'[9]Jul Prod'!H270</f>
        <v>9517053</v>
      </c>
      <c r="L16" s="8">
        <f t="shared" si="7"/>
        <v>9.5170530000000007</v>
      </c>
      <c r="M16" s="10">
        <f t="shared" si="8"/>
        <v>29.21735271</v>
      </c>
      <c r="N16" s="28"/>
      <c r="O16" s="7">
        <f>'[9]Jul Prod'!H15</f>
        <v>10322000.000000002</v>
      </c>
      <c r="P16" s="8">
        <f t="shared" si="9"/>
        <v>10.322000000000003</v>
      </c>
      <c r="Q16" s="10">
        <f t="shared" si="10"/>
        <v>31.688540000000007</v>
      </c>
      <c r="R16" s="7">
        <f>'[9]Jul Prod'!C15</f>
        <v>10821000</v>
      </c>
      <c r="S16" s="8">
        <f t="shared" si="11"/>
        <v>10.821</v>
      </c>
      <c r="T16" s="10">
        <f t="shared" si="12"/>
        <v>33.220469999999999</v>
      </c>
      <c r="U16" s="7">
        <f>'[9]Jul Prod'!D15</f>
        <v>0</v>
      </c>
      <c r="V16" s="8">
        <f t="shared" si="13"/>
        <v>0</v>
      </c>
      <c r="W16" s="10">
        <f t="shared" si="14"/>
        <v>0</v>
      </c>
      <c r="X16" s="7">
        <f>'[9]Jul Prod'!D270</f>
        <v>498999.99999999878</v>
      </c>
      <c r="Y16" s="8">
        <f t="shared" si="15"/>
        <v>0.49899999999999878</v>
      </c>
      <c r="Z16" s="10">
        <f t="shared" si="16"/>
        <v>1.5319299999999962</v>
      </c>
      <c r="AA16" s="22"/>
      <c r="AB16" s="7">
        <f>'[9]Jul Prod'!G15</f>
        <v>0</v>
      </c>
      <c r="AC16" s="8">
        <f t="shared" si="17"/>
        <v>0</v>
      </c>
      <c r="AD16" s="10">
        <f t="shared" si="18"/>
        <v>0</v>
      </c>
      <c r="AF16" s="7">
        <f t="shared" si="19"/>
        <v>29822000</v>
      </c>
      <c r="AG16" s="8">
        <f t="shared" si="20"/>
        <v>29.822000000000003</v>
      </c>
      <c r="AH16" s="8">
        <f t="shared" si="21"/>
        <v>91.553539999999998</v>
      </c>
      <c r="AJ16" s="8">
        <f>T16-Q16-Z16</f>
        <v>-4.2188474935755949E-15</v>
      </c>
    </row>
    <row r="17" spans="1:36" x14ac:dyDescent="0.15">
      <c r="A17" s="37">
        <v>38546</v>
      </c>
      <c r="B17" s="7">
        <f>'[9]Jul Prod'!I16</f>
        <v>23000000</v>
      </c>
      <c r="C17" s="8">
        <f t="shared" si="1"/>
        <v>23</v>
      </c>
      <c r="D17" s="10">
        <f t="shared" si="2"/>
        <v>70.61</v>
      </c>
      <c r="E17" s="7">
        <f>'[9]Jul Prod'!E16</f>
        <v>23000000</v>
      </c>
      <c r="F17" s="8">
        <f t="shared" si="3"/>
        <v>23</v>
      </c>
      <c r="G17" s="10">
        <f t="shared" si="4"/>
        <v>70.61</v>
      </c>
      <c r="H17" s="7">
        <f>'[9]Jul Prod'!F16</f>
        <v>0</v>
      </c>
      <c r="I17" s="8">
        <f t="shared" si="5"/>
        <v>0</v>
      </c>
      <c r="J17" s="10">
        <f t="shared" si="6"/>
        <v>0</v>
      </c>
      <c r="K17" s="7">
        <f>'[9]Jul Prod'!H271</f>
        <v>10285024</v>
      </c>
      <c r="L17" s="8">
        <f t="shared" si="7"/>
        <v>10.285024</v>
      </c>
      <c r="M17" s="10">
        <f t="shared" si="8"/>
        <v>31.575023679999997</v>
      </c>
      <c r="N17" s="28"/>
      <c r="O17" s="7">
        <f>'[9]Jul Prod'!H16</f>
        <v>10780999.999999998</v>
      </c>
      <c r="P17" s="8">
        <f t="shared" si="9"/>
        <v>10.780999999999999</v>
      </c>
      <c r="Q17" s="10">
        <f t="shared" si="10"/>
        <v>33.097669999999994</v>
      </c>
      <c r="R17" s="7">
        <f>'[9]Jul Prod'!C16</f>
        <v>11332000</v>
      </c>
      <c r="S17" s="8">
        <f t="shared" si="11"/>
        <v>11.332000000000001</v>
      </c>
      <c r="T17" s="10">
        <f t="shared" si="12"/>
        <v>34.789239999999999</v>
      </c>
      <c r="U17" s="7">
        <f>'[9]Jul Prod'!D16</f>
        <v>0</v>
      </c>
      <c r="V17" s="8">
        <f t="shared" si="13"/>
        <v>0</v>
      </c>
      <c r="W17" s="10">
        <f t="shared" si="14"/>
        <v>0</v>
      </c>
      <c r="X17" s="7">
        <f>'[9]Jul Prod'!D271</f>
        <v>551000.00000000198</v>
      </c>
      <c r="Y17" s="8">
        <f t="shared" si="15"/>
        <v>0.55100000000000193</v>
      </c>
      <c r="Z17" s="10">
        <f t="shared" si="16"/>
        <v>1.6915700000000058</v>
      </c>
      <c r="AA17" s="22"/>
      <c r="AB17" s="7">
        <f>'[9]Jul Prod'!G16</f>
        <v>0</v>
      </c>
      <c r="AC17" s="8">
        <f t="shared" si="17"/>
        <v>0</v>
      </c>
      <c r="AD17" s="10">
        <f t="shared" si="18"/>
        <v>0</v>
      </c>
      <c r="AF17" s="7">
        <f t="shared" si="19"/>
        <v>33781000</v>
      </c>
      <c r="AG17" s="8">
        <f t="shared" si="20"/>
        <v>33.780999999999999</v>
      </c>
      <c r="AH17" s="8">
        <f t="shared" si="21"/>
        <v>103.70766999999999</v>
      </c>
      <c r="AJ17" s="8">
        <f>T17-Q17-Z17</f>
        <v>0</v>
      </c>
    </row>
    <row r="18" spans="1:36" x14ac:dyDescent="0.15">
      <c r="A18" s="37">
        <v>38547</v>
      </c>
      <c r="B18" s="7">
        <f>'[9]Jul Prod'!I17</f>
        <v>24899999.999999635</v>
      </c>
      <c r="C18" s="8">
        <f t="shared" si="1"/>
        <v>24.899999999999636</v>
      </c>
      <c r="D18" s="10">
        <f t="shared" si="2"/>
        <v>76.442999999998875</v>
      </c>
      <c r="E18" s="7">
        <f>'[9]Jul Prod'!E17</f>
        <v>25000000</v>
      </c>
      <c r="F18" s="8">
        <f t="shared" si="3"/>
        <v>25</v>
      </c>
      <c r="G18" s="10">
        <f t="shared" si="4"/>
        <v>76.75</v>
      </c>
      <c r="H18" s="7">
        <f>'[9]Jul Prod'!F17</f>
        <v>0</v>
      </c>
      <c r="I18" s="8">
        <f t="shared" si="5"/>
        <v>0</v>
      </c>
      <c r="J18" s="10">
        <f t="shared" si="6"/>
        <v>0</v>
      </c>
      <c r="K18" s="7">
        <f>'[9]Jul Prod'!H272</f>
        <v>9466619</v>
      </c>
      <c r="L18" s="8">
        <f t="shared" si="7"/>
        <v>9.4666189999999997</v>
      </c>
      <c r="M18" s="10">
        <f t="shared" si="8"/>
        <v>29.062520329999998</v>
      </c>
      <c r="N18" s="28"/>
      <c r="O18" s="7">
        <f>'[9]Jul Prod'!H17</f>
        <v>9848000</v>
      </c>
      <c r="P18" s="8">
        <f t="shared" si="9"/>
        <v>9.8480000000000008</v>
      </c>
      <c r="Q18" s="10">
        <f t="shared" si="10"/>
        <v>30.233360000000001</v>
      </c>
      <c r="R18" s="7">
        <f>'[9]Jul Prod'!C17</f>
        <v>10420000</v>
      </c>
      <c r="S18" s="8">
        <f t="shared" si="11"/>
        <v>10.42</v>
      </c>
      <c r="T18" s="10">
        <f t="shared" si="12"/>
        <v>31.9894</v>
      </c>
      <c r="U18" s="7">
        <f>'[9]Jul Prod'!D17</f>
        <v>0</v>
      </c>
      <c r="V18" s="8">
        <f t="shared" si="13"/>
        <v>0</v>
      </c>
      <c r="W18" s="10">
        <f t="shared" si="14"/>
        <v>0</v>
      </c>
      <c r="X18" s="7">
        <f>'[9]Jul Prod'!D272</f>
        <v>571999.99999999919</v>
      </c>
      <c r="Y18" s="8">
        <f t="shared" si="15"/>
        <v>0.57199999999999918</v>
      </c>
      <c r="Z18" s="10">
        <f t="shared" si="16"/>
        <v>1.7560399999999974</v>
      </c>
      <c r="AA18" s="22"/>
      <c r="AB18" s="7">
        <f>'[9]Jul Prod'!G17</f>
        <v>0</v>
      </c>
      <c r="AC18" s="8">
        <f t="shared" si="17"/>
        <v>0</v>
      </c>
      <c r="AD18" s="10">
        <f t="shared" si="18"/>
        <v>0</v>
      </c>
      <c r="AF18" s="7">
        <f t="shared" si="19"/>
        <v>34747999.999999635</v>
      </c>
      <c r="AG18" s="8">
        <f t="shared" si="20"/>
        <v>34.747999999999635</v>
      </c>
      <c r="AH18" s="8">
        <f t="shared" si="21"/>
        <v>106.67635999999888</v>
      </c>
      <c r="AJ18" s="8">
        <f>T18-Q18-Z18</f>
        <v>0</v>
      </c>
    </row>
    <row r="19" spans="1:36" x14ac:dyDescent="0.15">
      <c r="A19" s="37">
        <v>38548</v>
      </c>
      <c r="B19" s="7">
        <f>'[9]Jul Prod'!I18</f>
        <v>21200000.000000726</v>
      </c>
      <c r="C19" s="8">
        <f t="shared" si="1"/>
        <v>21.200000000000728</v>
      </c>
      <c r="D19" s="10">
        <f t="shared" si="2"/>
        <v>65.084000000002234</v>
      </c>
      <c r="E19" s="7">
        <f>'[9]Jul Prod'!E18</f>
        <v>22000000</v>
      </c>
      <c r="F19" s="8">
        <f t="shared" si="3"/>
        <v>22</v>
      </c>
      <c r="G19" s="10">
        <f t="shared" si="4"/>
        <v>67.539999999999992</v>
      </c>
      <c r="H19" s="7">
        <f>'[9]Jul Prod'!F18</f>
        <v>0</v>
      </c>
      <c r="I19" s="8">
        <f t="shared" si="5"/>
        <v>0</v>
      </c>
      <c r="J19" s="10">
        <f t="shared" si="6"/>
        <v>0</v>
      </c>
      <c r="K19" s="7">
        <f>'[9]Jul Prod'!H273</f>
        <v>1570214</v>
      </c>
      <c r="L19" s="8">
        <f t="shared" si="7"/>
        <v>1.570214</v>
      </c>
      <c r="M19" s="10">
        <f t="shared" si="8"/>
        <v>4.8205569800000001</v>
      </c>
      <c r="N19" s="28"/>
      <c r="O19" s="7">
        <f>'[9]Jul Prod'!H18</f>
        <v>8702000.0000000019</v>
      </c>
      <c r="P19" s="8">
        <f t="shared" si="9"/>
        <v>8.7020000000000017</v>
      </c>
      <c r="Q19" s="10">
        <f t="shared" si="10"/>
        <v>26.715140000000005</v>
      </c>
      <c r="R19" s="7">
        <f>'[9]Jul Prod'!C18</f>
        <v>9273000</v>
      </c>
      <c r="S19" s="8">
        <f t="shared" si="11"/>
        <v>9.2729999999999997</v>
      </c>
      <c r="T19" s="10">
        <f t="shared" si="12"/>
        <v>28.468109999999996</v>
      </c>
      <c r="U19" s="7">
        <f>'[9]Jul Prod'!D18</f>
        <v>0</v>
      </c>
      <c r="V19" s="8">
        <f t="shared" si="13"/>
        <v>0</v>
      </c>
      <c r="W19" s="10">
        <f t="shared" si="14"/>
        <v>0</v>
      </c>
      <c r="X19" s="7">
        <f>'[9]Jul Prod'!D273</f>
        <v>570999.9999999979</v>
      </c>
      <c r="Y19" s="8">
        <f t="shared" si="15"/>
        <v>0.57099999999999795</v>
      </c>
      <c r="Z19" s="10">
        <f t="shared" si="16"/>
        <v>1.7529699999999937</v>
      </c>
      <c r="AA19" s="22"/>
      <c r="AB19" s="7">
        <f>'[9]Jul Prod'!G18</f>
        <v>0</v>
      </c>
      <c r="AC19" s="8">
        <f t="shared" si="17"/>
        <v>0</v>
      </c>
      <c r="AD19" s="10">
        <f t="shared" si="18"/>
        <v>0</v>
      </c>
      <c r="AF19" s="7">
        <f t="shared" si="19"/>
        <v>29902000.00000073</v>
      </c>
      <c r="AG19" s="8">
        <f t="shared" si="20"/>
        <v>29.902000000000729</v>
      </c>
      <c r="AH19" s="8">
        <f t="shared" si="21"/>
        <v>91.79914000000224</v>
      </c>
      <c r="AJ19" s="8">
        <f>T19-Q19-Z19</f>
        <v>-3.1086244689504383E-15</v>
      </c>
    </row>
    <row r="20" spans="1:36" x14ac:dyDescent="0.15">
      <c r="A20" s="37">
        <v>38549</v>
      </c>
      <c r="B20" s="7">
        <f>'[9]Jul Prod'!I19</f>
        <v>23599999.999999456</v>
      </c>
      <c r="C20" s="8">
        <f t="shared" si="1"/>
        <v>23.599999999999458</v>
      </c>
      <c r="D20" s="10">
        <f t="shared" si="2"/>
        <v>72.451999999998336</v>
      </c>
      <c r="E20" s="7">
        <f>'[9]Jul Prod'!E19</f>
        <v>24000000</v>
      </c>
      <c r="F20" s="8">
        <f t="shared" si="3"/>
        <v>24</v>
      </c>
      <c r="G20" s="10">
        <f t="shared" si="4"/>
        <v>73.679999999999993</v>
      </c>
      <c r="H20" s="7">
        <f>'[9]Jul Prod'!F19</f>
        <v>0</v>
      </c>
      <c r="I20" s="8">
        <f t="shared" si="5"/>
        <v>0</v>
      </c>
      <c r="J20" s="10">
        <f t="shared" si="6"/>
        <v>0</v>
      </c>
      <c r="K20" s="7">
        <f>'[9]Jul Prod'!H274</f>
        <v>12415325</v>
      </c>
      <c r="L20" s="8">
        <f t="shared" si="7"/>
        <v>12.415324999999999</v>
      </c>
      <c r="M20" s="10">
        <f t="shared" si="8"/>
        <v>38.115047749999995</v>
      </c>
      <c r="N20" s="28"/>
      <c r="O20" s="7">
        <f>'[9]Jul Prod'!H19</f>
        <v>10523999.999999998</v>
      </c>
      <c r="P20" s="8">
        <f t="shared" si="9"/>
        <v>10.523999999999997</v>
      </c>
      <c r="Q20" s="10">
        <f t="shared" si="10"/>
        <v>32.308679999999988</v>
      </c>
      <c r="R20" s="7">
        <f>'[9]Jul Prod'!C19</f>
        <v>11095000</v>
      </c>
      <c r="S20" s="8">
        <f t="shared" si="11"/>
        <v>11.095000000000001</v>
      </c>
      <c r="T20" s="10">
        <f t="shared" si="12"/>
        <v>34.06165</v>
      </c>
      <c r="U20" s="7">
        <f>'[9]Jul Prod'!D19</f>
        <v>0</v>
      </c>
      <c r="V20" s="8">
        <f t="shared" si="13"/>
        <v>0</v>
      </c>
      <c r="W20" s="10">
        <f t="shared" si="14"/>
        <v>0</v>
      </c>
      <c r="X20" s="7">
        <f>'[9]Jul Prod'!D274</f>
        <v>571000.00000000151</v>
      </c>
      <c r="Y20" s="8">
        <f t="shared" si="15"/>
        <v>0.57100000000000151</v>
      </c>
      <c r="Z20" s="10">
        <f t="shared" si="16"/>
        <v>1.7529700000000046</v>
      </c>
      <c r="AA20" s="22"/>
      <c r="AB20" s="7">
        <f>'[9]Jul Prod'!G19</f>
        <v>0</v>
      </c>
      <c r="AC20" s="8">
        <f t="shared" si="17"/>
        <v>0</v>
      </c>
      <c r="AD20" s="10">
        <f t="shared" si="18"/>
        <v>0</v>
      </c>
      <c r="AF20" s="7">
        <f t="shared" si="19"/>
        <v>34123999.999999456</v>
      </c>
      <c r="AG20" s="8">
        <f t="shared" si="20"/>
        <v>34.123999999999455</v>
      </c>
      <c r="AH20" s="8">
        <f t="shared" si="21"/>
        <v>104.76067999999833</v>
      </c>
      <c r="AJ20" s="8">
        <f t="shared" ref="AJ20:AJ35" si="22">T20-Q20-Z20</f>
        <v>7.3274719625260332E-15</v>
      </c>
    </row>
    <row r="21" spans="1:36" x14ac:dyDescent="0.15">
      <c r="A21" s="37">
        <v>38550</v>
      </c>
      <c r="B21" s="7">
        <f>'[9]Jul Prod'!I20</f>
        <v>26600000.000000365</v>
      </c>
      <c r="C21" s="8">
        <f t="shared" si="1"/>
        <v>26.600000000000364</v>
      </c>
      <c r="D21" s="10">
        <f t="shared" si="2"/>
        <v>81.662000000001115</v>
      </c>
      <c r="E21" s="7">
        <f>'[9]Jul Prod'!E20</f>
        <v>27000000</v>
      </c>
      <c r="F21" s="8">
        <f t="shared" si="3"/>
        <v>27</v>
      </c>
      <c r="G21" s="10">
        <f t="shared" si="4"/>
        <v>82.89</v>
      </c>
      <c r="H21" s="7">
        <f>'[9]Jul Prod'!F20</f>
        <v>0</v>
      </c>
      <c r="I21" s="8">
        <f t="shared" si="5"/>
        <v>0</v>
      </c>
      <c r="J21" s="10">
        <f t="shared" si="6"/>
        <v>0</v>
      </c>
      <c r="K21" s="7">
        <f>'[9]Jul Prod'!H275</f>
        <v>13398114</v>
      </c>
      <c r="L21" s="8">
        <f t="shared" si="7"/>
        <v>13.398114</v>
      </c>
      <c r="M21" s="10">
        <f t="shared" si="8"/>
        <v>41.132209979999999</v>
      </c>
      <c r="N21" s="28"/>
      <c r="O21" s="7">
        <f>'[9]Jul Prod'!H20</f>
        <v>11023000</v>
      </c>
      <c r="P21" s="8">
        <f t="shared" si="9"/>
        <v>11.023</v>
      </c>
      <c r="Q21" s="10">
        <f t="shared" si="10"/>
        <v>33.840609999999998</v>
      </c>
      <c r="R21" s="7">
        <f>'[9]Jul Prod'!C20</f>
        <v>11502000</v>
      </c>
      <c r="S21" s="8">
        <f t="shared" si="11"/>
        <v>11.502000000000001</v>
      </c>
      <c r="T21" s="10">
        <f t="shared" si="12"/>
        <v>35.311140000000002</v>
      </c>
      <c r="U21" s="7">
        <f>'[9]Jul Prod'!D20</f>
        <v>0</v>
      </c>
      <c r="V21" s="8">
        <f t="shared" si="13"/>
        <v>0</v>
      </c>
      <c r="W21" s="10">
        <f t="shared" si="14"/>
        <v>0</v>
      </c>
      <c r="X21" s="7">
        <f>'[9]Jul Prod'!D275</f>
        <v>478999.99999999919</v>
      </c>
      <c r="Y21" s="8">
        <f t="shared" si="15"/>
        <v>0.4789999999999992</v>
      </c>
      <c r="Z21" s="10">
        <f t="shared" si="16"/>
        <v>1.4705299999999975</v>
      </c>
      <c r="AA21" s="22"/>
      <c r="AB21" s="7">
        <f>'[9]Jul Prod'!G20</f>
        <v>0</v>
      </c>
      <c r="AC21" s="8">
        <f t="shared" si="17"/>
        <v>0</v>
      </c>
      <c r="AD21" s="10">
        <f t="shared" si="18"/>
        <v>0</v>
      </c>
      <c r="AF21" s="7">
        <f t="shared" si="19"/>
        <v>37623000.000000365</v>
      </c>
      <c r="AG21" s="8">
        <f t="shared" si="20"/>
        <v>37.62300000000036</v>
      </c>
      <c r="AH21" s="8">
        <f t="shared" si="21"/>
        <v>115.50261000000111</v>
      </c>
      <c r="AJ21" s="8">
        <f t="shared" si="22"/>
        <v>6.2172489379008766E-15</v>
      </c>
    </row>
    <row r="22" spans="1:36" x14ac:dyDescent="0.15">
      <c r="A22" s="37">
        <v>38551</v>
      </c>
      <c r="B22" s="7">
        <f>'[9]Jul Prod'!I21</f>
        <v>26599999.999999456</v>
      </c>
      <c r="C22" s="8">
        <f t="shared" si="1"/>
        <v>26.599999999999458</v>
      </c>
      <c r="D22" s="10">
        <f t="shared" si="2"/>
        <v>81.661999999998329</v>
      </c>
      <c r="E22" s="7">
        <f>'[9]Jul Prod'!E21</f>
        <v>27000000</v>
      </c>
      <c r="F22" s="8">
        <f t="shared" si="3"/>
        <v>27</v>
      </c>
      <c r="G22" s="10">
        <f t="shared" si="4"/>
        <v>82.89</v>
      </c>
      <c r="H22" s="7">
        <f>'[9]Jul Prod'!F21</f>
        <v>0</v>
      </c>
      <c r="I22" s="8">
        <f t="shared" si="5"/>
        <v>0</v>
      </c>
      <c r="J22" s="10">
        <f t="shared" si="6"/>
        <v>0</v>
      </c>
      <c r="K22" s="7">
        <f>'[9]Jul Prod'!H276</f>
        <v>14257736</v>
      </c>
      <c r="L22" s="8">
        <f t="shared" si="7"/>
        <v>14.257736</v>
      </c>
      <c r="M22" s="10">
        <f t="shared" si="8"/>
        <v>43.771249519999998</v>
      </c>
      <c r="N22" s="28"/>
      <c r="O22" s="7">
        <f>'[9]Jul Prod'!H21</f>
        <v>9164999.9999999981</v>
      </c>
      <c r="P22" s="8">
        <f t="shared" si="9"/>
        <v>9.1649999999999974</v>
      </c>
      <c r="Q22" s="10">
        <f t="shared" si="10"/>
        <v>28.136549999999989</v>
      </c>
      <c r="R22" s="7">
        <f>'[9]Jul Prod'!C21</f>
        <v>9643000</v>
      </c>
      <c r="S22" s="8">
        <f t="shared" si="11"/>
        <v>9.6430000000000007</v>
      </c>
      <c r="T22" s="10">
        <f t="shared" si="12"/>
        <v>29.604009999999999</v>
      </c>
      <c r="U22" s="7">
        <f>'[9]Jul Prod'!D21</f>
        <v>0</v>
      </c>
      <c r="V22" s="8">
        <f t="shared" si="13"/>
        <v>0</v>
      </c>
      <c r="W22" s="10">
        <f t="shared" si="14"/>
        <v>0</v>
      </c>
      <c r="X22" s="7">
        <f>'[9]Jul Prod'!D276</f>
        <v>478000.00000000151</v>
      </c>
      <c r="Y22" s="8">
        <f t="shared" si="15"/>
        <v>0.47800000000000153</v>
      </c>
      <c r="Z22" s="10">
        <f t="shared" si="16"/>
        <v>1.4674600000000046</v>
      </c>
      <c r="AA22" s="22"/>
      <c r="AB22" s="7">
        <f>'[9]Jul Prod'!G21</f>
        <v>0</v>
      </c>
      <c r="AC22" s="8">
        <f t="shared" si="17"/>
        <v>0</v>
      </c>
      <c r="AD22" s="10">
        <f t="shared" si="18"/>
        <v>0</v>
      </c>
      <c r="AF22" s="7">
        <f t="shared" si="19"/>
        <v>35764999.999999456</v>
      </c>
      <c r="AG22" s="8">
        <f t="shared" si="20"/>
        <v>35.764999999999453</v>
      </c>
      <c r="AH22" s="8">
        <f t="shared" si="21"/>
        <v>109.79854999999831</v>
      </c>
      <c r="AI22" s="25"/>
      <c r="AJ22" s="8">
        <f t="shared" si="22"/>
        <v>5.1070259132757201E-15</v>
      </c>
    </row>
    <row r="23" spans="1:36" x14ac:dyDescent="0.15">
      <c r="A23" s="37">
        <v>38552</v>
      </c>
      <c r="B23" s="7">
        <f>'[9]Jul Prod'!I22</f>
        <v>25500000</v>
      </c>
      <c r="C23" s="8">
        <f t="shared" si="1"/>
        <v>25.5</v>
      </c>
      <c r="D23" s="10">
        <f t="shared" si="2"/>
        <v>78.284999999999997</v>
      </c>
      <c r="E23" s="7">
        <f>'[9]Jul Prod'!E22</f>
        <v>26000000</v>
      </c>
      <c r="F23" s="8">
        <f t="shared" si="3"/>
        <v>26</v>
      </c>
      <c r="G23" s="10">
        <f t="shared" si="4"/>
        <v>79.819999999999993</v>
      </c>
      <c r="H23" s="7">
        <f>'[9]Jul Prod'!F22</f>
        <v>0</v>
      </c>
      <c r="I23" s="8">
        <f t="shared" si="5"/>
        <v>0</v>
      </c>
      <c r="J23" s="10">
        <f t="shared" si="6"/>
        <v>0</v>
      </c>
      <c r="K23" s="7">
        <f>'[9]Jul Prod'!H277</f>
        <v>1893858</v>
      </c>
      <c r="L23" s="8">
        <f t="shared" si="7"/>
        <v>1.893858</v>
      </c>
      <c r="M23" s="10">
        <f t="shared" si="8"/>
        <v>5.8141440599999994</v>
      </c>
      <c r="N23" s="28"/>
      <c r="O23" s="7">
        <f>'[9]Jul Prod'!H22</f>
        <v>9219000.0000000019</v>
      </c>
      <c r="P23" s="8">
        <f t="shared" si="9"/>
        <v>9.2190000000000012</v>
      </c>
      <c r="Q23" s="10">
        <f t="shared" si="10"/>
        <v>28.302330000000001</v>
      </c>
      <c r="R23" s="7">
        <f>'[9]Jul Prod'!C22</f>
        <v>9790000</v>
      </c>
      <c r="S23" s="8">
        <f t="shared" si="11"/>
        <v>9.7899999999999991</v>
      </c>
      <c r="T23" s="10">
        <f t="shared" si="12"/>
        <v>30.055299999999995</v>
      </c>
      <c r="U23" s="7">
        <f>'[9]Jul Prod'!D22</f>
        <v>0</v>
      </c>
      <c r="V23" s="8">
        <f t="shared" si="13"/>
        <v>0</v>
      </c>
      <c r="W23" s="10">
        <f t="shared" si="14"/>
        <v>0</v>
      </c>
      <c r="X23" s="7">
        <f>'[9]Jul Prod'!D277</f>
        <v>570999.9999999979</v>
      </c>
      <c r="Y23" s="8">
        <f t="shared" si="15"/>
        <v>0.57099999999999795</v>
      </c>
      <c r="Z23" s="10">
        <f t="shared" si="16"/>
        <v>1.7529699999999937</v>
      </c>
      <c r="AA23" s="22"/>
      <c r="AB23" s="7">
        <f>'[9]Jul Prod'!G22</f>
        <v>0</v>
      </c>
      <c r="AC23" s="8">
        <f t="shared" si="17"/>
        <v>0</v>
      </c>
      <c r="AD23" s="10">
        <f t="shared" si="18"/>
        <v>0</v>
      </c>
      <c r="AF23" s="7">
        <f t="shared" si="19"/>
        <v>34719000</v>
      </c>
      <c r="AG23" s="8">
        <f t="shared" si="20"/>
        <v>34.719000000000001</v>
      </c>
      <c r="AH23" s="8">
        <f t="shared" si="21"/>
        <v>106.58732999999999</v>
      </c>
      <c r="AJ23" s="8">
        <f t="shared" si="22"/>
        <v>0</v>
      </c>
    </row>
    <row r="24" spans="1:36" x14ac:dyDescent="0.15">
      <c r="A24" s="37">
        <v>38553</v>
      </c>
      <c r="B24" s="7">
        <f>'[9]Jul Prod'!I23</f>
        <v>19400000.000000544</v>
      </c>
      <c r="C24" s="8">
        <f t="shared" si="1"/>
        <v>19.400000000000542</v>
      </c>
      <c r="D24" s="10">
        <f t="shared" si="2"/>
        <v>59.558000000001662</v>
      </c>
      <c r="E24" s="7">
        <f>'[9]Jul Prod'!E23</f>
        <v>19000000</v>
      </c>
      <c r="F24" s="8">
        <f t="shared" si="3"/>
        <v>19</v>
      </c>
      <c r="G24" s="10">
        <f t="shared" si="4"/>
        <v>58.33</v>
      </c>
      <c r="H24" s="7">
        <f>'[9]Jul Prod'!F23</f>
        <v>0</v>
      </c>
      <c r="I24" s="8">
        <f t="shared" si="5"/>
        <v>0</v>
      </c>
      <c r="J24" s="10">
        <f t="shared" si="6"/>
        <v>0</v>
      </c>
      <c r="K24" s="7">
        <f>'[9]Jul Prod'!H278</f>
        <v>1981817</v>
      </c>
      <c r="L24" s="8">
        <f t="shared" si="7"/>
        <v>1.9818169999999999</v>
      </c>
      <c r="M24" s="10">
        <f t="shared" si="8"/>
        <v>6.0841781899999994</v>
      </c>
      <c r="N24" s="28"/>
      <c r="O24" s="7">
        <f>'[9]Jul Prod'!H23</f>
        <v>10671000</v>
      </c>
      <c r="P24" s="8">
        <f t="shared" si="9"/>
        <v>10.670999999999999</v>
      </c>
      <c r="Q24" s="10">
        <f t="shared" si="10"/>
        <v>32.759969999999996</v>
      </c>
      <c r="R24" s="7">
        <f>'[9]Jul Prod'!C23</f>
        <v>11430000</v>
      </c>
      <c r="S24" s="8">
        <f t="shared" si="11"/>
        <v>11.43</v>
      </c>
      <c r="T24" s="10">
        <f t="shared" si="12"/>
        <v>35.0901</v>
      </c>
      <c r="U24" s="7">
        <f>'[9]Jul Prod'!D23</f>
        <v>0</v>
      </c>
      <c r="V24" s="8">
        <f t="shared" si="13"/>
        <v>0</v>
      </c>
      <c r="W24" s="10">
        <f t="shared" si="14"/>
        <v>0</v>
      </c>
      <c r="X24" s="7">
        <f>'[9]Jul Prod'!D278</f>
        <v>759000.00000000035</v>
      </c>
      <c r="Y24" s="8">
        <f t="shared" si="15"/>
        <v>0.75900000000000034</v>
      </c>
      <c r="Z24" s="10">
        <f t="shared" si="16"/>
        <v>2.3301300000000009</v>
      </c>
      <c r="AA24" s="22"/>
      <c r="AB24" s="7">
        <f>'[9]Jul Prod'!G23</f>
        <v>0</v>
      </c>
      <c r="AC24" s="8">
        <f t="shared" si="17"/>
        <v>0</v>
      </c>
      <c r="AD24" s="10">
        <f t="shared" si="18"/>
        <v>0</v>
      </c>
      <c r="AF24" s="7">
        <f t="shared" si="19"/>
        <v>30071000.000000544</v>
      </c>
      <c r="AG24" s="8">
        <f t="shared" si="20"/>
        <v>30.071000000000542</v>
      </c>
      <c r="AH24" s="8">
        <f t="shared" si="21"/>
        <v>92.317970000001651</v>
      </c>
      <c r="AJ24" s="8">
        <f t="shared" si="22"/>
        <v>0</v>
      </c>
    </row>
    <row r="25" spans="1:36" x14ac:dyDescent="0.15">
      <c r="A25" s="37">
        <v>38554</v>
      </c>
      <c r="B25" s="7">
        <f>'[9]Jul Prod'!I24</f>
        <v>21199999.999999817</v>
      </c>
      <c r="C25" s="8">
        <f t="shared" si="1"/>
        <v>21.199999999999818</v>
      </c>
      <c r="D25" s="10">
        <f t="shared" si="2"/>
        <v>65.083999999999435</v>
      </c>
      <c r="E25" s="7">
        <f>'[9]Jul Prod'!E24</f>
        <v>22000000</v>
      </c>
      <c r="F25" s="8">
        <f t="shared" si="3"/>
        <v>22</v>
      </c>
      <c r="G25" s="10">
        <f t="shared" si="4"/>
        <v>67.539999999999992</v>
      </c>
      <c r="H25" s="7">
        <f>'[9]Jul Prod'!F24</f>
        <v>0</v>
      </c>
      <c r="I25" s="8">
        <f t="shared" si="5"/>
        <v>0</v>
      </c>
      <c r="J25" s="10">
        <f t="shared" si="6"/>
        <v>0</v>
      </c>
      <c r="K25" s="7">
        <f>'[9]Jul Prod'!H279</f>
        <v>258874</v>
      </c>
      <c r="L25" s="8">
        <f t="shared" si="7"/>
        <v>0.25887399999999999</v>
      </c>
      <c r="M25" s="10">
        <f t="shared" si="8"/>
        <v>0.79474317999999988</v>
      </c>
      <c r="N25" s="28"/>
      <c r="O25" s="7">
        <f>'[9]Jul Prod'!H24</f>
        <v>9026999.9999999981</v>
      </c>
      <c r="P25" s="8">
        <f t="shared" si="9"/>
        <v>9.0269999999999975</v>
      </c>
      <c r="Q25" s="10">
        <f t="shared" si="10"/>
        <v>27.712889999999991</v>
      </c>
      <c r="R25" s="7">
        <f>'[9]Jul Prod'!C24</f>
        <v>9490000</v>
      </c>
      <c r="S25" s="8">
        <f t="shared" si="11"/>
        <v>9.49</v>
      </c>
      <c r="T25" s="10">
        <f t="shared" si="12"/>
        <v>29.1343</v>
      </c>
      <c r="U25" s="7">
        <f>'[9]Jul Prod'!D24</f>
        <v>0</v>
      </c>
      <c r="V25" s="8">
        <f t="shared" si="13"/>
        <v>0</v>
      </c>
      <c r="W25" s="10">
        <f t="shared" si="14"/>
        <v>0</v>
      </c>
      <c r="X25" s="7">
        <f>'[9]Jul Prod'!D279</f>
        <v>463000.00000000099</v>
      </c>
      <c r="Y25" s="8">
        <f t="shared" si="15"/>
        <v>0.46300000000000097</v>
      </c>
      <c r="Z25" s="10">
        <f t="shared" si="16"/>
        <v>1.4214100000000029</v>
      </c>
      <c r="AA25" s="22"/>
      <c r="AB25" s="7">
        <f>'[9]Jul Prod'!G24</f>
        <v>0</v>
      </c>
      <c r="AC25" s="8">
        <f t="shared" si="17"/>
        <v>0</v>
      </c>
      <c r="AD25" s="10">
        <f t="shared" si="18"/>
        <v>0</v>
      </c>
      <c r="AF25" s="7">
        <f t="shared" si="19"/>
        <v>30226999.999999814</v>
      </c>
      <c r="AG25" s="8">
        <f t="shared" si="20"/>
        <v>30.226999999999816</v>
      </c>
      <c r="AH25" s="8">
        <f t="shared" si="21"/>
        <v>92.796889999999422</v>
      </c>
      <c r="AJ25" s="8">
        <f t="shared" si="22"/>
        <v>5.773159728050814E-15</v>
      </c>
    </row>
    <row r="26" spans="1:36" x14ac:dyDescent="0.15">
      <c r="A26" s="37">
        <v>38555</v>
      </c>
      <c r="B26" s="7">
        <f>'[9]Jul Prod'!I25</f>
        <v>21300000.000000183</v>
      </c>
      <c r="C26" s="8">
        <f t="shared" si="1"/>
        <v>21.300000000000182</v>
      </c>
      <c r="D26" s="10">
        <f t="shared" si="2"/>
        <v>65.39100000000056</v>
      </c>
      <c r="E26" s="7">
        <f>'[9]Jul Prod'!E25</f>
        <v>21000000</v>
      </c>
      <c r="F26" s="8">
        <f t="shared" si="3"/>
        <v>21</v>
      </c>
      <c r="G26" s="10">
        <f t="shared" si="4"/>
        <v>64.47</v>
      </c>
      <c r="H26" s="7">
        <f>'[9]Jul Prod'!F25</f>
        <v>0</v>
      </c>
      <c r="I26" s="8">
        <f t="shared" si="5"/>
        <v>0</v>
      </c>
      <c r="J26" s="10">
        <f t="shared" si="6"/>
        <v>0</v>
      </c>
      <c r="K26" s="7">
        <f>'[9]Jul Prod'!H280</f>
        <v>657440</v>
      </c>
      <c r="L26" s="8">
        <f t="shared" si="7"/>
        <v>0.65744000000000002</v>
      </c>
      <c r="M26" s="10">
        <f t="shared" si="8"/>
        <v>2.0183407999999998</v>
      </c>
      <c r="N26" s="28"/>
      <c r="O26" s="7">
        <f>'[9]Jul Prod'!H25</f>
        <v>8535999.9999999981</v>
      </c>
      <c r="P26" s="8">
        <f t="shared" si="9"/>
        <v>8.5359999999999978</v>
      </c>
      <c r="Q26" s="10">
        <f t="shared" si="10"/>
        <v>26.205519999999993</v>
      </c>
      <c r="R26" s="7">
        <f>'[9]Jul Prod'!C25</f>
        <v>8950000</v>
      </c>
      <c r="S26" s="8">
        <f t="shared" si="11"/>
        <v>8.9499999999999993</v>
      </c>
      <c r="T26" s="10">
        <f t="shared" si="12"/>
        <v>27.476499999999998</v>
      </c>
      <c r="U26" s="7">
        <f>'[9]Jul Prod'!D25</f>
        <v>0</v>
      </c>
      <c r="V26" s="8">
        <f t="shared" si="13"/>
        <v>0</v>
      </c>
      <c r="W26" s="10">
        <f t="shared" si="14"/>
        <v>0</v>
      </c>
      <c r="X26" s="7">
        <f>'[9]Jul Prod'!D280</f>
        <v>414000.00000000146</v>
      </c>
      <c r="Y26" s="8">
        <f t="shared" si="15"/>
        <v>0.41400000000000148</v>
      </c>
      <c r="Z26" s="10">
        <f t="shared" si="16"/>
        <v>1.2709800000000044</v>
      </c>
      <c r="AA26" s="22"/>
      <c r="AB26" s="7">
        <f>'[9]Jul Prod'!G25</f>
        <v>0</v>
      </c>
      <c r="AC26" s="8">
        <f t="shared" si="17"/>
        <v>0</v>
      </c>
      <c r="AD26" s="10">
        <f t="shared" si="18"/>
        <v>0</v>
      </c>
      <c r="AF26" s="7">
        <f t="shared" si="19"/>
        <v>29836000.000000179</v>
      </c>
      <c r="AG26" s="8">
        <f t="shared" si="20"/>
        <v>29.83600000000018</v>
      </c>
      <c r="AH26" s="8">
        <f t="shared" si="21"/>
        <v>91.596520000000552</v>
      </c>
      <c r="AJ26" s="8">
        <f t="shared" si="22"/>
        <v>0</v>
      </c>
    </row>
    <row r="27" spans="1:36" x14ac:dyDescent="0.15">
      <c r="A27" s="37">
        <v>38556</v>
      </c>
      <c r="B27" s="7">
        <f>'[9]Jul Prod'!I26</f>
        <v>24099999.999999456</v>
      </c>
      <c r="C27" s="8">
        <f t="shared" si="1"/>
        <v>24.099999999999458</v>
      </c>
      <c r="D27" s="10">
        <f t="shared" si="2"/>
        <v>73.986999999998332</v>
      </c>
      <c r="E27" s="7">
        <f>'[9]Jul Prod'!E26</f>
        <v>25000000</v>
      </c>
      <c r="F27" s="8">
        <f t="shared" si="3"/>
        <v>25</v>
      </c>
      <c r="G27" s="10">
        <f t="shared" si="4"/>
        <v>76.75</v>
      </c>
      <c r="H27" s="7">
        <f>'[9]Jul Prod'!F26</f>
        <v>0</v>
      </c>
      <c r="I27" s="8">
        <f t="shared" si="5"/>
        <v>0</v>
      </c>
      <c r="J27" s="10">
        <f t="shared" si="6"/>
        <v>0</v>
      </c>
      <c r="K27" s="7">
        <f>'[9]Jul Prod'!H281</f>
        <v>63693</v>
      </c>
      <c r="L27" s="8">
        <f t="shared" si="7"/>
        <v>6.3693E-2</v>
      </c>
      <c r="M27" s="10">
        <f t="shared" si="8"/>
        <v>0.19553751</v>
      </c>
      <c r="N27" s="28"/>
      <c r="O27" s="7">
        <f>'[9]Jul Prod'!H26</f>
        <v>10209000.000000004</v>
      </c>
      <c r="P27" s="8">
        <f t="shared" si="9"/>
        <v>10.209000000000003</v>
      </c>
      <c r="Q27" s="10">
        <f t="shared" si="10"/>
        <v>31.341630000000009</v>
      </c>
      <c r="R27" s="7">
        <f>'[9]Jul Prod'!C26</f>
        <v>10533000</v>
      </c>
      <c r="S27" s="8">
        <f t="shared" si="11"/>
        <v>10.532999999999999</v>
      </c>
      <c r="T27" s="10">
        <f t="shared" si="12"/>
        <v>32.336309999999997</v>
      </c>
      <c r="U27" s="7">
        <f>'[9]Jul Prod'!D26</f>
        <v>1000</v>
      </c>
      <c r="V27" s="8">
        <f t="shared" si="13"/>
        <v>1E-3</v>
      </c>
      <c r="W27" s="10">
        <f t="shared" si="14"/>
        <v>3.0699999999999998E-3</v>
      </c>
      <c r="X27" s="7">
        <f>'[9]Jul Prod'!D281</f>
        <v>324999.99999999575</v>
      </c>
      <c r="Y27" s="8">
        <f t="shared" si="15"/>
        <v>0.32499999999999574</v>
      </c>
      <c r="Z27" s="10">
        <f t="shared" si="16"/>
        <v>0.99774999999998681</v>
      </c>
      <c r="AA27" s="22"/>
      <c r="AB27" s="7">
        <f>'[9]Jul Prod'!G26</f>
        <v>0</v>
      </c>
      <c r="AC27" s="8">
        <f t="shared" si="17"/>
        <v>0</v>
      </c>
      <c r="AD27" s="10">
        <f t="shared" si="18"/>
        <v>0</v>
      </c>
      <c r="AF27" s="7">
        <f t="shared" si="19"/>
        <v>34308999.999999464</v>
      </c>
      <c r="AG27" s="8">
        <f t="shared" si="20"/>
        <v>34.308999999999457</v>
      </c>
      <c r="AH27" s="8">
        <f t="shared" si="21"/>
        <v>105.32862999999834</v>
      </c>
      <c r="AJ27" s="8">
        <f t="shared" si="22"/>
        <v>-3.0699999999985739E-3</v>
      </c>
    </row>
    <row r="28" spans="1:36" x14ac:dyDescent="0.15">
      <c r="A28" s="37">
        <v>38557</v>
      </c>
      <c r="B28" s="7">
        <f>'[9]Jul Prod'!I27</f>
        <v>26400000.000000544</v>
      </c>
      <c r="C28" s="8">
        <f t="shared" si="1"/>
        <v>26.400000000000542</v>
      </c>
      <c r="D28" s="10">
        <f t="shared" si="2"/>
        <v>81.048000000001664</v>
      </c>
      <c r="E28" s="7">
        <f>'[9]Jul Prod'!E27</f>
        <v>26000000</v>
      </c>
      <c r="F28" s="8">
        <f t="shared" si="3"/>
        <v>26</v>
      </c>
      <c r="G28" s="10">
        <f t="shared" si="4"/>
        <v>79.819999999999993</v>
      </c>
      <c r="H28" s="7">
        <f>'[9]Jul Prod'!F27</f>
        <v>0</v>
      </c>
      <c r="I28" s="8">
        <f t="shared" si="5"/>
        <v>0</v>
      </c>
      <c r="J28" s="10">
        <f t="shared" si="6"/>
        <v>0</v>
      </c>
      <c r="K28" s="7">
        <f>'[9]Jul Prod'!H282</f>
        <v>83926</v>
      </c>
      <c r="L28" s="8">
        <f t="shared" si="7"/>
        <v>8.3926000000000001E-2</v>
      </c>
      <c r="M28" s="10">
        <f t="shared" si="8"/>
        <v>0.25765282</v>
      </c>
      <c r="N28" s="28"/>
      <c r="O28" s="7">
        <f>'[9]Jul Prod'!H27</f>
        <v>10255999.999999996</v>
      </c>
      <c r="P28" s="8">
        <f t="shared" si="9"/>
        <v>10.255999999999997</v>
      </c>
      <c r="Q28" s="10">
        <f t="shared" si="10"/>
        <v>31.485919999999989</v>
      </c>
      <c r="R28" s="7">
        <f>'[9]Jul Prod'!C27</f>
        <v>10852000</v>
      </c>
      <c r="S28" s="8">
        <f t="shared" si="11"/>
        <v>10.852</v>
      </c>
      <c r="T28" s="10">
        <f t="shared" si="12"/>
        <v>33.315640000000002</v>
      </c>
      <c r="U28" s="7">
        <f>'[9]Jul Prod'!D27</f>
        <v>0</v>
      </c>
      <c r="V28" s="8">
        <f t="shared" si="13"/>
        <v>0</v>
      </c>
      <c r="W28" s="10">
        <f t="shared" si="14"/>
        <v>0</v>
      </c>
      <c r="X28" s="7">
        <f>'[9]Jul Prod'!D282</f>
        <v>596000.00000000361</v>
      </c>
      <c r="Y28" s="8">
        <f t="shared" si="15"/>
        <v>0.59600000000000364</v>
      </c>
      <c r="Z28" s="10">
        <f t="shared" si="16"/>
        <v>1.8297200000000111</v>
      </c>
      <c r="AA28" s="22"/>
      <c r="AB28" s="7">
        <f>'[9]Jul Prod'!G27</f>
        <v>0</v>
      </c>
      <c r="AC28" s="8">
        <f t="shared" si="17"/>
        <v>0</v>
      </c>
      <c r="AD28" s="10">
        <f t="shared" si="18"/>
        <v>0</v>
      </c>
      <c r="AF28" s="7">
        <f t="shared" si="19"/>
        <v>36656000.000000536</v>
      </c>
      <c r="AG28" s="8">
        <f t="shared" si="20"/>
        <v>36.656000000000539</v>
      </c>
      <c r="AH28" s="8">
        <f t="shared" si="21"/>
        <v>112.53392000000166</v>
      </c>
      <c r="AJ28" s="8">
        <f t="shared" si="22"/>
        <v>0</v>
      </c>
    </row>
    <row r="29" spans="1:36" x14ac:dyDescent="0.15">
      <c r="A29" s="37">
        <v>38558</v>
      </c>
      <c r="B29" s="7">
        <f>'[9]Jul Prod'!I28</f>
        <v>27099999.999999456</v>
      </c>
      <c r="C29" s="8">
        <f t="shared" si="1"/>
        <v>27.099999999999458</v>
      </c>
      <c r="D29" s="10">
        <f t="shared" si="2"/>
        <v>83.196999999998326</v>
      </c>
      <c r="E29" s="7">
        <f>'[9]Jul Prod'!E28</f>
        <v>29000000</v>
      </c>
      <c r="F29" s="8">
        <f t="shared" si="3"/>
        <v>29</v>
      </c>
      <c r="G29" s="10">
        <f t="shared" si="4"/>
        <v>89.03</v>
      </c>
      <c r="H29" s="7">
        <f>'[9]Jul Prod'!F28</f>
        <v>0</v>
      </c>
      <c r="I29" s="8">
        <f t="shared" si="5"/>
        <v>0</v>
      </c>
      <c r="J29" s="10">
        <f t="shared" si="6"/>
        <v>0</v>
      </c>
      <c r="K29" s="7">
        <f>'[9]Jul Prod'!H283</f>
        <v>91686</v>
      </c>
      <c r="L29" s="8">
        <f t="shared" si="7"/>
        <v>9.1686000000000004E-2</v>
      </c>
      <c r="M29" s="10">
        <f t="shared" si="8"/>
        <v>0.28147601999999999</v>
      </c>
      <c r="N29" s="28"/>
      <c r="O29" s="7">
        <f>'[9]Jul Prod'!H28</f>
        <v>10429000.000000002</v>
      </c>
      <c r="P29" s="8">
        <f t="shared" si="9"/>
        <v>10.429000000000002</v>
      </c>
      <c r="Q29" s="10">
        <f t="shared" si="10"/>
        <v>32.017030000000005</v>
      </c>
      <c r="R29" s="7">
        <f>'[9]Jul Prod'!C28</f>
        <v>11073000</v>
      </c>
      <c r="S29" s="8">
        <f t="shared" si="11"/>
        <v>11.073</v>
      </c>
      <c r="T29" s="10">
        <f t="shared" si="12"/>
        <v>33.994109999999999</v>
      </c>
      <c r="U29" s="7">
        <f>'[9]Jul Prod'!D28</f>
        <v>0</v>
      </c>
      <c r="V29" s="8">
        <f t="shared" si="13"/>
        <v>0</v>
      </c>
      <c r="W29" s="10">
        <f t="shared" si="14"/>
        <v>0</v>
      </c>
      <c r="X29" s="7">
        <f>'[9]Jul Prod'!D283</f>
        <v>643999.99999999837</v>
      </c>
      <c r="Y29" s="8">
        <f t="shared" si="15"/>
        <v>0.64399999999999835</v>
      </c>
      <c r="Z29" s="10">
        <f t="shared" si="16"/>
        <v>1.9770799999999948</v>
      </c>
      <c r="AA29" s="22"/>
      <c r="AB29" s="7">
        <f>'[9]Jul Prod'!G28</f>
        <v>0</v>
      </c>
      <c r="AC29" s="8">
        <f t="shared" si="17"/>
        <v>0</v>
      </c>
      <c r="AD29" s="10">
        <f t="shared" si="18"/>
        <v>0</v>
      </c>
      <c r="AF29" s="7">
        <f t="shared" si="19"/>
        <v>37528999.999999456</v>
      </c>
      <c r="AG29" s="8">
        <f t="shared" si="20"/>
        <v>37.528999999999456</v>
      </c>
      <c r="AH29" s="8">
        <f t="shared" si="21"/>
        <v>115.21402999999833</v>
      </c>
      <c r="AJ29" s="8">
        <f t="shared" si="22"/>
        <v>0</v>
      </c>
    </row>
    <row r="30" spans="1:36" x14ac:dyDescent="0.15">
      <c r="A30" s="37">
        <v>38559</v>
      </c>
      <c r="B30" s="7">
        <f>'[9]Jul Prod'!I29</f>
        <v>28000000</v>
      </c>
      <c r="C30" s="8">
        <f t="shared" si="1"/>
        <v>28</v>
      </c>
      <c r="D30" s="10">
        <f t="shared" si="2"/>
        <v>85.96</v>
      </c>
      <c r="E30" s="7">
        <f>'[9]Jul Prod'!E29</f>
        <v>28000000</v>
      </c>
      <c r="F30" s="8">
        <f t="shared" si="3"/>
        <v>28</v>
      </c>
      <c r="G30" s="10">
        <f t="shared" si="4"/>
        <v>85.96</v>
      </c>
      <c r="H30" s="7">
        <f>'[9]Jul Prod'!F29</f>
        <v>0</v>
      </c>
      <c r="I30" s="8">
        <f t="shared" si="5"/>
        <v>0</v>
      </c>
      <c r="J30" s="10">
        <f t="shared" si="6"/>
        <v>0</v>
      </c>
      <c r="K30" s="7">
        <f>'[9]Jul Prod'!H284</f>
        <v>1241236</v>
      </c>
      <c r="L30" s="8">
        <f>K30/1000000</f>
        <v>1.241236</v>
      </c>
      <c r="M30" s="10">
        <f t="shared" si="8"/>
        <v>3.81059452</v>
      </c>
      <c r="N30" s="28"/>
      <c r="O30" s="7">
        <f>'[9]Jul Prod'!H29</f>
        <v>10650000</v>
      </c>
      <c r="P30" s="8">
        <f t="shared" si="9"/>
        <v>10.65</v>
      </c>
      <c r="Q30" s="10">
        <f t="shared" si="10"/>
        <v>32.695500000000003</v>
      </c>
      <c r="R30" s="7">
        <f>'[9]Jul Prod'!C29</f>
        <v>11025000</v>
      </c>
      <c r="S30" s="8">
        <f t="shared" si="11"/>
        <v>11.025</v>
      </c>
      <c r="T30" s="10">
        <f t="shared" si="12"/>
        <v>33.84675</v>
      </c>
      <c r="U30" s="7">
        <f>'[9]Jul Prod'!D29</f>
        <v>0</v>
      </c>
      <c r="V30" s="8">
        <f t="shared" si="13"/>
        <v>0</v>
      </c>
      <c r="W30" s="10">
        <f t="shared" si="14"/>
        <v>0</v>
      </c>
      <c r="X30" s="7">
        <f>'[9]Jul Prod'!D284</f>
        <v>375000</v>
      </c>
      <c r="Y30" s="8">
        <f t="shared" si="15"/>
        <v>0.375</v>
      </c>
      <c r="Z30" s="10">
        <f t="shared" si="16"/>
        <v>1.1512499999999999</v>
      </c>
      <c r="AA30" s="22"/>
      <c r="AB30" s="7">
        <f>'[9]Jul Prod'!G29</f>
        <v>0</v>
      </c>
      <c r="AC30" s="8">
        <f t="shared" si="17"/>
        <v>0</v>
      </c>
      <c r="AD30" s="10">
        <f t="shared" si="18"/>
        <v>0</v>
      </c>
      <c r="AF30" s="7">
        <f t="shared" si="19"/>
        <v>38650000</v>
      </c>
      <c r="AG30" s="8">
        <f t="shared" si="20"/>
        <v>38.65</v>
      </c>
      <c r="AH30" s="8">
        <f t="shared" si="21"/>
        <v>118.65549999999999</v>
      </c>
      <c r="AJ30" s="8">
        <f t="shared" si="22"/>
        <v>-2.4424906541753444E-15</v>
      </c>
    </row>
    <row r="31" spans="1:36" x14ac:dyDescent="0.15">
      <c r="A31" s="37">
        <v>38560</v>
      </c>
      <c r="B31" s="7">
        <f>'[9]Jul Prod'!I30</f>
        <v>26200000.000000726</v>
      </c>
      <c r="C31" s="8">
        <f t="shared" si="1"/>
        <v>26.200000000000728</v>
      </c>
      <c r="D31" s="10">
        <f t="shared" si="2"/>
        <v>80.434000000002229</v>
      </c>
      <c r="E31" s="7">
        <f>'[9]Jul Prod'!E30</f>
        <v>28000000</v>
      </c>
      <c r="F31" s="8">
        <f t="shared" si="3"/>
        <v>28</v>
      </c>
      <c r="G31" s="10">
        <f t="shared" si="4"/>
        <v>85.96</v>
      </c>
      <c r="H31" s="7">
        <f>'[9]Jul Prod'!F30</f>
        <v>0</v>
      </c>
      <c r="I31" s="8">
        <f t="shared" si="5"/>
        <v>0</v>
      </c>
      <c r="J31" s="10">
        <f t="shared" si="6"/>
        <v>0</v>
      </c>
      <c r="K31" s="7">
        <f>'[9]Jul Prod'!H285</f>
        <v>1331610</v>
      </c>
      <c r="L31" s="8">
        <f t="shared" si="7"/>
        <v>1.33161</v>
      </c>
      <c r="M31" s="10">
        <f t="shared" si="8"/>
        <v>4.0880426999999999</v>
      </c>
      <c r="N31" s="28"/>
      <c r="O31" s="7">
        <f>'[9]Jul Prod'!H30</f>
        <v>10286999.999999998</v>
      </c>
      <c r="P31" s="8">
        <f t="shared" si="9"/>
        <v>10.286999999999997</v>
      </c>
      <c r="Q31" s="10">
        <f t="shared" si="10"/>
        <v>31.581089999999989</v>
      </c>
      <c r="R31" s="7">
        <f>'[9]Jul Prod'!C30</f>
        <v>10750000</v>
      </c>
      <c r="S31" s="8">
        <f t="shared" si="11"/>
        <v>10.75</v>
      </c>
      <c r="T31" s="10">
        <f t="shared" si="12"/>
        <v>33.002499999999998</v>
      </c>
      <c r="U31" s="7">
        <f>'[9]Jul Prod'!D30</f>
        <v>0</v>
      </c>
      <c r="V31" s="8">
        <f t="shared" si="13"/>
        <v>0</v>
      </c>
      <c r="W31" s="10">
        <f t="shared" si="14"/>
        <v>0</v>
      </c>
      <c r="X31" s="7">
        <f>'[9]Jul Prod'!D285</f>
        <v>463000.00000000099</v>
      </c>
      <c r="Y31" s="8">
        <f t="shared" si="15"/>
        <v>0.46300000000000097</v>
      </c>
      <c r="Z31" s="10">
        <f t="shared" si="16"/>
        <v>1.4214100000000029</v>
      </c>
      <c r="AA31" s="22"/>
      <c r="AB31" s="7">
        <f>'[9]Jul Prod'!G30</f>
        <v>0</v>
      </c>
      <c r="AC31" s="8">
        <f t="shared" si="17"/>
        <v>0</v>
      </c>
      <c r="AD31" s="10">
        <f t="shared" si="18"/>
        <v>0</v>
      </c>
      <c r="AF31" s="7">
        <f t="shared" si="19"/>
        <v>36487000.000000723</v>
      </c>
      <c r="AG31" s="8">
        <f t="shared" si="20"/>
        <v>36.487000000000727</v>
      </c>
      <c r="AH31" s="8">
        <f t="shared" si="21"/>
        <v>112.01509000000222</v>
      </c>
      <c r="AJ31" s="8">
        <f t="shared" si="22"/>
        <v>5.773159728050814E-15</v>
      </c>
    </row>
    <row r="32" spans="1:36" x14ac:dyDescent="0.15">
      <c r="A32" s="37">
        <v>38561</v>
      </c>
      <c r="B32" s="7">
        <f>'[9]Jul Prod'!I31</f>
        <v>25599999.999999456</v>
      </c>
      <c r="C32" s="8">
        <f t="shared" si="1"/>
        <v>25.599999999999458</v>
      </c>
      <c r="D32" s="10">
        <f t="shared" si="2"/>
        <v>78.591999999998336</v>
      </c>
      <c r="E32" s="7">
        <f>'[9]Jul Prod'!E31</f>
        <v>26000000</v>
      </c>
      <c r="F32" s="8">
        <f t="shared" si="3"/>
        <v>26</v>
      </c>
      <c r="G32" s="10">
        <f t="shared" si="4"/>
        <v>79.819999999999993</v>
      </c>
      <c r="H32" s="7">
        <f>'[9]Jul Prod'!F31</f>
        <v>0</v>
      </c>
      <c r="I32" s="8">
        <f t="shared" si="5"/>
        <v>0</v>
      </c>
      <c r="J32" s="10">
        <f t="shared" si="6"/>
        <v>0</v>
      </c>
      <c r="K32" s="7">
        <f>'[9]Jul Prod'!H286</f>
        <v>65468</v>
      </c>
      <c r="L32" s="8">
        <f t="shared" si="7"/>
        <v>6.5467999999999998E-2</v>
      </c>
      <c r="M32" s="10">
        <f t="shared" si="8"/>
        <v>0.20098675999999999</v>
      </c>
      <c r="N32" s="28"/>
      <c r="O32" s="7">
        <f>'[9]Jul Prod'!H31</f>
        <v>10133000</v>
      </c>
      <c r="P32" s="8">
        <f t="shared" si="9"/>
        <v>10.132999999999999</v>
      </c>
      <c r="Q32" s="10">
        <f t="shared" si="10"/>
        <v>31.108309999999996</v>
      </c>
      <c r="R32" s="7">
        <f>'[9]Jul Prod'!C31</f>
        <v>10776000</v>
      </c>
      <c r="S32" s="8">
        <f t="shared" si="11"/>
        <v>10.776</v>
      </c>
      <c r="T32" s="10">
        <f t="shared" si="12"/>
        <v>33.082319999999996</v>
      </c>
      <c r="U32" s="7">
        <f>'[9]Jul Prod'!D31</f>
        <v>0</v>
      </c>
      <c r="V32" s="8">
        <f t="shared" si="13"/>
        <v>0</v>
      </c>
      <c r="W32" s="10">
        <f t="shared" si="14"/>
        <v>0</v>
      </c>
      <c r="X32" s="7">
        <f>'[9]Jul Prod'!D286</f>
        <v>643000.0000000007</v>
      </c>
      <c r="Y32" s="8">
        <f t="shared" si="15"/>
        <v>0.64300000000000068</v>
      </c>
      <c r="Z32" s="10">
        <f t="shared" si="16"/>
        <v>1.974010000000002</v>
      </c>
      <c r="AA32" s="22"/>
      <c r="AB32" s="7">
        <f>'[9]Jul Prod'!G31</f>
        <v>0</v>
      </c>
      <c r="AC32" s="8">
        <f t="shared" si="17"/>
        <v>0</v>
      </c>
      <c r="AD32" s="10">
        <f t="shared" si="18"/>
        <v>0</v>
      </c>
      <c r="AF32" s="7">
        <f t="shared" si="19"/>
        <v>35732999.999999456</v>
      </c>
      <c r="AG32" s="8">
        <f t="shared" si="20"/>
        <v>35.732999999999457</v>
      </c>
      <c r="AH32" s="8">
        <f t="shared" si="21"/>
        <v>109.70030999999832</v>
      </c>
      <c r="AJ32" s="8">
        <f t="shared" si="22"/>
        <v>-2.2204460492503131E-15</v>
      </c>
    </row>
    <row r="33" spans="1:36" x14ac:dyDescent="0.15">
      <c r="A33" s="37">
        <v>38562</v>
      </c>
      <c r="B33" s="7">
        <f>'[9]Jul Prod'!I32</f>
        <v>21699999.999999817</v>
      </c>
      <c r="C33" s="8">
        <f t="shared" si="1"/>
        <v>21.699999999999818</v>
      </c>
      <c r="D33" s="10">
        <f t="shared" si="2"/>
        <v>66.618999999999431</v>
      </c>
      <c r="E33" s="7">
        <f>'[9]Jul Prod'!E32</f>
        <v>22000000</v>
      </c>
      <c r="F33" s="8">
        <f t="shared" si="3"/>
        <v>22</v>
      </c>
      <c r="G33" s="10">
        <f t="shared" si="4"/>
        <v>67.539999999999992</v>
      </c>
      <c r="H33" s="7">
        <f>'[9]Jul Prod'!F32</f>
        <v>0</v>
      </c>
      <c r="I33" s="8">
        <f t="shared" si="5"/>
        <v>0</v>
      </c>
      <c r="J33" s="10">
        <f t="shared" si="6"/>
        <v>0</v>
      </c>
      <c r="K33" s="7">
        <f>'[9]Jul Prod'!H287</f>
        <v>101900</v>
      </c>
      <c r="L33" s="8">
        <f t="shared" si="7"/>
        <v>0.1019</v>
      </c>
      <c r="M33" s="10">
        <f t="shared" si="8"/>
        <v>0.31283299999999997</v>
      </c>
      <c r="N33" s="28"/>
      <c r="O33" s="7">
        <f>'[9]Jul Prod'!H32</f>
        <v>11470999.999999998</v>
      </c>
      <c r="P33" s="8">
        <f t="shared" si="9"/>
        <v>11.470999999999998</v>
      </c>
      <c r="Q33" s="10">
        <f t="shared" si="10"/>
        <v>35.215969999999992</v>
      </c>
      <c r="R33" s="7">
        <f>'[9]Jul Prod'!C32</f>
        <v>12025000</v>
      </c>
      <c r="S33" s="8">
        <f t="shared" si="11"/>
        <v>12.025</v>
      </c>
      <c r="T33" s="10">
        <f t="shared" si="12"/>
        <v>36.91675</v>
      </c>
      <c r="U33" s="7">
        <f>'[9]Jul Prod'!D32</f>
        <v>0</v>
      </c>
      <c r="V33" s="8">
        <f t="shared" si="13"/>
        <v>0</v>
      </c>
      <c r="W33" s="10">
        <f t="shared" si="14"/>
        <v>0</v>
      </c>
      <c r="X33" s="7">
        <f>'[9]Jul Prod'!D287</f>
        <v>554000.0000000021</v>
      </c>
      <c r="Y33" s="8">
        <f t="shared" si="15"/>
        <v>0.55400000000000205</v>
      </c>
      <c r="Z33" s="10">
        <f t="shared" si="16"/>
        <v>1.7007800000000062</v>
      </c>
      <c r="AA33" s="22"/>
      <c r="AB33" s="7">
        <f>'[9]Jul Prod'!G32</f>
        <v>0</v>
      </c>
      <c r="AC33" s="8">
        <f t="shared" si="17"/>
        <v>0</v>
      </c>
      <c r="AD33" s="10">
        <f t="shared" si="18"/>
        <v>0</v>
      </c>
      <c r="AF33" s="7">
        <f t="shared" si="19"/>
        <v>33170999.999999814</v>
      </c>
      <c r="AG33" s="8">
        <f t="shared" si="20"/>
        <v>33.170999999999815</v>
      </c>
      <c r="AH33" s="8">
        <f t="shared" si="21"/>
        <v>101.83496999999943</v>
      </c>
      <c r="AJ33" s="8">
        <f t="shared" si="22"/>
        <v>2.6645352591003757E-15</v>
      </c>
    </row>
    <row r="34" spans="1:36" x14ac:dyDescent="0.15">
      <c r="A34" s="37">
        <v>38563</v>
      </c>
      <c r="B34" s="7">
        <f>'[9]Jul Prod'!I33</f>
        <v>24400000.000000544</v>
      </c>
      <c r="C34" s="8">
        <f t="shared" si="1"/>
        <v>24.400000000000542</v>
      </c>
      <c r="D34" s="10">
        <f t="shared" si="2"/>
        <v>74.908000000001664</v>
      </c>
      <c r="E34" s="7">
        <f>'[9]Jul Prod'!E33</f>
        <v>25000000</v>
      </c>
      <c r="F34" s="8">
        <f t="shared" si="3"/>
        <v>25</v>
      </c>
      <c r="G34" s="10">
        <f t="shared" si="4"/>
        <v>76.75</v>
      </c>
      <c r="H34" s="7">
        <f>'[9]Jul Prod'!F33</f>
        <v>0</v>
      </c>
      <c r="I34" s="8">
        <f t="shared" si="5"/>
        <v>0</v>
      </c>
      <c r="J34" s="10">
        <f t="shared" si="6"/>
        <v>0</v>
      </c>
      <c r="K34" s="7">
        <f>'[9]Jul Prod'!H288</f>
        <v>799026</v>
      </c>
      <c r="L34" s="8">
        <f t="shared" si="7"/>
        <v>0.79902600000000001</v>
      </c>
      <c r="M34" s="10">
        <f t="shared" si="8"/>
        <v>2.4530098200000001</v>
      </c>
      <c r="N34" s="28"/>
      <c r="O34" s="7">
        <f>'[9]Jul Prod'!H33</f>
        <v>11876000</v>
      </c>
      <c r="P34" s="8">
        <f t="shared" si="9"/>
        <v>11.875999999999999</v>
      </c>
      <c r="Q34" s="10">
        <f t="shared" si="10"/>
        <v>36.459319999999998</v>
      </c>
      <c r="R34" s="7">
        <f>'[9]Jul Prod'!C33</f>
        <v>12373000</v>
      </c>
      <c r="S34" s="8">
        <f t="shared" si="11"/>
        <v>12.372999999999999</v>
      </c>
      <c r="T34" s="10">
        <f t="shared" si="12"/>
        <v>37.985109999999999</v>
      </c>
      <c r="U34" s="7">
        <f>'[9]Jul Prod'!D33</f>
        <v>0</v>
      </c>
      <c r="V34" s="8">
        <f t="shared" si="13"/>
        <v>0</v>
      </c>
      <c r="W34" s="10">
        <f t="shared" si="14"/>
        <v>0</v>
      </c>
      <c r="X34" s="7">
        <f>'[9]Jul Prod'!D288</f>
        <v>496999.99999999988</v>
      </c>
      <c r="Y34" s="8">
        <f t="shared" si="15"/>
        <v>0.49699999999999989</v>
      </c>
      <c r="Z34" s="10">
        <f t="shared" si="16"/>
        <v>1.5257899999999995</v>
      </c>
      <c r="AA34" s="22"/>
      <c r="AB34" s="7">
        <f>'[9]Jul Prod'!G33</f>
        <v>0</v>
      </c>
      <c r="AC34" s="8">
        <f t="shared" si="17"/>
        <v>0</v>
      </c>
      <c r="AD34" s="10">
        <f t="shared" si="18"/>
        <v>0</v>
      </c>
      <c r="AF34" s="7">
        <f t="shared" si="19"/>
        <v>36276000.000000544</v>
      </c>
      <c r="AG34" s="8">
        <f t="shared" si="20"/>
        <v>36.276000000000543</v>
      </c>
      <c r="AH34" s="8">
        <f t="shared" si="21"/>
        <v>111.36732000000165</v>
      </c>
      <c r="AJ34" s="8">
        <f t="shared" si="22"/>
        <v>0</v>
      </c>
    </row>
    <row r="35" spans="1:36" x14ac:dyDescent="0.15">
      <c r="A35" s="37">
        <v>38564</v>
      </c>
      <c r="B35" s="7">
        <f>'[9]Jul Prod'!I34</f>
        <v>26500000</v>
      </c>
      <c r="C35" s="9">
        <f t="shared" si="1"/>
        <v>26.5</v>
      </c>
      <c r="D35" s="11">
        <f t="shared" si="2"/>
        <v>81.35499999999999</v>
      </c>
      <c r="E35" s="7">
        <f>'[9]Jul Prod'!E34</f>
        <v>26000000</v>
      </c>
      <c r="F35" s="9">
        <f t="shared" si="3"/>
        <v>26</v>
      </c>
      <c r="G35" s="11">
        <f t="shared" si="4"/>
        <v>79.819999999999993</v>
      </c>
      <c r="H35" s="7">
        <f>'[9]Jul Prod'!F34</f>
        <v>0</v>
      </c>
      <c r="I35" s="9">
        <f t="shared" si="5"/>
        <v>0</v>
      </c>
      <c r="J35" s="11">
        <f t="shared" si="6"/>
        <v>0</v>
      </c>
      <c r="K35" s="7">
        <f>'[9]Jul Prod'!H289</f>
        <v>931861</v>
      </c>
      <c r="L35" s="9">
        <f t="shared" si="7"/>
        <v>0.93186100000000005</v>
      </c>
      <c r="M35" s="11">
        <f t="shared" si="8"/>
        <v>2.86081327</v>
      </c>
      <c r="N35" s="28"/>
      <c r="O35" s="7">
        <f>'[9]Jul Prod'!H34</f>
        <v>11102000.000000004</v>
      </c>
      <c r="P35" s="9">
        <f t="shared" si="9"/>
        <v>11.102000000000004</v>
      </c>
      <c r="Q35" s="11">
        <f t="shared" si="10"/>
        <v>34.083140000000007</v>
      </c>
      <c r="R35" s="7">
        <f>'[9]Jul Prod'!C34</f>
        <v>11558000</v>
      </c>
      <c r="S35" s="9">
        <f t="shared" si="11"/>
        <v>11.558</v>
      </c>
      <c r="T35" s="11">
        <f t="shared" si="12"/>
        <v>35.483059999999995</v>
      </c>
      <c r="U35" s="7">
        <f>'[9]Jul Prod'!D34</f>
        <v>0</v>
      </c>
      <c r="V35" s="9">
        <f t="shared" si="13"/>
        <v>0</v>
      </c>
      <c r="W35" s="11">
        <f t="shared" si="14"/>
        <v>0</v>
      </c>
      <c r="X35" s="7">
        <f>'[9]Jul Prod'!D289</f>
        <v>455999.99999999598</v>
      </c>
      <c r="Y35" s="9">
        <f t="shared" si="15"/>
        <v>0.45599999999999596</v>
      </c>
      <c r="Z35" s="11">
        <f t="shared" si="16"/>
        <v>1.3999199999999876</v>
      </c>
      <c r="AA35" s="22"/>
      <c r="AB35" s="7">
        <f>'[9]Jul Prod'!G34</f>
        <v>0</v>
      </c>
      <c r="AC35" s="9">
        <f t="shared" si="17"/>
        <v>0</v>
      </c>
      <c r="AD35" s="11">
        <f t="shared" si="18"/>
        <v>0</v>
      </c>
      <c r="AF35" s="7">
        <f t="shared" si="19"/>
        <v>37602000</v>
      </c>
      <c r="AG35" s="8">
        <f t="shared" si="20"/>
        <v>37.602000000000004</v>
      </c>
      <c r="AH35" s="8">
        <f t="shared" si="21"/>
        <v>115.43814</v>
      </c>
      <c r="AJ35" s="8">
        <f t="shared" si="22"/>
        <v>0</v>
      </c>
    </row>
    <row r="36" spans="1:36" x14ac:dyDescent="0.15">
      <c r="A36" s="21"/>
      <c r="B36" s="32"/>
      <c r="C36" s="40">
        <f>SUM(C5:C35)</f>
        <v>688.5</v>
      </c>
      <c r="D36" s="32">
        <f t="shared" si="2"/>
        <v>2113.6949999999997</v>
      </c>
      <c r="E36" s="32"/>
      <c r="F36" s="40">
        <f>SUM(F5:F35)</f>
        <v>664</v>
      </c>
      <c r="G36" s="32">
        <f t="shared" si="4"/>
        <v>2038.4799999999998</v>
      </c>
      <c r="H36" s="32"/>
      <c r="I36" s="40">
        <f>SUM(I5:I35)</f>
        <v>38</v>
      </c>
      <c r="J36" s="32">
        <f t="shared" si="6"/>
        <v>116.66</v>
      </c>
      <c r="K36" s="32"/>
      <c r="L36" s="40">
        <f>SUM(L5:L35)</f>
        <v>115.72156499999998</v>
      </c>
      <c r="M36" s="32">
        <f t="shared" si="8"/>
        <v>355.26520454999991</v>
      </c>
      <c r="N36" s="21"/>
      <c r="O36" s="32"/>
      <c r="P36" s="40">
        <f>SUM(P5:P35)</f>
        <v>308.39999999999998</v>
      </c>
      <c r="Q36" s="32">
        <f t="shared" si="10"/>
        <v>946.7879999999999</v>
      </c>
      <c r="R36" s="32"/>
      <c r="S36" s="40">
        <f>SUM(S5:S35)</f>
        <v>324.56599999999992</v>
      </c>
      <c r="T36" s="32">
        <f t="shared" si="12"/>
        <v>996.41761999999972</v>
      </c>
      <c r="U36" s="32"/>
      <c r="V36" s="40">
        <f>SUM(V5:V35)</f>
        <v>1E-3</v>
      </c>
      <c r="W36" s="32">
        <f t="shared" si="14"/>
        <v>3.0699999999999998E-3</v>
      </c>
      <c r="X36" s="32"/>
      <c r="Y36" s="40">
        <f>SUM(Y5:Y35)</f>
        <v>16.166999999999998</v>
      </c>
      <c r="Z36" s="32">
        <f t="shared" si="16"/>
        <v>49.63268999999999</v>
      </c>
      <c r="AA36" s="21"/>
      <c r="AB36" s="32"/>
      <c r="AC36" s="40">
        <f>SUM(AC5:AC35)</f>
        <v>0</v>
      </c>
      <c r="AD36" s="32">
        <f t="shared" si="18"/>
        <v>0</v>
      </c>
      <c r="AF36" s="32"/>
      <c r="AG36" s="40">
        <f>SUM(AG5:AG35)</f>
        <v>996.90000000000009</v>
      </c>
      <c r="AH36" s="32">
        <f>AG36*3.07</f>
        <v>3060.4830000000002</v>
      </c>
      <c r="AJ36" s="40">
        <f>SUM(AJ5:AJ35)</f>
        <v>-3.0699999999606042E-3</v>
      </c>
    </row>
    <row r="37" spans="1:36" x14ac:dyDescent="0.15">
      <c r="C37" s="25"/>
      <c r="E37" s="3"/>
      <c r="F37" s="3"/>
      <c r="G37" s="3"/>
      <c r="H37" s="3"/>
      <c r="I37" s="3"/>
      <c r="J37" s="3"/>
      <c r="K37" s="21"/>
      <c r="L37" s="3"/>
      <c r="M37" s="3"/>
      <c r="N37" s="3"/>
      <c r="O37" s="3"/>
      <c r="P37" s="3"/>
      <c r="Q37" s="3"/>
      <c r="R37" s="3"/>
      <c r="S37" s="3"/>
      <c r="T37" s="3"/>
      <c r="U37" s="21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J38"/>
  <sheetViews>
    <sheetView workbookViewId="0">
      <pane xSplit="1" ySplit="4" topLeftCell="W20" activePane="bottomRight" state="frozen"/>
      <selection pane="topRight" activeCell="B1" sqref="B1"/>
      <selection pane="bottomLeft" activeCell="A5" sqref="A5"/>
      <selection pane="bottomRight" activeCell="G35" sqref="G5:G35"/>
    </sheetView>
  </sheetViews>
  <sheetFormatPr baseColWidth="10" defaultColWidth="8.83203125" defaultRowHeight="13" x14ac:dyDescent="0.15"/>
  <cols>
    <col min="2" max="2" width="12.83203125" customWidth="1"/>
    <col min="5" max="5" width="12.83203125" customWidth="1"/>
    <col min="8" max="8" width="11" customWidth="1"/>
    <col min="12" max="12" width="10.83203125" customWidth="1"/>
    <col min="15" max="15" width="11.33203125" customWidth="1"/>
    <col min="18" max="18" width="10.5" customWidth="1"/>
    <col min="22" max="22" width="10.5" customWidth="1"/>
    <col min="32" max="32" width="10.6640625" customWidth="1"/>
  </cols>
  <sheetData>
    <row r="1" spans="1:36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6" ht="14" thickBot="1" x14ac:dyDescent="0.2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6" ht="71" thickBot="1" x14ac:dyDescent="0.2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6" t="s">
        <v>8</v>
      </c>
      <c r="AG3" s="57"/>
      <c r="AH3" s="58"/>
      <c r="AJ3" s="45" t="s">
        <v>9</v>
      </c>
    </row>
    <row r="4" spans="1:36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2" t="s">
        <v>0</v>
      </c>
      <c r="AG4" s="43" t="s">
        <v>1</v>
      </c>
      <c r="AH4" s="44" t="s">
        <v>2</v>
      </c>
      <c r="AJ4" s="5" t="s">
        <v>2</v>
      </c>
    </row>
    <row r="5" spans="1:36" x14ac:dyDescent="0.15">
      <c r="A5" s="37">
        <v>38565</v>
      </c>
      <c r="B5" s="7">
        <f>'[10]Aug Prod'!I4</f>
        <v>26199999.999999817</v>
      </c>
      <c r="C5" s="8">
        <f>B5/1000000</f>
        <v>26.199999999999818</v>
      </c>
      <c r="D5" s="10">
        <f>C5*3.07</f>
        <v>80.433999999999443</v>
      </c>
      <c r="E5" s="7">
        <f>'[10]Aug Prod'!E4</f>
        <v>28000000</v>
      </c>
      <c r="F5" s="8">
        <f>E5/1000000</f>
        <v>28</v>
      </c>
      <c r="G5" s="10">
        <f>F5*3.07</f>
        <v>85.96</v>
      </c>
      <c r="H5" s="7">
        <f>'[10]Aug Prod'!F4</f>
        <v>0</v>
      </c>
      <c r="I5" s="8">
        <f>H5/1000000</f>
        <v>0</v>
      </c>
      <c r="J5" s="10">
        <f>I5*3.07</f>
        <v>0</v>
      </c>
      <c r="K5" s="7">
        <f>'[10]Aug Prod'!H259</f>
        <v>8862602</v>
      </c>
      <c r="L5" s="8">
        <f>K5/1000000</f>
        <v>8.8626020000000008</v>
      </c>
      <c r="M5" s="10">
        <f>L5*3.07</f>
        <v>27.208188140000001</v>
      </c>
      <c r="N5" s="28"/>
      <c r="O5" s="7">
        <f>'[10]Aug Prod'!H4</f>
        <v>11180999.999999998</v>
      </c>
      <c r="P5" s="8">
        <f>O5/1000000</f>
        <v>11.180999999999997</v>
      </c>
      <c r="Q5" s="10">
        <f>P5*3.07</f>
        <v>34.325669999999988</v>
      </c>
      <c r="R5" s="7">
        <f>'[10]Aug Prod'!C4</f>
        <v>11601000</v>
      </c>
      <c r="S5" s="8">
        <f>R5/1000000</f>
        <v>11.601000000000001</v>
      </c>
      <c r="T5" s="10">
        <f>S5*3.07</f>
        <v>35.615070000000003</v>
      </c>
      <c r="U5" s="7">
        <f>'[10]Aug Prod'!D4</f>
        <v>0</v>
      </c>
      <c r="V5" s="8">
        <f>U5/1000000</f>
        <v>0</v>
      </c>
      <c r="W5" s="10">
        <f>V5*3.07</f>
        <v>0</v>
      </c>
      <c r="X5" s="7">
        <f>'[10]Aug Prod'!D259</f>
        <v>420000.00000000169</v>
      </c>
      <c r="Y5" s="8">
        <f>X5/1000000</f>
        <v>0.42000000000000171</v>
      </c>
      <c r="Z5" s="10">
        <f>Y5*3.07</f>
        <v>1.2894000000000052</v>
      </c>
      <c r="AA5" s="22"/>
      <c r="AB5" s="7">
        <f>'[10]Aug Prod'!G4</f>
        <v>0</v>
      </c>
      <c r="AC5" s="8">
        <f>AB5/1000000</f>
        <v>0</v>
      </c>
      <c r="AD5" s="10">
        <f>AC5*3.07</f>
        <v>0</v>
      </c>
      <c r="AF5" s="7">
        <f>B5+O5</f>
        <v>37380999.999999814</v>
      </c>
      <c r="AG5" s="8">
        <f>C5+P5</f>
        <v>37.380999999999815</v>
      </c>
      <c r="AH5" s="8">
        <f>D5+Q5</f>
        <v>114.75966999999943</v>
      </c>
      <c r="AJ5" s="8">
        <f t="shared" ref="AJ5:AJ14" si="0">T5-Q5-Z5</f>
        <v>9.5479180117763462E-15</v>
      </c>
    </row>
    <row r="6" spans="1:36" x14ac:dyDescent="0.15">
      <c r="A6" s="37">
        <v>38566</v>
      </c>
      <c r="B6" s="7">
        <f>'[10]Aug Prod'!I5</f>
        <v>25699999.999999817</v>
      </c>
      <c r="C6" s="8">
        <f t="shared" ref="C6:C35" si="1">B6/1000000</f>
        <v>25.699999999999818</v>
      </c>
      <c r="D6" s="10">
        <f t="shared" ref="D6:D36" si="2">C6*3.07</f>
        <v>78.898999999999432</v>
      </c>
      <c r="E6" s="7">
        <f>'[10]Aug Prod'!E5</f>
        <v>26000000</v>
      </c>
      <c r="F6" s="8">
        <f t="shared" ref="F6:F35" si="3">E6/1000000</f>
        <v>26</v>
      </c>
      <c r="G6" s="10">
        <f t="shared" ref="G6:G36" si="4">F6*3.07</f>
        <v>79.819999999999993</v>
      </c>
      <c r="H6" s="7">
        <f>'[10]Aug Prod'!F5</f>
        <v>0</v>
      </c>
      <c r="I6" s="8">
        <f t="shared" ref="I6:I35" si="5">H6/1000000</f>
        <v>0</v>
      </c>
      <c r="J6" s="10">
        <f t="shared" ref="J6:J36" si="6">I6*3.07</f>
        <v>0</v>
      </c>
      <c r="K6" s="7">
        <f>'[10]Aug Prod'!H260</f>
        <v>74464</v>
      </c>
      <c r="L6" s="8">
        <f t="shared" ref="L6:L35" si="7">K6/1000000</f>
        <v>7.4464000000000002E-2</v>
      </c>
      <c r="M6" s="10">
        <f t="shared" ref="M6:M36" si="8">L6*3.07</f>
        <v>0.22860448</v>
      </c>
      <c r="N6" s="28"/>
      <c r="O6" s="7">
        <f>'[10]Aug Prod'!H5</f>
        <v>9761000.0000000037</v>
      </c>
      <c r="P6" s="8">
        <f t="shared" ref="P6:P35" si="9">O6/1000000</f>
        <v>9.7610000000000046</v>
      </c>
      <c r="Q6" s="10">
        <f t="shared" ref="Q6:Q36" si="10">P6*3.07</f>
        <v>29.966270000000012</v>
      </c>
      <c r="R6" s="7">
        <f>'[10]Aug Prod'!C5</f>
        <v>10357000</v>
      </c>
      <c r="S6" s="8">
        <f t="shared" ref="S6:S35" si="11">R6/1000000</f>
        <v>10.356999999999999</v>
      </c>
      <c r="T6" s="10">
        <f t="shared" ref="T6:T36" si="12">S6*3.07</f>
        <v>31.795989999999996</v>
      </c>
      <c r="U6" s="7">
        <f>'[10]Aug Prod'!D5</f>
        <v>0</v>
      </c>
      <c r="V6" s="8">
        <f t="shared" ref="V6:V35" si="13">U6/1000000</f>
        <v>0</v>
      </c>
      <c r="W6" s="10">
        <f t="shared" ref="W6:W36" si="14">V6*3.07</f>
        <v>0</v>
      </c>
      <c r="X6" s="7">
        <f>'[10]Aug Prod'!D260</f>
        <v>595999.99999999651</v>
      </c>
      <c r="Y6" s="8">
        <f t="shared" ref="Y6:Y35" si="15">X6/1000000</f>
        <v>0.59599999999999653</v>
      </c>
      <c r="Z6" s="10">
        <f t="shared" ref="Z6:Z36" si="16">Y6*3.07</f>
        <v>1.8297199999999894</v>
      </c>
      <c r="AA6" s="22"/>
      <c r="AB6" s="7">
        <f>'[10]Aug Prod'!G5</f>
        <v>0</v>
      </c>
      <c r="AC6" s="8">
        <f t="shared" ref="AC6:AC35" si="17">AB6/1000000</f>
        <v>0</v>
      </c>
      <c r="AD6" s="10">
        <f t="shared" ref="AD6:AD36" si="18">AC6*3.07</f>
        <v>0</v>
      </c>
      <c r="AF6" s="7">
        <f t="shared" ref="AF6:AH35" si="19">B6+O6</f>
        <v>35460999.999999821</v>
      </c>
      <c r="AG6" s="8">
        <f t="shared" si="19"/>
        <v>35.460999999999821</v>
      </c>
      <c r="AH6" s="8">
        <f t="shared" si="19"/>
        <v>108.86526999999944</v>
      </c>
      <c r="AJ6" s="8">
        <f t="shared" si="0"/>
        <v>-5.3290705182007514E-15</v>
      </c>
    </row>
    <row r="7" spans="1:36" x14ac:dyDescent="0.15">
      <c r="A7" s="37">
        <v>38567</v>
      </c>
      <c r="B7" s="7">
        <f>'[10]Aug Prod'!I6</f>
        <v>21600000.000000365</v>
      </c>
      <c r="C7" s="8">
        <f t="shared" si="1"/>
        <v>21.600000000000364</v>
      </c>
      <c r="D7" s="10">
        <f t="shared" si="2"/>
        <v>66.31200000000112</v>
      </c>
      <c r="E7" s="7">
        <f>'[10]Aug Prod'!E6</f>
        <v>23000000</v>
      </c>
      <c r="F7" s="8">
        <f t="shared" si="3"/>
        <v>23</v>
      </c>
      <c r="G7" s="10">
        <f t="shared" si="4"/>
        <v>70.61</v>
      </c>
      <c r="H7" s="7">
        <f>'[10]Aug Prod'!F6</f>
        <v>0</v>
      </c>
      <c r="I7" s="8">
        <f t="shared" si="5"/>
        <v>0</v>
      </c>
      <c r="J7" s="10">
        <f t="shared" si="6"/>
        <v>0</v>
      </c>
      <c r="K7" s="7">
        <f>'[10]Aug Prod'!H261</f>
        <v>79500</v>
      </c>
      <c r="L7" s="8">
        <f t="shared" si="7"/>
        <v>7.9500000000000001E-2</v>
      </c>
      <c r="M7" s="10">
        <f t="shared" si="8"/>
        <v>0.244065</v>
      </c>
      <c r="N7" s="28"/>
      <c r="O7" s="7">
        <f>'[10]Aug Prod'!H6</f>
        <v>9749000</v>
      </c>
      <c r="P7" s="8">
        <f t="shared" si="9"/>
        <v>9.7490000000000006</v>
      </c>
      <c r="Q7" s="10">
        <f t="shared" si="10"/>
        <v>29.92943</v>
      </c>
      <c r="R7" s="7">
        <f>'[10]Aug Prod'!C6</f>
        <v>10243000</v>
      </c>
      <c r="S7" s="8">
        <f t="shared" si="11"/>
        <v>10.243</v>
      </c>
      <c r="T7" s="10">
        <f t="shared" si="12"/>
        <v>31.446010000000001</v>
      </c>
      <c r="U7" s="7">
        <f>'[10]Aug Prod'!D6</f>
        <v>0</v>
      </c>
      <c r="V7" s="8">
        <f t="shared" si="13"/>
        <v>0</v>
      </c>
      <c r="W7" s="10">
        <f t="shared" si="14"/>
        <v>0</v>
      </c>
      <c r="X7" s="7">
        <f>'[10]Aug Prod'!D261</f>
        <v>493999.99999999977</v>
      </c>
      <c r="Y7" s="8">
        <f t="shared" si="15"/>
        <v>0.49399999999999977</v>
      </c>
      <c r="Z7" s="10">
        <f t="shared" si="16"/>
        <v>1.5165799999999992</v>
      </c>
      <c r="AA7" s="22"/>
      <c r="AB7" s="7">
        <f>'[10]Aug Prod'!G6</f>
        <v>0</v>
      </c>
      <c r="AC7" s="8">
        <f t="shared" si="17"/>
        <v>0</v>
      </c>
      <c r="AD7" s="10">
        <f t="shared" si="18"/>
        <v>0</v>
      </c>
      <c r="AF7" s="7">
        <f t="shared" si="19"/>
        <v>31349000.000000365</v>
      </c>
      <c r="AG7" s="8">
        <f t="shared" si="19"/>
        <v>31.349000000000366</v>
      </c>
      <c r="AH7" s="8">
        <f t="shared" si="19"/>
        <v>96.241430000001117</v>
      </c>
      <c r="AJ7" s="8">
        <f t="shared" si="0"/>
        <v>1.9984014443252818E-15</v>
      </c>
    </row>
    <row r="8" spans="1:36" x14ac:dyDescent="0.15">
      <c r="A8" s="37">
        <v>38568</v>
      </c>
      <c r="B8" s="7">
        <f>'[10]Aug Prod'!I7</f>
        <v>25800000.000000183</v>
      </c>
      <c r="C8" s="8">
        <f t="shared" si="1"/>
        <v>25.800000000000182</v>
      </c>
      <c r="D8" s="10">
        <f t="shared" si="2"/>
        <v>79.206000000000557</v>
      </c>
      <c r="E8" s="7">
        <f>'[10]Aug Prod'!E7</f>
        <v>26000000</v>
      </c>
      <c r="F8" s="8">
        <f t="shared" si="3"/>
        <v>26</v>
      </c>
      <c r="G8" s="10">
        <f t="shared" si="4"/>
        <v>79.819999999999993</v>
      </c>
      <c r="H8" s="7">
        <f>'[10]Aug Prod'!F7</f>
        <v>0</v>
      </c>
      <c r="I8" s="8">
        <f t="shared" si="5"/>
        <v>0</v>
      </c>
      <c r="J8" s="10">
        <f t="shared" si="6"/>
        <v>0</v>
      </c>
      <c r="K8" s="7">
        <f>'[10]Aug Prod'!H262</f>
        <v>78395</v>
      </c>
      <c r="L8" s="8">
        <f t="shared" si="7"/>
        <v>7.8395000000000006E-2</v>
      </c>
      <c r="M8" s="10">
        <f t="shared" si="8"/>
        <v>0.24067265000000002</v>
      </c>
      <c r="N8" s="28"/>
      <c r="O8" s="7">
        <f>'[10]Aug Prod'!H7</f>
        <v>11102999.999999998</v>
      </c>
      <c r="P8" s="8">
        <f t="shared" si="9"/>
        <v>11.102999999999998</v>
      </c>
      <c r="Q8" s="10">
        <f t="shared" si="10"/>
        <v>34.086209999999994</v>
      </c>
      <c r="R8" s="7">
        <f>'[10]Aug Prod'!C7</f>
        <v>11648000</v>
      </c>
      <c r="S8" s="8">
        <f t="shared" si="11"/>
        <v>11.648</v>
      </c>
      <c r="T8" s="10">
        <f t="shared" si="12"/>
        <v>35.759359999999994</v>
      </c>
      <c r="U8" s="7">
        <f>'[10]Aug Prod'!D7</f>
        <v>0</v>
      </c>
      <c r="V8" s="8">
        <f t="shared" si="13"/>
        <v>0</v>
      </c>
      <c r="W8" s="10">
        <f t="shared" si="14"/>
        <v>0</v>
      </c>
      <c r="X8" s="7">
        <f>'[10]Aug Prod'!D262</f>
        <v>545000.00000000175</v>
      </c>
      <c r="Y8" s="8">
        <f t="shared" si="15"/>
        <v>0.54500000000000171</v>
      </c>
      <c r="Z8" s="10">
        <f t="shared" si="16"/>
        <v>1.6731500000000052</v>
      </c>
      <c r="AA8" s="22"/>
      <c r="AB8" s="7">
        <f>'[10]Aug Prod'!G7</f>
        <v>0</v>
      </c>
      <c r="AC8" s="8">
        <f t="shared" si="17"/>
        <v>0</v>
      </c>
      <c r="AD8" s="10">
        <f t="shared" si="18"/>
        <v>0</v>
      </c>
      <c r="AF8" s="7">
        <f t="shared" si="19"/>
        <v>36903000.000000179</v>
      </c>
      <c r="AG8" s="8">
        <f t="shared" si="19"/>
        <v>36.903000000000176</v>
      </c>
      <c r="AH8" s="8">
        <f>D8+Q8</f>
        <v>113.29221000000055</v>
      </c>
      <c r="AJ8" s="8">
        <f t="shared" si="0"/>
        <v>-5.5511151231257827E-15</v>
      </c>
    </row>
    <row r="9" spans="1:36" x14ac:dyDescent="0.15">
      <c r="A9" s="37">
        <v>38569</v>
      </c>
      <c r="B9" s="7">
        <f>'[10]Aug Prod'!I8</f>
        <v>20799999.999999274</v>
      </c>
      <c r="C9" s="8">
        <f t="shared" si="1"/>
        <v>20.799999999999272</v>
      </c>
      <c r="D9" s="10">
        <f t="shared" si="2"/>
        <v>63.855999999997763</v>
      </c>
      <c r="E9" s="7">
        <f>'[10]Aug Prod'!E8</f>
        <v>21000000</v>
      </c>
      <c r="F9" s="8">
        <f t="shared" si="3"/>
        <v>21</v>
      </c>
      <c r="G9" s="10">
        <f t="shared" si="4"/>
        <v>64.47</v>
      </c>
      <c r="H9" s="7">
        <f>'[10]Aug Prod'!F8</f>
        <v>0</v>
      </c>
      <c r="I9" s="8">
        <f t="shared" si="5"/>
        <v>0</v>
      </c>
      <c r="J9" s="10">
        <f t="shared" si="6"/>
        <v>0</v>
      </c>
      <c r="K9" s="7">
        <f>'[10]Aug Prod'!H263</f>
        <v>769325</v>
      </c>
      <c r="L9" s="8">
        <f t="shared" si="7"/>
        <v>0.76932500000000004</v>
      </c>
      <c r="M9" s="10">
        <f t="shared" si="8"/>
        <v>2.3618277499999998</v>
      </c>
      <c r="N9" s="28"/>
      <c r="O9" s="7">
        <f>'[10]Aug Prod'!H8</f>
        <v>8572999.9999999981</v>
      </c>
      <c r="P9" s="8">
        <f t="shared" si="9"/>
        <v>8.5729999999999986</v>
      </c>
      <c r="Q9" s="10">
        <f t="shared" si="10"/>
        <v>26.319109999999995</v>
      </c>
      <c r="R9" s="7">
        <f>'[10]Aug Prod'!C8</f>
        <v>8862000</v>
      </c>
      <c r="S9" s="8">
        <f t="shared" si="11"/>
        <v>8.8620000000000001</v>
      </c>
      <c r="T9" s="10">
        <f t="shared" si="12"/>
        <v>27.206339999999997</v>
      </c>
      <c r="U9" s="7">
        <f>'[10]Aug Prod'!D8</f>
        <v>0</v>
      </c>
      <c r="V9" s="8">
        <f t="shared" si="13"/>
        <v>0</v>
      </c>
      <c r="W9" s="10">
        <f t="shared" si="14"/>
        <v>0</v>
      </c>
      <c r="X9" s="7">
        <f>'[10]Aug Prod'!D263</f>
        <v>289000.00000000146</v>
      </c>
      <c r="Y9" s="8">
        <f t="shared" si="15"/>
        <v>0.28900000000000148</v>
      </c>
      <c r="Z9" s="10">
        <f t="shared" si="16"/>
        <v>0.88723000000000452</v>
      </c>
      <c r="AA9" s="22"/>
      <c r="AB9" s="7">
        <f>'[10]Aug Prod'!G8</f>
        <v>0</v>
      </c>
      <c r="AC9" s="8">
        <f t="shared" si="17"/>
        <v>0</v>
      </c>
      <c r="AD9" s="10">
        <f t="shared" si="18"/>
        <v>0</v>
      </c>
      <c r="AF9" s="7">
        <f t="shared" si="19"/>
        <v>29372999.99999927</v>
      </c>
      <c r="AG9" s="8">
        <f t="shared" si="19"/>
        <v>29.372999999999273</v>
      </c>
      <c r="AH9" s="8">
        <f t="shared" si="19"/>
        <v>90.175109999997758</v>
      </c>
      <c r="AJ9" s="8">
        <f t="shared" si="0"/>
        <v>-2.1094237467877974E-15</v>
      </c>
    </row>
    <row r="10" spans="1:36" x14ac:dyDescent="0.15">
      <c r="A10" s="37">
        <v>38570</v>
      </c>
      <c r="B10" s="7">
        <f>'[10]Aug Prod'!I9</f>
        <v>27100000.000000365</v>
      </c>
      <c r="C10" s="8">
        <f t="shared" si="1"/>
        <v>27.100000000000364</v>
      </c>
      <c r="D10" s="10">
        <f t="shared" si="2"/>
        <v>83.197000000001111</v>
      </c>
      <c r="E10" s="7">
        <f>'[10]Aug Prod'!E9</f>
        <v>28000000</v>
      </c>
      <c r="F10" s="8">
        <f t="shared" si="3"/>
        <v>28</v>
      </c>
      <c r="G10" s="10">
        <f t="shared" si="4"/>
        <v>85.96</v>
      </c>
      <c r="H10" s="7">
        <f>'[10]Aug Prod'!F9</f>
        <v>0</v>
      </c>
      <c r="I10" s="8">
        <f t="shared" si="5"/>
        <v>0</v>
      </c>
      <c r="J10" s="10">
        <f t="shared" si="6"/>
        <v>0</v>
      </c>
      <c r="K10" s="7">
        <f>'[10]Aug Prod'!H264</f>
        <v>111429</v>
      </c>
      <c r="L10" s="8">
        <f t="shared" si="7"/>
        <v>0.111429</v>
      </c>
      <c r="M10" s="10">
        <f t="shared" si="8"/>
        <v>0.34208702999999996</v>
      </c>
      <c r="N10" s="28"/>
      <c r="O10" s="7">
        <f>'[10]Aug Prod'!H9</f>
        <v>9659000.0000000019</v>
      </c>
      <c r="P10" s="8">
        <f t="shared" si="9"/>
        <v>9.6590000000000025</v>
      </c>
      <c r="Q10" s="10">
        <f t="shared" si="10"/>
        <v>29.653130000000004</v>
      </c>
      <c r="R10" s="7">
        <f>'[10]Aug Prod'!C9</f>
        <v>10166000</v>
      </c>
      <c r="S10" s="8">
        <f t="shared" si="11"/>
        <v>10.166</v>
      </c>
      <c r="T10" s="10">
        <f t="shared" si="12"/>
        <v>31.209620000000001</v>
      </c>
      <c r="U10" s="7">
        <f>'[10]Aug Prod'!D9</f>
        <v>0</v>
      </c>
      <c r="V10" s="8">
        <f t="shared" si="13"/>
        <v>0</v>
      </c>
      <c r="W10" s="10">
        <f t="shared" si="14"/>
        <v>0</v>
      </c>
      <c r="X10" s="7">
        <f>'[10]Aug Prod'!D264</f>
        <v>506999.9999999979</v>
      </c>
      <c r="Y10" s="8">
        <f t="shared" si="15"/>
        <v>0.5069999999999979</v>
      </c>
      <c r="Z10" s="10">
        <f t="shared" si="16"/>
        <v>1.5564899999999935</v>
      </c>
      <c r="AA10" s="22"/>
      <c r="AB10" s="7">
        <f>'[10]Aug Prod'!G9</f>
        <v>0</v>
      </c>
      <c r="AC10" s="8">
        <f t="shared" si="17"/>
        <v>0</v>
      </c>
      <c r="AD10" s="10">
        <f t="shared" si="18"/>
        <v>0</v>
      </c>
      <c r="AF10" s="7">
        <f t="shared" si="19"/>
        <v>36759000.000000365</v>
      </c>
      <c r="AG10" s="8">
        <f t="shared" si="19"/>
        <v>36.75900000000037</v>
      </c>
      <c r="AH10" s="8">
        <f t="shared" si="19"/>
        <v>112.85013000000112</v>
      </c>
      <c r="AJ10" s="8">
        <f t="shared" si="0"/>
        <v>3.1086244689504383E-15</v>
      </c>
    </row>
    <row r="11" spans="1:36" x14ac:dyDescent="0.15">
      <c r="A11" s="37">
        <v>38571</v>
      </c>
      <c r="B11" s="7">
        <f>'[10]Aug Prod'!I10</f>
        <v>24500000</v>
      </c>
      <c r="C11" s="8">
        <f t="shared" si="1"/>
        <v>24.5</v>
      </c>
      <c r="D11" s="10">
        <f t="shared" si="2"/>
        <v>75.214999999999989</v>
      </c>
      <c r="E11" s="7">
        <f>'[10]Aug Prod'!E10</f>
        <v>26000000</v>
      </c>
      <c r="F11" s="8">
        <f t="shared" si="3"/>
        <v>26</v>
      </c>
      <c r="G11" s="10">
        <f t="shared" si="4"/>
        <v>79.819999999999993</v>
      </c>
      <c r="H11" s="7">
        <f>'[10]Aug Prod'!F10</f>
        <v>0</v>
      </c>
      <c r="I11" s="8">
        <f t="shared" si="5"/>
        <v>0</v>
      </c>
      <c r="J11" s="10">
        <f t="shared" si="6"/>
        <v>0</v>
      </c>
      <c r="K11" s="7">
        <f>'[10]Aug Prod'!H265</f>
        <v>124097</v>
      </c>
      <c r="L11" s="8">
        <f t="shared" si="7"/>
        <v>0.124097</v>
      </c>
      <c r="M11" s="10">
        <f t="shared" si="8"/>
        <v>0.38097778999999998</v>
      </c>
      <c r="N11" s="28"/>
      <c r="O11" s="7">
        <f>'[10]Aug Prod'!H10</f>
        <v>7359000.0000000019</v>
      </c>
      <c r="P11" s="8">
        <f t="shared" si="9"/>
        <v>7.3590000000000018</v>
      </c>
      <c r="Q11" s="10">
        <f t="shared" si="10"/>
        <v>22.592130000000004</v>
      </c>
      <c r="R11" s="7">
        <f>'[10]Aug Prod'!C10</f>
        <v>8012000</v>
      </c>
      <c r="S11" s="8">
        <f t="shared" si="11"/>
        <v>8.0120000000000005</v>
      </c>
      <c r="T11" s="10">
        <f t="shared" si="12"/>
        <v>24.59684</v>
      </c>
      <c r="U11" s="7">
        <f>'[10]Aug Prod'!D10</f>
        <v>0</v>
      </c>
      <c r="V11" s="8">
        <f t="shared" si="13"/>
        <v>0</v>
      </c>
      <c r="W11" s="10">
        <f t="shared" si="14"/>
        <v>0</v>
      </c>
      <c r="X11" s="7">
        <f>'[10]Aug Prod'!D265</f>
        <v>652999.99999999872</v>
      </c>
      <c r="Y11" s="8">
        <f t="shared" si="15"/>
        <v>0.65299999999999869</v>
      </c>
      <c r="Z11" s="10">
        <f t="shared" si="16"/>
        <v>2.0047099999999958</v>
      </c>
      <c r="AA11" s="22"/>
      <c r="AB11" s="7">
        <f>'[10]Aug Prod'!G10</f>
        <v>0</v>
      </c>
      <c r="AC11" s="8">
        <f t="shared" si="17"/>
        <v>0</v>
      </c>
      <c r="AD11" s="10">
        <f t="shared" si="18"/>
        <v>0</v>
      </c>
      <c r="AF11" s="7">
        <f t="shared" si="19"/>
        <v>31859000</v>
      </c>
      <c r="AG11" s="8">
        <f t="shared" si="19"/>
        <v>31.859000000000002</v>
      </c>
      <c r="AH11" s="8">
        <f t="shared" si="19"/>
        <v>97.807130000000001</v>
      </c>
      <c r="AJ11" s="8">
        <f t="shared" si="0"/>
        <v>0</v>
      </c>
    </row>
    <row r="12" spans="1:36" x14ac:dyDescent="0.15">
      <c r="A12" s="37">
        <v>38572</v>
      </c>
      <c r="B12" s="7">
        <f>'[10]Aug Prod'!I11</f>
        <v>26500000</v>
      </c>
      <c r="C12" s="8">
        <f t="shared" si="1"/>
        <v>26.5</v>
      </c>
      <c r="D12" s="10">
        <f t="shared" si="2"/>
        <v>81.35499999999999</v>
      </c>
      <c r="E12" s="7">
        <f>'[10]Aug Prod'!E11</f>
        <v>27000000</v>
      </c>
      <c r="F12" s="8">
        <f t="shared" si="3"/>
        <v>27</v>
      </c>
      <c r="G12" s="10">
        <f t="shared" si="4"/>
        <v>82.89</v>
      </c>
      <c r="H12" s="7">
        <f>'[10]Aug Prod'!F11</f>
        <v>0</v>
      </c>
      <c r="I12" s="8">
        <f t="shared" si="5"/>
        <v>0</v>
      </c>
      <c r="J12" s="10">
        <f t="shared" si="6"/>
        <v>0</v>
      </c>
      <c r="K12" s="7">
        <f>'[10]Aug Prod'!H266</f>
        <v>129886</v>
      </c>
      <c r="L12" s="8">
        <f t="shared" si="7"/>
        <v>0.129886</v>
      </c>
      <c r="M12" s="10">
        <f t="shared" si="8"/>
        <v>0.39875001999999998</v>
      </c>
      <c r="N12" s="28"/>
      <c r="O12" s="7">
        <f>'[10]Aug Prod'!H11</f>
        <v>9417999.9999999944</v>
      </c>
      <c r="P12" s="8">
        <f t="shared" si="9"/>
        <v>9.4179999999999939</v>
      </c>
      <c r="Q12" s="10">
        <f t="shared" si="10"/>
        <v>28.91325999999998</v>
      </c>
      <c r="R12" s="7">
        <f>'[10]Aug Prod'!C11</f>
        <v>9922000</v>
      </c>
      <c r="S12" s="8">
        <f t="shared" si="11"/>
        <v>9.9220000000000006</v>
      </c>
      <c r="T12" s="10">
        <f t="shared" si="12"/>
        <v>30.460540000000002</v>
      </c>
      <c r="U12" s="7">
        <f>'[10]Aug Prod'!D11</f>
        <v>0</v>
      </c>
      <c r="V12" s="8">
        <f t="shared" si="13"/>
        <v>0</v>
      </c>
      <c r="W12" s="10">
        <f t="shared" si="14"/>
        <v>0</v>
      </c>
      <c r="X12" s="7">
        <f>'[10]Aug Prod'!D266</f>
        <v>504000.00000000489</v>
      </c>
      <c r="Y12" s="8">
        <f t="shared" si="15"/>
        <v>0.50400000000000489</v>
      </c>
      <c r="Z12" s="10">
        <f t="shared" si="16"/>
        <v>1.5472800000000149</v>
      </c>
      <c r="AA12" s="22"/>
      <c r="AB12" s="7">
        <f>'[10]Aug Prod'!G11</f>
        <v>0</v>
      </c>
      <c r="AC12" s="8">
        <f t="shared" si="17"/>
        <v>0</v>
      </c>
      <c r="AD12" s="10">
        <f t="shared" si="18"/>
        <v>0</v>
      </c>
      <c r="AF12" s="7">
        <f t="shared" si="19"/>
        <v>35917999.999999993</v>
      </c>
      <c r="AG12" s="8">
        <f t="shared" si="19"/>
        <v>35.917999999999992</v>
      </c>
      <c r="AH12" s="8">
        <f t="shared" si="19"/>
        <v>110.26825999999997</v>
      </c>
      <c r="AJ12" s="8">
        <f t="shared" si="0"/>
        <v>7.1054273576010019E-15</v>
      </c>
    </row>
    <row r="13" spans="1:36" x14ac:dyDescent="0.15">
      <c r="A13" s="37">
        <v>38573</v>
      </c>
      <c r="B13" s="7">
        <f>'[10]Aug Prod'!I12</f>
        <v>23199999.999999817</v>
      </c>
      <c r="C13" s="8">
        <f t="shared" si="1"/>
        <v>23.199999999999818</v>
      </c>
      <c r="D13" s="10">
        <f t="shared" si="2"/>
        <v>71.223999999999435</v>
      </c>
      <c r="E13" s="7">
        <f>'[10]Aug Prod'!E12</f>
        <v>24000000</v>
      </c>
      <c r="F13" s="8">
        <f t="shared" si="3"/>
        <v>24</v>
      </c>
      <c r="G13" s="10">
        <f t="shared" si="4"/>
        <v>73.679999999999993</v>
      </c>
      <c r="H13" s="7">
        <f>'[10]Aug Prod'!F12</f>
        <v>0</v>
      </c>
      <c r="I13" s="8">
        <f t="shared" si="5"/>
        <v>0</v>
      </c>
      <c r="J13" s="10">
        <f t="shared" si="6"/>
        <v>0</v>
      </c>
      <c r="K13" s="7">
        <f>'[10]Aug Prod'!H267</f>
        <v>800636</v>
      </c>
      <c r="L13" s="8">
        <f t="shared" si="7"/>
        <v>0.80063600000000001</v>
      </c>
      <c r="M13" s="10">
        <f t="shared" si="8"/>
        <v>2.4579525200000001</v>
      </c>
      <c r="N13" s="28"/>
      <c r="O13" s="7">
        <f>'[10]Aug Prod'!H12</f>
        <v>10798000.000000002</v>
      </c>
      <c r="P13" s="8">
        <f t="shared" si="9"/>
        <v>10.798000000000002</v>
      </c>
      <c r="Q13" s="10">
        <f t="shared" si="10"/>
        <v>33.149860000000004</v>
      </c>
      <c r="R13" s="7">
        <f>'[10]Aug Prod'!C12</f>
        <v>11265000</v>
      </c>
      <c r="S13" s="8">
        <f t="shared" si="11"/>
        <v>11.265000000000001</v>
      </c>
      <c r="T13" s="10">
        <f t="shared" si="12"/>
        <v>34.583550000000002</v>
      </c>
      <c r="U13" s="7">
        <f>'[10]Aug Prod'!D12</f>
        <v>0</v>
      </c>
      <c r="V13" s="8">
        <f t="shared" si="13"/>
        <v>0</v>
      </c>
      <c r="W13" s="10">
        <f t="shared" si="14"/>
        <v>0</v>
      </c>
      <c r="X13" s="7">
        <f>'[10]Aug Prod'!D267</f>
        <v>466999.99999999878</v>
      </c>
      <c r="Y13" s="8">
        <f t="shared" si="15"/>
        <v>0.4669999999999988</v>
      </c>
      <c r="Z13" s="10">
        <f t="shared" si="16"/>
        <v>1.4336899999999964</v>
      </c>
      <c r="AA13" s="22"/>
      <c r="AB13" s="7">
        <f>'[10]Aug Prod'!G12</f>
        <v>0</v>
      </c>
      <c r="AC13" s="8">
        <f t="shared" si="17"/>
        <v>0</v>
      </c>
      <c r="AD13" s="10">
        <f t="shared" si="18"/>
        <v>0</v>
      </c>
      <c r="AF13" s="7">
        <f t="shared" si="19"/>
        <v>33997999.999999821</v>
      </c>
      <c r="AG13" s="8">
        <f t="shared" si="19"/>
        <v>33.99799999999982</v>
      </c>
      <c r="AH13" s="8">
        <f t="shared" si="19"/>
        <v>104.37385999999944</v>
      </c>
      <c r="AJ13" s="8">
        <f t="shared" si="0"/>
        <v>2.2204460492503131E-15</v>
      </c>
    </row>
    <row r="14" spans="1:36" x14ac:dyDescent="0.15">
      <c r="A14" s="37">
        <v>38574</v>
      </c>
      <c r="B14" s="7">
        <f>'[10]Aug Prod'!I13</f>
        <v>19300000.000000183</v>
      </c>
      <c r="C14" s="8">
        <f t="shared" si="1"/>
        <v>19.300000000000182</v>
      </c>
      <c r="D14" s="10">
        <f t="shared" si="2"/>
        <v>59.251000000000552</v>
      </c>
      <c r="E14" s="7">
        <f>'[10]Aug Prod'!E13</f>
        <v>19000000</v>
      </c>
      <c r="F14" s="8">
        <f t="shared" si="3"/>
        <v>19</v>
      </c>
      <c r="G14" s="10">
        <f t="shared" si="4"/>
        <v>58.33</v>
      </c>
      <c r="H14" s="7">
        <f>'[10]Aug Prod'!F13</f>
        <v>0</v>
      </c>
      <c r="I14" s="8">
        <f t="shared" si="5"/>
        <v>0</v>
      </c>
      <c r="J14" s="10">
        <f t="shared" si="6"/>
        <v>0</v>
      </c>
      <c r="K14" s="7">
        <f>'[10]Aug Prod'!H268</f>
        <v>702089</v>
      </c>
      <c r="L14" s="8">
        <f t="shared" si="7"/>
        <v>0.70208899999999996</v>
      </c>
      <c r="M14" s="10">
        <f t="shared" si="8"/>
        <v>2.1554132299999997</v>
      </c>
      <c r="N14" s="28"/>
      <c r="O14" s="7">
        <f>'[10]Aug Prod'!H13</f>
        <v>8419999.9999999981</v>
      </c>
      <c r="P14" s="8">
        <f t="shared" si="9"/>
        <v>8.4199999999999982</v>
      </c>
      <c r="Q14" s="10">
        <f t="shared" si="10"/>
        <v>25.849399999999992</v>
      </c>
      <c r="R14" s="7">
        <f>'[10]Aug Prod'!C13</f>
        <v>8782000</v>
      </c>
      <c r="S14" s="8">
        <f t="shared" si="11"/>
        <v>8.782</v>
      </c>
      <c r="T14" s="10">
        <f t="shared" si="12"/>
        <v>26.960739999999998</v>
      </c>
      <c r="U14" s="7">
        <f>'[10]Aug Prod'!D13</f>
        <v>0</v>
      </c>
      <c r="V14" s="8">
        <f t="shared" si="13"/>
        <v>0</v>
      </c>
      <c r="W14" s="10">
        <f t="shared" si="14"/>
        <v>0</v>
      </c>
      <c r="X14" s="7">
        <f>'[10]Aug Prod'!D268</f>
        <v>362000.00000000186</v>
      </c>
      <c r="Y14" s="8">
        <f t="shared" si="15"/>
        <v>0.36200000000000188</v>
      </c>
      <c r="Z14" s="10">
        <f t="shared" si="16"/>
        <v>1.1113400000000058</v>
      </c>
      <c r="AA14" s="22"/>
      <c r="AB14" s="7">
        <f>'[10]Aug Prod'!G13</f>
        <v>0</v>
      </c>
      <c r="AC14" s="8">
        <f t="shared" si="17"/>
        <v>0</v>
      </c>
      <c r="AD14" s="10">
        <f t="shared" si="18"/>
        <v>0</v>
      </c>
      <c r="AF14" s="7">
        <f t="shared" si="19"/>
        <v>27720000.000000179</v>
      </c>
      <c r="AG14" s="8">
        <f t="shared" si="19"/>
        <v>27.72000000000018</v>
      </c>
      <c r="AH14" s="8">
        <f t="shared" si="19"/>
        <v>85.100400000000548</v>
      </c>
      <c r="AJ14" s="8">
        <f t="shared" si="0"/>
        <v>0</v>
      </c>
    </row>
    <row r="15" spans="1:36" x14ac:dyDescent="0.15">
      <c r="A15" s="37">
        <v>38575</v>
      </c>
      <c r="B15" s="7">
        <f>'[10]Aug Prod'!I14</f>
        <v>23000000</v>
      </c>
      <c r="C15" s="8">
        <f t="shared" si="1"/>
        <v>23</v>
      </c>
      <c r="D15" s="10">
        <f t="shared" si="2"/>
        <v>70.61</v>
      </c>
      <c r="E15" s="7">
        <f>'[10]Aug Prod'!E14</f>
        <v>24000000</v>
      </c>
      <c r="F15" s="8">
        <f t="shared" si="3"/>
        <v>24</v>
      </c>
      <c r="G15" s="10">
        <f t="shared" si="4"/>
        <v>73.679999999999993</v>
      </c>
      <c r="H15" s="7">
        <f>'[10]Aug Prod'!F14</f>
        <v>0</v>
      </c>
      <c r="I15" s="8">
        <f t="shared" si="5"/>
        <v>0</v>
      </c>
      <c r="J15" s="10">
        <f t="shared" si="6"/>
        <v>0</v>
      </c>
      <c r="K15" s="7">
        <f>'[10]Aug Prod'!H269</f>
        <v>738746</v>
      </c>
      <c r="L15" s="8">
        <f t="shared" si="7"/>
        <v>0.73874600000000001</v>
      </c>
      <c r="M15" s="10">
        <f t="shared" si="8"/>
        <v>2.2679502199999999</v>
      </c>
      <c r="N15" s="28"/>
      <c r="O15" s="7">
        <f>'[10]Aug Prod'!H14</f>
        <v>10175000.000000002</v>
      </c>
      <c r="P15" s="8">
        <f t="shared" si="9"/>
        <v>10.175000000000002</v>
      </c>
      <c r="Q15" s="10">
        <f t="shared" si="10"/>
        <v>31.237250000000007</v>
      </c>
      <c r="R15" s="7">
        <f>'[10]Aug Prod'!C14</f>
        <v>10685000</v>
      </c>
      <c r="S15" s="8">
        <f t="shared" si="11"/>
        <v>10.685</v>
      </c>
      <c r="T15" s="10">
        <f t="shared" si="12"/>
        <v>32.802950000000003</v>
      </c>
      <c r="U15" s="7">
        <f>'[10]Aug Prod'!D14</f>
        <v>0</v>
      </c>
      <c r="V15" s="8">
        <f t="shared" si="13"/>
        <v>0</v>
      </c>
      <c r="W15" s="10">
        <f t="shared" si="14"/>
        <v>0</v>
      </c>
      <c r="X15" s="7">
        <f>'[10]Aug Prod'!D269</f>
        <v>509999.99999999802</v>
      </c>
      <c r="Y15" s="8">
        <f t="shared" si="15"/>
        <v>0.50999999999999801</v>
      </c>
      <c r="Z15" s="10">
        <f t="shared" si="16"/>
        <v>1.5656999999999939</v>
      </c>
      <c r="AA15" s="22"/>
      <c r="AB15" s="7">
        <f>'[10]Aug Prod'!G14</f>
        <v>0</v>
      </c>
      <c r="AC15" s="8">
        <f t="shared" si="17"/>
        <v>0</v>
      </c>
      <c r="AD15" s="10">
        <f t="shared" si="18"/>
        <v>0</v>
      </c>
      <c r="AF15" s="7">
        <f t="shared" si="19"/>
        <v>33175000</v>
      </c>
      <c r="AG15" s="8">
        <f t="shared" si="19"/>
        <v>33.175000000000004</v>
      </c>
      <c r="AH15" s="8">
        <f t="shared" si="19"/>
        <v>101.84725</v>
      </c>
      <c r="AJ15" s="8">
        <f>T15-Q15-Z15</f>
        <v>2.2204460492503131E-15</v>
      </c>
    </row>
    <row r="16" spans="1:36" x14ac:dyDescent="0.15">
      <c r="A16" s="37">
        <v>38576</v>
      </c>
      <c r="B16" s="7">
        <f>'[10]Aug Prod'!I15</f>
        <v>21899999.999999635</v>
      </c>
      <c r="C16" s="8">
        <f t="shared" si="1"/>
        <v>21.899999999999636</v>
      </c>
      <c r="D16" s="10">
        <f t="shared" si="2"/>
        <v>67.232999999998881</v>
      </c>
      <c r="E16" s="7">
        <f>'[10]Aug Prod'!E15</f>
        <v>24000000</v>
      </c>
      <c r="F16" s="8">
        <f t="shared" si="3"/>
        <v>24</v>
      </c>
      <c r="G16" s="10">
        <f t="shared" si="4"/>
        <v>73.679999999999993</v>
      </c>
      <c r="H16" s="7">
        <f>'[10]Aug Prod'!F15</f>
        <v>0</v>
      </c>
      <c r="I16" s="8">
        <f t="shared" si="5"/>
        <v>0</v>
      </c>
      <c r="J16" s="10">
        <f t="shared" si="6"/>
        <v>0</v>
      </c>
      <c r="K16" s="7">
        <f>'[10]Aug Prod'!H270</f>
        <v>738730</v>
      </c>
      <c r="L16" s="8">
        <f t="shared" si="7"/>
        <v>0.73873</v>
      </c>
      <c r="M16" s="10">
        <f t="shared" si="8"/>
        <v>2.2679011</v>
      </c>
      <c r="N16" s="28"/>
      <c r="O16" s="7">
        <f>'[10]Aug Prod'!H15</f>
        <v>10833999.999999998</v>
      </c>
      <c r="P16" s="8">
        <f t="shared" si="9"/>
        <v>10.833999999999998</v>
      </c>
      <c r="Q16" s="10">
        <f t="shared" si="10"/>
        <v>33.260379999999991</v>
      </c>
      <c r="R16" s="7">
        <f>'[10]Aug Prod'!C15</f>
        <v>11342000</v>
      </c>
      <c r="S16" s="8">
        <f t="shared" si="11"/>
        <v>11.342000000000001</v>
      </c>
      <c r="T16" s="10">
        <f t="shared" si="12"/>
        <v>34.819940000000003</v>
      </c>
      <c r="U16" s="7">
        <f>'[10]Aug Prod'!D15</f>
        <v>0</v>
      </c>
      <c r="V16" s="8">
        <f t="shared" si="13"/>
        <v>0</v>
      </c>
      <c r="W16" s="10">
        <f t="shared" si="14"/>
        <v>0</v>
      </c>
      <c r="X16" s="7">
        <f>'[10]Aug Prod'!D270</f>
        <v>508000.00000000268</v>
      </c>
      <c r="Y16" s="8">
        <f t="shared" si="15"/>
        <v>0.50800000000000267</v>
      </c>
      <c r="Z16" s="10">
        <f t="shared" si="16"/>
        <v>1.5595600000000081</v>
      </c>
      <c r="AA16" s="22"/>
      <c r="AB16" s="7">
        <f>'[10]Aug Prod'!G15</f>
        <v>0</v>
      </c>
      <c r="AC16" s="8">
        <f t="shared" si="17"/>
        <v>0</v>
      </c>
      <c r="AD16" s="10">
        <f t="shared" si="18"/>
        <v>0</v>
      </c>
      <c r="AF16" s="7">
        <f t="shared" si="19"/>
        <v>32733999.999999635</v>
      </c>
      <c r="AG16" s="8">
        <f t="shared" si="19"/>
        <v>32.733999999999632</v>
      </c>
      <c r="AH16" s="8">
        <f t="shared" si="19"/>
        <v>100.49337999999887</v>
      </c>
      <c r="AJ16" s="8">
        <f>T16-Q16-Z16</f>
        <v>3.7747582837255322E-15</v>
      </c>
    </row>
    <row r="17" spans="1:36" x14ac:dyDescent="0.15">
      <c r="A17" s="37">
        <v>38577</v>
      </c>
      <c r="B17" s="7">
        <f>'[10]Aug Prod'!I16</f>
        <v>22000000</v>
      </c>
      <c r="C17" s="8">
        <f t="shared" si="1"/>
        <v>22</v>
      </c>
      <c r="D17" s="10">
        <f t="shared" si="2"/>
        <v>67.539999999999992</v>
      </c>
      <c r="E17" s="7">
        <f>'[10]Aug Prod'!E16</f>
        <v>21000000</v>
      </c>
      <c r="F17" s="8">
        <f t="shared" si="3"/>
        <v>21</v>
      </c>
      <c r="G17" s="10">
        <f t="shared" si="4"/>
        <v>64.47</v>
      </c>
      <c r="H17" s="7">
        <f>'[10]Aug Prod'!F16</f>
        <v>0</v>
      </c>
      <c r="I17" s="8">
        <f t="shared" si="5"/>
        <v>0</v>
      </c>
      <c r="J17" s="10">
        <f t="shared" si="6"/>
        <v>0</v>
      </c>
      <c r="K17" s="7">
        <f>'[10]Aug Prod'!H271</f>
        <v>683071</v>
      </c>
      <c r="L17" s="8">
        <f t="shared" si="7"/>
        <v>0.68307099999999998</v>
      </c>
      <c r="M17" s="10">
        <f t="shared" si="8"/>
        <v>2.0970279699999996</v>
      </c>
      <c r="N17" s="28"/>
      <c r="O17" s="7">
        <f>'[10]Aug Prod'!H16</f>
        <v>10679000.000000004</v>
      </c>
      <c r="P17" s="8">
        <f t="shared" si="9"/>
        <v>10.679000000000004</v>
      </c>
      <c r="Q17" s="10">
        <f t="shared" si="10"/>
        <v>32.784530000000011</v>
      </c>
      <c r="R17" s="7">
        <f>'[10]Aug Prod'!C16</f>
        <v>11324000</v>
      </c>
      <c r="S17" s="8">
        <f t="shared" si="11"/>
        <v>11.324</v>
      </c>
      <c r="T17" s="10">
        <f t="shared" si="12"/>
        <v>34.764679999999998</v>
      </c>
      <c r="U17" s="7">
        <f>'[10]Aug Prod'!D16</f>
        <v>0</v>
      </c>
      <c r="V17" s="8">
        <f t="shared" si="13"/>
        <v>0</v>
      </c>
      <c r="W17" s="10">
        <f t="shared" si="14"/>
        <v>0</v>
      </c>
      <c r="X17" s="7">
        <f>'[10]Aug Prod'!D271</f>
        <v>644999.99999999604</v>
      </c>
      <c r="Y17" s="8">
        <f t="shared" si="15"/>
        <v>0.64499999999999602</v>
      </c>
      <c r="Z17" s="10">
        <f t="shared" si="16"/>
        <v>1.9801499999999876</v>
      </c>
      <c r="AA17" s="22"/>
      <c r="AB17" s="7">
        <f>'[10]Aug Prod'!G16</f>
        <v>0</v>
      </c>
      <c r="AC17" s="8">
        <f t="shared" si="17"/>
        <v>0</v>
      </c>
      <c r="AD17" s="10">
        <f t="shared" si="18"/>
        <v>0</v>
      </c>
      <c r="AF17" s="7">
        <f t="shared" si="19"/>
        <v>32679000.000000004</v>
      </c>
      <c r="AG17" s="8">
        <f t="shared" si="19"/>
        <v>32.679000000000002</v>
      </c>
      <c r="AH17" s="8">
        <f t="shared" si="19"/>
        <v>100.32453000000001</v>
      </c>
      <c r="AJ17" s="8">
        <f>T17-Q17-Z17</f>
        <v>0</v>
      </c>
    </row>
    <row r="18" spans="1:36" x14ac:dyDescent="0.15">
      <c r="A18" s="37">
        <v>38578</v>
      </c>
      <c r="B18" s="7">
        <f>'[10]Aug Prod'!I17</f>
        <v>25000000</v>
      </c>
      <c r="C18" s="8">
        <f t="shared" si="1"/>
        <v>25</v>
      </c>
      <c r="D18" s="10">
        <f t="shared" si="2"/>
        <v>76.75</v>
      </c>
      <c r="E18" s="7">
        <f>'[10]Aug Prod'!E17</f>
        <v>26000000</v>
      </c>
      <c r="F18" s="8">
        <f t="shared" si="3"/>
        <v>26</v>
      </c>
      <c r="G18" s="10">
        <f t="shared" si="4"/>
        <v>79.819999999999993</v>
      </c>
      <c r="H18" s="7">
        <f>'[10]Aug Prod'!F17</f>
        <v>0</v>
      </c>
      <c r="I18" s="8">
        <f t="shared" si="5"/>
        <v>0</v>
      </c>
      <c r="J18" s="10">
        <f t="shared" si="6"/>
        <v>0</v>
      </c>
      <c r="K18" s="7">
        <f>'[10]Aug Prod'!H272</f>
        <v>870952</v>
      </c>
      <c r="L18" s="8">
        <f t="shared" si="7"/>
        <v>0.87095199999999995</v>
      </c>
      <c r="M18" s="10">
        <f t="shared" si="8"/>
        <v>2.6738226399999996</v>
      </c>
      <c r="N18" s="28"/>
      <c r="O18" s="7">
        <f>'[10]Aug Prod'!H17</f>
        <v>11803999.999999996</v>
      </c>
      <c r="P18" s="8">
        <f t="shared" si="9"/>
        <v>11.803999999999997</v>
      </c>
      <c r="Q18" s="10">
        <f t="shared" si="10"/>
        <v>36.238279999999989</v>
      </c>
      <c r="R18" s="7">
        <f>'[10]Aug Prod'!C17</f>
        <v>12174000</v>
      </c>
      <c r="S18" s="8">
        <f t="shared" si="11"/>
        <v>12.173999999999999</v>
      </c>
      <c r="T18" s="10">
        <f t="shared" si="12"/>
        <v>37.374179999999996</v>
      </c>
      <c r="U18" s="7">
        <f>'[10]Aug Prod'!D17</f>
        <v>0</v>
      </c>
      <c r="V18" s="8">
        <f t="shared" si="13"/>
        <v>0</v>
      </c>
      <c r="W18" s="10">
        <f t="shared" si="14"/>
        <v>0</v>
      </c>
      <c r="X18" s="7">
        <f>'[10]Aug Prod'!D272</f>
        <v>370000.00000000454</v>
      </c>
      <c r="Y18" s="8">
        <f t="shared" si="15"/>
        <v>0.37000000000000455</v>
      </c>
      <c r="Z18" s="10">
        <f t="shared" si="16"/>
        <v>1.1359000000000139</v>
      </c>
      <c r="AA18" s="22"/>
      <c r="AB18" s="7">
        <f>'[10]Aug Prod'!G17</f>
        <v>0</v>
      </c>
      <c r="AC18" s="8">
        <f t="shared" si="17"/>
        <v>0</v>
      </c>
      <c r="AD18" s="10">
        <f t="shared" si="18"/>
        <v>0</v>
      </c>
      <c r="AF18" s="7">
        <f t="shared" si="19"/>
        <v>36804000</v>
      </c>
      <c r="AG18" s="8">
        <f t="shared" si="19"/>
        <v>36.803999999999995</v>
      </c>
      <c r="AH18" s="8">
        <f t="shared" si="19"/>
        <v>112.98827999999999</v>
      </c>
      <c r="AJ18" s="8">
        <f>T18-Q18-Z18</f>
        <v>-7.3274719625260332E-15</v>
      </c>
    </row>
    <row r="19" spans="1:36" x14ac:dyDescent="0.15">
      <c r="A19" s="37">
        <v>38579</v>
      </c>
      <c r="B19" s="7">
        <f>'[10]Aug Prod'!I18</f>
        <v>23700000.000000726</v>
      </c>
      <c r="C19" s="8">
        <f t="shared" si="1"/>
        <v>23.700000000000728</v>
      </c>
      <c r="D19" s="10">
        <f t="shared" si="2"/>
        <v>72.759000000002231</v>
      </c>
      <c r="E19" s="7">
        <f>'[10]Aug Prod'!E18</f>
        <v>25000000</v>
      </c>
      <c r="F19" s="8">
        <f t="shared" si="3"/>
        <v>25</v>
      </c>
      <c r="G19" s="10">
        <f t="shared" si="4"/>
        <v>76.75</v>
      </c>
      <c r="H19" s="7">
        <f>'[10]Aug Prod'!F18</f>
        <v>0</v>
      </c>
      <c r="I19" s="8">
        <f t="shared" si="5"/>
        <v>0</v>
      </c>
      <c r="J19" s="10">
        <f t="shared" si="6"/>
        <v>0</v>
      </c>
      <c r="K19" s="7">
        <f>'[10]Aug Prod'!H273</f>
        <v>975763</v>
      </c>
      <c r="L19" s="8">
        <f t="shared" si="7"/>
        <v>0.97576300000000005</v>
      </c>
      <c r="M19" s="10">
        <f t="shared" si="8"/>
        <v>2.99559241</v>
      </c>
      <c r="N19" s="28"/>
      <c r="O19" s="7">
        <f>'[10]Aug Prod'!H18</f>
        <v>10909000.000000002</v>
      </c>
      <c r="P19" s="8">
        <f t="shared" si="9"/>
        <v>10.909000000000002</v>
      </c>
      <c r="Q19" s="10">
        <f t="shared" si="10"/>
        <v>33.490630000000003</v>
      </c>
      <c r="R19" s="7">
        <f>'[10]Aug Prod'!C18</f>
        <v>11468000</v>
      </c>
      <c r="S19" s="8">
        <f t="shared" si="11"/>
        <v>11.468</v>
      </c>
      <c r="T19" s="10">
        <f t="shared" si="12"/>
        <v>35.206759999999996</v>
      </c>
      <c r="U19" s="7">
        <f>'[10]Aug Prod'!D18</f>
        <v>0</v>
      </c>
      <c r="V19" s="8">
        <f t="shared" si="13"/>
        <v>0</v>
      </c>
      <c r="W19" s="10">
        <f t="shared" si="14"/>
        <v>0</v>
      </c>
      <c r="X19" s="7">
        <f>'[10]Aug Prod'!D273</f>
        <v>558999.99999999756</v>
      </c>
      <c r="Y19" s="8">
        <f t="shared" si="15"/>
        <v>0.55899999999999761</v>
      </c>
      <c r="Z19" s="10">
        <f t="shared" si="16"/>
        <v>1.7161299999999926</v>
      </c>
      <c r="AA19" s="22"/>
      <c r="AB19" s="7">
        <f>'[10]Aug Prod'!G18</f>
        <v>0</v>
      </c>
      <c r="AC19" s="8">
        <f t="shared" si="17"/>
        <v>0</v>
      </c>
      <c r="AD19" s="10">
        <f t="shared" si="18"/>
        <v>0</v>
      </c>
      <c r="AF19" s="7">
        <f t="shared" si="19"/>
        <v>34609000.00000073</v>
      </c>
      <c r="AG19" s="8">
        <f t="shared" si="19"/>
        <v>34.609000000000734</v>
      </c>
      <c r="AH19" s="8">
        <f>D19+Q19</f>
        <v>106.24963000000224</v>
      </c>
      <c r="AJ19" s="8">
        <f>T19-Q19-Z19</f>
        <v>0</v>
      </c>
    </row>
    <row r="20" spans="1:36" x14ac:dyDescent="0.15">
      <c r="A20" s="37">
        <v>38580</v>
      </c>
      <c r="B20" s="7">
        <f>'[10]Aug Prod'!I19</f>
        <v>21199999.999999817</v>
      </c>
      <c r="C20" s="8">
        <f t="shared" si="1"/>
        <v>21.199999999999818</v>
      </c>
      <c r="D20" s="10">
        <f t="shared" si="2"/>
        <v>65.083999999999435</v>
      </c>
      <c r="E20" s="7">
        <f>'[10]Aug Prod'!E19</f>
        <v>23000000</v>
      </c>
      <c r="F20" s="8">
        <f t="shared" si="3"/>
        <v>23</v>
      </c>
      <c r="G20" s="10">
        <f t="shared" si="4"/>
        <v>70.61</v>
      </c>
      <c r="H20" s="7">
        <f>'[10]Aug Prod'!F19</f>
        <v>0</v>
      </c>
      <c r="I20" s="8">
        <f t="shared" si="5"/>
        <v>0</v>
      </c>
      <c r="J20" s="10">
        <f t="shared" si="6"/>
        <v>0</v>
      </c>
      <c r="K20" s="7">
        <f>'[10]Aug Prod'!H274</f>
        <v>90737</v>
      </c>
      <c r="L20" s="8">
        <f t="shared" si="7"/>
        <v>9.0736999999999998E-2</v>
      </c>
      <c r="M20" s="10">
        <f t="shared" si="8"/>
        <v>0.27856259</v>
      </c>
      <c r="N20" s="28"/>
      <c r="O20" s="7">
        <f>'[10]Aug Prod'!H19</f>
        <v>10580000.000000002</v>
      </c>
      <c r="P20" s="8">
        <f t="shared" si="9"/>
        <v>10.580000000000002</v>
      </c>
      <c r="Q20" s="10">
        <f t="shared" si="10"/>
        <v>32.480600000000003</v>
      </c>
      <c r="R20" s="7">
        <f>'[10]Aug Prod'!C19</f>
        <v>11035000</v>
      </c>
      <c r="S20" s="8">
        <f t="shared" si="11"/>
        <v>11.035</v>
      </c>
      <c r="T20" s="10">
        <f t="shared" si="12"/>
        <v>33.877449999999996</v>
      </c>
      <c r="U20" s="7">
        <f>'[10]Aug Prod'!D19</f>
        <v>0</v>
      </c>
      <c r="V20" s="8">
        <f t="shared" si="13"/>
        <v>0</v>
      </c>
      <c r="W20" s="10">
        <f t="shared" si="14"/>
        <v>0</v>
      </c>
      <c r="X20" s="7">
        <f>'[10]Aug Prod'!D274</f>
        <v>454999.99999999831</v>
      </c>
      <c r="Y20" s="8">
        <f t="shared" si="15"/>
        <v>0.45499999999999829</v>
      </c>
      <c r="Z20" s="10">
        <f t="shared" si="16"/>
        <v>1.3968499999999946</v>
      </c>
      <c r="AA20" s="22"/>
      <c r="AB20" s="7">
        <f>'[10]Aug Prod'!G19</f>
        <v>0</v>
      </c>
      <c r="AC20" s="8">
        <f t="shared" si="17"/>
        <v>0</v>
      </c>
      <c r="AD20" s="10">
        <f t="shared" si="18"/>
        <v>0</v>
      </c>
      <c r="AF20" s="7">
        <f t="shared" si="19"/>
        <v>31779999.999999821</v>
      </c>
      <c r="AG20" s="8">
        <f t="shared" si="19"/>
        <v>31.77999999999982</v>
      </c>
      <c r="AH20" s="8">
        <f t="shared" si="19"/>
        <v>97.564599999999444</v>
      </c>
      <c r="AJ20" s="8">
        <f t="shared" ref="AJ20:AJ35" si="20">T20-Q20-Z20</f>
        <v>0</v>
      </c>
    </row>
    <row r="21" spans="1:36" x14ac:dyDescent="0.15">
      <c r="A21" s="37">
        <v>38581</v>
      </c>
      <c r="B21" s="7">
        <f>'[10]Aug Prod'!I20</f>
        <v>19500000</v>
      </c>
      <c r="C21" s="8">
        <f t="shared" si="1"/>
        <v>19.5</v>
      </c>
      <c r="D21" s="10">
        <f t="shared" si="2"/>
        <v>59.864999999999995</v>
      </c>
      <c r="E21" s="7">
        <f>'[10]Aug Prod'!E20</f>
        <v>19000000</v>
      </c>
      <c r="F21" s="8">
        <f t="shared" si="3"/>
        <v>19</v>
      </c>
      <c r="G21" s="10">
        <f t="shared" si="4"/>
        <v>58.33</v>
      </c>
      <c r="H21" s="7">
        <f>'[10]Aug Prod'!F20</f>
        <v>0</v>
      </c>
      <c r="I21" s="8">
        <f t="shared" si="5"/>
        <v>0</v>
      </c>
      <c r="J21" s="10">
        <f t="shared" si="6"/>
        <v>0</v>
      </c>
      <c r="K21" s="7">
        <f>'[10]Aug Prod'!H275</f>
        <v>87000</v>
      </c>
      <c r="L21" s="8">
        <f t="shared" si="7"/>
        <v>8.6999999999999994E-2</v>
      </c>
      <c r="M21" s="10">
        <f t="shared" si="8"/>
        <v>0.26708999999999999</v>
      </c>
      <c r="N21" s="28"/>
      <c r="O21" s="7">
        <f>'[10]Aug Prod'!H20</f>
        <v>8383999.9999999963</v>
      </c>
      <c r="P21" s="8">
        <f t="shared" si="9"/>
        <v>8.3839999999999968</v>
      </c>
      <c r="Q21" s="10">
        <f t="shared" si="10"/>
        <v>25.738879999999988</v>
      </c>
      <c r="R21" s="7">
        <f>'[10]Aug Prod'!C20</f>
        <v>8852000</v>
      </c>
      <c r="S21" s="8">
        <f t="shared" si="11"/>
        <v>8.8520000000000003</v>
      </c>
      <c r="T21" s="10">
        <f t="shared" si="12"/>
        <v>27.175639999999998</v>
      </c>
      <c r="U21" s="7">
        <f>'[10]Aug Prod'!D20</f>
        <v>0</v>
      </c>
      <c r="V21" s="8">
        <f t="shared" si="13"/>
        <v>0</v>
      </c>
      <c r="W21" s="10">
        <f t="shared" si="14"/>
        <v>0</v>
      </c>
      <c r="X21" s="7">
        <f>'[10]Aug Prod'!D275</f>
        <v>468000.00000000355</v>
      </c>
      <c r="Y21" s="8">
        <f t="shared" si="15"/>
        <v>0.46800000000000352</v>
      </c>
      <c r="Z21" s="10">
        <f t="shared" si="16"/>
        <v>1.4367600000000107</v>
      </c>
      <c r="AA21" s="22"/>
      <c r="AB21" s="7">
        <f>'[10]Aug Prod'!G20</f>
        <v>0</v>
      </c>
      <c r="AC21" s="8">
        <f t="shared" si="17"/>
        <v>0</v>
      </c>
      <c r="AD21" s="10">
        <f t="shared" si="18"/>
        <v>0</v>
      </c>
      <c r="AF21" s="7">
        <f t="shared" si="19"/>
        <v>27883999.999999996</v>
      </c>
      <c r="AG21" s="8">
        <f t="shared" si="19"/>
        <v>27.883999999999997</v>
      </c>
      <c r="AH21" s="8">
        <f t="shared" si="19"/>
        <v>85.603879999999975</v>
      </c>
      <c r="AJ21" s="8">
        <f t="shared" si="20"/>
        <v>0</v>
      </c>
    </row>
    <row r="22" spans="1:36" x14ac:dyDescent="0.15">
      <c r="A22" s="37">
        <v>38582</v>
      </c>
      <c r="B22" s="7">
        <f>'[10]Aug Prod'!I21</f>
        <v>21699999.999999817</v>
      </c>
      <c r="C22" s="8">
        <f t="shared" si="1"/>
        <v>21.699999999999818</v>
      </c>
      <c r="D22" s="10">
        <f t="shared" si="2"/>
        <v>66.618999999999431</v>
      </c>
      <c r="E22" s="7">
        <f>'[10]Aug Prod'!E21</f>
        <v>23000000</v>
      </c>
      <c r="F22" s="8">
        <f t="shared" si="3"/>
        <v>23</v>
      </c>
      <c r="G22" s="10">
        <f t="shared" si="4"/>
        <v>70.61</v>
      </c>
      <c r="H22" s="7">
        <f>'[10]Aug Prod'!F21</f>
        <v>0</v>
      </c>
      <c r="I22" s="8">
        <f t="shared" si="5"/>
        <v>0</v>
      </c>
      <c r="J22" s="10">
        <f t="shared" si="6"/>
        <v>0</v>
      </c>
      <c r="K22" s="7">
        <f>'[10]Aug Prod'!H276</f>
        <v>665845</v>
      </c>
      <c r="L22" s="8">
        <f t="shared" si="7"/>
        <v>0.66584500000000002</v>
      </c>
      <c r="M22" s="10">
        <f t="shared" si="8"/>
        <v>2.0441441500000002</v>
      </c>
      <c r="N22" s="28"/>
      <c r="O22" s="7">
        <f>'[10]Aug Prod'!H21</f>
        <v>13705000.000000006</v>
      </c>
      <c r="P22" s="8">
        <f t="shared" si="9"/>
        <v>13.705000000000005</v>
      </c>
      <c r="Q22" s="10">
        <f t="shared" si="10"/>
        <v>42.074350000000017</v>
      </c>
      <c r="R22" s="7">
        <f>'[10]Aug Prod'!C21</f>
        <v>14174000</v>
      </c>
      <c r="S22" s="8">
        <f t="shared" si="11"/>
        <v>14.173999999999999</v>
      </c>
      <c r="T22" s="10">
        <f t="shared" si="12"/>
        <v>43.514179999999996</v>
      </c>
      <c r="U22" s="7">
        <f>'[10]Aug Prod'!D21</f>
        <v>0</v>
      </c>
      <c r="V22" s="8">
        <f t="shared" si="13"/>
        <v>0</v>
      </c>
      <c r="W22" s="10">
        <f t="shared" si="14"/>
        <v>0</v>
      </c>
      <c r="X22" s="7">
        <f>'[10]Aug Prod'!D276</f>
        <v>468999.99999999406</v>
      </c>
      <c r="Y22" s="8">
        <f t="shared" si="15"/>
        <v>0.46899999999999409</v>
      </c>
      <c r="Z22" s="10">
        <f t="shared" si="16"/>
        <v>1.4398299999999817</v>
      </c>
      <c r="AA22" s="22"/>
      <c r="AB22" s="7">
        <f>'[10]Aug Prod'!G21</f>
        <v>0</v>
      </c>
      <c r="AC22" s="8">
        <f t="shared" si="17"/>
        <v>0</v>
      </c>
      <c r="AD22" s="10">
        <f t="shared" si="18"/>
        <v>0</v>
      </c>
      <c r="AF22" s="7">
        <f t="shared" si="19"/>
        <v>35404999.999999821</v>
      </c>
      <c r="AG22" s="8">
        <f t="shared" si="19"/>
        <v>35.404999999999824</v>
      </c>
      <c r="AH22" s="8">
        <f t="shared" si="19"/>
        <v>108.69334999999944</v>
      </c>
      <c r="AJ22" s="8">
        <f t="shared" si="20"/>
        <v>-2.4424906541753444E-15</v>
      </c>
    </row>
    <row r="23" spans="1:36" x14ac:dyDescent="0.15">
      <c r="A23" s="37">
        <v>38583</v>
      </c>
      <c r="B23" s="7">
        <f>'[10]Aug Prod'!I22</f>
        <v>20000000</v>
      </c>
      <c r="C23" s="8">
        <f t="shared" si="1"/>
        <v>20</v>
      </c>
      <c r="D23" s="10">
        <f t="shared" si="2"/>
        <v>61.4</v>
      </c>
      <c r="E23" s="7">
        <f>'[10]Aug Prod'!E22</f>
        <v>20000000</v>
      </c>
      <c r="F23" s="8">
        <f t="shared" si="3"/>
        <v>20</v>
      </c>
      <c r="G23" s="10">
        <f t="shared" si="4"/>
        <v>61.4</v>
      </c>
      <c r="H23" s="7">
        <f>'[10]Aug Prod'!F22</f>
        <v>0</v>
      </c>
      <c r="I23" s="8">
        <f t="shared" si="5"/>
        <v>0</v>
      </c>
      <c r="J23" s="10">
        <f t="shared" si="6"/>
        <v>0</v>
      </c>
      <c r="K23" s="7">
        <f>'[10]Aug Prod'!H277</f>
        <v>670224</v>
      </c>
      <c r="L23" s="8">
        <f t="shared" si="7"/>
        <v>0.67022400000000004</v>
      </c>
      <c r="M23" s="10">
        <f t="shared" si="8"/>
        <v>2.0575876800000001</v>
      </c>
      <c r="N23" s="28"/>
      <c r="O23" s="7">
        <f>'[10]Aug Prod'!H22</f>
        <v>7609999.9999999972</v>
      </c>
      <c r="P23" s="8">
        <f t="shared" si="9"/>
        <v>7.6099999999999968</v>
      </c>
      <c r="Q23" s="10">
        <f t="shared" si="10"/>
        <v>23.36269999999999</v>
      </c>
      <c r="R23" s="7">
        <f>'[10]Aug Prod'!C22</f>
        <v>7984000</v>
      </c>
      <c r="S23" s="8">
        <f t="shared" si="11"/>
        <v>7.984</v>
      </c>
      <c r="T23" s="10">
        <f t="shared" si="12"/>
        <v>24.51088</v>
      </c>
      <c r="U23" s="7">
        <f>'[10]Aug Prod'!D22</f>
        <v>0</v>
      </c>
      <c r="V23" s="8">
        <f t="shared" si="13"/>
        <v>0</v>
      </c>
      <c r="W23" s="10">
        <f t="shared" si="14"/>
        <v>0</v>
      </c>
      <c r="X23" s="7">
        <f>'[10]Aug Prod'!D277</f>
        <v>374000.00000000233</v>
      </c>
      <c r="Y23" s="8">
        <f t="shared" si="15"/>
        <v>0.37400000000000233</v>
      </c>
      <c r="Z23" s="10">
        <f t="shared" si="16"/>
        <v>1.1481800000000071</v>
      </c>
      <c r="AA23" s="22"/>
      <c r="AB23" s="7">
        <f>'[10]Aug Prod'!G22</f>
        <v>0</v>
      </c>
      <c r="AC23" s="8">
        <f t="shared" si="17"/>
        <v>0</v>
      </c>
      <c r="AD23" s="10">
        <f t="shared" si="18"/>
        <v>0</v>
      </c>
      <c r="AF23" s="7">
        <f t="shared" si="19"/>
        <v>27609999.999999996</v>
      </c>
      <c r="AG23" s="8">
        <f t="shared" si="19"/>
        <v>27.609999999999996</v>
      </c>
      <c r="AH23" s="8">
        <f t="shared" si="19"/>
        <v>84.762699999999995</v>
      </c>
      <c r="AJ23" s="8">
        <f t="shared" si="20"/>
        <v>3.5527136788005009E-15</v>
      </c>
    </row>
    <row r="24" spans="1:36" x14ac:dyDescent="0.15">
      <c r="A24" s="37">
        <v>38584</v>
      </c>
      <c r="B24" s="7">
        <f>'[10]Aug Prod'!I23</f>
        <v>19199999.999999817</v>
      </c>
      <c r="C24" s="8">
        <f t="shared" si="1"/>
        <v>19.199999999999818</v>
      </c>
      <c r="D24" s="10">
        <f t="shared" si="2"/>
        <v>58.943999999999441</v>
      </c>
      <c r="E24" s="7">
        <f>'[10]Aug Prod'!E23</f>
        <v>19000000</v>
      </c>
      <c r="F24" s="8">
        <f t="shared" si="3"/>
        <v>19</v>
      </c>
      <c r="G24" s="10">
        <f t="shared" si="4"/>
        <v>58.33</v>
      </c>
      <c r="H24" s="7">
        <f>'[10]Aug Prod'!F23</f>
        <v>0</v>
      </c>
      <c r="I24" s="8">
        <f t="shared" si="5"/>
        <v>0</v>
      </c>
      <c r="J24" s="10">
        <f t="shared" si="6"/>
        <v>0</v>
      </c>
      <c r="K24" s="7">
        <f>'[10]Aug Prod'!H278</f>
        <v>109769</v>
      </c>
      <c r="L24" s="8">
        <f t="shared" si="7"/>
        <v>0.10976900000000001</v>
      </c>
      <c r="M24" s="10">
        <f t="shared" si="8"/>
        <v>0.33699083000000002</v>
      </c>
      <c r="N24" s="28"/>
      <c r="O24" s="7">
        <f>'[10]Aug Prod'!H23</f>
        <v>11574999.999999996</v>
      </c>
      <c r="P24" s="8">
        <f t="shared" si="9"/>
        <v>11.574999999999996</v>
      </c>
      <c r="Q24" s="10">
        <f t="shared" si="10"/>
        <v>35.535249999999984</v>
      </c>
      <c r="R24" s="7">
        <f>'[10]Aug Prod'!C23</f>
        <v>11970000</v>
      </c>
      <c r="S24" s="8">
        <f t="shared" si="11"/>
        <v>11.97</v>
      </c>
      <c r="T24" s="10">
        <f t="shared" si="12"/>
        <v>36.747900000000001</v>
      </c>
      <c r="U24" s="7">
        <f>'[10]Aug Prod'!D23</f>
        <v>0</v>
      </c>
      <c r="V24" s="8">
        <f t="shared" si="13"/>
        <v>0</v>
      </c>
      <c r="W24" s="10">
        <f t="shared" si="14"/>
        <v>0</v>
      </c>
      <c r="X24" s="7">
        <f>'[10]Aug Prod'!D278</f>
        <v>395000.00000000314</v>
      </c>
      <c r="Y24" s="8">
        <f t="shared" si="15"/>
        <v>0.39500000000000313</v>
      </c>
      <c r="Z24" s="10">
        <f t="shared" si="16"/>
        <v>1.2126500000000096</v>
      </c>
      <c r="AA24" s="22"/>
      <c r="AB24" s="7">
        <f>'[10]Aug Prod'!G23</f>
        <v>0</v>
      </c>
      <c r="AC24" s="8">
        <f t="shared" si="17"/>
        <v>0</v>
      </c>
      <c r="AD24" s="10">
        <f t="shared" si="18"/>
        <v>0</v>
      </c>
      <c r="AF24" s="7">
        <f t="shared" si="19"/>
        <v>30774999.999999814</v>
      </c>
      <c r="AG24" s="8">
        <f t="shared" si="19"/>
        <v>30.774999999999814</v>
      </c>
      <c r="AH24" s="8">
        <f>D24+Q24</f>
        <v>94.479249999999425</v>
      </c>
      <c r="AJ24" s="8">
        <f t="shared" si="20"/>
        <v>8.2156503822261584E-15</v>
      </c>
    </row>
    <row r="25" spans="1:36" x14ac:dyDescent="0.15">
      <c r="A25" s="37">
        <v>38585</v>
      </c>
      <c r="B25" s="7">
        <f>'[10]Aug Prod'!I24</f>
        <v>22600000.000000365</v>
      </c>
      <c r="C25" s="8">
        <f t="shared" si="1"/>
        <v>22.600000000000364</v>
      </c>
      <c r="D25" s="10">
        <f t="shared" si="2"/>
        <v>69.382000000001113</v>
      </c>
      <c r="E25" s="7">
        <f>'[10]Aug Prod'!E24</f>
        <v>23000000</v>
      </c>
      <c r="F25" s="8">
        <f t="shared" si="3"/>
        <v>23</v>
      </c>
      <c r="G25" s="10">
        <f t="shared" si="4"/>
        <v>70.61</v>
      </c>
      <c r="H25" s="7">
        <f>'[10]Aug Prod'!F24</f>
        <v>0</v>
      </c>
      <c r="I25" s="8">
        <f t="shared" si="5"/>
        <v>0</v>
      </c>
      <c r="J25" s="10">
        <f t="shared" si="6"/>
        <v>0</v>
      </c>
      <c r="K25" s="7">
        <f>'[10]Aug Prod'!H279</f>
        <v>755195</v>
      </c>
      <c r="L25" s="8">
        <f t="shared" si="7"/>
        <v>0.75519499999999995</v>
      </c>
      <c r="M25" s="10">
        <f t="shared" si="8"/>
        <v>2.3184486499999997</v>
      </c>
      <c r="N25" s="28"/>
      <c r="O25" s="7">
        <f>'[10]Aug Prod'!H24</f>
        <v>11914000</v>
      </c>
      <c r="P25" s="8">
        <f t="shared" si="9"/>
        <v>11.914</v>
      </c>
      <c r="Q25" s="10">
        <f t="shared" si="10"/>
        <v>36.575979999999994</v>
      </c>
      <c r="R25" s="7">
        <f>'[10]Aug Prod'!C24</f>
        <v>12343000</v>
      </c>
      <c r="S25" s="8">
        <f t="shared" si="11"/>
        <v>12.343</v>
      </c>
      <c r="T25" s="10">
        <f t="shared" si="12"/>
        <v>37.893009999999997</v>
      </c>
      <c r="U25" s="7">
        <f>'[10]Aug Prod'!D24</f>
        <v>0</v>
      </c>
      <c r="V25" s="8">
        <f t="shared" si="13"/>
        <v>0</v>
      </c>
      <c r="W25" s="10">
        <f t="shared" si="14"/>
        <v>0</v>
      </c>
      <c r="X25" s="7">
        <f>'[10]Aug Prod'!D279</f>
        <v>457000.00000000076</v>
      </c>
      <c r="Y25" s="8">
        <f t="shared" si="15"/>
        <v>0.45700000000000074</v>
      </c>
      <c r="Z25" s="10">
        <f t="shared" si="16"/>
        <v>1.4029900000000022</v>
      </c>
      <c r="AA25" s="22"/>
      <c r="AB25" s="7">
        <f>'[10]Aug Prod'!G24</f>
        <v>0</v>
      </c>
      <c r="AC25" s="8">
        <f t="shared" si="17"/>
        <v>0</v>
      </c>
      <c r="AD25" s="10">
        <f t="shared" si="18"/>
        <v>0</v>
      </c>
      <c r="AF25" s="7">
        <f t="shared" si="19"/>
        <v>34514000.000000365</v>
      </c>
      <c r="AG25" s="8">
        <f t="shared" si="19"/>
        <v>34.514000000000365</v>
      </c>
      <c r="AH25" s="8">
        <f t="shared" si="19"/>
        <v>105.9579800000011</v>
      </c>
      <c r="AJ25" s="8">
        <f t="shared" si="20"/>
        <v>-8.5959999999999592E-2</v>
      </c>
    </row>
    <row r="26" spans="1:36" x14ac:dyDescent="0.15">
      <c r="A26" s="37">
        <v>38586</v>
      </c>
      <c r="B26" s="7">
        <f>'[10]Aug Prod'!I25</f>
        <v>23800000.000000183</v>
      </c>
      <c r="C26" s="8">
        <f t="shared" si="1"/>
        <v>23.800000000000182</v>
      </c>
      <c r="D26" s="10">
        <f t="shared" si="2"/>
        <v>73.066000000000557</v>
      </c>
      <c r="E26" s="7">
        <f>'[10]Aug Prod'!E25</f>
        <v>24000000</v>
      </c>
      <c r="F26" s="8">
        <f t="shared" si="3"/>
        <v>24</v>
      </c>
      <c r="G26" s="10">
        <f t="shared" si="4"/>
        <v>73.679999999999993</v>
      </c>
      <c r="H26" s="7">
        <f>'[10]Aug Prod'!F25</f>
        <v>0</v>
      </c>
      <c r="I26" s="8">
        <f t="shared" si="5"/>
        <v>0</v>
      </c>
      <c r="J26" s="10">
        <f t="shared" si="6"/>
        <v>0</v>
      </c>
      <c r="K26" s="7">
        <f>'[10]Aug Prod'!H280</f>
        <v>797721</v>
      </c>
      <c r="L26" s="8">
        <f t="shared" si="7"/>
        <v>0.79772100000000001</v>
      </c>
      <c r="M26" s="10">
        <f t="shared" si="8"/>
        <v>2.4490034700000001</v>
      </c>
      <c r="N26" s="28"/>
      <c r="O26" s="7">
        <f>'[10]Aug Prod'!H25</f>
        <v>11419000.000000006</v>
      </c>
      <c r="P26" s="8">
        <f t="shared" si="9"/>
        <v>11.419000000000006</v>
      </c>
      <c r="Q26" s="10">
        <f t="shared" si="10"/>
        <v>35.056330000000017</v>
      </c>
      <c r="R26" s="7">
        <f>'[10]Aug Prod'!C25</f>
        <v>12019000</v>
      </c>
      <c r="S26" s="8">
        <f t="shared" si="11"/>
        <v>12.019</v>
      </c>
      <c r="T26" s="10">
        <f t="shared" si="12"/>
        <v>36.898330000000001</v>
      </c>
      <c r="U26" s="7">
        <f>'[10]Aug Prod'!D25</f>
        <v>0</v>
      </c>
      <c r="V26" s="8">
        <f t="shared" si="13"/>
        <v>0</v>
      </c>
      <c r="W26" s="10">
        <f t="shared" si="14"/>
        <v>0</v>
      </c>
      <c r="X26" s="7">
        <f>'[10]Aug Prod'!D280</f>
        <v>599999.9999999943</v>
      </c>
      <c r="Y26" s="8">
        <f t="shared" si="15"/>
        <v>0.59999999999999432</v>
      </c>
      <c r="Z26" s="10">
        <f t="shared" si="16"/>
        <v>1.8419999999999825</v>
      </c>
      <c r="AA26" s="22"/>
      <c r="AB26" s="7">
        <f>'[10]Aug Prod'!G25</f>
        <v>0</v>
      </c>
      <c r="AC26" s="8">
        <f t="shared" si="17"/>
        <v>0</v>
      </c>
      <c r="AD26" s="10">
        <f t="shared" si="18"/>
        <v>0</v>
      </c>
      <c r="AF26" s="7">
        <f t="shared" si="19"/>
        <v>35219000.000000186</v>
      </c>
      <c r="AG26" s="8">
        <f t="shared" si="19"/>
        <v>35.219000000000186</v>
      </c>
      <c r="AH26" s="8">
        <f t="shared" si="19"/>
        <v>108.12233000000057</v>
      </c>
      <c r="AJ26" s="8">
        <f t="shared" si="20"/>
        <v>1.9984014443252818E-15</v>
      </c>
    </row>
    <row r="27" spans="1:36" x14ac:dyDescent="0.15">
      <c r="A27" s="37">
        <v>38587</v>
      </c>
      <c r="B27" s="7">
        <f>'[10]Aug Prod'!I26</f>
        <v>25500000</v>
      </c>
      <c r="C27" s="8">
        <f t="shared" si="1"/>
        <v>25.5</v>
      </c>
      <c r="D27" s="10">
        <f t="shared" si="2"/>
        <v>78.284999999999997</v>
      </c>
      <c r="E27" s="7">
        <f>'[10]Aug Prod'!E26</f>
        <v>26000000</v>
      </c>
      <c r="F27" s="8">
        <f t="shared" si="3"/>
        <v>26</v>
      </c>
      <c r="G27" s="10">
        <f t="shared" si="4"/>
        <v>79.819999999999993</v>
      </c>
      <c r="H27" s="7">
        <f>'[10]Aug Prod'!F26</f>
        <v>0</v>
      </c>
      <c r="I27" s="8">
        <f t="shared" si="5"/>
        <v>0</v>
      </c>
      <c r="J27" s="10">
        <f t="shared" si="6"/>
        <v>0</v>
      </c>
      <c r="K27" s="7">
        <f>'[10]Aug Prod'!H281</f>
        <v>770030</v>
      </c>
      <c r="L27" s="8">
        <f t="shared" si="7"/>
        <v>0.77002999999999999</v>
      </c>
      <c r="M27" s="10">
        <f t="shared" si="8"/>
        <v>2.3639920999999999</v>
      </c>
      <c r="N27" s="28"/>
      <c r="O27" s="7">
        <f>'[10]Aug Prod'!H26</f>
        <v>11065999.999999998</v>
      </c>
      <c r="P27" s="8">
        <f t="shared" si="9"/>
        <v>11.065999999999999</v>
      </c>
      <c r="Q27" s="10">
        <f t="shared" si="10"/>
        <v>33.972619999999992</v>
      </c>
      <c r="R27" s="7">
        <f>'[10]Aug Prod'!C26</f>
        <v>11358000</v>
      </c>
      <c r="S27" s="8">
        <f t="shared" si="11"/>
        <v>11.358000000000001</v>
      </c>
      <c r="T27" s="10">
        <f t="shared" si="12"/>
        <v>34.869059999999998</v>
      </c>
      <c r="U27" s="7">
        <f>'[10]Aug Prod'!D26</f>
        <v>0</v>
      </c>
      <c r="V27" s="8">
        <f t="shared" si="13"/>
        <v>0</v>
      </c>
      <c r="W27" s="10">
        <f t="shared" si="14"/>
        <v>0</v>
      </c>
      <c r="X27" s="7">
        <f>'[10]Aug Prod'!D281</f>
        <v>292000.00000000157</v>
      </c>
      <c r="Y27" s="8">
        <f t="shared" si="15"/>
        <v>0.29200000000000159</v>
      </c>
      <c r="Z27" s="10">
        <f t="shared" si="16"/>
        <v>0.89644000000000479</v>
      </c>
      <c r="AA27" s="22"/>
      <c r="AB27" s="7">
        <f>'[10]Aug Prod'!G26</f>
        <v>0</v>
      </c>
      <c r="AC27" s="8">
        <f t="shared" si="17"/>
        <v>0</v>
      </c>
      <c r="AD27" s="10">
        <f t="shared" si="18"/>
        <v>0</v>
      </c>
      <c r="AF27" s="7">
        <f t="shared" si="19"/>
        <v>36566000</v>
      </c>
      <c r="AG27" s="8">
        <f t="shared" si="19"/>
        <v>36.566000000000003</v>
      </c>
      <c r="AH27" s="8">
        <f t="shared" si="19"/>
        <v>112.25761999999999</v>
      </c>
      <c r="AJ27" s="8">
        <f t="shared" si="20"/>
        <v>0</v>
      </c>
    </row>
    <row r="28" spans="1:36" x14ac:dyDescent="0.15">
      <c r="A28" s="37">
        <v>38588</v>
      </c>
      <c r="B28" s="7">
        <f>'[10]Aug Prod'!I27</f>
        <v>19899999.999999635</v>
      </c>
      <c r="C28" s="8">
        <f t="shared" si="1"/>
        <v>19.899999999999636</v>
      </c>
      <c r="D28" s="10">
        <f t="shared" si="2"/>
        <v>61.092999999998881</v>
      </c>
      <c r="E28" s="7">
        <f>'[10]Aug Prod'!E27</f>
        <v>20000000</v>
      </c>
      <c r="F28" s="8">
        <f t="shared" si="3"/>
        <v>20</v>
      </c>
      <c r="G28" s="10">
        <f t="shared" si="4"/>
        <v>61.4</v>
      </c>
      <c r="H28" s="7">
        <f>'[10]Aug Prod'!F27</f>
        <v>0</v>
      </c>
      <c r="I28" s="8">
        <f t="shared" si="5"/>
        <v>0</v>
      </c>
      <c r="J28" s="10">
        <f t="shared" si="6"/>
        <v>0</v>
      </c>
      <c r="K28" s="7">
        <f>'[10]Aug Prod'!H282</f>
        <v>635185</v>
      </c>
      <c r="L28" s="8">
        <f t="shared" si="7"/>
        <v>0.635185</v>
      </c>
      <c r="M28" s="10">
        <f t="shared" si="8"/>
        <v>1.9500179499999999</v>
      </c>
      <c r="N28" s="28"/>
      <c r="O28" s="7">
        <f>'[10]Aug Prod'!H27</f>
        <v>8790000</v>
      </c>
      <c r="P28" s="8">
        <f t="shared" si="9"/>
        <v>8.7899999999999991</v>
      </c>
      <c r="Q28" s="10">
        <f t="shared" si="10"/>
        <v>26.985299999999995</v>
      </c>
      <c r="R28" s="7">
        <f>'[10]Aug Prod'!C27</f>
        <v>9171000</v>
      </c>
      <c r="S28" s="8">
        <f t="shared" si="11"/>
        <v>9.1709999999999994</v>
      </c>
      <c r="T28" s="10">
        <f t="shared" si="12"/>
        <v>28.154969999999995</v>
      </c>
      <c r="U28" s="7">
        <f>'[10]Aug Prod'!D27</f>
        <v>0</v>
      </c>
      <c r="V28" s="8">
        <f t="shared" si="13"/>
        <v>0</v>
      </c>
      <c r="W28" s="10">
        <f t="shared" si="14"/>
        <v>0</v>
      </c>
      <c r="X28" s="7">
        <f>'[10]Aug Prod'!D282</f>
        <v>381000.00000000023</v>
      </c>
      <c r="Y28" s="8">
        <f t="shared" si="15"/>
        <v>0.38100000000000023</v>
      </c>
      <c r="Z28" s="10">
        <f t="shared" si="16"/>
        <v>1.1696700000000007</v>
      </c>
      <c r="AA28" s="22"/>
      <c r="AB28" s="7">
        <f>'[10]Aug Prod'!G27</f>
        <v>0</v>
      </c>
      <c r="AC28" s="8">
        <f t="shared" si="17"/>
        <v>0</v>
      </c>
      <c r="AD28" s="10">
        <f t="shared" si="18"/>
        <v>0</v>
      </c>
      <c r="AF28" s="7">
        <f t="shared" si="19"/>
        <v>28689999.999999635</v>
      </c>
      <c r="AG28" s="8">
        <f t="shared" si="19"/>
        <v>28.689999999999635</v>
      </c>
      <c r="AH28" s="8">
        <f t="shared" si="19"/>
        <v>88.078299999998876</v>
      </c>
      <c r="AJ28" s="8">
        <f t="shared" si="20"/>
        <v>0</v>
      </c>
    </row>
    <row r="29" spans="1:36" x14ac:dyDescent="0.15">
      <c r="A29" s="37">
        <v>38589</v>
      </c>
      <c r="B29" s="7">
        <f>'[10]Aug Prod'!I28</f>
        <v>23899999.999999635</v>
      </c>
      <c r="C29" s="8">
        <f t="shared" si="1"/>
        <v>23.899999999999636</v>
      </c>
      <c r="D29" s="10">
        <f t="shared" si="2"/>
        <v>73.372999999998882</v>
      </c>
      <c r="E29" s="7">
        <f>'[10]Aug Prod'!E28</f>
        <v>25000000</v>
      </c>
      <c r="F29" s="8">
        <f t="shared" si="3"/>
        <v>25</v>
      </c>
      <c r="G29" s="10">
        <f t="shared" si="4"/>
        <v>76.75</v>
      </c>
      <c r="H29" s="7">
        <f>'[10]Aug Prod'!F28</f>
        <v>0</v>
      </c>
      <c r="I29" s="8">
        <f t="shared" si="5"/>
        <v>0</v>
      </c>
      <c r="J29" s="10">
        <f t="shared" si="6"/>
        <v>0</v>
      </c>
      <c r="K29" s="7">
        <f>'[10]Aug Prod'!H283</f>
        <v>97479</v>
      </c>
      <c r="L29" s="8">
        <f t="shared" si="7"/>
        <v>9.7478999999999996E-2</v>
      </c>
      <c r="M29" s="10">
        <f t="shared" si="8"/>
        <v>0.29926052999999997</v>
      </c>
      <c r="N29" s="28"/>
      <c r="O29" s="7">
        <f>'[10]Aug Prod'!H28</f>
        <v>9670999.9999999963</v>
      </c>
      <c r="P29" s="8">
        <f t="shared" si="9"/>
        <v>9.6709999999999958</v>
      </c>
      <c r="Q29" s="10">
        <f t="shared" si="10"/>
        <v>29.689969999999985</v>
      </c>
      <c r="R29" s="7">
        <f>'[10]Aug Prod'!C28</f>
        <v>10322000</v>
      </c>
      <c r="S29" s="8">
        <f t="shared" si="11"/>
        <v>10.321999999999999</v>
      </c>
      <c r="T29" s="10">
        <f t="shared" si="12"/>
        <v>31.688539999999996</v>
      </c>
      <c r="U29" s="7">
        <f>'[10]Aug Prod'!D28</f>
        <v>0</v>
      </c>
      <c r="V29" s="8">
        <f t="shared" si="13"/>
        <v>0</v>
      </c>
      <c r="W29" s="10">
        <f t="shared" si="14"/>
        <v>0</v>
      </c>
      <c r="X29" s="7">
        <f>'[10]Aug Prod'!D283</f>
        <v>651000.00000000338</v>
      </c>
      <c r="Y29" s="8">
        <f t="shared" si="15"/>
        <v>0.65100000000000335</v>
      </c>
      <c r="Z29" s="10">
        <f t="shared" si="16"/>
        <v>1.9985700000000102</v>
      </c>
      <c r="AA29" s="22"/>
      <c r="AB29" s="7">
        <f>'[10]Aug Prod'!G28</f>
        <v>0</v>
      </c>
      <c r="AC29" s="8">
        <f t="shared" si="17"/>
        <v>0</v>
      </c>
      <c r="AD29" s="10">
        <f t="shared" si="18"/>
        <v>0</v>
      </c>
      <c r="AF29" s="7">
        <f t="shared" si="19"/>
        <v>33570999.999999627</v>
      </c>
      <c r="AG29" s="8">
        <f t="shared" si="19"/>
        <v>33.570999999999628</v>
      </c>
      <c r="AH29" s="8">
        <f t="shared" si="19"/>
        <v>103.06296999999887</v>
      </c>
      <c r="AJ29" s="8">
        <f t="shared" si="20"/>
        <v>0</v>
      </c>
    </row>
    <row r="30" spans="1:36" x14ac:dyDescent="0.15">
      <c r="A30" s="37">
        <v>38590</v>
      </c>
      <c r="B30" s="7">
        <f>'[10]Aug Prod'!I29</f>
        <v>22100000.000000365</v>
      </c>
      <c r="C30" s="8">
        <f t="shared" si="1"/>
        <v>22.100000000000364</v>
      </c>
      <c r="D30" s="10">
        <f t="shared" si="2"/>
        <v>67.847000000001117</v>
      </c>
      <c r="E30" s="7">
        <f>'[10]Aug Prod'!E29</f>
        <v>22000000</v>
      </c>
      <c r="F30" s="8">
        <f t="shared" si="3"/>
        <v>22</v>
      </c>
      <c r="G30" s="10">
        <f t="shared" si="4"/>
        <v>67.539999999999992</v>
      </c>
      <c r="H30" s="7">
        <f>'[10]Aug Prod'!F29</f>
        <v>0</v>
      </c>
      <c r="I30" s="8">
        <f t="shared" si="5"/>
        <v>0</v>
      </c>
      <c r="J30" s="10">
        <f t="shared" si="6"/>
        <v>0</v>
      </c>
      <c r="K30" s="7">
        <f>'[10]Aug Prod'!H284</f>
        <v>80150</v>
      </c>
      <c r="L30" s="8">
        <f t="shared" si="7"/>
        <v>8.0149999999999999E-2</v>
      </c>
      <c r="M30" s="10">
        <f t="shared" si="8"/>
        <v>0.24606049999999999</v>
      </c>
      <c r="N30" s="28"/>
      <c r="O30" s="7">
        <f>'[10]Aug Prod'!H29</f>
        <v>10483000</v>
      </c>
      <c r="P30" s="8">
        <f t="shared" si="9"/>
        <v>10.483000000000001</v>
      </c>
      <c r="Q30" s="10">
        <f t="shared" si="10"/>
        <v>32.182810000000003</v>
      </c>
      <c r="R30" s="7">
        <f>'[10]Aug Prod'!C29</f>
        <v>11032000</v>
      </c>
      <c r="S30" s="8">
        <f t="shared" si="11"/>
        <v>11.032</v>
      </c>
      <c r="T30" s="10">
        <f t="shared" si="12"/>
        <v>33.86824</v>
      </c>
      <c r="U30" s="7">
        <f>'[10]Aug Prod'!D29</f>
        <v>0</v>
      </c>
      <c r="V30" s="8">
        <f t="shared" si="13"/>
        <v>0</v>
      </c>
      <c r="W30" s="10">
        <f t="shared" si="14"/>
        <v>0</v>
      </c>
      <c r="X30" s="7">
        <f>'[10]Aug Prod'!D284</f>
        <v>548999.99999999953</v>
      </c>
      <c r="Y30" s="8">
        <f t="shared" si="15"/>
        <v>0.54899999999999949</v>
      </c>
      <c r="Z30" s="10">
        <f t="shared" si="16"/>
        <v>1.6854299999999984</v>
      </c>
      <c r="AA30" s="22"/>
      <c r="AB30" s="7">
        <f>'[10]Aug Prod'!G29</f>
        <v>0</v>
      </c>
      <c r="AC30" s="8">
        <f t="shared" si="17"/>
        <v>0</v>
      </c>
      <c r="AD30" s="10">
        <f t="shared" si="18"/>
        <v>0</v>
      </c>
      <c r="AF30" s="7">
        <f t="shared" si="19"/>
        <v>32583000.000000365</v>
      </c>
      <c r="AG30" s="8">
        <f t="shared" si="19"/>
        <v>32.583000000000368</v>
      </c>
      <c r="AH30" s="8">
        <f>D30+Q30</f>
        <v>100.02981000000112</v>
      </c>
      <c r="AJ30" s="8">
        <f t="shared" si="20"/>
        <v>-1.7763568394002505E-15</v>
      </c>
    </row>
    <row r="31" spans="1:36" x14ac:dyDescent="0.15">
      <c r="A31" s="37">
        <v>38591</v>
      </c>
      <c r="B31" s="7">
        <f>'[10]Aug Prod'!I30</f>
        <v>24199999.999999817</v>
      </c>
      <c r="C31" s="8">
        <f t="shared" si="1"/>
        <v>24.199999999999818</v>
      </c>
      <c r="D31" s="10">
        <f t="shared" si="2"/>
        <v>74.293999999999443</v>
      </c>
      <c r="E31" s="7">
        <f>'[10]Aug Prod'!E30</f>
        <v>25000000</v>
      </c>
      <c r="F31" s="8">
        <f t="shared" si="3"/>
        <v>25</v>
      </c>
      <c r="G31" s="10">
        <f t="shared" si="4"/>
        <v>76.75</v>
      </c>
      <c r="H31" s="7">
        <f>'[10]Aug Prod'!F30</f>
        <v>0</v>
      </c>
      <c r="I31" s="8">
        <f t="shared" si="5"/>
        <v>0</v>
      </c>
      <c r="J31" s="10">
        <f t="shared" si="6"/>
        <v>0</v>
      </c>
      <c r="K31" s="7">
        <f>'[10]Aug Prod'!H285</f>
        <v>855473</v>
      </c>
      <c r="L31" s="8">
        <f t="shared" si="7"/>
        <v>0.85547300000000004</v>
      </c>
      <c r="M31" s="10">
        <f t="shared" si="8"/>
        <v>2.6263021100000001</v>
      </c>
      <c r="N31" s="28"/>
      <c r="O31" s="7">
        <f>'[10]Aug Prod'!H30</f>
        <v>11699000</v>
      </c>
      <c r="P31" s="8">
        <f t="shared" si="9"/>
        <v>11.699</v>
      </c>
      <c r="Q31" s="10">
        <f t="shared" si="10"/>
        <v>35.915929999999996</v>
      </c>
      <c r="R31" s="7">
        <f>'[10]Aug Prod'!C30</f>
        <v>12159000</v>
      </c>
      <c r="S31" s="8">
        <f t="shared" si="11"/>
        <v>12.159000000000001</v>
      </c>
      <c r="T31" s="10">
        <f t="shared" si="12"/>
        <v>37.328130000000002</v>
      </c>
      <c r="U31" s="7">
        <f>'[10]Aug Prod'!D30</f>
        <v>0</v>
      </c>
      <c r="V31" s="8">
        <f t="shared" si="13"/>
        <v>0</v>
      </c>
      <c r="W31" s="10">
        <f t="shared" si="14"/>
        <v>0</v>
      </c>
      <c r="X31" s="7">
        <f>'[10]Aug Prod'!D285</f>
        <v>460000.00000000087</v>
      </c>
      <c r="Y31" s="8">
        <f t="shared" si="15"/>
        <v>0.46000000000000085</v>
      </c>
      <c r="Z31" s="10">
        <f t="shared" si="16"/>
        <v>1.4122000000000026</v>
      </c>
      <c r="AA31" s="22"/>
      <c r="AB31" s="7">
        <f>'[10]Aug Prod'!G30</f>
        <v>0</v>
      </c>
      <c r="AC31" s="8">
        <f t="shared" si="17"/>
        <v>0</v>
      </c>
      <c r="AD31" s="10">
        <f t="shared" si="18"/>
        <v>0</v>
      </c>
      <c r="AF31" s="7">
        <f t="shared" si="19"/>
        <v>35898999.999999821</v>
      </c>
      <c r="AG31" s="8">
        <f t="shared" si="19"/>
        <v>35.898999999999816</v>
      </c>
      <c r="AH31" s="8">
        <f t="shared" si="19"/>
        <v>110.20992999999945</v>
      </c>
      <c r="AJ31" s="8">
        <f t="shared" si="20"/>
        <v>3.1086244689504383E-15</v>
      </c>
    </row>
    <row r="32" spans="1:36" x14ac:dyDescent="0.15">
      <c r="A32" s="37">
        <v>38592</v>
      </c>
      <c r="B32" s="7">
        <f>'[10]Aug Prod'!I31</f>
        <v>24600000.000000365</v>
      </c>
      <c r="C32" s="8">
        <f t="shared" si="1"/>
        <v>24.600000000000364</v>
      </c>
      <c r="D32" s="10">
        <f t="shared" si="2"/>
        <v>75.522000000001114</v>
      </c>
      <c r="E32" s="7">
        <f>'[10]Aug Prod'!E31</f>
        <v>26000000</v>
      </c>
      <c r="F32" s="8">
        <f t="shared" si="3"/>
        <v>26</v>
      </c>
      <c r="G32" s="10">
        <f t="shared" si="4"/>
        <v>79.819999999999993</v>
      </c>
      <c r="H32" s="7">
        <f>'[10]Aug Prod'!F31</f>
        <v>0</v>
      </c>
      <c r="I32" s="8">
        <f t="shared" si="5"/>
        <v>0</v>
      </c>
      <c r="J32" s="10">
        <f t="shared" si="6"/>
        <v>0</v>
      </c>
      <c r="K32" s="7">
        <f>'[10]Aug Prod'!H286</f>
        <v>1161726</v>
      </c>
      <c r="L32" s="8">
        <f t="shared" si="7"/>
        <v>1.161726</v>
      </c>
      <c r="M32" s="10">
        <f t="shared" si="8"/>
        <v>3.5664988200000001</v>
      </c>
      <c r="N32" s="28"/>
      <c r="O32" s="7">
        <f>'[10]Aug Prod'!H31</f>
        <v>11678000</v>
      </c>
      <c r="P32" s="8">
        <f t="shared" si="9"/>
        <v>11.678000000000001</v>
      </c>
      <c r="Q32" s="10">
        <f t="shared" si="10"/>
        <v>35.851460000000003</v>
      </c>
      <c r="R32" s="7">
        <f>'[10]Aug Prod'!C31</f>
        <v>12135000</v>
      </c>
      <c r="S32" s="8">
        <f t="shared" si="11"/>
        <v>12.135</v>
      </c>
      <c r="T32" s="10">
        <f t="shared" si="12"/>
        <v>37.254449999999999</v>
      </c>
      <c r="U32" s="7">
        <f>'[10]Aug Prod'!D31</f>
        <v>0</v>
      </c>
      <c r="V32" s="8">
        <f t="shared" si="13"/>
        <v>0</v>
      </c>
      <c r="W32" s="10">
        <f t="shared" si="14"/>
        <v>0</v>
      </c>
      <c r="X32" s="7">
        <f>'[10]Aug Prod'!D286</f>
        <v>457000.00000000076</v>
      </c>
      <c r="Y32" s="8">
        <f t="shared" si="15"/>
        <v>0.45700000000000074</v>
      </c>
      <c r="Z32" s="10">
        <f t="shared" si="16"/>
        <v>1.4029900000000022</v>
      </c>
      <c r="AA32" s="22"/>
      <c r="AB32" s="7">
        <f>'[10]Aug Prod'!G31</f>
        <v>0</v>
      </c>
      <c r="AC32" s="8">
        <f t="shared" si="17"/>
        <v>0</v>
      </c>
      <c r="AD32" s="10">
        <f t="shared" si="18"/>
        <v>0</v>
      </c>
      <c r="AF32" s="7">
        <f t="shared" si="19"/>
        <v>36278000.000000365</v>
      </c>
      <c r="AG32" s="8">
        <f t="shared" si="19"/>
        <v>36.278000000000361</v>
      </c>
      <c r="AH32" s="8">
        <f t="shared" si="19"/>
        <v>111.37346000000112</v>
      </c>
      <c r="AJ32" s="8">
        <f t="shared" si="20"/>
        <v>-6.6613381477509392E-15</v>
      </c>
    </row>
    <row r="33" spans="1:36" x14ac:dyDescent="0.15">
      <c r="A33" s="37">
        <v>38593</v>
      </c>
      <c r="B33" s="7">
        <f>'[10]Aug Prod'!I32</f>
        <v>26500000</v>
      </c>
      <c r="C33" s="8">
        <f t="shared" si="1"/>
        <v>26.5</v>
      </c>
      <c r="D33" s="10">
        <f t="shared" si="2"/>
        <v>81.35499999999999</v>
      </c>
      <c r="E33" s="7">
        <f>'[10]Aug Prod'!E32</f>
        <v>27000000</v>
      </c>
      <c r="F33" s="8">
        <f t="shared" si="3"/>
        <v>27</v>
      </c>
      <c r="G33" s="10">
        <f t="shared" si="4"/>
        <v>82.89</v>
      </c>
      <c r="H33" s="7">
        <f>'[10]Aug Prod'!F32</f>
        <v>0</v>
      </c>
      <c r="I33" s="8">
        <f t="shared" si="5"/>
        <v>0</v>
      </c>
      <c r="J33" s="10">
        <f t="shared" si="6"/>
        <v>0</v>
      </c>
      <c r="K33" s="7">
        <f>'[10]Aug Prod'!H287</f>
        <v>1017195</v>
      </c>
      <c r="L33" s="8">
        <f t="shared" si="7"/>
        <v>1.0171950000000001</v>
      </c>
      <c r="M33" s="10">
        <f t="shared" si="8"/>
        <v>3.1227886499999999</v>
      </c>
      <c r="N33" s="28"/>
      <c r="O33" s="7">
        <f>'[10]Aug Prod'!H32</f>
        <v>10536000.000000004</v>
      </c>
      <c r="P33" s="8">
        <f t="shared" si="9"/>
        <v>10.536000000000003</v>
      </c>
      <c r="Q33" s="10">
        <f t="shared" si="10"/>
        <v>32.345520000000008</v>
      </c>
      <c r="R33" s="7">
        <f>'[10]Aug Prod'!C32</f>
        <v>10992000</v>
      </c>
      <c r="S33" s="8">
        <f t="shared" si="11"/>
        <v>10.992000000000001</v>
      </c>
      <c r="T33" s="10">
        <f t="shared" si="12"/>
        <v>33.745440000000002</v>
      </c>
      <c r="U33" s="7">
        <f>'[10]Aug Prod'!D32</f>
        <v>0</v>
      </c>
      <c r="V33" s="8">
        <f t="shared" si="13"/>
        <v>0</v>
      </c>
      <c r="W33" s="10">
        <f t="shared" si="14"/>
        <v>0</v>
      </c>
      <c r="X33" s="7">
        <f>'[10]Aug Prod'!D287</f>
        <v>455999.99999999598</v>
      </c>
      <c r="Y33" s="8">
        <f t="shared" si="15"/>
        <v>0.45599999999999596</v>
      </c>
      <c r="Z33" s="10">
        <f t="shared" si="16"/>
        <v>1.3999199999999876</v>
      </c>
      <c r="AA33" s="22"/>
      <c r="AB33" s="7">
        <f>'[10]Aug Prod'!G32</f>
        <v>0</v>
      </c>
      <c r="AC33" s="8">
        <f t="shared" si="17"/>
        <v>0</v>
      </c>
      <c r="AD33" s="10">
        <f t="shared" si="18"/>
        <v>0</v>
      </c>
      <c r="AF33" s="7">
        <f t="shared" si="19"/>
        <v>37036000</v>
      </c>
      <c r="AG33" s="8">
        <f t="shared" si="19"/>
        <v>37.036000000000001</v>
      </c>
      <c r="AH33" s="8">
        <f t="shared" si="19"/>
        <v>113.70052</v>
      </c>
      <c r="AJ33" s="8">
        <f t="shared" si="20"/>
        <v>6.8833827526759706E-15</v>
      </c>
    </row>
    <row r="34" spans="1:36" x14ac:dyDescent="0.15">
      <c r="A34" s="37">
        <v>38594</v>
      </c>
      <c r="B34" s="7">
        <f>'[10]Aug Prod'!I33</f>
        <v>22599999.999999456</v>
      </c>
      <c r="C34" s="8">
        <f t="shared" si="1"/>
        <v>22.599999999999458</v>
      </c>
      <c r="D34" s="10">
        <f t="shared" si="2"/>
        <v>69.381999999998328</v>
      </c>
      <c r="E34" s="7">
        <f>'[10]Aug Prod'!E33</f>
        <v>23000000</v>
      </c>
      <c r="F34" s="8">
        <f t="shared" si="3"/>
        <v>23</v>
      </c>
      <c r="G34" s="10">
        <f t="shared" si="4"/>
        <v>70.61</v>
      </c>
      <c r="H34" s="7">
        <f>'[10]Aug Prod'!F33</f>
        <v>0</v>
      </c>
      <c r="I34" s="8">
        <f t="shared" si="5"/>
        <v>0</v>
      </c>
      <c r="J34" s="10">
        <f t="shared" si="6"/>
        <v>0</v>
      </c>
      <c r="K34" s="7">
        <f>'[10]Aug Prod'!H288</f>
        <v>65098</v>
      </c>
      <c r="L34" s="8">
        <f t="shared" si="7"/>
        <v>6.5098000000000003E-2</v>
      </c>
      <c r="M34" s="10">
        <f t="shared" si="8"/>
        <v>0.19985085999999999</v>
      </c>
      <c r="N34" s="28"/>
      <c r="O34" s="7">
        <f>'[10]Aug Prod'!H33</f>
        <v>9624000</v>
      </c>
      <c r="P34" s="8">
        <f t="shared" si="9"/>
        <v>9.6240000000000006</v>
      </c>
      <c r="Q34" s="10">
        <f t="shared" si="10"/>
        <v>29.545680000000001</v>
      </c>
      <c r="R34" s="7">
        <f>'[10]Aug Prod'!C33</f>
        <v>10133000</v>
      </c>
      <c r="S34" s="8">
        <f t="shared" si="11"/>
        <v>10.132999999999999</v>
      </c>
      <c r="T34" s="10">
        <f t="shared" si="12"/>
        <v>31.108309999999996</v>
      </c>
      <c r="U34" s="7">
        <f>'[10]Aug Prod'!D33</f>
        <v>0</v>
      </c>
      <c r="V34" s="8">
        <f t="shared" si="13"/>
        <v>0</v>
      </c>
      <c r="W34" s="10">
        <f t="shared" si="14"/>
        <v>0</v>
      </c>
      <c r="X34" s="7">
        <f>'[10]Aug Prod'!D288</f>
        <v>509000.00000000035</v>
      </c>
      <c r="Y34" s="8">
        <f t="shared" si="15"/>
        <v>0.50900000000000034</v>
      </c>
      <c r="Z34" s="10">
        <f t="shared" si="16"/>
        <v>1.5626300000000011</v>
      </c>
      <c r="AA34" s="22"/>
      <c r="AB34" s="7">
        <f>'[10]Aug Prod'!G33</f>
        <v>0</v>
      </c>
      <c r="AC34" s="8">
        <f t="shared" si="17"/>
        <v>0</v>
      </c>
      <c r="AD34" s="10">
        <f t="shared" si="18"/>
        <v>0</v>
      </c>
      <c r="AF34" s="7">
        <f t="shared" si="19"/>
        <v>32223999.999999456</v>
      </c>
      <c r="AG34" s="8">
        <f t="shared" si="19"/>
        <v>32.223999999999457</v>
      </c>
      <c r="AH34" s="8">
        <f t="shared" si="19"/>
        <v>98.927679999998333</v>
      </c>
      <c r="AJ34" s="8">
        <f t="shared" si="20"/>
        <v>-5.9952043329758453E-15</v>
      </c>
    </row>
    <row r="35" spans="1:36" x14ac:dyDescent="0.15">
      <c r="A35" s="37">
        <v>38595</v>
      </c>
      <c r="B35" s="7">
        <f>'[10]Aug Prod'!I34</f>
        <v>27200000.000000726</v>
      </c>
      <c r="C35" s="9">
        <f t="shared" si="1"/>
        <v>27.200000000000728</v>
      </c>
      <c r="D35" s="11">
        <f t="shared" si="2"/>
        <v>83.504000000002236</v>
      </c>
      <c r="E35" s="39">
        <f>'[10]Aug Prod'!E34</f>
        <v>28000000</v>
      </c>
      <c r="F35" s="9">
        <f t="shared" si="3"/>
        <v>28</v>
      </c>
      <c r="G35" s="11">
        <f t="shared" si="4"/>
        <v>85.96</v>
      </c>
      <c r="H35" s="39">
        <f>'[10]Aug Prod'!F34</f>
        <v>0</v>
      </c>
      <c r="I35" s="9">
        <f t="shared" si="5"/>
        <v>0</v>
      </c>
      <c r="J35" s="11">
        <f t="shared" si="6"/>
        <v>0</v>
      </c>
      <c r="K35" s="7">
        <f>'[10]Aug Prod'!H289</f>
        <v>30121</v>
      </c>
      <c r="L35" s="9">
        <f t="shared" si="7"/>
        <v>3.0120999999999998E-2</v>
      </c>
      <c r="M35" s="11">
        <f t="shared" si="8"/>
        <v>9.2471469999999986E-2</v>
      </c>
      <c r="N35" s="28"/>
      <c r="O35" s="39">
        <f>'[10]Aug Prod'!H34</f>
        <v>8674000.0000000019</v>
      </c>
      <c r="P35" s="9">
        <f t="shared" si="9"/>
        <v>8.6740000000000013</v>
      </c>
      <c r="Q35" s="11">
        <f t="shared" si="10"/>
        <v>26.629180000000002</v>
      </c>
      <c r="R35" s="39">
        <f>'[10]Aug Prod'!C34</f>
        <v>9187000</v>
      </c>
      <c r="S35" s="9">
        <f t="shared" si="11"/>
        <v>9.1869999999999994</v>
      </c>
      <c r="T35" s="11">
        <f t="shared" si="12"/>
        <v>28.204089999999997</v>
      </c>
      <c r="U35" s="39">
        <f>'[10]Aug Prod'!D34</f>
        <v>0</v>
      </c>
      <c r="V35" s="9">
        <f t="shared" si="13"/>
        <v>0</v>
      </c>
      <c r="W35" s="11">
        <f t="shared" si="14"/>
        <v>0</v>
      </c>
      <c r="X35" s="7">
        <f>'[10]Aug Prod'!D289</f>
        <v>512999.99999999814</v>
      </c>
      <c r="Y35" s="9">
        <f t="shared" si="15"/>
        <v>0.51299999999999812</v>
      </c>
      <c r="Z35" s="11">
        <f t="shared" si="16"/>
        <v>1.5749099999999943</v>
      </c>
      <c r="AA35" s="22"/>
      <c r="AB35" s="39">
        <f>'[10]Aug Prod'!G34</f>
        <v>0</v>
      </c>
      <c r="AC35" s="9">
        <f t="shared" si="17"/>
        <v>0</v>
      </c>
      <c r="AD35" s="11">
        <f t="shared" si="18"/>
        <v>0</v>
      </c>
      <c r="AF35" s="7">
        <f t="shared" si="19"/>
        <v>35874000.00000073</v>
      </c>
      <c r="AG35" s="8">
        <f t="shared" si="19"/>
        <v>35.874000000000727</v>
      </c>
      <c r="AH35" s="8">
        <f t="shared" si="19"/>
        <v>110.13318000000224</v>
      </c>
      <c r="AJ35" s="8">
        <f t="shared" si="20"/>
        <v>0</v>
      </c>
    </row>
    <row r="36" spans="1:36" x14ac:dyDescent="0.15">
      <c r="A36" s="21"/>
      <c r="B36" s="32"/>
      <c r="C36" s="40">
        <f>SUM(C5:C35)</f>
        <v>720.80000000000018</v>
      </c>
      <c r="D36" s="32">
        <f t="shared" si="2"/>
        <v>2212.8560000000002</v>
      </c>
      <c r="E36" s="32"/>
      <c r="F36" s="40">
        <f>SUM(F5:F35)</f>
        <v>741</v>
      </c>
      <c r="G36" s="32">
        <f t="shared" si="4"/>
        <v>2274.87</v>
      </c>
      <c r="H36" s="32"/>
      <c r="I36" s="40">
        <f>SUM(I5:I35)</f>
        <v>0</v>
      </c>
      <c r="J36" s="32">
        <f t="shared" si="6"/>
        <v>0</v>
      </c>
      <c r="K36" s="32"/>
      <c r="L36" s="40">
        <f>SUM(L5:L35)</f>
        <v>23.628633000000008</v>
      </c>
      <c r="M36" s="32">
        <f t="shared" si="8"/>
        <v>72.539903310000014</v>
      </c>
      <c r="N36" s="21"/>
      <c r="O36" s="32"/>
      <c r="P36" s="40">
        <f>SUM(P5:P35)</f>
        <v>317.82999999999993</v>
      </c>
      <c r="Q36" s="32">
        <f t="shared" si="10"/>
        <v>975.73809999999969</v>
      </c>
      <c r="R36" s="32"/>
      <c r="S36" s="40">
        <f>SUM(S5:S35)</f>
        <v>332.71699999999998</v>
      </c>
      <c r="T36" s="32">
        <f t="shared" si="12"/>
        <v>1021.4411899999999</v>
      </c>
      <c r="U36" s="32"/>
      <c r="V36" s="40">
        <f>SUM(V5:V35)</f>
        <v>0</v>
      </c>
      <c r="W36" s="32">
        <f t="shared" si="14"/>
        <v>0</v>
      </c>
      <c r="X36" s="32"/>
      <c r="Y36" s="40">
        <f>SUM(Y5:Y35)</f>
        <v>14.914999999999999</v>
      </c>
      <c r="Z36" s="32">
        <f t="shared" si="16"/>
        <v>45.789049999999996</v>
      </c>
      <c r="AA36" s="21"/>
      <c r="AB36" s="32"/>
      <c r="AC36" s="40">
        <f>SUM(AC5:AC35)</f>
        <v>0</v>
      </c>
      <c r="AD36" s="32">
        <f t="shared" si="18"/>
        <v>0</v>
      </c>
      <c r="AF36" s="32"/>
      <c r="AG36" s="40">
        <f>SUM(AG5:AG35)</f>
        <v>1038.6300000000003</v>
      </c>
      <c r="AH36" s="32">
        <f>AG36*3.07</f>
        <v>3188.5941000000007</v>
      </c>
      <c r="AJ36" s="40">
        <f>SUM(AJ5:AJ35)</f>
        <v>-8.595999999998305E-2</v>
      </c>
    </row>
    <row r="37" spans="1:36" x14ac:dyDescent="0.15">
      <c r="C37" s="25"/>
      <c r="E37" s="3"/>
      <c r="F37" s="3"/>
      <c r="G37" s="3"/>
      <c r="H37" s="3"/>
      <c r="I37" s="3"/>
      <c r="J37" s="3"/>
      <c r="K37" s="21"/>
      <c r="L37" s="3"/>
      <c r="M37" s="3"/>
      <c r="N37" s="3"/>
      <c r="O37" s="3"/>
      <c r="P37" s="3"/>
      <c r="Q37" s="3"/>
      <c r="R37" s="3"/>
      <c r="S37" s="3"/>
      <c r="T37" s="3"/>
      <c r="U37" s="21"/>
    </row>
    <row r="38" spans="1:36" x14ac:dyDescent="0.15">
      <c r="G38" s="22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scale="34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J38"/>
  <sheetViews>
    <sheetView workbookViewId="0">
      <pane xSplit="1" ySplit="4" topLeftCell="W18" activePane="bottomRight" state="frozen"/>
      <selection activeCell="T39" sqref="T39"/>
      <selection pane="topRight" activeCell="T39" sqref="T39"/>
      <selection pane="bottomLeft" activeCell="T39" sqref="T39"/>
      <selection pane="bottomRight" activeCell="Q36" sqref="Q36"/>
    </sheetView>
  </sheetViews>
  <sheetFormatPr baseColWidth="10" defaultColWidth="8.83203125" defaultRowHeight="13" x14ac:dyDescent="0.15"/>
  <cols>
    <col min="2" max="2" width="12.5" customWidth="1"/>
    <col min="5" max="5" width="11.33203125" customWidth="1"/>
    <col min="8" max="8" width="11.33203125" customWidth="1"/>
    <col min="11" max="11" width="14.5" customWidth="1"/>
    <col min="12" max="12" width="10.5" customWidth="1"/>
    <col min="13" max="13" width="10.1640625" customWidth="1"/>
    <col min="15" max="15" width="13.5" customWidth="1"/>
    <col min="18" max="18" width="11.1640625" customWidth="1"/>
    <col min="22" max="22" width="11" customWidth="1"/>
    <col min="31" max="31" width="7.83203125" customWidth="1"/>
    <col min="32" max="32" width="11.1640625" customWidth="1"/>
  </cols>
  <sheetData>
    <row r="1" spans="1:36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36" ht="14" thickBot="1" x14ac:dyDescent="0.2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36" ht="71" thickBot="1" x14ac:dyDescent="0.2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6" t="s">
        <v>8</v>
      </c>
      <c r="AG3" s="57"/>
      <c r="AH3" s="58"/>
      <c r="AJ3" s="45" t="s">
        <v>9</v>
      </c>
    </row>
    <row r="4" spans="1:36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2" t="s">
        <v>0</v>
      </c>
      <c r="AG4" s="43" t="s">
        <v>1</v>
      </c>
      <c r="AH4" s="44" t="s">
        <v>2</v>
      </c>
      <c r="AJ4" s="5" t="s">
        <v>2</v>
      </c>
    </row>
    <row r="5" spans="1:36" x14ac:dyDescent="0.15">
      <c r="A5" s="37">
        <v>38596</v>
      </c>
      <c r="B5" s="7">
        <f>'[11]Sep Prod'!I4</f>
        <v>24500000</v>
      </c>
      <c r="C5" s="8">
        <f>B5/1000000</f>
        <v>24.5</v>
      </c>
      <c r="D5" s="10">
        <f>C5*3.07</f>
        <v>75.214999999999989</v>
      </c>
      <c r="E5" s="7">
        <f>'[11]Sep Prod'!E4</f>
        <v>24000000</v>
      </c>
      <c r="F5" s="8">
        <f>E5/1000000</f>
        <v>24</v>
      </c>
      <c r="G5" s="10">
        <f>F5*3.07</f>
        <v>73.679999999999993</v>
      </c>
      <c r="H5" s="7">
        <f>'[11]Sep Prod'!F4</f>
        <v>0</v>
      </c>
      <c r="I5" s="8">
        <f>H5/1000000</f>
        <v>0</v>
      </c>
      <c r="J5" s="10">
        <f>I5*3.07</f>
        <v>0</v>
      </c>
      <c r="K5" s="7">
        <f>'[11]Sep Prod'!H252</f>
        <v>203797</v>
      </c>
      <c r="L5" s="8">
        <f>K5/1000000</f>
        <v>0.20379700000000001</v>
      </c>
      <c r="M5" s="10">
        <f>L5*3.07</f>
        <v>0.62565678999999996</v>
      </c>
      <c r="N5" s="22">
        <f>D5+M5</f>
        <v>75.840656789999983</v>
      </c>
      <c r="O5" s="7">
        <f>'[11]Sep Prod'!H4</f>
        <v>9084999.9999999944</v>
      </c>
      <c r="P5" s="8">
        <f>O5/1000000</f>
        <v>9.0849999999999937</v>
      </c>
      <c r="Q5" s="10">
        <f>P5*3.07</f>
        <v>27.890949999999979</v>
      </c>
      <c r="R5" s="7">
        <f>'[11]Sep Prod'!C4</f>
        <v>9458000</v>
      </c>
      <c r="S5" s="8">
        <f>R5/1000000</f>
        <v>9.4580000000000002</v>
      </c>
      <c r="T5" s="10">
        <f>S5*3.07</f>
        <v>29.036059999999999</v>
      </c>
      <c r="U5" s="7">
        <f>'[11]Sep Prod'!D4</f>
        <v>0</v>
      </c>
      <c r="V5" s="8">
        <f>U5/1000000</f>
        <v>0</v>
      </c>
      <c r="W5" s="10">
        <f>V5*3.07</f>
        <v>0</v>
      </c>
      <c r="X5" s="7">
        <f>'[11]Sep Prod'!D252</f>
        <v>373000.00000000466</v>
      </c>
      <c r="Y5" s="8">
        <f>X5/1000000</f>
        <v>0.37300000000000466</v>
      </c>
      <c r="Z5" s="10">
        <f>Y5*3.07</f>
        <v>1.1451100000000143</v>
      </c>
      <c r="AA5" s="22"/>
      <c r="AB5" s="7">
        <f>'[11]Sep Prod'!G4</f>
        <v>0</v>
      </c>
      <c r="AC5" s="8">
        <f>AB5/1000000</f>
        <v>0</v>
      </c>
      <c r="AD5" s="10">
        <f>AC5*3.07</f>
        <v>0</v>
      </c>
      <c r="AF5" s="7">
        <f>B5+O5</f>
        <v>33584999.999999993</v>
      </c>
      <c r="AG5" s="8">
        <f>C5+P5</f>
        <v>33.584999999999994</v>
      </c>
      <c r="AH5" s="8">
        <f>D5+Q5</f>
        <v>103.10594999999996</v>
      </c>
      <c r="AJ5" s="8">
        <f>T5-Q5-Z5</f>
        <v>5.9952043329758453E-15</v>
      </c>
    </row>
    <row r="6" spans="1:36" x14ac:dyDescent="0.15">
      <c r="A6" s="37">
        <v>38597</v>
      </c>
      <c r="B6" s="7">
        <f>'[11]Sep Prod'!I5</f>
        <v>22599999.999999456</v>
      </c>
      <c r="C6" s="8">
        <f t="shared" ref="C6:C33" si="0">B6/1000000</f>
        <v>22.599999999999458</v>
      </c>
      <c r="D6" s="10">
        <f t="shared" ref="D6:D34" si="1">C6*3.07</f>
        <v>69.381999999998328</v>
      </c>
      <c r="E6" s="7">
        <f>'[11]Sep Prod'!E5</f>
        <v>22000000</v>
      </c>
      <c r="F6" s="8">
        <f t="shared" ref="F6:F34" si="2">E6/1000000</f>
        <v>22</v>
      </c>
      <c r="G6" s="10">
        <f t="shared" ref="G6:G34" si="3">F6*3.07</f>
        <v>67.539999999999992</v>
      </c>
      <c r="H6" s="7">
        <f>'[11]Sep Prod'!F5</f>
        <v>0</v>
      </c>
      <c r="I6" s="8">
        <f t="shared" ref="I6:I34" si="4">H6/1000000</f>
        <v>0</v>
      </c>
      <c r="J6" s="10">
        <f t="shared" ref="J6:J35" si="5">I6*3.07</f>
        <v>0</v>
      </c>
      <c r="K6" s="7">
        <f>'[11]Sep Prod'!H253</f>
        <v>181956</v>
      </c>
      <c r="L6" s="8">
        <f t="shared" ref="L6:L34" si="6">K6/1000000</f>
        <v>0.18195600000000001</v>
      </c>
      <c r="M6" s="10">
        <f t="shared" ref="M6:M35" si="7">L6*3.07</f>
        <v>0.55860491999999995</v>
      </c>
      <c r="N6" s="22">
        <f t="shared" ref="N6:N34" si="8">D6+M6</f>
        <v>69.940604919998322</v>
      </c>
      <c r="O6" s="7">
        <f>'[11]Sep Prod'!H5</f>
        <v>8979000.0000000056</v>
      </c>
      <c r="P6" s="8">
        <f t="shared" ref="P6:P34" si="9">O6/1000000</f>
        <v>8.9790000000000063</v>
      </c>
      <c r="Q6" s="10">
        <f t="shared" ref="Q6:Q35" si="10">P6*3.07</f>
        <v>27.565530000000017</v>
      </c>
      <c r="R6" s="7">
        <f>'[11]Sep Prod'!C5</f>
        <v>9573000</v>
      </c>
      <c r="S6" s="8">
        <f t="shared" ref="S6:S34" si="11">R6/1000000</f>
        <v>9.5730000000000004</v>
      </c>
      <c r="T6" s="10">
        <f t="shared" ref="T6:T35" si="12">S6*3.07</f>
        <v>29.389109999999999</v>
      </c>
      <c r="U6" s="7">
        <f>'[11]Sep Prod'!D5</f>
        <v>0</v>
      </c>
      <c r="V6" s="8">
        <f t="shared" ref="V6:V34" si="13">U6/1000000</f>
        <v>0</v>
      </c>
      <c r="W6" s="10">
        <f t="shared" ref="W6:W35" si="14">V6*3.07</f>
        <v>0</v>
      </c>
      <c r="X6" s="7">
        <f>'[11]Sep Prod'!D253</f>
        <v>593999.99999999406</v>
      </c>
      <c r="Y6" s="8">
        <f t="shared" ref="Y6:Y34" si="15">X6/1000000</f>
        <v>0.59399999999999409</v>
      </c>
      <c r="Z6" s="10">
        <f t="shared" ref="Z6:Z35" si="16">Y6*3.07</f>
        <v>1.8235799999999818</v>
      </c>
      <c r="AA6" s="22"/>
      <c r="AB6" s="7">
        <f>'[11]Sep Prod'!G5</f>
        <v>0</v>
      </c>
      <c r="AC6" s="8">
        <f t="shared" ref="AC6:AC34" si="17">AB6/1000000</f>
        <v>0</v>
      </c>
      <c r="AD6" s="10">
        <f t="shared" ref="AD6:AD35" si="18">AC6*3.07</f>
        <v>0</v>
      </c>
      <c r="AF6" s="7">
        <f t="shared" ref="AF6:AH35" si="19">B6+O6</f>
        <v>31578999.999999464</v>
      </c>
      <c r="AG6" s="8">
        <f t="shared" si="19"/>
        <v>31.578999999999464</v>
      </c>
      <c r="AH6" s="8">
        <f t="shared" si="19"/>
        <v>96.947529999998352</v>
      </c>
      <c r="AJ6" s="8">
        <f t="shared" ref="AJ6:AJ14" si="20">T6-Q6-Z6</f>
        <v>0</v>
      </c>
    </row>
    <row r="7" spans="1:36" x14ac:dyDescent="0.15">
      <c r="A7" s="37">
        <v>38598</v>
      </c>
      <c r="B7" s="7">
        <f>'[11]Sep Prod'!I6</f>
        <v>24600000.000000365</v>
      </c>
      <c r="C7" s="8">
        <f t="shared" si="0"/>
        <v>24.600000000000364</v>
      </c>
      <c r="D7" s="10">
        <f t="shared" si="1"/>
        <v>75.522000000001114</v>
      </c>
      <c r="E7" s="7">
        <f>'[11]Sep Prod'!E6</f>
        <v>24000000</v>
      </c>
      <c r="F7" s="8">
        <f t="shared" si="2"/>
        <v>24</v>
      </c>
      <c r="G7" s="10">
        <f t="shared" si="3"/>
        <v>73.679999999999993</v>
      </c>
      <c r="H7" s="7">
        <f>'[11]Sep Prod'!F6</f>
        <v>0</v>
      </c>
      <c r="I7" s="8">
        <f t="shared" si="4"/>
        <v>0</v>
      </c>
      <c r="J7" s="10">
        <f t="shared" si="5"/>
        <v>0</v>
      </c>
      <c r="K7" s="7">
        <f>'[11]Sep Prod'!H254</f>
        <v>49643</v>
      </c>
      <c r="L7" s="8">
        <f t="shared" si="6"/>
        <v>4.9643E-2</v>
      </c>
      <c r="M7" s="10">
        <f t="shared" si="7"/>
        <v>0.15240400999999998</v>
      </c>
      <c r="N7" s="22">
        <f t="shared" si="8"/>
        <v>75.674404010001112</v>
      </c>
      <c r="O7" s="7">
        <f>'[11]Sep Prod'!H6</f>
        <v>9250999.9999999944</v>
      </c>
      <c r="P7" s="8">
        <f t="shared" si="9"/>
        <v>9.2509999999999941</v>
      </c>
      <c r="Q7" s="10">
        <f t="shared" si="10"/>
        <v>28.400569999999981</v>
      </c>
      <c r="R7" s="7">
        <f>'[11]Sep Prod'!C6</f>
        <v>9666000</v>
      </c>
      <c r="S7" s="8">
        <f t="shared" si="11"/>
        <v>9.6660000000000004</v>
      </c>
      <c r="T7" s="10">
        <f t="shared" si="12"/>
        <v>29.674620000000001</v>
      </c>
      <c r="U7" s="7">
        <f>'[11]Sep Prod'!D6</f>
        <v>0</v>
      </c>
      <c r="V7" s="8">
        <f t="shared" si="13"/>
        <v>0</v>
      </c>
      <c r="W7" s="10">
        <f t="shared" si="14"/>
        <v>0</v>
      </c>
      <c r="X7" s="7">
        <f>'[11]Sep Prod'!D254</f>
        <v>415000.00000000623</v>
      </c>
      <c r="Y7" s="8">
        <f t="shared" si="15"/>
        <v>0.41500000000000625</v>
      </c>
      <c r="Z7" s="10">
        <f t="shared" si="16"/>
        <v>1.2740500000000192</v>
      </c>
      <c r="AA7" s="22"/>
      <c r="AB7" s="7">
        <f>'[11]Sep Prod'!G6</f>
        <v>0</v>
      </c>
      <c r="AC7" s="8">
        <f t="shared" si="17"/>
        <v>0</v>
      </c>
      <c r="AD7" s="10">
        <f t="shared" si="18"/>
        <v>0</v>
      </c>
      <c r="AF7" s="7">
        <f t="shared" si="19"/>
        <v>33851000.000000358</v>
      </c>
      <c r="AG7" s="8">
        <f t="shared" si="19"/>
        <v>33.851000000000354</v>
      </c>
      <c r="AH7" s="8">
        <f t="shared" si="19"/>
        <v>103.92257000000109</v>
      </c>
      <c r="AJ7" s="8">
        <f t="shared" si="20"/>
        <v>0</v>
      </c>
    </row>
    <row r="8" spans="1:36" x14ac:dyDescent="0.15">
      <c r="A8" s="37">
        <v>38599</v>
      </c>
      <c r="B8" s="7">
        <f>'[11]Sep Prod'!I7</f>
        <v>24699999.999999817</v>
      </c>
      <c r="C8" s="8">
        <f t="shared" si="0"/>
        <v>24.699999999999818</v>
      </c>
      <c r="D8" s="10">
        <f t="shared" si="1"/>
        <v>75.828999999999439</v>
      </c>
      <c r="E8" s="7">
        <f>'[11]Sep Prod'!E7</f>
        <v>25000000</v>
      </c>
      <c r="F8" s="8">
        <f t="shared" si="2"/>
        <v>25</v>
      </c>
      <c r="G8" s="10">
        <f t="shared" si="3"/>
        <v>76.75</v>
      </c>
      <c r="H8" s="7">
        <f>'[11]Sep Prod'!F7</f>
        <v>0</v>
      </c>
      <c r="I8" s="8">
        <f t="shared" si="4"/>
        <v>0</v>
      </c>
      <c r="J8" s="10">
        <f t="shared" si="5"/>
        <v>0</v>
      </c>
      <c r="K8" s="7">
        <f>'[11]Sep Prod'!H255</f>
        <v>73026</v>
      </c>
      <c r="L8" s="8">
        <f t="shared" si="6"/>
        <v>7.3025999999999994E-2</v>
      </c>
      <c r="M8" s="10">
        <f t="shared" si="7"/>
        <v>0.22418981999999996</v>
      </c>
      <c r="N8" s="22">
        <f t="shared" si="8"/>
        <v>76.053189819999446</v>
      </c>
      <c r="O8" s="7">
        <f>'[11]Sep Prod'!H7</f>
        <v>9401000</v>
      </c>
      <c r="P8" s="8">
        <f t="shared" si="9"/>
        <v>9.4009999999999998</v>
      </c>
      <c r="Q8" s="10">
        <f t="shared" si="10"/>
        <v>28.861069999999998</v>
      </c>
      <c r="R8" s="7">
        <f>'[11]Sep Prod'!C7</f>
        <v>9953000</v>
      </c>
      <c r="S8" s="8">
        <f t="shared" si="11"/>
        <v>9.9529999999999994</v>
      </c>
      <c r="T8" s="10">
        <f t="shared" si="12"/>
        <v>30.555709999999998</v>
      </c>
      <c r="U8" s="7">
        <f>'[11]Sep Prod'!D7</f>
        <v>0</v>
      </c>
      <c r="V8" s="8">
        <f t="shared" si="13"/>
        <v>0</v>
      </c>
      <c r="W8" s="10">
        <f t="shared" si="14"/>
        <v>0</v>
      </c>
      <c r="X8" s="7">
        <f>'[11]Sep Prod'!D255</f>
        <v>551999.99999999965</v>
      </c>
      <c r="Y8" s="8">
        <f t="shared" si="15"/>
        <v>0.5519999999999996</v>
      </c>
      <c r="Z8" s="10">
        <f t="shared" si="16"/>
        <v>1.6946399999999986</v>
      </c>
      <c r="AA8" s="22"/>
      <c r="AB8" s="7">
        <f>'[11]Sep Prod'!G7</f>
        <v>0</v>
      </c>
      <c r="AC8" s="8">
        <f t="shared" si="17"/>
        <v>0</v>
      </c>
      <c r="AD8" s="10">
        <f t="shared" si="18"/>
        <v>0</v>
      </c>
      <c r="AF8" s="7">
        <f t="shared" si="19"/>
        <v>34100999.999999821</v>
      </c>
      <c r="AG8" s="8">
        <f t="shared" si="19"/>
        <v>34.100999999999814</v>
      </c>
      <c r="AH8" s="8">
        <f>D8+Q8</f>
        <v>104.69006999999944</v>
      </c>
      <c r="AJ8" s="8">
        <f t="shared" si="20"/>
        <v>0</v>
      </c>
    </row>
    <row r="9" spans="1:36" x14ac:dyDescent="0.15">
      <c r="A9" s="37">
        <v>38600</v>
      </c>
      <c r="B9" s="7">
        <f>'[11]Sep Prod'!I8</f>
        <v>26199999.999999817</v>
      </c>
      <c r="C9" s="8">
        <f t="shared" si="0"/>
        <v>26.199999999999818</v>
      </c>
      <c r="D9" s="10">
        <f t="shared" si="1"/>
        <v>80.433999999999443</v>
      </c>
      <c r="E9" s="7">
        <f>'[11]Sep Prod'!E8</f>
        <v>27000000</v>
      </c>
      <c r="F9" s="8">
        <f t="shared" si="2"/>
        <v>27</v>
      </c>
      <c r="G9" s="10">
        <f t="shared" si="3"/>
        <v>82.89</v>
      </c>
      <c r="H9" s="7">
        <f>'[11]Sep Prod'!F8</f>
        <v>0</v>
      </c>
      <c r="I9" s="8">
        <f t="shared" si="4"/>
        <v>0</v>
      </c>
      <c r="J9" s="10">
        <f t="shared" si="5"/>
        <v>0</v>
      </c>
      <c r="K9" s="7">
        <f>'[11]Sep Prod'!H256</f>
        <v>53223</v>
      </c>
      <c r="L9" s="8">
        <f t="shared" si="6"/>
        <v>5.3222999999999999E-2</v>
      </c>
      <c r="M9" s="10">
        <f t="shared" si="7"/>
        <v>0.16339461</v>
      </c>
      <c r="N9" s="22">
        <f t="shared" si="8"/>
        <v>80.597394609999441</v>
      </c>
      <c r="O9" s="7">
        <f>'[11]Sep Prod'!H8</f>
        <v>9480000</v>
      </c>
      <c r="P9" s="8">
        <f t="shared" si="9"/>
        <v>9.48</v>
      </c>
      <c r="Q9" s="10">
        <f t="shared" si="10"/>
        <v>29.1036</v>
      </c>
      <c r="R9" s="7">
        <f>'[11]Sep Prod'!C8</f>
        <v>10032000</v>
      </c>
      <c r="S9" s="8">
        <f t="shared" si="11"/>
        <v>10.032</v>
      </c>
      <c r="T9" s="10">
        <f t="shared" si="12"/>
        <v>30.79824</v>
      </c>
      <c r="U9" s="7">
        <f>'[11]Sep Prod'!D8</f>
        <v>0</v>
      </c>
      <c r="V9" s="8">
        <f t="shared" si="13"/>
        <v>0</v>
      </c>
      <c r="W9" s="10">
        <f t="shared" si="14"/>
        <v>0</v>
      </c>
      <c r="X9" s="7">
        <f>'[11]Sep Prod'!D256</f>
        <v>551999.99999999965</v>
      </c>
      <c r="Y9" s="8">
        <f t="shared" si="15"/>
        <v>0.5519999999999996</v>
      </c>
      <c r="Z9" s="10">
        <f t="shared" si="16"/>
        <v>1.6946399999999986</v>
      </c>
      <c r="AA9" s="22"/>
      <c r="AB9" s="7">
        <f>'[11]Sep Prod'!G8</f>
        <v>0</v>
      </c>
      <c r="AC9" s="8">
        <f t="shared" si="17"/>
        <v>0</v>
      </c>
      <c r="AD9" s="10">
        <f t="shared" si="18"/>
        <v>0</v>
      </c>
      <c r="AF9" s="7">
        <f t="shared" si="19"/>
        <v>35679999.999999821</v>
      </c>
      <c r="AG9" s="8">
        <f t="shared" si="19"/>
        <v>35.679999999999822</v>
      </c>
      <c r="AH9" s="8">
        <f t="shared" si="19"/>
        <v>109.53759999999944</v>
      </c>
      <c r="AJ9" s="8">
        <f t="shared" si="20"/>
        <v>0</v>
      </c>
    </row>
    <row r="10" spans="1:36" x14ac:dyDescent="0.15">
      <c r="A10" s="37">
        <v>38601</v>
      </c>
      <c r="B10" s="7">
        <f>'[11]Sep Prod'!I9</f>
        <v>25300000.000000183</v>
      </c>
      <c r="C10" s="8">
        <f t="shared" si="0"/>
        <v>25.300000000000182</v>
      </c>
      <c r="D10" s="10">
        <f t="shared" si="1"/>
        <v>77.671000000000561</v>
      </c>
      <c r="E10" s="7">
        <f>'[11]Sep Prod'!E9</f>
        <v>24000000</v>
      </c>
      <c r="F10" s="8">
        <f t="shared" si="2"/>
        <v>24</v>
      </c>
      <c r="G10" s="10">
        <f t="shared" si="3"/>
        <v>73.679999999999993</v>
      </c>
      <c r="H10" s="7">
        <f>'[11]Sep Prod'!F9</f>
        <v>0</v>
      </c>
      <c r="I10" s="8">
        <f t="shared" si="4"/>
        <v>0</v>
      </c>
      <c r="J10" s="10">
        <f t="shared" si="5"/>
        <v>0</v>
      </c>
      <c r="K10" s="7">
        <f>'[11]Sep Prod'!H257</f>
        <v>225120</v>
      </c>
      <c r="L10" s="8">
        <f t="shared" si="6"/>
        <v>0.22511999999999999</v>
      </c>
      <c r="M10" s="10">
        <f t="shared" si="7"/>
        <v>0.69111839999999991</v>
      </c>
      <c r="N10" s="22">
        <f t="shared" si="8"/>
        <v>78.362118400000554</v>
      </c>
      <c r="O10" s="7">
        <f>'[11]Sep Prod'!H9</f>
        <v>10590000</v>
      </c>
      <c r="P10" s="8">
        <f t="shared" si="9"/>
        <v>10.59</v>
      </c>
      <c r="Q10" s="10">
        <f t="shared" si="10"/>
        <v>32.511299999999999</v>
      </c>
      <c r="R10" s="7">
        <f>'[11]Sep Prod'!C9</f>
        <v>11136000</v>
      </c>
      <c r="S10" s="8">
        <f t="shared" si="11"/>
        <v>11.135999999999999</v>
      </c>
      <c r="T10" s="10">
        <f t="shared" si="12"/>
        <v>34.187519999999999</v>
      </c>
      <c r="U10" s="7">
        <f>'[11]Sep Prod'!D9</f>
        <v>0</v>
      </c>
      <c r="V10" s="8">
        <f t="shared" si="13"/>
        <v>0</v>
      </c>
      <c r="W10" s="10">
        <f t="shared" si="14"/>
        <v>0</v>
      </c>
      <c r="X10" s="7">
        <f>'[11]Sep Prod'!D257</f>
        <v>545999.99999999942</v>
      </c>
      <c r="Y10" s="8">
        <f t="shared" si="15"/>
        <v>0.54599999999999937</v>
      </c>
      <c r="Z10" s="10">
        <f t="shared" si="16"/>
        <v>1.676219999999998</v>
      </c>
      <c r="AA10" s="22"/>
      <c r="AB10" s="7">
        <f>'[11]Sep Prod'!G9</f>
        <v>0</v>
      </c>
      <c r="AC10" s="8">
        <f t="shared" si="17"/>
        <v>0</v>
      </c>
      <c r="AD10" s="10">
        <f t="shared" si="18"/>
        <v>0</v>
      </c>
      <c r="AF10" s="7">
        <f t="shared" si="19"/>
        <v>35890000.000000179</v>
      </c>
      <c r="AG10" s="8">
        <f t="shared" si="19"/>
        <v>35.890000000000185</v>
      </c>
      <c r="AH10" s="8">
        <f t="shared" si="19"/>
        <v>110.18230000000057</v>
      </c>
      <c r="AJ10" s="8">
        <f t="shared" si="20"/>
        <v>2.6645352591003757E-15</v>
      </c>
    </row>
    <row r="11" spans="1:36" x14ac:dyDescent="0.15">
      <c r="A11" s="37">
        <v>38602</v>
      </c>
      <c r="B11" s="7">
        <f>'[11]Sep Prod'!I10</f>
        <v>24000000</v>
      </c>
      <c r="C11" s="8">
        <f t="shared" si="0"/>
        <v>24</v>
      </c>
      <c r="D11" s="10">
        <f t="shared" si="1"/>
        <v>73.679999999999993</v>
      </c>
      <c r="E11" s="7">
        <f>'[11]Sep Prod'!E10</f>
        <v>24000000</v>
      </c>
      <c r="F11" s="8">
        <f t="shared" si="2"/>
        <v>24</v>
      </c>
      <c r="G11" s="10">
        <f t="shared" si="3"/>
        <v>73.679999999999993</v>
      </c>
      <c r="H11" s="7">
        <f>'[11]Sep Prod'!F10</f>
        <v>0</v>
      </c>
      <c r="I11" s="8">
        <f t="shared" si="4"/>
        <v>0</v>
      </c>
      <c r="J11" s="10">
        <f t="shared" si="5"/>
        <v>0</v>
      </c>
      <c r="K11" s="7">
        <f>'[11]Sep Prod'!H258</f>
        <v>269920</v>
      </c>
      <c r="L11" s="8">
        <f t="shared" si="6"/>
        <v>0.26991999999999999</v>
      </c>
      <c r="M11" s="10">
        <f t="shared" si="7"/>
        <v>0.8286543999999999</v>
      </c>
      <c r="N11" s="22">
        <f t="shared" si="8"/>
        <v>74.508654399999998</v>
      </c>
      <c r="O11" s="7">
        <f>'[11]Sep Prod'!H10</f>
        <v>9614999.9999999981</v>
      </c>
      <c r="P11" s="8">
        <f t="shared" si="9"/>
        <v>9.6149999999999984</v>
      </c>
      <c r="Q11" s="10">
        <f t="shared" si="10"/>
        <v>29.518049999999995</v>
      </c>
      <c r="R11" s="7">
        <f>'[11]Sep Prod'!C10</f>
        <v>10087000</v>
      </c>
      <c r="S11" s="8">
        <f t="shared" si="11"/>
        <v>10.087</v>
      </c>
      <c r="T11" s="10">
        <f t="shared" si="12"/>
        <v>30.967089999999999</v>
      </c>
      <c r="U11" s="7">
        <f>'[11]Sep Prod'!D10</f>
        <v>0</v>
      </c>
      <c r="V11" s="8">
        <f t="shared" si="13"/>
        <v>0</v>
      </c>
      <c r="W11" s="10">
        <f t="shared" si="14"/>
        <v>0</v>
      </c>
      <c r="X11" s="7">
        <f>'[11]Sep Prod'!D258</f>
        <v>472000.00000000128</v>
      </c>
      <c r="Y11" s="8">
        <f t="shared" si="15"/>
        <v>0.47200000000000131</v>
      </c>
      <c r="Z11" s="10">
        <f t="shared" si="16"/>
        <v>1.4490400000000039</v>
      </c>
      <c r="AA11" s="22"/>
      <c r="AB11" s="7">
        <f>'[11]Sep Prod'!G10</f>
        <v>0</v>
      </c>
      <c r="AC11" s="8">
        <f t="shared" si="17"/>
        <v>0</v>
      </c>
      <c r="AD11" s="10">
        <f t="shared" si="18"/>
        <v>0</v>
      </c>
      <c r="AF11" s="7">
        <f t="shared" si="19"/>
        <v>33615000</v>
      </c>
      <c r="AG11" s="8">
        <f t="shared" si="19"/>
        <v>33.614999999999995</v>
      </c>
      <c r="AH11" s="8">
        <f t="shared" si="19"/>
        <v>103.19804999999999</v>
      </c>
      <c r="AJ11" s="8">
        <f t="shared" si="20"/>
        <v>0</v>
      </c>
    </row>
    <row r="12" spans="1:36" x14ac:dyDescent="0.15">
      <c r="A12" s="37">
        <v>38603</v>
      </c>
      <c r="B12" s="7">
        <f>'[11]Sep Prod'!I11</f>
        <v>23100000.000000365</v>
      </c>
      <c r="C12" s="8">
        <f t="shared" si="0"/>
        <v>23.100000000000364</v>
      </c>
      <c r="D12" s="10">
        <f t="shared" si="1"/>
        <v>70.91700000000111</v>
      </c>
      <c r="E12" s="7">
        <f>'[11]Sep Prod'!E11</f>
        <v>23000000</v>
      </c>
      <c r="F12" s="8">
        <f t="shared" si="2"/>
        <v>23</v>
      </c>
      <c r="G12" s="10">
        <f t="shared" si="3"/>
        <v>70.61</v>
      </c>
      <c r="H12" s="7">
        <f>'[11]Sep Prod'!F11</f>
        <v>0</v>
      </c>
      <c r="I12" s="8">
        <f t="shared" si="4"/>
        <v>0</v>
      </c>
      <c r="J12" s="10">
        <f t="shared" si="5"/>
        <v>0</v>
      </c>
      <c r="K12" s="7">
        <f>'[11]Sep Prod'!H259</f>
        <v>43799</v>
      </c>
      <c r="L12" s="8">
        <f t="shared" si="6"/>
        <v>4.3798999999999998E-2</v>
      </c>
      <c r="M12" s="10">
        <f t="shared" si="7"/>
        <v>0.13446292999999998</v>
      </c>
      <c r="N12" s="22">
        <f t="shared" si="8"/>
        <v>71.051462930001108</v>
      </c>
      <c r="O12" s="7">
        <f>'[11]Sep Prod'!H11</f>
        <v>9164000.0000000019</v>
      </c>
      <c r="P12" s="8">
        <f t="shared" si="9"/>
        <v>9.1640000000000015</v>
      </c>
      <c r="Q12" s="10">
        <f t="shared" si="10"/>
        <v>28.133480000000002</v>
      </c>
      <c r="R12" s="7">
        <f>'[11]Sep Prod'!C11</f>
        <v>9744000</v>
      </c>
      <c r="S12" s="8">
        <f t="shared" si="11"/>
        <v>9.7439999999999998</v>
      </c>
      <c r="T12" s="10">
        <f t="shared" si="12"/>
        <v>29.914079999999998</v>
      </c>
      <c r="U12" s="7">
        <f>'[11]Sep Prod'!D11</f>
        <v>0</v>
      </c>
      <c r="V12" s="8">
        <f t="shared" si="13"/>
        <v>0</v>
      </c>
      <c r="W12" s="10">
        <f t="shared" si="14"/>
        <v>0</v>
      </c>
      <c r="X12" s="7">
        <f>'[11]Sep Prod'!D259</f>
        <v>579999.99999999825</v>
      </c>
      <c r="Y12" s="8">
        <f t="shared" si="15"/>
        <v>0.57999999999999829</v>
      </c>
      <c r="Z12" s="10">
        <f t="shared" si="16"/>
        <v>1.7805999999999946</v>
      </c>
      <c r="AA12" s="22"/>
      <c r="AB12" s="7">
        <f>'[11]Sep Prod'!G11</f>
        <v>0</v>
      </c>
      <c r="AC12" s="8">
        <f t="shared" si="17"/>
        <v>0</v>
      </c>
      <c r="AD12" s="10">
        <f t="shared" si="18"/>
        <v>0</v>
      </c>
      <c r="AF12" s="7">
        <f t="shared" si="19"/>
        <v>32264000.000000365</v>
      </c>
      <c r="AG12" s="8">
        <f t="shared" si="19"/>
        <v>32.264000000000365</v>
      </c>
      <c r="AH12" s="8">
        <f t="shared" si="19"/>
        <v>99.050480000001116</v>
      </c>
      <c r="AJ12" s="8">
        <f t="shared" si="20"/>
        <v>0</v>
      </c>
    </row>
    <row r="13" spans="1:36" x14ac:dyDescent="0.15">
      <c r="A13" s="37">
        <v>38604</v>
      </c>
      <c r="B13" s="7">
        <f>'[11]Sep Prod'!I12</f>
        <v>22599999.999999456</v>
      </c>
      <c r="C13" s="8">
        <f t="shared" si="0"/>
        <v>22.599999999999458</v>
      </c>
      <c r="D13" s="10">
        <f t="shared" si="1"/>
        <v>69.381999999998328</v>
      </c>
      <c r="E13" s="7">
        <f>'[11]Sep Prod'!E12</f>
        <v>22000000</v>
      </c>
      <c r="F13" s="8">
        <f t="shared" si="2"/>
        <v>22</v>
      </c>
      <c r="G13" s="10">
        <f t="shared" si="3"/>
        <v>67.539999999999992</v>
      </c>
      <c r="H13" s="7">
        <f>'[11]Sep Prod'!F12</f>
        <v>0</v>
      </c>
      <c r="I13" s="8">
        <f t="shared" si="4"/>
        <v>0</v>
      </c>
      <c r="J13" s="10">
        <f t="shared" si="5"/>
        <v>0</v>
      </c>
      <c r="K13" s="7">
        <f>'[11]Sep Prod'!H260</f>
        <v>65170</v>
      </c>
      <c r="L13" s="8">
        <f t="shared" si="6"/>
        <v>6.5170000000000006E-2</v>
      </c>
      <c r="M13" s="10">
        <f t="shared" si="7"/>
        <v>0.2000719</v>
      </c>
      <c r="N13" s="22">
        <f t="shared" si="8"/>
        <v>69.582071899998326</v>
      </c>
      <c r="O13" s="7">
        <f>'[11]Sep Prod'!H12</f>
        <v>9577999.9999999981</v>
      </c>
      <c r="P13" s="8">
        <f t="shared" si="9"/>
        <v>9.5779999999999976</v>
      </c>
      <c r="Q13" s="10">
        <f t="shared" si="10"/>
        <v>29.40445999999999</v>
      </c>
      <c r="R13" s="7">
        <f>'[11]Sep Prod'!C12</f>
        <v>10068000</v>
      </c>
      <c r="S13" s="8">
        <f t="shared" si="11"/>
        <v>10.068</v>
      </c>
      <c r="T13" s="10">
        <f t="shared" si="12"/>
        <v>30.908759999999997</v>
      </c>
      <c r="U13" s="7">
        <f>'[11]Sep Prod'!D12</f>
        <v>0</v>
      </c>
      <c r="V13" s="8">
        <f t="shared" si="13"/>
        <v>0</v>
      </c>
      <c r="W13" s="10">
        <f t="shared" si="14"/>
        <v>0</v>
      </c>
      <c r="X13" s="7">
        <f>'[11]Sep Prod'!D260</f>
        <v>490000.00000000198</v>
      </c>
      <c r="Y13" s="8">
        <f t="shared" si="15"/>
        <v>0.49000000000000199</v>
      </c>
      <c r="Z13" s="10">
        <f t="shared" si="16"/>
        <v>1.504300000000006</v>
      </c>
      <c r="AA13" s="22"/>
      <c r="AB13" s="7">
        <f>'[11]Sep Prod'!G12</f>
        <v>0</v>
      </c>
      <c r="AC13" s="8">
        <f t="shared" si="17"/>
        <v>0</v>
      </c>
      <c r="AD13" s="10">
        <f t="shared" si="18"/>
        <v>0</v>
      </c>
      <c r="AF13" s="7">
        <f t="shared" si="19"/>
        <v>32177999.999999456</v>
      </c>
      <c r="AG13" s="8">
        <f t="shared" si="19"/>
        <v>32.177999999999457</v>
      </c>
      <c r="AH13" s="8">
        <f t="shared" si="19"/>
        <v>98.786459999998314</v>
      </c>
      <c r="AJ13" s="8">
        <f t="shared" si="20"/>
        <v>1.7763568394002505E-15</v>
      </c>
    </row>
    <row r="14" spans="1:36" x14ac:dyDescent="0.15">
      <c r="A14" s="37">
        <v>38605</v>
      </c>
      <c r="B14" s="7">
        <f>'[11]Sep Prod'!I13</f>
        <v>22500000</v>
      </c>
      <c r="C14" s="8">
        <f t="shared" si="0"/>
        <v>22.5</v>
      </c>
      <c r="D14" s="10">
        <f t="shared" si="1"/>
        <v>69.075000000000003</v>
      </c>
      <c r="E14" s="7">
        <f>'[11]Sep Prod'!E13</f>
        <v>23000000</v>
      </c>
      <c r="F14" s="8">
        <f t="shared" si="2"/>
        <v>23</v>
      </c>
      <c r="G14" s="10">
        <f t="shared" si="3"/>
        <v>70.61</v>
      </c>
      <c r="H14" s="7">
        <f>'[11]Sep Prod'!F13</f>
        <v>0</v>
      </c>
      <c r="I14" s="8">
        <f t="shared" si="4"/>
        <v>0</v>
      </c>
      <c r="J14" s="10">
        <f t="shared" si="5"/>
        <v>0</v>
      </c>
      <c r="K14" s="7">
        <f>'[11]Sep Prod'!H261</f>
        <v>238786</v>
      </c>
      <c r="L14" s="8">
        <f t="shared" si="6"/>
        <v>0.238786</v>
      </c>
      <c r="M14" s="10">
        <f t="shared" si="7"/>
        <v>0.73307301999999996</v>
      </c>
      <c r="N14" s="22">
        <f t="shared" si="8"/>
        <v>69.808073020000009</v>
      </c>
      <c r="O14" s="7">
        <f>'[11]Sep Prod'!H13</f>
        <v>11089000.000000004</v>
      </c>
      <c r="P14" s="8">
        <f t="shared" si="9"/>
        <v>11.089000000000004</v>
      </c>
      <c r="Q14" s="10">
        <f t="shared" si="10"/>
        <v>34.043230000000008</v>
      </c>
      <c r="R14" s="7">
        <f>'[11]Sep Prod'!C13</f>
        <v>11621000</v>
      </c>
      <c r="S14" s="8">
        <f t="shared" si="11"/>
        <v>11.621</v>
      </c>
      <c r="T14" s="10">
        <f t="shared" si="12"/>
        <v>35.676470000000002</v>
      </c>
      <c r="U14" s="7">
        <f>'[11]Sep Prod'!D13</f>
        <v>0</v>
      </c>
      <c r="V14" s="8">
        <f t="shared" si="13"/>
        <v>0</v>
      </c>
      <c r="W14" s="10">
        <f t="shared" si="14"/>
        <v>0</v>
      </c>
      <c r="X14" s="7">
        <f>'[11]Sep Prod'!D261</f>
        <v>531999.99999999651</v>
      </c>
      <c r="Y14" s="8">
        <f t="shared" si="15"/>
        <v>0.53199999999999648</v>
      </c>
      <c r="Z14" s="10">
        <f t="shared" si="16"/>
        <v>1.6332399999999891</v>
      </c>
      <c r="AA14" s="22"/>
      <c r="AB14" s="7">
        <f>'[11]Sep Prod'!G13</f>
        <v>0</v>
      </c>
      <c r="AC14" s="8">
        <f t="shared" si="17"/>
        <v>0</v>
      </c>
      <c r="AD14" s="10">
        <f t="shared" si="18"/>
        <v>0</v>
      </c>
      <c r="AF14" s="7">
        <f t="shared" si="19"/>
        <v>33589000</v>
      </c>
      <c r="AG14" s="8">
        <f t="shared" si="19"/>
        <v>33.589000000000006</v>
      </c>
      <c r="AH14" s="8">
        <f t="shared" si="19"/>
        <v>103.11823000000001</v>
      </c>
      <c r="AJ14" s="8">
        <f t="shared" si="20"/>
        <v>4.4408920985006262E-15</v>
      </c>
    </row>
    <row r="15" spans="1:36" x14ac:dyDescent="0.15">
      <c r="A15" s="37">
        <v>38606</v>
      </c>
      <c r="B15" s="7">
        <f>'[11]Sep Prod'!I14</f>
        <v>24500000</v>
      </c>
      <c r="C15" s="8">
        <f t="shared" si="0"/>
        <v>24.5</v>
      </c>
      <c r="D15" s="10">
        <f t="shared" si="1"/>
        <v>75.214999999999989</v>
      </c>
      <c r="E15" s="7">
        <f>'[11]Sep Prod'!E14</f>
        <v>24000000</v>
      </c>
      <c r="F15" s="8">
        <f t="shared" si="2"/>
        <v>24</v>
      </c>
      <c r="G15" s="10">
        <f t="shared" si="3"/>
        <v>73.679999999999993</v>
      </c>
      <c r="H15" s="7">
        <f>'[11]Sep Prod'!F14</f>
        <v>0</v>
      </c>
      <c r="I15" s="8">
        <f t="shared" si="4"/>
        <v>0</v>
      </c>
      <c r="J15" s="10">
        <f t="shared" si="5"/>
        <v>0</v>
      </c>
      <c r="K15" s="7">
        <f>'[11]Sep Prod'!H262</f>
        <v>219308</v>
      </c>
      <c r="L15" s="8">
        <f t="shared" si="6"/>
        <v>0.219308</v>
      </c>
      <c r="M15" s="10">
        <f t="shared" si="7"/>
        <v>0.67327556</v>
      </c>
      <c r="N15" s="22">
        <f t="shared" si="8"/>
        <v>75.888275559999983</v>
      </c>
      <c r="O15" s="7">
        <f>'[11]Sep Prod'!H14</f>
        <v>10569999.999999996</v>
      </c>
      <c r="P15" s="8">
        <f t="shared" si="9"/>
        <v>10.569999999999997</v>
      </c>
      <c r="Q15" s="10">
        <f t="shared" si="10"/>
        <v>32.449899999999985</v>
      </c>
      <c r="R15" s="7">
        <f>'[11]Sep Prod'!C14</f>
        <v>11035000</v>
      </c>
      <c r="S15" s="8">
        <f t="shared" si="11"/>
        <v>11.035</v>
      </c>
      <c r="T15" s="10">
        <f t="shared" si="12"/>
        <v>33.877449999999996</v>
      </c>
      <c r="U15" s="7">
        <f>'[11]Sep Prod'!D14</f>
        <v>0</v>
      </c>
      <c r="V15" s="8">
        <f t="shared" si="13"/>
        <v>0</v>
      </c>
      <c r="W15" s="10">
        <f t="shared" si="14"/>
        <v>0</v>
      </c>
      <c r="X15" s="7">
        <f>'[11]Sep Prod'!D262</f>
        <v>465000.00000000343</v>
      </c>
      <c r="Y15" s="8">
        <f t="shared" si="15"/>
        <v>0.46500000000000341</v>
      </c>
      <c r="Z15" s="10">
        <f t="shared" si="16"/>
        <v>1.4275500000000103</v>
      </c>
      <c r="AA15" s="22"/>
      <c r="AB15" s="7">
        <f>'[11]Sep Prod'!G14</f>
        <v>0</v>
      </c>
      <c r="AC15" s="8">
        <f t="shared" si="17"/>
        <v>0</v>
      </c>
      <c r="AD15" s="10">
        <f t="shared" si="18"/>
        <v>0</v>
      </c>
      <c r="AF15" s="7">
        <f t="shared" si="19"/>
        <v>35070000</v>
      </c>
      <c r="AG15" s="8">
        <f t="shared" si="19"/>
        <v>35.069999999999993</v>
      </c>
      <c r="AH15" s="8">
        <f t="shared" si="19"/>
        <v>107.66489999999997</v>
      </c>
      <c r="AJ15" s="8">
        <f>T15-Q15-Z15</f>
        <v>0</v>
      </c>
    </row>
    <row r="16" spans="1:36" x14ac:dyDescent="0.15">
      <c r="A16" s="37">
        <v>38607</v>
      </c>
      <c r="B16" s="7">
        <f>'[11]Sep Prod'!I15</f>
        <v>24300000.000000183</v>
      </c>
      <c r="C16" s="8">
        <f t="shared" si="0"/>
        <v>24.300000000000182</v>
      </c>
      <c r="D16" s="10">
        <f t="shared" si="1"/>
        <v>74.601000000000553</v>
      </c>
      <c r="E16" s="7">
        <f>'[11]Sep Prod'!E15</f>
        <v>25000000</v>
      </c>
      <c r="F16" s="8">
        <f t="shared" si="2"/>
        <v>25</v>
      </c>
      <c r="G16" s="10">
        <f t="shared" si="3"/>
        <v>76.75</v>
      </c>
      <c r="H16" s="7">
        <f>'[11]Sep Prod'!F15</f>
        <v>0</v>
      </c>
      <c r="I16" s="8">
        <f t="shared" si="4"/>
        <v>0</v>
      </c>
      <c r="J16" s="10">
        <f t="shared" si="5"/>
        <v>0</v>
      </c>
      <c r="K16" s="7">
        <f>'[11]Sep Prod'!H263</f>
        <v>224753</v>
      </c>
      <c r="L16" s="8">
        <f t="shared" si="6"/>
        <v>0.22475300000000001</v>
      </c>
      <c r="M16" s="10">
        <f t="shared" si="7"/>
        <v>0.68999171000000004</v>
      </c>
      <c r="N16" s="22">
        <f t="shared" si="8"/>
        <v>75.290991710000554</v>
      </c>
      <c r="O16" s="7">
        <f>'[11]Sep Prod'!H15</f>
        <v>8981000.0000000037</v>
      </c>
      <c r="P16" s="8">
        <f t="shared" si="9"/>
        <v>8.9810000000000034</v>
      </c>
      <c r="Q16" s="10">
        <f t="shared" si="10"/>
        <v>27.571670000000008</v>
      </c>
      <c r="R16" s="7">
        <f>'[11]Sep Prod'!C15</f>
        <v>9617000</v>
      </c>
      <c r="S16" s="8">
        <f t="shared" si="11"/>
        <v>9.6170000000000009</v>
      </c>
      <c r="T16" s="10">
        <f t="shared" si="12"/>
        <v>29.524190000000001</v>
      </c>
      <c r="U16" s="7">
        <f>'[11]Sep Prod'!D15</f>
        <v>0</v>
      </c>
      <c r="V16" s="8">
        <f t="shared" si="13"/>
        <v>0</v>
      </c>
      <c r="W16" s="10">
        <f t="shared" si="14"/>
        <v>0</v>
      </c>
      <c r="X16" s="7">
        <f>'[11]Sep Prod'!D263</f>
        <v>635999.99999999569</v>
      </c>
      <c r="Y16" s="8">
        <f t="shared" si="15"/>
        <v>0.63599999999999568</v>
      </c>
      <c r="Z16" s="10">
        <f t="shared" si="16"/>
        <v>1.9525199999999867</v>
      </c>
      <c r="AA16" s="22"/>
      <c r="AB16" s="7">
        <f>'[11]Sep Prod'!G15</f>
        <v>0</v>
      </c>
      <c r="AC16" s="8">
        <f t="shared" si="17"/>
        <v>0</v>
      </c>
      <c r="AD16" s="10">
        <f t="shared" si="18"/>
        <v>0</v>
      </c>
      <c r="AF16" s="7">
        <f t="shared" si="19"/>
        <v>33281000.000000186</v>
      </c>
      <c r="AG16" s="8">
        <f t="shared" si="19"/>
        <v>33.281000000000184</v>
      </c>
      <c r="AH16" s="8">
        <f t="shared" si="19"/>
        <v>102.17267000000056</v>
      </c>
      <c r="AJ16" s="8">
        <f>T16-Q16-Z16</f>
        <v>5.9952043329758453E-15</v>
      </c>
    </row>
    <row r="17" spans="1:36" x14ac:dyDescent="0.15">
      <c r="A17" s="37">
        <v>38608</v>
      </c>
      <c r="B17" s="7">
        <f>'[11]Sep Prod'!I16</f>
        <v>23600000.000000365</v>
      </c>
      <c r="C17" s="8">
        <f t="shared" si="0"/>
        <v>23.600000000000364</v>
      </c>
      <c r="D17" s="10">
        <f t="shared" si="1"/>
        <v>72.452000000001107</v>
      </c>
      <c r="E17" s="7">
        <f>'[11]Sep Prod'!E16</f>
        <v>23000000</v>
      </c>
      <c r="F17" s="8">
        <f t="shared" si="2"/>
        <v>23</v>
      </c>
      <c r="G17" s="10">
        <f t="shared" si="3"/>
        <v>70.61</v>
      </c>
      <c r="H17" s="7">
        <f>'[11]Sep Prod'!F16</f>
        <v>0</v>
      </c>
      <c r="I17" s="8">
        <f t="shared" si="4"/>
        <v>0</v>
      </c>
      <c r="J17" s="10">
        <f t="shared" si="5"/>
        <v>0</v>
      </c>
      <c r="K17" s="7">
        <f>'[11]Sep Prod'!H264</f>
        <v>61257</v>
      </c>
      <c r="L17" s="8">
        <f t="shared" si="6"/>
        <v>6.1256999999999999E-2</v>
      </c>
      <c r="M17" s="10">
        <f t="shared" si="7"/>
        <v>0.18805898999999998</v>
      </c>
      <c r="N17" s="22">
        <f t="shared" si="8"/>
        <v>72.640058990001108</v>
      </c>
      <c r="O17" s="7">
        <f>'[11]Sep Prod'!H16</f>
        <v>10897999.999999998</v>
      </c>
      <c r="P17" s="8">
        <f t="shared" si="9"/>
        <v>10.897999999999998</v>
      </c>
      <c r="Q17" s="10">
        <f t="shared" si="10"/>
        <v>33.456859999999992</v>
      </c>
      <c r="R17" s="7">
        <f>'[11]Sep Prod'!C16</f>
        <v>11446000</v>
      </c>
      <c r="S17" s="8">
        <f t="shared" si="11"/>
        <v>11.446</v>
      </c>
      <c r="T17" s="10">
        <f t="shared" si="12"/>
        <v>35.139219999999995</v>
      </c>
      <c r="U17" s="7">
        <f>'[11]Sep Prod'!D16</f>
        <v>0</v>
      </c>
      <c r="V17" s="8">
        <f t="shared" si="13"/>
        <v>0</v>
      </c>
      <c r="W17" s="10">
        <f t="shared" si="14"/>
        <v>0</v>
      </c>
      <c r="X17" s="7">
        <f>'[11]Sep Prod'!D264</f>
        <v>548000.00000000186</v>
      </c>
      <c r="Y17" s="8">
        <f t="shared" si="15"/>
        <v>0.54800000000000182</v>
      </c>
      <c r="Z17" s="10">
        <f t="shared" si="16"/>
        <v>1.6823600000000054</v>
      </c>
      <c r="AA17" s="22"/>
      <c r="AB17" s="7">
        <f>'[11]Sep Prod'!G16</f>
        <v>0</v>
      </c>
      <c r="AC17" s="8">
        <f t="shared" si="17"/>
        <v>0</v>
      </c>
      <c r="AD17" s="10">
        <f t="shared" si="18"/>
        <v>0</v>
      </c>
      <c r="AF17" s="7">
        <f t="shared" si="19"/>
        <v>34498000.000000365</v>
      </c>
      <c r="AG17" s="8">
        <f t="shared" si="19"/>
        <v>34.49800000000036</v>
      </c>
      <c r="AH17" s="8">
        <f t="shared" si="19"/>
        <v>105.9088600000011</v>
      </c>
      <c r="AJ17" s="8">
        <f>T17-Q17-Z17</f>
        <v>-2.6645352591003757E-15</v>
      </c>
    </row>
    <row r="18" spans="1:36" x14ac:dyDescent="0.15">
      <c r="A18" s="37">
        <v>38609</v>
      </c>
      <c r="B18" s="7">
        <f>'[11]Sep Prod'!I17</f>
        <v>23699999.999999817</v>
      </c>
      <c r="C18" s="8">
        <f t="shared" si="0"/>
        <v>23.699999999999818</v>
      </c>
      <c r="D18" s="10">
        <f t="shared" si="1"/>
        <v>72.758999999999432</v>
      </c>
      <c r="E18" s="7">
        <f>'[11]Sep Prod'!E17</f>
        <v>23000000</v>
      </c>
      <c r="F18" s="8">
        <f t="shared" si="2"/>
        <v>23</v>
      </c>
      <c r="G18" s="10">
        <f t="shared" si="3"/>
        <v>70.61</v>
      </c>
      <c r="H18" s="7">
        <f>'[11]Sep Prod'!F17</f>
        <v>0</v>
      </c>
      <c r="I18" s="8">
        <f t="shared" si="4"/>
        <v>0</v>
      </c>
      <c r="J18" s="10">
        <f t="shared" si="5"/>
        <v>0</v>
      </c>
      <c r="K18" s="7">
        <f>'[11]Sep Prod'!H265</f>
        <v>49523</v>
      </c>
      <c r="L18" s="8">
        <f t="shared" si="6"/>
        <v>4.9522999999999998E-2</v>
      </c>
      <c r="M18" s="10">
        <f t="shared" si="7"/>
        <v>0.15203560999999999</v>
      </c>
      <c r="N18" s="22">
        <f t="shared" si="8"/>
        <v>72.911035609999431</v>
      </c>
      <c r="O18" s="7">
        <f>'[11]Sep Prod'!H17</f>
        <v>9674999.9999999963</v>
      </c>
      <c r="P18" s="8">
        <f t="shared" si="9"/>
        <v>9.6749999999999972</v>
      </c>
      <c r="Q18" s="10">
        <f t="shared" si="10"/>
        <v>29.702249999999989</v>
      </c>
      <c r="R18" s="7">
        <f>'[11]Sep Prod'!C17</f>
        <v>10186000</v>
      </c>
      <c r="S18" s="8">
        <f t="shared" si="11"/>
        <v>10.186</v>
      </c>
      <c r="T18" s="10">
        <f t="shared" si="12"/>
        <v>31.271019999999996</v>
      </c>
      <c r="U18" s="7">
        <f>'[11]Sep Prod'!D17</f>
        <v>0</v>
      </c>
      <c r="V18" s="8">
        <f t="shared" si="13"/>
        <v>0</v>
      </c>
      <c r="W18" s="10">
        <f t="shared" si="14"/>
        <v>0</v>
      </c>
      <c r="X18" s="7">
        <f>'[11]Sep Prod'!D265</f>
        <v>511000.00000000279</v>
      </c>
      <c r="Y18" s="8">
        <f t="shared" si="15"/>
        <v>0.51100000000000279</v>
      </c>
      <c r="Z18" s="10">
        <f t="shared" si="16"/>
        <v>1.5687700000000084</v>
      </c>
      <c r="AA18" s="22"/>
      <c r="AB18" s="7">
        <f>'[11]Sep Prod'!G17</f>
        <v>0</v>
      </c>
      <c r="AC18" s="8">
        <f t="shared" si="17"/>
        <v>0</v>
      </c>
      <c r="AD18" s="10">
        <f t="shared" si="18"/>
        <v>0</v>
      </c>
      <c r="AF18" s="7">
        <f t="shared" si="19"/>
        <v>33374999.999999814</v>
      </c>
      <c r="AG18" s="8">
        <f t="shared" si="19"/>
        <v>33.374999999999815</v>
      </c>
      <c r="AH18" s="8">
        <f t="shared" si="19"/>
        <v>102.46124999999942</v>
      </c>
      <c r="AJ18" s="8">
        <f>T18-Q18-Z18</f>
        <v>0</v>
      </c>
    </row>
    <row r="19" spans="1:36" x14ac:dyDescent="0.15">
      <c r="A19" s="37">
        <v>38610</v>
      </c>
      <c r="B19" s="7">
        <f>'[11]Sep Prod'!I18</f>
        <v>24399999.999999635</v>
      </c>
      <c r="C19" s="8">
        <f t="shared" si="0"/>
        <v>24.399999999999636</v>
      </c>
      <c r="D19" s="10">
        <f t="shared" si="1"/>
        <v>74.907999999998879</v>
      </c>
      <c r="E19" s="7">
        <f>'[11]Sep Prod'!E18</f>
        <v>25000000</v>
      </c>
      <c r="F19" s="8">
        <f t="shared" si="2"/>
        <v>25</v>
      </c>
      <c r="G19" s="10">
        <f t="shared" si="3"/>
        <v>76.75</v>
      </c>
      <c r="H19" s="7">
        <f>'[11]Sep Prod'!F18</f>
        <v>0</v>
      </c>
      <c r="I19" s="8">
        <f t="shared" si="4"/>
        <v>0</v>
      </c>
      <c r="J19" s="10">
        <f t="shared" si="5"/>
        <v>0</v>
      </c>
      <c r="K19" s="7">
        <f>'[11]Sep Prod'!H266</f>
        <v>222126</v>
      </c>
      <c r="L19" s="8">
        <f t="shared" si="6"/>
        <v>0.22212599999999999</v>
      </c>
      <c r="M19" s="10">
        <f t="shared" si="7"/>
        <v>0.68192681999999993</v>
      </c>
      <c r="N19" s="22">
        <f t="shared" si="8"/>
        <v>75.58992681999888</v>
      </c>
      <c r="O19" s="7">
        <f>'[11]Sep Prod'!H18</f>
        <v>9461000.0000000037</v>
      </c>
      <c r="P19" s="8">
        <f t="shared" si="9"/>
        <v>9.4610000000000039</v>
      </c>
      <c r="Q19" s="10">
        <f t="shared" si="10"/>
        <v>29.045270000000009</v>
      </c>
      <c r="R19" s="7">
        <f>'[11]Sep Prod'!C18</f>
        <v>9825000</v>
      </c>
      <c r="S19" s="8">
        <f t="shared" si="11"/>
        <v>9.8249999999999993</v>
      </c>
      <c r="T19" s="10">
        <f t="shared" si="12"/>
        <v>30.162749999999996</v>
      </c>
      <c r="U19" s="7">
        <f>'[11]Sep Prod'!D18</f>
        <v>0</v>
      </c>
      <c r="V19" s="8">
        <f t="shared" si="13"/>
        <v>0</v>
      </c>
      <c r="W19" s="10">
        <f t="shared" si="14"/>
        <v>0</v>
      </c>
      <c r="X19" s="7">
        <f>'[11]Sep Prod'!D266</f>
        <v>363999.99999999721</v>
      </c>
      <c r="Y19" s="8">
        <f t="shared" si="15"/>
        <v>0.36399999999999721</v>
      </c>
      <c r="Z19" s="10">
        <f t="shared" si="16"/>
        <v>1.1174799999999914</v>
      </c>
      <c r="AA19" s="22"/>
      <c r="AB19" s="7">
        <f>'[11]Sep Prod'!G18</f>
        <v>0</v>
      </c>
      <c r="AC19" s="8">
        <f t="shared" si="17"/>
        <v>0</v>
      </c>
      <c r="AD19" s="10">
        <f t="shared" si="18"/>
        <v>0</v>
      </c>
      <c r="AF19" s="7">
        <f t="shared" si="19"/>
        <v>33860999.999999642</v>
      </c>
      <c r="AG19" s="8">
        <f t="shared" si="19"/>
        <v>33.860999999999642</v>
      </c>
      <c r="AH19" s="8">
        <f>D19+Q19</f>
        <v>103.95326999999889</v>
      </c>
      <c r="AJ19" s="8">
        <f>T19-Q19-Z19</f>
        <v>-5.1070259132757201E-15</v>
      </c>
    </row>
    <row r="20" spans="1:36" x14ac:dyDescent="0.15">
      <c r="A20" s="37">
        <v>38611</v>
      </c>
      <c r="B20" s="7">
        <f>'[11]Sep Prod'!I19</f>
        <v>23300000.000000183</v>
      </c>
      <c r="C20" s="8">
        <f t="shared" si="0"/>
        <v>23.300000000000182</v>
      </c>
      <c r="D20" s="10">
        <f t="shared" si="1"/>
        <v>71.53100000000056</v>
      </c>
      <c r="E20" s="7">
        <f>'[11]Sep Prod'!E19</f>
        <v>23000000</v>
      </c>
      <c r="F20" s="8">
        <f t="shared" si="2"/>
        <v>23</v>
      </c>
      <c r="G20" s="10">
        <f t="shared" si="3"/>
        <v>70.61</v>
      </c>
      <c r="H20" s="7">
        <f>'[11]Sep Prod'!F19</f>
        <v>0</v>
      </c>
      <c r="I20" s="8">
        <f t="shared" si="4"/>
        <v>0</v>
      </c>
      <c r="J20" s="10">
        <f t="shared" si="5"/>
        <v>0</v>
      </c>
      <c r="K20" s="7">
        <f>'[11]Sep Prod'!H267</f>
        <v>142128</v>
      </c>
      <c r="L20" s="8">
        <f t="shared" si="6"/>
        <v>0.142128</v>
      </c>
      <c r="M20" s="10">
        <f t="shared" si="7"/>
        <v>0.43633295999999999</v>
      </c>
      <c r="N20" s="22">
        <f t="shared" si="8"/>
        <v>71.967332960000562</v>
      </c>
      <c r="O20" s="7">
        <f>'[11]Sep Prod'!H19</f>
        <v>8986000.0000000019</v>
      </c>
      <c r="P20" s="8">
        <f t="shared" si="9"/>
        <v>8.9860000000000024</v>
      </c>
      <c r="Q20" s="10">
        <f t="shared" si="10"/>
        <v>27.587020000000006</v>
      </c>
      <c r="R20" s="7">
        <f>'[11]Sep Prod'!C19</f>
        <v>9490000</v>
      </c>
      <c r="S20" s="8">
        <f t="shared" si="11"/>
        <v>9.49</v>
      </c>
      <c r="T20" s="10">
        <f t="shared" si="12"/>
        <v>29.1343</v>
      </c>
      <c r="U20" s="7">
        <f>'[11]Sep Prod'!D19</f>
        <v>0</v>
      </c>
      <c r="V20" s="8">
        <f t="shared" si="13"/>
        <v>0</v>
      </c>
      <c r="W20" s="10">
        <f t="shared" si="14"/>
        <v>0</v>
      </c>
      <c r="X20" s="7">
        <f>'[11]Sep Prod'!D267</f>
        <v>503999.99999999779</v>
      </c>
      <c r="Y20" s="8">
        <f t="shared" si="15"/>
        <v>0.50399999999999778</v>
      </c>
      <c r="Z20" s="10">
        <f t="shared" si="16"/>
        <v>1.5472799999999931</v>
      </c>
      <c r="AA20" s="22"/>
      <c r="AB20" s="7">
        <f>'[11]Sep Prod'!G19</f>
        <v>0</v>
      </c>
      <c r="AC20" s="8">
        <f t="shared" si="17"/>
        <v>0</v>
      </c>
      <c r="AD20" s="10">
        <f t="shared" si="18"/>
        <v>0</v>
      </c>
      <c r="AF20" s="7">
        <f t="shared" si="19"/>
        <v>32286000.000000186</v>
      </c>
      <c r="AG20" s="8">
        <f t="shared" si="19"/>
        <v>32.286000000000186</v>
      </c>
      <c r="AH20" s="8">
        <f t="shared" si="19"/>
        <v>99.11802000000057</v>
      </c>
      <c r="AJ20" s="8">
        <f t="shared" ref="AJ20:AJ35" si="21">T20-Q20-Z20</f>
        <v>0</v>
      </c>
    </row>
    <row r="21" spans="1:36" x14ac:dyDescent="0.15">
      <c r="A21" s="37">
        <v>38612</v>
      </c>
      <c r="B21" s="7">
        <f>'[11]Sep Prod'!I20</f>
        <v>23800000.000000183</v>
      </c>
      <c r="C21" s="8">
        <f t="shared" si="0"/>
        <v>23.800000000000182</v>
      </c>
      <c r="D21" s="10">
        <f t="shared" si="1"/>
        <v>73.066000000000557</v>
      </c>
      <c r="E21" s="7">
        <f>'[11]Sep Prod'!E20</f>
        <v>23000000</v>
      </c>
      <c r="F21" s="8">
        <f t="shared" si="2"/>
        <v>23</v>
      </c>
      <c r="G21" s="10">
        <f t="shared" si="3"/>
        <v>70.61</v>
      </c>
      <c r="H21" s="7">
        <f>'[11]Sep Prod'!F20</f>
        <v>0</v>
      </c>
      <c r="I21" s="8">
        <f t="shared" si="4"/>
        <v>0</v>
      </c>
      <c r="J21" s="10">
        <f t="shared" si="5"/>
        <v>0</v>
      </c>
      <c r="K21" s="7">
        <f>'[11]Sep Prod'!H268</f>
        <v>51779</v>
      </c>
      <c r="L21" s="8">
        <f t="shared" si="6"/>
        <v>5.1778999999999999E-2</v>
      </c>
      <c r="M21" s="10">
        <f t="shared" si="7"/>
        <v>0.15896152999999999</v>
      </c>
      <c r="N21" s="22">
        <f t="shared" si="8"/>
        <v>73.224961530000556</v>
      </c>
      <c r="O21" s="7">
        <f>'[11]Sep Prod'!H20</f>
        <v>9653999.9999999963</v>
      </c>
      <c r="P21" s="8">
        <f t="shared" si="9"/>
        <v>9.6539999999999964</v>
      </c>
      <c r="Q21" s="10">
        <f t="shared" si="10"/>
        <v>29.637779999999989</v>
      </c>
      <c r="R21" s="7">
        <f>'[11]Sep Prod'!C20</f>
        <v>10302000</v>
      </c>
      <c r="S21" s="8">
        <f t="shared" si="11"/>
        <v>10.302</v>
      </c>
      <c r="T21" s="10">
        <f t="shared" si="12"/>
        <v>31.627139999999997</v>
      </c>
      <c r="U21" s="7">
        <f>'[11]Sep Prod'!D20</f>
        <v>0</v>
      </c>
      <c r="V21" s="8">
        <f t="shared" si="13"/>
        <v>0</v>
      </c>
      <c r="W21" s="10">
        <f t="shared" si="14"/>
        <v>0</v>
      </c>
      <c r="X21" s="7">
        <f>'[11]Sep Prod'!D268</f>
        <v>648000.00000000326</v>
      </c>
      <c r="Y21" s="8">
        <f t="shared" si="15"/>
        <v>0.64800000000000324</v>
      </c>
      <c r="Z21" s="10">
        <f t="shared" si="16"/>
        <v>1.9893600000000098</v>
      </c>
      <c r="AA21" s="22"/>
      <c r="AB21" s="7">
        <f>'[11]Sep Prod'!G20</f>
        <v>0</v>
      </c>
      <c r="AC21" s="8">
        <f t="shared" si="17"/>
        <v>0</v>
      </c>
      <c r="AD21" s="10">
        <f t="shared" si="18"/>
        <v>0</v>
      </c>
      <c r="AF21" s="7">
        <f t="shared" si="19"/>
        <v>33454000.000000179</v>
      </c>
      <c r="AG21" s="8">
        <f t="shared" si="19"/>
        <v>33.454000000000178</v>
      </c>
      <c r="AH21" s="8">
        <f t="shared" si="19"/>
        <v>102.70378000000055</v>
      </c>
      <c r="AJ21" s="8">
        <f t="shared" si="21"/>
        <v>0</v>
      </c>
    </row>
    <row r="22" spans="1:36" x14ac:dyDescent="0.15">
      <c r="A22" s="37">
        <v>38613</v>
      </c>
      <c r="B22" s="7">
        <f>'[11]Sep Prod'!I21</f>
        <v>21399999.999999635</v>
      </c>
      <c r="C22" s="8">
        <f t="shared" si="0"/>
        <v>21.399999999999636</v>
      </c>
      <c r="D22" s="10">
        <f t="shared" si="1"/>
        <v>65.697999999998885</v>
      </c>
      <c r="E22" s="7">
        <f>'[11]Sep Prod'!E21</f>
        <v>21000000</v>
      </c>
      <c r="F22" s="8">
        <f t="shared" si="2"/>
        <v>21</v>
      </c>
      <c r="G22" s="10">
        <f t="shared" si="3"/>
        <v>64.47</v>
      </c>
      <c r="H22" s="7">
        <f>'[11]Sep Prod'!F21</f>
        <v>0</v>
      </c>
      <c r="I22" s="8">
        <f t="shared" si="4"/>
        <v>0</v>
      </c>
      <c r="J22" s="10">
        <f t="shared" si="5"/>
        <v>0</v>
      </c>
      <c r="K22" s="7">
        <f>'[11]Sep Prod'!H269</f>
        <v>45945</v>
      </c>
      <c r="L22" s="8">
        <f t="shared" si="6"/>
        <v>4.5945E-2</v>
      </c>
      <c r="M22" s="10">
        <f t="shared" si="7"/>
        <v>0.14105114999999999</v>
      </c>
      <c r="N22" s="22">
        <f t="shared" si="8"/>
        <v>65.83905114999888</v>
      </c>
      <c r="O22" s="7">
        <f>'[11]Sep Prod'!H21</f>
        <v>9641000.0000000056</v>
      </c>
      <c r="P22" s="8">
        <f t="shared" si="9"/>
        <v>9.6410000000000053</v>
      </c>
      <c r="Q22" s="10">
        <f t="shared" si="10"/>
        <v>29.597870000000015</v>
      </c>
      <c r="R22" s="7">
        <f>'[11]Sep Prod'!C21</f>
        <v>10015000</v>
      </c>
      <c r="S22" s="8">
        <f t="shared" si="11"/>
        <v>10.015000000000001</v>
      </c>
      <c r="T22" s="10">
        <f t="shared" si="12"/>
        <v>30.74605</v>
      </c>
      <c r="U22" s="7">
        <f>'[11]Sep Prod'!D21</f>
        <v>0</v>
      </c>
      <c r="V22" s="8">
        <f t="shared" si="13"/>
        <v>0</v>
      </c>
      <c r="W22" s="10">
        <f t="shared" si="14"/>
        <v>0</v>
      </c>
      <c r="X22" s="7">
        <f>'[11]Sep Prod'!D269</f>
        <v>373999.99999999523</v>
      </c>
      <c r="Y22" s="8">
        <f t="shared" si="15"/>
        <v>0.37399999999999523</v>
      </c>
      <c r="Z22" s="10">
        <f t="shared" si="16"/>
        <v>1.1481799999999853</v>
      </c>
      <c r="AA22" s="22"/>
      <c r="AB22" s="7">
        <f>'[11]Sep Prod'!G21</f>
        <v>0</v>
      </c>
      <c r="AC22" s="8">
        <f t="shared" si="17"/>
        <v>0</v>
      </c>
      <c r="AD22" s="10">
        <f t="shared" si="18"/>
        <v>0</v>
      </c>
      <c r="AF22" s="7">
        <f t="shared" si="19"/>
        <v>31040999.999999642</v>
      </c>
      <c r="AG22" s="8">
        <f t="shared" si="19"/>
        <v>31.040999999999642</v>
      </c>
      <c r="AH22" s="8">
        <f t="shared" si="19"/>
        <v>95.295869999998899</v>
      </c>
      <c r="AJ22" s="8">
        <f t="shared" si="21"/>
        <v>0</v>
      </c>
    </row>
    <row r="23" spans="1:36" x14ac:dyDescent="0.15">
      <c r="A23" s="37">
        <v>38614</v>
      </c>
      <c r="B23" s="7">
        <f>'[11]Sep Prod'!I22</f>
        <v>23500000</v>
      </c>
      <c r="C23" s="8">
        <f t="shared" si="0"/>
        <v>23.5</v>
      </c>
      <c r="D23" s="10">
        <f t="shared" si="1"/>
        <v>72.144999999999996</v>
      </c>
      <c r="E23" s="7">
        <f>'[11]Sep Prod'!E22</f>
        <v>24000000</v>
      </c>
      <c r="F23" s="8">
        <f t="shared" si="2"/>
        <v>24</v>
      </c>
      <c r="G23" s="10">
        <f t="shared" si="3"/>
        <v>73.679999999999993</v>
      </c>
      <c r="H23" s="7">
        <f>'[11]Sep Prod'!F22</f>
        <v>0</v>
      </c>
      <c r="I23" s="8">
        <f t="shared" si="4"/>
        <v>0</v>
      </c>
      <c r="J23" s="10">
        <f t="shared" si="5"/>
        <v>0</v>
      </c>
      <c r="K23" s="7">
        <f>'[11]Sep Prod'!H270</f>
        <v>52339</v>
      </c>
      <c r="L23" s="8">
        <f t="shared" si="6"/>
        <v>5.2338999999999997E-2</v>
      </c>
      <c r="M23" s="10">
        <f t="shared" si="7"/>
        <v>0.16068072999999999</v>
      </c>
      <c r="N23" s="22">
        <f t="shared" si="8"/>
        <v>72.305680729999992</v>
      </c>
      <c r="O23" s="7">
        <f>'[11]Sep Prod'!H22</f>
        <v>9644999.9999999981</v>
      </c>
      <c r="P23" s="8">
        <f t="shared" si="9"/>
        <v>9.6449999999999978</v>
      </c>
      <c r="Q23" s="10">
        <f t="shared" si="10"/>
        <v>29.61014999999999</v>
      </c>
      <c r="R23" s="7">
        <f>'[11]Sep Prod'!C22</f>
        <v>10019000</v>
      </c>
      <c r="S23" s="8">
        <f t="shared" si="11"/>
        <v>10.019</v>
      </c>
      <c r="T23" s="10">
        <f t="shared" si="12"/>
        <v>30.758329999999997</v>
      </c>
      <c r="U23" s="7">
        <f>'[11]Sep Prod'!D22</f>
        <v>0</v>
      </c>
      <c r="V23" s="8">
        <f t="shared" si="13"/>
        <v>0</v>
      </c>
      <c r="W23" s="10">
        <f t="shared" si="14"/>
        <v>0</v>
      </c>
      <c r="X23" s="7">
        <f>'[11]Sep Prod'!D270</f>
        <v>374000.00000000233</v>
      </c>
      <c r="Y23" s="8">
        <f t="shared" si="15"/>
        <v>0.37400000000000233</v>
      </c>
      <c r="Z23" s="10">
        <f t="shared" si="16"/>
        <v>1.1481800000000071</v>
      </c>
      <c r="AA23" s="22"/>
      <c r="AB23" s="7">
        <f>'[11]Sep Prod'!G22</f>
        <v>0</v>
      </c>
      <c r="AC23" s="8">
        <f t="shared" si="17"/>
        <v>0</v>
      </c>
      <c r="AD23" s="10">
        <f t="shared" si="18"/>
        <v>0</v>
      </c>
      <c r="AF23" s="7">
        <f t="shared" si="19"/>
        <v>33145000</v>
      </c>
      <c r="AG23" s="8">
        <f t="shared" si="19"/>
        <v>33.144999999999996</v>
      </c>
      <c r="AH23" s="8">
        <f t="shared" si="19"/>
        <v>101.75514999999999</v>
      </c>
      <c r="AJ23" s="8">
        <f t="shared" si="21"/>
        <v>0</v>
      </c>
    </row>
    <row r="24" spans="1:36" x14ac:dyDescent="0.15">
      <c r="A24" s="37">
        <v>38615</v>
      </c>
      <c r="B24" s="7">
        <f>'[11]Sep Prod'!I23</f>
        <v>24300000.000000183</v>
      </c>
      <c r="C24" s="8">
        <f t="shared" si="0"/>
        <v>24.300000000000182</v>
      </c>
      <c r="D24" s="10">
        <f t="shared" si="1"/>
        <v>74.601000000000553</v>
      </c>
      <c r="E24" s="7">
        <f>'[11]Sep Prod'!E23</f>
        <v>23000000</v>
      </c>
      <c r="F24" s="8">
        <f t="shared" si="2"/>
        <v>23</v>
      </c>
      <c r="G24" s="10">
        <f t="shared" si="3"/>
        <v>70.61</v>
      </c>
      <c r="H24" s="7">
        <f>'[11]Sep Prod'!F23</f>
        <v>0</v>
      </c>
      <c r="I24" s="8">
        <f t="shared" si="4"/>
        <v>0</v>
      </c>
      <c r="J24" s="10">
        <f t="shared" si="5"/>
        <v>0</v>
      </c>
      <c r="K24" s="7">
        <f>'[11]Sep Prod'!H271</f>
        <v>217953</v>
      </c>
      <c r="L24" s="8">
        <f t="shared" si="6"/>
        <v>0.21795300000000001</v>
      </c>
      <c r="M24" s="10">
        <f t="shared" si="7"/>
        <v>0.66911571000000003</v>
      </c>
      <c r="N24" s="22">
        <f t="shared" si="8"/>
        <v>75.270115710000553</v>
      </c>
      <c r="O24" s="7">
        <f>'[11]Sep Prod'!H23</f>
        <v>9953000.0000000019</v>
      </c>
      <c r="P24" s="8">
        <f t="shared" si="9"/>
        <v>9.9530000000000012</v>
      </c>
      <c r="Q24" s="10">
        <f t="shared" si="10"/>
        <v>30.555710000000001</v>
      </c>
      <c r="R24" s="7">
        <f>'[11]Sep Prod'!C23</f>
        <v>10420000</v>
      </c>
      <c r="S24" s="8">
        <f t="shared" si="11"/>
        <v>10.42</v>
      </c>
      <c r="T24" s="10">
        <f t="shared" si="12"/>
        <v>31.9894</v>
      </c>
      <c r="U24" s="7">
        <f>'[11]Sep Prod'!D23</f>
        <v>0</v>
      </c>
      <c r="V24" s="8">
        <f t="shared" si="13"/>
        <v>0</v>
      </c>
      <c r="W24" s="10">
        <f t="shared" si="14"/>
        <v>0</v>
      </c>
      <c r="X24" s="7">
        <f>'[11]Sep Prod'!D271</f>
        <v>466999.99999999878</v>
      </c>
      <c r="Y24" s="8">
        <f t="shared" si="15"/>
        <v>0.4669999999999988</v>
      </c>
      <c r="Z24" s="10">
        <f t="shared" si="16"/>
        <v>1.4336899999999964</v>
      </c>
      <c r="AA24" s="22"/>
      <c r="AB24" s="7">
        <f>'[11]Sep Prod'!G23</f>
        <v>0</v>
      </c>
      <c r="AC24" s="8">
        <f t="shared" si="17"/>
        <v>0</v>
      </c>
      <c r="AD24" s="10">
        <f t="shared" si="18"/>
        <v>0</v>
      </c>
      <c r="AF24" s="7">
        <f t="shared" si="19"/>
        <v>34253000.000000186</v>
      </c>
      <c r="AG24" s="8">
        <f t="shared" si="19"/>
        <v>34.253000000000185</v>
      </c>
      <c r="AH24" s="8">
        <f>D24+Q24</f>
        <v>105.15671000000056</v>
      </c>
      <c r="AJ24" s="8">
        <f t="shared" si="21"/>
        <v>2.2204460492503131E-15</v>
      </c>
    </row>
    <row r="25" spans="1:36" x14ac:dyDescent="0.15">
      <c r="A25" s="37">
        <v>38616</v>
      </c>
      <c r="B25" s="7">
        <f>'[11]Sep Prod'!I24</f>
        <v>22300000.000000183</v>
      </c>
      <c r="C25" s="8">
        <f t="shared" si="0"/>
        <v>22.300000000000182</v>
      </c>
      <c r="D25" s="10">
        <f t="shared" si="1"/>
        <v>68.461000000000553</v>
      </c>
      <c r="E25" s="7">
        <f>'[11]Sep Prod'!E24</f>
        <v>22000000</v>
      </c>
      <c r="F25" s="8">
        <f t="shared" si="2"/>
        <v>22</v>
      </c>
      <c r="G25" s="10">
        <f t="shared" si="3"/>
        <v>67.539999999999992</v>
      </c>
      <c r="H25" s="7">
        <f>'[11]Sep Prod'!F24</f>
        <v>0</v>
      </c>
      <c r="I25" s="8">
        <f t="shared" si="4"/>
        <v>0</v>
      </c>
      <c r="J25" s="10">
        <f t="shared" si="5"/>
        <v>0</v>
      </c>
      <c r="K25" s="7">
        <f>'[11]Sep Prod'!H272</f>
        <v>156858</v>
      </c>
      <c r="L25" s="8">
        <f t="shared" si="6"/>
        <v>0.156858</v>
      </c>
      <c r="M25" s="10">
        <f t="shared" si="7"/>
        <v>0.48155405999999995</v>
      </c>
      <c r="N25" s="22">
        <f t="shared" si="8"/>
        <v>68.942554060000546</v>
      </c>
      <c r="O25" s="7">
        <f>'[11]Sep Prod'!H24</f>
        <v>9340000</v>
      </c>
      <c r="P25" s="8">
        <f t="shared" si="9"/>
        <v>9.34</v>
      </c>
      <c r="Q25" s="10">
        <f t="shared" si="10"/>
        <v>28.673799999999996</v>
      </c>
      <c r="R25" s="7">
        <f>'[11]Sep Prod'!C24</f>
        <v>9898000</v>
      </c>
      <c r="S25" s="8">
        <f t="shared" si="11"/>
        <v>9.8979999999999997</v>
      </c>
      <c r="T25" s="10">
        <f t="shared" si="12"/>
        <v>30.386859999999999</v>
      </c>
      <c r="U25" s="7">
        <f>'[11]Sep Prod'!D24</f>
        <v>0</v>
      </c>
      <c r="V25" s="8">
        <f t="shared" si="13"/>
        <v>0</v>
      </c>
      <c r="W25" s="10">
        <f t="shared" si="14"/>
        <v>0</v>
      </c>
      <c r="X25" s="7">
        <f>'[11]Sep Prod'!D272</f>
        <v>557999.99999999988</v>
      </c>
      <c r="Y25" s="8">
        <f t="shared" si="15"/>
        <v>0.55799999999999983</v>
      </c>
      <c r="Z25" s="10">
        <f t="shared" si="16"/>
        <v>1.7130599999999994</v>
      </c>
      <c r="AA25" s="22"/>
      <c r="AB25" s="7">
        <f>'[11]Sep Prod'!G24</f>
        <v>0</v>
      </c>
      <c r="AC25" s="8">
        <f t="shared" si="17"/>
        <v>0</v>
      </c>
      <c r="AD25" s="10">
        <f t="shared" si="18"/>
        <v>0</v>
      </c>
      <c r="AF25" s="7">
        <f t="shared" si="19"/>
        <v>31640000.000000183</v>
      </c>
      <c r="AG25" s="8">
        <f t="shared" si="19"/>
        <v>31.640000000000182</v>
      </c>
      <c r="AH25" s="8">
        <f t="shared" si="19"/>
        <v>97.134800000000553</v>
      </c>
      <c r="AJ25" s="8">
        <f t="shared" si="21"/>
        <v>2.886579864025407E-15</v>
      </c>
    </row>
    <row r="26" spans="1:36" x14ac:dyDescent="0.15">
      <c r="A26" s="37">
        <v>38617</v>
      </c>
      <c r="B26" s="7">
        <f>'[11]Sep Prod'!I25</f>
        <v>19300000.000000183</v>
      </c>
      <c r="C26" s="8">
        <f t="shared" si="0"/>
        <v>19.300000000000182</v>
      </c>
      <c r="D26" s="10">
        <f t="shared" si="1"/>
        <v>59.251000000000552</v>
      </c>
      <c r="E26" s="7">
        <f>'[11]Sep Prod'!E25</f>
        <v>20000000</v>
      </c>
      <c r="F26" s="8">
        <f t="shared" si="2"/>
        <v>20</v>
      </c>
      <c r="G26" s="10">
        <f t="shared" si="3"/>
        <v>61.4</v>
      </c>
      <c r="H26" s="7">
        <f>'[11]Sep Prod'!F25</f>
        <v>0</v>
      </c>
      <c r="I26" s="8">
        <f t="shared" si="4"/>
        <v>0</v>
      </c>
      <c r="J26" s="10">
        <f t="shared" si="5"/>
        <v>0</v>
      </c>
      <c r="K26" s="7">
        <f>'[11]Sep Prod'!H273</f>
        <v>56246</v>
      </c>
      <c r="L26" s="8">
        <f t="shared" si="6"/>
        <v>5.6245999999999997E-2</v>
      </c>
      <c r="M26" s="10">
        <f t="shared" si="7"/>
        <v>0.17267521999999999</v>
      </c>
      <c r="N26" s="22">
        <f t="shared" si="8"/>
        <v>59.423675220000554</v>
      </c>
      <c r="O26" s="7">
        <f>'[11]Sep Prod'!H25</f>
        <v>9431999.9999999963</v>
      </c>
      <c r="P26" s="8">
        <f t="shared" si="9"/>
        <v>9.4319999999999968</v>
      </c>
      <c r="Q26" s="10">
        <f t="shared" si="10"/>
        <v>28.95623999999999</v>
      </c>
      <c r="R26" s="7">
        <f>'[11]Sep Prod'!C25</f>
        <v>9845000</v>
      </c>
      <c r="S26" s="8">
        <f t="shared" si="11"/>
        <v>9.8450000000000006</v>
      </c>
      <c r="T26" s="10">
        <f t="shared" si="12"/>
        <v>30.224150000000002</v>
      </c>
      <c r="U26" s="7">
        <f>'[11]Sep Prod'!D25</f>
        <v>0</v>
      </c>
      <c r="V26" s="8">
        <f t="shared" si="13"/>
        <v>0</v>
      </c>
      <c r="W26" s="10">
        <f t="shared" si="14"/>
        <v>0</v>
      </c>
      <c r="X26" s="7">
        <f>'[11]Sep Prod'!D273</f>
        <v>413000.00000000378</v>
      </c>
      <c r="Y26" s="8">
        <f t="shared" si="15"/>
        <v>0.41300000000000381</v>
      </c>
      <c r="Z26" s="10">
        <f t="shared" si="16"/>
        <v>1.2679100000000116</v>
      </c>
      <c r="AA26" s="22"/>
      <c r="AB26" s="7">
        <f>'[11]Sep Prod'!G25</f>
        <v>0</v>
      </c>
      <c r="AC26" s="8">
        <f t="shared" si="17"/>
        <v>0</v>
      </c>
      <c r="AD26" s="10">
        <f t="shared" si="18"/>
        <v>0</v>
      </c>
      <c r="AF26" s="7">
        <f t="shared" si="19"/>
        <v>28732000.000000179</v>
      </c>
      <c r="AG26" s="8">
        <f t="shared" si="19"/>
        <v>28.732000000000177</v>
      </c>
      <c r="AH26" s="8">
        <f t="shared" si="19"/>
        <v>88.207240000000539</v>
      </c>
      <c r="AJ26" s="8">
        <f t="shared" si="21"/>
        <v>0</v>
      </c>
    </row>
    <row r="27" spans="1:36" x14ac:dyDescent="0.15">
      <c r="A27" s="37">
        <v>38618</v>
      </c>
      <c r="B27" s="7">
        <f>'[11]Sep Prod'!I26</f>
        <v>16199999.999999817</v>
      </c>
      <c r="C27" s="8">
        <f t="shared" si="0"/>
        <v>16.199999999999818</v>
      </c>
      <c r="D27" s="10">
        <f t="shared" si="1"/>
        <v>49.73399999999944</v>
      </c>
      <c r="E27" s="7">
        <f>'[11]Sep Prod'!E26</f>
        <v>16000000</v>
      </c>
      <c r="F27" s="8">
        <f t="shared" si="2"/>
        <v>16</v>
      </c>
      <c r="G27" s="10">
        <f t="shared" si="3"/>
        <v>49.12</v>
      </c>
      <c r="H27" s="7">
        <f>'[11]Sep Prod'!F26</f>
        <v>0</v>
      </c>
      <c r="I27" s="8">
        <f t="shared" si="4"/>
        <v>0</v>
      </c>
      <c r="J27" s="10">
        <f t="shared" si="5"/>
        <v>0</v>
      </c>
      <c r="K27" s="7">
        <f>'[11]Sep Prod'!H274</f>
        <v>51514</v>
      </c>
      <c r="L27" s="8">
        <f t="shared" si="6"/>
        <v>5.1513999999999997E-2</v>
      </c>
      <c r="M27" s="10">
        <f t="shared" si="7"/>
        <v>0.15814797999999999</v>
      </c>
      <c r="N27" s="22">
        <f t="shared" si="8"/>
        <v>49.892147979999443</v>
      </c>
      <c r="O27" s="7">
        <f>'[11]Sep Prod'!H26</f>
        <v>9171999.9999999981</v>
      </c>
      <c r="P27" s="8">
        <f t="shared" si="9"/>
        <v>9.1719999999999988</v>
      </c>
      <c r="Q27" s="10">
        <f t="shared" si="10"/>
        <v>28.158039999999996</v>
      </c>
      <c r="R27" s="7">
        <f>'[11]Sep Prod'!C26</f>
        <v>9586000</v>
      </c>
      <c r="S27" s="8">
        <f t="shared" si="11"/>
        <v>9.5860000000000003</v>
      </c>
      <c r="T27" s="10">
        <f t="shared" si="12"/>
        <v>29.429019999999998</v>
      </c>
      <c r="U27" s="7">
        <f>'[11]Sep Prod'!D26</f>
        <v>0</v>
      </c>
      <c r="V27" s="8">
        <f t="shared" si="13"/>
        <v>0</v>
      </c>
      <c r="W27" s="10">
        <f t="shared" si="14"/>
        <v>0</v>
      </c>
      <c r="X27" s="7">
        <f>'[11]Sep Prod'!D274</f>
        <v>414000.00000000146</v>
      </c>
      <c r="Y27" s="8">
        <f t="shared" si="15"/>
        <v>0.41400000000000148</v>
      </c>
      <c r="Z27" s="10">
        <f t="shared" si="16"/>
        <v>1.2709800000000044</v>
      </c>
      <c r="AA27" s="22"/>
      <c r="AB27" s="7">
        <f>'[11]Sep Prod'!G26</f>
        <v>0</v>
      </c>
      <c r="AC27" s="8">
        <f t="shared" si="17"/>
        <v>0</v>
      </c>
      <c r="AD27" s="10">
        <f t="shared" si="18"/>
        <v>0</v>
      </c>
      <c r="AF27" s="7">
        <f t="shared" si="19"/>
        <v>25371999.999999814</v>
      </c>
      <c r="AG27" s="8">
        <f t="shared" si="19"/>
        <v>25.371999999999815</v>
      </c>
      <c r="AH27" s="8">
        <f t="shared" si="19"/>
        <v>77.89203999999944</v>
      </c>
      <c r="AJ27" s="8">
        <f t="shared" si="21"/>
        <v>-2.886579864025407E-15</v>
      </c>
    </row>
    <row r="28" spans="1:36" x14ac:dyDescent="0.15">
      <c r="A28" s="37">
        <v>38619</v>
      </c>
      <c r="B28" s="7">
        <f>'[11]Sep Prod'!I27</f>
        <v>20199999.999999817</v>
      </c>
      <c r="C28" s="8">
        <f t="shared" si="0"/>
        <v>20.199999999999818</v>
      </c>
      <c r="D28" s="10">
        <f t="shared" si="1"/>
        <v>62.013999999999442</v>
      </c>
      <c r="E28" s="7">
        <f>'[11]Sep Prod'!E27</f>
        <v>19000000</v>
      </c>
      <c r="F28" s="8">
        <f t="shared" si="2"/>
        <v>19</v>
      </c>
      <c r="G28" s="10">
        <f t="shared" si="3"/>
        <v>58.33</v>
      </c>
      <c r="H28" s="7">
        <f>'[11]Sep Prod'!F27</f>
        <v>0</v>
      </c>
      <c r="I28" s="8">
        <f t="shared" si="4"/>
        <v>0</v>
      </c>
      <c r="J28" s="10">
        <f t="shared" si="5"/>
        <v>0</v>
      </c>
      <c r="K28" s="7">
        <f>'[11]Sep Prod'!H275</f>
        <v>124013</v>
      </c>
      <c r="L28" s="8">
        <f t="shared" si="6"/>
        <v>0.124013</v>
      </c>
      <c r="M28" s="10">
        <f t="shared" si="7"/>
        <v>0.38071990999999999</v>
      </c>
      <c r="N28" s="22">
        <f t="shared" si="8"/>
        <v>62.394719909999445</v>
      </c>
      <c r="O28" s="7">
        <f>'[11]Sep Prod'!H27</f>
        <v>10107000</v>
      </c>
      <c r="P28" s="8">
        <f t="shared" si="9"/>
        <v>10.106999999999999</v>
      </c>
      <c r="Q28" s="10">
        <f t="shared" si="10"/>
        <v>31.028489999999998</v>
      </c>
      <c r="R28" s="7">
        <f>'[11]Sep Prod'!C27</f>
        <v>10424000</v>
      </c>
      <c r="S28" s="8">
        <f t="shared" si="11"/>
        <v>10.423999999999999</v>
      </c>
      <c r="T28" s="10">
        <f t="shared" si="12"/>
        <v>32.001679999999993</v>
      </c>
      <c r="U28" s="7">
        <f>'[11]Sep Prod'!D27</f>
        <v>0</v>
      </c>
      <c r="V28" s="8">
        <f t="shared" si="13"/>
        <v>0</v>
      </c>
      <c r="W28" s="10">
        <f t="shared" si="14"/>
        <v>0</v>
      </c>
      <c r="X28" s="7">
        <f>'[11]Sep Prod'!D275</f>
        <v>317000.00000000017</v>
      </c>
      <c r="Y28" s="8">
        <f t="shared" si="15"/>
        <v>0.31700000000000017</v>
      </c>
      <c r="Z28" s="10">
        <f t="shared" si="16"/>
        <v>0.97319000000000044</v>
      </c>
      <c r="AA28" s="22"/>
      <c r="AB28" s="7">
        <f>'[11]Sep Prod'!G27</f>
        <v>0</v>
      </c>
      <c r="AC28" s="8">
        <f t="shared" si="17"/>
        <v>0</v>
      </c>
      <c r="AD28" s="10">
        <f t="shared" si="18"/>
        <v>0</v>
      </c>
      <c r="AF28" s="7">
        <f t="shared" si="19"/>
        <v>30306999.999999817</v>
      </c>
      <c r="AG28" s="8">
        <f t="shared" si="19"/>
        <v>30.306999999999817</v>
      </c>
      <c r="AH28" s="8">
        <f t="shared" si="19"/>
        <v>93.042489999999447</v>
      </c>
      <c r="AJ28" s="8">
        <f t="shared" si="21"/>
        <v>-5.1070259132757201E-15</v>
      </c>
    </row>
    <row r="29" spans="1:36" x14ac:dyDescent="0.15">
      <c r="A29" s="37">
        <v>38620</v>
      </c>
      <c r="B29" s="7">
        <f>'[11]Sep Prod'!I28</f>
        <v>22300000.000000183</v>
      </c>
      <c r="C29" s="8">
        <f t="shared" si="0"/>
        <v>22.300000000000182</v>
      </c>
      <c r="D29" s="10">
        <f t="shared" si="1"/>
        <v>68.461000000000553</v>
      </c>
      <c r="E29" s="7">
        <f>'[11]Sep Prod'!E28</f>
        <v>22000000</v>
      </c>
      <c r="F29" s="8">
        <f t="shared" si="2"/>
        <v>22</v>
      </c>
      <c r="G29" s="10">
        <f t="shared" si="3"/>
        <v>67.539999999999992</v>
      </c>
      <c r="H29" s="7">
        <f>'[11]Sep Prod'!F28</f>
        <v>0</v>
      </c>
      <c r="I29" s="8">
        <f t="shared" si="4"/>
        <v>0</v>
      </c>
      <c r="J29" s="10">
        <f t="shared" si="5"/>
        <v>0</v>
      </c>
      <c r="K29" s="7">
        <f>'[11]Sep Prod'!H276</f>
        <v>171954</v>
      </c>
      <c r="L29" s="8">
        <f t="shared" si="6"/>
        <v>0.171954</v>
      </c>
      <c r="M29" s="10">
        <f t="shared" si="7"/>
        <v>0.52789878000000001</v>
      </c>
      <c r="N29" s="22">
        <f t="shared" si="8"/>
        <v>68.988898780000554</v>
      </c>
      <c r="O29" s="7">
        <f>'[11]Sep Prod'!H28</f>
        <v>9573000.0000000037</v>
      </c>
      <c r="P29" s="8">
        <f t="shared" si="9"/>
        <v>9.573000000000004</v>
      </c>
      <c r="Q29" s="10">
        <f t="shared" si="10"/>
        <v>29.389110000000009</v>
      </c>
      <c r="R29" s="7">
        <f>'[11]Sep Prod'!C28</f>
        <v>9919000</v>
      </c>
      <c r="S29" s="8">
        <f t="shared" si="11"/>
        <v>9.9190000000000005</v>
      </c>
      <c r="T29" s="10">
        <f t="shared" si="12"/>
        <v>30.451329999999999</v>
      </c>
      <c r="U29" s="7">
        <f>'[11]Sep Prod'!D28</f>
        <v>0</v>
      </c>
      <c r="V29" s="8">
        <f t="shared" si="13"/>
        <v>0</v>
      </c>
      <c r="W29" s="10">
        <f t="shared" si="14"/>
        <v>0</v>
      </c>
      <c r="X29" s="7">
        <f>'[11]Sep Prod'!D276</f>
        <v>345999.99999999651</v>
      </c>
      <c r="Y29" s="8">
        <f t="shared" si="15"/>
        <v>0.34599999999999653</v>
      </c>
      <c r="Z29" s="10">
        <f t="shared" si="16"/>
        <v>1.0622199999999893</v>
      </c>
      <c r="AA29" s="22"/>
      <c r="AB29" s="7">
        <f>'[11]Sep Prod'!G28</f>
        <v>0</v>
      </c>
      <c r="AC29" s="8">
        <f t="shared" si="17"/>
        <v>0</v>
      </c>
      <c r="AD29" s="10">
        <f t="shared" si="18"/>
        <v>0</v>
      </c>
      <c r="AF29" s="7">
        <f t="shared" si="19"/>
        <v>31873000.000000186</v>
      </c>
      <c r="AG29" s="8">
        <f t="shared" si="19"/>
        <v>31.873000000000186</v>
      </c>
      <c r="AH29" s="8">
        <f t="shared" si="19"/>
        <v>97.850110000000569</v>
      </c>
      <c r="AJ29" s="8">
        <f t="shared" si="21"/>
        <v>0</v>
      </c>
    </row>
    <row r="30" spans="1:36" x14ac:dyDescent="0.15">
      <c r="A30" s="37">
        <v>38621</v>
      </c>
      <c r="B30" s="7">
        <f>'[11]Sep Prod'!I29</f>
        <v>21399999.999999635</v>
      </c>
      <c r="C30" s="8">
        <f t="shared" si="0"/>
        <v>21.399999999999636</v>
      </c>
      <c r="D30" s="10">
        <f t="shared" si="1"/>
        <v>65.697999999998885</v>
      </c>
      <c r="E30" s="7">
        <f>'[11]Sep Prod'!E29</f>
        <v>22000000</v>
      </c>
      <c r="F30" s="8">
        <f t="shared" si="2"/>
        <v>22</v>
      </c>
      <c r="G30" s="10">
        <f t="shared" si="3"/>
        <v>67.539999999999992</v>
      </c>
      <c r="H30" s="7">
        <f>'[11]Sep Prod'!F29</f>
        <v>0</v>
      </c>
      <c r="I30" s="8">
        <f t="shared" si="4"/>
        <v>0</v>
      </c>
      <c r="J30" s="10">
        <f t="shared" si="5"/>
        <v>0</v>
      </c>
      <c r="K30" s="7">
        <f>'[11]Sep Prod'!H277</f>
        <v>164662</v>
      </c>
      <c r="L30" s="8">
        <f t="shared" si="6"/>
        <v>0.164662</v>
      </c>
      <c r="M30" s="10">
        <f t="shared" si="7"/>
        <v>0.50551234</v>
      </c>
      <c r="N30" s="22">
        <f t="shared" si="8"/>
        <v>66.203512339998881</v>
      </c>
      <c r="O30" s="7">
        <f>'[11]Sep Prod'!H29</f>
        <v>9452999.9999999944</v>
      </c>
      <c r="P30" s="8">
        <f t="shared" si="9"/>
        <v>9.4529999999999941</v>
      </c>
      <c r="Q30" s="10">
        <f t="shared" si="10"/>
        <v>29.02070999999998</v>
      </c>
      <c r="R30" s="7">
        <f>'[11]Sep Prod'!C29</f>
        <v>9740000</v>
      </c>
      <c r="S30" s="8">
        <f t="shared" si="11"/>
        <v>9.74</v>
      </c>
      <c r="T30" s="10">
        <f t="shared" si="12"/>
        <v>29.901799999999998</v>
      </c>
      <c r="U30" s="7">
        <f>'[11]Sep Prod'!D29</f>
        <v>0</v>
      </c>
      <c r="V30" s="8">
        <f t="shared" si="13"/>
        <v>0</v>
      </c>
      <c r="W30" s="10">
        <f t="shared" si="14"/>
        <v>0</v>
      </c>
      <c r="X30" s="7">
        <f>'[11]Sep Prod'!D277</f>
        <v>287000.00000000611</v>
      </c>
      <c r="Y30" s="8">
        <f t="shared" si="15"/>
        <v>0.28700000000000614</v>
      </c>
      <c r="Z30" s="10">
        <f t="shared" si="16"/>
        <v>0.8810900000000188</v>
      </c>
      <c r="AA30" s="22"/>
      <c r="AB30" s="7">
        <f>'[11]Sep Prod'!G29</f>
        <v>0</v>
      </c>
      <c r="AC30" s="8">
        <f t="shared" si="17"/>
        <v>0</v>
      </c>
      <c r="AD30" s="10">
        <f t="shared" si="18"/>
        <v>0</v>
      </c>
      <c r="AF30" s="7">
        <f t="shared" si="19"/>
        <v>30852999.999999627</v>
      </c>
      <c r="AG30" s="8">
        <f t="shared" si="19"/>
        <v>30.852999999999632</v>
      </c>
      <c r="AH30" s="8">
        <f>D30+Q30</f>
        <v>94.718709999998865</v>
      </c>
      <c r="AJ30" s="8">
        <f t="shared" si="21"/>
        <v>0</v>
      </c>
    </row>
    <row r="31" spans="1:36" x14ac:dyDescent="0.15">
      <c r="A31" s="37">
        <v>38622</v>
      </c>
      <c r="B31" s="7">
        <f>'[11]Sep Prod'!I30</f>
        <v>22900000.000000544</v>
      </c>
      <c r="C31" s="8">
        <f t="shared" si="0"/>
        <v>22.900000000000542</v>
      </c>
      <c r="D31" s="10">
        <f t="shared" si="1"/>
        <v>70.30300000000166</v>
      </c>
      <c r="E31" s="7">
        <f>'[11]Sep Prod'!E30</f>
        <v>22000000</v>
      </c>
      <c r="F31" s="8">
        <f t="shared" si="2"/>
        <v>22</v>
      </c>
      <c r="G31" s="10">
        <f t="shared" si="3"/>
        <v>67.539999999999992</v>
      </c>
      <c r="H31" s="7">
        <f>'[11]Sep Prod'!F30</f>
        <v>0</v>
      </c>
      <c r="I31" s="8">
        <f t="shared" si="4"/>
        <v>0</v>
      </c>
      <c r="J31" s="10">
        <f t="shared" si="5"/>
        <v>0</v>
      </c>
      <c r="K31" s="7">
        <f>'[11]Sep Prod'!H278</f>
        <v>58144</v>
      </c>
      <c r="L31" s="8">
        <f t="shared" si="6"/>
        <v>5.8144000000000001E-2</v>
      </c>
      <c r="M31" s="10">
        <f t="shared" si="7"/>
        <v>0.17850208000000001</v>
      </c>
      <c r="N31" s="22">
        <f t="shared" si="8"/>
        <v>70.481502080001661</v>
      </c>
      <c r="O31" s="7">
        <f>'[11]Sep Prod'!H30</f>
        <v>11227000</v>
      </c>
      <c r="P31" s="8">
        <f t="shared" si="9"/>
        <v>11.227</v>
      </c>
      <c r="Q31" s="10">
        <f t="shared" si="10"/>
        <v>34.466889999999999</v>
      </c>
      <c r="R31" s="7">
        <f>'[11]Sep Prod'!C30</f>
        <v>11453000</v>
      </c>
      <c r="S31" s="8">
        <f t="shared" si="11"/>
        <v>11.452999999999999</v>
      </c>
      <c r="T31" s="10">
        <f t="shared" si="12"/>
        <v>35.160709999999995</v>
      </c>
      <c r="U31" s="7">
        <f>'[11]Sep Prod'!D30</f>
        <v>0</v>
      </c>
      <c r="V31" s="8">
        <f t="shared" si="13"/>
        <v>0</v>
      </c>
      <c r="W31" s="10">
        <f t="shared" si="14"/>
        <v>0</v>
      </c>
      <c r="X31" s="7">
        <f>'[11]Sep Prod'!D278</f>
        <v>225999.9999999991</v>
      </c>
      <c r="Y31" s="8">
        <f t="shared" si="15"/>
        <v>0.22599999999999909</v>
      </c>
      <c r="Z31" s="10">
        <f t="shared" si="16"/>
        <v>0.69381999999999722</v>
      </c>
      <c r="AA31" s="22"/>
      <c r="AB31" s="7">
        <f>'[11]Sep Prod'!G30</f>
        <v>0</v>
      </c>
      <c r="AC31" s="8">
        <f t="shared" si="17"/>
        <v>0</v>
      </c>
      <c r="AD31" s="10">
        <f t="shared" si="18"/>
        <v>0</v>
      </c>
      <c r="AF31" s="7">
        <f t="shared" si="19"/>
        <v>34127000.000000544</v>
      </c>
      <c r="AG31" s="8">
        <f t="shared" si="19"/>
        <v>34.127000000000542</v>
      </c>
      <c r="AH31" s="8">
        <f t="shared" si="19"/>
        <v>104.76989000000165</v>
      </c>
      <c r="AJ31" s="8">
        <f>T31-Q31-Z31</f>
        <v>-1.9984014443252818E-15</v>
      </c>
    </row>
    <row r="32" spans="1:36" x14ac:dyDescent="0.15">
      <c r="A32" s="37">
        <v>38623</v>
      </c>
      <c r="B32" s="7">
        <f>'[11]Sep Prod'!I31</f>
        <v>22199999.999999817</v>
      </c>
      <c r="C32" s="8">
        <f t="shared" si="0"/>
        <v>22.199999999999818</v>
      </c>
      <c r="D32" s="10">
        <f t="shared" si="1"/>
        <v>68.153999999999442</v>
      </c>
      <c r="E32" s="7">
        <f>'[11]Sep Prod'!E31</f>
        <v>22000000</v>
      </c>
      <c r="F32" s="8">
        <f t="shared" si="2"/>
        <v>22</v>
      </c>
      <c r="G32" s="10">
        <f t="shared" si="3"/>
        <v>67.539999999999992</v>
      </c>
      <c r="H32" s="7">
        <f>'[11]Sep Prod'!F31</f>
        <v>0</v>
      </c>
      <c r="I32" s="8">
        <f t="shared" si="4"/>
        <v>0</v>
      </c>
      <c r="J32" s="10">
        <f t="shared" si="5"/>
        <v>0</v>
      </c>
      <c r="K32" s="7">
        <f>'[11]Sep Prod'!H279</f>
        <v>27316</v>
      </c>
      <c r="L32" s="8">
        <f t="shared" si="6"/>
        <v>2.7316E-2</v>
      </c>
      <c r="M32" s="10">
        <f t="shared" si="7"/>
        <v>8.3860119999999996E-2</v>
      </c>
      <c r="N32" s="22">
        <f t="shared" si="8"/>
        <v>68.237860119999439</v>
      </c>
      <c r="O32" s="7">
        <f>'[11]Sep Prod'!H31</f>
        <v>9213000.0000000093</v>
      </c>
      <c r="P32" s="8">
        <f t="shared" si="9"/>
        <v>9.2130000000000098</v>
      </c>
      <c r="Q32" s="10">
        <f>P32*3.07</f>
        <v>28.283910000000027</v>
      </c>
      <c r="R32" s="7">
        <f>'[11]Sep Prod'!C31</f>
        <v>9357000</v>
      </c>
      <c r="S32" s="8">
        <f t="shared" si="11"/>
        <v>9.3569999999999993</v>
      </c>
      <c r="T32" s="10">
        <f t="shared" si="12"/>
        <v>28.725989999999996</v>
      </c>
      <c r="U32" s="7">
        <f>'[11]Sep Prod'!D31</f>
        <v>0</v>
      </c>
      <c r="V32" s="8">
        <f t="shared" si="13"/>
        <v>0</v>
      </c>
      <c r="W32" s="10">
        <f t="shared" si="14"/>
        <v>0</v>
      </c>
      <c r="X32" s="7">
        <f>'[11]Sep Prod'!D279</f>
        <v>143999.99999999124</v>
      </c>
      <c r="Y32" s="8">
        <f t="shared" si="15"/>
        <v>0.14399999999999125</v>
      </c>
      <c r="Z32" s="10">
        <f t="shared" si="16"/>
        <v>0.44207999999997311</v>
      </c>
      <c r="AA32" s="22"/>
      <c r="AB32" s="7">
        <f>'[11]Sep Prod'!G31</f>
        <v>0</v>
      </c>
      <c r="AC32" s="8">
        <f t="shared" si="17"/>
        <v>0</v>
      </c>
      <c r="AD32" s="10">
        <f t="shared" si="18"/>
        <v>0</v>
      </c>
      <c r="AF32" s="7">
        <f t="shared" si="19"/>
        <v>31412999.999999829</v>
      </c>
      <c r="AG32" s="8">
        <f t="shared" si="19"/>
        <v>31.412999999999826</v>
      </c>
      <c r="AH32" s="8">
        <f t="shared" si="19"/>
        <v>96.437909999999476</v>
      </c>
      <c r="AJ32" s="8">
        <f t="shared" si="21"/>
        <v>-4.3853809472693683E-15</v>
      </c>
    </row>
    <row r="33" spans="1:36" x14ac:dyDescent="0.15">
      <c r="A33" s="37">
        <v>38624</v>
      </c>
      <c r="B33" s="7">
        <f>'[11]Sep Prod'!I32</f>
        <v>21300000.000000183</v>
      </c>
      <c r="C33" s="8">
        <f t="shared" si="0"/>
        <v>21.300000000000182</v>
      </c>
      <c r="D33" s="10">
        <f t="shared" si="1"/>
        <v>65.39100000000056</v>
      </c>
      <c r="E33" s="7">
        <f>'[11]Sep Prod'!E32</f>
        <v>21000000</v>
      </c>
      <c r="F33" s="8">
        <f t="shared" si="2"/>
        <v>21</v>
      </c>
      <c r="G33" s="10">
        <f t="shared" si="3"/>
        <v>64.47</v>
      </c>
      <c r="H33" s="7">
        <f>'[11]Sep Prod'!F32</f>
        <v>0</v>
      </c>
      <c r="I33" s="8">
        <f t="shared" si="4"/>
        <v>0</v>
      </c>
      <c r="J33" s="10">
        <f t="shared" si="5"/>
        <v>0</v>
      </c>
      <c r="K33" s="7">
        <f>'[11]Sep Prod'!H280</f>
        <v>421567</v>
      </c>
      <c r="L33" s="8">
        <f t="shared" si="6"/>
        <v>0.42156700000000003</v>
      </c>
      <c r="M33" s="10">
        <f t="shared" si="7"/>
        <v>1.2942106900000001</v>
      </c>
      <c r="N33" s="22">
        <f t="shared" si="8"/>
        <v>66.685210690000559</v>
      </c>
      <c r="O33" s="7">
        <f>'[11]Sep Prod'!H32</f>
        <v>8616999.9999999925</v>
      </c>
      <c r="P33" s="8">
        <f t="shared" si="9"/>
        <v>8.616999999999992</v>
      </c>
      <c r="Q33" s="10">
        <f t="shared" si="10"/>
        <v>26.454189999999976</v>
      </c>
      <c r="R33" s="7">
        <f>'[11]Sep Prod'!C32</f>
        <v>8815000</v>
      </c>
      <c r="S33" s="8">
        <f t="shared" si="11"/>
        <v>8.8149999999999995</v>
      </c>
      <c r="T33" s="10">
        <f t="shared" si="12"/>
        <v>27.062049999999996</v>
      </c>
      <c r="U33" s="7">
        <f>'[11]Sep Prod'!D32</f>
        <v>0</v>
      </c>
      <c r="V33" s="8">
        <f t="shared" si="13"/>
        <v>0</v>
      </c>
      <c r="W33" s="10">
        <f t="shared" si="14"/>
        <v>0</v>
      </c>
      <c r="X33" s="7">
        <f>'[11]Sep Prod'!D280</f>
        <v>198000.00000000751</v>
      </c>
      <c r="Y33" s="8">
        <f t="shared" si="15"/>
        <v>0.1980000000000075</v>
      </c>
      <c r="Z33" s="10">
        <f t="shared" si="16"/>
        <v>0.60786000000002305</v>
      </c>
      <c r="AA33" s="22"/>
      <c r="AB33" s="7">
        <f>'[11]Sep Prod'!G32</f>
        <v>0</v>
      </c>
      <c r="AC33" s="8">
        <f t="shared" si="17"/>
        <v>0</v>
      </c>
      <c r="AD33" s="10">
        <f t="shared" si="18"/>
        <v>0</v>
      </c>
      <c r="AF33" s="7">
        <f t="shared" si="19"/>
        <v>29917000.000000175</v>
      </c>
      <c r="AG33" s="8">
        <f t="shared" si="19"/>
        <v>29.917000000000172</v>
      </c>
      <c r="AH33" s="8">
        <f t="shared" si="19"/>
        <v>91.845190000000542</v>
      </c>
      <c r="AJ33" s="8">
        <f t="shared" si="21"/>
        <v>-2.9976021664879227E-15</v>
      </c>
    </row>
    <row r="34" spans="1:36" x14ac:dyDescent="0.15">
      <c r="A34" s="37">
        <v>38625</v>
      </c>
      <c r="B34" s="7">
        <f>'[11]Sep Prod'!I33</f>
        <v>20899999.999999635</v>
      </c>
      <c r="C34" s="8">
        <f>B34/1000000</f>
        <v>20.899999999999636</v>
      </c>
      <c r="D34" s="10">
        <f t="shared" si="1"/>
        <v>64.162999999998874</v>
      </c>
      <c r="E34" s="7">
        <f>'[11]Sep Prod'!E33</f>
        <v>21000000</v>
      </c>
      <c r="F34" s="8">
        <f t="shared" si="2"/>
        <v>21</v>
      </c>
      <c r="G34" s="10">
        <f t="shared" si="3"/>
        <v>64.47</v>
      </c>
      <c r="H34" s="7">
        <f>'[11]Sep Prod'!F33</f>
        <v>0</v>
      </c>
      <c r="I34" s="8">
        <f t="shared" si="4"/>
        <v>0</v>
      </c>
      <c r="J34" s="10">
        <f t="shared" si="5"/>
        <v>0</v>
      </c>
      <c r="K34" s="7">
        <f>'[11]Sep Prod'!H281</f>
        <v>117846</v>
      </c>
      <c r="L34" s="8">
        <f t="shared" si="6"/>
        <v>0.11784600000000001</v>
      </c>
      <c r="M34" s="10">
        <f t="shared" si="7"/>
        <v>0.36178722000000002</v>
      </c>
      <c r="N34" s="22">
        <f t="shared" si="8"/>
        <v>64.524787219998871</v>
      </c>
      <c r="O34" s="7">
        <f>'[11]Sep Prod'!H33</f>
        <v>8437999.9999999981</v>
      </c>
      <c r="P34" s="8">
        <f t="shared" si="9"/>
        <v>8.4379999999999988</v>
      </c>
      <c r="Q34" s="10">
        <f t="shared" si="10"/>
        <v>25.904659999999996</v>
      </c>
      <c r="R34" s="7">
        <f>'[11]Sep Prod'!C33</f>
        <v>8724000</v>
      </c>
      <c r="S34" s="8">
        <f t="shared" si="11"/>
        <v>8.7240000000000002</v>
      </c>
      <c r="T34" s="10">
        <f t="shared" si="12"/>
        <v>26.782679999999999</v>
      </c>
      <c r="U34" s="7">
        <f>'[11]Sep Prod'!D33</f>
        <v>0</v>
      </c>
      <c r="V34" s="8">
        <f t="shared" si="13"/>
        <v>0</v>
      </c>
      <c r="W34" s="10">
        <f t="shared" si="14"/>
        <v>0</v>
      </c>
      <c r="X34" s="7">
        <f>'[11]Sep Prod'!D281</f>
        <v>286000.00000000134</v>
      </c>
      <c r="Y34" s="8">
        <f t="shared" si="15"/>
        <v>0.28600000000000136</v>
      </c>
      <c r="Z34" s="10">
        <f t="shared" si="16"/>
        <v>0.87802000000000413</v>
      </c>
      <c r="AA34" s="22"/>
      <c r="AB34" s="7">
        <f>'[11]Sep Prod'!G33</f>
        <v>0</v>
      </c>
      <c r="AC34" s="8">
        <f t="shared" si="17"/>
        <v>0</v>
      </c>
      <c r="AD34" s="10">
        <f t="shared" si="18"/>
        <v>0</v>
      </c>
      <c r="AF34" s="7">
        <f t="shared" si="19"/>
        <v>29337999.999999635</v>
      </c>
      <c r="AG34" s="8">
        <f t="shared" si="19"/>
        <v>29.337999999999635</v>
      </c>
      <c r="AH34" s="8">
        <f t="shared" si="19"/>
        <v>90.067659999998867</v>
      </c>
      <c r="AJ34" s="8">
        <f t="shared" si="21"/>
        <v>-1.2212453270876722E-15</v>
      </c>
    </row>
    <row r="35" spans="1:36" x14ac:dyDescent="0.15">
      <c r="A35" s="3"/>
      <c r="B35" s="33">
        <f t="shared" ref="B35:I35" si="22">SUM(B5:B34)</f>
        <v>685899999.99999976</v>
      </c>
      <c r="C35" s="33">
        <f t="shared" si="22"/>
        <v>685.89999999999964</v>
      </c>
      <c r="D35" s="41">
        <f t="shared" si="22"/>
        <v>2105.7129999999993</v>
      </c>
      <c r="E35" s="33">
        <f t="shared" si="22"/>
        <v>679000000</v>
      </c>
      <c r="F35" s="33">
        <f t="shared" si="22"/>
        <v>679</v>
      </c>
      <c r="G35" s="33">
        <f t="shared" si="22"/>
        <v>2084.5299999999993</v>
      </c>
      <c r="H35" s="33">
        <f t="shared" si="22"/>
        <v>0</v>
      </c>
      <c r="I35" s="33">
        <f t="shared" si="22"/>
        <v>0</v>
      </c>
      <c r="J35" s="41">
        <f t="shared" si="5"/>
        <v>0</v>
      </c>
      <c r="K35" s="33">
        <f>SUM(K5:K34)</f>
        <v>4041671</v>
      </c>
      <c r="L35" s="33">
        <f>SUM(L5:L34)</f>
        <v>4.0416709999999991</v>
      </c>
      <c r="M35" s="41">
        <f t="shared" si="7"/>
        <v>12.407929969999996</v>
      </c>
      <c r="N35" s="21"/>
      <c r="O35" s="33">
        <f>SUM(O5:O34)</f>
        <v>288268000</v>
      </c>
      <c r="P35" s="33">
        <f>SUM(P5:P34)</f>
        <v>288.26800000000003</v>
      </c>
      <c r="Q35" s="41">
        <f t="shared" si="10"/>
        <v>884.9827600000001</v>
      </c>
      <c r="R35" s="33"/>
      <c r="S35" s="33">
        <f>SUM(S5:S34)</f>
        <v>301.45399999999995</v>
      </c>
      <c r="T35" s="41">
        <f t="shared" si="12"/>
        <v>925.46377999999982</v>
      </c>
      <c r="U35" s="33">
        <f>SUM(U5:U34)</f>
        <v>0</v>
      </c>
      <c r="V35" s="33">
        <f>SUM(V5:V34)</f>
        <v>0</v>
      </c>
      <c r="W35" s="41">
        <f t="shared" si="14"/>
        <v>0</v>
      </c>
      <c r="X35" s="33"/>
      <c r="Y35" s="33">
        <f>SUM(Y5:Y34)</f>
        <v>13.186000000000007</v>
      </c>
      <c r="Z35" s="41">
        <f t="shared" si="16"/>
        <v>40.481020000000022</v>
      </c>
      <c r="AA35" s="21"/>
      <c r="AB35" s="33">
        <f>SUM(AB5:AB34)</f>
        <v>0</v>
      </c>
      <c r="AC35" s="33">
        <f>SUM(AC5:AC34)</f>
        <v>0</v>
      </c>
      <c r="AD35" s="41">
        <f t="shared" si="18"/>
        <v>0</v>
      </c>
      <c r="AF35" s="7">
        <f>B35+O35</f>
        <v>974167999.99999976</v>
      </c>
      <c r="AG35" s="8">
        <f t="shared" si="19"/>
        <v>974.16799999999967</v>
      </c>
      <c r="AH35" s="8">
        <f t="shared" si="19"/>
        <v>2990.6957599999996</v>
      </c>
      <c r="AJ35" s="8">
        <f t="shared" si="21"/>
        <v>-3.0553337637684308E-13</v>
      </c>
    </row>
    <row r="36" spans="1:36" x14ac:dyDescent="0.15">
      <c r="C36" s="25"/>
      <c r="E36" s="3"/>
      <c r="F36" s="3"/>
      <c r="G36" s="3"/>
      <c r="H36" s="3"/>
      <c r="I36" s="3"/>
      <c r="J36" s="3"/>
      <c r="K36" s="21"/>
      <c r="L36" s="3"/>
      <c r="M36" s="3"/>
      <c r="N36" s="3"/>
      <c r="O36" s="3"/>
      <c r="P36" s="3"/>
      <c r="Q36" s="3"/>
      <c r="R36" s="3"/>
      <c r="S36" s="3"/>
      <c r="T36" s="3"/>
      <c r="U36" s="21"/>
      <c r="AF36" s="40"/>
      <c r="AG36" s="40"/>
      <c r="AH36" s="32"/>
      <c r="AJ36" s="40"/>
    </row>
    <row r="37" spans="1:36" x14ac:dyDescent="0.15">
      <c r="Q37" s="25"/>
    </row>
    <row r="38" spans="1:36" x14ac:dyDescent="0.15">
      <c r="Q38" s="25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scale="34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N38"/>
  <sheetViews>
    <sheetView workbookViewId="0">
      <pane xSplit="1" ySplit="4" topLeftCell="AB18" activePane="bottomRight" state="frozen"/>
      <selection pane="topRight" activeCell="B1" sqref="B1"/>
      <selection pane="bottomLeft" activeCell="A5" sqref="A5"/>
      <selection pane="bottomRight" activeCell="AN31" sqref="AN31"/>
    </sheetView>
  </sheetViews>
  <sheetFormatPr baseColWidth="10" defaultColWidth="8.83203125" defaultRowHeight="13" x14ac:dyDescent="0.15"/>
  <cols>
    <col min="2" max="2" width="11" customWidth="1"/>
    <col min="5" max="5" width="11.33203125" customWidth="1"/>
    <col min="8" max="8" width="11.6640625" customWidth="1"/>
    <col min="11" max="11" width="15.5" customWidth="1"/>
    <col min="12" max="12" width="10.6640625" customWidth="1"/>
    <col min="13" max="13" width="12.1640625" customWidth="1"/>
    <col min="15" max="15" width="11" customWidth="1"/>
    <col min="18" max="18" width="10.6640625" customWidth="1"/>
    <col min="22" max="22" width="10.6640625" customWidth="1"/>
    <col min="32" max="32" width="13.5" customWidth="1"/>
    <col min="38" max="38" width="11.5" customWidth="1"/>
  </cols>
  <sheetData>
    <row r="1" spans="1:40" x14ac:dyDescent="0.15">
      <c r="A1" s="34"/>
      <c r="B1" s="35"/>
      <c r="C1" s="35"/>
      <c r="D1" s="35"/>
      <c r="E1" s="35"/>
      <c r="F1" s="35"/>
      <c r="G1" s="3"/>
      <c r="H1" s="3"/>
      <c r="I1" s="3"/>
      <c r="J1" s="3"/>
      <c r="K1" s="21"/>
      <c r="L1" s="3"/>
      <c r="M1" s="3"/>
      <c r="N1" s="3"/>
      <c r="O1" s="3"/>
      <c r="P1" s="3"/>
      <c r="Q1" s="3"/>
      <c r="R1" s="3"/>
      <c r="S1" s="3"/>
      <c r="T1" s="3"/>
      <c r="U1" s="21"/>
      <c r="V1" s="3"/>
      <c r="W1" s="3"/>
      <c r="X1" s="3"/>
    </row>
    <row r="2" spans="1:40" ht="14" thickBot="1" x14ac:dyDescent="0.2">
      <c r="A2" s="3"/>
      <c r="B2" s="3"/>
      <c r="C2" s="33"/>
      <c r="D2" s="3"/>
      <c r="E2" s="3"/>
      <c r="F2" s="3"/>
      <c r="G2" s="3"/>
      <c r="H2" s="3"/>
      <c r="I2" s="3"/>
      <c r="J2" s="3"/>
      <c r="K2" s="21"/>
      <c r="L2" s="3"/>
      <c r="M2" s="3"/>
      <c r="N2" s="3"/>
      <c r="O2" s="3"/>
      <c r="P2" s="3"/>
      <c r="Q2" s="3"/>
      <c r="R2" s="3"/>
      <c r="S2" s="3"/>
      <c r="T2" s="3"/>
      <c r="U2" s="21"/>
      <c r="V2" s="3"/>
      <c r="W2" s="3"/>
      <c r="X2" s="3"/>
    </row>
    <row r="3" spans="1:40" ht="71" thickBot="1" x14ac:dyDescent="0.2">
      <c r="A3" s="3"/>
      <c r="B3" s="50" t="s">
        <v>10</v>
      </c>
      <c r="C3" s="51"/>
      <c r="D3" s="52"/>
      <c r="E3" s="50" t="s">
        <v>11</v>
      </c>
      <c r="F3" s="51"/>
      <c r="G3" s="52"/>
      <c r="H3" s="50" t="s">
        <v>12</v>
      </c>
      <c r="I3" s="51"/>
      <c r="J3" s="52"/>
      <c r="K3" s="50" t="s">
        <v>13</v>
      </c>
      <c r="L3" s="51"/>
      <c r="M3" s="52"/>
      <c r="N3" s="26"/>
      <c r="O3" s="50" t="s">
        <v>4</v>
      </c>
      <c r="P3" s="51"/>
      <c r="Q3" s="52"/>
      <c r="R3" s="50" t="s">
        <v>3</v>
      </c>
      <c r="S3" s="51"/>
      <c r="T3" s="52"/>
      <c r="U3" s="50" t="s">
        <v>6</v>
      </c>
      <c r="V3" s="51"/>
      <c r="W3" s="52"/>
      <c r="X3" s="50" t="s">
        <v>7</v>
      </c>
      <c r="Y3" s="51"/>
      <c r="Z3" s="52"/>
      <c r="AA3" s="26"/>
      <c r="AB3" s="50" t="s">
        <v>5</v>
      </c>
      <c r="AC3" s="51"/>
      <c r="AD3" s="52"/>
      <c r="AF3" s="56" t="s">
        <v>8</v>
      </c>
      <c r="AG3" s="57"/>
      <c r="AH3" s="58"/>
      <c r="AJ3" s="45" t="s">
        <v>9</v>
      </c>
      <c r="AL3" s="59" t="s">
        <v>14</v>
      </c>
      <c r="AM3" s="60"/>
      <c r="AN3" s="61"/>
    </row>
    <row r="4" spans="1:40" x14ac:dyDescent="0.15">
      <c r="A4" s="36"/>
      <c r="B4" s="4" t="s">
        <v>0</v>
      </c>
      <c r="C4" s="24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26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26"/>
      <c r="AB4" s="4" t="s">
        <v>0</v>
      </c>
      <c r="AC4" s="5" t="s">
        <v>1</v>
      </c>
      <c r="AD4" s="6" t="s">
        <v>2</v>
      </c>
      <c r="AF4" s="42" t="s">
        <v>0</v>
      </c>
      <c r="AG4" s="43" t="s">
        <v>1</v>
      </c>
      <c r="AH4" s="44" t="s">
        <v>2</v>
      </c>
      <c r="AJ4" s="5" t="s">
        <v>2</v>
      </c>
      <c r="AL4" s="47" t="s">
        <v>0</v>
      </c>
      <c r="AM4" s="48" t="s">
        <v>1</v>
      </c>
      <c r="AN4" s="49" t="s">
        <v>2</v>
      </c>
    </row>
    <row r="5" spans="1:40" x14ac:dyDescent="0.15">
      <c r="A5" s="37">
        <v>38626</v>
      </c>
      <c r="B5" s="7">
        <f>'[12]Oct Prod'!I4</f>
        <v>21300000.000000183</v>
      </c>
      <c r="C5" s="8">
        <f>B5/1000000</f>
        <v>21.300000000000182</v>
      </c>
      <c r="D5" s="10">
        <f>C5*3.07</f>
        <v>65.39100000000056</v>
      </c>
      <c r="E5" s="7">
        <f>'[12]Oct Prod'!E4</f>
        <v>21000000</v>
      </c>
      <c r="F5" s="8">
        <f>E5/1000000</f>
        <v>21</v>
      </c>
      <c r="G5" s="10">
        <f>F5*3.07</f>
        <v>64.47</v>
      </c>
      <c r="H5" s="7">
        <f>'[12]Oct Prod'!F4</f>
        <v>0</v>
      </c>
      <c r="I5" s="8">
        <f>H5/1000000</f>
        <v>0</v>
      </c>
      <c r="J5" s="10">
        <f>I5*3.07</f>
        <v>0</v>
      </c>
      <c r="K5" s="7">
        <f>'[12]Oct Prod'!H259</f>
        <v>22155</v>
      </c>
      <c r="L5" s="8">
        <f>K5/1000000</f>
        <v>2.2155000000000001E-2</v>
      </c>
      <c r="M5" s="10">
        <f>L5*3.07</f>
        <v>6.8015850000000003E-2</v>
      </c>
      <c r="N5" s="22"/>
      <c r="O5" s="7">
        <f>'[12]Oct Prod'!H4</f>
        <v>10365000.000000004</v>
      </c>
      <c r="P5" s="8">
        <f>O5/1000000</f>
        <v>10.365000000000004</v>
      </c>
      <c r="Q5" s="10">
        <f>P5*3.07</f>
        <v>31.820550000000011</v>
      </c>
      <c r="R5" s="7">
        <f>'[12]Oct Prod'!C4</f>
        <v>10650000</v>
      </c>
      <c r="S5" s="8">
        <f>R5/1000000</f>
        <v>10.65</v>
      </c>
      <c r="T5" s="10">
        <f>S5*3.07</f>
        <v>32.695500000000003</v>
      </c>
      <c r="U5" s="7">
        <f>'[12]Oct Prod'!D4</f>
        <v>0</v>
      </c>
      <c r="V5" s="8">
        <f>U5/1000000</f>
        <v>0</v>
      </c>
      <c r="W5" s="10">
        <f>V5*3.07</f>
        <v>0</v>
      </c>
      <c r="X5" s="7">
        <f>'[12]Oct Prod'!D259</f>
        <v>284999.99999999657</v>
      </c>
      <c r="Y5" s="8">
        <f>X5/1000000</f>
        <v>0.28499999999999659</v>
      </c>
      <c r="Z5" s="10">
        <f>Y5*3.07</f>
        <v>0.87494999999998946</v>
      </c>
      <c r="AA5" s="22"/>
      <c r="AB5" s="7">
        <f>'[12]Oct Prod'!G4</f>
        <v>0</v>
      </c>
      <c r="AC5" s="8">
        <f>AB5/1000000</f>
        <v>0</v>
      </c>
      <c r="AD5" s="10">
        <f>AC5*3.07</f>
        <v>0</v>
      </c>
      <c r="AF5" s="7">
        <f>B5+O5</f>
        <v>31665000.000000186</v>
      </c>
      <c r="AG5" s="8">
        <f>C5+P5</f>
        <v>31.665000000000184</v>
      </c>
      <c r="AH5" s="8">
        <f>D5+Q5</f>
        <v>97.211550000000571</v>
      </c>
      <c r="AJ5" s="8">
        <f>T5-Q5-Z5</f>
        <v>1.7763568394002505E-15</v>
      </c>
      <c r="AL5" s="7">
        <f>IF(B5-E5-H5&lt;0,0,B5-E5-H5)</f>
        <v>300000.00000018254</v>
      </c>
      <c r="AM5" s="8">
        <f>AL5/1000000</f>
        <v>0.30000000000018257</v>
      </c>
      <c r="AN5" s="10">
        <f>AM5*3.07</f>
        <v>0.92100000000056048</v>
      </c>
    </row>
    <row r="6" spans="1:40" x14ac:dyDescent="0.15">
      <c r="A6" s="37">
        <v>38627</v>
      </c>
      <c r="B6" s="7">
        <f>'[12]Oct Prod'!I5</f>
        <v>20500000</v>
      </c>
      <c r="C6" s="8">
        <f t="shared" ref="C6:C35" si="0">B6/1000000</f>
        <v>20.5</v>
      </c>
      <c r="D6" s="10">
        <f t="shared" ref="D6:D35" si="1">C6*3.07</f>
        <v>62.934999999999995</v>
      </c>
      <c r="E6" s="7">
        <f>'[12]Oct Prod'!E5</f>
        <v>20000000</v>
      </c>
      <c r="F6" s="8">
        <f t="shared" ref="F6:F35" si="2">E6/1000000</f>
        <v>20</v>
      </c>
      <c r="G6" s="10">
        <f t="shared" ref="G6:G35" si="3">F6*3.07</f>
        <v>61.4</v>
      </c>
      <c r="H6" s="7">
        <f>'[12]Oct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'[12]Oct Prod'!H260</f>
        <v>0</v>
      </c>
      <c r="L6" s="8">
        <f t="shared" ref="L6:L35" si="6">K6/1000000</f>
        <v>0</v>
      </c>
      <c r="M6" s="10">
        <f t="shared" ref="M6:M35" si="7">L6*3.07</f>
        <v>0</v>
      </c>
      <c r="N6" s="22"/>
      <c r="O6" s="7">
        <f>'[12]Oct Prod'!H5</f>
        <v>9634999.9999999981</v>
      </c>
      <c r="P6" s="8">
        <f t="shared" ref="P6:P35" si="8">O6/1000000</f>
        <v>9.634999999999998</v>
      </c>
      <c r="Q6" s="10">
        <f t="shared" ref="Q6:Q35" si="9">P6*3.07</f>
        <v>29.579449999999991</v>
      </c>
      <c r="R6" s="7">
        <f>'[12]Oct Prod'!C5</f>
        <v>9796000</v>
      </c>
      <c r="S6" s="8">
        <f t="shared" ref="S6:S35" si="10">R6/1000000</f>
        <v>9.7959999999999994</v>
      </c>
      <c r="T6" s="10">
        <f t="shared" ref="T6:T35" si="11">S6*3.07</f>
        <v>30.073719999999998</v>
      </c>
      <c r="U6" s="7">
        <f>'[12]Oct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'[12]Oct Prod'!D260</f>
        <v>161000.00000000137</v>
      </c>
      <c r="Y6" s="8">
        <f t="shared" ref="Y6:Y35" si="14">X6/1000000</f>
        <v>0.16100000000000136</v>
      </c>
      <c r="Z6" s="10">
        <f t="shared" ref="Z6:Z35" si="15">Y6*3.07</f>
        <v>0.49427000000000415</v>
      </c>
      <c r="AA6" s="22"/>
      <c r="AB6" s="7">
        <f>'[12]Oct Prod'!G5</f>
        <v>0</v>
      </c>
      <c r="AC6" s="8">
        <f t="shared" ref="AC6:AC35" si="16">AB6/1000000</f>
        <v>0</v>
      </c>
      <c r="AD6" s="10">
        <f t="shared" ref="AD6:AD35" si="17">AC6*3.07</f>
        <v>0</v>
      </c>
      <c r="AF6" s="7">
        <f t="shared" ref="AF6:AH35" si="18">B6+O6</f>
        <v>30135000</v>
      </c>
      <c r="AG6" s="8">
        <f t="shared" si="18"/>
        <v>30.134999999999998</v>
      </c>
      <c r="AH6" s="8">
        <f t="shared" si="18"/>
        <v>92.514449999999982</v>
      </c>
      <c r="AJ6" s="8">
        <f>T6-Q6-Z6</f>
        <v>3.1641356201816961E-15</v>
      </c>
      <c r="AL6" s="7">
        <f>IF(B6-E6-H6&lt;0,0,B6-E6-H6)</f>
        <v>500000</v>
      </c>
      <c r="AM6" s="8">
        <f t="shared" ref="AM6:AM35" si="19">AL6/1000000</f>
        <v>0.5</v>
      </c>
      <c r="AN6" s="10">
        <f t="shared" ref="AN6:AN35" si="20">AM6*3.07</f>
        <v>1.5349999999999999</v>
      </c>
    </row>
    <row r="7" spans="1:40" x14ac:dyDescent="0.15">
      <c r="A7" s="37">
        <v>38628</v>
      </c>
      <c r="B7" s="7">
        <f>'[12]Oct Prod'!I6</f>
        <v>19800000.000000183</v>
      </c>
      <c r="C7" s="8">
        <f t="shared" si="0"/>
        <v>19.800000000000182</v>
      </c>
      <c r="D7" s="10">
        <f t="shared" si="1"/>
        <v>60.786000000000556</v>
      </c>
      <c r="E7" s="7">
        <f>'[12]Oct Prod'!E6</f>
        <v>20000000</v>
      </c>
      <c r="F7" s="8">
        <f t="shared" si="2"/>
        <v>20</v>
      </c>
      <c r="G7" s="10">
        <f t="shared" si="3"/>
        <v>61.4</v>
      </c>
      <c r="H7" s="7">
        <f>'[12]Oct Prod'!F6</f>
        <v>0</v>
      </c>
      <c r="I7" s="8">
        <f t="shared" si="4"/>
        <v>0</v>
      </c>
      <c r="J7" s="10">
        <f t="shared" si="5"/>
        <v>0</v>
      </c>
      <c r="K7" s="7">
        <f>'[12]Oct Prod'!H261</f>
        <v>0</v>
      </c>
      <c r="L7" s="8">
        <f t="shared" si="6"/>
        <v>0</v>
      </c>
      <c r="M7" s="10">
        <f t="shared" si="7"/>
        <v>0</v>
      </c>
      <c r="N7" s="22"/>
      <c r="O7" s="7">
        <f>'[12]Oct Prod'!H6</f>
        <v>10010000.000000006</v>
      </c>
      <c r="P7" s="8">
        <f t="shared" si="8"/>
        <v>10.010000000000005</v>
      </c>
      <c r="Q7" s="10">
        <f t="shared" si="9"/>
        <v>30.730700000000013</v>
      </c>
      <c r="R7" s="7">
        <f>'[12]Oct Prod'!C6</f>
        <v>10134000</v>
      </c>
      <c r="S7" s="8">
        <f t="shared" si="10"/>
        <v>10.134</v>
      </c>
      <c r="T7" s="10">
        <f t="shared" si="11"/>
        <v>31.11138</v>
      </c>
      <c r="U7" s="7">
        <f>'[12]Oct Prod'!D6</f>
        <v>0</v>
      </c>
      <c r="V7" s="8">
        <f t="shared" si="12"/>
        <v>0</v>
      </c>
      <c r="W7" s="10">
        <f t="shared" si="13"/>
        <v>0</v>
      </c>
      <c r="X7" s="7">
        <f>'[12]Oct Prod'!D261</f>
        <v>123999.99999999523</v>
      </c>
      <c r="Y7" s="8">
        <f t="shared" si="14"/>
        <v>0.12399999999999523</v>
      </c>
      <c r="Z7" s="10">
        <f t="shared" si="15"/>
        <v>0.38067999999998531</v>
      </c>
      <c r="AA7" s="22"/>
      <c r="AB7" s="7">
        <f>'[12]Oct Prod'!G6</f>
        <v>0</v>
      </c>
      <c r="AC7" s="8">
        <f t="shared" si="16"/>
        <v>0</v>
      </c>
      <c r="AD7" s="10">
        <f t="shared" si="17"/>
        <v>0</v>
      </c>
      <c r="AF7" s="7">
        <f t="shared" si="18"/>
        <v>29810000.000000186</v>
      </c>
      <c r="AG7" s="8">
        <f t="shared" si="18"/>
        <v>29.810000000000187</v>
      </c>
      <c r="AH7" s="8">
        <f t="shared" si="18"/>
        <v>91.516700000000569</v>
      </c>
      <c r="AJ7" s="8">
        <f t="shared" ref="AJ7:AJ14" si="21">T7-Q7-Z7</f>
        <v>2.1649348980190553E-15</v>
      </c>
      <c r="AL7" s="7">
        <f>IF(B7-E7-H7&lt;0, ,B7-E7-H7)</f>
        <v>0</v>
      </c>
      <c r="AM7" s="8">
        <f t="shared" si="19"/>
        <v>0</v>
      </c>
      <c r="AN7" s="10">
        <f t="shared" si="20"/>
        <v>0</v>
      </c>
    </row>
    <row r="8" spans="1:40" x14ac:dyDescent="0.15">
      <c r="A8" s="37">
        <v>38629</v>
      </c>
      <c r="B8" s="7">
        <f>'[12]Oct Prod'!I7</f>
        <v>20000000</v>
      </c>
      <c r="C8" s="8">
        <f t="shared" si="0"/>
        <v>20</v>
      </c>
      <c r="D8" s="10">
        <f t="shared" si="1"/>
        <v>61.4</v>
      </c>
      <c r="E8" s="7">
        <f>'[12]Oct Prod'!E7</f>
        <v>20000000</v>
      </c>
      <c r="F8" s="8">
        <f t="shared" si="2"/>
        <v>20</v>
      </c>
      <c r="G8" s="10">
        <f t="shared" si="3"/>
        <v>61.4</v>
      </c>
      <c r="H8" s="7">
        <f>'[12]Oct Prod'!F7</f>
        <v>0</v>
      </c>
      <c r="I8" s="8">
        <f t="shared" si="4"/>
        <v>0</v>
      </c>
      <c r="J8" s="10">
        <f t="shared" si="5"/>
        <v>0</v>
      </c>
      <c r="K8" s="7">
        <f>'[12]Oct Prod'!H262</f>
        <v>414099</v>
      </c>
      <c r="L8" s="8">
        <f t="shared" si="6"/>
        <v>0.41409899999999999</v>
      </c>
      <c r="M8" s="10">
        <f t="shared" si="7"/>
        <v>1.2712839299999998</v>
      </c>
      <c r="N8" s="22"/>
      <c r="O8" s="7">
        <f>'[12]Oct Prod'!H7</f>
        <v>9729999.9999999981</v>
      </c>
      <c r="P8" s="8">
        <f t="shared" si="8"/>
        <v>9.7299999999999986</v>
      </c>
      <c r="Q8" s="10">
        <f t="shared" si="9"/>
        <v>29.871099999999995</v>
      </c>
      <c r="R8" s="7">
        <f>'[12]Oct Prod'!C7</f>
        <v>10013000</v>
      </c>
      <c r="S8" s="8">
        <f t="shared" si="10"/>
        <v>10.013</v>
      </c>
      <c r="T8" s="10">
        <f t="shared" si="11"/>
        <v>30.739909999999998</v>
      </c>
      <c r="U8" s="7">
        <f>'[12]Oct Prod'!D7</f>
        <v>0</v>
      </c>
      <c r="V8" s="8">
        <f t="shared" si="12"/>
        <v>0</v>
      </c>
      <c r="W8" s="10">
        <f t="shared" si="13"/>
        <v>0</v>
      </c>
      <c r="X8" s="7">
        <f>'[12]Oct Prod'!D262</f>
        <v>283000.00000000122</v>
      </c>
      <c r="Y8" s="8">
        <f t="shared" si="14"/>
        <v>0.2830000000000012</v>
      </c>
      <c r="Z8" s="10">
        <f t="shared" si="15"/>
        <v>0.86881000000000363</v>
      </c>
      <c r="AA8" s="22"/>
      <c r="AB8" s="7">
        <f>'[12]Oct Prod'!G7</f>
        <v>0</v>
      </c>
      <c r="AC8" s="8">
        <f t="shared" si="16"/>
        <v>0</v>
      </c>
      <c r="AD8" s="10">
        <f t="shared" si="17"/>
        <v>0</v>
      </c>
      <c r="AF8" s="7">
        <f t="shared" si="18"/>
        <v>29730000</v>
      </c>
      <c r="AG8" s="8">
        <f t="shared" si="18"/>
        <v>29.729999999999997</v>
      </c>
      <c r="AH8" s="8">
        <f>D8+Q8</f>
        <v>91.27109999999999</v>
      </c>
      <c r="AJ8" s="8">
        <f t="shared" si="21"/>
        <v>0</v>
      </c>
      <c r="AL8" s="7">
        <f t="shared" ref="AL8:AL35" si="22">IF(B8-E8-H8&lt;0, ,B8-E8-H8)</f>
        <v>0</v>
      </c>
      <c r="AM8" s="8">
        <f t="shared" si="19"/>
        <v>0</v>
      </c>
      <c r="AN8" s="10">
        <f t="shared" si="20"/>
        <v>0</v>
      </c>
    </row>
    <row r="9" spans="1:40" x14ac:dyDescent="0.15">
      <c r="A9" s="37">
        <v>38630</v>
      </c>
      <c r="B9" s="7">
        <f>'[12]Oct Prod'!I8</f>
        <v>16599999.999999454</v>
      </c>
      <c r="C9" s="8">
        <f t="shared" si="0"/>
        <v>16.599999999999454</v>
      </c>
      <c r="D9" s="10">
        <f t="shared" si="1"/>
        <v>50.961999999998319</v>
      </c>
      <c r="E9" s="7">
        <f>'[12]Oct Prod'!E8</f>
        <v>17000000</v>
      </c>
      <c r="F9" s="8">
        <f t="shared" si="2"/>
        <v>17</v>
      </c>
      <c r="G9" s="10">
        <f t="shared" si="3"/>
        <v>52.19</v>
      </c>
      <c r="H9" s="7">
        <f>'[12]Oct Prod'!F8</f>
        <v>0</v>
      </c>
      <c r="I9" s="8">
        <f t="shared" si="4"/>
        <v>0</v>
      </c>
      <c r="J9" s="10">
        <f t="shared" si="5"/>
        <v>0</v>
      </c>
      <c r="K9" s="7">
        <f>'[12]Oct Prod'!H263</f>
        <v>380197</v>
      </c>
      <c r="L9" s="8">
        <f t="shared" si="6"/>
        <v>0.38019700000000001</v>
      </c>
      <c r="M9" s="10">
        <f t="shared" si="7"/>
        <v>1.16720479</v>
      </c>
      <c r="N9" s="22"/>
      <c r="O9" s="7">
        <f>'[12]Oct Prod'!H8</f>
        <v>9197999.9999999981</v>
      </c>
      <c r="P9" s="8">
        <f t="shared" si="8"/>
        <v>9.1979999999999986</v>
      </c>
      <c r="Q9" s="10">
        <f t="shared" si="9"/>
        <v>28.237859999999994</v>
      </c>
      <c r="R9" s="7">
        <f>'[12]Oct Prod'!C8</f>
        <v>9475000</v>
      </c>
      <c r="S9" s="8">
        <f t="shared" si="10"/>
        <v>9.4749999999999996</v>
      </c>
      <c r="T9" s="10">
        <f t="shared" si="11"/>
        <v>29.088249999999999</v>
      </c>
      <c r="U9" s="7">
        <f>'[12]Oct Prod'!D8</f>
        <v>0</v>
      </c>
      <c r="V9" s="8">
        <f t="shared" si="12"/>
        <v>0</v>
      </c>
      <c r="W9" s="10">
        <f t="shared" si="13"/>
        <v>0</v>
      </c>
      <c r="X9" s="7">
        <f>'[12]Oct Prod'!D263</f>
        <v>277000.00000000105</v>
      </c>
      <c r="Y9" s="8">
        <f t="shared" si="14"/>
        <v>0.27700000000000102</v>
      </c>
      <c r="Z9" s="10">
        <f t="shared" si="15"/>
        <v>0.85039000000000309</v>
      </c>
      <c r="AA9" s="22"/>
      <c r="AB9" s="7">
        <f>'[12]Oct Prod'!G8</f>
        <v>0</v>
      </c>
      <c r="AC9" s="8">
        <f t="shared" si="16"/>
        <v>0</v>
      </c>
      <c r="AD9" s="10">
        <f t="shared" si="17"/>
        <v>0</v>
      </c>
      <c r="AF9" s="7">
        <f t="shared" si="18"/>
        <v>25797999.999999452</v>
      </c>
      <c r="AG9" s="8">
        <f t="shared" si="18"/>
        <v>25.797999999999455</v>
      </c>
      <c r="AH9" s="8">
        <f t="shared" si="18"/>
        <v>79.19985999999831</v>
      </c>
      <c r="AJ9" s="8">
        <f t="shared" si="21"/>
        <v>1.3322676295501878E-15</v>
      </c>
      <c r="AL9" s="7">
        <f t="shared" si="22"/>
        <v>0</v>
      </c>
      <c r="AM9" s="8">
        <f t="shared" si="19"/>
        <v>0</v>
      </c>
      <c r="AN9" s="10">
        <f t="shared" si="20"/>
        <v>0</v>
      </c>
    </row>
    <row r="10" spans="1:40" x14ac:dyDescent="0.15">
      <c r="A10" s="37">
        <v>38631</v>
      </c>
      <c r="B10" s="7">
        <f>'[12]Oct Prod'!I9</f>
        <v>19500000</v>
      </c>
      <c r="C10" s="8">
        <f t="shared" si="0"/>
        <v>19.5</v>
      </c>
      <c r="D10" s="10">
        <f t="shared" si="1"/>
        <v>59.864999999999995</v>
      </c>
      <c r="E10" s="7">
        <f>'[12]Oct Prod'!E9</f>
        <v>19000000</v>
      </c>
      <c r="F10" s="8">
        <f t="shared" si="2"/>
        <v>19</v>
      </c>
      <c r="G10" s="10">
        <f t="shared" si="3"/>
        <v>58.33</v>
      </c>
      <c r="H10" s="7">
        <f>'[12]Oct Prod'!F9</f>
        <v>0</v>
      </c>
      <c r="I10" s="8">
        <f t="shared" si="4"/>
        <v>0</v>
      </c>
      <c r="J10" s="10">
        <f t="shared" si="5"/>
        <v>0</v>
      </c>
      <c r="K10" s="7">
        <f>'[12]Oct Prod'!H264</f>
        <v>287740</v>
      </c>
      <c r="L10" s="8">
        <f t="shared" si="6"/>
        <v>0.28774</v>
      </c>
      <c r="M10" s="10">
        <f t="shared" si="7"/>
        <v>0.88336179999999997</v>
      </c>
      <c r="N10" s="22"/>
      <c r="O10" s="7">
        <f>'[12]Oct Prod'!H9</f>
        <v>9899000.0000000056</v>
      </c>
      <c r="P10" s="8">
        <f t="shared" si="8"/>
        <v>9.8990000000000062</v>
      </c>
      <c r="Q10" s="10">
        <f t="shared" si="9"/>
        <v>30.389930000000017</v>
      </c>
      <c r="R10" s="7">
        <f>'[12]Oct Prod'!C9</f>
        <v>10115000</v>
      </c>
      <c r="S10" s="8">
        <f t="shared" si="10"/>
        <v>10.115</v>
      </c>
      <c r="T10" s="10">
        <f t="shared" si="11"/>
        <v>31.053049999999999</v>
      </c>
      <c r="U10" s="7">
        <f>'[12]Oct Prod'!D9</f>
        <v>0</v>
      </c>
      <c r="V10" s="8">
        <f t="shared" si="12"/>
        <v>0</v>
      </c>
      <c r="W10" s="10">
        <f t="shared" si="13"/>
        <v>0</v>
      </c>
      <c r="X10" s="7">
        <f>'[12]Oct Prod'!D264</f>
        <v>215999.99999999398</v>
      </c>
      <c r="Y10" s="8">
        <f t="shared" si="14"/>
        <v>0.21599999999999397</v>
      </c>
      <c r="Z10" s="10">
        <f t="shared" si="15"/>
        <v>0.6631199999999815</v>
      </c>
      <c r="AA10" s="22"/>
      <c r="AB10" s="7">
        <f>'[12]Oct Prod'!G9</f>
        <v>0</v>
      </c>
      <c r="AC10" s="8">
        <f t="shared" si="16"/>
        <v>0</v>
      </c>
      <c r="AD10" s="10">
        <f t="shared" si="17"/>
        <v>0</v>
      </c>
      <c r="AF10" s="7">
        <f t="shared" si="18"/>
        <v>29399000.000000007</v>
      </c>
      <c r="AG10" s="8">
        <f t="shared" si="18"/>
        <v>29.399000000000008</v>
      </c>
      <c r="AH10" s="8">
        <f t="shared" si="18"/>
        <v>90.254930000000016</v>
      </c>
      <c r="AJ10" s="8">
        <f t="shared" si="21"/>
        <v>0</v>
      </c>
      <c r="AL10" s="7">
        <f t="shared" si="22"/>
        <v>500000</v>
      </c>
      <c r="AM10" s="8">
        <f t="shared" si="19"/>
        <v>0.5</v>
      </c>
      <c r="AN10" s="10">
        <f t="shared" si="20"/>
        <v>1.5349999999999999</v>
      </c>
    </row>
    <row r="11" spans="1:40" x14ac:dyDescent="0.15">
      <c r="A11" s="37">
        <v>38632</v>
      </c>
      <c r="B11" s="7">
        <f>'[12]Oct Prod'!I10</f>
        <v>16800000.000000183</v>
      </c>
      <c r="C11" s="8">
        <f t="shared" si="0"/>
        <v>16.800000000000182</v>
      </c>
      <c r="D11" s="10">
        <f t="shared" si="1"/>
        <v>51.576000000000555</v>
      </c>
      <c r="E11" s="7">
        <f>'[12]Oct Prod'!E10</f>
        <v>18000000</v>
      </c>
      <c r="F11" s="8">
        <f t="shared" si="2"/>
        <v>18</v>
      </c>
      <c r="G11" s="10">
        <f t="shared" si="3"/>
        <v>55.26</v>
      </c>
      <c r="H11" s="7">
        <f>'[12]Oct Prod'!F10</f>
        <v>0</v>
      </c>
      <c r="I11" s="8">
        <f t="shared" si="4"/>
        <v>0</v>
      </c>
      <c r="J11" s="10">
        <f t="shared" si="5"/>
        <v>0</v>
      </c>
      <c r="K11" s="7">
        <f>'[12]Oct Prod'!H265</f>
        <v>415297</v>
      </c>
      <c r="L11" s="8">
        <f t="shared" si="6"/>
        <v>0.41529700000000003</v>
      </c>
      <c r="M11" s="10">
        <f t="shared" si="7"/>
        <v>1.2749617900000001</v>
      </c>
      <c r="N11" s="22"/>
      <c r="O11" s="7">
        <f>'[12]Oct Prod'!H10</f>
        <v>7859999.9999999916</v>
      </c>
      <c r="P11" s="8">
        <f t="shared" si="8"/>
        <v>7.8599999999999914</v>
      </c>
      <c r="Q11" s="10">
        <f t="shared" si="9"/>
        <v>24.130199999999974</v>
      </c>
      <c r="R11" s="7">
        <f>'[12]Oct Prod'!C10</f>
        <v>7960000</v>
      </c>
      <c r="S11" s="8">
        <f t="shared" si="10"/>
        <v>7.96</v>
      </c>
      <c r="T11" s="10">
        <f t="shared" si="11"/>
        <v>24.437199999999997</v>
      </c>
      <c r="U11" s="7">
        <f>'[12]Oct Prod'!D10</f>
        <v>0</v>
      </c>
      <c r="V11" s="8">
        <f t="shared" si="12"/>
        <v>0</v>
      </c>
      <c r="W11" s="10">
        <f t="shared" si="13"/>
        <v>0</v>
      </c>
      <c r="X11" s="7">
        <f>'[12]Oct Prod'!D265</f>
        <v>100000.00000000853</v>
      </c>
      <c r="Y11" s="8">
        <f t="shared" si="14"/>
        <v>0.10000000000000853</v>
      </c>
      <c r="Z11" s="10">
        <f t="shared" si="15"/>
        <v>0.30700000000002614</v>
      </c>
      <c r="AA11" s="22"/>
      <c r="AB11" s="7">
        <f>'[12]Oct Prod'!G10</f>
        <v>0</v>
      </c>
      <c r="AC11" s="8">
        <f t="shared" si="16"/>
        <v>0</v>
      </c>
      <c r="AD11" s="10">
        <f t="shared" si="17"/>
        <v>0</v>
      </c>
      <c r="AF11" s="7">
        <f t="shared" si="18"/>
        <v>24660000.000000175</v>
      </c>
      <c r="AG11" s="8">
        <f t="shared" si="18"/>
        <v>24.660000000000174</v>
      </c>
      <c r="AH11" s="8">
        <f t="shared" si="18"/>
        <v>75.706200000000536</v>
      </c>
      <c r="AJ11" s="8">
        <f t="shared" si="21"/>
        <v>-2.6645352591003757E-15</v>
      </c>
      <c r="AL11" s="7">
        <f t="shared" si="22"/>
        <v>0</v>
      </c>
      <c r="AM11" s="8">
        <f t="shared" si="19"/>
        <v>0</v>
      </c>
      <c r="AN11" s="10">
        <f t="shared" si="20"/>
        <v>0</v>
      </c>
    </row>
    <row r="12" spans="1:40" x14ac:dyDescent="0.15">
      <c r="A12" s="37">
        <v>38633</v>
      </c>
      <c r="B12" s="7">
        <f>'[12]Oct Prod'!I11</f>
        <v>15899999.999999637</v>
      </c>
      <c r="C12" s="8">
        <f t="shared" si="0"/>
        <v>15.899999999999636</v>
      </c>
      <c r="D12" s="10">
        <f t="shared" si="1"/>
        <v>48.81299999999888</v>
      </c>
      <c r="E12" s="7">
        <f>'[12]Oct Prod'!E11</f>
        <v>12000000</v>
      </c>
      <c r="F12" s="8">
        <f t="shared" si="2"/>
        <v>12</v>
      </c>
      <c r="G12" s="10">
        <f t="shared" si="3"/>
        <v>36.839999999999996</v>
      </c>
      <c r="H12" s="7">
        <f>'[12]Oct Prod'!F11</f>
        <v>3000000</v>
      </c>
      <c r="I12" s="8">
        <f t="shared" si="4"/>
        <v>3</v>
      </c>
      <c r="J12" s="10">
        <f t="shared" si="5"/>
        <v>9.2099999999999991</v>
      </c>
      <c r="K12" s="7">
        <f>'[12]Oct Prod'!H266</f>
        <v>165578</v>
      </c>
      <c r="L12" s="8">
        <f t="shared" si="6"/>
        <v>0.165578</v>
      </c>
      <c r="M12" s="10">
        <f t="shared" si="7"/>
        <v>0.50832445999999998</v>
      </c>
      <c r="N12" s="22"/>
      <c r="O12" s="7">
        <f>'[12]Oct Prod'!H11</f>
        <v>7480000.0000000102</v>
      </c>
      <c r="P12" s="8">
        <f t="shared" si="8"/>
        <v>7.4800000000000102</v>
      </c>
      <c r="Q12" s="10">
        <f t="shared" si="9"/>
        <v>22.963600000000032</v>
      </c>
      <c r="R12" s="7">
        <f>'[12]Oct Prod'!C11</f>
        <v>7719000</v>
      </c>
      <c r="S12" s="8">
        <f t="shared" si="10"/>
        <v>7.7190000000000003</v>
      </c>
      <c r="T12" s="10">
        <f t="shared" si="11"/>
        <v>23.697330000000001</v>
      </c>
      <c r="U12" s="7">
        <f>'[12]Oct Prod'!D11</f>
        <v>0</v>
      </c>
      <c r="V12" s="8">
        <f t="shared" si="12"/>
        <v>0</v>
      </c>
      <c r="W12" s="10">
        <f t="shared" si="13"/>
        <v>0</v>
      </c>
      <c r="X12" s="7">
        <f>'[12]Oct Prod'!D266</f>
        <v>238999.9999999901</v>
      </c>
      <c r="Y12" s="8">
        <f t="shared" si="14"/>
        <v>0.23899999999999011</v>
      </c>
      <c r="Z12" s="10">
        <f t="shared" si="15"/>
        <v>0.73372999999996957</v>
      </c>
      <c r="AA12" s="22"/>
      <c r="AB12" s="7">
        <f>'[12]Oct Prod'!G11</f>
        <v>0</v>
      </c>
      <c r="AC12" s="8">
        <f t="shared" si="16"/>
        <v>0</v>
      </c>
      <c r="AD12" s="10">
        <f t="shared" si="17"/>
        <v>0</v>
      </c>
      <c r="AF12" s="7">
        <f t="shared" si="18"/>
        <v>23379999.999999646</v>
      </c>
      <c r="AG12" s="8">
        <f t="shared" si="18"/>
        <v>23.379999999999647</v>
      </c>
      <c r="AH12" s="8">
        <f t="shared" si="18"/>
        <v>71.776599999998908</v>
      </c>
      <c r="AJ12" s="8">
        <f t="shared" si="21"/>
        <v>0</v>
      </c>
      <c r="AL12" s="7">
        <f t="shared" si="22"/>
        <v>899999.99999963678</v>
      </c>
      <c r="AM12" s="8">
        <f t="shared" si="19"/>
        <v>0.89999999999963676</v>
      </c>
      <c r="AN12" s="10">
        <f t="shared" si="20"/>
        <v>2.7629999999988848</v>
      </c>
    </row>
    <row r="13" spans="1:40" x14ac:dyDescent="0.15">
      <c r="A13" s="37">
        <v>38634</v>
      </c>
      <c r="B13" s="7">
        <f>'[12]Oct Prod'!I12</f>
        <v>16800000.000001092</v>
      </c>
      <c r="C13" s="8">
        <f t="shared" si="0"/>
        <v>16.800000000001091</v>
      </c>
      <c r="D13" s="10">
        <f t="shared" si="1"/>
        <v>51.576000000003347</v>
      </c>
      <c r="E13" s="7">
        <f>'[12]Oct Prod'!E12</f>
        <v>11000000</v>
      </c>
      <c r="F13" s="8">
        <f t="shared" si="2"/>
        <v>11</v>
      </c>
      <c r="G13" s="10">
        <f t="shared" si="3"/>
        <v>33.769999999999996</v>
      </c>
      <c r="H13" s="7">
        <f>'[12]Oct Prod'!F12</f>
        <v>5000000</v>
      </c>
      <c r="I13" s="8">
        <f t="shared" si="4"/>
        <v>5</v>
      </c>
      <c r="J13" s="10">
        <f t="shared" si="5"/>
        <v>15.35</v>
      </c>
      <c r="K13" s="7">
        <f>'[12]Oct Prod'!H267</f>
        <v>331311</v>
      </c>
      <c r="L13" s="8">
        <f t="shared" si="6"/>
        <v>0.33131100000000002</v>
      </c>
      <c r="M13" s="10">
        <f t="shared" si="7"/>
        <v>1.0171247700000001</v>
      </c>
      <c r="N13" s="22"/>
      <c r="O13" s="7">
        <f>'[12]Oct Prod'!H12</f>
        <v>4921999.9999999888</v>
      </c>
      <c r="P13" s="8">
        <f t="shared" si="8"/>
        <v>4.9219999999999891</v>
      </c>
      <c r="Q13" s="10">
        <f t="shared" si="9"/>
        <v>15.110539999999965</v>
      </c>
      <c r="R13" s="7">
        <f>'[12]Oct Prod'!C12</f>
        <v>5207000</v>
      </c>
      <c r="S13" s="8">
        <f t="shared" si="10"/>
        <v>5.2069999999999999</v>
      </c>
      <c r="T13" s="10">
        <f t="shared" si="11"/>
        <v>15.985489999999999</v>
      </c>
      <c r="U13" s="7">
        <f>'[12]Oct Prod'!D12</f>
        <v>0</v>
      </c>
      <c r="V13" s="8">
        <f t="shared" si="12"/>
        <v>0</v>
      </c>
      <c r="W13" s="10">
        <f t="shared" si="13"/>
        <v>0</v>
      </c>
      <c r="X13" s="7">
        <f>'[12]Oct Prod'!D267</f>
        <v>285000.00000001083</v>
      </c>
      <c r="Y13" s="8">
        <f t="shared" si="14"/>
        <v>0.2850000000000108</v>
      </c>
      <c r="Z13" s="10">
        <f t="shared" si="15"/>
        <v>0.87495000000003309</v>
      </c>
      <c r="AA13" s="22"/>
      <c r="AB13" s="7">
        <f>'[12]Oct Prod'!G12</f>
        <v>0</v>
      </c>
      <c r="AC13" s="8">
        <f t="shared" si="16"/>
        <v>0</v>
      </c>
      <c r="AD13" s="10">
        <f t="shared" si="17"/>
        <v>0</v>
      </c>
      <c r="AF13" s="7">
        <f t="shared" si="18"/>
        <v>21722000.00000108</v>
      </c>
      <c r="AG13" s="8">
        <f t="shared" si="18"/>
        <v>21.722000000001081</v>
      </c>
      <c r="AH13" s="8">
        <f t="shared" si="18"/>
        <v>66.686540000003305</v>
      </c>
      <c r="AJ13" s="8">
        <f t="shared" si="21"/>
        <v>0</v>
      </c>
      <c r="AL13" s="7">
        <f t="shared" si="22"/>
        <v>800000.00000109151</v>
      </c>
      <c r="AM13" s="8">
        <f t="shared" si="19"/>
        <v>0.8000000000010915</v>
      </c>
      <c r="AN13" s="10">
        <f t="shared" si="20"/>
        <v>2.4560000000033506</v>
      </c>
    </row>
    <row r="14" spans="1:40" x14ac:dyDescent="0.15">
      <c r="A14" s="37">
        <v>38635</v>
      </c>
      <c r="B14" s="7">
        <f>'[12]Oct Prod'!I13</f>
        <v>16799999.999999274</v>
      </c>
      <c r="C14" s="8">
        <f t="shared" si="0"/>
        <v>16.799999999999272</v>
      </c>
      <c r="D14" s="10">
        <f t="shared" si="1"/>
        <v>51.575999999997762</v>
      </c>
      <c r="E14" s="7">
        <f>'[12]Oct Prod'!E13</f>
        <v>13000000</v>
      </c>
      <c r="F14" s="8">
        <f t="shared" si="2"/>
        <v>13</v>
      </c>
      <c r="G14" s="10">
        <f t="shared" si="3"/>
        <v>39.909999999999997</v>
      </c>
      <c r="H14" s="7">
        <f>'[12]Oct Prod'!F13</f>
        <v>5000000</v>
      </c>
      <c r="I14" s="8">
        <f t="shared" si="4"/>
        <v>5</v>
      </c>
      <c r="J14" s="10">
        <f t="shared" si="5"/>
        <v>15.35</v>
      </c>
      <c r="K14" s="7">
        <f>'[12]Oct Prod'!H268</f>
        <v>372502</v>
      </c>
      <c r="L14" s="8">
        <f t="shared" si="6"/>
        <v>0.372502</v>
      </c>
      <c r="M14" s="10">
        <f t="shared" si="7"/>
        <v>1.14358114</v>
      </c>
      <c r="N14" s="22"/>
      <c r="O14" s="7">
        <f>'[12]Oct Prod'!H13</f>
        <v>4872000.0000000056</v>
      </c>
      <c r="P14" s="8">
        <f t="shared" si="8"/>
        <v>4.8720000000000052</v>
      </c>
      <c r="Q14" s="10">
        <f t="shared" si="9"/>
        <v>14.957040000000015</v>
      </c>
      <c r="R14" s="7">
        <f>'[12]Oct Prod'!C13</f>
        <v>5099000</v>
      </c>
      <c r="S14" s="8">
        <f t="shared" si="10"/>
        <v>5.0990000000000002</v>
      </c>
      <c r="T14" s="10">
        <f t="shared" si="11"/>
        <v>15.653929999999999</v>
      </c>
      <c r="U14" s="7">
        <f>'[12]Oct Prod'!D13</f>
        <v>0</v>
      </c>
      <c r="V14" s="8">
        <f t="shared" si="12"/>
        <v>0</v>
      </c>
      <c r="W14" s="10">
        <f t="shared" si="13"/>
        <v>0</v>
      </c>
      <c r="X14" s="7">
        <f>'[12]Oct Prod'!D268</f>
        <v>227999.99999999444</v>
      </c>
      <c r="Y14" s="8">
        <f t="shared" si="14"/>
        <v>0.22799999999999443</v>
      </c>
      <c r="Z14" s="10">
        <f t="shared" si="15"/>
        <v>0.69995999999998282</v>
      </c>
      <c r="AA14" s="22"/>
      <c r="AB14" s="7">
        <f>'[12]Oct Prod'!G13</f>
        <v>0</v>
      </c>
      <c r="AC14" s="8">
        <f t="shared" si="16"/>
        <v>0</v>
      </c>
      <c r="AD14" s="10">
        <f t="shared" si="17"/>
        <v>0</v>
      </c>
      <c r="AF14" s="7">
        <f t="shared" si="18"/>
        <v>21671999.999999277</v>
      </c>
      <c r="AG14" s="8">
        <f t="shared" si="18"/>
        <v>21.671999999999279</v>
      </c>
      <c r="AH14" s="8">
        <f t="shared" si="18"/>
        <v>66.533039999997783</v>
      </c>
      <c r="AJ14" s="8">
        <f t="shared" si="21"/>
        <v>-3.069999999999018E-3</v>
      </c>
      <c r="AL14" s="7">
        <f t="shared" si="22"/>
        <v>0</v>
      </c>
      <c r="AM14" s="8">
        <f t="shared" si="19"/>
        <v>0</v>
      </c>
      <c r="AN14" s="10">
        <f t="shared" si="20"/>
        <v>0</v>
      </c>
    </row>
    <row r="15" spans="1:40" x14ac:dyDescent="0.15">
      <c r="A15" s="37">
        <v>38636</v>
      </c>
      <c r="B15" s="7">
        <f>'[12]Oct Prod'!I14</f>
        <v>17200000.000000726</v>
      </c>
      <c r="C15" s="8">
        <f t="shared" si="0"/>
        <v>17.200000000000728</v>
      </c>
      <c r="D15" s="10">
        <f t="shared" si="1"/>
        <v>52.804000000002233</v>
      </c>
      <c r="E15" s="7">
        <f>'[12]Oct Prod'!E14</f>
        <v>15000000</v>
      </c>
      <c r="F15" s="8">
        <f t="shared" si="2"/>
        <v>15</v>
      </c>
      <c r="G15" s="10">
        <f t="shared" si="3"/>
        <v>46.05</v>
      </c>
      <c r="H15" s="7">
        <f>'[12]Oct Prod'!F14</f>
        <v>3000000</v>
      </c>
      <c r="I15" s="8">
        <f t="shared" si="4"/>
        <v>3</v>
      </c>
      <c r="J15" s="10">
        <f t="shared" si="5"/>
        <v>9.2099999999999991</v>
      </c>
      <c r="K15" s="7">
        <f>'[12]Oct Prod'!H269</f>
        <v>0</v>
      </c>
      <c r="L15" s="8">
        <f t="shared" si="6"/>
        <v>0</v>
      </c>
      <c r="M15" s="10">
        <f t="shared" si="7"/>
        <v>0</v>
      </c>
      <c r="N15" s="22"/>
      <c r="O15" s="7">
        <f>'[12]Oct Prod'!H14</f>
        <v>1844000</v>
      </c>
      <c r="P15" s="8">
        <f t="shared" si="8"/>
        <v>1.8440000000000001</v>
      </c>
      <c r="Q15" s="10">
        <f t="shared" si="9"/>
        <v>5.6610800000000001</v>
      </c>
      <c r="R15" s="7">
        <f>'[12]Oct Prod'!C14</f>
        <v>1844000</v>
      </c>
      <c r="S15" s="8">
        <f t="shared" si="10"/>
        <v>1.8440000000000001</v>
      </c>
      <c r="T15" s="10">
        <f t="shared" si="11"/>
        <v>5.6610800000000001</v>
      </c>
      <c r="U15" s="7">
        <f>'[12]Oct Prod'!D14</f>
        <v>0</v>
      </c>
      <c r="V15" s="8">
        <f t="shared" si="12"/>
        <v>0</v>
      </c>
      <c r="W15" s="10">
        <f t="shared" si="13"/>
        <v>0</v>
      </c>
      <c r="X15" s="7">
        <f>'[12]Oct Prod'!D269</f>
        <v>0</v>
      </c>
      <c r="Y15" s="8">
        <f t="shared" si="14"/>
        <v>0</v>
      </c>
      <c r="Z15" s="10">
        <f t="shared" si="15"/>
        <v>0</v>
      </c>
      <c r="AA15" s="22"/>
      <c r="AB15" s="7">
        <f>'[12]Oct Prod'!G14</f>
        <v>0</v>
      </c>
      <c r="AC15" s="8">
        <f t="shared" si="16"/>
        <v>0</v>
      </c>
      <c r="AD15" s="10">
        <f t="shared" si="17"/>
        <v>0</v>
      </c>
      <c r="AF15" s="7">
        <f t="shared" si="18"/>
        <v>19044000.000000726</v>
      </c>
      <c r="AG15" s="8">
        <f t="shared" si="18"/>
        <v>19.044000000000729</v>
      </c>
      <c r="AH15" s="8">
        <f t="shared" si="18"/>
        <v>58.465080000002231</v>
      </c>
      <c r="AJ15" s="8">
        <f>T15-Q15-Z15</f>
        <v>0</v>
      </c>
      <c r="AL15" s="7">
        <f t="shared" si="22"/>
        <v>0</v>
      </c>
      <c r="AM15" s="8">
        <f t="shared" si="19"/>
        <v>0</v>
      </c>
      <c r="AN15" s="10">
        <f t="shared" si="20"/>
        <v>0</v>
      </c>
    </row>
    <row r="16" spans="1:40" x14ac:dyDescent="0.15">
      <c r="A16" s="37">
        <v>38637</v>
      </c>
      <c r="B16" s="7">
        <f>'[12]Oct Prod'!I15</f>
        <v>17699999.999998908</v>
      </c>
      <c r="C16" s="8">
        <f t="shared" si="0"/>
        <v>17.699999999998909</v>
      </c>
      <c r="D16" s="10">
        <f t="shared" si="1"/>
        <v>54.338999999996645</v>
      </c>
      <c r="E16" s="7">
        <f>'[12]Oct Prod'!E15</f>
        <v>17000000</v>
      </c>
      <c r="F16" s="8">
        <f t="shared" si="2"/>
        <v>17</v>
      </c>
      <c r="G16" s="10">
        <f t="shared" si="3"/>
        <v>52.19</v>
      </c>
      <c r="H16" s="7">
        <f>'[12]Oct Prod'!F15</f>
        <v>0</v>
      </c>
      <c r="I16" s="8">
        <f t="shared" si="4"/>
        <v>0</v>
      </c>
      <c r="J16" s="10">
        <f t="shared" si="5"/>
        <v>0</v>
      </c>
      <c r="K16" s="7">
        <f>'[12]Oct Prod'!H270</f>
        <v>0</v>
      </c>
      <c r="L16" s="8">
        <f t="shared" si="6"/>
        <v>0</v>
      </c>
      <c r="M16" s="10">
        <f t="shared" si="7"/>
        <v>0</v>
      </c>
      <c r="N16" s="22"/>
      <c r="O16" s="7">
        <f>'[12]Oct Prod'!H15</f>
        <v>0</v>
      </c>
      <c r="P16" s="8">
        <f t="shared" si="8"/>
        <v>0</v>
      </c>
      <c r="Q16" s="10">
        <f t="shared" si="9"/>
        <v>0</v>
      </c>
      <c r="R16" s="7">
        <f>'[12]Oct Prod'!C15</f>
        <v>0</v>
      </c>
      <c r="S16" s="8">
        <f t="shared" si="10"/>
        <v>0</v>
      </c>
      <c r="T16" s="10">
        <f t="shared" si="11"/>
        <v>0</v>
      </c>
      <c r="U16" s="7">
        <f>'[12]Oct Prod'!D15</f>
        <v>0</v>
      </c>
      <c r="V16" s="8">
        <f t="shared" si="12"/>
        <v>0</v>
      </c>
      <c r="W16" s="10">
        <f t="shared" si="13"/>
        <v>0</v>
      </c>
      <c r="X16" s="7">
        <f>'[12]Oct Prod'!D270</f>
        <v>0</v>
      </c>
      <c r="Y16" s="8">
        <f t="shared" si="14"/>
        <v>0</v>
      </c>
      <c r="Z16" s="10">
        <f t="shared" si="15"/>
        <v>0</v>
      </c>
      <c r="AA16" s="22"/>
      <c r="AB16" s="7">
        <f>'[12]Oct Prod'!G15</f>
        <v>0</v>
      </c>
      <c r="AC16" s="8">
        <f t="shared" si="16"/>
        <v>0</v>
      </c>
      <c r="AD16" s="10">
        <f t="shared" si="17"/>
        <v>0</v>
      </c>
      <c r="AF16" s="7">
        <f t="shared" si="18"/>
        <v>17699999.999998908</v>
      </c>
      <c r="AG16" s="8">
        <f t="shared" si="18"/>
        <v>17.699999999998909</v>
      </c>
      <c r="AH16" s="8">
        <f t="shared" si="18"/>
        <v>54.338999999996645</v>
      </c>
      <c r="AJ16" s="8">
        <f>T16-Q16-Z16</f>
        <v>0</v>
      </c>
      <c r="AL16" s="7">
        <f t="shared" si="22"/>
        <v>699999.99999890849</v>
      </c>
      <c r="AM16" s="8">
        <f t="shared" si="19"/>
        <v>0.6999999999989085</v>
      </c>
      <c r="AN16" s="10">
        <f t="shared" si="20"/>
        <v>2.1489999999966489</v>
      </c>
    </row>
    <row r="17" spans="1:40" x14ac:dyDescent="0.15">
      <c r="A17" s="37">
        <v>38638</v>
      </c>
      <c r="B17" s="7">
        <f>'[12]Oct Prod'!I16</f>
        <v>14700000.000000728</v>
      </c>
      <c r="C17" s="8">
        <f t="shared" si="0"/>
        <v>14.700000000000728</v>
      </c>
      <c r="D17" s="10">
        <f t="shared" si="1"/>
        <v>45.129000000002229</v>
      </c>
      <c r="E17" s="7">
        <f>'[12]Oct Prod'!E16</f>
        <v>15000000</v>
      </c>
      <c r="F17" s="8">
        <f t="shared" si="2"/>
        <v>15</v>
      </c>
      <c r="G17" s="10">
        <f t="shared" si="3"/>
        <v>46.05</v>
      </c>
      <c r="H17" s="7">
        <f>'[12]Oct Prod'!F16</f>
        <v>0</v>
      </c>
      <c r="I17" s="8">
        <f t="shared" si="4"/>
        <v>0</v>
      </c>
      <c r="J17" s="10">
        <f t="shared" si="5"/>
        <v>0</v>
      </c>
      <c r="K17" s="7">
        <f>'[12]Oct Prod'!H271</f>
        <v>375718</v>
      </c>
      <c r="L17" s="8">
        <f t="shared" si="6"/>
        <v>0.375718</v>
      </c>
      <c r="M17" s="10">
        <f t="shared" si="7"/>
        <v>1.15345426</v>
      </c>
      <c r="N17" s="22"/>
      <c r="O17" s="7">
        <f>'[12]Oct Prod'!H16</f>
        <v>0</v>
      </c>
      <c r="P17" s="8">
        <f t="shared" si="8"/>
        <v>0</v>
      </c>
      <c r="Q17" s="10">
        <f t="shared" si="9"/>
        <v>0</v>
      </c>
      <c r="R17" s="7">
        <f>'[12]Oct Prod'!C16</f>
        <v>0</v>
      </c>
      <c r="S17" s="8">
        <f t="shared" si="10"/>
        <v>0</v>
      </c>
      <c r="T17" s="10">
        <f t="shared" si="11"/>
        <v>0</v>
      </c>
      <c r="U17" s="7">
        <f>'[12]Oct Prod'!D16</f>
        <v>0</v>
      </c>
      <c r="V17" s="8">
        <f t="shared" si="12"/>
        <v>0</v>
      </c>
      <c r="W17" s="10">
        <f t="shared" si="13"/>
        <v>0</v>
      </c>
      <c r="X17" s="7">
        <f>'[12]Oct Prod'!D271</f>
        <v>0</v>
      </c>
      <c r="Y17" s="8">
        <f t="shared" si="14"/>
        <v>0</v>
      </c>
      <c r="Z17" s="10">
        <f t="shared" si="15"/>
        <v>0</v>
      </c>
      <c r="AA17" s="22"/>
      <c r="AB17" s="7">
        <f>'[12]Oct Prod'!G16</f>
        <v>0</v>
      </c>
      <c r="AC17" s="8">
        <f t="shared" si="16"/>
        <v>0</v>
      </c>
      <c r="AD17" s="10">
        <f t="shared" si="17"/>
        <v>0</v>
      </c>
      <c r="AF17" s="7">
        <f t="shared" si="18"/>
        <v>14700000.000000728</v>
      </c>
      <c r="AG17" s="8">
        <f t="shared" si="18"/>
        <v>14.700000000000728</v>
      </c>
      <c r="AH17" s="8">
        <f t="shared" si="18"/>
        <v>45.129000000002229</v>
      </c>
      <c r="AJ17" s="8">
        <f>T17-Q17-Z17</f>
        <v>0</v>
      </c>
      <c r="AL17" s="7">
        <f t="shared" si="22"/>
        <v>0</v>
      </c>
      <c r="AM17" s="8">
        <f t="shared" si="19"/>
        <v>0</v>
      </c>
      <c r="AN17" s="10">
        <f t="shared" si="20"/>
        <v>0</v>
      </c>
    </row>
    <row r="18" spans="1:40" x14ac:dyDescent="0.15">
      <c r="A18" s="37">
        <v>38639</v>
      </c>
      <c r="B18" s="7">
        <f>'[12]Oct Prod'!I17</f>
        <v>16799999.999999274</v>
      </c>
      <c r="C18" s="8">
        <f t="shared" si="0"/>
        <v>16.799999999999272</v>
      </c>
      <c r="D18" s="10">
        <f t="shared" si="1"/>
        <v>51.575999999997762</v>
      </c>
      <c r="E18" s="7">
        <f>'[12]Oct Prod'!E17</f>
        <v>17000000</v>
      </c>
      <c r="F18" s="8">
        <f t="shared" si="2"/>
        <v>17</v>
      </c>
      <c r="G18" s="10">
        <f t="shared" si="3"/>
        <v>52.19</v>
      </c>
      <c r="H18" s="7">
        <f>'[12]Oct Prod'!F17</f>
        <v>0</v>
      </c>
      <c r="I18" s="8">
        <f t="shared" si="4"/>
        <v>0</v>
      </c>
      <c r="J18" s="10">
        <f t="shared" si="5"/>
        <v>0</v>
      </c>
      <c r="K18" s="7">
        <f>'[12]Oct Prod'!H272</f>
        <v>448916</v>
      </c>
      <c r="L18" s="8">
        <f t="shared" si="6"/>
        <v>0.44891599999999998</v>
      </c>
      <c r="M18" s="10">
        <f t="shared" si="7"/>
        <v>1.3781721199999999</v>
      </c>
      <c r="N18" s="22"/>
      <c r="O18" s="7">
        <f>'[12]Oct Prod'!H17</f>
        <v>0</v>
      </c>
      <c r="P18" s="8">
        <f t="shared" si="8"/>
        <v>0</v>
      </c>
      <c r="Q18" s="10">
        <f t="shared" si="9"/>
        <v>0</v>
      </c>
      <c r="R18" s="7">
        <f>'[12]Oct Prod'!C17</f>
        <v>0</v>
      </c>
      <c r="S18" s="8">
        <f t="shared" si="10"/>
        <v>0</v>
      </c>
      <c r="T18" s="10">
        <f t="shared" si="11"/>
        <v>0</v>
      </c>
      <c r="U18" s="7">
        <f>'[12]Oct Prod'!D17</f>
        <v>0</v>
      </c>
      <c r="V18" s="8">
        <f t="shared" si="12"/>
        <v>0</v>
      </c>
      <c r="W18" s="10">
        <f t="shared" si="13"/>
        <v>0</v>
      </c>
      <c r="X18" s="7">
        <f>'[12]Oct Prod'!D272</f>
        <v>0</v>
      </c>
      <c r="Y18" s="8">
        <f t="shared" si="14"/>
        <v>0</v>
      </c>
      <c r="Z18" s="10">
        <f t="shared" si="15"/>
        <v>0</v>
      </c>
      <c r="AA18" s="22"/>
      <c r="AB18" s="7">
        <f>'[12]Oct Prod'!G17</f>
        <v>0</v>
      </c>
      <c r="AC18" s="8">
        <f t="shared" si="16"/>
        <v>0</v>
      </c>
      <c r="AD18" s="10">
        <f t="shared" si="17"/>
        <v>0</v>
      </c>
      <c r="AF18" s="7">
        <f t="shared" si="18"/>
        <v>16799999.999999274</v>
      </c>
      <c r="AG18" s="8">
        <f t="shared" si="18"/>
        <v>16.799999999999272</v>
      </c>
      <c r="AH18" s="8">
        <f t="shared" si="18"/>
        <v>51.575999999997762</v>
      </c>
      <c r="AJ18" s="8">
        <f>T18-Q18-Z18</f>
        <v>0</v>
      </c>
      <c r="AL18" s="7">
        <f t="shared" si="22"/>
        <v>0</v>
      </c>
      <c r="AM18" s="8">
        <f t="shared" si="19"/>
        <v>0</v>
      </c>
      <c r="AN18" s="10">
        <f t="shared" si="20"/>
        <v>0</v>
      </c>
    </row>
    <row r="19" spans="1:40" x14ac:dyDescent="0.15">
      <c r="A19" s="37">
        <v>38640</v>
      </c>
      <c r="B19" s="7">
        <f>'[12]Oct Prod'!I18</f>
        <v>16200000.000000728</v>
      </c>
      <c r="C19" s="8">
        <f t="shared" si="0"/>
        <v>16.200000000000728</v>
      </c>
      <c r="D19" s="10">
        <f t="shared" si="1"/>
        <v>49.734000000002233</v>
      </c>
      <c r="E19" s="7">
        <f>'[12]Oct Prod'!E18</f>
        <v>13000000</v>
      </c>
      <c r="F19" s="8">
        <f t="shared" si="2"/>
        <v>13</v>
      </c>
      <c r="G19" s="10">
        <f t="shared" si="3"/>
        <v>39.909999999999997</v>
      </c>
      <c r="H19" s="7">
        <f>'[12]Oct Prod'!F18</f>
        <v>3000000</v>
      </c>
      <c r="I19" s="8">
        <f t="shared" si="4"/>
        <v>3</v>
      </c>
      <c r="J19" s="10">
        <f t="shared" si="5"/>
        <v>9.2099999999999991</v>
      </c>
      <c r="K19" s="7">
        <f>'[12]Oct Prod'!H273</f>
        <v>0</v>
      </c>
      <c r="L19" s="8">
        <f t="shared" si="6"/>
        <v>0</v>
      </c>
      <c r="M19" s="10">
        <f t="shared" si="7"/>
        <v>0</v>
      </c>
      <c r="N19" s="22"/>
      <c r="O19" s="7">
        <f>'[12]Oct Prod'!H18</f>
        <v>602000</v>
      </c>
      <c r="P19" s="8">
        <f t="shared" si="8"/>
        <v>0.60199999999999998</v>
      </c>
      <c r="Q19" s="10">
        <f t="shared" si="9"/>
        <v>1.8481399999999999</v>
      </c>
      <c r="R19" s="7">
        <f>'[12]Oct Prod'!C18</f>
        <v>602000</v>
      </c>
      <c r="S19" s="8">
        <f t="shared" si="10"/>
        <v>0.60199999999999998</v>
      </c>
      <c r="T19" s="10">
        <f t="shared" si="11"/>
        <v>1.8481399999999999</v>
      </c>
      <c r="U19" s="7">
        <f>'[12]Oct Prod'!D18</f>
        <v>0</v>
      </c>
      <c r="V19" s="8">
        <f t="shared" si="12"/>
        <v>0</v>
      </c>
      <c r="W19" s="10">
        <f t="shared" si="13"/>
        <v>0</v>
      </c>
      <c r="X19" s="7">
        <f>'[12]Oct Prod'!D273</f>
        <v>0</v>
      </c>
      <c r="Y19" s="8">
        <f t="shared" si="14"/>
        <v>0</v>
      </c>
      <c r="Z19" s="10">
        <f t="shared" si="15"/>
        <v>0</v>
      </c>
      <c r="AA19" s="22"/>
      <c r="AB19" s="7">
        <f>'[12]Oct Prod'!G18</f>
        <v>0</v>
      </c>
      <c r="AC19" s="8">
        <f t="shared" si="16"/>
        <v>0</v>
      </c>
      <c r="AD19" s="10">
        <f t="shared" si="17"/>
        <v>0</v>
      </c>
      <c r="AF19" s="7">
        <f t="shared" si="18"/>
        <v>16802000.00000073</v>
      </c>
      <c r="AG19" s="8">
        <f t="shared" si="18"/>
        <v>16.802000000000728</v>
      </c>
      <c r="AH19" s="8">
        <f>D19+Q19</f>
        <v>51.582140000002234</v>
      </c>
      <c r="AJ19" s="8">
        <f>T19-Q19-Z19</f>
        <v>0</v>
      </c>
      <c r="AL19" s="7">
        <f t="shared" si="22"/>
        <v>200000.00000072829</v>
      </c>
      <c r="AM19" s="8">
        <f t="shared" si="19"/>
        <v>0.20000000000072829</v>
      </c>
      <c r="AN19" s="10">
        <f t="shared" si="20"/>
        <v>0.61400000000223587</v>
      </c>
    </row>
    <row r="20" spans="1:40" x14ac:dyDescent="0.15">
      <c r="A20" s="37">
        <v>38641</v>
      </c>
      <c r="B20" s="7">
        <f>'[12]Oct Prod'!I19</f>
        <v>19000000</v>
      </c>
      <c r="C20" s="8">
        <f t="shared" si="0"/>
        <v>19</v>
      </c>
      <c r="D20" s="10">
        <f t="shared" si="1"/>
        <v>58.33</v>
      </c>
      <c r="E20" s="7">
        <f>'[12]Oct Prod'!E19</f>
        <v>15000000</v>
      </c>
      <c r="F20" s="8">
        <f t="shared" si="2"/>
        <v>15</v>
      </c>
      <c r="G20" s="10">
        <f t="shared" si="3"/>
        <v>46.05</v>
      </c>
      <c r="H20" s="7">
        <f>'[12]Oct Prod'!F19</f>
        <v>4000000</v>
      </c>
      <c r="I20" s="8">
        <f t="shared" si="4"/>
        <v>4</v>
      </c>
      <c r="J20" s="10">
        <f t="shared" si="5"/>
        <v>12.28</v>
      </c>
      <c r="K20" s="7">
        <f>'[12]Oct Prod'!H274</f>
        <v>0</v>
      </c>
      <c r="L20" s="8">
        <f t="shared" si="6"/>
        <v>0</v>
      </c>
      <c r="M20" s="10">
        <f t="shared" si="7"/>
        <v>0</v>
      </c>
      <c r="N20" s="22"/>
      <c r="O20" s="7">
        <f>'[12]Oct Prod'!H19</f>
        <v>718000</v>
      </c>
      <c r="P20" s="8">
        <f t="shared" si="8"/>
        <v>0.71799999999999997</v>
      </c>
      <c r="Q20" s="10">
        <f t="shared" si="9"/>
        <v>2.2042599999999997</v>
      </c>
      <c r="R20" s="7">
        <f>'[12]Oct Prod'!C19</f>
        <v>718000</v>
      </c>
      <c r="S20" s="8">
        <f t="shared" si="10"/>
        <v>0.71799999999999997</v>
      </c>
      <c r="T20" s="10">
        <f t="shared" si="11"/>
        <v>2.2042599999999997</v>
      </c>
      <c r="U20" s="7">
        <f>'[12]Oct Prod'!D19</f>
        <v>0</v>
      </c>
      <c r="V20" s="8">
        <f t="shared" si="12"/>
        <v>0</v>
      </c>
      <c r="W20" s="10">
        <f t="shared" si="13"/>
        <v>0</v>
      </c>
      <c r="X20" s="7">
        <f>'[12]Oct Prod'!D274</f>
        <v>0</v>
      </c>
      <c r="Y20" s="8">
        <f t="shared" si="14"/>
        <v>0</v>
      </c>
      <c r="Z20" s="10">
        <f t="shared" si="15"/>
        <v>0</v>
      </c>
      <c r="AA20" s="22"/>
      <c r="AB20" s="7">
        <f>'[12]Oct Prod'!G19</f>
        <v>0</v>
      </c>
      <c r="AC20" s="8">
        <f t="shared" si="16"/>
        <v>0</v>
      </c>
      <c r="AD20" s="10">
        <f t="shared" si="17"/>
        <v>0</v>
      </c>
      <c r="AF20" s="7">
        <f t="shared" si="18"/>
        <v>19718000</v>
      </c>
      <c r="AG20" s="8">
        <f t="shared" si="18"/>
        <v>19.718</v>
      </c>
      <c r="AH20" s="8">
        <f t="shared" si="18"/>
        <v>60.534259999999996</v>
      </c>
      <c r="AJ20" s="8">
        <f t="shared" ref="AJ20:AJ35" si="23">T20-Q20-Z20</f>
        <v>0</v>
      </c>
      <c r="AL20" s="7">
        <f t="shared" si="22"/>
        <v>0</v>
      </c>
      <c r="AM20" s="8">
        <f t="shared" si="19"/>
        <v>0</v>
      </c>
      <c r="AN20" s="10">
        <f t="shared" si="20"/>
        <v>0</v>
      </c>
    </row>
    <row r="21" spans="1:40" x14ac:dyDescent="0.15">
      <c r="A21" s="37">
        <v>38642</v>
      </c>
      <c r="B21" s="7">
        <f>'[12]Oct Prod'!I20</f>
        <v>17600000.000000365</v>
      </c>
      <c r="C21" s="8">
        <f t="shared" si="0"/>
        <v>17.600000000000364</v>
      </c>
      <c r="D21" s="10">
        <f t="shared" si="1"/>
        <v>54.032000000001112</v>
      </c>
      <c r="E21" s="7">
        <f>'[12]Oct Prod'!E20</f>
        <v>14000000</v>
      </c>
      <c r="F21" s="8">
        <f t="shared" si="2"/>
        <v>14</v>
      </c>
      <c r="G21" s="10">
        <f t="shared" si="3"/>
        <v>42.98</v>
      </c>
      <c r="H21" s="7">
        <f>'[12]Oct Prod'!F20</f>
        <v>5000000</v>
      </c>
      <c r="I21" s="8">
        <f t="shared" si="4"/>
        <v>5</v>
      </c>
      <c r="J21" s="10">
        <f t="shared" si="5"/>
        <v>15.35</v>
      </c>
      <c r="K21" s="7">
        <f>'[12]Oct Prod'!H275</f>
        <v>0</v>
      </c>
      <c r="L21" s="8">
        <f t="shared" si="6"/>
        <v>0</v>
      </c>
      <c r="M21" s="10">
        <f t="shared" si="7"/>
        <v>0</v>
      </c>
      <c r="N21" s="22"/>
      <c r="O21" s="7">
        <f>'[12]Oct Prod'!H20</f>
        <v>9999.9999999952252</v>
      </c>
      <c r="P21" s="8">
        <f t="shared" si="8"/>
        <v>9.9999999999952245E-3</v>
      </c>
      <c r="Q21" s="10">
        <f t="shared" si="9"/>
        <v>3.0699999999985336E-2</v>
      </c>
      <c r="R21" s="7">
        <f>'[12]Oct Prod'!C20</f>
        <v>11000</v>
      </c>
      <c r="S21" s="8">
        <f t="shared" si="10"/>
        <v>1.0999999999999999E-2</v>
      </c>
      <c r="T21" s="10">
        <f t="shared" si="11"/>
        <v>3.3769999999999994E-2</v>
      </c>
      <c r="U21" s="7">
        <f>'[12]Oct Prod'!D20</f>
        <v>0</v>
      </c>
      <c r="V21" s="8">
        <f t="shared" si="12"/>
        <v>0</v>
      </c>
      <c r="W21" s="10">
        <f t="shared" si="13"/>
        <v>0</v>
      </c>
      <c r="X21" s="7">
        <f>'[12]Oct Prod'!D275</f>
        <v>1000.0000000047748</v>
      </c>
      <c r="Y21" s="8">
        <f t="shared" si="14"/>
        <v>1.0000000000047748E-3</v>
      </c>
      <c r="Z21" s="10">
        <f t="shared" si="15"/>
        <v>3.0700000000146587E-3</v>
      </c>
      <c r="AA21" s="22"/>
      <c r="AB21" s="7">
        <f>'[12]Oct Prod'!G20</f>
        <v>0</v>
      </c>
      <c r="AC21" s="8">
        <f t="shared" si="16"/>
        <v>0</v>
      </c>
      <c r="AD21" s="10">
        <f t="shared" si="17"/>
        <v>0</v>
      </c>
      <c r="AF21" s="7">
        <f t="shared" si="18"/>
        <v>17610000.000000361</v>
      </c>
      <c r="AG21" s="8">
        <f t="shared" si="18"/>
        <v>17.610000000000358</v>
      </c>
      <c r="AH21" s="8">
        <f t="shared" si="18"/>
        <v>54.062700000001101</v>
      </c>
      <c r="AJ21" s="8">
        <f t="shared" si="23"/>
        <v>0</v>
      </c>
      <c r="AL21" s="7">
        <f t="shared" si="22"/>
        <v>0</v>
      </c>
      <c r="AM21" s="8">
        <f t="shared" si="19"/>
        <v>0</v>
      </c>
      <c r="AN21" s="10">
        <f t="shared" si="20"/>
        <v>0</v>
      </c>
    </row>
    <row r="22" spans="1:40" x14ac:dyDescent="0.15">
      <c r="A22" s="37">
        <v>38643</v>
      </c>
      <c r="B22" s="7">
        <f>'[12]Oct Prod'!I21</f>
        <v>17099999.999998543</v>
      </c>
      <c r="C22" s="8">
        <f t="shared" si="0"/>
        <v>17.099999999998545</v>
      </c>
      <c r="D22" s="10">
        <f t="shared" si="1"/>
        <v>52.496999999995531</v>
      </c>
      <c r="E22" s="7">
        <f>'[12]Oct Prod'!E21</f>
        <v>14000000</v>
      </c>
      <c r="F22" s="8">
        <f t="shared" si="2"/>
        <v>14</v>
      </c>
      <c r="G22" s="10">
        <f t="shared" si="3"/>
        <v>42.98</v>
      </c>
      <c r="H22" s="7">
        <f>'[12]Oct Prod'!F21</f>
        <v>4000000</v>
      </c>
      <c r="I22" s="8">
        <f t="shared" si="4"/>
        <v>4</v>
      </c>
      <c r="J22" s="10">
        <f t="shared" si="5"/>
        <v>12.28</v>
      </c>
      <c r="K22" s="7">
        <f>'[12]Oct Prod'!H276</f>
        <v>873387</v>
      </c>
      <c r="L22" s="8">
        <f t="shared" si="6"/>
        <v>0.87338700000000002</v>
      </c>
      <c r="M22" s="10">
        <f t="shared" si="7"/>
        <v>2.6812980899999999</v>
      </c>
      <c r="N22" s="22"/>
      <c r="O22" s="7">
        <f>'[12]Oct Prod'!H21</f>
        <v>1616000</v>
      </c>
      <c r="P22" s="8">
        <f t="shared" si="8"/>
        <v>1.6160000000000001</v>
      </c>
      <c r="Q22" s="10">
        <f t="shared" si="9"/>
        <v>4.9611200000000002</v>
      </c>
      <c r="R22" s="7">
        <f>'[12]Oct Prod'!C21</f>
        <v>379000</v>
      </c>
      <c r="S22" s="8">
        <f t="shared" si="10"/>
        <v>0.379</v>
      </c>
      <c r="T22" s="10">
        <f t="shared" si="11"/>
        <v>1.16353</v>
      </c>
      <c r="U22" s="7">
        <f>'[12]Oct Prod'!D21</f>
        <v>1237000</v>
      </c>
      <c r="V22" s="8">
        <f t="shared" si="12"/>
        <v>1.2370000000000001</v>
      </c>
      <c r="W22" s="10">
        <f t="shared" si="13"/>
        <v>3.79759</v>
      </c>
      <c r="X22" s="7">
        <f>'[12]Oct Prod'!D276</f>
        <v>0</v>
      </c>
      <c r="Y22" s="8">
        <f t="shared" si="14"/>
        <v>0</v>
      </c>
      <c r="Z22" s="10">
        <f t="shared" si="15"/>
        <v>0</v>
      </c>
      <c r="AA22" s="22"/>
      <c r="AB22" s="7">
        <f>'[12]Oct Prod'!G21</f>
        <v>0</v>
      </c>
      <c r="AC22" s="8">
        <f t="shared" si="16"/>
        <v>0</v>
      </c>
      <c r="AD22" s="10">
        <f t="shared" si="17"/>
        <v>0</v>
      </c>
      <c r="AF22" s="7">
        <f t="shared" si="18"/>
        <v>18715999.999998543</v>
      </c>
      <c r="AG22" s="8">
        <f t="shared" si="18"/>
        <v>18.715999999998544</v>
      </c>
      <c r="AH22" s="8">
        <f t="shared" si="18"/>
        <v>57.458119999995532</v>
      </c>
      <c r="AJ22" s="8">
        <f t="shared" si="23"/>
        <v>-3.7975900000000005</v>
      </c>
      <c r="AL22" s="7">
        <f t="shared" si="22"/>
        <v>0</v>
      </c>
      <c r="AM22" s="8">
        <f t="shared" si="19"/>
        <v>0</v>
      </c>
      <c r="AN22" s="10">
        <f t="shared" si="20"/>
        <v>0</v>
      </c>
    </row>
    <row r="23" spans="1:40" x14ac:dyDescent="0.15">
      <c r="A23" s="37">
        <v>38644</v>
      </c>
      <c r="B23" s="7">
        <f>'[12]Oct Prod'!I22</f>
        <v>14000000</v>
      </c>
      <c r="C23" s="8">
        <f t="shared" si="0"/>
        <v>14</v>
      </c>
      <c r="D23" s="10">
        <f t="shared" si="1"/>
        <v>42.98</v>
      </c>
      <c r="E23" s="7">
        <f>'[12]Oct Prod'!E22</f>
        <v>10000000</v>
      </c>
      <c r="F23" s="8">
        <f t="shared" si="2"/>
        <v>10</v>
      </c>
      <c r="G23" s="10">
        <f t="shared" si="3"/>
        <v>30.7</v>
      </c>
      <c r="H23" s="7">
        <f>'[12]Oct Prod'!F22</f>
        <v>5000000</v>
      </c>
      <c r="I23" s="8">
        <f t="shared" si="4"/>
        <v>5</v>
      </c>
      <c r="J23" s="10">
        <f t="shared" si="5"/>
        <v>15.35</v>
      </c>
      <c r="K23" s="7">
        <f>'[12]Oct Prod'!H277</f>
        <v>852176</v>
      </c>
      <c r="L23" s="8">
        <f t="shared" si="6"/>
        <v>0.85217600000000004</v>
      </c>
      <c r="M23" s="10">
        <f t="shared" si="7"/>
        <v>2.6161803199999998</v>
      </c>
      <c r="N23" s="22"/>
      <c r="O23" s="7">
        <f>'[12]Oct Prod'!H22</f>
        <v>0</v>
      </c>
      <c r="P23" s="8">
        <f t="shared" si="8"/>
        <v>0</v>
      </c>
      <c r="Q23" s="10">
        <f t="shared" si="9"/>
        <v>0</v>
      </c>
      <c r="R23" s="7">
        <f>'[12]Oct Prod'!C22</f>
        <v>0</v>
      </c>
      <c r="S23" s="8">
        <f t="shared" si="10"/>
        <v>0</v>
      </c>
      <c r="T23" s="10">
        <f t="shared" si="11"/>
        <v>0</v>
      </c>
      <c r="U23" s="7">
        <f>'[12]Oct Prod'!D22</f>
        <v>0</v>
      </c>
      <c r="V23" s="8">
        <f t="shared" si="12"/>
        <v>0</v>
      </c>
      <c r="W23" s="10">
        <f t="shared" si="13"/>
        <v>0</v>
      </c>
      <c r="X23" s="7">
        <f>'[12]Oct Prod'!D277</f>
        <v>0</v>
      </c>
      <c r="Y23" s="8">
        <f t="shared" si="14"/>
        <v>0</v>
      </c>
      <c r="Z23" s="10">
        <f t="shared" si="15"/>
        <v>0</v>
      </c>
      <c r="AA23" s="22"/>
      <c r="AB23" s="7">
        <f>'[12]Oct Prod'!G22</f>
        <v>0</v>
      </c>
      <c r="AC23" s="8">
        <f t="shared" si="16"/>
        <v>0</v>
      </c>
      <c r="AD23" s="10">
        <f t="shared" si="17"/>
        <v>0</v>
      </c>
      <c r="AF23" s="7">
        <f t="shared" si="18"/>
        <v>14000000</v>
      </c>
      <c r="AG23" s="8">
        <f t="shared" si="18"/>
        <v>14</v>
      </c>
      <c r="AH23" s="8">
        <f t="shared" si="18"/>
        <v>42.98</v>
      </c>
      <c r="AJ23" s="8">
        <f t="shared" si="23"/>
        <v>0</v>
      </c>
      <c r="AL23" s="7">
        <f t="shared" si="22"/>
        <v>0</v>
      </c>
      <c r="AM23" s="8">
        <f t="shared" si="19"/>
        <v>0</v>
      </c>
      <c r="AN23" s="10">
        <f t="shared" si="20"/>
        <v>0</v>
      </c>
    </row>
    <row r="24" spans="1:40" x14ac:dyDescent="0.15">
      <c r="A24" s="37">
        <v>38645</v>
      </c>
      <c r="B24" s="7">
        <f>'[12]Oct Prod'!I23</f>
        <v>15300000.000001092</v>
      </c>
      <c r="C24" s="8">
        <f t="shared" si="0"/>
        <v>15.300000000001091</v>
      </c>
      <c r="D24" s="10">
        <f t="shared" si="1"/>
        <v>46.97100000000335</v>
      </c>
      <c r="E24" s="7">
        <f>'[12]Oct Prod'!E23</f>
        <v>12000000</v>
      </c>
      <c r="F24" s="8">
        <f t="shared" si="2"/>
        <v>12</v>
      </c>
      <c r="G24" s="10">
        <f t="shared" si="3"/>
        <v>36.839999999999996</v>
      </c>
      <c r="H24" s="7">
        <f>'[12]Oct Prod'!F23</f>
        <v>4000000</v>
      </c>
      <c r="I24" s="8">
        <f t="shared" si="4"/>
        <v>4</v>
      </c>
      <c r="J24" s="10">
        <f t="shared" si="5"/>
        <v>12.28</v>
      </c>
      <c r="K24" s="7">
        <f>'[12]Oct Prod'!H278</f>
        <v>787941</v>
      </c>
      <c r="L24" s="8">
        <f t="shared" si="6"/>
        <v>0.787941</v>
      </c>
      <c r="M24" s="10">
        <f t="shared" si="7"/>
        <v>2.4189788699999997</v>
      </c>
      <c r="N24" s="22"/>
      <c r="O24" s="7">
        <f>'[12]Oct Prod'!H23</f>
        <v>1169000</v>
      </c>
      <c r="P24" s="8">
        <f t="shared" si="8"/>
        <v>1.169</v>
      </c>
      <c r="Q24" s="10">
        <f t="shared" si="9"/>
        <v>3.5888299999999997</v>
      </c>
      <c r="R24" s="7">
        <f>'[12]Oct Prod'!C23</f>
        <v>600000</v>
      </c>
      <c r="S24" s="8">
        <f t="shared" si="10"/>
        <v>0.6</v>
      </c>
      <c r="T24" s="10">
        <f t="shared" si="11"/>
        <v>1.8419999999999999</v>
      </c>
      <c r="U24" s="7">
        <f>'[12]Oct Prod'!D23</f>
        <v>569000</v>
      </c>
      <c r="V24" s="8">
        <f t="shared" si="12"/>
        <v>0.56899999999999995</v>
      </c>
      <c r="W24" s="10">
        <f t="shared" si="13"/>
        <v>1.7468299999999997</v>
      </c>
      <c r="X24" s="7">
        <f>'[12]Oct Prod'!D278</f>
        <v>0</v>
      </c>
      <c r="Y24" s="8">
        <f t="shared" si="14"/>
        <v>0</v>
      </c>
      <c r="Z24" s="10">
        <f t="shared" si="15"/>
        <v>0</v>
      </c>
      <c r="AA24" s="22"/>
      <c r="AB24" s="7">
        <f>'[12]Oct Prod'!G23</f>
        <v>0</v>
      </c>
      <c r="AC24" s="8">
        <f t="shared" si="16"/>
        <v>0</v>
      </c>
      <c r="AD24" s="10">
        <f t="shared" si="17"/>
        <v>0</v>
      </c>
      <c r="AF24" s="7">
        <f t="shared" si="18"/>
        <v>16469000.000001092</v>
      </c>
      <c r="AG24" s="8">
        <f t="shared" si="18"/>
        <v>16.469000000001092</v>
      </c>
      <c r="AH24" s="8">
        <f>D24+Q24</f>
        <v>50.559830000003352</v>
      </c>
      <c r="AJ24" s="8">
        <f t="shared" si="23"/>
        <v>-1.7468299999999999</v>
      </c>
      <c r="AL24" s="7">
        <f t="shared" si="22"/>
        <v>0</v>
      </c>
      <c r="AM24" s="8">
        <f t="shared" si="19"/>
        <v>0</v>
      </c>
      <c r="AN24" s="10">
        <f t="shared" si="20"/>
        <v>0</v>
      </c>
    </row>
    <row r="25" spans="1:40" x14ac:dyDescent="0.15">
      <c r="A25" s="37">
        <v>38646</v>
      </c>
      <c r="B25" s="7">
        <f>'[12]Oct Prod'!I24</f>
        <v>15799999.999999272</v>
      </c>
      <c r="C25" s="8">
        <f t="shared" si="0"/>
        <v>15.799999999999272</v>
      </c>
      <c r="D25" s="10">
        <f t="shared" si="1"/>
        <v>48.505999999997762</v>
      </c>
      <c r="E25" s="7">
        <f>'[12]Oct Prod'!E24</f>
        <v>12000000</v>
      </c>
      <c r="F25" s="8">
        <f t="shared" si="2"/>
        <v>12</v>
      </c>
      <c r="G25" s="10">
        <f t="shared" si="3"/>
        <v>36.839999999999996</v>
      </c>
      <c r="H25" s="7">
        <f>'[12]Oct Prod'!F24</f>
        <v>4000000</v>
      </c>
      <c r="I25" s="8">
        <f t="shared" si="4"/>
        <v>4</v>
      </c>
      <c r="J25" s="10">
        <f t="shared" si="5"/>
        <v>12.28</v>
      </c>
      <c r="K25" s="7">
        <f>'[12]Oct Prod'!H279</f>
        <v>860000</v>
      </c>
      <c r="L25" s="8">
        <f t="shared" si="6"/>
        <v>0.86</v>
      </c>
      <c r="M25" s="10">
        <f t="shared" si="7"/>
        <v>2.6401999999999997</v>
      </c>
      <c r="N25" s="22"/>
      <c r="O25" s="7">
        <f>'[12]Oct Prod'!H24</f>
        <v>-10000</v>
      </c>
      <c r="P25" s="8">
        <f t="shared" si="8"/>
        <v>-0.01</v>
      </c>
      <c r="Q25" s="10">
        <f t="shared" si="9"/>
        <v>-3.0699999999999998E-2</v>
      </c>
      <c r="R25" s="7">
        <f>'[12]Oct Prod'!C24</f>
        <v>-10000</v>
      </c>
      <c r="S25" s="8">
        <f t="shared" si="10"/>
        <v>-0.01</v>
      </c>
      <c r="T25" s="10">
        <f t="shared" si="11"/>
        <v>-3.0699999999999998E-2</v>
      </c>
      <c r="U25" s="7">
        <f>'[12]Oct Prod'!D24</f>
        <v>0</v>
      </c>
      <c r="V25" s="8">
        <f t="shared" si="12"/>
        <v>0</v>
      </c>
      <c r="W25" s="10">
        <f t="shared" si="13"/>
        <v>0</v>
      </c>
      <c r="X25" s="7">
        <f>'[12]Oct Prod'!D279</f>
        <v>0</v>
      </c>
      <c r="Y25" s="8">
        <f t="shared" si="14"/>
        <v>0</v>
      </c>
      <c r="Z25" s="10">
        <f t="shared" si="15"/>
        <v>0</v>
      </c>
      <c r="AA25" s="22"/>
      <c r="AB25" s="7">
        <f>'[12]Oct Prod'!G24</f>
        <v>0</v>
      </c>
      <c r="AC25" s="8">
        <f t="shared" si="16"/>
        <v>0</v>
      </c>
      <c r="AD25" s="10">
        <f t="shared" si="17"/>
        <v>0</v>
      </c>
      <c r="AF25" s="7">
        <f t="shared" si="18"/>
        <v>15789999.999999272</v>
      </c>
      <c r="AG25" s="8">
        <f t="shared" si="18"/>
        <v>15.789999999999273</v>
      </c>
      <c r="AH25" s="8">
        <f t="shared" si="18"/>
        <v>48.475299999997759</v>
      </c>
      <c r="AJ25" s="8">
        <f t="shared" si="23"/>
        <v>0</v>
      </c>
      <c r="AL25" s="7">
        <f t="shared" si="22"/>
        <v>0</v>
      </c>
      <c r="AM25" s="8">
        <f t="shared" si="19"/>
        <v>0</v>
      </c>
      <c r="AN25" s="10">
        <f t="shared" si="20"/>
        <v>0</v>
      </c>
    </row>
    <row r="26" spans="1:40" x14ac:dyDescent="0.15">
      <c r="A26" s="37">
        <v>38647</v>
      </c>
      <c r="B26" s="7">
        <f>'[12]Oct Prod'!I25</f>
        <v>15100000.000000363</v>
      </c>
      <c r="C26" s="8">
        <f t="shared" si="0"/>
        <v>15.100000000000364</v>
      </c>
      <c r="D26" s="10">
        <f t="shared" si="1"/>
        <v>46.357000000001115</v>
      </c>
      <c r="E26" s="7">
        <f>'[12]Oct Prod'!E25</f>
        <v>11000000</v>
      </c>
      <c r="F26" s="8">
        <f t="shared" si="2"/>
        <v>11</v>
      </c>
      <c r="G26" s="10">
        <f t="shared" si="3"/>
        <v>33.769999999999996</v>
      </c>
      <c r="H26" s="7">
        <f>'[12]Oct Prod'!F25</f>
        <v>4000000</v>
      </c>
      <c r="I26" s="8">
        <f t="shared" si="4"/>
        <v>4</v>
      </c>
      <c r="J26" s="10">
        <f t="shared" si="5"/>
        <v>12.28</v>
      </c>
      <c r="K26" s="7">
        <f>'[12]Oct Prod'!H280</f>
        <v>746523</v>
      </c>
      <c r="L26" s="8">
        <f t="shared" si="6"/>
        <v>0.74652300000000005</v>
      </c>
      <c r="M26" s="10">
        <f t="shared" si="7"/>
        <v>2.2918256100000001</v>
      </c>
      <c r="N26" s="22"/>
      <c r="O26" s="7">
        <f>'[12]Oct Prod'!H25</f>
        <v>-141999.9999999959</v>
      </c>
      <c r="P26" s="8">
        <f t="shared" si="8"/>
        <v>-0.14199999999999591</v>
      </c>
      <c r="Q26" s="10">
        <f t="shared" si="9"/>
        <v>-0.43593999999998739</v>
      </c>
      <c r="R26" s="7">
        <f>'[12]Oct Prod'!C25</f>
        <v>0</v>
      </c>
      <c r="S26" s="8">
        <f t="shared" si="10"/>
        <v>0</v>
      </c>
      <c r="T26" s="10">
        <f t="shared" si="11"/>
        <v>0</v>
      </c>
      <c r="U26" s="7">
        <f>'[12]Oct Prod'!D25</f>
        <v>0</v>
      </c>
      <c r="V26" s="8">
        <f t="shared" si="12"/>
        <v>0</v>
      </c>
      <c r="W26" s="10">
        <f t="shared" si="13"/>
        <v>0</v>
      </c>
      <c r="X26" s="7">
        <f>'[12]Oct Prod'!D280</f>
        <v>141999.9999999959</v>
      </c>
      <c r="Y26" s="8">
        <f t="shared" si="14"/>
        <v>0.14199999999999591</v>
      </c>
      <c r="Z26" s="10">
        <f t="shared" si="15"/>
        <v>0.43593999999998739</v>
      </c>
      <c r="AA26" s="22"/>
      <c r="AB26" s="7">
        <f>'[12]Oct Prod'!G25</f>
        <v>0</v>
      </c>
      <c r="AC26" s="8">
        <f t="shared" si="16"/>
        <v>0</v>
      </c>
      <c r="AD26" s="10">
        <f t="shared" si="17"/>
        <v>0</v>
      </c>
      <c r="AF26" s="7">
        <f t="shared" si="18"/>
        <v>14958000.000000367</v>
      </c>
      <c r="AG26" s="8">
        <f t="shared" si="18"/>
        <v>14.958000000000368</v>
      </c>
      <c r="AH26" s="8">
        <f t="shared" si="18"/>
        <v>45.921060000001127</v>
      </c>
      <c r="AJ26" s="8">
        <f t="shared" si="23"/>
        <v>0</v>
      </c>
      <c r="AL26" s="7">
        <f t="shared" si="22"/>
        <v>100000.00000036322</v>
      </c>
      <c r="AM26" s="8">
        <f t="shared" si="19"/>
        <v>0.10000000000036322</v>
      </c>
      <c r="AN26" s="10">
        <f t="shared" si="20"/>
        <v>0.30700000000111505</v>
      </c>
    </row>
    <row r="27" spans="1:40" x14ac:dyDescent="0.15">
      <c r="A27" s="37">
        <v>38648</v>
      </c>
      <c r="B27" s="7">
        <f>'[12]Oct Prod'!I26</f>
        <v>13399999.999999637</v>
      </c>
      <c r="C27" s="8">
        <f t="shared" si="0"/>
        <v>13.399999999999636</v>
      </c>
      <c r="D27" s="10">
        <f t="shared" si="1"/>
        <v>41.137999999998883</v>
      </c>
      <c r="E27" s="7">
        <f>'[12]Oct Prod'!E26</f>
        <v>10000000</v>
      </c>
      <c r="F27" s="8">
        <f t="shared" si="2"/>
        <v>10</v>
      </c>
      <c r="G27" s="10">
        <f t="shared" si="3"/>
        <v>30.7</v>
      </c>
      <c r="H27" s="7">
        <f>'[12]Oct Prod'!F26</f>
        <v>4000000</v>
      </c>
      <c r="I27" s="8">
        <f t="shared" si="4"/>
        <v>4</v>
      </c>
      <c r="J27" s="10">
        <f t="shared" si="5"/>
        <v>12.28</v>
      </c>
      <c r="K27" s="7">
        <f>'[12]Oct Prod'!H281</f>
        <v>623275</v>
      </c>
      <c r="L27" s="8">
        <f t="shared" si="6"/>
        <v>0.62327500000000002</v>
      </c>
      <c r="M27" s="10">
        <f t="shared" si="7"/>
        <v>1.91345425</v>
      </c>
      <c r="N27" s="22"/>
      <c r="O27" s="7">
        <f>'[12]Oct Prod'!H26</f>
        <v>0</v>
      </c>
      <c r="P27" s="8">
        <f t="shared" si="8"/>
        <v>0</v>
      </c>
      <c r="Q27" s="10">
        <f t="shared" si="9"/>
        <v>0</v>
      </c>
      <c r="R27" s="7">
        <f>'[12]Oct Prod'!C26</f>
        <v>0</v>
      </c>
      <c r="S27" s="8">
        <f t="shared" si="10"/>
        <v>0</v>
      </c>
      <c r="T27" s="10">
        <f t="shared" si="11"/>
        <v>0</v>
      </c>
      <c r="U27" s="7">
        <f>'[12]Oct Prod'!D26</f>
        <v>0</v>
      </c>
      <c r="V27" s="8">
        <f t="shared" si="12"/>
        <v>0</v>
      </c>
      <c r="W27" s="10">
        <f t="shared" si="13"/>
        <v>0</v>
      </c>
      <c r="X27" s="7">
        <f>'[12]Oct Prod'!D281</f>
        <v>0</v>
      </c>
      <c r="Y27" s="8">
        <f t="shared" si="14"/>
        <v>0</v>
      </c>
      <c r="Z27" s="10">
        <f t="shared" si="15"/>
        <v>0</v>
      </c>
      <c r="AA27" s="22"/>
      <c r="AB27" s="7">
        <f>'[12]Oct Prod'!G26</f>
        <v>0</v>
      </c>
      <c r="AC27" s="8">
        <f t="shared" si="16"/>
        <v>0</v>
      </c>
      <c r="AD27" s="10">
        <f t="shared" si="17"/>
        <v>0</v>
      </c>
      <c r="AF27" s="7">
        <f t="shared" si="18"/>
        <v>13399999.999999637</v>
      </c>
      <c r="AG27" s="8">
        <f t="shared" si="18"/>
        <v>13.399999999999636</v>
      </c>
      <c r="AH27" s="8">
        <f t="shared" si="18"/>
        <v>41.137999999998883</v>
      </c>
      <c r="AJ27" s="8">
        <f t="shared" si="23"/>
        <v>0</v>
      </c>
      <c r="AL27" s="7">
        <f t="shared" si="22"/>
        <v>0</v>
      </c>
      <c r="AM27" s="8">
        <f t="shared" si="19"/>
        <v>0</v>
      </c>
      <c r="AN27" s="10">
        <f t="shared" si="20"/>
        <v>0</v>
      </c>
    </row>
    <row r="28" spans="1:40" x14ac:dyDescent="0.15">
      <c r="A28" s="37">
        <v>38649</v>
      </c>
      <c r="B28" s="7">
        <f>'[12]Oct Prod'!I27</f>
        <v>13899999.999999637</v>
      </c>
      <c r="C28" s="8">
        <f t="shared" si="0"/>
        <v>13.899999999999636</v>
      </c>
      <c r="D28" s="10">
        <f t="shared" si="1"/>
        <v>42.672999999998879</v>
      </c>
      <c r="E28" s="7">
        <f>'[12]Oct Prod'!E27</f>
        <v>11000000</v>
      </c>
      <c r="F28" s="8">
        <f t="shared" si="2"/>
        <v>11</v>
      </c>
      <c r="G28" s="10">
        <f t="shared" si="3"/>
        <v>33.769999999999996</v>
      </c>
      <c r="H28" s="7">
        <f>'[12]Oct Prod'!F27</f>
        <v>4000000</v>
      </c>
      <c r="I28" s="8">
        <f t="shared" si="4"/>
        <v>4</v>
      </c>
      <c r="J28" s="10">
        <f t="shared" si="5"/>
        <v>12.28</v>
      </c>
      <c r="K28" s="7">
        <f>'[12]Oct Prod'!H282</f>
        <v>717825</v>
      </c>
      <c r="L28" s="8">
        <f t="shared" si="6"/>
        <v>0.71782500000000005</v>
      </c>
      <c r="M28" s="10">
        <f t="shared" si="7"/>
        <v>2.2037227499999998</v>
      </c>
      <c r="N28" s="22"/>
      <c r="O28" s="7">
        <f>'[12]Oct Prod'!H27</f>
        <v>0</v>
      </c>
      <c r="P28" s="8">
        <f t="shared" si="8"/>
        <v>0</v>
      </c>
      <c r="Q28" s="10">
        <f t="shared" si="9"/>
        <v>0</v>
      </c>
      <c r="R28" s="7">
        <f>'[12]Oct Prod'!C27</f>
        <v>0</v>
      </c>
      <c r="S28" s="8">
        <f t="shared" si="10"/>
        <v>0</v>
      </c>
      <c r="T28" s="10">
        <f t="shared" si="11"/>
        <v>0</v>
      </c>
      <c r="U28" s="7">
        <f>'[12]Oct Prod'!D27</f>
        <v>0</v>
      </c>
      <c r="V28" s="8">
        <f t="shared" si="12"/>
        <v>0</v>
      </c>
      <c r="W28" s="10">
        <f t="shared" si="13"/>
        <v>0</v>
      </c>
      <c r="X28" s="7">
        <f>'[12]Oct Prod'!D282</f>
        <v>0</v>
      </c>
      <c r="Y28" s="8">
        <f t="shared" si="14"/>
        <v>0</v>
      </c>
      <c r="Z28" s="10">
        <f t="shared" si="15"/>
        <v>0</v>
      </c>
      <c r="AA28" s="22"/>
      <c r="AB28" s="7">
        <f>'[12]Oct Prod'!G27</f>
        <v>0</v>
      </c>
      <c r="AC28" s="8">
        <f t="shared" si="16"/>
        <v>0</v>
      </c>
      <c r="AD28" s="10">
        <f t="shared" si="17"/>
        <v>0</v>
      </c>
      <c r="AF28" s="7">
        <f t="shared" si="18"/>
        <v>13899999.999999637</v>
      </c>
      <c r="AG28" s="8">
        <f t="shared" si="18"/>
        <v>13.899999999999636</v>
      </c>
      <c r="AH28" s="8">
        <f t="shared" si="18"/>
        <v>42.672999999998879</v>
      </c>
      <c r="AJ28" s="8">
        <f t="shared" si="23"/>
        <v>0</v>
      </c>
      <c r="AL28" s="7">
        <f t="shared" si="22"/>
        <v>0</v>
      </c>
      <c r="AM28" s="8">
        <f t="shared" si="19"/>
        <v>0</v>
      </c>
      <c r="AN28" s="10">
        <f t="shared" si="20"/>
        <v>0</v>
      </c>
    </row>
    <row r="29" spans="1:40" x14ac:dyDescent="0.15">
      <c r="A29" s="37">
        <v>38650</v>
      </c>
      <c r="B29" s="7">
        <f>'[12]Oct Prod'!I28</f>
        <v>16400000.000001455</v>
      </c>
      <c r="C29" s="8">
        <f t="shared" si="0"/>
        <v>16.400000000001455</v>
      </c>
      <c r="D29" s="10">
        <f t="shared" si="1"/>
        <v>50.348000000004468</v>
      </c>
      <c r="E29" s="7">
        <f>'[12]Oct Prod'!E28</f>
        <v>13000000</v>
      </c>
      <c r="F29" s="8">
        <f t="shared" si="2"/>
        <v>13</v>
      </c>
      <c r="G29" s="10">
        <f t="shared" si="3"/>
        <v>39.909999999999997</v>
      </c>
      <c r="H29" s="7">
        <f>'[12]Oct Prod'!F28</f>
        <v>4000000</v>
      </c>
      <c r="I29" s="8">
        <f t="shared" si="4"/>
        <v>4</v>
      </c>
      <c r="J29" s="10">
        <f t="shared" si="5"/>
        <v>12.28</v>
      </c>
      <c r="K29" s="7">
        <f>'[12]Oct Prod'!H283</f>
        <v>873292</v>
      </c>
      <c r="L29" s="8">
        <f t="shared" si="6"/>
        <v>0.87329199999999996</v>
      </c>
      <c r="M29" s="10">
        <f t="shared" si="7"/>
        <v>2.6810064399999995</v>
      </c>
      <c r="N29" s="22"/>
      <c r="O29" s="7">
        <f>'[12]Oct Prod'!H28</f>
        <v>676000</v>
      </c>
      <c r="P29" s="8">
        <f t="shared" si="8"/>
        <v>0.67600000000000005</v>
      </c>
      <c r="Q29" s="10">
        <f t="shared" si="9"/>
        <v>2.0753200000000001</v>
      </c>
      <c r="R29" s="7">
        <f>'[12]Oct Prod'!C28</f>
        <v>676000</v>
      </c>
      <c r="S29" s="8">
        <f t="shared" si="10"/>
        <v>0.67600000000000005</v>
      </c>
      <c r="T29" s="10">
        <f t="shared" si="11"/>
        <v>2.0753200000000001</v>
      </c>
      <c r="U29" s="7">
        <f>'[12]Oct Prod'!D28</f>
        <v>0</v>
      </c>
      <c r="V29" s="8">
        <f t="shared" si="12"/>
        <v>0</v>
      </c>
      <c r="W29" s="10">
        <f t="shared" si="13"/>
        <v>0</v>
      </c>
      <c r="X29" s="7">
        <f>'[12]Oct Prod'!D283</f>
        <v>0</v>
      </c>
      <c r="Y29" s="8">
        <f t="shared" si="14"/>
        <v>0</v>
      </c>
      <c r="Z29" s="10">
        <f t="shared" si="15"/>
        <v>0</v>
      </c>
      <c r="AA29" s="22"/>
      <c r="AB29" s="7">
        <f>'[12]Oct Prod'!G28</f>
        <v>0</v>
      </c>
      <c r="AC29" s="8">
        <f t="shared" si="16"/>
        <v>0</v>
      </c>
      <c r="AD29" s="10">
        <f t="shared" si="17"/>
        <v>0</v>
      </c>
      <c r="AF29" s="7">
        <f t="shared" si="18"/>
        <v>17076000.000001453</v>
      </c>
      <c r="AG29" s="8">
        <f t="shared" si="18"/>
        <v>17.076000000001454</v>
      </c>
      <c r="AH29" s="8">
        <f t="shared" si="18"/>
        <v>52.423320000004466</v>
      </c>
      <c r="AJ29" s="8">
        <f t="shared" si="23"/>
        <v>0</v>
      </c>
      <c r="AL29" s="7">
        <f t="shared" si="22"/>
        <v>0</v>
      </c>
      <c r="AM29" s="8">
        <f t="shared" si="19"/>
        <v>0</v>
      </c>
      <c r="AN29" s="10">
        <f t="shared" si="20"/>
        <v>0</v>
      </c>
    </row>
    <row r="30" spans="1:40" x14ac:dyDescent="0.15">
      <c r="A30" s="37">
        <v>38651</v>
      </c>
      <c r="B30" s="7">
        <f>'[12]Oct Prod'!I29</f>
        <v>11399999.999999637</v>
      </c>
      <c r="C30" s="8">
        <f t="shared" si="0"/>
        <v>11.399999999999636</v>
      </c>
      <c r="D30" s="10">
        <f t="shared" si="1"/>
        <v>34.997999999998882</v>
      </c>
      <c r="E30" s="7">
        <f>'[12]Oct Prod'!E29</f>
        <v>8000000</v>
      </c>
      <c r="F30" s="8">
        <f t="shared" si="2"/>
        <v>8</v>
      </c>
      <c r="G30" s="10">
        <f t="shared" si="3"/>
        <v>24.56</v>
      </c>
      <c r="H30" s="7">
        <f>'[12]Oct Prod'!F29</f>
        <v>4000000</v>
      </c>
      <c r="I30" s="8">
        <f t="shared" si="4"/>
        <v>4</v>
      </c>
      <c r="J30" s="10">
        <f t="shared" si="5"/>
        <v>12.28</v>
      </c>
      <c r="K30" s="7">
        <f>'[12]Oct Prod'!H284</f>
        <v>666112</v>
      </c>
      <c r="L30" s="8">
        <f t="shared" si="6"/>
        <v>0.66611200000000004</v>
      </c>
      <c r="M30" s="10">
        <f t="shared" si="7"/>
        <v>2.0449638399999999</v>
      </c>
      <c r="N30" s="22"/>
      <c r="O30" s="7">
        <f>'[12]Oct Prod'!H29</f>
        <v>818000</v>
      </c>
      <c r="P30" s="8">
        <f t="shared" si="8"/>
        <v>0.81799999999999995</v>
      </c>
      <c r="Q30" s="10">
        <f t="shared" si="9"/>
        <v>2.5112599999999996</v>
      </c>
      <c r="R30" s="7">
        <f>'[12]Oct Prod'!C29</f>
        <v>818000</v>
      </c>
      <c r="S30" s="8">
        <f t="shared" si="10"/>
        <v>0.81799999999999995</v>
      </c>
      <c r="T30" s="10">
        <f t="shared" si="11"/>
        <v>2.5112599999999996</v>
      </c>
      <c r="U30" s="7">
        <f>'[12]Oct Prod'!D29</f>
        <v>0</v>
      </c>
      <c r="V30" s="8">
        <f t="shared" si="12"/>
        <v>0</v>
      </c>
      <c r="W30" s="10">
        <f t="shared" si="13"/>
        <v>0</v>
      </c>
      <c r="X30" s="7">
        <f>'[12]Oct Prod'!D284</f>
        <v>0</v>
      </c>
      <c r="Y30" s="8">
        <f t="shared" si="14"/>
        <v>0</v>
      </c>
      <c r="Z30" s="10">
        <f t="shared" si="15"/>
        <v>0</v>
      </c>
      <c r="AA30" s="22"/>
      <c r="AB30" s="7">
        <f>'[12]Oct Prod'!G29</f>
        <v>0</v>
      </c>
      <c r="AC30" s="8">
        <f t="shared" si="16"/>
        <v>0</v>
      </c>
      <c r="AD30" s="10">
        <f t="shared" si="17"/>
        <v>0</v>
      </c>
      <c r="AF30" s="7">
        <f t="shared" si="18"/>
        <v>12217999.999999637</v>
      </c>
      <c r="AG30" s="8">
        <f t="shared" si="18"/>
        <v>12.217999999999636</v>
      </c>
      <c r="AH30" s="8">
        <f>D30+Q30</f>
        <v>37.509259999998882</v>
      </c>
      <c r="AJ30" s="8">
        <f t="shared" si="23"/>
        <v>0</v>
      </c>
      <c r="AL30" s="7">
        <f t="shared" si="22"/>
        <v>0</v>
      </c>
      <c r="AM30" s="8">
        <f t="shared" si="19"/>
        <v>0</v>
      </c>
      <c r="AN30" s="10">
        <f t="shared" si="20"/>
        <v>0</v>
      </c>
    </row>
    <row r="31" spans="1:40" x14ac:dyDescent="0.15">
      <c r="A31" s="37">
        <v>38652</v>
      </c>
      <c r="B31" s="7">
        <f>'[12]Oct Prod'!I30</f>
        <v>10100000.000000363</v>
      </c>
      <c r="C31" s="8">
        <f t="shared" si="0"/>
        <v>10.100000000000364</v>
      </c>
      <c r="D31" s="10">
        <f t="shared" si="1"/>
        <v>31.007000000001117</v>
      </c>
      <c r="E31" s="7">
        <f>'[12]Oct Prod'!E30</f>
        <v>8000000</v>
      </c>
      <c r="F31" s="8">
        <f t="shared" si="2"/>
        <v>8</v>
      </c>
      <c r="G31" s="10">
        <f t="shared" si="3"/>
        <v>24.56</v>
      </c>
      <c r="H31" s="7">
        <f>'[12]Oct Prod'!F30</f>
        <v>2000000</v>
      </c>
      <c r="I31" s="8">
        <f t="shared" si="4"/>
        <v>2</v>
      </c>
      <c r="J31" s="10">
        <f t="shared" si="5"/>
        <v>6.14</v>
      </c>
      <c r="K31" s="7">
        <f>'[12]Oct Prod'!H285</f>
        <v>540164</v>
      </c>
      <c r="L31" s="8">
        <f t="shared" si="6"/>
        <v>0.54016399999999998</v>
      </c>
      <c r="M31" s="10">
        <f t="shared" si="7"/>
        <v>1.6583034799999998</v>
      </c>
      <c r="N31" s="22"/>
      <c r="O31" s="7">
        <f>'[12]Oct Prod'!H30</f>
        <v>2255999.9999999935</v>
      </c>
      <c r="P31" s="8">
        <f t="shared" si="8"/>
        <v>2.2559999999999936</v>
      </c>
      <c r="Q31" s="10">
        <f t="shared" si="9"/>
        <v>6.9259199999999801</v>
      </c>
      <c r="R31" s="7">
        <f>'[12]Oct Prod'!C30</f>
        <v>2305000</v>
      </c>
      <c r="S31" s="8">
        <f t="shared" si="10"/>
        <v>2.3050000000000002</v>
      </c>
      <c r="T31" s="10">
        <f t="shared" si="11"/>
        <v>7.0763499999999997</v>
      </c>
      <c r="U31" s="7">
        <f>'[12]Oct Prod'!D30</f>
        <v>0</v>
      </c>
      <c r="V31" s="8">
        <f t="shared" si="12"/>
        <v>0</v>
      </c>
      <c r="W31" s="10">
        <f t="shared" si="13"/>
        <v>0</v>
      </c>
      <c r="X31" s="7">
        <f>'[12]Oct Prod'!D285</f>
        <v>49000.000000006592</v>
      </c>
      <c r="Y31" s="8">
        <f t="shared" si="14"/>
        <v>4.9000000000006594E-2</v>
      </c>
      <c r="Z31" s="10">
        <f t="shared" si="15"/>
        <v>0.15043000000002024</v>
      </c>
      <c r="AA31" s="22"/>
      <c r="AB31" s="7">
        <f>'[12]Oct Prod'!G30</f>
        <v>0</v>
      </c>
      <c r="AC31" s="8">
        <f t="shared" si="16"/>
        <v>0</v>
      </c>
      <c r="AD31" s="10">
        <f t="shared" si="17"/>
        <v>0</v>
      </c>
      <c r="AF31" s="7">
        <f t="shared" si="18"/>
        <v>12356000.000000358</v>
      </c>
      <c r="AG31" s="8">
        <f t="shared" si="18"/>
        <v>12.356000000000357</v>
      </c>
      <c r="AH31" s="8">
        <f t="shared" si="18"/>
        <v>37.932920000001097</v>
      </c>
      <c r="AJ31" s="8">
        <f>T31-Q31-Z31</f>
        <v>-6.3837823915946501E-16</v>
      </c>
      <c r="AL31" s="7">
        <f t="shared" si="22"/>
        <v>100000.00000036322</v>
      </c>
      <c r="AM31" s="8">
        <f t="shared" si="19"/>
        <v>0.10000000000036322</v>
      </c>
      <c r="AN31" s="10">
        <f t="shared" si="20"/>
        <v>0.30700000000111505</v>
      </c>
    </row>
    <row r="32" spans="1:40" x14ac:dyDescent="0.15">
      <c r="A32" s="37">
        <v>38653</v>
      </c>
      <c r="B32" s="7">
        <f>'[12]Oct Prod'!I31</f>
        <v>6699999.9999989085</v>
      </c>
      <c r="C32" s="8">
        <f t="shared" si="0"/>
        <v>6.6999999999989086</v>
      </c>
      <c r="D32" s="10">
        <f t="shared" si="1"/>
        <v>20.568999999996649</v>
      </c>
      <c r="E32" s="7">
        <f>'[12]Oct Prod'!E31</f>
        <v>7000000</v>
      </c>
      <c r="F32" s="8">
        <f t="shared" si="2"/>
        <v>7</v>
      </c>
      <c r="G32" s="10">
        <f t="shared" si="3"/>
        <v>21.49</v>
      </c>
      <c r="H32" s="7">
        <f>'[12]Oct Prod'!F31</f>
        <v>0</v>
      </c>
      <c r="I32" s="8">
        <f t="shared" si="4"/>
        <v>0</v>
      </c>
      <c r="J32" s="10">
        <f t="shared" si="5"/>
        <v>0</v>
      </c>
      <c r="K32" s="7">
        <f>'[12]Oct Prod'!H286</f>
        <v>373868</v>
      </c>
      <c r="L32" s="8">
        <f t="shared" si="6"/>
        <v>0.37386799999999998</v>
      </c>
      <c r="M32" s="10">
        <f t="shared" si="7"/>
        <v>1.1477747599999999</v>
      </c>
      <c r="N32" s="22"/>
      <c r="O32" s="7">
        <f>'[12]Oct Prod'!H31</f>
        <v>4913000.0000000102</v>
      </c>
      <c r="P32" s="8">
        <f t="shared" si="8"/>
        <v>4.91300000000001</v>
      </c>
      <c r="Q32" s="10">
        <f t="shared" si="9"/>
        <v>15.08291000000003</v>
      </c>
      <c r="R32" s="7">
        <f>'[12]Oct Prod'!C31</f>
        <v>5280000</v>
      </c>
      <c r="S32" s="8">
        <f t="shared" si="10"/>
        <v>5.28</v>
      </c>
      <c r="T32" s="10">
        <f t="shared" si="11"/>
        <v>16.209599999999998</v>
      </c>
      <c r="U32" s="7">
        <f>'[12]Oct Prod'!D31</f>
        <v>0</v>
      </c>
      <c r="V32" s="8">
        <f t="shared" si="12"/>
        <v>0</v>
      </c>
      <c r="W32" s="10">
        <f t="shared" si="13"/>
        <v>0</v>
      </c>
      <c r="X32" s="7">
        <f>'[12]Oct Prod'!D286</f>
        <v>366999.99999999022</v>
      </c>
      <c r="Y32" s="8">
        <f t="shared" si="14"/>
        <v>0.36699999999999022</v>
      </c>
      <c r="Z32" s="10">
        <f t="shared" si="15"/>
        <v>1.12668999999997</v>
      </c>
      <c r="AA32" s="22"/>
      <c r="AB32" s="7">
        <f>'[12]Oct Prod'!G31</f>
        <v>0</v>
      </c>
      <c r="AC32" s="8">
        <f t="shared" si="16"/>
        <v>0</v>
      </c>
      <c r="AD32" s="10">
        <f t="shared" si="17"/>
        <v>0</v>
      </c>
      <c r="AF32" s="7">
        <f t="shared" si="18"/>
        <v>11612999.99999892</v>
      </c>
      <c r="AG32" s="8">
        <f t="shared" si="18"/>
        <v>11.61299999999892</v>
      </c>
      <c r="AH32" s="8">
        <f t="shared" si="18"/>
        <v>35.651909999996676</v>
      </c>
      <c r="AJ32" s="8">
        <f t="shared" si="23"/>
        <v>-1.9984014443252818E-15</v>
      </c>
      <c r="AL32" s="7">
        <f t="shared" si="22"/>
        <v>0</v>
      </c>
      <c r="AM32" s="8">
        <f t="shared" si="19"/>
        <v>0</v>
      </c>
      <c r="AN32" s="10">
        <f t="shared" si="20"/>
        <v>0</v>
      </c>
    </row>
    <row r="33" spans="1:40" x14ac:dyDescent="0.15">
      <c r="A33" s="37">
        <v>38654</v>
      </c>
      <c r="B33" s="7">
        <f>'[12]Oct Prod'!I32</f>
        <v>4600000.0000003641</v>
      </c>
      <c r="C33" s="8">
        <f t="shared" si="0"/>
        <v>4.6000000000003638</v>
      </c>
      <c r="D33" s="10">
        <f t="shared" si="1"/>
        <v>14.122000000001115</v>
      </c>
      <c r="E33" s="7">
        <f>'[12]Oct Prod'!E32</f>
        <v>4000000</v>
      </c>
      <c r="F33" s="8">
        <f t="shared" si="2"/>
        <v>4</v>
      </c>
      <c r="G33" s="10">
        <f t="shared" si="3"/>
        <v>12.28</v>
      </c>
      <c r="H33" s="7">
        <f>'[12]Oct Prod'!F32</f>
        <v>0</v>
      </c>
      <c r="I33" s="8">
        <f t="shared" si="4"/>
        <v>0</v>
      </c>
      <c r="J33" s="10">
        <f t="shared" si="5"/>
        <v>0</v>
      </c>
      <c r="K33" s="7">
        <f>'[12]Oct Prod'!H287</f>
        <v>209251</v>
      </c>
      <c r="L33" s="8">
        <f t="shared" si="6"/>
        <v>0.20925099999999999</v>
      </c>
      <c r="M33" s="10">
        <f t="shared" si="7"/>
        <v>0.64240056999999995</v>
      </c>
      <c r="N33" s="22"/>
      <c r="O33" s="7">
        <f>'[12]Oct Prod'!H32</f>
        <v>8422999.9999999963</v>
      </c>
      <c r="P33" s="8">
        <f t="shared" si="8"/>
        <v>8.4229999999999965</v>
      </c>
      <c r="Q33" s="10">
        <f t="shared" si="9"/>
        <v>25.858609999999988</v>
      </c>
      <c r="R33" s="7">
        <f>'[12]Oct Prod'!C32</f>
        <v>8647000</v>
      </c>
      <c r="S33" s="8">
        <f t="shared" si="10"/>
        <v>8.6470000000000002</v>
      </c>
      <c r="T33" s="10">
        <f t="shared" si="11"/>
        <v>26.546289999999999</v>
      </c>
      <c r="U33" s="7">
        <f>'[12]Oct Prod'!D32</f>
        <v>0</v>
      </c>
      <c r="V33" s="8">
        <f t="shared" si="12"/>
        <v>0</v>
      </c>
      <c r="W33" s="10">
        <f t="shared" si="13"/>
        <v>0</v>
      </c>
      <c r="X33" s="7">
        <f>'[12]Oct Prod'!D287</f>
        <v>224000.00000000375</v>
      </c>
      <c r="Y33" s="8">
        <f t="shared" si="14"/>
        <v>0.22400000000000375</v>
      </c>
      <c r="Z33" s="10">
        <f t="shared" si="15"/>
        <v>0.6876800000000115</v>
      </c>
      <c r="AA33" s="22"/>
      <c r="AB33" s="7">
        <f>'[12]Oct Prod'!G32</f>
        <v>0</v>
      </c>
      <c r="AC33" s="8">
        <f t="shared" si="16"/>
        <v>0</v>
      </c>
      <c r="AD33" s="10">
        <f t="shared" si="17"/>
        <v>0</v>
      </c>
      <c r="AF33" s="7">
        <f t="shared" si="18"/>
        <v>13023000.000000361</v>
      </c>
      <c r="AG33" s="8">
        <f t="shared" si="18"/>
        <v>13.02300000000036</v>
      </c>
      <c r="AH33" s="8">
        <f t="shared" si="18"/>
        <v>39.980610000001107</v>
      </c>
      <c r="AJ33" s="8">
        <f t="shared" si="23"/>
        <v>0</v>
      </c>
      <c r="AL33" s="7">
        <f t="shared" si="22"/>
        <v>600000.00000036415</v>
      </c>
      <c r="AM33" s="8">
        <f t="shared" si="19"/>
        <v>0.60000000000036413</v>
      </c>
      <c r="AN33" s="10">
        <f t="shared" si="20"/>
        <v>1.8420000000011179</v>
      </c>
    </row>
    <row r="34" spans="1:40" x14ac:dyDescent="0.15">
      <c r="A34" s="37">
        <v>38655</v>
      </c>
      <c r="B34" s="7">
        <f>'[12]Oct Prod'!I33</f>
        <v>700000.0000007276</v>
      </c>
      <c r="C34" s="8">
        <f t="shared" si="0"/>
        <v>0.7000000000007276</v>
      </c>
      <c r="D34" s="10">
        <f t="shared" si="1"/>
        <v>2.1490000000022338</v>
      </c>
      <c r="E34" s="7">
        <f>'[12]Oct Prod'!E33</f>
        <v>0</v>
      </c>
      <c r="F34" s="8">
        <f t="shared" si="2"/>
        <v>0</v>
      </c>
      <c r="G34" s="10">
        <f t="shared" si="3"/>
        <v>0</v>
      </c>
      <c r="H34" s="7">
        <f>'[12]Oct Prod'!F33</f>
        <v>0</v>
      </c>
      <c r="I34" s="8">
        <f t="shared" si="4"/>
        <v>0</v>
      </c>
      <c r="J34" s="10">
        <f t="shared" si="5"/>
        <v>0</v>
      </c>
      <c r="K34" s="7">
        <f>'[12]Oct Prod'!H288</f>
        <v>0</v>
      </c>
      <c r="L34" s="8">
        <f t="shared" si="6"/>
        <v>0</v>
      </c>
      <c r="M34" s="10">
        <f t="shared" si="7"/>
        <v>0</v>
      </c>
      <c r="N34" s="22"/>
      <c r="O34" s="7">
        <f>'[12]Oct Prod'!H33</f>
        <v>11082999.999999998</v>
      </c>
      <c r="P34" s="8">
        <f t="shared" si="8"/>
        <v>11.082999999999998</v>
      </c>
      <c r="Q34" s="10">
        <f t="shared" si="9"/>
        <v>34.024809999999995</v>
      </c>
      <c r="R34" s="7">
        <f>'[12]Oct Prod'!C33</f>
        <v>11366000</v>
      </c>
      <c r="S34" s="8">
        <f t="shared" si="10"/>
        <v>11.366</v>
      </c>
      <c r="T34" s="10">
        <f t="shared" si="11"/>
        <v>34.893619999999999</v>
      </c>
      <c r="U34" s="7">
        <f>'[12]Oct Prod'!D33</f>
        <v>0</v>
      </c>
      <c r="V34" s="8">
        <f t="shared" si="12"/>
        <v>0</v>
      </c>
      <c r="W34" s="10">
        <f t="shared" si="13"/>
        <v>0</v>
      </c>
      <c r="X34" s="7">
        <f>'[12]Oct Prod'!D288</f>
        <v>283000.00000000122</v>
      </c>
      <c r="Y34" s="8">
        <f t="shared" si="14"/>
        <v>0.2830000000000012</v>
      </c>
      <c r="Z34" s="10">
        <f t="shared" si="15"/>
        <v>0.86881000000000363</v>
      </c>
      <c r="AA34" s="22"/>
      <c r="AB34" s="7">
        <f>'[12]Oct Prod'!G33</f>
        <v>0</v>
      </c>
      <c r="AC34" s="8">
        <f t="shared" si="16"/>
        <v>0</v>
      </c>
      <c r="AD34" s="10">
        <f t="shared" si="17"/>
        <v>0</v>
      </c>
      <c r="AF34" s="7">
        <f t="shared" si="18"/>
        <v>11783000.000000726</v>
      </c>
      <c r="AG34" s="8">
        <f t="shared" si="18"/>
        <v>11.783000000000726</v>
      </c>
      <c r="AH34" s="8">
        <f t="shared" si="18"/>
        <v>36.173810000002227</v>
      </c>
      <c r="AJ34" s="8">
        <f t="shared" si="23"/>
        <v>0</v>
      </c>
      <c r="AL34" s="7">
        <f t="shared" si="22"/>
        <v>700000.0000007276</v>
      </c>
      <c r="AM34" s="8">
        <f t="shared" si="19"/>
        <v>0.7000000000007276</v>
      </c>
      <c r="AN34" s="10">
        <f t="shared" si="20"/>
        <v>2.1490000000022338</v>
      </c>
    </row>
    <row r="35" spans="1:40" x14ac:dyDescent="0.15">
      <c r="A35" s="37">
        <v>38656</v>
      </c>
      <c r="B35" s="39">
        <f>'[12]Oct Prod'!I34</f>
        <v>0</v>
      </c>
      <c r="C35" s="9">
        <f t="shared" si="0"/>
        <v>0</v>
      </c>
      <c r="D35" s="11">
        <f t="shared" si="1"/>
        <v>0</v>
      </c>
      <c r="E35" s="39">
        <f>'[12]Oct Prod'!E34</f>
        <v>0</v>
      </c>
      <c r="F35" s="9">
        <f t="shared" si="2"/>
        <v>0</v>
      </c>
      <c r="G35" s="11">
        <f t="shared" si="3"/>
        <v>0</v>
      </c>
      <c r="H35" s="39">
        <f>'[12]Oct Prod'!F34</f>
        <v>0</v>
      </c>
      <c r="I35" s="9">
        <f t="shared" si="4"/>
        <v>0</v>
      </c>
      <c r="J35" s="11">
        <f t="shared" si="5"/>
        <v>0</v>
      </c>
      <c r="K35" s="7">
        <f>'[12]Oct Prod'!H289</f>
        <v>0</v>
      </c>
      <c r="L35" s="9">
        <f t="shared" si="6"/>
        <v>0</v>
      </c>
      <c r="M35" s="11">
        <f t="shared" si="7"/>
        <v>0</v>
      </c>
      <c r="N35" s="22"/>
      <c r="O35" s="39">
        <f>'[12]Oct Prod'!H34</f>
        <v>12556000.000000004</v>
      </c>
      <c r="P35" s="9">
        <f t="shared" si="8"/>
        <v>12.556000000000004</v>
      </c>
      <c r="Q35" s="11">
        <f t="shared" si="9"/>
        <v>38.546920000000014</v>
      </c>
      <c r="R35" s="39">
        <f>'[12]Oct Prod'!C34</f>
        <v>12838000</v>
      </c>
      <c r="S35" s="9">
        <f t="shared" si="10"/>
        <v>12.837999999999999</v>
      </c>
      <c r="T35" s="11">
        <f t="shared" si="11"/>
        <v>39.412659999999995</v>
      </c>
      <c r="U35" s="39">
        <f>'[12]Oct Prod'!D34</f>
        <v>0</v>
      </c>
      <c r="V35" s="9">
        <f t="shared" si="12"/>
        <v>0</v>
      </c>
      <c r="W35" s="11">
        <f t="shared" si="13"/>
        <v>0</v>
      </c>
      <c r="X35" s="7">
        <f>'[12]Oct Prod'!D289</f>
        <v>281999.99999999645</v>
      </c>
      <c r="Y35" s="9">
        <f t="shared" si="14"/>
        <v>0.28199999999999648</v>
      </c>
      <c r="Z35" s="11">
        <f t="shared" si="15"/>
        <v>0.86573999999998918</v>
      </c>
      <c r="AA35" s="22"/>
      <c r="AB35" s="39">
        <f>'[12]Oct Prod'!G34</f>
        <v>0</v>
      </c>
      <c r="AC35" s="9">
        <f t="shared" si="16"/>
        <v>0</v>
      </c>
      <c r="AD35" s="11">
        <f t="shared" si="17"/>
        <v>0</v>
      </c>
      <c r="AF35" s="7">
        <f t="shared" si="18"/>
        <v>12556000.000000004</v>
      </c>
      <c r="AG35" s="8">
        <f t="shared" si="18"/>
        <v>12.556000000000004</v>
      </c>
      <c r="AH35" s="8">
        <f t="shared" si="18"/>
        <v>38.546920000000014</v>
      </c>
      <c r="AJ35" s="8">
        <f t="shared" si="23"/>
        <v>-8.1046280797636427E-15</v>
      </c>
      <c r="AL35" s="7">
        <f t="shared" si="22"/>
        <v>0</v>
      </c>
      <c r="AM35" s="8">
        <f t="shared" si="19"/>
        <v>0</v>
      </c>
      <c r="AN35" s="10">
        <f t="shared" si="20"/>
        <v>0</v>
      </c>
    </row>
    <row r="36" spans="1:40" x14ac:dyDescent="0.15">
      <c r="A36" s="21"/>
      <c r="B36" s="32"/>
      <c r="C36" s="40">
        <f>SUM(C5:C35)</f>
        <v>457.70000000000073</v>
      </c>
      <c r="D36" s="40">
        <f>SUM(D5:D35)</f>
        <v>1405.1390000000019</v>
      </c>
      <c r="E36" s="32"/>
      <c r="F36" s="40">
        <f>SUM(F5:F35)</f>
        <v>397</v>
      </c>
      <c r="G36" s="40">
        <f>SUM(G5:G35)</f>
        <v>1218.79</v>
      </c>
      <c r="H36" s="32"/>
      <c r="I36" s="40">
        <f>SUM(I5:I35)</f>
        <v>67</v>
      </c>
      <c r="J36" s="40">
        <f>SUM(J5:J35)</f>
        <v>205.68999999999997</v>
      </c>
      <c r="K36" s="32"/>
      <c r="L36" s="40">
        <f>SUM(L5:L35)</f>
        <v>11.337327</v>
      </c>
      <c r="M36" s="40">
        <f>SUM(M5:M35)</f>
        <v>34.805593889999997</v>
      </c>
      <c r="N36" s="21"/>
      <c r="O36" s="32"/>
      <c r="P36" s="40">
        <f>SUM(P5:P35)</f>
        <v>130.50299999999999</v>
      </c>
      <c r="Q36" s="40">
        <f>SUM(Q5:Q35)</f>
        <v>400.64420999999993</v>
      </c>
      <c r="R36" s="32"/>
      <c r="S36" s="40">
        <f>SUM(S5:S35)</f>
        <v>132.24199999999999</v>
      </c>
      <c r="T36" s="40">
        <f>SUM(T5:T35)</f>
        <v>405.98293999999987</v>
      </c>
      <c r="U36" s="32"/>
      <c r="V36" s="40">
        <f>SUM(V5:V35)</f>
        <v>1.806</v>
      </c>
      <c r="W36" s="40">
        <f>SUM(W5:W35)</f>
        <v>5.5444199999999997</v>
      </c>
      <c r="X36" s="32"/>
      <c r="Y36" s="40">
        <f>SUM(Y5:Y35)</f>
        <v>3.5459999999999923</v>
      </c>
      <c r="Z36" s="40">
        <f>SUM(Z5:Z35)</f>
        <v>10.886219999999975</v>
      </c>
      <c r="AA36" s="21"/>
      <c r="AB36" s="32"/>
      <c r="AC36" s="40">
        <f>SUM(AC5:AC35)</f>
        <v>0</v>
      </c>
      <c r="AD36" s="40">
        <f>SUM(AD5:AD35)</f>
        <v>0</v>
      </c>
      <c r="AF36" s="32"/>
      <c r="AG36" s="40">
        <f>SUM(AG5:AG35)</f>
        <v>588.20300000000066</v>
      </c>
      <c r="AH36" s="32">
        <f>AG36*3.07</f>
        <v>1805.7832100000019</v>
      </c>
      <c r="AJ36" s="40">
        <f>SUM(AJ5:AJ35)</f>
        <v>-5.5474900000000043</v>
      </c>
      <c r="AL36" s="32"/>
      <c r="AM36" s="40">
        <f>SUM(AM5:AM35)</f>
        <v>5.4000000000023656</v>
      </c>
      <c r="AN36" s="32">
        <f>AM36*3.07</f>
        <v>16.578000000007261</v>
      </c>
    </row>
    <row r="37" spans="1:40" x14ac:dyDescent="0.15">
      <c r="A37" s="3"/>
      <c r="B37" s="3"/>
      <c r="C37" s="33"/>
      <c r="D37" s="3"/>
      <c r="E37" s="3"/>
      <c r="F37" s="3"/>
      <c r="G37" s="3"/>
      <c r="H37" s="3"/>
      <c r="I37" s="3"/>
      <c r="J37" s="3"/>
      <c r="K37" s="21"/>
      <c r="L37" s="3"/>
      <c r="M37" s="3"/>
      <c r="N37" s="3"/>
      <c r="O37" s="3"/>
      <c r="P37" s="3"/>
      <c r="Q37" s="3"/>
      <c r="R37" s="3"/>
      <c r="S37" s="3"/>
      <c r="T37" s="3"/>
      <c r="U37" s="21"/>
      <c r="V37" s="3"/>
      <c r="W37" s="3"/>
      <c r="X37" s="3"/>
    </row>
    <row r="38" spans="1:40" x14ac:dyDescent="0.15">
      <c r="F38" s="25"/>
      <c r="G38" s="25"/>
    </row>
  </sheetData>
  <mergeCells count="11">
    <mergeCell ref="AL3:AN3"/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C9CE5C-003A-4C5B-85A8-FED7EA4D11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ceea8c-8d7b-4050-a6dd-ca802b319f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2C54B83-B61F-4749-A77F-F0AB2FF667D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DEF10C4-91C2-45B8-9B5D-E6A9B6A8747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Microsoft Office User</cp:lastModifiedBy>
  <cp:lastPrinted>2009-09-14T22:23:09Z</cp:lastPrinted>
  <dcterms:created xsi:type="dcterms:W3CDTF">2004-01-27T20:05:57Z</dcterms:created>
  <dcterms:modified xsi:type="dcterms:W3CDTF">2020-12-24T16:19:53Z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